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11DA81BF-F56C-4773-8EE2-D54D3421740E}" xr6:coauthVersionLast="47" xr6:coauthVersionMax="47" xr10:uidLastSave="{00000000-0000-0000-0000-000000000000}"/>
  <bookViews>
    <workbookView xWindow="-120" yWindow="-120" windowWidth="29040" windowHeight="15720" xr2:uid="{00000000-000D-0000-FFFF-FFFF00000000}"/>
  </bookViews>
  <sheets>
    <sheet name="Main" sheetId="1" r:id="rId1"/>
    <sheet name="Model" sheetId="2" r:id="rId2"/>
    <sheet name="PEN Acquisition" sheetId="12" r:id="rId3"/>
    <sheet name="Notes | Analysis" sheetId="4" r:id="rId4"/>
    <sheet name="VC Channel" sheetId="10" r:id="rId5"/>
    <sheet name="M&amp;A Scope" sheetId="3" r:id="rId6"/>
    <sheet name="Clinical Trial Channel" sheetId="7" r:id="rId7"/>
    <sheet name="Management" sheetId="6" r:id="rId8"/>
    <sheet name="Debt Schedule" sheetId="8" r:id="rId9"/>
    <sheet name="Portfolio | Product Lines" sheetId="11" r:id="rId10"/>
    <sheet name="Interventional Cardiology" sheetId="9" r:id="rId11"/>
    <sheet name="Watchman" sheetId="5"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126" i="2" l="1"/>
  <c r="BT125" i="2"/>
  <c r="BT127" i="2" s="1"/>
  <c r="BT118" i="2"/>
  <c r="BT115" i="2"/>
  <c r="BT114" i="2"/>
  <c r="BT113" i="2"/>
  <c r="BT103" i="2"/>
  <c r="BT101" i="2"/>
  <c r="BT91" i="2"/>
  <c r="BT92" i="2" s="1"/>
  <c r="BT46" i="2"/>
  <c r="BT42" i="2"/>
  <c r="BT41" i="2"/>
  <c r="BT40" i="2"/>
  <c r="BT39" i="2"/>
  <c r="BT37" i="2"/>
  <c r="BT45" i="2" s="1"/>
  <c r="BT26" i="2"/>
  <c r="BT24" i="2"/>
  <c r="BT23" i="2"/>
  <c r="BT22" i="2"/>
  <c r="BT21" i="2"/>
  <c r="BT19" i="2"/>
  <c r="BT18" i="2"/>
  <c r="BT17" i="2"/>
  <c r="BT12" i="2"/>
  <c r="BT14" i="2" s="1"/>
  <c r="BT7" i="2"/>
  <c r="BT91" i="12"/>
  <c r="BT92" i="12" s="1"/>
  <c r="BT126" i="12"/>
  <c r="BT125" i="12"/>
  <c r="BT118" i="12"/>
  <c r="BT115" i="12"/>
  <c r="BT114" i="12"/>
  <c r="BT113" i="12"/>
  <c r="BT101" i="12"/>
  <c r="BT103" i="12" s="1"/>
  <c r="BT42" i="12"/>
  <c r="BT41" i="12"/>
  <c r="BT40" i="12"/>
  <c r="BT39" i="12"/>
  <c r="BT37" i="12"/>
  <c r="BT47" i="12" s="1"/>
  <c r="BT26" i="12"/>
  <c r="BT24" i="12"/>
  <c r="BT23" i="12"/>
  <c r="BT22" i="12"/>
  <c r="BT21" i="12"/>
  <c r="BT19" i="12"/>
  <c r="BT18" i="12"/>
  <c r="BT17" i="12"/>
  <c r="BT12" i="12"/>
  <c r="BT25" i="12" s="1"/>
  <c r="BT7" i="12"/>
  <c r="BT20" i="12" s="1"/>
  <c r="DF92" i="2"/>
  <c r="BT27" i="2" l="1"/>
  <c r="BT15" i="2"/>
  <c r="BT28" i="2" s="1"/>
  <c r="BT30" i="2"/>
  <c r="BT48" i="2"/>
  <c r="BT25" i="2"/>
  <c r="BT47" i="2"/>
  <c r="BT20" i="2"/>
  <c r="BT43" i="2"/>
  <c r="BT50" i="2"/>
  <c r="BT127" i="12"/>
  <c r="BT48" i="12"/>
  <c r="BT43" i="12"/>
  <c r="BT46" i="12"/>
  <c r="BT50" i="12"/>
  <c r="BT45" i="12"/>
  <c r="BT117" i="12"/>
  <c r="BT14" i="12"/>
  <c r="BT15" i="12" s="1"/>
  <c r="BT28" i="12" s="1"/>
  <c r="BT75" i="12"/>
  <c r="BT52" i="12"/>
  <c r="DK84" i="2"/>
  <c r="BT116" i="2" l="1"/>
  <c r="BT52" i="2"/>
  <c r="BT75" i="2"/>
  <c r="BT117" i="2"/>
  <c r="BT76" i="2"/>
  <c r="BT31" i="2"/>
  <c r="BT76" i="12"/>
  <c r="BT116" i="12"/>
  <c r="BT30" i="12"/>
  <c r="BT62" i="12"/>
  <c r="BT74" i="12"/>
  <c r="BT27" i="12"/>
  <c r="BT31" i="12"/>
  <c r="BT62" i="2" l="1"/>
  <c r="BT74" i="2"/>
  <c r="BT77" i="12"/>
  <c r="BT65" i="12"/>
  <c r="BT65" i="2" l="1"/>
  <c r="BT77" i="2"/>
  <c r="BT78" i="12"/>
  <c r="BT67" i="12"/>
  <c r="BT67" i="2" l="1"/>
  <c r="BT78" i="2"/>
  <c r="BT79" i="12"/>
  <c r="BT70" i="12"/>
  <c r="BT79" i="2" l="1"/>
  <c r="BT70" i="2"/>
  <c r="BT122" i="12"/>
  <c r="BT120" i="12"/>
  <c r="BT119" i="12"/>
  <c r="BT72" i="12"/>
  <c r="BT122" i="2" l="1"/>
  <c r="BT120" i="2"/>
  <c r="BT72" i="2"/>
  <c r="BT119" i="2"/>
  <c r="CR64" i="12"/>
  <c r="DK84" i="12"/>
  <c r="DK86" i="2"/>
  <c r="AX4" i="2"/>
  <c r="BB4" i="2"/>
  <c r="BF4" i="2"/>
  <c r="BJ4" i="2"/>
  <c r="BN4" i="2"/>
  <c r="CL4" i="2"/>
  <c r="CM4" i="2"/>
  <c r="CN4" i="2"/>
  <c r="CO4" i="2"/>
  <c r="CP4" i="2"/>
  <c r="CQ4" i="2"/>
  <c r="CR4" i="2" s="1"/>
  <c r="AX5" i="2"/>
  <c r="CL5" i="2" s="1"/>
  <c r="BB5" i="2"/>
  <c r="BF5" i="2"/>
  <c r="BF7" i="2" s="1"/>
  <c r="BJ5" i="2"/>
  <c r="BN5" i="2"/>
  <c r="CO5" i="2"/>
  <c r="CP5" i="2"/>
  <c r="CQ5" i="2"/>
  <c r="CR5" i="2" s="1"/>
  <c r="CS5" i="2" s="1"/>
  <c r="CT5" i="2" s="1"/>
  <c r="CU5" i="2" s="1"/>
  <c r="CV5" i="2" s="1"/>
  <c r="CW5" i="2" s="1"/>
  <c r="CX5" i="2" s="1"/>
  <c r="CY5" i="2" s="1"/>
  <c r="CZ5" i="2" s="1"/>
  <c r="DA5" i="2" s="1"/>
  <c r="AX6" i="2"/>
  <c r="BB6" i="2"/>
  <c r="CM6" i="2" s="1"/>
  <c r="BF6" i="2"/>
  <c r="CN6" i="2" s="1"/>
  <c r="BJ6" i="2"/>
  <c r="CO6" i="2" s="1"/>
  <c r="BN6" i="2"/>
  <c r="CL6" i="2"/>
  <c r="CQ6" i="2"/>
  <c r="CR6" i="2"/>
  <c r="CS6" i="2"/>
  <c r="CT6" i="2" s="1"/>
  <c r="AU7" i="2"/>
  <c r="AV7" i="2"/>
  <c r="AW7" i="2"/>
  <c r="AX7" i="2"/>
  <c r="AY7" i="2"/>
  <c r="AZ7" i="2"/>
  <c r="BA7" i="2"/>
  <c r="BB7" i="2"/>
  <c r="BC7" i="2"/>
  <c r="BD7" i="2"/>
  <c r="BE7" i="2"/>
  <c r="BG7" i="2"/>
  <c r="BH7" i="2"/>
  <c r="BI7" i="2"/>
  <c r="BJ7" i="2"/>
  <c r="BK7" i="2"/>
  <c r="BL7" i="2"/>
  <c r="BM7" i="2"/>
  <c r="BO7" i="2"/>
  <c r="BP7" i="2"/>
  <c r="BQ7" i="2"/>
  <c r="BR7" i="2"/>
  <c r="BS7" i="2"/>
  <c r="CK7" i="2"/>
  <c r="CQ7" i="2"/>
  <c r="AX8" i="2"/>
  <c r="BB8" i="2"/>
  <c r="BF8" i="2"/>
  <c r="BJ8" i="2"/>
  <c r="BN8" i="2"/>
  <c r="CP8" i="2" s="1"/>
  <c r="CL8" i="2"/>
  <c r="CM8" i="2"/>
  <c r="CN8" i="2"/>
  <c r="CO8" i="2"/>
  <c r="CQ8" i="2"/>
  <c r="CR8" i="2"/>
  <c r="CS8" i="2" s="1"/>
  <c r="CT8" i="2" s="1"/>
  <c r="AX9" i="2"/>
  <c r="BB9" i="2"/>
  <c r="CM9" i="2" s="1"/>
  <c r="BF9" i="2"/>
  <c r="BJ9" i="2"/>
  <c r="BN9" i="2"/>
  <c r="CN9" i="2"/>
  <c r="CO9" i="2"/>
  <c r="CP9" i="2"/>
  <c r="CQ9" i="2"/>
  <c r="CR9" i="2" s="1"/>
  <c r="AX10" i="2"/>
  <c r="CL10" i="2" s="1"/>
  <c r="CL23" i="2" s="1"/>
  <c r="BB10" i="2"/>
  <c r="CM10" i="2" s="1"/>
  <c r="BF10" i="2"/>
  <c r="CN10" i="2" s="1"/>
  <c r="BJ10" i="2"/>
  <c r="BN10" i="2"/>
  <c r="CP10" i="2" s="1"/>
  <c r="CQ23" i="2" s="1"/>
  <c r="CQ10" i="2"/>
  <c r="CR10" i="2"/>
  <c r="CS10" i="2" s="1"/>
  <c r="CT10" i="2" s="1"/>
  <c r="CU10" i="2" s="1"/>
  <c r="CV10" i="2" s="1"/>
  <c r="CW10" i="2" s="1"/>
  <c r="CX10" i="2" s="1"/>
  <c r="CY10" i="2" s="1"/>
  <c r="CZ10" i="2" s="1"/>
  <c r="DA10" i="2" s="1"/>
  <c r="AX11" i="2"/>
  <c r="BB11" i="2"/>
  <c r="BF11" i="2"/>
  <c r="BJ11" i="2"/>
  <c r="BN11" i="2"/>
  <c r="CP11" i="2" s="1"/>
  <c r="CL11" i="2"/>
  <c r="CM11" i="2"/>
  <c r="CN24" i="2" s="1"/>
  <c r="CN11" i="2"/>
  <c r="CO11" i="2"/>
  <c r="CQ11" i="2"/>
  <c r="CR11" i="2"/>
  <c r="CS11" i="2" s="1"/>
  <c r="CT11" i="2" s="1"/>
  <c r="CU11" i="2" s="1"/>
  <c r="CV11" i="2" s="1"/>
  <c r="CW11" i="2" s="1"/>
  <c r="CX11" i="2" s="1"/>
  <c r="CY11" i="2" s="1"/>
  <c r="CZ11" i="2" s="1"/>
  <c r="DA11" i="2" s="1"/>
  <c r="AU12" i="2"/>
  <c r="AV12" i="2"/>
  <c r="AZ25" i="2" s="1"/>
  <c r="AW12" i="2"/>
  <c r="AY12" i="2"/>
  <c r="AZ12" i="2"/>
  <c r="BA12" i="2"/>
  <c r="BB12" i="2"/>
  <c r="BC12" i="2"/>
  <c r="BD12" i="2"/>
  <c r="BE12" i="2"/>
  <c r="BF12" i="2"/>
  <c r="BG12" i="2"/>
  <c r="BH12" i="2"/>
  <c r="BI12" i="2"/>
  <c r="BK12" i="2"/>
  <c r="BL12" i="2"/>
  <c r="BM12" i="2"/>
  <c r="BN12" i="2"/>
  <c r="BO12" i="2"/>
  <c r="BP12" i="2"/>
  <c r="BQ12" i="2"/>
  <c r="BR12" i="2"/>
  <c r="BS12" i="2"/>
  <c r="CK12" i="2"/>
  <c r="CQ12" i="2"/>
  <c r="AX13" i="2"/>
  <c r="CL13" i="2" s="1"/>
  <c r="CL26" i="2" s="1"/>
  <c r="AY13" i="2"/>
  <c r="BB13" i="2" s="1"/>
  <c r="BF13" i="2"/>
  <c r="BJ13" i="2"/>
  <c r="BN13" i="2"/>
  <c r="CP13" i="2" s="1"/>
  <c r="CN13" i="2"/>
  <c r="CO13" i="2"/>
  <c r="CQ13" i="2"/>
  <c r="CR13" i="2"/>
  <c r="CR25" i="2" s="1"/>
  <c r="CS13" i="2"/>
  <c r="CT13" i="2" s="1"/>
  <c r="CU13" i="2" s="1"/>
  <c r="CV13" i="2" s="1"/>
  <c r="CW13" i="2" s="1"/>
  <c r="CX13" i="2" s="1"/>
  <c r="CY13" i="2" s="1"/>
  <c r="CZ13" i="2" s="1"/>
  <c r="DA13" i="2" s="1"/>
  <c r="DA25" i="2" s="1"/>
  <c r="AU14" i="2"/>
  <c r="AV14" i="2"/>
  <c r="AW14" i="2"/>
  <c r="AY14" i="2"/>
  <c r="AZ14" i="2"/>
  <c r="BA14" i="2"/>
  <c r="BC14" i="2"/>
  <c r="BE14" i="2"/>
  <c r="BF14" i="2"/>
  <c r="BG14" i="2"/>
  <c r="BH14" i="2"/>
  <c r="BI14" i="2"/>
  <c r="BK14" i="2"/>
  <c r="BL14" i="2"/>
  <c r="BM14" i="2"/>
  <c r="BN14" i="2"/>
  <c r="BO14" i="2"/>
  <c r="BP14" i="2"/>
  <c r="BQ14" i="2"/>
  <c r="BR14" i="2"/>
  <c r="BS14" i="2"/>
  <c r="CK14" i="2"/>
  <c r="CQ14" i="2"/>
  <c r="AU15" i="2"/>
  <c r="AW15" i="2"/>
  <c r="AY15" i="2"/>
  <c r="AZ15" i="2"/>
  <c r="BA15" i="2"/>
  <c r="BC15" i="2"/>
  <c r="BE15" i="2"/>
  <c r="BG15" i="2"/>
  <c r="BH15" i="2"/>
  <c r="BI15" i="2"/>
  <c r="BK15" i="2"/>
  <c r="BM15" i="2"/>
  <c r="BO15" i="2"/>
  <c r="BP15" i="2"/>
  <c r="BQ15" i="2"/>
  <c r="BR15" i="2"/>
  <c r="CQ15" i="2" s="1"/>
  <c r="BS15" i="2"/>
  <c r="AY17" i="2"/>
  <c r="AZ17" i="2"/>
  <c r="BA17" i="2"/>
  <c r="BB17" i="2"/>
  <c r="BC17" i="2"/>
  <c r="BD17" i="2"/>
  <c r="BE17" i="2"/>
  <c r="BF17" i="2"/>
  <c r="BG17" i="2"/>
  <c r="BH17" i="2"/>
  <c r="BI17" i="2"/>
  <c r="BJ17" i="2"/>
  <c r="BK17" i="2"/>
  <c r="BL17" i="2"/>
  <c r="BM17" i="2"/>
  <c r="BN17" i="2"/>
  <c r="BO17" i="2"/>
  <c r="BP17" i="2"/>
  <c r="BQ17" i="2"/>
  <c r="BR17" i="2"/>
  <c r="BS17" i="2"/>
  <c r="CL17" i="2"/>
  <c r="CO17" i="2"/>
  <c r="CP17" i="2"/>
  <c r="CQ17" i="2"/>
  <c r="AY18" i="2"/>
  <c r="AZ18" i="2"/>
  <c r="BA18" i="2"/>
  <c r="BC18" i="2"/>
  <c r="BD18" i="2"/>
  <c r="BE18" i="2"/>
  <c r="BG18" i="2"/>
  <c r="BH18" i="2"/>
  <c r="BI18" i="2"/>
  <c r="BJ18" i="2"/>
  <c r="BK18" i="2"/>
  <c r="BL18" i="2"/>
  <c r="BM18" i="2"/>
  <c r="BN18" i="2"/>
  <c r="BO18" i="2"/>
  <c r="BP18" i="2"/>
  <c r="BQ18" i="2"/>
  <c r="BR18" i="2"/>
  <c r="BS18" i="2"/>
  <c r="CQ18" i="2"/>
  <c r="AY19" i="2"/>
  <c r="AZ19" i="2"/>
  <c r="BA19" i="2"/>
  <c r="BB19" i="2"/>
  <c r="BC19" i="2"/>
  <c r="BD19" i="2"/>
  <c r="BE19" i="2"/>
  <c r="BF19" i="2"/>
  <c r="BG19" i="2"/>
  <c r="BH19" i="2"/>
  <c r="BI19" i="2"/>
  <c r="BJ19" i="2"/>
  <c r="BK19" i="2"/>
  <c r="BL19" i="2"/>
  <c r="BM19" i="2"/>
  <c r="BN19" i="2"/>
  <c r="BO19" i="2"/>
  <c r="BP19" i="2"/>
  <c r="BQ19" i="2"/>
  <c r="BS19" i="2"/>
  <c r="CL19" i="2"/>
  <c r="AY20" i="2"/>
  <c r="AZ20" i="2"/>
  <c r="BA20" i="2"/>
  <c r="BC20" i="2"/>
  <c r="BD20" i="2"/>
  <c r="BE20" i="2"/>
  <c r="BG20" i="2"/>
  <c r="BH20" i="2"/>
  <c r="BI20" i="2"/>
  <c r="BK20" i="2"/>
  <c r="BL20" i="2"/>
  <c r="BM20" i="2"/>
  <c r="BO20" i="2"/>
  <c r="BP20" i="2"/>
  <c r="BQ20" i="2"/>
  <c r="BS20" i="2"/>
  <c r="AY21" i="2"/>
  <c r="AZ21" i="2"/>
  <c r="BA21" i="2"/>
  <c r="BB21" i="2"/>
  <c r="BC21" i="2"/>
  <c r="BD21" i="2"/>
  <c r="BE21" i="2"/>
  <c r="BF21" i="2"/>
  <c r="BG21" i="2"/>
  <c r="BH21" i="2"/>
  <c r="BI21" i="2"/>
  <c r="BJ21" i="2"/>
  <c r="BK21" i="2"/>
  <c r="BL21" i="2"/>
  <c r="BM21" i="2"/>
  <c r="BN21" i="2"/>
  <c r="BO21" i="2"/>
  <c r="BP21" i="2"/>
  <c r="BQ21" i="2"/>
  <c r="BR21" i="2"/>
  <c r="BS21" i="2"/>
  <c r="CN21" i="2"/>
  <c r="CO21" i="2"/>
  <c r="AY22" i="2"/>
  <c r="AZ22" i="2"/>
  <c r="BA22" i="2"/>
  <c r="BC22" i="2"/>
  <c r="BD22" i="2"/>
  <c r="BE22" i="2"/>
  <c r="BF22" i="2"/>
  <c r="BG22" i="2"/>
  <c r="BH22" i="2"/>
  <c r="BI22" i="2"/>
  <c r="BJ22" i="2"/>
  <c r="BK22" i="2"/>
  <c r="BL22" i="2"/>
  <c r="BM22" i="2"/>
  <c r="BN22" i="2"/>
  <c r="BO22" i="2"/>
  <c r="BP22" i="2"/>
  <c r="BQ22" i="2"/>
  <c r="BR22" i="2"/>
  <c r="BS22" i="2"/>
  <c r="CQ22" i="2"/>
  <c r="AY23" i="2"/>
  <c r="AZ23" i="2"/>
  <c r="BA23" i="2"/>
  <c r="BB23" i="2"/>
  <c r="BC23" i="2"/>
  <c r="BD23" i="2"/>
  <c r="BE23" i="2"/>
  <c r="BF23" i="2"/>
  <c r="BG23" i="2"/>
  <c r="BH23" i="2"/>
  <c r="BI23" i="2"/>
  <c r="BK23" i="2"/>
  <c r="BL23" i="2"/>
  <c r="BM23" i="2"/>
  <c r="BO23" i="2"/>
  <c r="BP23" i="2"/>
  <c r="BQ23" i="2"/>
  <c r="BR23" i="2"/>
  <c r="BS23" i="2"/>
  <c r="AY24" i="2"/>
  <c r="AZ24" i="2"/>
  <c r="BA24" i="2"/>
  <c r="BB24" i="2"/>
  <c r="BC24" i="2"/>
  <c r="BD24" i="2"/>
  <c r="BE24" i="2"/>
  <c r="BF24" i="2"/>
  <c r="BG24" i="2"/>
  <c r="BH24" i="2"/>
  <c r="BI24" i="2"/>
  <c r="BJ24" i="2"/>
  <c r="BK24" i="2"/>
  <c r="BL24" i="2"/>
  <c r="BM24" i="2"/>
  <c r="BN24" i="2"/>
  <c r="BO24" i="2"/>
  <c r="BP24" i="2"/>
  <c r="BQ24" i="2"/>
  <c r="BR24" i="2"/>
  <c r="BS24" i="2"/>
  <c r="CL24" i="2"/>
  <c r="CM24" i="2"/>
  <c r="CO24" i="2"/>
  <c r="AY25" i="2"/>
  <c r="BA25" i="2"/>
  <c r="BC25" i="2"/>
  <c r="BE25" i="2"/>
  <c r="BF25" i="2"/>
  <c r="BG25" i="2"/>
  <c r="BI25" i="2"/>
  <c r="BK25" i="2"/>
  <c r="BM25" i="2"/>
  <c r="BO25" i="2"/>
  <c r="BQ25" i="2"/>
  <c r="BR25" i="2"/>
  <c r="BS25" i="2"/>
  <c r="AY26" i="2"/>
  <c r="AZ26" i="2"/>
  <c r="BA26" i="2"/>
  <c r="BC26" i="2"/>
  <c r="BD26" i="2"/>
  <c r="BE26" i="2"/>
  <c r="BG26" i="2"/>
  <c r="BH26" i="2"/>
  <c r="BI26" i="2"/>
  <c r="BJ26" i="2"/>
  <c r="BK26" i="2"/>
  <c r="BL26" i="2"/>
  <c r="BM26" i="2"/>
  <c r="BN26" i="2"/>
  <c r="BO26" i="2"/>
  <c r="BP26" i="2"/>
  <c r="BQ26" i="2"/>
  <c r="BR26" i="2"/>
  <c r="BS26" i="2"/>
  <c r="CO26" i="2"/>
  <c r="AY27" i="2"/>
  <c r="BA27" i="2"/>
  <c r="BC27" i="2"/>
  <c r="BE27" i="2"/>
  <c r="BG27" i="2"/>
  <c r="BI27" i="2"/>
  <c r="BK27" i="2"/>
  <c r="BM27" i="2"/>
  <c r="BO27" i="2"/>
  <c r="BQ27" i="2"/>
  <c r="BR27" i="2"/>
  <c r="BS27" i="2"/>
  <c r="AY28" i="2"/>
  <c r="BA28" i="2"/>
  <c r="BC28" i="2"/>
  <c r="BE28" i="2"/>
  <c r="BG28" i="2"/>
  <c r="BI28" i="2"/>
  <c r="BK28" i="2"/>
  <c r="BM28" i="2"/>
  <c r="BO28" i="2"/>
  <c r="BQ28" i="2"/>
  <c r="BS28" i="2"/>
  <c r="AU30" i="2"/>
  <c r="AW30" i="2"/>
  <c r="AY30" i="2"/>
  <c r="AZ30" i="2"/>
  <c r="BA30" i="2"/>
  <c r="BC30" i="2"/>
  <c r="BE30" i="2"/>
  <c r="BG30" i="2"/>
  <c r="BH30" i="2"/>
  <c r="BI30" i="2"/>
  <c r="BK30" i="2"/>
  <c r="BM30" i="2"/>
  <c r="BO30" i="2"/>
  <c r="BP30" i="2"/>
  <c r="BQ30" i="2"/>
  <c r="BS30" i="2"/>
  <c r="AU31" i="2"/>
  <c r="AW31" i="2"/>
  <c r="AY31" i="2"/>
  <c r="AZ31" i="2"/>
  <c r="BA31" i="2"/>
  <c r="BC31" i="2"/>
  <c r="BE31" i="2"/>
  <c r="BG31" i="2"/>
  <c r="BH31" i="2"/>
  <c r="BI31" i="2"/>
  <c r="BK31" i="2"/>
  <c r="BM31" i="2"/>
  <c r="BO31" i="2"/>
  <c r="BP31" i="2"/>
  <c r="BQ31" i="2"/>
  <c r="BS31" i="2"/>
  <c r="AX33" i="2"/>
  <c r="BB33" i="2"/>
  <c r="CM33" i="2" s="1"/>
  <c r="BF33" i="2"/>
  <c r="CN33" i="2" s="1"/>
  <c r="BJ33" i="2"/>
  <c r="BN33" i="2"/>
  <c r="CL33" i="2"/>
  <c r="CO33" i="2"/>
  <c r="CP33" i="2"/>
  <c r="CQ33" i="2"/>
  <c r="AX34" i="2"/>
  <c r="BB34" i="2"/>
  <c r="BF34" i="2"/>
  <c r="BJ34" i="2"/>
  <c r="BN34" i="2"/>
  <c r="CL34" i="2"/>
  <c r="CM34" i="2"/>
  <c r="CO34" i="2"/>
  <c r="CP34" i="2"/>
  <c r="CQ34" i="2"/>
  <c r="AX35" i="2"/>
  <c r="BB35" i="2"/>
  <c r="CM35" i="2" s="1"/>
  <c r="BF35" i="2"/>
  <c r="BJ35" i="2"/>
  <c r="BN35" i="2"/>
  <c r="CP35" i="2" s="1"/>
  <c r="CL35" i="2"/>
  <c r="CN35" i="2"/>
  <c r="CO35" i="2"/>
  <c r="CQ35" i="2"/>
  <c r="AX36" i="2"/>
  <c r="BB36" i="2"/>
  <c r="CM36" i="2" s="1"/>
  <c r="BF36" i="2"/>
  <c r="BJ36" i="2"/>
  <c r="BN36" i="2"/>
  <c r="CL36" i="2"/>
  <c r="CN36" i="2"/>
  <c r="CO36" i="2"/>
  <c r="CQ36" i="2"/>
  <c r="AU37" i="2"/>
  <c r="AV37" i="2"/>
  <c r="AW37" i="2"/>
  <c r="AX37" i="2"/>
  <c r="AY37" i="2"/>
  <c r="AZ37" i="2"/>
  <c r="BA37" i="2"/>
  <c r="BB37" i="2"/>
  <c r="BC37" i="2"/>
  <c r="BD37" i="2"/>
  <c r="BE37" i="2"/>
  <c r="BG37" i="2"/>
  <c r="BH37" i="2"/>
  <c r="BI37" i="2"/>
  <c r="BJ37" i="2"/>
  <c r="BK37" i="2"/>
  <c r="BL37" i="2"/>
  <c r="BM37" i="2"/>
  <c r="BO37" i="2"/>
  <c r="BP37" i="2"/>
  <c r="BQ37" i="2"/>
  <c r="BR37" i="2"/>
  <c r="BS37" i="2"/>
  <c r="CK37" i="2"/>
  <c r="CO37" i="2"/>
  <c r="CQ37" i="2"/>
  <c r="AY39" i="2"/>
  <c r="AZ39" i="2"/>
  <c r="BA39" i="2"/>
  <c r="BB39" i="2"/>
  <c r="BC39" i="2"/>
  <c r="BD39" i="2"/>
  <c r="BE39" i="2"/>
  <c r="BF39" i="2"/>
  <c r="BG39" i="2"/>
  <c r="BH39" i="2"/>
  <c r="BI39" i="2"/>
  <c r="BJ39" i="2"/>
  <c r="BK39" i="2"/>
  <c r="BL39" i="2"/>
  <c r="BM39" i="2"/>
  <c r="BN39" i="2"/>
  <c r="BO39" i="2"/>
  <c r="BP39" i="2"/>
  <c r="BQ39" i="2"/>
  <c r="BR39" i="2"/>
  <c r="BS39" i="2"/>
  <c r="CP39" i="2"/>
  <c r="CQ39" i="2"/>
  <c r="AY40" i="2"/>
  <c r="AZ40" i="2"/>
  <c r="BA40" i="2"/>
  <c r="BB40" i="2"/>
  <c r="BC40" i="2"/>
  <c r="BD40" i="2"/>
  <c r="BE40" i="2"/>
  <c r="BG40" i="2"/>
  <c r="BH40" i="2"/>
  <c r="BI40" i="2"/>
  <c r="BK40" i="2"/>
  <c r="BL40" i="2"/>
  <c r="BM40" i="2"/>
  <c r="BN40" i="2"/>
  <c r="BO40" i="2"/>
  <c r="BP40" i="2"/>
  <c r="BQ40" i="2"/>
  <c r="BR40" i="2"/>
  <c r="BS40" i="2"/>
  <c r="CL40" i="2"/>
  <c r="CM40" i="2"/>
  <c r="CP40" i="2"/>
  <c r="AY41" i="2"/>
  <c r="AZ41" i="2"/>
  <c r="BA41" i="2"/>
  <c r="BB41" i="2"/>
  <c r="BC41" i="2"/>
  <c r="BD41" i="2"/>
  <c r="BE41" i="2"/>
  <c r="BF41" i="2"/>
  <c r="BG41" i="2"/>
  <c r="BH41" i="2"/>
  <c r="BI41" i="2"/>
  <c r="BJ41" i="2"/>
  <c r="BK41" i="2"/>
  <c r="BL41" i="2"/>
  <c r="BM41" i="2"/>
  <c r="BN41" i="2"/>
  <c r="BO41" i="2"/>
  <c r="BP41" i="2"/>
  <c r="BQ41" i="2"/>
  <c r="BR41" i="2"/>
  <c r="BS41" i="2"/>
  <c r="CL41" i="2"/>
  <c r="AY42" i="2"/>
  <c r="AZ42" i="2"/>
  <c r="BA42" i="2"/>
  <c r="BB42" i="2"/>
  <c r="BC42" i="2"/>
  <c r="BD42" i="2"/>
  <c r="BE42" i="2"/>
  <c r="BF42" i="2"/>
  <c r="BG42" i="2"/>
  <c r="BH42" i="2"/>
  <c r="BI42" i="2"/>
  <c r="BJ42" i="2"/>
  <c r="BK42" i="2"/>
  <c r="BL42" i="2"/>
  <c r="BM42" i="2"/>
  <c r="BO42" i="2"/>
  <c r="BP42" i="2"/>
  <c r="BQ42" i="2"/>
  <c r="BS42" i="2"/>
  <c r="CL42" i="2"/>
  <c r="CO42" i="2"/>
  <c r="AY43" i="2"/>
  <c r="BA43" i="2"/>
  <c r="BB43" i="2"/>
  <c r="BC43" i="2"/>
  <c r="BE43" i="2"/>
  <c r="BG43" i="2"/>
  <c r="BI43" i="2"/>
  <c r="BK43" i="2"/>
  <c r="BL43" i="2"/>
  <c r="BM43" i="2"/>
  <c r="BO43" i="2"/>
  <c r="BQ43" i="2"/>
  <c r="BS43" i="2"/>
  <c r="AU45" i="2"/>
  <c r="AW45" i="2"/>
  <c r="AX45" i="2"/>
  <c r="AY45" i="2"/>
  <c r="AZ45" i="2"/>
  <c r="BA45" i="2"/>
  <c r="BB45" i="2"/>
  <c r="BC45" i="2"/>
  <c r="BE45" i="2"/>
  <c r="BG45" i="2"/>
  <c r="BH45" i="2"/>
  <c r="BI45" i="2"/>
  <c r="BJ45" i="2"/>
  <c r="BK45" i="2"/>
  <c r="BM45" i="2"/>
  <c r="BO45" i="2"/>
  <c r="BP45" i="2"/>
  <c r="BQ45" i="2"/>
  <c r="BR45" i="2"/>
  <c r="BS45" i="2"/>
  <c r="CO45" i="2"/>
  <c r="CQ45" i="2"/>
  <c r="AU46" i="2"/>
  <c r="AW46" i="2"/>
  <c r="AX46" i="2"/>
  <c r="AY46" i="2"/>
  <c r="AZ46" i="2"/>
  <c r="BA46" i="2"/>
  <c r="BB46" i="2"/>
  <c r="BC46" i="2"/>
  <c r="BE46" i="2"/>
  <c r="BG46" i="2"/>
  <c r="BH46" i="2"/>
  <c r="BI46" i="2"/>
  <c r="BJ46" i="2"/>
  <c r="BK46" i="2"/>
  <c r="BM46" i="2"/>
  <c r="BO46" i="2"/>
  <c r="BP46" i="2"/>
  <c r="BQ46" i="2"/>
  <c r="BR46" i="2"/>
  <c r="BS46" i="2"/>
  <c r="CO46" i="2"/>
  <c r="AU47" i="2"/>
  <c r="AW47" i="2"/>
  <c r="AX47" i="2"/>
  <c r="AY47" i="2"/>
  <c r="AZ47" i="2"/>
  <c r="BA47" i="2"/>
  <c r="BB47" i="2"/>
  <c r="BC47" i="2"/>
  <c r="BE47" i="2"/>
  <c r="BG47" i="2"/>
  <c r="BH47" i="2"/>
  <c r="BI47" i="2"/>
  <c r="BJ47" i="2"/>
  <c r="BK47" i="2"/>
  <c r="BM47" i="2"/>
  <c r="BO47" i="2"/>
  <c r="BP47" i="2"/>
  <c r="BQ47" i="2"/>
  <c r="BR47" i="2"/>
  <c r="BS47" i="2"/>
  <c r="CO47" i="2"/>
  <c r="CQ47" i="2"/>
  <c r="AU48" i="2"/>
  <c r="AW48" i="2"/>
  <c r="AX48" i="2"/>
  <c r="AY48" i="2"/>
  <c r="AZ48" i="2"/>
  <c r="BA48" i="2"/>
  <c r="BB48" i="2"/>
  <c r="BC48" i="2"/>
  <c r="BE48" i="2"/>
  <c r="BG48" i="2"/>
  <c r="BH48" i="2"/>
  <c r="BI48" i="2"/>
  <c r="BJ48" i="2"/>
  <c r="BK48" i="2"/>
  <c r="BM48" i="2"/>
  <c r="BO48" i="2"/>
  <c r="BP48" i="2"/>
  <c r="BQ48" i="2"/>
  <c r="BR48" i="2"/>
  <c r="BS48" i="2"/>
  <c r="CO48" i="2"/>
  <c r="CQ48" i="2"/>
  <c r="AU50" i="2"/>
  <c r="AW50" i="2"/>
  <c r="AX50" i="2"/>
  <c r="AY50" i="2"/>
  <c r="AZ50" i="2"/>
  <c r="BA50" i="2"/>
  <c r="BB50" i="2"/>
  <c r="BC50" i="2"/>
  <c r="BE50" i="2"/>
  <c r="BG50" i="2"/>
  <c r="BH50" i="2"/>
  <c r="BI50" i="2"/>
  <c r="BJ50" i="2"/>
  <c r="BK50" i="2"/>
  <c r="BM50" i="2"/>
  <c r="BO50" i="2"/>
  <c r="BP50" i="2"/>
  <c r="BQ50" i="2"/>
  <c r="BR50" i="2"/>
  <c r="BS50" i="2"/>
  <c r="CA50" i="2"/>
  <c r="CB50" i="2"/>
  <c r="CC50" i="2"/>
  <c r="CD50" i="2"/>
  <c r="CE50" i="2"/>
  <c r="CF50" i="2"/>
  <c r="CG50" i="2"/>
  <c r="CH50" i="2"/>
  <c r="CI50" i="2"/>
  <c r="CJ50" i="2"/>
  <c r="CK50" i="2"/>
  <c r="CM50" i="2"/>
  <c r="CO50" i="2"/>
  <c r="CQ50" i="2"/>
  <c r="AX51" i="2"/>
  <c r="BB51" i="2"/>
  <c r="BF51" i="2"/>
  <c r="BJ51" i="2"/>
  <c r="BN51" i="2"/>
  <c r="CA51" i="2"/>
  <c r="CB51" i="2"/>
  <c r="CC51" i="2"/>
  <c r="CD51" i="2"/>
  <c r="CE51" i="2"/>
  <c r="CF51" i="2"/>
  <c r="CG51" i="2"/>
  <c r="CH51" i="2"/>
  <c r="CI51" i="2"/>
  <c r="CJ51" i="2"/>
  <c r="CK51" i="2"/>
  <c r="CL51" i="2"/>
  <c r="CM51" i="2"/>
  <c r="CN51" i="2"/>
  <c r="CO51" i="2"/>
  <c r="CP51" i="2"/>
  <c r="CQ51" i="2"/>
  <c r="C52" i="2"/>
  <c r="D52" i="2"/>
  <c r="E52" i="2"/>
  <c r="F52" i="2"/>
  <c r="G52" i="2"/>
  <c r="H52" i="2"/>
  <c r="I52" i="2"/>
  <c r="CB52" i="2" s="1"/>
  <c r="CB74" i="2" s="1"/>
  <c r="J52" i="2"/>
  <c r="K52" i="2"/>
  <c r="L52" i="2"/>
  <c r="M52" i="2"/>
  <c r="N52" i="2"/>
  <c r="O52" i="2"/>
  <c r="P52" i="2"/>
  <c r="Q52" i="2"/>
  <c r="CD52" i="2" s="1"/>
  <c r="R52" i="2"/>
  <c r="S52" i="2"/>
  <c r="T52" i="2"/>
  <c r="U52" i="2"/>
  <c r="V52" i="2"/>
  <c r="W52" i="2"/>
  <c r="X52" i="2"/>
  <c r="Y52" i="2"/>
  <c r="CF52" i="2" s="1"/>
  <c r="Z52" i="2"/>
  <c r="AA52" i="2"/>
  <c r="AB52" i="2"/>
  <c r="AC52" i="2"/>
  <c r="AD52" i="2"/>
  <c r="AE52" i="2"/>
  <c r="AF52" i="2"/>
  <c r="AG52" i="2"/>
  <c r="CH52" i="2" s="1"/>
  <c r="AH52" i="2"/>
  <c r="AI52" i="2"/>
  <c r="AJ52" i="2"/>
  <c r="AK52" i="2"/>
  <c r="AL52" i="2"/>
  <c r="AM52" i="2"/>
  <c r="AN52" i="2"/>
  <c r="AO52" i="2"/>
  <c r="AP52" i="2"/>
  <c r="AQ52" i="2"/>
  <c r="AR52" i="2"/>
  <c r="AS52" i="2"/>
  <c r="AT52" i="2"/>
  <c r="AU52" i="2"/>
  <c r="AW52" i="2"/>
  <c r="AW62" i="2" s="1"/>
  <c r="AW65" i="2" s="1"/>
  <c r="AX52" i="2"/>
  <c r="AY52" i="2"/>
  <c r="AZ52" i="2"/>
  <c r="BA52" i="2"/>
  <c r="BB52" i="2"/>
  <c r="BC52" i="2"/>
  <c r="BG52" i="2"/>
  <c r="BH52" i="2"/>
  <c r="BI52" i="2"/>
  <c r="BJ52" i="2"/>
  <c r="BK52" i="2"/>
  <c r="BM52" i="2"/>
  <c r="BM62" i="2" s="1"/>
  <c r="BM65" i="2" s="1"/>
  <c r="BO52" i="2"/>
  <c r="BP52" i="2"/>
  <c r="BQ52" i="2"/>
  <c r="BR52" i="2"/>
  <c r="BS52" i="2"/>
  <c r="CA52" i="2"/>
  <c r="CC52" i="2"/>
  <c r="CE52" i="2"/>
  <c r="CG52" i="2"/>
  <c r="CI52" i="2"/>
  <c r="CJ52" i="2"/>
  <c r="CK52" i="2"/>
  <c r="CM52" i="2"/>
  <c r="CO52" i="2"/>
  <c r="CQ52" i="2"/>
  <c r="AX53" i="2"/>
  <c r="BB53" i="2"/>
  <c r="BF53" i="2"/>
  <c r="BJ53" i="2"/>
  <c r="BN53" i="2"/>
  <c r="CA53" i="2"/>
  <c r="CB53" i="2"/>
  <c r="CC53" i="2"/>
  <c r="CD53" i="2"/>
  <c r="CE53" i="2"/>
  <c r="CF53" i="2"/>
  <c r="CG53" i="2"/>
  <c r="CH53" i="2"/>
  <c r="CI53" i="2"/>
  <c r="CJ53" i="2"/>
  <c r="CK53" i="2"/>
  <c r="CL53" i="2"/>
  <c r="CM53" i="2"/>
  <c r="CN53" i="2"/>
  <c r="CO53" i="2"/>
  <c r="CP53" i="2"/>
  <c r="CQ53" i="2"/>
  <c r="AX54" i="2"/>
  <c r="BB54" i="2"/>
  <c r="BF54" i="2"/>
  <c r="BJ54" i="2"/>
  <c r="BN54" i="2"/>
  <c r="CA54" i="2"/>
  <c r="CB54" i="2"/>
  <c r="CC54" i="2"/>
  <c r="CD54" i="2"/>
  <c r="CE54" i="2"/>
  <c r="CF54" i="2"/>
  <c r="CG54" i="2"/>
  <c r="CH54" i="2"/>
  <c r="CI54" i="2"/>
  <c r="CJ54" i="2"/>
  <c r="CK54" i="2"/>
  <c r="CL54" i="2"/>
  <c r="CM54" i="2"/>
  <c r="CN54" i="2"/>
  <c r="CO54" i="2"/>
  <c r="CP54" i="2"/>
  <c r="CQ54" i="2"/>
  <c r="AX55" i="2"/>
  <c r="CL55" i="2" s="1"/>
  <c r="BB55" i="2"/>
  <c r="BF55" i="2"/>
  <c r="CN55" i="2" s="1"/>
  <c r="BJ55" i="2"/>
  <c r="BN55" i="2"/>
  <c r="CM55" i="2"/>
  <c r="CO55" i="2"/>
  <c r="CP55" i="2"/>
  <c r="CQ55" i="2"/>
  <c r="CR55" i="2" s="1"/>
  <c r="CS55" i="2" s="1"/>
  <c r="CT55" i="2" s="1"/>
  <c r="CU55" i="2" s="1"/>
  <c r="CV55" i="2" s="1"/>
  <c r="CW55" i="2" s="1"/>
  <c r="CX55" i="2" s="1"/>
  <c r="CY55" i="2" s="1"/>
  <c r="CZ55" i="2" s="1"/>
  <c r="DA55" i="2" s="1"/>
  <c r="AX56" i="2"/>
  <c r="CL56" i="2" s="1"/>
  <c r="BB56" i="2"/>
  <c r="BF56" i="2"/>
  <c r="BJ56" i="2"/>
  <c r="BN56" i="2"/>
  <c r="CN56" i="2"/>
  <c r="CO56" i="2"/>
  <c r="CP56" i="2"/>
  <c r="CQ56" i="2"/>
  <c r="CR56" i="2"/>
  <c r="CS56" i="2" s="1"/>
  <c r="CT56" i="2" s="1"/>
  <c r="CU56" i="2" s="1"/>
  <c r="CV56" i="2" s="1"/>
  <c r="CW56" i="2" s="1"/>
  <c r="CX56" i="2"/>
  <c r="CY56" i="2" s="1"/>
  <c r="CZ56" i="2" s="1"/>
  <c r="DA56" i="2" s="1"/>
  <c r="AX57" i="2"/>
  <c r="CL57" i="2" s="1"/>
  <c r="BB57" i="2"/>
  <c r="BF57" i="2"/>
  <c r="CN57" i="2" s="1"/>
  <c r="BJ57" i="2"/>
  <c r="BN57" i="2"/>
  <c r="CP57" i="2" s="1"/>
  <c r="CM57" i="2"/>
  <c r="CO57" i="2"/>
  <c r="CQ57" i="2"/>
  <c r="CR57" i="2"/>
  <c r="CS57" i="2"/>
  <c r="CT57" i="2" s="1"/>
  <c r="CU57" i="2" s="1"/>
  <c r="CV57" i="2" s="1"/>
  <c r="CW57" i="2" s="1"/>
  <c r="CX57" i="2" s="1"/>
  <c r="CY57" i="2" s="1"/>
  <c r="CZ57" i="2" s="1"/>
  <c r="DA57" i="2"/>
  <c r="AX58" i="2"/>
  <c r="BB58" i="2"/>
  <c r="BF58" i="2"/>
  <c r="BJ58" i="2"/>
  <c r="CO58" i="2" s="1"/>
  <c r="BN58" i="2"/>
  <c r="CL58" i="2"/>
  <c r="CM58" i="2"/>
  <c r="CN58" i="2"/>
  <c r="CP58" i="2"/>
  <c r="CQ58" i="2"/>
  <c r="AX59" i="2"/>
  <c r="CL59" i="2" s="1"/>
  <c r="BB59" i="2"/>
  <c r="BF59" i="2"/>
  <c r="CN59" i="2" s="1"/>
  <c r="BJ59" i="2"/>
  <c r="BN59" i="2"/>
  <c r="CP59" i="2" s="1"/>
  <c r="CM59" i="2"/>
  <c r="CO59" i="2"/>
  <c r="CQ59" i="2"/>
  <c r="AX60" i="2"/>
  <c r="BB60" i="2"/>
  <c r="CM60" i="2" s="1"/>
  <c r="BF60" i="2"/>
  <c r="BJ60" i="2"/>
  <c r="BN60" i="2"/>
  <c r="CL60" i="2"/>
  <c r="CN60" i="2"/>
  <c r="CO60" i="2"/>
  <c r="CP60" i="2"/>
  <c r="CQ60" i="2"/>
  <c r="AX61" i="2"/>
  <c r="BB61" i="2"/>
  <c r="BF61" i="2"/>
  <c r="CN61" i="2" s="1"/>
  <c r="BJ61" i="2"/>
  <c r="BN61" i="2"/>
  <c r="CP61" i="2" s="1"/>
  <c r="CL61" i="2"/>
  <c r="CM61" i="2"/>
  <c r="CO61" i="2"/>
  <c r="CQ61" i="2"/>
  <c r="AU62" i="2"/>
  <c r="AX62" i="2"/>
  <c r="AX65" i="2" s="1"/>
  <c r="AY62" i="2"/>
  <c r="AZ62" i="2"/>
  <c r="BA62" i="2"/>
  <c r="BC62" i="2"/>
  <c r="BG62" i="2"/>
  <c r="BH62" i="2"/>
  <c r="BI62" i="2"/>
  <c r="BJ62" i="2"/>
  <c r="BK62" i="2"/>
  <c r="BO62" i="2"/>
  <c r="BP62" i="2"/>
  <c r="BQ62" i="2"/>
  <c r="BR62" i="2"/>
  <c r="BS62" i="2"/>
  <c r="CA62" i="2"/>
  <c r="CB62" i="2"/>
  <c r="CC62" i="2"/>
  <c r="CD62" i="2"/>
  <c r="CE62" i="2"/>
  <c r="CF62" i="2"/>
  <c r="CG62" i="2"/>
  <c r="CH62" i="2"/>
  <c r="CI62" i="2"/>
  <c r="CJ62" i="2"/>
  <c r="CK62" i="2"/>
  <c r="CO62" i="2"/>
  <c r="CQ62" i="2"/>
  <c r="AX63" i="2"/>
  <c r="CL63" i="2" s="1"/>
  <c r="BB63" i="2"/>
  <c r="CM63" i="2" s="1"/>
  <c r="BF63" i="2"/>
  <c r="BJ63" i="2"/>
  <c r="BN63" i="2"/>
  <c r="CP63" i="2" s="1"/>
  <c r="CN63" i="2"/>
  <c r="CO63" i="2"/>
  <c r="CQ63" i="2"/>
  <c r="AX64" i="2"/>
  <c r="BB64" i="2"/>
  <c r="BF64" i="2"/>
  <c r="BJ64" i="2"/>
  <c r="BN64" i="2"/>
  <c r="CA64" i="2"/>
  <c r="CB64" i="2"/>
  <c r="CC64" i="2"/>
  <c r="CD64" i="2"/>
  <c r="CE64" i="2"/>
  <c r="CF64" i="2"/>
  <c r="CG64" i="2"/>
  <c r="CH64" i="2"/>
  <c r="CI64" i="2"/>
  <c r="CJ64" i="2"/>
  <c r="CK64" i="2"/>
  <c r="CL64" i="2"/>
  <c r="CM64" i="2"/>
  <c r="CN64" i="2"/>
  <c r="CO64" i="2"/>
  <c r="CP64" i="2"/>
  <c r="CQ64" i="2"/>
  <c r="C65" i="2"/>
  <c r="D65" i="2"/>
  <c r="E65" i="2"/>
  <c r="CA65" i="2" s="1"/>
  <c r="F65" i="2"/>
  <c r="G65" i="2"/>
  <c r="H65" i="2"/>
  <c r="I65" i="2"/>
  <c r="J65" i="2"/>
  <c r="K65" i="2"/>
  <c r="L65" i="2"/>
  <c r="M65" i="2"/>
  <c r="CC65" i="2" s="1"/>
  <c r="N65" i="2"/>
  <c r="O65" i="2"/>
  <c r="P65" i="2"/>
  <c r="Q65" i="2"/>
  <c r="R65" i="2"/>
  <c r="S65" i="2"/>
  <c r="T65" i="2"/>
  <c r="U65" i="2"/>
  <c r="CE65" i="2" s="1"/>
  <c r="V65" i="2"/>
  <c r="W65" i="2"/>
  <c r="X65" i="2"/>
  <c r="Y65" i="2"/>
  <c r="Z65" i="2"/>
  <c r="AA65" i="2"/>
  <c r="AB65" i="2"/>
  <c r="AC65" i="2"/>
  <c r="CG65" i="2" s="1"/>
  <c r="AD65" i="2"/>
  <c r="AE65" i="2"/>
  <c r="AF65" i="2"/>
  <c r="AG65" i="2"/>
  <c r="AH65" i="2"/>
  <c r="AI65" i="2"/>
  <c r="AJ65" i="2"/>
  <c r="AK65" i="2"/>
  <c r="CI65" i="2" s="1"/>
  <c r="AL65" i="2"/>
  <c r="AM65" i="2"/>
  <c r="AN65" i="2"/>
  <c r="AO65" i="2"/>
  <c r="AP65" i="2"/>
  <c r="AQ65" i="2"/>
  <c r="AR65" i="2"/>
  <c r="AS65" i="2"/>
  <c r="CK65" i="2" s="1"/>
  <c r="AT65" i="2"/>
  <c r="AU65" i="2"/>
  <c r="AY65" i="2"/>
  <c r="AZ65" i="2"/>
  <c r="BA65" i="2"/>
  <c r="BC65" i="2"/>
  <c r="BG65" i="2"/>
  <c r="BH65" i="2"/>
  <c r="BI65" i="2"/>
  <c r="BJ65" i="2"/>
  <c r="BK65" i="2"/>
  <c r="BO65" i="2"/>
  <c r="BP65" i="2"/>
  <c r="BQ65" i="2"/>
  <c r="CQ65" i="2" s="1"/>
  <c r="BR65" i="2"/>
  <c r="BS65" i="2"/>
  <c r="CB65" i="2"/>
  <c r="CD65" i="2"/>
  <c r="CF65" i="2"/>
  <c r="CH65" i="2"/>
  <c r="CJ65" i="2"/>
  <c r="CO65" i="2"/>
  <c r="AX66" i="2"/>
  <c r="BB66" i="2"/>
  <c r="BF66" i="2"/>
  <c r="BJ66" i="2"/>
  <c r="BN66" i="2"/>
  <c r="CA66" i="2"/>
  <c r="CA78" i="2" s="1"/>
  <c r="CB66" i="2"/>
  <c r="CC66" i="2"/>
  <c r="CD66" i="2"/>
  <c r="CE66" i="2"/>
  <c r="CF66" i="2"/>
  <c r="CG66" i="2"/>
  <c r="CH66" i="2"/>
  <c r="CI66" i="2"/>
  <c r="CI78" i="2" s="1"/>
  <c r="CJ66" i="2"/>
  <c r="CK66" i="2"/>
  <c r="CL66" i="2"/>
  <c r="CM66" i="2"/>
  <c r="CN66" i="2"/>
  <c r="CO66" i="2"/>
  <c r="CP66" i="2"/>
  <c r="CQ66" i="2"/>
  <c r="CQ78" i="2" s="1"/>
  <c r="C67" i="2"/>
  <c r="D67" i="2"/>
  <c r="E67" i="2"/>
  <c r="F67" i="2"/>
  <c r="G67" i="2"/>
  <c r="H67" i="2"/>
  <c r="I67" i="2"/>
  <c r="J67" i="2"/>
  <c r="K67" i="2"/>
  <c r="L67" i="2"/>
  <c r="M67" i="2"/>
  <c r="N67" i="2"/>
  <c r="O67" i="2"/>
  <c r="CD67" i="2" s="1"/>
  <c r="CD79" i="2" s="1"/>
  <c r="P67" i="2"/>
  <c r="Q67" i="2"/>
  <c r="R67" i="2"/>
  <c r="S67" i="2"/>
  <c r="T67" i="2"/>
  <c r="U67" i="2"/>
  <c r="V67" i="2"/>
  <c r="W67" i="2"/>
  <c r="CF67" i="2" s="1"/>
  <c r="CF79" i="2" s="1"/>
  <c r="X67" i="2"/>
  <c r="Y67" i="2"/>
  <c r="Z67" i="2"/>
  <c r="AA67" i="2"/>
  <c r="AB67" i="2"/>
  <c r="AD67" i="2"/>
  <c r="AE67" i="2"/>
  <c r="AF67" i="2"/>
  <c r="AG67" i="2"/>
  <c r="AH67" i="2"/>
  <c r="AI67" i="2"/>
  <c r="AJ67" i="2"/>
  <c r="AL67" i="2"/>
  <c r="AM67" i="2"/>
  <c r="AN67" i="2"/>
  <c r="AO67" i="2"/>
  <c r="AP67" i="2"/>
  <c r="AQ67" i="2"/>
  <c r="AR67" i="2"/>
  <c r="AT67" i="2"/>
  <c r="AU67" i="2"/>
  <c r="AW67" i="2"/>
  <c r="AX67" i="2"/>
  <c r="AY67" i="2"/>
  <c r="AZ67" i="2"/>
  <c r="BA67" i="2"/>
  <c r="BC67" i="2"/>
  <c r="BG67" i="2"/>
  <c r="BH67" i="2"/>
  <c r="BI67" i="2"/>
  <c r="BJ67" i="2"/>
  <c r="BK67" i="2"/>
  <c r="BM67" i="2"/>
  <c r="BO67" i="2"/>
  <c r="BP67" i="2"/>
  <c r="BR67" i="2"/>
  <c r="BS67" i="2"/>
  <c r="CA67" i="2"/>
  <c r="CA79" i="2" s="1"/>
  <c r="CC67" i="2"/>
  <c r="CE67" i="2"/>
  <c r="CO67" i="2"/>
  <c r="AX68" i="2"/>
  <c r="BB68" i="2"/>
  <c r="BF68" i="2"/>
  <c r="BJ68" i="2"/>
  <c r="BN68" i="2"/>
  <c r="CP68" i="2" s="1"/>
  <c r="CL68" i="2"/>
  <c r="CM68" i="2"/>
  <c r="CN68" i="2"/>
  <c r="CO68" i="2"/>
  <c r="CQ68" i="2"/>
  <c r="BN69" i="2"/>
  <c r="CL69" i="2"/>
  <c r="CM69" i="2"/>
  <c r="CN69" i="2"/>
  <c r="CO69" i="2"/>
  <c r="CP69" i="2"/>
  <c r="CQ69" i="2"/>
  <c r="C70" i="2"/>
  <c r="D70" i="2"/>
  <c r="E70" i="2"/>
  <c r="F70" i="2"/>
  <c r="F72" i="2" s="1"/>
  <c r="G70" i="2"/>
  <c r="I70" i="2"/>
  <c r="J70" i="2"/>
  <c r="K70" i="2"/>
  <c r="L70" i="2"/>
  <c r="M70" i="2"/>
  <c r="N70" i="2"/>
  <c r="N72" i="2" s="1"/>
  <c r="O70" i="2"/>
  <c r="Q70" i="2"/>
  <c r="R70" i="2"/>
  <c r="S70" i="2"/>
  <c r="T70" i="2"/>
  <c r="U70" i="2"/>
  <c r="V70" i="2"/>
  <c r="V72" i="2" s="1"/>
  <c r="W70" i="2"/>
  <c r="Y70" i="2"/>
  <c r="Z70" i="2"/>
  <c r="AA70" i="2"/>
  <c r="AB70" i="2"/>
  <c r="AD70" i="2"/>
  <c r="AD72" i="2" s="1"/>
  <c r="AE70" i="2"/>
  <c r="AG70" i="2"/>
  <c r="AH70" i="2"/>
  <c r="AI70" i="2"/>
  <c r="AJ70" i="2"/>
  <c r="AL70" i="2"/>
  <c r="AM70" i="2"/>
  <c r="AO70" i="2"/>
  <c r="AP70" i="2"/>
  <c r="AQ70" i="2"/>
  <c r="AR70" i="2"/>
  <c r="AT70" i="2"/>
  <c r="AU70" i="2"/>
  <c r="AW70" i="2"/>
  <c r="AX70" i="2"/>
  <c r="AY70" i="2"/>
  <c r="AZ70" i="2"/>
  <c r="BA70" i="2"/>
  <c r="BC70" i="2"/>
  <c r="BG70" i="2"/>
  <c r="BH70" i="2"/>
  <c r="BI70" i="2"/>
  <c r="BJ70" i="2"/>
  <c r="CO70" i="2" s="1"/>
  <c r="BK70" i="2"/>
  <c r="BM70" i="2"/>
  <c r="BO70" i="2"/>
  <c r="BP70" i="2"/>
  <c r="BR70" i="2"/>
  <c r="BS70" i="2"/>
  <c r="CF70" i="2"/>
  <c r="CA71" i="2"/>
  <c r="CB71" i="2"/>
  <c r="CC71" i="2"/>
  <c r="CD71" i="2"/>
  <c r="CE71" i="2"/>
  <c r="CF71" i="2"/>
  <c r="CG71" i="2"/>
  <c r="CH71" i="2"/>
  <c r="CI71" i="2"/>
  <c r="CJ71" i="2"/>
  <c r="CK71" i="2"/>
  <c r="CL71" i="2"/>
  <c r="CM71" i="2"/>
  <c r="CN71" i="2"/>
  <c r="CO71" i="2"/>
  <c r="CP71" i="2"/>
  <c r="CQ71" i="2"/>
  <c r="C72" i="2"/>
  <c r="D72" i="2"/>
  <c r="E72" i="2"/>
  <c r="G72" i="2"/>
  <c r="I72" i="2"/>
  <c r="J72" i="2"/>
  <c r="K72" i="2"/>
  <c r="L72" i="2"/>
  <c r="M72" i="2"/>
  <c r="O72" i="2"/>
  <c r="Q72" i="2"/>
  <c r="R72" i="2"/>
  <c r="S72" i="2"/>
  <c r="T72" i="2"/>
  <c r="U72" i="2"/>
  <c r="W72" i="2"/>
  <c r="Y72" i="2"/>
  <c r="Z72" i="2"/>
  <c r="AA72" i="2"/>
  <c r="AB72" i="2"/>
  <c r="AE72" i="2"/>
  <c r="AG72" i="2"/>
  <c r="AH72" i="2"/>
  <c r="AI72" i="2"/>
  <c r="AJ72" i="2"/>
  <c r="AM72" i="2"/>
  <c r="AO72" i="2"/>
  <c r="AP72" i="2"/>
  <c r="AQ72" i="2"/>
  <c r="AR72" i="2"/>
  <c r="AU72" i="2"/>
  <c r="AW72" i="2"/>
  <c r="AX72" i="2"/>
  <c r="AY72" i="2"/>
  <c r="AZ72" i="2"/>
  <c r="BA72" i="2"/>
  <c r="BC72" i="2"/>
  <c r="BG72" i="2"/>
  <c r="BH72" i="2"/>
  <c r="BI72" i="2"/>
  <c r="BK72" i="2"/>
  <c r="BM72" i="2"/>
  <c r="BO72" i="2"/>
  <c r="BP72" i="2"/>
  <c r="BS72" i="2"/>
  <c r="C74" i="2"/>
  <c r="D74" i="2"/>
  <c r="E74" i="2"/>
  <c r="F74" i="2"/>
  <c r="G74" i="2"/>
  <c r="H74" i="2"/>
  <c r="I74" i="2"/>
  <c r="J74" i="2"/>
  <c r="K74" i="2"/>
  <c r="L74" i="2"/>
  <c r="M74" i="2"/>
  <c r="N74" i="2"/>
  <c r="O74" i="2"/>
  <c r="P74" i="2"/>
  <c r="Q74" i="2"/>
  <c r="R74" i="2"/>
  <c r="S74" i="2"/>
  <c r="T74" i="2"/>
  <c r="U74" i="2"/>
  <c r="V74" i="2"/>
  <c r="W74" i="2"/>
  <c r="X74" i="2"/>
  <c r="Y74" i="2"/>
  <c r="Z74" i="2"/>
  <c r="AA74" i="2"/>
  <c r="AB74" i="2"/>
  <c r="AC74" i="2"/>
  <c r="AD74" i="2"/>
  <c r="AE74" i="2"/>
  <c r="AF74" i="2"/>
  <c r="AG74" i="2"/>
  <c r="AH74" i="2"/>
  <c r="AI74" i="2"/>
  <c r="AJ74" i="2"/>
  <c r="AK74" i="2"/>
  <c r="AL74" i="2"/>
  <c r="AM74" i="2"/>
  <c r="AN74" i="2"/>
  <c r="AO74" i="2"/>
  <c r="AP74" i="2"/>
  <c r="AQ74" i="2"/>
  <c r="AR74" i="2"/>
  <c r="AS74" i="2"/>
  <c r="AT74" i="2"/>
  <c r="AU74" i="2"/>
  <c r="AW74" i="2"/>
  <c r="AX74" i="2"/>
  <c r="AY74" i="2"/>
  <c r="AZ74" i="2"/>
  <c r="BA74" i="2"/>
  <c r="BB74" i="2"/>
  <c r="BC74" i="2"/>
  <c r="BG74" i="2"/>
  <c r="BH74" i="2"/>
  <c r="BI74" i="2"/>
  <c r="BJ74" i="2"/>
  <c r="BK74" i="2"/>
  <c r="BM74" i="2"/>
  <c r="BO74" i="2"/>
  <c r="BP74" i="2"/>
  <c r="BQ74" i="2"/>
  <c r="BR74" i="2"/>
  <c r="BS74" i="2"/>
  <c r="CA74" i="2"/>
  <c r="CC74" i="2"/>
  <c r="CD74" i="2"/>
  <c r="CE74" i="2"/>
  <c r="CF74" i="2"/>
  <c r="CG74" i="2"/>
  <c r="CH74" i="2"/>
  <c r="CI74" i="2"/>
  <c r="CJ74" i="2"/>
  <c r="CK74" i="2"/>
  <c r="CM74" i="2"/>
  <c r="CO74" i="2"/>
  <c r="CQ74" i="2"/>
  <c r="C75" i="2"/>
  <c r="D75" i="2"/>
  <c r="E75" i="2"/>
  <c r="F75" i="2"/>
  <c r="G75" i="2"/>
  <c r="H75" i="2"/>
  <c r="I75" i="2"/>
  <c r="J75" i="2"/>
  <c r="K75" i="2"/>
  <c r="L75" i="2"/>
  <c r="M75" i="2"/>
  <c r="N75" i="2"/>
  <c r="O75" i="2"/>
  <c r="P75" i="2"/>
  <c r="Q75" i="2"/>
  <c r="R75" i="2"/>
  <c r="S75" i="2"/>
  <c r="T75" i="2"/>
  <c r="U75" i="2"/>
  <c r="V75" i="2"/>
  <c r="W75" i="2"/>
  <c r="X75" i="2"/>
  <c r="Y75" i="2"/>
  <c r="Z75" i="2"/>
  <c r="AA75" i="2"/>
  <c r="AB75" i="2"/>
  <c r="AC75" i="2"/>
  <c r="AD75" i="2"/>
  <c r="AE75" i="2"/>
  <c r="AF75" i="2"/>
  <c r="AG75" i="2"/>
  <c r="AH75" i="2"/>
  <c r="AI75" i="2"/>
  <c r="AJ75" i="2"/>
  <c r="AK75" i="2"/>
  <c r="AL75" i="2"/>
  <c r="AM75" i="2"/>
  <c r="AN75" i="2"/>
  <c r="AO75" i="2"/>
  <c r="AP75" i="2"/>
  <c r="AQ75" i="2"/>
  <c r="AR75" i="2"/>
  <c r="AS75" i="2"/>
  <c r="AT75" i="2"/>
  <c r="AU75" i="2"/>
  <c r="AW75" i="2"/>
  <c r="AX75" i="2"/>
  <c r="AY75" i="2"/>
  <c r="AZ75" i="2"/>
  <c r="BA75" i="2"/>
  <c r="BB75" i="2"/>
  <c r="BC75" i="2"/>
  <c r="BE75" i="2"/>
  <c r="BG75" i="2"/>
  <c r="BH75" i="2"/>
  <c r="BI75" i="2"/>
  <c r="BJ75" i="2"/>
  <c r="BK75" i="2"/>
  <c r="BM75" i="2"/>
  <c r="BO75" i="2"/>
  <c r="BP75" i="2"/>
  <c r="BQ75" i="2"/>
  <c r="BR75" i="2"/>
  <c r="BS75" i="2"/>
  <c r="CA75" i="2"/>
  <c r="CB75" i="2"/>
  <c r="CC75" i="2"/>
  <c r="CD75" i="2"/>
  <c r="CE75" i="2"/>
  <c r="CF75" i="2"/>
  <c r="CG75" i="2"/>
  <c r="CH75" i="2"/>
  <c r="CI75" i="2"/>
  <c r="CJ75" i="2"/>
  <c r="CK75" i="2"/>
  <c r="CM75" i="2"/>
  <c r="CO75" i="2"/>
  <c r="CQ75" i="2"/>
  <c r="C76" i="2"/>
  <c r="D76" i="2"/>
  <c r="E76" i="2"/>
  <c r="F76" i="2"/>
  <c r="G76" i="2"/>
  <c r="H76" i="2"/>
  <c r="I76" i="2"/>
  <c r="J76" i="2"/>
  <c r="K76" i="2"/>
  <c r="L76" i="2"/>
  <c r="M76" i="2"/>
  <c r="N76" i="2"/>
  <c r="O76" i="2"/>
  <c r="P76" i="2"/>
  <c r="Q76" i="2"/>
  <c r="R76" i="2"/>
  <c r="S76" i="2"/>
  <c r="T76" i="2"/>
  <c r="U76" i="2"/>
  <c r="V76" i="2"/>
  <c r="W76" i="2"/>
  <c r="X76" i="2"/>
  <c r="Y76" i="2"/>
  <c r="Z76" i="2"/>
  <c r="AA76" i="2"/>
  <c r="AB76" i="2"/>
  <c r="AC76" i="2"/>
  <c r="AD76" i="2"/>
  <c r="AE76" i="2"/>
  <c r="AF76" i="2"/>
  <c r="AG76" i="2"/>
  <c r="AH76" i="2"/>
  <c r="AI76" i="2"/>
  <c r="AJ76" i="2"/>
  <c r="AK76" i="2"/>
  <c r="AL76" i="2"/>
  <c r="AM76" i="2"/>
  <c r="AN76" i="2"/>
  <c r="AO76" i="2"/>
  <c r="AP76" i="2"/>
  <c r="AQ76" i="2"/>
  <c r="AR76" i="2"/>
  <c r="AS76" i="2"/>
  <c r="AT76" i="2"/>
  <c r="AU76" i="2"/>
  <c r="AW76" i="2"/>
  <c r="AX76" i="2"/>
  <c r="AY76" i="2"/>
  <c r="AZ76" i="2"/>
  <c r="BA76" i="2"/>
  <c r="BB76" i="2"/>
  <c r="BC76" i="2"/>
  <c r="BG76" i="2"/>
  <c r="BH76" i="2"/>
  <c r="BI76" i="2"/>
  <c r="BJ76" i="2"/>
  <c r="BK76" i="2"/>
  <c r="BM76" i="2"/>
  <c r="BO76" i="2"/>
  <c r="BP76" i="2"/>
  <c r="BQ76" i="2"/>
  <c r="BR76" i="2"/>
  <c r="BS76" i="2"/>
  <c r="CA76" i="2"/>
  <c r="CB76" i="2"/>
  <c r="CC76" i="2"/>
  <c r="CD76" i="2"/>
  <c r="CE76" i="2"/>
  <c r="CF76" i="2"/>
  <c r="CG76" i="2"/>
  <c r="CH76" i="2"/>
  <c r="CI76" i="2"/>
  <c r="CJ76" i="2"/>
  <c r="CK76" i="2"/>
  <c r="CM76" i="2"/>
  <c r="CO76" i="2"/>
  <c r="CQ76" i="2"/>
  <c r="C77" i="2"/>
  <c r="D77" i="2"/>
  <c r="E77" i="2"/>
  <c r="F77" i="2"/>
  <c r="G77" i="2"/>
  <c r="H77" i="2"/>
  <c r="I77" i="2"/>
  <c r="J77" i="2"/>
  <c r="K77" i="2"/>
  <c r="L77" i="2"/>
  <c r="M77" i="2"/>
  <c r="N77" i="2"/>
  <c r="O77" i="2"/>
  <c r="P77" i="2"/>
  <c r="Q77" i="2"/>
  <c r="R77" i="2"/>
  <c r="S77" i="2"/>
  <c r="T77" i="2"/>
  <c r="U77" i="2"/>
  <c r="V77" i="2"/>
  <c r="W77" i="2"/>
  <c r="X77" i="2"/>
  <c r="Y77" i="2"/>
  <c r="Z77" i="2"/>
  <c r="AA77" i="2"/>
  <c r="AB77" i="2"/>
  <c r="AC77" i="2"/>
  <c r="AD77" i="2"/>
  <c r="AE77" i="2"/>
  <c r="AF77" i="2"/>
  <c r="AG77" i="2"/>
  <c r="AH77" i="2"/>
  <c r="AI77" i="2"/>
  <c r="AJ77" i="2"/>
  <c r="AK77" i="2"/>
  <c r="AL77" i="2"/>
  <c r="AM77" i="2"/>
  <c r="AN77" i="2"/>
  <c r="AO77" i="2"/>
  <c r="AP77" i="2"/>
  <c r="AQ77" i="2"/>
  <c r="AR77" i="2"/>
  <c r="AS77" i="2"/>
  <c r="AT77" i="2"/>
  <c r="AU77" i="2"/>
  <c r="AW77" i="2"/>
  <c r="AX77" i="2"/>
  <c r="AY77" i="2"/>
  <c r="AZ77" i="2"/>
  <c r="BA77" i="2"/>
  <c r="BC77" i="2"/>
  <c r="BG77" i="2"/>
  <c r="BH77" i="2"/>
  <c r="BI77" i="2"/>
  <c r="BJ77" i="2"/>
  <c r="BK77" i="2"/>
  <c r="BM77" i="2"/>
  <c r="BO77" i="2"/>
  <c r="BP77" i="2"/>
  <c r="BQ77" i="2"/>
  <c r="BR77" i="2"/>
  <c r="BS77" i="2"/>
  <c r="CA77" i="2"/>
  <c r="CB77" i="2"/>
  <c r="CC77" i="2"/>
  <c r="CD77" i="2"/>
  <c r="CE77" i="2"/>
  <c r="CF77" i="2"/>
  <c r="CG77" i="2"/>
  <c r="CH77" i="2"/>
  <c r="CI77" i="2"/>
  <c r="CJ77" i="2"/>
  <c r="CK77" i="2"/>
  <c r="CO77" i="2"/>
  <c r="CQ77" i="2"/>
  <c r="C78" i="2"/>
  <c r="D78" i="2"/>
  <c r="E78" i="2"/>
  <c r="F78" i="2"/>
  <c r="G78" i="2"/>
  <c r="H78" i="2"/>
  <c r="I78" i="2"/>
  <c r="J78" i="2"/>
  <c r="K78" i="2"/>
  <c r="L78" i="2"/>
  <c r="M78" i="2"/>
  <c r="N78" i="2"/>
  <c r="O78" i="2"/>
  <c r="P78" i="2"/>
  <c r="Q78" i="2"/>
  <c r="R78" i="2"/>
  <c r="S78" i="2"/>
  <c r="T78" i="2"/>
  <c r="U78" i="2"/>
  <c r="V78" i="2"/>
  <c r="W78" i="2"/>
  <c r="X78" i="2"/>
  <c r="Y78" i="2"/>
  <c r="Z78" i="2"/>
  <c r="AA78" i="2"/>
  <c r="AB78" i="2"/>
  <c r="AC78" i="2"/>
  <c r="AD78" i="2"/>
  <c r="AE78" i="2"/>
  <c r="AF78" i="2"/>
  <c r="AG78" i="2"/>
  <c r="AH78" i="2"/>
  <c r="AI78" i="2"/>
  <c r="AJ78" i="2"/>
  <c r="AK78" i="2"/>
  <c r="AL78" i="2"/>
  <c r="AM78" i="2"/>
  <c r="AN78" i="2"/>
  <c r="AO78" i="2"/>
  <c r="AP78" i="2"/>
  <c r="AQ78" i="2"/>
  <c r="AR78" i="2"/>
  <c r="AS78" i="2"/>
  <c r="AT78" i="2"/>
  <c r="AU78" i="2"/>
  <c r="AW78" i="2"/>
  <c r="AX78" i="2"/>
  <c r="AY78" i="2"/>
  <c r="AZ78" i="2"/>
  <c r="BA78" i="2"/>
  <c r="BC78" i="2"/>
  <c r="BG78" i="2"/>
  <c r="BH78" i="2"/>
  <c r="BI78" i="2"/>
  <c r="BJ78" i="2"/>
  <c r="BK78" i="2"/>
  <c r="BM78" i="2"/>
  <c r="BO78" i="2"/>
  <c r="BP78" i="2"/>
  <c r="BQ78" i="2"/>
  <c r="BR78" i="2"/>
  <c r="BS78" i="2"/>
  <c r="CB78" i="2"/>
  <c r="CC78" i="2"/>
  <c r="CD78" i="2"/>
  <c r="CE78" i="2"/>
  <c r="CF78" i="2"/>
  <c r="CG78" i="2"/>
  <c r="CH78" i="2"/>
  <c r="CJ78" i="2"/>
  <c r="CK78" i="2"/>
  <c r="CO78" i="2"/>
  <c r="C79" i="2"/>
  <c r="D79" i="2"/>
  <c r="E79" i="2"/>
  <c r="F79" i="2"/>
  <c r="G79" i="2"/>
  <c r="I79" i="2"/>
  <c r="J79" i="2"/>
  <c r="K79" i="2"/>
  <c r="L79" i="2"/>
  <c r="M79" i="2"/>
  <c r="N79" i="2"/>
  <c r="O79" i="2"/>
  <c r="Q79" i="2"/>
  <c r="R79" i="2"/>
  <c r="S79" i="2"/>
  <c r="T79" i="2"/>
  <c r="U79" i="2"/>
  <c r="V79" i="2"/>
  <c r="W79" i="2"/>
  <c r="Y79" i="2"/>
  <c r="Z79" i="2"/>
  <c r="AA79" i="2"/>
  <c r="AB79" i="2"/>
  <c r="AD79" i="2"/>
  <c r="AE79" i="2"/>
  <c r="AG79" i="2"/>
  <c r="AH79" i="2"/>
  <c r="AI79" i="2"/>
  <c r="AJ79" i="2"/>
  <c r="AL79" i="2"/>
  <c r="AM79" i="2"/>
  <c r="AO79" i="2"/>
  <c r="AP79" i="2"/>
  <c r="AQ79" i="2"/>
  <c r="AR79" i="2"/>
  <c r="AT79" i="2"/>
  <c r="AU79" i="2"/>
  <c r="AW79" i="2"/>
  <c r="AX79" i="2"/>
  <c r="AY79" i="2"/>
  <c r="AZ79" i="2"/>
  <c r="BA79" i="2"/>
  <c r="BC79" i="2"/>
  <c r="BG79" i="2"/>
  <c r="BH79" i="2"/>
  <c r="BI79" i="2"/>
  <c r="BJ79" i="2"/>
  <c r="BK79" i="2"/>
  <c r="BM79" i="2"/>
  <c r="BO79" i="2"/>
  <c r="BP79" i="2"/>
  <c r="BR79" i="2"/>
  <c r="BS79" i="2"/>
  <c r="CC79" i="2"/>
  <c r="CE79" i="2"/>
  <c r="CO79" i="2"/>
  <c r="CL81" i="2"/>
  <c r="CM81" i="2"/>
  <c r="CN81" i="2"/>
  <c r="CO81" i="2"/>
  <c r="CP81" i="2"/>
  <c r="CQ81" i="2"/>
  <c r="CR64" i="2" s="1"/>
  <c r="CL82" i="2"/>
  <c r="CM82" i="2"/>
  <c r="CN82" i="2"/>
  <c r="CO82" i="2"/>
  <c r="CP82" i="2"/>
  <c r="CQ82" i="2"/>
  <c r="CL83" i="2"/>
  <c r="CM83" i="2"/>
  <c r="CN83" i="2"/>
  <c r="CO83" i="2"/>
  <c r="CP83" i="2"/>
  <c r="CQ83" i="2"/>
  <c r="CL84" i="2"/>
  <c r="CM84" i="2"/>
  <c r="CN84" i="2"/>
  <c r="CO84" i="2"/>
  <c r="CO113" i="2" s="1"/>
  <c r="CP84" i="2"/>
  <c r="CQ84" i="2"/>
  <c r="DD83" i="2" s="1"/>
  <c r="CL85" i="2"/>
  <c r="CQ85" i="2"/>
  <c r="DK85" i="2"/>
  <c r="CL86" i="2"/>
  <c r="CM86" i="2"/>
  <c r="CN86" i="2"/>
  <c r="CO86" i="2"/>
  <c r="CP86" i="2"/>
  <c r="CQ86" i="2"/>
  <c r="CL87" i="2"/>
  <c r="CM87" i="2"/>
  <c r="CN87" i="2"/>
  <c r="CO87" i="2"/>
  <c r="CP87" i="2"/>
  <c r="CQ87" i="2"/>
  <c r="CL88" i="2"/>
  <c r="CM88" i="2"/>
  <c r="CN88" i="2"/>
  <c r="CO88" i="2"/>
  <c r="CP88" i="2"/>
  <c r="CQ88" i="2"/>
  <c r="CL89" i="2"/>
  <c r="CM89" i="2"/>
  <c r="CN89" i="2"/>
  <c r="CO89" i="2"/>
  <c r="CP89" i="2"/>
  <c r="CQ89" i="2"/>
  <c r="DK89" i="2"/>
  <c r="CL90" i="2"/>
  <c r="CM90" i="2"/>
  <c r="CN90" i="2"/>
  <c r="CO90" i="2"/>
  <c r="CP90" i="2"/>
  <c r="CQ90" i="2"/>
  <c r="CL91" i="2"/>
  <c r="CM91" i="2"/>
  <c r="CN91" i="2"/>
  <c r="CO91" i="2"/>
  <c r="CP91" i="2"/>
  <c r="CQ91" i="2"/>
  <c r="DK91" i="2"/>
  <c r="AX92" i="2"/>
  <c r="AY92" i="2"/>
  <c r="AZ92" i="2"/>
  <c r="BA92" i="2"/>
  <c r="BB92" i="2"/>
  <c r="BC92" i="2"/>
  <c r="BD92" i="2"/>
  <c r="BE92" i="2"/>
  <c r="BF92" i="2"/>
  <c r="BG92" i="2"/>
  <c r="BH92" i="2"/>
  <c r="BI92" i="2"/>
  <c r="BJ92" i="2"/>
  <c r="BK92" i="2"/>
  <c r="BL92" i="2"/>
  <c r="BM92" i="2"/>
  <c r="BN92" i="2"/>
  <c r="BO92" i="2"/>
  <c r="BP92" i="2"/>
  <c r="BQ92" i="2"/>
  <c r="BQ117" i="2" s="1"/>
  <c r="BR92" i="2"/>
  <c r="BS92" i="2"/>
  <c r="CL92" i="2"/>
  <c r="CM92" i="2"/>
  <c r="CN92" i="2"/>
  <c r="CO92" i="2"/>
  <c r="CP92" i="2"/>
  <c r="CQ92" i="2"/>
  <c r="CQ117" i="2" s="1"/>
  <c r="DF93" i="2"/>
  <c r="CL94" i="2"/>
  <c r="CM94" i="2"/>
  <c r="CN94" i="2"/>
  <c r="CO94" i="2"/>
  <c r="CP94" i="2"/>
  <c r="CQ94" i="2"/>
  <c r="CL95" i="2"/>
  <c r="CM95" i="2"/>
  <c r="CN95" i="2"/>
  <c r="CO95" i="2"/>
  <c r="CP95" i="2"/>
  <c r="CQ95" i="2"/>
  <c r="DF95" i="2"/>
  <c r="CL96" i="2"/>
  <c r="CM96" i="2"/>
  <c r="CN96" i="2"/>
  <c r="CO96" i="2"/>
  <c r="CP96" i="2"/>
  <c r="CQ96" i="2"/>
  <c r="CL97" i="2"/>
  <c r="CM97" i="2"/>
  <c r="CN97" i="2"/>
  <c r="CO97" i="2"/>
  <c r="CP97" i="2"/>
  <c r="CQ97" i="2"/>
  <c r="CL98" i="2"/>
  <c r="CM98" i="2"/>
  <c r="CN98" i="2"/>
  <c r="CO98" i="2"/>
  <c r="CP98" i="2"/>
  <c r="CQ98" i="2"/>
  <c r="CR63" i="2" s="1"/>
  <c r="CL99" i="2"/>
  <c r="CM99" i="2"/>
  <c r="CN99" i="2"/>
  <c r="CO99" i="2"/>
  <c r="CP99" i="2"/>
  <c r="CQ99" i="2"/>
  <c r="CL100" i="2"/>
  <c r="CM100" i="2"/>
  <c r="CN100" i="2"/>
  <c r="CO100" i="2"/>
  <c r="CP100" i="2"/>
  <c r="CQ100" i="2"/>
  <c r="DF100" i="2"/>
  <c r="AX101" i="2"/>
  <c r="AY101" i="2"/>
  <c r="AZ101" i="2"/>
  <c r="BA101" i="2"/>
  <c r="BB101" i="2"/>
  <c r="BB103" i="2" s="1"/>
  <c r="BC101" i="2"/>
  <c r="BD101" i="2"/>
  <c r="BD103" i="2" s="1"/>
  <c r="BE101" i="2"/>
  <c r="BF101" i="2"/>
  <c r="BG101" i="2"/>
  <c r="BH101" i="2"/>
  <c r="BI101" i="2"/>
  <c r="BJ101" i="2"/>
  <c r="BJ103" i="2" s="1"/>
  <c r="BK101" i="2"/>
  <c r="BL101" i="2"/>
  <c r="BL103" i="2" s="1"/>
  <c r="BM101" i="2"/>
  <c r="BN101" i="2"/>
  <c r="BO101" i="2"/>
  <c r="BP101" i="2"/>
  <c r="BQ101" i="2"/>
  <c r="BR101" i="2"/>
  <c r="BR103" i="2" s="1"/>
  <c r="BS101" i="2"/>
  <c r="CL101" i="2"/>
  <c r="CQ101" i="2"/>
  <c r="CL102" i="2"/>
  <c r="CM102" i="2"/>
  <c r="CN102" i="2"/>
  <c r="CO102" i="2"/>
  <c r="CP102" i="2"/>
  <c r="CQ102" i="2"/>
  <c r="AX103" i="2"/>
  <c r="AY103" i="2"/>
  <c r="AZ103" i="2"/>
  <c r="BA103" i="2"/>
  <c r="BC103" i="2"/>
  <c r="BE103" i="2"/>
  <c r="BF103" i="2"/>
  <c r="BG103" i="2"/>
  <c r="BH103" i="2"/>
  <c r="BI103" i="2"/>
  <c r="BK103" i="2"/>
  <c r="BM103" i="2"/>
  <c r="BN103" i="2"/>
  <c r="BO103" i="2"/>
  <c r="BP103" i="2"/>
  <c r="BQ103" i="2"/>
  <c r="BS103" i="2"/>
  <c r="CQ103" i="2"/>
  <c r="AX113" i="2"/>
  <c r="AY113" i="2"/>
  <c r="AZ113" i="2"/>
  <c r="BA113" i="2"/>
  <c r="BB113" i="2"/>
  <c r="BC113" i="2"/>
  <c r="BD113" i="2"/>
  <c r="BE113" i="2"/>
  <c r="BF113" i="2"/>
  <c r="BG113" i="2"/>
  <c r="BH113" i="2"/>
  <c r="BI113" i="2"/>
  <c r="BJ113" i="2"/>
  <c r="BK113" i="2"/>
  <c r="BL113" i="2"/>
  <c r="BM113" i="2"/>
  <c r="BN113" i="2"/>
  <c r="BO113" i="2"/>
  <c r="BP113" i="2"/>
  <c r="BQ113" i="2"/>
  <c r="BR113" i="2"/>
  <c r="BS113" i="2"/>
  <c r="CM113" i="2"/>
  <c r="AX114" i="2"/>
  <c r="AY114" i="2"/>
  <c r="AZ114" i="2"/>
  <c r="BA114" i="2"/>
  <c r="BB114" i="2"/>
  <c r="BC114" i="2"/>
  <c r="BD114" i="2"/>
  <c r="BE114" i="2"/>
  <c r="BF114" i="2"/>
  <c r="BG114" i="2"/>
  <c r="BH114" i="2"/>
  <c r="BI114" i="2"/>
  <c r="BJ114" i="2"/>
  <c r="BK114" i="2"/>
  <c r="BL114" i="2"/>
  <c r="BM114" i="2"/>
  <c r="BN114" i="2"/>
  <c r="BO114" i="2"/>
  <c r="BP114" i="2"/>
  <c r="BQ114" i="2"/>
  <c r="BR114" i="2"/>
  <c r="BS114" i="2"/>
  <c r="CO114" i="2"/>
  <c r="AX115" i="2"/>
  <c r="AY115" i="2"/>
  <c r="AZ115" i="2"/>
  <c r="BA115" i="2"/>
  <c r="BB115" i="2"/>
  <c r="BC115" i="2"/>
  <c r="BD115" i="2"/>
  <c r="BE115" i="2"/>
  <c r="BF115" i="2"/>
  <c r="BG115" i="2"/>
  <c r="BH115" i="2"/>
  <c r="BI115" i="2"/>
  <c r="BJ115" i="2"/>
  <c r="BK115" i="2"/>
  <c r="BL115" i="2"/>
  <c r="BM115" i="2"/>
  <c r="BN115" i="2"/>
  <c r="BO115" i="2"/>
  <c r="BP115" i="2"/>
  <c r="BQ115" i="2"/>
  <c r="BR115" i="2"/>
  <c r="BS115" i="2"/>
  <c r="CL115" i="2"/>
  <c r="CM115" i="2"/>
  <c r="CO115" i="2"/>
  <c r="AX116" i="2"/>
  <c r="AY116" i="2"/>
  <c r="AZ116" i="2"/>
  <c r="BA116" i="2"/>
  <c r="BB116" i="2"/>
  <c r="BC116" i="2"/>
  <c r="BG116" i="2"/>
  <c r="BH116" i="2"/>
  <c r="BI116" i="2"/>
  <c r="BJ116" i="2"/>
  <c r="BK116" i="2"/>
  <c r="BM116" i="2"/>
  <c r="BO116" i="2"/>
  <c r="BP116" i="2"/>
  <c r="BQ116" i="2"/>
  <c r="BR116" i="2"/>
  <c r="BS116" i="2"/>
  <c r="CM116" i="2"/>
  <c r="CO116" i="2"/>
  <c r="CQ116" i="2"/>
  <c r="AX117" i="2"/>
  <c r="AY117" i="2"/>
  <c r="AZ117" i="2"/>
  <c r="BB117" i="2"/>
  <c r="BC117" i="2"/>
  <c r="BG117" i="2"/>
  <c r="BH117" i="2"/>
  <c r="BJ117" i="2"/>
  <c r="BK117" i="2"/>
  <c r="BM117" i="2"/>
  <c r="BO117" i="2"/>
  <c r="BP117" i="2"/>
  <c r="BR117" i="2"/>
  <c r="BS117" i="2"/>
  <c r="CM117" i="2"/>
  <c r="CO117" i="2"/>
  <c r="AX118" i="2"/>
  <c r="AY118" i="2"/>
  <c r="AZ118" i="2"/>
  <c r="BA118" i="2"/>
  <c r="BB118" i="2"/>
  <c r="BC118" i="2"/>
  <c r="BD118" i="2"/>
  <c r="BE118" i="2"/>
  <c r="BF118" i="2"/>
  <c r="BG118" i="2"/>
  <c r="BH118" i="2"/>
  <c r="BI118" i="2"/>
  <c r="BJ118" i="2"/>
  <c r="BK118" i="2"/>
  <c r="BL118" i="2"/>
  <c r="BM118" i="2"/>
  <c r="BN118" i="2"/>
  <c r="BO118" i="2"/>
  <c r="BP118" i="2"/>
  <c r="BQ118" i="2"/>
  <c r="BR118" i="2"/>
  <c r="BS118" i="2"/>
  <c r="CL118" i="2"/>
  <c r="CM118" i="2"/>
  <c r="CN118" i="2"/>
  <c r="CO118" i="2"/>
  <c r="CP118" i="2"/>
  <c r="CQ118" i="2"/>
  <c r="AX119" i="2"/>
  <c r="AY119" i="2"/>
  <c r="AZ119" i="2"/>
  <c r="BC119" i="2"/>
  <c r="BG119" i="2"/>
  <c r="BH119" i="2"/>
  <c r="BK119" i="2"/>
  <c r="BM119" i="2"/>
  <c r="BO119" i="2"/>
  <c r="BP119" i="2"/>
  <c r="BS119" i="2"/>
  <c r="AX120" i="2"/>
  <c r="AY120" i="2"/>
  <c r="AZ120" i="2"/>
  <c r="BA120" i="2"/>
  <c r="BC120" i="2"/>
  <c r="BG120" i="2"/>
  <c r="BH120" i="2"/>
  <c r="BI120" i="2"/>
  <c r="BK120" i="2"/>
  <c r="BM120" i="2"/>
  <c r="BO120" i="2"/>
  <c r="BP120" i="2"/>
  <c r="BS120" i="2"/>
  <c r="AU122" i="2"/>
  <c r="AW122" i="2"/>
  <c r="AX122" i="2"/>
  <c r="AY122" i="2"/>
  <c r="AZ122" i="2"/>
  <c r="BA122" i="2"/>
  <c r="BC122" i="2"/>
  <c r="BG122" i="2"/>
  <c r="BH122" i="2"/>
  <c r="BI122" i="2"/>
  <c r="BK122" i="2"/>
  <c r="BM122" i="2"/>
  <c r="BO122" i="2"/>
  <c r="BP122" i="2"/>
  <c r="BS122" i="2"/>
  <c r="AV123" i="2"/>
  <c r="AW123" i="2" s="1"/>
  <c r="AX123" i="2"/>
  <c r="AZ123" i="2"/>
  <c r="BA123" i="2"/>
  <c r="BB123" i="2"/>
  <c r="BD123" i="2"/>
  <c r="BH123" i="2"/>
  <c r="BJ123" i="2" s="1"/>
  <c r="BI123" i="2"/>
  <c r="BL123" i="2"/>
  <c r="BM123" i="2"/>
  <c r="BN123" i="2"/>
  <c r="BP123" i="2"/>
  <c r="CQ123" i="2"/>
  <c r="AU124" i="2"/>
  <c r="AY124" i="2"/>
  <c r="BC124" i="2"/>
  <c r="BG124" i="2"/>
  <c r="BK124" i="2"/>
  <c r="BO124" i="2"/>
  <c r="AU125" i="2"/>
  <c r="AY125" i="2"/>
  <c r="BC125" i="2"/>
  <c r="BC127" i="2" s="1"/>
  <c r="BO125" i="2"/>
  <c r="BQ125" i="2"/>
  <c r="BR125" i="2"/>
  <c r="BS125" i="2"/>
  <c r="BS127" i="2" s="1"/>
  <c r="AU126" i="2"/>
  <c r="AV126" i="2"/>
  <c r="AW126" i="2"/>
  <c r="AX126" i="2"/>
  <c r="AY126" i="2"/>
  <c r="AZ126" i="2"/>
  <c r="BA126" i="2"/>
  <c r="BB126" i="2"/>
  <c r="BC126" i="2"/>
  <c r="BD126" i="2"/>
  <c r="CN126" i="2" s="1"/>
  <c r="BE126" i="2"/>
  <c r="BF126" i="2"/>
  <c r="BG126" i="2"/>
  <c r="CO126" i="2" s="1"/>
  <c r="BH126" i="2"/>
  <c r="BI126" i="2"/>
  <c r="BJ126" i="2"/>
  <c r="BK126" i="2"/>
  <c r="BL126" i="2"/>
  <c r="BM126" i="2"/>
  <c r="BN126" i="2"/>
  <c r="BO126" i="2"/>
  <c r="CQ126" i="2" s="1"/>
  <c r="BP126" i="2"/>
  <c r="BQ126" i="2"/>
  <c r="BQ127" i="2" s="1"/>
  <c r="BR126" i="2"/>
  <c r="BS126" i="2"/>
  <c r="CL126" i="2"/>
  <c r="CP126" i="2"/>
  <c r="BR127" i="2"/>
  <c r="CQ51" i="12"/>
  <c r="CZ25" i="2" l="1"/>
  <c r="CS25" i="2"/>
  <c r="CT25" i="2"/>
  <c r="CX25" i="2"/>
  <c r="CU25" i="2"/>
  <c r="CY25" i="2"/>
  <c r="CV25" i="2"/>
  <c r="CW25" i="2"/>
  <c r="CO122" i="2"/>
  <c r="CO119" i="2"/>
  <c r="CO120" i="2"/>
  <c r="AT72" i="2"/>
  <c r="CN17" i="2"/>
  <c r="CM17" i="2"/>
  <c r="CM123" i="2"/>
  <c r="CM126" i="2"/>
  <c r="BF20" i="2"/>
  <c r="BF15" i="2"/>
  <c r="CN115" i="2"/>
  <c r="CN101" i="2"/>
  <c r="CN103" i="2" s="1"/>
  <c r="CN114" i="2"/>
  <c r="CL114" i="2"/>
  <c r="CL113" i="2"/>
  <c r="AY127" i="2"/>
  <c r="BD124" i="2"/>
  <c r="BE124" i="2" s="1"/>
  <c r="CP123" i="2"/>
  <c r="CP113" i="2"/>
  <c r="CP115" i="2"/>
  <c r="CP114" i="2"/>
  <c r="CA72" i="2"/>
  <c r="BE117" i="2"/>
  <c r="BE76" i="2"/>
  <c r="BE116" i="2"/>
  <c r="BB20" i="2"/>
  <c r="CM19" i="2"/>
  <c r="CN19" i="2"/>
  <c r="CQ31" i="2"/>
  <c r="BH124" i="2"/>
  <c r="BI124" i="2"/>
  <c r="CO124" i="2"/>
  <c r="BO127" i="2"/>
  <c r="CQ127" i="2" s="1"/>
  <c r="AU127" i="2"/>
  <c r="CL123" i="2"/>
  <c r="BI117" i="2"/>
  <c r="BI119" i="2"/>
  <c r="BA117" i="2"/>
  <c r="BA119" i="2"/>
  <c r="DC83" i="2"/>
  <c r="DF83" i="2" s="1"/>
  <c r="CC72" i="2"/>
  <c r="X70" i="2"/>
  <c r="X72" i="2" s="1"/>
  <c r="CF72" i="2" s="1"/>
  <c r="X79" i="2"/>
  <c r="P70" i="2"/>
  <c r="P72" i="2" s="1"/>
  <c r="CD72" i="2" s="1"/>
  <c r="P79" i="2"/>
  <c r="H70" i="2"/>
  <c r="H72" i="2" s="1"/>
  <c r="CB72" i="2" s="1"/>
  <c r="H79" i="2"/>
  <c r="CL21" i="2"/>
  <c r="CM21" i="2"/>
  <c r="CQ114" i="2"/>
  <c r="CQ113" i="2"/>
  <c r="CQ115" i="2"/>
  <c r="AZ124" i="2"/>
  <c r="BA124" i="2"/>
  <c r="BA125" i="2" s="1"/>
  <c r="BA127" i="2" s="1"/>
  <c r="BI125" i="2"/>
  <c r="BI127" i="2" s="1"/>
  <c r="CO123" i="2"/>
  <c r="BJ122" i="2"/>
  <c r="BJ120" i="2"/>
  <c r="BJ119" i="2"/>
  <c r="BJ72" i="2"/>
  <c r="CO72" i="2" s="1"/>
  <c r="AF70" i="2"/>
  <c r="AF72" i="2" s="1"/>
  <c r="CH72" i="2" s="1"/>
  <c r="CH67" i="2"/>
  <c r="CH79" i="2" s="1"/>
  <c r="AF79" i="2"/>
  <c r="CB67" i="2"/>
  <c r="CB79" i="2" s="1"/>
  <c r="CM12" i="2"/>
  <c r="CN22" i="2"/>
  <c r="BL124" i="2"/>
  <c r="BL125" i="2" s="1"/>
  <c r="BL127" i="2" s="1"/>
  <c r="BR122" i="2"/>
  <c r="BR120" i="2"/>
  <c r="BR119" i="2"/>
  <c r="BR72" i="2"/>
  <c r="BK125" i="2"/>
  <c r="AW124" i="2"/>
  <c r="AW125" i="2" s="1"/>
  <c r="AX124" i="2"/>
  <c r="AX125" i="2" s="1"/>
  <c r="AX127" i="2" s="1"/>
  <c r="CL124" i="2"/>
  <c r="AV124" i="2"/>
  <c r="CO101" i="2"/>
  <c r="CO103" i="2" s="1"/>
  <c r="CM101" i="2"/>
  <c r="CM103" i="2" s="1"/>
  <c r="CP101" i="2"/>
  <c r="CP103" i="2" s="1"/>
  <c r="CN113" i="2"/>
  <c r="CE72" i="2"/>
  <c r="AN70" i="2"/>
  <c r="AN79" i="2"/>
  <c r="CN41" i="2"/>
  <c r="CO41" i="2"/>
  <c r="CM37" i="2"/>
  <c r="CM39" i="2"/>
  <c r="BG125" i="2"/>
  <c r="CQ124" i="2"/>
  <c r="BP124" i="2"/>
  <c r="BP125" i="2" s="1"/>
  <c r="BP127" i="2" s="1"/>
  <c r="BD125" i="2"/>
  <c r="BE123" i="2"/>
  <c r="CL103" i="2"/>
  <c r="AL72" i="2"/>
  <c r="CJ67" i="2"/>
  <c r="CJ79" i="2" s="1"/>
  <c r="BE52" i="2"/>
  <c r="CU8" i="2"/>
  <c r="CQ40" i="2"/>
  <c r="CQ46" i="2"/>
  <c r="CN39" i="2"/>
  <c r="CO39" i="2"/>
  <c r="BB26" i="2"/>
  <c r="BB14" i="2"/>
  <c r="BF26" i="2"/>
  <c r="CQ30" i="2"/>
  <c r="BN37" i="2"/>
  <c r="BR42" i="2"/>
  <c r="CP36" i="2"/>
  <c r="BN42" i="2"/>
  <c r="BN48" i="2"/>
  <c r="CS9" i="2"/>
  <c r="CR12" i="2"/>
  <c r="AX12" i="2"/>
  <c r="CL9" i="2"/>
  <c r="CL22" i="2" s="1"/>
  <c r="BB22" i="2"/>
  <c r="CP21" i="2"/>
  <c r="CQ21" i="2"/>
  <c r="CP12" i="2"/>
  <c r="BJ20" i="2"/>
  <c r="CU6" i="2"/>
  <c r="CM5" i="2"/>
  <c r="CM18" i="2" s="1"/>
  <c r="BF18" i="2"/>
  <c r="BB18" i="2"/>
  <c r="CM114" i="2"/>
  <c r="CP41" i="2"/>
  <c r="CQ41" i="2"/>
  <c r="BR30" i="2"/>
  <c r="BR20" i="2"/>
  <c r="CL7" i="2"/>
  <c r="CL18" i="2"/>
  <c r="AV125" i="2"/>
  <c r="AV127" i="2" s="1"/>
  <c r="CR98" i="2"/>
  <c r="DF89" i="2"/>
  <c r="BQ67" i="2"/>
  <c r="AS67" i="2"/>
  <c r="AK67" i="2"/>
  <c r="AC67" i="2"/>
  <c r="BH43" i="2"/>
  <c r="BD45" i="2"/>
  <c r="BD46" i="2"/>
  <c r="BD47" i="2"/>
  <c r="BD48" i="2"/>
  <c r="BD50" i="2"/>
  <c r="AZ43" i="2"/>
  <c r="AV45" i="2"/>
  <c r="AV46" i="2"/>
  <c r="AV47" i="2"/>
  <c r="AV48" i="2"/>
  <c r="AV50" i="2"/>
  <c r="AV15" i="2"/>
  <c r="AV31" i="2" s="1"/>
  <c r="AZ27" i="2"/>
  <c r="CM13" i="2"/>
  <c r="BD25" i="2"/>
  <c r="BH25" i="2"/>
  <c r="CP24" i="2"/>
  <c r="CQ24" i="2"/>
  <c r="CO12" i="2"/>
  <c r="CO22" i="2"/>
  <c r="CP22" i="2"/>
  <c r="BB62" i="2"/>
  <c r="CM56" i="2"/>
  <c r="BP43" i="2"/>
  <c r="BL45" i="2"/>
  <c r="BL46" i="2"/>
  <c r="BL47" i="2"/>
  <c r="BL48" i="2"/>
  <c r="BL50" i="2"/>
  <c r="CM42" i="2"/>
  <c r="CN42" i="2"/>
  <c r="CL39" i="2"/>
  <c r="CL37" i="2"/>
  <c r="CP26" i="2"/>
  <c r="CQ26" i="2"/>
  <c r="BL25" i="2"/>
  <c r="BP25" i="2"/>
  <c r="BJ23" i="2"/>
  <c r="CO10" i="2"/>
  <c r="BJ12" i="2"/>
  <c r="BN23" i="2"/>
  <c r="CP18" i="2"/>
  <c r="CS4" i="2"/>
  <c r="CR7" i="2"/>
  <c r="CR20" i="2" s="1"/>
  <c r="CK45" i="2"/>
  <c r="CK46" i="2"/>
  <c r="CK47" i="2"/>
  <c r="CK48" i="2"/>
  <c r="CM41" i="2"/>
  <c r="BR31" i="2"/>
  <c r="BD14" i="2"/>
  <c r="CN12" i="2"/>
  <c r="CN23" i="2"/>
  <c r="BN7" i="2"/>
  <c r="BR19" i="2"/>
  <c r="CP6" i="2"/>
  <c r="CP7" i="2" s="1"/>
  <c r="BD43" i="2"/>
  <c r="BF37" i="2"/>
  <c r="CN34" i="2"/>
  <c r="CN37" i="2" s="1"/>
  <c r="BJ40" i="2"/>
  <c r="BF40" i="2"/>
  <c r="CK15" i="2"/>
  <c r="CK30" i="2" s="1"/>
  <c r="CK31" i="2"/>
  <c r="BL15" i="2"/>
  <c r="BL27" i="2"/>
  <c r="BL31" i="2"/>
  <c r="BP27" i="2"/>
  <c r="CM23" i="2"/>
  <c r="CO7" i="2"/>
  <c r="CO19" i="2"/>
  <c r="CN5" i="2"/>
  <c r="CP20" i="2" l="1"/>
  <c r="CP15" i="2"/>
  <c r="CQ20" i="2"/>
  <c r="CN43" i="2"/>
  <c r="CN48" i="2"/>
  <c r="CO43" i="2"/>
  <c r="CN45" i="2"/>
  <c r="CN47" i="2"/>
  <c r="AW127" i="2"/>
  <c r="CL125" i="2"/>
  <c r="BE125" i="2"/>
  <c r="BE127" i="2" s="1"/>
  <c r="CN123" i="2"/>
  <c r="CG67" i="2"/>
  <c r="CG79" i="2" s="1"/>
  <c r="AC79" i="2"/>
  <c r="AC70" i="2"/>
  <c r="AC72" i="2" s="1"/>
  <c r="CG72" i="2" s="1"/>
  <c r="BF27" i="2"/>
  <c r="BB31" i="2"/>
  <c r="BD127" i="2"/>
  <c r="CN125" i="2"/>
  <c r="CL127" i="2"/>
  <c r="CM43" i="2"/>
  <c r="CM46" i="2"/>
  <c r="CN26" i="2"/>
  <c r="CM26" i="2"/>
  <c r="BF43" i="2"/>
  <c r="BJ43" i="2"/>
  <c r="BF45" i="2"/>
  <c r="BF47" i="2"/>
  <c r="BF48" i="2"/>
  <c r="BF50" i="2"/>
  <c r="CV8" i="2"/>
  <c r="BF123" i="2"/>
  <c r="BF125" i="2" s="1"/>
  <c r="BF127" i="2" s="1"/>
  <c r="AZ125" i="2"/>
  <c r="BB124" i="2"/>
  <c r="BB125" i="2" s="1"/>
  <c r="BB127" i="2" s="1"/>
  <c r="CP14" i="2"/>
  <c r="CP25" i="2"/>
  <c r="CQ25" i="2"/>
  <c r="CM62" i="2"/>
  <c r="CM77" i="2" s="1"/>
  <c r="BB65" i="2"/>
  <c r="BB77" i="2"/>
  <c r="AK79" i="2"/>
  <c r="AK70" i="2"/>
  <c r="CI67" i="2"/>
  <c r="CI79" i="2" s="1"/>
  <c r="BP28" i="2"/>
  <c r="BL28" i="2"/>
  <c r="BL30" i="2"/>
  <c r="CM47" i="2"/>
  <c r="CN50" i="2"/>
  <c r="BD52" i="2"/>
  <c r="BD76" i="2"/>
  <c r="BD116" i="2"/>
  <c r="BD75" i="2"/>
  <c r="BD117" i="2"/>
  <c r="CK67" i="2"/>
  <c r="CK79" i="2" s="1"/>
  <c r="AS79" i="2"/>
  <c r="AS70" i="2"/>
  <c r="CQ42" i="2"/>
  <c r="CP48" i="2"/>
  <c r="CP42" i="2"/>
  <c r="BE62" i="2"/>
  <c r="BE74" i="2"/>
  <c r="BK127" i="2"/>
  <c r="BM124" i="2"/>
  <c r="BM125" i="2" s="1"/>
  <c r="BM127" i="2" s="1"/>
  <c r="CN124" i="2"/>
  <c r="CQ125" i="2"/>
  <c r="BB15" i="2"/>
  <c r="BF124" i="2"/>
  <c r="CN14" i="2"/>
  <c r="CN25" i="2"/>
  <c r="CS7" i="2"/>
  <c r="CS20" i="2" s="1"/>
  <c r="CT4" i="2"/>
  <c r="CN7" i="2"/>
  <c r="CN18" i="2"/>
  <c r="CO18" i="2"/>
  <c r="BQ79" i="2"/>
  <c r="BQ70" i="2"/>
  <c r="CQ67" i="2"/>
  <c r="CQ79" i="2" s="1"/>
  <c r="BF31" i="2"/>
  <c r="BF28" i="2"/>
  <c r="CM7" i="2"/>
  <c r="BL52" i="2"/>
  <c r="BL76" i="2"/>
  <c r="BL116" i="2"/>
  <c r="BL75" i="2"/>
  <c r="BL117" i="2"/>
  <c r="CL43" i="2"/>
  <c r="CL48" i="2"/>
  <c r="CL47" i="2"/>
  <c r="CL45" i="2"/>
  <c r="CL46" i="2"/>
  <c r="CV6" i="2"/>
  <c r="AX14" i="2"/>
  <c r="BB25" i="2"/>
  <c r="BN43" i="2"/>
  <c r="BR43" i="2"/>
  <c r="BN45" i="2"/>
  <c r="BN46" i="2"/>
  <c r="BN47" i="2"/>
  <c r="BN50" i="2"/>
  <c r="BG127" i="2"/>
  <c r="CO125" i="2"/>
  <c r="AN72" i="2"/>
  <c r="CJ72" i="2" s="1"/>
  <c r="CE70" i="2"/>
  <c r="CM22" i="2"/>
  <c r="CO40" i="2"/>
  <c r="CN46" i="2"/>
  <c r="CN40" i="2"/>
  <c r="CL20" i="2"/>
  <c r="AZ28" i="2"/>
  <c r="AV30" i="2"/>
  <c r="BF46" i="2"/>
  <c r="BN20" i="2"/>
  <c r="BN15" i="2"/>
  <c r="BN30" i="2" s="1"/>
  <c r="BN25" i="2"/>
  <c r="BJ14" i="2"/>
  <c r="BJ25" i="2"/>
  <c r="CS63" i="2"/>
  <c r="CS98" i="2" s="1"/>
  <c r="CP37" i="2"/>
  <c r="CR14" i="2"/>
  <c r="CR27" i="2" s="1"/>
  <c r="CC70" i="2"/>
  <c r="CM45" i="2"/>
  <c r="CD70" i="2"/>
  <c r="CM14" i="2"/>
  <c r="BH125" i="2"/>
  <c r="BH127" i="2" s="1"/>
  <c r="BJ124" i="2"/>
  <c r="BJ125" i="2" s="1"/>
  <c r="BJ127" i="2" s="1"/>
  <c r="BF30" i="2"/>
  <c r="BD15" i="2"/>
  <c r="BD27" i="2"/>
  <c r="BD31" i="2"/>
  <c r="BH27" i="2"/>
  <c r="CP19" i="2"/>
  <c r="CQ19" i="2"/>
  <c r="CO14" i="2"/>
  <c r="CO25" i="2"/>
  <c r="CL50" i="2"/>
  <c r="AV52" i="2"/>
  <c r="AV76" i="2"/>
  <c r="AV75" i="2"/>
  <c r="CO20" i="2"/>
  <c r="CO15" i="2"/>
  <c r="CO23" i="2"/>
  <c r="CP23" i="2"/>
  <c r="CM48" i="2"/>
  <c r="CT9" i="2"/>
  <c r="CS12" i="2"/>
  <c r="CL12" i="2"/>
  <c r="DK188" i="12"/>
  <c r="DF196" i="12" s="1"/>
  <c r="DF198" i="12" s="1"/>
  <c r="DF205" i="12" s="1"/>
  <c r="CL222" i="12"/>
  <c r="CK222" i="12"/>
  <c r="CJ222" i="12"/>
  <c r="CI222" i="12"/>
  <c r="CH222" i="12"/>
  <c r="CG222" i="12"/>
  <c r="BQ222" i="12"/>
  <c r="BP222" i="12"/>
  <c r="BO222" i="12"/>
  <c r="BN222" i="12"/>
  <c r="CP222" i="12" s="1"/>
  <c r="BM222" i="12"/>
  <c r="BL222" i="12"/>
  <c r="BK222" i="12"/>
  <c r="BJ222" i="12"/>
  <c r="CO222" i="12" s="1"/>
  <c r="BI222" i="12"/>
  <c r="BH222" i="12"/>
  <c r="BG222" i="12"/>
  <c r="BF222" i="12"/>
  <c r="CN222" i="12" s="1"/>
  <c r="BE222" i="12"/>
  <c r="BD222" i="12"/>
  <c r="BC222" i="12"/>
  <c r="BB222" i="12"/>
  <c r="CM222" i="12" s="1"/>
  <c r="BA222" i="12"/>
  <c r="AZ222" i="12"/>
  <c r="AY222" i="12"/>
  <c r="AX222" i="12"/>
  <c r="AW222" i="12"/>
  <c r="AV222" i="12"/>
  <c r="AU222" i="12"/>
  <c r="AT222" i="12"/>
  <c r="AS222" i="12"/>
  <c r="AR222" i="12"/>
  <c r="AQ222" i="12"/>
  <c r="AP222" i="12"/>
  <c r="AO222" i="12"/>
  <c r="AN222" i="12"/>
  <c r="AM222" i="12"/>
  <c r="AL222" i="12"/>
  <c r="AK222" i="12"/>
  <c r="AJ222" i="12"/>
  <c r="AI222" i="12"/>
  <c r="AH222" i="12"/>
  <c r="AG222" i="12"/>
  <c r="AF222" i="12"/>
  <c r="AE222" i="12"/>
  <c r="AD222" i="12"/>
  <c r="AC222" i="12"/>
  <c r="AB222" i="12"/>
  <c r="AA222" i="12"/>
  <c r="CK221" i="12"/>
  <c r="CK223" i="12" s="1"/>
  <c r="BK221" i="12"/>
  <c r="BG221" i="12"/>
  <c r="BC221" i="12"/>
  <c r="BC223" i="12" s="1"/>
  <c r="AY221" i="12"/>
  <c r="AU221" i="12"/>
  <c r="AT221" i="12"/>
  <c r="AS221" i="12"/>
  <c r="AR221" i="12"/>
  <c r="AQ221" i="12"/>
  <c r="AP221" i="12"/>
  <c r="AO221" i="12"/>
  <c r="AN221" i="12"/>
  <c r="AM221" i="12"/>
  <c r="AL221" i="12"/>
  <c r="AK221" i="12"/>
  <c r="AJ221" i="12"/>
  <c r="AI221" i="12"/>
  <c r="AH221" i="12"/>
  <c r="AG221" i="12"/>
  <c r="AF221" i="12"/>
  <c r="AE221" i="12"/>
  <c r="AD221" i="12"/>
  <c r="AC221" i="12"/>
  <c r="AB221" i="12"/>
  <c r="AA221" i="12"/>
  <c r="CJ220" i="12"/>
  <c r="CI220" i="12"/>
  <c r="CH220" i="12"/>
  <c r="CG220" i="12"/>
  <c r="BO220" i="12"/>
  <c r="BP220" i="12" s="1"/>
  <c r="BQ220" i="12" s="1"/>
  <c r="BL220" i="12"/>
  <c r="BM220" i="12" s="1"/>
  <c r="BN220" i="12" s="1"/>
  <c r="BH220" i="12"/>
  <c r="BI220" i="12" s="1"/>
  <c r="BJ220" i="12" s="1"/>
  <c r="BD220" i="12"/>
  <c r="AZ220" i="12"/>
  <c r="AV220" i="12"/>
  <c r="AW220" i="12" s="1"/>
  <c r="AX220" i="12" s="1"/>
  <c r="CJ219" i="12"/>
  <c r="CI219" i="12"/>
  <c r="CH219" i="12"/>
  <c r="CG219" i="12"/>
  <c r="BO219" i="12"/>
  <c r="BL219" i="12"/>
  <c r="BM219" i="12" s="1"/>
  <c r="BH219" i="12"/>
  <c r="BI219" i="12" s="1"/>
  <c r="BJ219" i="12" s="1"/>
  <c r="BD219" i="12"/>
  <c r="AZ219" i="12"/>
  <c r="BA219" i="12" s="1"/>
  <c r="AV219" i="12"/>
  <c r="BQ214" i="12"/>
  <c r="BP214" i="12"/>
  <c r="BO214" i="12"/>
  <c r="BM214" i="12"/>
  <c r="BL214" i="12"/>
  <c r="BK214" i="12"/>
  <c r="BI214" i="12"/>
  <c r="BH214" i="12"/>
  <c r="BG214" i="12"/>
  <c r="BE214" i="12"/>
  <c r="BD214" i="12"/>
  <c r="BC214" i="12"/>
  <c r="BA214" i="12"/>
  <c r="AZ214" i="12"/>
  <c r="AY214" i="12"/>
  <c r="AW214" i="12"/>
  <c r="AV214" i="12"/>
  <c r="AU214" i="12"/>
  <c r="AS214" i="12"/>
  <c r="AR214" i="12"/>
  <c r="BM212" i="12"/>
  <c r="BL212" i="12"/>
  <c r="BK212" i="12"/>
  <c r="BI212" i="12"/>
  <c r="BH212" i="12"/>
  <c r="BG212" i="12"/>
  <c r="BE212" i="12"/>
  <c r="BD212" i="12"/>
  <c r="BC212" i="12"/>
  <c r="BA212" i="12"/>
  <c r="AZ212" i="12"/>
  <c r="AY212" i="12"/>
  <c r="AW212" i="12"/>
  <c r="AV212" i="12"/>
  <c r="AU212" i="12"/>
  <c r="BQ211" i="12"/>
  <c r="BP211" i="12"/>
  <c r="BO211" i="12"/>
  <c r="BN211" i="12"/>
  <c r="BM211" i="12"/>
  <c r="BL211" i="12"/>
  <c r="BK211" i="12"/>
  <c r="BJ211" i="12"/>
  <c r="BI211" i="12"/>
  <c r="BH211" i="12"/>
  <c r="BG211" i="12"/>
  <c r="BF211" i="12"/>
  <c r="BE211" i="12"/>
  <c r="BD211" i="12"/>
  <c r="BC211" i="12"/>
  <c r="BB211" i="12"/>
  <c r="BA211" i="12"/>
  <c r="AZ211" i="12"/>
  <c r="AY211" i="12"/>
  <c r="AX211" i="12"/>
  <c r="AW211" i="12"/>
  <c r="AV211" i="12"/>
  <c r="AU211" i="12"/>
  <c r="AT211" i="12"/>
  <c r="AS211" i="12"/>
  <c r="AR211" i="12"/>
  <c r="AQ211" i="12"/>
  <c r="BQ210" i="12"/>
  <c r="BP210" i="12"/>
  <c r="BO210" i="12"/>
  <c r="BN210" i="12"/>
  <c r="BM210" i="12"/>
  <c r="BL210" i="12"/>
  <c r="BK210" i="12"/>
  <c r="BJ210" i="12"/>
  <c r="BI210" i="12"/>
  <c r="BH210" i="12"/>
  <c r="BG210" i="12"/>
  <c r="BF210" i="12"/>
  <c r="BE210" i="12"/>
  <c r="BD210" i="12"/>
  <c r="BC210" i="12"/>
  <c r="BB210" i="12"/>
  <c r="BA210" i="12"/>
  <c r="AZ210" i="12"/>
  <c r="AY210" i="12"/>
  <c r="AX210" i="12"/>
  <c r="AW210" i="12"/>
  <c r="AV210" i="12"/>
  <c r="AU210" i="12"/>
  <c r="AT210" i="12"/>
  <c r="AS210" i="12"/>
  <c r="AR210" i="12"/>
  <c r="AQ210" i="12"/>
  <c r="BQ209" i="12"/>
  <c r="BP209" i="12"/>
  <c r="BO209" i="12"/>
  <c r="BN209" i="12"/>
  <c r="BM209" i="12"/>
  <c r="BL209" i="12"/>
  <c r="BK209" i="12"/>
  <c r="BJ209" i="12"/>
  <c r="BI209" i="12"/>
  <c r="BH209" i="12"/>
  <c r="BG209" i="12"/>
  <c r="BF209" i="12"/>
  <c r="BE209" i="12"/>
  <c r="BD209" i="12"/>
  <c r="BC209" i="12"/>
  <c r="BB209" i="12"/>
  <c r="BA209" i="12"/>
  <c r="AZ209" i="12"/>
  <c r="AY209" i="12"/>
  <c r="AX209" i="12"/>
  <c r="AW209" i="12"/>
  <c r="AV209" i="12"/>
  <c r="AU209" i="12"/>
  <c r="AT209" i="12"/>
  <c r="AS209" i="12"/>
  <c r="AR209" i="12"/>
  <c r="AQ209" i="12"/>
  <c r="DF203" i="12"/>
  <c r="CP206" i="12"/>
  <c r="CO206" i="12"/>
  <c r="CN206" i="12"/>
  <c r="CM206" i="12"/>
  <c r="CL206" i="12"/>
  <c r="CK206" i="12"/>
  <c r="BQ205" i="12"/>
  <c r="BQ207" i="12" s="1"/>
  <c r="BP205" i="12"/>
  <c r="BP207" i="12" s="1"/>
  <c r="BO205" i="12"/>
  <c r="BO207" i="12" s="1"/>
  <c r="BN205" i="12"/>
  <c r="BN207" i="12" s="1"/>
  <c r="BM205" i="12"/>
  <c r="BM207" i="12" s="1"/>
  <c r="BL205" i="12"/>
  <c r="BL207" i="12" s="1"/>
  <c r="BK205" i="12"/>
  <c r="BK207" i="12" s="1"/>
  <c r="BJ205" i="12"/>
  <c r="BJ207" i="12" s="1"/>
  <c r="BI205" i="12"/>
  <c r="BI207" i="12" s="1"/>
  <c r="BH205" i="12"/>
  <c r="BH207" i="12" s="1"/>
  <c r="BG205" i="12"/>
  <c r="BG207" i="12" s="1"/>
  <c r="BF205" i="12"/>
  <c r="BF207" i="12" s="1"/>
  <c r="BE205" i="12"/>
  <c r="BE207" i="12" s="1"/>
  <c r="BD205" i="12"/>
  <c r="BD207" i="12" s="1"/>
  <c r="BC205" i="12"/>
  <c r="BC207" i="12" s="1"/>
  <c r="BB205" i="12"/>
  <c r="BB207" i="12" s="1"/>
  <c r="BA205" i="12"/>
  <c r="BA207" i="12" s="1"/>
  <c r="AZ205" i="12"/>
  <c r="AZ207" i="12" s="1"/>
  <c r="AY205" i="12"/>
  <c r="AY207" i="12" s="1"/>
  <c r="AX205" i="12"/>
  <c r="AX207" i="12" s="1"/>
  <c r="AW205" i="12"/>
  <c r="AW207" i="12" s="1"/>
  <c r="AV205" i="12"/>
  <c r="AV207" i="12" s="1"/>
  <c r="AU205" i="12"/>
  <c r="AU207" i="12" s="1"/>
  <c r="AT205" i="12"/>
  <c r="AT207" i="12" s="1"/>
  <c r="AS205" i="12"/>
  <c r="AS207" i="12" s="1"/>
  <c r="AR205" i="12"/>
  <c r="AR207" i="12" s="1"/>
  <c r="AQ205" i="12"/>
  <c r="AQ207" i="12" s="1"/>
  <c r="CP204" i="12"/>
  <c r="CO204" i="12"/>
  <c r="CN204" i="12"/>
  <c r="CM204" i="12"/>
  <c r="CL204" i="12"/>
  <c r="CK204" i="12"/>
  <c r="CP203" i="12"/>
  <c r="CO203" i="12"/>
  <c r="CN203" i="12"/>
  <c r="CM203" i="12"/>
  <c r="CL203" i="12"/>
  <c r="CK203" i="12"/>
  <c r="CP202" i="12"/>
  <c r="CO202" i="12"/>
  <c r="CN202" i="12"/>
  <c r="CM202" i="12"/>
  <c r="CL202" i="12"/>
  <c r="CK202" i="12"/>
  <c r="CP201" i="12"/>
  <c r="CO201" i="12"/>
  <c r="CN201" i="12"/>
  <c r="CM201" i="12"/>
  <c r="CL201" i="12"/>
  <c r="CK201" i="12"/>
  <c r="CP200" i="12"/>
  <c r="CO200" i="12"/>
  <c r="CN200" i="12"/>
  <c r="CM200" i="12"/>
  <c r="CL200" i="12"/>
  <c r="CK200" i="12"/>
  <c r="CP199" i="12"/>
  <c r="CO199" i="12"/>
  <c r="CN199" i="12"/>
  <c r="CM199" i="12"/>
  <c r="CL199" i="12"/>
  <c r="CK199" i="12"/>
  <c r="CP198" i="12"/>
  <c r="CO198" i="12"/>
  <c r="CN198" i="12"/>
  <c r="CM198" i="12"/>
  <c r="CL198" i="12"/>
  <c r="CK198" i="12"/>
  <c r="BQ196" i="12"/>
  <c r="BP196" i="12"/>
  <c r="BO196" i="12"/>
  <c r="BN196" i="12"/>
  <c r="BM196" i="12"/>
  <c r="BM213" i="12" s="1"/>
  <c r="BL196" i="12"/>
  <c r="BL213" i="12" s="1"/>
  <c r="BK196" i="12"/>
  <c r="BK213" i="12" s="1"/>
  <c r="BJ196" i="12"/>
  <c r="BI196" i="12"/>
  <c r="BI213" i="12" s="1"/>
  <c r="BH196" i="12"/>
  <c r="BH213" i="12" s="1"/>
  <c r="BG196" i="12"/>
  <c r="BG213" i="12" s="1"/>
  <c r="BF196" i="12"/>
  <c r="BE196" i="12"/>
  <c r="BE213" i="12" s="1"/>
  <c r="BD196" i="12"/>
  <c r="BD213" i="12" s="1"/>
  <c r="BC196" i="12"/>
  <c r="BC213" i="12" s="1"/>
  <c r="BB196" i="12"/>
  <c r="BA196" i="12"/>
  <c r="BA213" i="12" s="1"/>
  <c r="AZ196" i="12"/>
  <c r="AZ213" i="12" s="1"/>
  <c r="AY196" i="12"/>
  <c r="AY213" i="12" s="1"/>
  <c r="AX196" i="12"/>
  <c r="AW196" i="12"/>
  <c r="AW213" i="12" s="1"/>
  <c r="AV196" i="12"/>
  <c r="AV213" i="12" s="1"/>
  <c r="AU196" i="12"/>
  <c r="AU213" i="12" s="1"/>
  <c r="AT196" i="12"/>
  <c r="AS196" i="12"/>
  <c r="AR196" i="12"/>
  <c r="AQ196" i="12"/>
  <c r="CP195" i="12"/>
  <c r="CO195" i="12"/>
  <c r="CN195" i="12"/>
  <c r="CM195" i="12"/>
  <c r="CL195" i="12"/>
  <c r="CK195" i="12"/>
  <c r="CP194" i="12"/>
  <c r="CO194" i="12"/>
  <c r="CN194" i="12"/>
  <c r="CM194" i="12"/>
  <c r="CL194" i="12"/>
  <c r="CK194" i="12"/>
  <c r="CP193" i="12"/>
  <c r="CO193" i="12"/>
  <c r="CN193" i="12"/>
  <c r="CM193" i="12"/>
  <c r="CL193" i="12"/>
  <c r="CK193" i="12"/>
  <c r="CP192" i="12"/>
  <c r="CO192" i="12"/>
  <c r="CN192" i="12"/>
  <c r="CM192" i="12"/>
  <c r="CL192" i="12"/>
  <c r="CK192" i="12"/>
  <c r="CP191" i="12"/>
  <c r="CO191" i="12"/>
  <c r="CN191" i="12"/>
  <c r="CM191" i="12"/>
  <c r="CL191" i="12"/>
  <c r="CK191" i="12"/>
  <c r="DK187" i="12"/>
  <c r="CP190" i="12"/>
  <c r="CO190" i="12"/>
  <c r="CN190" i="12"/>
  <c r="CM190" i="12"/>
  <c r="CL190" i="12"/>
  <c r="CK190" i="12"/>
  <c r="CP189" i="12"/>
  <c r="CO189" i="12"/>
  <c r="CN189" i="12"/>
  <c r="CM189" i="12"/>
  <c r="CL189" i="12"/>
  <c r="CK189" i="12"/>
  <c r="CP188" i="12"/>
  <c r="CO188" i="12"/>
  <c r="CN188" i="12"/>
  <c r="CM188" i="12"/>
  <c r="CL188" i="12"/>
  <c r="CK188" i="12"/>
  <c r="CP187" i="12"/>
  <c r="CO187" i="12"/>
  <c r="CN187" i="12"/>
  <c r="CM187" i="12"/>
  <c r="CL187" i="12"/>
  <c r="CK187" i="12"/>
  <c r="CP186" i="12"/>
  <c r="CO186" i="12"/>
  <c r="CN186" i="12"/>
  <c r="CM186" i="12"/>
  <c r="CL186" i="12"/>
  <c r="CK186" i="12"/>
  <c r="CP185" i="12"/>
  <c r="CO185" i="12"/>
  <c r="CN185" i="12"/>
  <c r="CM185" i="12"/>
  <c r="CL185" i="12"/>
  <c r="CK185" i="12"/>
  <c r="CP184" i="12"/>
  <c r="CO184" i="12"/>
  <c r="CN184" i="12"/>
  <c r="CM184" i="12"/>
  <c r="CL184" i="12"/>
  <c r="CK184" i="12"/>
  <c r="AP182" i="12"/>
  <c r="AO182" i="12"/>
  <c r="AN182" i="12"/>
  <c r="AM182" i="12"/>
  <c r="AL182" i="12"/>
  <c r="AK182" i="12"/>
  <c r="AJ182" i="12"/>
  <c r="AI182" i="12"/>
  <c r="AH182" i="12"/>
  <c r="AG182" i="12"/>
  <c r="AF182" i="12"/>
  <c r="AE182" i="12"/>
  <c r="AD182" i="12"/>
  <c r="AC182" i="12"/>
  <c r="AB182" i="12"/>
  <c r="AA182" i="12"/>
  <c r="BM179" i="12"/>
  <c r="BL179" i="12"/>
  <c r="BK179" i="12"/>
  <c r="BI179" i="12"/>
  <c r="BH179" i="12"/>
  <c r="BG179" i="12"/>
  <c r="BE179" i="12"/>
  <c r="BD179" i="12"/>
  <c r="BC179" i="12"/>
  <c r="BA179" i="12"/>
  <c r="AZ179" i="12"/>
  <c r="AY179" i="12"/>
  <c r="AW179" i="12"/>
  <c r="AV179" i="12"/>
  <c r="AU179" i="12"/>
  <c r="AP179" i="12"/>
  <c r="AO179" i="12"/>
  <c r="AN179" i="12"/>
  <c r="AM179" i="12"/>
  <c r="AL179" i="12"/>
  <c r="AK179" i="12"/>
  <c r="AJ179" i="12"/>
  <c r="AI179" i="12"/>
  <c r="AH179" i="12"/>
  <c r="AG179" i="12"/>
  <c r="AF179" i="12"/>
  <c r="AE179" i="12"/>
  <c r="AD179" i="12"/>
  <c r="AC179" i="12"/>
  <c r="AB179" i="12"/>
  <c r="AA179" i="12"/>
  <c r="BM178" i="12"/>
  <c r="BL178" i="12"/>
  <c r="BK178" i="12"/>
  <c r="BI178" i="12"/>
  <c r="BH178" i="12"/>
  <c r="BG178" i="12"/>
  <c r="BE178" i="12"/>
  <c r="BD178" i="12"/>
  <c r="BC178" i="12"/>
  <c r="BA178" i="12"/>
  <c r="AZ178" i="12"/>
  <c r="AY178" i="12"/>
  <c r="AW178" i="12"/>
  <c r="AV178" i="12"/>
  <c r="AU178" i="12"/>
  <c r="AP178" i="12"/>
  <c r="AO178" i="12"/>
  <c r="AN178" i="12"/>
  <c r="AM178" i="12"/>
  <c r="AL178" i="12"/>
  <c r="AK178" i="12"/>
  <c r="AJ178" i="12"/>
  <c r="AI178" i="12"/>
  <c r="AH178" i="12"/>
  <c r="AG178" i="12"/>
  <c r="AF178" i="12"/>
  <c r="AE178" i="12"/>
  <c r="AD178" i="12"/>
  <c r="AC178" i="12"/>
  <c r="AB178" i="12"/>
  <c r="AA178" i="12"/>
  <c r="CP174" i="12"/>
  <c r="CQ174" i="12" s="1"/>
  <c r="CR174" i="12" s="1"/>
  <c r="CS174" i="12" s="1"/>
  <c r="CT174" i="12" s="1"/>
  <c r="CU174" i="12" s="1"/>
  <c r="CV174" i="12" s="1"/>
  <c r="CW174" i="12" s="1"/>
  <c r="CX174" i="12" s="1"/>
  <c r="CY174" i="12" s="1"/>
  <c r="CZ174" i="12" s="1"/>
  <c r="DA174" i="12" s="1"/>
  <c r="CO174" i="12"/>
  <c r="CN174" i="12"/>
  <c r="CM174" i="12"/>
  <c r="AP173" i="12"/>
  <c r="AP218" i="12" s="1"/>
  <c r="AO173" i="12"/>
  <c r="AO218" i="12" s="1"/>
  <c r="AN173" i="12"/>
  <c r="AN218" i="12" s="1"/>
  <c r="AM173" i="12"/>
  <c r="AM218" i="12" s="1"/>
  <c r="AL173" i="12"/>
  <c r="AL175" i="12" s="1"/>
  <c r="AK173" i="12"/>
  <c r="AK218" i="12" s="1"/>
  <c r="AJ173" i="12"/>
  <c r="AJ218" i="12" s="1"/>
  <c r="AI173" i="12"/>
  <c r="AH173" i="12"/>
  <c r="AH218" i="12" s="1"/>
  <c r="AG173" i="12"/>
  <c r="AG218" i="12" s="1"/>
  <c r="AF173" i="12"/>
  <c r="AF218" i="12" s="1"/>
  <c r="AE173" i="12"/>
  <c r="AE218" i="12" s="1"/>
  <c r="AD173" i="12"/>
  <c r="AD218" i="12" s="1"/>
  <c r="AC173" i="12"/>
  <c r="AC218" i="12" s="1"/>
  <c r="AB173" i="12"/>
  <c r="AB218" i="12" s="1"/>
  <c r="AA173" i="12"/>
  <c r="CJ172" i="12"/>
  <c r="CI172" i="12"/>
  <c r="CH172" i="12"/>
  <c r="CG172" i="12"/>
  <c r="BB172" i="12"/>
  <c r="AX172" i="12"/>
  <c r="AT172" i="12"/>
  <c r="CK172" i="12" s="1"/>
  <c r="CJ171" i="12"/>
  <c r="CI171" i="12"/>
  <c r="CH171" i="12"/>
  <c r="CG171" i="12"/>
  <c r="CJ170" i="12"/>
  <c r="CI170" i="12"/>
  <c r="CH170" i="12"/>
  <c r="CG170" i="12"/>
  <c r="BN170" i="12"/>
  <c r="CP170" i="12" s="1"/>
  <c r="BJ170" i="12"/>
  <c r="BF170" i="12"/>
  <c r="BB170" i="12"/>
  <c r="CM170" i="12" s="1"/>
  <c r="AX170" i="12"/>
  <c r="CL170" i="12" s="1"/>
  <c r="AT170" i="12"/>
  <c r="CK170" i="12" s="1"/>
  <c r="CQ168" i="12"/>
  <c r="CJ168" i="12"/>
  <c r="CI168" i="12"/>
  <c r="CH168" i="12"/>
  <c r="CG168" i="12"/>
  <c r="BR168" i="12"/>
  <c r="BN168" i="12"/>
  <c r="CP168" i="12" s="1"/>
  <c r="BJ168" i="12"/>
  <c r="CO168" i="12" s="1"/>
  <c r="BE168" i="12"/>
  <c r="BD168" i="12"/>
  <c r="BC168" i="12"/>
  <c r="BA168" i="12"/>
  <c r="AZ168" i="12"/>
  <c r="AY168" i="12"/>
  <c r="AW168" i="12"/>
  <c r="AV168" i="12"/>
  <c r="AU168" i="12"/>
  <c r="AS168" i="12"/>
  <c r="AR168" i="12"/>
  <c r="AQ168" i="12"/>
  <c r="CJ166" i="12"/>
  <c r="CI166" i="12"/>
  <c r="BN166" i="12"/>
  <c r="CP166" i="12" s="1"/>
  <c r="BJ166" i="12"/>
  <c r="CO166" i="12" s="1"/>
  <c r="BF166" i="12"/>
  <c r="CN166" i="12" s="1"/>
  <c r="BB166" i="12"/>
  <c r="CM166" i="12" s="1"/>
  <c r="AX166" i="12"/>
  <c r="CL166" i="12" s="1"/>
  <c r="AT166" i="12"/>
  <c r="CK166" i="12" s="1"/>
  <c r="AE166" i="12"/>
  <c r="CH166" i="12" s="1"/>
  <c r="AD166" i="12"/>
  <c r="AC166" i="12"/>
  <c r="AB166" i="12"/>
  <c r="CJ165" i="12"/>
  <c r="CI165" i="12"/>
  <c r="CH165" i="12"/>
  <c r="CG165" i="12"/>
  <c r="BN165" i="12"/>
  <c r="CP165" i="12" s="1"/>
  <c r="BJ165" i="12"/>
  <c r="CO165" i="12" s="1"/>
  <c r="BF165" i="12"/>
  <c r="CN165" i="12" s="1"/>
  <c r="BB165" i="12"/>
  <c r="CM165" i="12" s="1"/>
  <c r="AX165" i="12"/>
  <c r="CL165" i="12" s="1"/>
  <c r="AT165" i="12"/>
  <c r="CK165" i="12" s="1"/>
  <c r="CJ164" i="12"/>
  <c r="CI164" i="12"/>
  <c r="CH164" i="12"/>
  <c r="CG164" i="12"/>
  <c r="BN164" i="12"/>
  <c r="CP164" i="12" s="1"/>
  <c r="BJ164" i="12"/>
  <c r="BF164" i="12"/>
  <c r="BB164" i="12"/>
  <c r="CM164" i="12" s="1"/>
  <c r="AX164" i="12"/>
  <c r="AT164" i="12"/>
  <c r="CJ163" i="12"/>
  <c r="CI163" i="12"/>
  <c r="CH163" i="12"/>
  <c r="CG163" i="12"/>
  <c r="BN163" i="12"/>
  <c r="CP163" i="12" s="1"/>
  <c r="BJ163" i="12"/>
  <c r="BF163" i="12"/>
  <c r="BB163" i="12"/>
  <c r="CM163" i="12" s="1"/>
  <c r="AX163" i="12"/>
  <c r="CL163" i="12" s="1"/>
  <c r="AT163" i="12"/>
  <c r="CK163" i="12" s="1"/>
  <c r="BM162" i="12"/>
  <c r="BM177" i="12" s="1"/>
  <c r="BL162" i="12"/>
  <c r="BL177" i="12" s="1"/>
  <c r="BK162" i="12"/>
  <c r="BI162" i="12"/>
  <c r="BI177" i="12" s="1"/>
  <c r="BH162" i="12"/>
  <c r="BH167" i="12" s="1"/>
  <c r="BG162" i="12"/>
  <c r="BG177" i="12" s="1"/>
  <c r="BE162" i="12"/>
  <c r="BE177" i="12" s="1"/>
  <c r="BD162" i="12"/>
  <c r="BD177" i="12" s="1"/>
  <c r="BC162" i="12"/>
  <c r="BA162" i="12"/>
  <c r="BA177" i="12" s="1"/>
  <c r="AZ162" i="12"/>
  <c r="AZ167" i="12" s="1"/>
  <c r="AY162" i="12"/>
  <c r="AY177" i="12" s="1"/>
  <c r="AW162" i="12"/>
  <c r="AV162" i="12"/>
  <c r="AV177" i="12" s="1"/>
  <c r="AU162" i="12"/>
  <c r="AP162" i="12"/>
  <c r="AP167" i="12" s="1"/>
  <c r="AO162" i="12"/>
  <c r="AN162" i="12"/>
  <c r="AN167" i="12" s="1"/>
  <c r="AM162" i="12"/>
  <c r="AL162" i="12"/>
  <c r="AL167" i="12" s="1"/>
  <c r="AL180" i="12" s="1"/>
  <c r="AK162" i="12"/>
  <c r="AK167" i="12" s="1"/>
  <c r="AJ162" i="12"/>
  <c r="AJ177" i="12" s="1"/>
  <c r="AI162" i="12"/>
  <c r="AH162" i="12"/>
  <c r="AG162" i="12"/>
  <c r="AF162" i="12"/>
  <c r="AF177" i="12" s="1"/>
  <c r="AE162" i="12"/>
  <c r="AD162" i="12"/>
  <c r="AC162" i="12"/>
  <c r="AC177" i="12" s="1"/>
  <c r="AB162" i="12"/>
  <c r="AB177" i="12" s="1"/>
  <c r="AA162" i="12"/>
  <c r="CJ161" i="12"/>
  <c r="CI161" i="12"/>
  <c r="CH161" i="12"/>
  <c r="CG161" i="12"/>
  <c r="BN161" i="12"/>
  <c r="BN214" i="12" s="1"/>
  <c r="BJ161" i="12"/>
  <c r="BJ214" i="12" s="1"/>
  <c r="BF161" i="12"/>
  <c r="BF214" i="12" s="1"/>
  <c r="BB161" i="12"/>
  <c r="AX161" i="12"/>
  <c r="AT161" i="12"/>
  <c r="AT214" i="12" s="1"/>
  <c r="CJ160" i="12"/>
  <c r="CI160" i="12"/>
  <c r="CH160" i="12"/>
  <c r="CG160" i="12"/>
  <c r="BN160" i="12"/>
  <c r="CP160" i="12" s="1"/>
  <c r="BJ160" i="12"/>
  <c r="BF160" i="12"/>
  <c r="BB160" i="12"/>
  <c r="AX160" i="12"/>
  <c r="CL160" i="12" s="1"/>
  <c r="BQ154" i="12"/>
  <c r="BP154" i="12"/>
  <c r="BO154" i="12"/>
  <c r="BM154" i="12"/>
  <c r="BL154" i="12"/>
  <c r="BK154" i="12"/>
  <c r="BI154" i="12"/>
  <c r="BH154" i="12"/>
  <c r="BG154" i="12"/>
  <c r="BE154" i="12"/>
  <c r="BD154" i="12"/>
  <c r="BC154" i="12"/>
  <c r="BA154" i="12"/>
  <c r="AZ154" i="12"/>
  <c r="AY154" i="12"/>
  <c r="BQ153" i="12"/>
  <c r="BP153" i="12"/>
  <c r="BO153" i="12"/>
  <c r="BM153" i="12"/>
  <c r="BL153" i="12"/>
  <c r="BK153" i="12"/>
  <c r="BI153" i="12"/>
  <c r="BH153" i="12"/>
  <c r="BG153" i="12"/>
  <c r="BE153" i="12"/>
  <c r="BD153" i="12"/>
  <c r="BC153" i="12"/>
  <c r="BA153" i="12"/>
  <c r="AZ153" i="12"/>
  <c r="AY153" i="12"/>
  <c r="AW153" i="12"/>
  <c r="AV153" i="12"/>
  <c r="AU153" i="12"/>
  <c r="BQ151" i="12"/>
  <c r="BQ160" i="12" s="1"/>
  <c r="BP151" i="12"/>
  <c r="BP157" i="12" s="1"/>
  <c r="BO151" i="12"/>
  <c r="BO160" i="12" s="1"/>
  <c r="BM151" i="12"/>
  <c r="BM158" i="12" s="1"/>
  <c r="BL151" i="12"/>
  <c r="BK151" i="12"/>
  <c r="BK157" i="12" s="1"/>
  <c r="BI151" i="12"/>
  <c r="BH151" i="12"/>
  <c r="BH157" i="12" s="1"/>
  <c r="BG151" i="12"/>
  <c r="BE151" i="12"/>
  <c r="BE158" i="12" s="1"/>
  <c r="BD151" i="12"/>
  <c r="BC151" i="12"/>
  <c r="BA151" i="12"/>
  <c r="AZ151" i="12"/>
  <c r="AZ157" i="12" s="1"/>
  <c r="AY151" i="12"/>
  <c r="AY158" i="12" s="1"/>
  <c r="AW151" i="12"/>
  <c r="AW158" i="12" s="1"/>
  <c r="AV151" i="12"/>
  <c r="AU151" i="12"/>
  <c r="AU157" i="12" s="1"/>
  <c r="CN150" i="12"/>
  <c r="CM150" i="12"/>
  <c r="BN150" i="12"/>
  <c r="CP150" i="12" s="1"/>
  <c r="BJ150" i="12"/>
  <c r="CO150" i="12" s="1"/>
  <c r="BF150" i="12"/>
  <c r="BB150" i="12"/>
  <c r="AX150" i="12"/>
  <c r="AS150" i="12"/>
  <c r="AS151" i="12" s="1"/>
  <c r="AR150" i="12"/>
  <c r="AR151" i="12" s="1"/>
  <c r="AR157" i="12" s="1"/>
  <c r="AQ150" i="12"/>
  <c r="CN149" i="12"/>
  <c r="CM149" i="12"/>
  <c r="BN149" i="12"/>
  <c r="BJ149" i="12"/>
  <c r="BF149" i="12"/>
  <c r="BB149" i="12"/>
  <c r="AX149" i="12"/>
  <c r="AT149" i="12"/>
  <c r="CK149" i="12" s="1"/>
  <c r="BI144" i="12"/>
  <c r="BH144" i="12"/>
  <c r="BG144" i="12"/>
  <c r="BE144" i="12"/>
  <c r="BD144" i="12"/>
  <c r="BC144" i="12"/>
  <c r="BA144" i="12"/>
  <c r="AZ144" i="12"/>
  <c r="AY144" i="12"/>
  <c r="AP144" i="12"/>
  <c r="AO144" i="12"/>
  <c r="AN144" i="12"/>
  <c r="AM144" i="12"/>
  <c r="AL144" i="12"/>
  <c r="AK144" i="12"/>
  <c r="AJ144" i="12"/>
  <c r="AI144" i="12"/>
  <c r="AH144" i="12"/>
  <c r="AG144" i="12"/>
  <c r="AF144" i="12"/>
  <c r="AE144" i="12"/>
  <c r="BQ143" i="12"/>
  <c r="BP143" i="12"/>
  <c r="BO143" i="12"/>
  <c r="BM143" i="12"/>
  <c r="BL143" i="12"/>
  <c r="BK143" i="12"/>
  <c r="BQ142" i="12"/>
  <c r="BP142" i="12"/>
  <c r="BO142" i="12"/>
  <c r="BM142" i="12"/>
  <c r="BL142" i="12"/>
  <c r="BK142" i="12"/>
  <c r="BQ140" i="12"/>
  <c r="BP140" i="12"/>
  <c r="BP147" i="12" s="1"/>
  <c r="BO140" i="12"/>
  <c r="BM140" i="12"/>
  <c r="BL140" i="12"/>
  <c r="BK140" i="12"/>
  <c r="BK147" i="12" s="1"/>
  <c r="BI140" i="12"/>
  <c r="BH140" i="12"/>
  <c r="BH147" i="12" s="1"/>
  <c r="BG140" i="12"/>
  <c r="BG147" i="12" s="1"/>
  <c r="BN139" i="12"/>
  <c r="BJ139" i="12"/>
  <c r="CO139" i="12" s="1"/>
  <c r="BN138" i="12"/>
  <c r="BR138" i="12" s="1"/>
  <c r="BJ138" i="12"/>
  <c r="CO137" i="12"/>
  <c r="CP137" i="12" s="1"/>
  <c r="CQ137" i="12" s="1"/>
  <c r="CR137" i="12" s="1"/>
  <c r="CS137" i="12" s="1"/>
  <c r="CT137" i="12" s="1"/>
  <c r="CU137" i="12" s="1"/>
  <c r="CV137" i="12" s="1"/>
  <c r="CW137" i="12" s="1"/>
  <c r="CX137" i="12" s="1"/>
  <c r="CY137" i="12" s="1"/>
  <c r="CZ137" i="12" s="1"/>
  <c r="DA137" i="12" s="1"/>
  <c r="DB137" i="12" s="1"/>
  <c r="DC137" i="12" s="1"/>
  <c r="DD137" i="12" s="1"/>
  <c r="DE137" i="12" s="1"/>
  <c r="DF137" i="12" s="1"/>
  <c r="DG137" i="12" s="1"/>
  <c r="DH137" i="12" s="1"/>
  <c r="DI137" i="12" s="1"/>
  <c r="DJ137" i="12" s="1"/>
  <c r="DK137" i="12" s="1"/>
  <c r="DL137" i="12" s="1"/>
  <c r="DM137" i="12" s="1"/>
  <c r="DN137" i="12" s="1"/>
  <c r="DO137" i="12" s="1"/>
  <c r="DP137" i="12" s="1"/>
  <c r="DQ137" i="12" s="1"/>
  <c r="DR137" i="12" s="1"/>
  <c r="DS137" i="12" s="1"/>
  <c r="DT137" i="12" s="1"/>
  <c r="DU137" i="12" s="1"/>
  <c r="DV137" i="12" s="1"/>
  <c r="DW137" i="12" s="1"/>
  <c r="DX137" i="12" s="1"/>
  <c r="DY137" i="12" s="1"/>
  <c r="DZ137" i="12" s="1"/>
  <c r="EA137" i="12" s="1"/>
  <c r="EB137" i="12" s="1"/>
  <c r="EC137" i="12" s="1"/>
  <c r="ED137" i="12" s="1"/>
  <c r="EE137" i="12" s="1"/>
  <c r="EF137" i="12" s="1"/>
  <c r="EG137" i="12" s="1"/>
  <c r="EH137" i="12" s="1"/>
  <c r="EI137" i="12" s="1"/>
  <c r="EJ137" i="12" s="1"/>
  <c r="EK137" i="12" s="1"/>
  <c r="EL137" i="12" s="1"/>
  <c r="EM137" i="12" s="1"/>
  <c r="EN137" i="12" s="1"/>
  <c r="EO137" i="12" s="1"/>
  <c r="AA137" i="12" a="1"/>
  <c r="BS126" i="12"/>
  <c r="BR126" i="12"/>
  <c r="BQ126" i="12"/>
  <c r="BP126" i="12"/>
  <c r="BO126" i="12"/>
  <c r="BN126" i="12"/>
  <c r="BM126" i="12"/>
  <c r="BL126" i="12"/>
  <c r="BK126" i="12"/>
  <c r="BJ126" i="12"/>
  <c r="BI126" i="12"/>
  <c r="BH126" i="12"/>
  <c r="BG126" i="12"/>
  <c r="BF126" i="12"/>
  <c r="BE126" i="12"/>
  <c r="BD126" i="12"/>
  <c r="BC126" i="12"/>
  <c r="BB126" i="12"/>
  <c r="BA126" i="12"/>
  <c r="AZ126" i="12"/>
  <c r="AY126" i="12"/>
  <c r="AX126" i="12"/>
  <c r="AW126" i="12"/>
  <c r="AV126" i="12"/>
  <c r="AU126" i="12"/>
  <c r="BS125" i="12"/>
  <c r="BR125" i="12"/>
  <c r="BQ125" i="12"/>
  <c r="BO124" i="12"/>
  <c r="BO125" i="12" s="1"/>
  <c r="BK124" i="12"/>
  <c r="BG124" i="12"/>
  <c r="BC124" i="12"/>
  <c r="BC125" i="12" s="1"/>
  <c r="AY124" i="12"/>
  <c r="AY125" i="12" s="1"/>
  <c r="AU124" i="12"/>
  <c r="BP123" i="12"/>
  <c r="CQ123" i="12" s="1"/>
  <c r="BL123" i="12"/>
  <c r="BM123" i="12" s="1"/>
  <c r="BN123" i="12" s="1"/>
  <c r="BH123" i="12"/>
  <c r="BD123" i="12"/>
  <c r="BE123" i="12" s="1"/>
  <c r="AZ123" i="12"/>
  <c r="AV123" i="12"/>
  <c r="BS118" i="12"/>
  <c r="BR118" i="12"/>
  <c r="BQ118" i="12"/>
  <c r="BP118" i="12"/>
  <c r="BO118" i="12"/>
  <c r="BM118" i="12"/>
  <c r="BL118" i="12"/>
  <c r="BK118" i="12"/>
  <c r="BI118" i="12"/>
  <c r="BH118" i="12"/>
  <c r="BG118" i="12"/>
  <c r="BE118" i="12"/>
  <c r="BD118" i="12"/>
  <c r="BC118" i="12"/>
  <c r="BA118" i="12"/>
  <c r="AZ118" i="12"/>
  <c r="AY118" i="12"/>
  <c r="BS115" i="12"/>
  <c r="BR115" i="12"/>
  <c r="BQ115" i="12"/>
  <c r="BP115" i="12"/>
  <c r="BO115" i="12"/>
  <c r="BN115" i="12"/>
  <c r="BM115" i="12"/>
  <c r="BL115" i="12"/>
  <c r="BK115" i="12"/>
  <c r="BJ115" i="12"/>
  <c r="BI115" i="12"/>
  <c r="BH115" i="12"/>
  <c r="BG115" i="12"/>
  <c r="BF115" i="12"/>
  <c r="BE115" i="12"/>
  <c r="BD115" i="12"/>
  <c r="BC115" i="12"/>
  <c r="BB115" i="12"/>
  <c r="BA115" i="12"/>
  <c r="AZ115" i="12"/>
  <c r="AY115" i="12"/>
  <c r="AX115" i="12"/>
  <c r="BS114" i="12"/>
  <c r="BR114" i="12"/>
  <c r="BQ114" i="12"/>
  <c r="BP114" i="12"/>
  <c r="BO114" i="12"/>
  <c r="BN114" i="12"/>
  <c r="BM114" i="12"/>
  <c r="BL114" i="12"/>
  <c r="BK114" i="12"/>
  <c r="BJ114" i="12"/>
  <c r="BI114" i="12"/>
  <c r="BH114" i="12"/>
  <c r="BG114" i="12"/>
  <c r="BF114" i="12"/>
  <c r="BE114" i="12"/>
  <c r="BD114" i="12"/>
  <c r="BC114" i="12"/>
  <c r="BB114" i="12"/>
  <c r="BA114" i="12"/>
  <c r="AZ114" i="12"/>
  <c r="AY114" i="12"/>
  <c r="AX114" i="12"/>
  <c r="BS113" i="12"/>
  <c r="BR113" i="12"/>
  <c r="BQ113" i="12"/>
  <c r="BP113" i="12"/>
  <c r="BO113" i="12"/>
  <c r="BN113" i="12"/>
  <c r="BM113" i="12"/>
  <c r="BL113" i="12"/>
  <c r="BK113" i="12"/>
  <c r="BJ113" i="12"/>
  <c r="BI113" i="12"/>
  <c r="BH113" i="12"/>
  <c r="BG113" i="12"/>
  <c r="BF113" i="12"/>
  <c r="BE113" i="12"/>
  <c r="BD113" i="12"/>
  <c r="BC113" i="12"/>
  <c r="BB113" i="12"/>
  <c r="BA113" i="12"/>
  <c r="AZ113" i="12"/>
  <c r="AY113" i="12"/>
  <c r="AX113" i="12"/>
  <c r="DF100" i="12"/>
  <c r="CQ102" i="12"/>
  <c r="CP102" i="12"/>
  <c r="CO102" i="12"/>
  <c r="CN102" i="12"/>
  <c r="CM102" i="12"/>
  <c r="CL102" i="12"/>
  <c r="BS101" i="12"/>
  <c r="BS103" i="12" s="1"/>
  <c r="BR101" i="12"/>
  <c r="BR103" i="12" s="1"/>
  <c r="BQ101" i="12"/>
  <c r="CQ101" i="12" s="1"/>
  <c r="BP101" i="12"/>
  <c r="BP103" i="12" s="1"/>
  <c r="BO101" i="12"/>
  <c r="BO103" i="12" s="1"/>
  <c r="BN101" i="12"/>
  <c r="BN103" i="12" s="1"/>
  <c r="BM101" i="12"/>
  <c r="BM103" i="12" s="1"/>
  <c r="BL101" i="12"/>
  <c r="BL103" i="12" s="1"/>
  <c r="BK101" i="12"/>
  <c r="BK103" i="12" s="1"/>
  <c r="BJ101" i="12"/>
  <c r="BJ103" i="12" s="1"/>
  <c r="BI101" i="12"/>
  <c r="BI103" i="12" s="1"/>
  <c r="BH101" i="12"/>
  <c r="BH103" i="12" s="1"/>
  <c r="BG101" i="12"/>
  <c r="BG103" i="12" s="1"/>
  <c r="BF101" i="12"/>
  <c r="BF103" i="12" s="1"/>
  <c r="BE101" i="12"/>
  <c r="BE103" i="12" s="1"/>
  <c r="BD101" i="12"/>
  <c r="BD103" i="12" s="1"/>
  <c r="BC101" i="12"/>
  <c r="BC103" i="12" s="1"/>
  <c r="BB101" i="12"/>
  <c r="BB103" i="12" s="1"/>
  <c r="BA101" i="12"/>
  <c r="BA103" i="12" s="1"/>
  <c r="AZ101" i="12"/>
  <c r="AZ103" i="12" s="1"/>
  <c r="AY101" i="12"/>
  <c r="AY103" i="12" s="1"/>
  <c r="AX101" i="12"/>
  <c r="AX103" i="12" s="1"/>
  <c r="CQ100" i="12"/>
  <c r="CP100" i="12"/>
  <c r="CO100" i="12"/>
  <c r="CN100" i="12"/>
  <c r="CM100" i="12"/>
  <c r="CL100" i="12"/>
  <c r="CQ99" i="12"/>
  <c r="CP99" i="12"/>
  <c r="CO99" i="12"/>
  <c r="CN99" i="12"/>
  <c r="CM99" i="12"/>
  <c r="CL99" i="12"/>
  <c r="CQ98" i="12"/>
  <c r="CR63" i="12" s="1"/>
  <c r="CP98" i="12"/>
  <c r="CO98" i="12"/>
  <c r="CN98" i="12"/>
  <c r="CM98" i="12"/>
  <c r="CL98" i="12"/>
  <c r="CQ97" i="12"/>
  <c r="CP97" i="12"/>
  <c r="CO97" i="12"/>
  <c r="CN97" i="12"/>
  <c r="CM97" i="12"/>
  <c r="CL97" i="12"/>
  <c r="DF93" i="12"/>
  <c r="DF95" i="12" s="1"/>
  <c r="CQ96" i="12"/>
  <c r="CP96" i="12"/>
  <c r="CO96" i="12"/>
  <c r="CN96" i="12"/>
  <c r="CM96" i="12"/>
  <c r="CL96" i="12"/>
  <c r="CQ95" i="12"/>
  <c r="CP95" i="12"/>
  <c r="CO95" i="12"/>
  <c r="CN95" i="12"/>
  <c r="CM95" i="12"/>
  <c r="CL95" i="12"/>
  <c r="DK91" i="12"/>
  <c r="CQ94" i="12"/>
  <c r="CP94" i="12"/>
  <c r="CO94" i="12"/>
  <c r="CN94" i="12"/>
  <c r="CM94" i="12"/>
  <c r="CL94" i="12"/>
  <c r="DK89" i="12"/>
  <c r="BS92" i="12"/>
  <c r="BR92" i="12"/>
  <c r="BQ92" i="12"/>
  <c r="CQ92" i="12" s="1"/>
  <c r="BP92" i="12"/>
  <c r="BO92" i="12"/>
  <c r="BN92" i="12"/>
  <c r="CP92" i="12" s="1"/>
  <c r="BM92" i="12"/>
  <c r="BL92" i="12"/>
  <c r="BK92" i="12"/>
  <c r="BJ92" i="12"/>
  <c r="CO92" i="12" s="1"/>
  <c r="BI92" i="12"/>
  <c r="BH92" i="12"/>
  <c r="BG92" i="12"/>
  <c r="BF92" i="12"/>
  <c r="CN92" i="12" s="1"/>
  <c r="BE92" i="12"/>
  <c r="BD92" i="12"/>
  <c r="BC92" i="12"/>
  <c r="BB92" i="12"/>
  <c r="CM92" i="12" s="1"/>
  <c r="BA92" i="12"/>
  <c r="AZ92" i="12"/>
  <c r="AY92" i="12"/>
  <c r="AX92" i="12"/>
  <c r="CL92" i="12" s="1"/>
  <c r="CQ91" i="12"/>
  <c r="CP91" i="12"/>
  <c r="CO91" i="12"/>
  <c r="CN91" i="12"/>
  <c r="CM91" i="12"/>
  <c r="CL91" i="12"/>
  <c r="CQ90" i="12"/>
  <c r="CP90" i="12"/>
  <c r="CO90" i="12"/>
  <c r="CN90" i="12"/>
  <c r="CM90" i="12"/>
  <c r="CL90" i="12"/>
  <c r="CQ89" i="12"/>
  <c r="CP89" i="12"/>
  <c r="CO89" i="12"/>
  <c r="CN89" i="12"/>
  <c r="CM89" i="12"/>
  <c r="CL89" i="12"/>
  <c r="DK85" i="12"/>
  <c r="CQ88" i="12"/>
  <c r="CP88" i="12"/>
  <c r="CO88" i="12"/>
  <c r="CN88" i="12"/>
  <c r="CM88" i="12"/>
  <c r="CL88" i="12"/>
  <c r="CQ87" i="12"/>
  <c r="CP87" i="12"/>
  <c r="CO87" i="12"/>
  <c r="CN87" i="12"/>
  <c r="CM87" i="12"/>
  <c r="CL87" i="12"/>
  <c r="CQ86" i="12"/>
  <c r="CP86" i="12"/>
  <c r="CO86" i="12"/>
  <c r="CN86" i="12"/>
  <c r="CM86" i="12"/>
  <c r="CL86" i="12"/>
  <c r="CQ85" i="12"/>
  <c r="CL85" i="12"/>
  <c r="CQ84" i="12"/>
  <c r="CP84" i="12"/>
  <c r="CO84" i="12"/>
  <c r="CN84" i="12"/>
  <c r="CM84" i="12"/>
  <c r="CL84" i="12"/>
  <c r="CQ83" i="12"/>
  <c r="CP83" i="12"/>
  <c r="CO83" i="12"/>
  <c r="CN83" i="12"/>
  <c r="CM83" i="12"/>
  <c r="CL83" i="12"/>
  <c r="CQ82" i="12"/>
  <c r="CP82" i="12"/>
  <c r="CO82" i="12"/>
  <c r="CN82" i="12"/>
  <c r="CM82" i="12"/>
  <c r="CL82" i="12"/>
  <c r="CQ81" i="12"/>
  <c r="CP81" i="12"/>
  <c r="CO81" i="12"/>
  <c r="CN81" i="12"/>
  <c r="CM81" i="12"/>
  <c r="CL81" i="12"/>
  <c r="AT77" i="12"/>
  <c r="AS77" i="12"/>
  <c r="AR77" i="12"/>
  <c r="AQ77" i="12"/>
  <c r="AP77" i="12"/>
  <c r="AO77" i="12"/>
  <c r="AN77" i="12"/>
  <c r="AM77" i="12"/>
  <c r="AL77" i="12"/>
  <c r="AK77"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C77" i="12"/>
  <c r="AT76" i="12"/>
  <c r="AS76" i="12"/>
  <c r="AR76" i="12"/>
  <c r="AQ76" i="12"/>
  <c r="AP76" i="12"/>
  <c r="AO76" i="12"/>
  <c r="AN76" i="12"/>
  <c r="AM76" i="12"/>
  <c r="AL76" i="12"/>
  <c r="AK76"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C76" i="12"/>
  <c r="AT75" i="12"/>
  <c r="AS75" i="12"/>
  <c r="AR75" i="12"/>
  <c r="AQ75" i="12"/>
  <c r="AP75" i="12"/>
  <c r="AO75" i="12"/>
  <c r="AN75" i="12"/>
  <c r="AM75" i="12"/>
  <c r="AL75" i="12"/>
  <c r="AK75"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C75" i="12"/>
  <c r="CQ71" i="12"/>
  <c r="CP71" i="12"/>
  <c r="CO71" i="12"/>
  <c r="CN71" i="12"/>
  <c r="CM71" i="12"/>
  <c r="CL71" i="12"/>
  <c r="CK71" i="12"/>
  <c r="CJ71" i="12"/>
  <c r="CI71" i="12"/>
  <c r="CH71" i="12"/>
  <c r="CG71" i="12"/>
  <c r="CF71" i="12"/>
  <c r="CE71" i="12"/>
  <c r="CD71" i="12"/>
  <c r="CC71" i="12"/>
  <c r="CB71" i="12"/>
  <c r="CA71" i="12"/>
  <c r="CQ69" i="12"/>
  <c r="CO69" i="12"/>
  <c r="CN69" i="12"/>
  <c r="CM69" i="12"/>
  <c r="CL69" i="12"/>
  <c r="BN69" i="12"/>
  <c r="CP69" i="12" s="1"/>
  <c r="CQ68" i="12"/>
  <c r="BN68" i="12"/>
  <c r="CP68" i="12" s="1"/>
  <c r="BJ68" i="12"/>
  <c r="CO68" i="12" s="1"/>
  <c r="BF68" i="12"/>
  <c r="CN68" i="12" s="1"/>
  <c r="BB68" i="12"/>
  <c r="CM68" i="12" s="1"/>
  <c r="AX68" i="12"/>
  <c r="CL68" i="12" s="1"/>
  <c r="CQ66" i="12"/>
  <c r="CK66" i="12"/>
  <c r="CJ66" i="12"/>
  <c r="CI66" i="12"/>
  <c r="CH66" i="12"/>
  <c r="CG66" i="12"/>
  <c r="CF66" i="12"/>
  <c r="CE66" i="12"/>
  <c r="CD66" i="12"/>
  <c r="CC66" i="12"/>
  <c r="CB66" i="12"/>
  <c r="CA66" i="12"/>
  <c r="BN66" i="12"/>
  <c r="CP66" i="12" s="1"/>
  <c r="BJ66" i="12"/>
  <c r="BF66" i="12"/>
  <c r="BB66" i="12"/>
  <c r="AX66" i="12"/>
  <c r="AT65" i="12"/>
  <c r="AT78" i="12" s="1"/>
  <c r="AS65" i="12"/>
  <c r="AS67" i="12" s="1"/>
  <c r="AR65" i="12"/>
  <c r="AR78" i="12" s="1"/>
  <c r="AQ65" i="12"/>
  <c r="AQ67" i="12" s="1"/>
  <c r="AQ79" i="12" s="1"/>
  <c r="AP65" i="12"/>
  <c r="AP78" i="12" s="1"/>
  <c r="AO65" i="12"/>
  <c r="AO78" i="12" s="1"/>
  <c r="AN65" i="12"/>
  <c r="AN78" i="12" s="1"/>
  <c r="AM65" i="12"/>
  <c r="AM67" i="12" s="1"/>
  <c r="AL65" i="12"/>
  <c r="AL78" i="12" s="1"/>
  <c r="AK65" i="12"/>
  <c r="AK78" i="12" s="1"/>
  <c r="AJ65" i="12"/>
  <c r="AJ78" i="12" s="1"/>
  <c r="AI65" i="12"/>
  <c r="AI78" i="12" s="1"/>
  <c r="AH65" i="12"/>
  <c r="AH78" i="12" s="1"/>
  <c r="AG65" i="12"/>
  <c r="AG78" i="12" s="1"/>
  <c r="AF65" i="12"/>
  <c r="AF78" i="12" s="1"/>
  <c r="AE65" i="12"/>
  <c r="AE78" i="12" s="1"/>
  <c r="AD65" i="12"/>
  <c r="AD78" i="12" s="1"/>
  <c r="AC65" i="12"/>
  <c r="AC67" i="12" s="1"/>
  <c r="AB65" i="12"/>
  <c r="AB78" i="12" s="1"/>
  <c r="AA65" i="12"/>
  <c r="AA78" i="12" s="1"/>
  <c r="Z65" i="12"/>
  <c r="Z78" i="12" s="1"/>
  <c r="Y65" i="12"/>
  <c r="Y78" i="12" s="1"/>
  <c r="X65" i="12"/>
  <c r="X78" i="12" s="1"/>
  <c r="W65" i="12"/>
  <c r="V65" i="12"/>
  <c r="V78" i="12" s="1"/>
  <c r="U65" i="12"/>
  <c r="U78" i="12" s="1"/>
  <c r="T65" i="12"/>
  <c r="T78" i="12" s="1"/>
  <c r="S65" i="12"/>
  <c r="S78" i="12" s="1"/>
  <c r="R65" i="12"/>
  <c r="R78" i="12" s="1"/>
  <c r="Q65" i="12"/>
  <c r="Q78" i="12" s="1"/>
  <c r="P65" i="12"/>
  <c r="P78" i="12" s="1"/>
  <c r="O65" i="12"/>
  <c r="O67" i="12" s="1"/>
  <c r="N65" i="12"/>
  <c r="N78" i="12" s="1"/>
  <c r="M65" i="12"/>
  <c r="M78" i="12" s="1"/>
  <c r="L65" i="12"/>
  <c r="L78" i="12" s="1"/>
  <c r="K65" i="12"/>
  <c r="K78" i="12" s="1"/>
  <c r="J65" i="12"/>
  <c r="J78" i="12" s="1"/>
  <c r="I65" i="12"/>
  <c r="I78" i="12" s="1"/>
  <c r="H65" i="12"/>
  <c r="H78" i="12" s="1"/>
  <c r="G65" i="12"/>
  <c r="G67" i="12" s="1"/>
  <c r="F65" i="12"/>
  <c r="F78" i="12" s="1"/>
  <c r="E65" i="12"/>
  <c r="E78" i="12" s="1"/>
  <c r="D65" i="12"/>
  <c r="D78" i="12" s="1"/>
  <c r="C65" i="12"/>
  <c r="C78" i="12" s="1"/>
  <c r="CQ64" i="12"/>
  <c r="CK64" i="12"/>
  <c r="CJ64" i="12"/>
  <c r="CI64" i="12"/>
  <c r="CH64" i="12"/>
  <c r="CG64" i="12"/>
  <c r="CF64" i="12"/>
  <c r="CE64" i="12"/>
  <c r="CD64" i="12"/>
  <c r="CC64" i="12"/>
  <c r="CB64" i="12"/>
  <c r="CA64" i="12"/>
  <c r="BN64" i="12"/>
  <c r="CP64" i="12" s="1"/>
  <c r="BJ64" i="12"/>
  <c r="CO64" i="12" s="1"/>
  <c r="BF64" i="12"/>
  <c r="CN64" i="12" s="1"/>
  <c r="BB64" i="12"/>
  <c r="CM64" i="12" s="1"/>
  <c r="AX64" i="12"/>
  <c r="CL64" i="12" s="1"/>
  <c r="CQ63" i="12"/>
  <c r="BN63" i="12"/>
  <c r="CP63" i="12" s="1"/>
  <c r="BJ63" i="12"/>
  <c r="CO63" i="12" s="1"/>
  <c r="BF63" i="12"/>
  <c r="CN63" i="12" s="1"/>
  <c r="BB63" i="12"/>
  <c r="CM63" i="12" s="1"/>
  <c r="AX63" i="12"/>
  <c r="CL63" i="12" s="1"/>
  <c r="CK62" i="12"/>
  <c r="CJ62" i="12"/>
  <c r="CI62" i="12"/>
  <c r="CH62" i="12"/>
  <c r="CG62" i="12"/>
  <c r="CF62" i="12"/>
  <c r="CE62" i="12"/>
  <c r="CD62" i="12"/>
  <c r="CC62" i="12"/>
  <c r="CB62" i="12"/>
  <c r="CA62" i="12"/>
  <c r="CQ61" i="12"/>
  <c r="BN61" i="12"/>
  <c r="CP61" i="12" s="1"/>
  <c r="BJ61" i="12"/>
  <c r="CO61" i="12" s="1"/>
  <c r="BF61" i="12"/>
  <c r="CN61" i="12" s="1"/>
  <c r="BB61" i="12"/>
  <c r="CM61" i="12" s="1"/>
  <c r="AX61" i="12"/>
  <c r="CL61" i="12" s="1"/>
  <c r="CQ60" i="12"/>
  <c r="BN60" i="12"/>
  <c r="CP60" i="12" s="1"/>
  <c r="BJ60" i="12"/>
  <c r="CO60" i="12" s="1"/>
  <c r="BF60" i="12"/>
  <c r="CN60" i="12" s="1"/>
  <c r="BB60" i="12"/>
  <c r="CM60" i="12" s="1"/>
  <c r="AX60" i="12"/>
  <c r="CL60" i="12" s="1"/>
  <c r="CQ59" i="12"/>
  <c r="BN59" i="12"/>
  <c r="CP59" i="12" s="1"/>
  <c r="BJ59" i="12"/>
  <c r="CO59" i="12" s="1"/>
  <c r="BF59" i="12"/>
  <c r="CN59" i="12" s="1"/>
  <c r="BB59" i="12"/>
  <c r="CM59" i="12" s="1"/>
  <c r="AX59" i="12"/>
  <c r="CL59" i="12" s="1"/>
  <c r="CQ58" i="12"/>
  <c r="BN58" i="12"/>
  <c r="CP58" i="12" s="1"/>
  <c r="BJ58" i="12"/>
  <c r="CO58" i="12" s="1"/>
  <c r="BF58" i="12"/>
  <c r="CN58" i="12" s="1"/>
  <c r="BB58" i="12"/>
  <c r="CM58" i="12" s="1"/>
  <c r="AX58" i="12"/>
  <c r="CL58" i="12" s="1"/>
  <c r="CQ57" i="12"/>
  <c r="CR57" i="12" s="1"/>
  <c r="CS57" i="12" s="1"/>
  <c r="CT57" i="12" s="1"/>
  <c r="CU57" i="12" s="1"/>
  <c r="CV57" i="12" s="1"/>
  <c r="CW57" i="12" s="1"/>
  <c r="CX57" i="12" s="1"/>
  <c r="CY57" i="12" s="1"/>
  <c r="CZ57" i="12" s="1"/>
  <c r="DA57" i="12" s="1"/>
  <c r="BN57" i="12"/>
  <c r="CP57" i="12" s="1"/>
  <c r="BJ57" i="12"/>
  <c r="CO57" i="12" s="1"/>
  <c r="BF57" i="12"/>
  <c r="CN57" i="12" s="1"/>
  <c r="BB57" i="12"/>
  <c r="CM57" i="12" s="1"/>
  <c r="AX57" i="12"/>
  <c r="CL57" i="12" s="1"/>
  <c r="CQ56" i="12"/>
  <c r="CR56" i="12" s="1"/>
  <c r="CS56" i="12" s="1"/>
  <c r="CT56" i="12" s="1"/>
  <c r="CU56" i="12" s="1"/>
  <c r="CV56" i="12" s="1"/>
  <c r="CW56" i="12" s="1"/>
  <c r="CX56" i="12" s="1"/>
  <c r="CY56" i="12" s="1"/>
  <c r="CZ56" i="12" s="1"/>
  <c r="DA56" i="12" s="1"/>
  <c r="BN56" i="12"/>
  <c r="CP56" i="12" s="1"/>
  <c r="BJ56" i="12"/>
  <c r="CO56" i="12" s="1"/>
  <c r="BF56" i="12"/>
  <c r="CN56" i="12" s="1"/>
  <c r="BB56" i="12"/>
  <c r="CM56" i="12" s="1"/>
  <c r="AX56" i="12"/>
  <c r="CL56" i="12" s="1"/>
  <c r="CQ55" i="12"/>
  <c r="CR55" i="12" s="1"/>
  <c r="CS55" i="12" s="1"/>
  <c r="CT55" i="12" s="1"/>
  <c r="CU55" i="12" s="1"/>
  <c r="CV55" i="12" s="1"/>
  <c r="CW55" i="12" s="1"/>
  <c r="CX55" i="12" s="1"/>
  <c r="CY55" i="12" s="1"/>
  <c r="CZ55" i="12" s="1"/>
  <c r="DA55" i="12" s="1"/>
  <c r="BN55" i="12"/>
  <c r="CP55" i="12" s="1"/>
  <c r="BJ55" i="12"/>
  <c r="CO55" i="12" s="1"/>
  <c r="BF55" i="12"/>
  <c r="CN55" i="12" s="1"/>
  <c r="BB55" i="12"/>
  <c r="CM55" i="12" s="1"/>
  <c r="AX55" i="12"/>
  <c r="CL55" i="12" s="1"/>
  <c r="CQ54" i="12"/>
  <c r="CO54" i="12"/>
  <c r="CK54" i="12"/>
  <c r="CJ54" i="12"/>
  <c r="CI54" i="12"/>
  <c r="CH54" i="12"/>
  <c r="CG54" i="12"/>
  <c r="CF54" i="12"/>
  <c r="CE54" i="12"/>
  <c r="CD54" i="12"/>
  <c r="CC54" i="12"/>
  <c r="CB54" i="12"/>
  <c r="CA54" i="12"/>
  <c r="BN54" i="12"/>
  <c r="BJ54" i="12"/>
  <c r="BF54" i="12"/>
  <c r="BB54" i="12"/>
  <c r="AX54" i="12"/>
  <c r="CL54" i="12" s="1"/>
  <c r="CQ53" i="12"/>
  <c r="CK53" i="12"/>
  <c r="CJ53" i="12"/>
  <c r="CI53" i="12"/>
  <c r="CH53" i="12"/>
  <c r="CG53" i="12"/>
  <c r="CF53" i="12"/>
  <c r="CE53" i="12"/>
  <c r="CD53" i="12"/>
  <c r="CC53" i="12"/>
  <c r="CB53" i="12"/>
  <c r="CA53" i="12"/>
  <c r="BN53" i="12"/>
  <c r="BJ53" i="12"/>
  <c r="BF53" i="12"/>
  <c r="BB53" i="12"/>
  <c r="AX53" i="12"/>
  <c r="AT52" i="12"/>
  <c r="AT74" i="12" s="1"/>
  <c r="AS52" i="12"/>
  <c r="AS74" i="12" s="1"/>
  <c r="AR52" i="12"/>
  <c r="AR74" i="12" s="1"/>
  <c r="AQ52" i="12"/>
  <c r="AP52" i="12"/>
  <c r="AP74" i="12" s="1"/>
  <c r="AO52" i="12"/>
  <c r="AO74" i="12" s="1"/>
  <c r="AN52" i="12"/>
  <c r="AN74" i="12" s="1"/>
  <c r="AM52" i="12"/>
  <c r="AM74" i="12" s="1"/>
  <c r="AL52" i="12"/>
  <c r="AL74" i="12" s="1"/>
  <c r="AK52" i="12"/>
  <c r="AK74" i="12" s="1"/>
  <c r="AJ52" i="12"/>
  <c r="AJ74" i="12" s="1"/>
  <c r="AI52" i="12"/>
  <c r="AI74" i="12" s="1"/>
  <c r="AH52" i="12"/>
  <c r="AH74" i="12" s="1"/>
  <c r="AG52" i="12"/>
  <c r="AG74" i="12" s="1"/>
  <c r="AF52" i="12"/>
  <c r="AF74" i="12" s="1"/>
  <c r="AE52" i="12"/>
  <c r="AE74" i="12" s="1"/>
  <c r="AD52" i="12"/>
  <c r="AD74" i="12" s="1"/>
  <c r="AC52" i="12"/>
  <c r="AC74" i="12" s="1"/>
  <c r="AB52" i="12"/>
  <c r="AB74" i="12" s="1"/>
  <c r="AA52" i="12"/>
  <c r="AA74" i="12" s="1"/>
  <c r="Z52" i="12"/>
  <c r="Z74" i="12" s="1"/>
  <c r="Y52" i="12"/>
  <c r="Y74" i="12" s="1"/>
  <c r="X52" i="12"/>
  <c r="X74" i="12" s="1"/>
  <c r="W52" i="12"/>
  <c r="W74" i="12" s="1"/>
  <c r="V52" i="12"/>
  <c r="V74" i="12" s="1"/>
  <c r="U52" i="12"/>
  <c r="U74" i="12" s="1"/>
  <c r="T52" i="12"/>
  <c r="T74" i="12" s="1"/>
  <c r="S52" i="12"/>
  <c r="R52" i="12"/>
  <c r="R74" i="12" s="1"/>
  <c r="Q52" i="12"/>
  <c r="Q74" i="12" s="1"/>
  <c r="P52" i="12"/>
  <c r="P74" i="12" s="1"/>
  <c r="O52" i="12"/>
  <c r="O74" i="12" s="1"/>
  <c r="N52" i="12"/>
  <c r="N74" i="12" s="1"/>
  <c r="M52" i="12"/>
  <c r="M74" i="12" s="1"/>
  <c r="L52" i="12"/>
  <c r="L74" i="12" s="1"/>
  <c r="K52" i="12"/>
  <c r="J52" i="12"/>
  <c r="J74" i="12" s="1"/>
  <c r="I52" i="12"/>
  <c r="I74" i="12" s="1"/>
  <c r="H52" i="12"/>
  <c r="H74" i="12" s="1"/>
  <c r="G52" i="12"/>
  <c r="G74" i="12" s="1"/>
  <c r="F52" i="12"/>
  <c r="F74" i="12" s="1"/>
  <c r="E52" i="12"/>
  <c r="E74" i="12" s="1"/>
  <c r="D52" i="12"/>
  <c r="D74" i="12" s="1"/>
  <c r="C52" i="12"/>
  <c r="CK51" i="12"/>
  <c r="CJ51" i="12"/>
  <c r="CI51" i="12"/>
  <c r="CH51" i="12"/>
  <c r="CG51" i="12"/>
  <c r="CF51" i="12"/>
  <c r="CE51" i="12"/>
  <c r="CD51" i="12"/>
  <c r="CC51" i="12"/>
  <c r="CB51" i="12"/>
  <c r="CA51" i="12"/>
  <c r="BN51" i="12"/>
  <c r="BN118" i="12" s="1"/>
  <c r="BJ51" i="12"/>
  <c r="BJ118" i="12" s="1"/>
  <c r="BF51" i="12"/>
  <c r="BF118" i="12" s="1"/>
  <c r="BB51" i="12"/>
  <c r="BB118" i="12" s="1"/>
  <c r="AX51" i="12"/>
  <c r="AX118" i="12" s="1"/>
  <c r="CK50" i="12"/>
  <c r="CJ50" i="12"/>
  <c r="CI50" i="12"/>
  <c r="CH50" i="12"/>
  <c r="CH75" i="12" s="1"/>
  <c r="CG50" i="12"/>
  <c r="CF50" i="12"/>
  <c r="CE50" i="12"/>
  <c r="CD50" i="12"/>
  <c r="CC50" i="12"/>
  <c r="CB50" i="12"/>
  <c r="CB76" i="12" s="1"/>
  <c r="CA50" i="12"/>
  <c r="BS42" i="12"/>
  <c r="BQ42" i="12"/>
  <c r="BP42" i="12"/>
  <c r="BO42" i="12"/>
  <c r="BM42" i="12"/>
  <c r="BL42" i="12"/>
  <c r="BK42" i="12"/>
  <c r="BI42" i="12"/>
  <c r="BH42" i="12"/>
  <c r="BG42" i="12"/>
  <c r="BE42" i="12"/>
  <c r="BD42" i="12"/>
  <c r="BC42" i="12"/>
  <c r="BA42" i="12"/>
  <c r="AZ42" i="12"/>
  <c r="AY42" i="12"/>
  <c r="BS41" i="12"/>
  <c r="BQ41" i="12"/>
  <c r="BP41" i="12"/>
  <c r="BO41" i="12"/>
  <c r="BM41" i="12"/>
  <c r="BL41" i="12"/>
  <c r="BK41" i="12"/>
  <c r="BI41" i="12"/>
  <c r="BH41" i="12"/>
  <c r="BG41" i="12"/>
  <c r="BE41" i="12"/>
  <c r="BD41" i="12"/>
  <c r="BC41" i="12"/>
  <c r="BA41" i="12"/>
  <c r="AZ41" i="12"/>
  <c r="AY41" i="12"/>
  <c r="BS40" i="12"/>
  <c r="BQ40" i="12"/>
  <c r="BP40" i="12"/>
  <c r="BO40" i="12"/>
  <c r="BM40" i="12"/>
  <c r="BL40" i="12"/>
  <c r="BK40" i="12"/>
  <c r="BI40" i="12"/>
  <c r="BH40" i="12"/>
  <c r="BG40" i="12"/>
  <c r="BE40" i="12"/>
  <c r="BD40" i="12"/>
  <c r="BC40" i="12"/>
  <c r="BA40" i="12"/>
  <c r="AZ40" i="12"/>
  <c r="AY40" i="12"/>
  <c r="BS39" i="12"/>
  <c r="BQ39" i="12"/>
  <c r="BP39" i="12"/>
  <c r="BO39" i="12"/>
  <c r="BM39" i="12"/>
  <c r="BL39" i="12"/>
  <c r="BK39" i="12"/>
  <c r="BI39" i="12"/>
  <c r="BH39" i="12"/>
  <c r="BG39" i="12"/>
  <c r="BE39" i="12"/>
  <c r="BD39" i="12"/>
  <c r="BC39" i="12"/>
  <c r="BA39" i="12"/>
  <c r="AZ39" i="12"/>
  <c r="AY39" i="12"/>
  <c r="CK37" i="12"/>
  <c r="CK45" i="12" s="1"/>
  <c r="BS37" i="12"/>
  <c r="BR37" i="12"/>
  <c r="BQ37" i="12"/>
  <c r="BQ50" i="12" s="1"/>
  <c r="BP37" i="12"/>
  <c r="BO37" i="12"/>
  <c r="BM37" i="12"/>
  <c r="BL37" i="12"/>
  <c r="BL48" i="12" s="1"/>
  <c r="BK37" i="12"/>
  <c r="BK50" i="12" s="1"/>
  <c r="BI37" i="12"/>
  <c r="BI50" i="12" s="1"/>
  <c r="BH37" i="12"/>
  <c r="BG37" i="12"/>
  <c r="BE37" i="12"/>
  <c r="BD37" i="12"/>
  <c r="BD46" i="12" s="1"/>
  <c r="BC37" i="12"/>
  <c r="BC50" i="12" s="1"/>
  <c r="BA37" i="12"/>
  <c r="BA50" i="12" s="1"/>
  <c r="AZ37" i="12"/>
  <c r="AY37" i="12"/>
  <c r="AW37" i="12"/>
  <c r="AW50" i="12" s="1"/>
  <c r="AV37" i="12"/>
  <c r="AV46" i="12" s="1"/>
  <c r="AU37" i="12"/>
  <c r="AU50" i="12" s="1"/>
  <c r="CQ36" i="12"/>
  <c r="BN36" i="12"/>
  <c r="BR42" i="12" s="1"/>
  <c r="BJ36" i="12"/>
  <c r="BF36" i="12"/>
  <c r="BB36" i="12"/>
  <c r="AX36" i="12"/>
  <c r="CQ35" i="12"/>
  <c r="BN35" i="12"/>
  <c r="BJ35" i="12"/>
  <c r="CO35" i="12" s="1"/>
  <c r="BF35" i="12"/>
  <c r="BB35" i="12"/>
  <c r="AX35" i="12"/>
  <c r="CL35" i="12" s="1"/>
  <c r="CQ34" i="12"/>
  <c r="BN34" i="12"/>
  <c r="BR40" i="12" s="1"/>
  <c r="BJ34" i="12"/>
  <c r="CO34" i="12" s="1"/>
  <c r="BF34" i="12"/>
  <c r="CN34" i="12" s="1"/>
  <c r="BB34" i="12"/>
  <c r="AX34" i="12"/>
  <c r="CQ33" i="12"/>
  <c r="BN33" i="12"/>
  <c r="BJ33" i="12"/>
  <c r="BF33" i="12"/>
  <c r="BB33" i="12"/>
  <c r="AX33" i="12"/>
  <c r="CL33" i="12" s="1"/>
  <c r="CL39" i="12" s="1"/>
  <c r="BS26" i="12"/>
  <c r="BQ26" i="12"/>
  <c r="BP26" i="12"/>
  <c r="BO26" i="12"/>
  <c r="BM26" i="12"/>
  <c r="BL26" i="12"/>
  <c r="BK26" i="12"/>
  <c r="BI26" i="12"/>
  <c r="BH26" i="12"/>
  <c r="BG26" i="12"/>
  <c r="BE26" i="12"/>
  <c r="BD26" i="12"/>
  <c r="BA26" i="12"/>
  <c r="AZ26" i="12"/>
  <c r="BS24" i="12"/>
  <c r="BQ24" i="12"/>
  <c r="BP24" i="12"/>
  <c r="BO24" i="12"/>
  <c r="BM24" i="12"/>
  <c r="BL24" i="12"/>
  <c r="BK24" i="12"/>
  <c r="BI24" i="12"/>
  <c r="BH24" i="12"/>
  <c r="BG24" i="12"/>
  <c r="BE24" i="12"/>
  <c r="BD24" i="12"/>
  <c r="BC24" i="12"/>
  <c r="BA24" i="12"/>
  <c r="AZ24" i="12"/>
  <c r="AY24" i="12"/>
  <c r="BS23" i="12"/>
  <c r="BQ23" i="12"/>
  <c r="BP23" i="12"/>
  <c r="BO23" i="12"/>
  <c r="BM23" i="12"/>
  <c r="BL23" i="12"/>
  <c r="BK23" i="12"/>
  <c r="BI23" i="12"/>
  <c r="BH23" i="12"/>
  <c r="BG23" i="12"/>
  <c r="BE23" i="12"/>
  <c r="BD23" i="12"/>
  <c r="BC23" i="12"/>
  <c r="BA23" i="12"/>
  <c r="AZ23" i="12"/>
  <c r="AY23" i="12"/>
  <c r="BS22" i="12"/>
  <c r="BQ22" i="12"/>
  <c r="BP22" i="12"/>
  <c r="BO22" i="12"/>
  <c r="BM22" i="12"/>
  <c r="BL22" i="12"/>
  <c r="BK22" i="12"/>
  <c r="BI22" i="12"/>
  <c r="BH22" i="12"/>
  <c r="BG22" i="12"/>
  <c r="BE22" i="12"/>
  <c r="BD22" i="12"/>
  <c r="BC22" i="12"/>
  <c r="BA22" i="12"/>
  <c r="AZ22" i="12"/>
  <c r="AY22" i="12"/>
  <c r="BS21" i="12"/>
  <c r="BQ21" i="12"/>
  <c r="BP21" i="12"/>
  <c r="BO21" i="12"/>
  <c r="BM21" i="12"/>
  <c r="BL21" i="12"/>
  <c r="BK21" i="12"/>
  <c r="BI21" i="12"/>
  <c r="BH21" i="12"/>
  <c r="BG21" i="12"/>
  <c r="BE21" i="12"/>
  <c r="BD21" i="12"/>
  <c r="BC21" i="12"/>
  <c r="BA21" i="12"/>
  <c r="AZ21" i="12"/>
  <c r="AY21" i="12"/>
  <c r="BS19" i="12"/>
  <c r="BQ19" i="12"/>
  <c r="BP19" i="12"/>
  <c r="BO19" i="12"/>
  <c r="BM19" i="12"/>
  <c r="BL19" i="12"/>
  <c r="BK19" i="12"/>
  <c r="BI19" i="12"/>
  <c r="BH19" i="12"/>
  <c r="BG19" i="12"/>
  <c r="BE19" i="12"/>
  <c r="BD19" i="12"/>
  <c r="BC19" i="12"/>
  <c r="BA19" i="12"/>
  <c r="AZ19" i="12"/>
  <c r="AY19" i="12"/>
  <c r="BS18" i="12"/>
  <c r="BQ18" i="12"/>
  <c r="BP18" i="12"/>
  <c r="BO18" i="12"/>
  <c r="BM18" i="12"/>
  <c r="BL18" i="12"/>
  <c r="BK18" i="12"/>
  <c r="BI18" i="12"/>
  <c r="BH18" i="12"/>
  <c r="BG18" i="12"/>
  <c r="BE18" i="12"/>
  <c r="BD18" i="12"/>
  <c r="BC18" i="12"/>
  <c r="BA18" i="12"/>
  <c r="AZ18" i="12"/>
  <c r="AY18" i="12"/>
  <c r="BS17" i="12"/>
  <c r="BQ17" i="12"/>
  <c r="BP17" i="12"/>
  <c r="BO17" i="12"/>
  <c r="BM17" i="12"/>
  <c r="BL17" i="12"/>
  <c r="BK17" i="12"/>
  <c r="BI17" i="12"/>
  <c r="BH17" i="12"/>
  <c r="BG17" i="12"/>
  <c r="BE17" i="12"/>
  <c r="BD17" i="12"/>
  <c r="BC17" i="12"/>
  <c r="BA17" i="12"/>
  <c r="AZ17" i="12"/>
  <c r="AY17" i="12"/>
  <c r="CQ13" i="12"/>
  <c r="CR13" i="12" s="1"/>
  <c r="CS13" i="12" s="1"/>
  <c r="CT13" i="12" s="1"/>
  <c r="CU13" i="12" s="1"/>
  <c r="CV13" i="12" s="1"/>
  <c r="CW13" i="12" s="1"/>
  <c r="CX13" i="12" s="1"/>
  <c r="CY13" i="12" s="1"/>
  <c r="CZ13" i="12" s="1"/>
  <c r="DA13" i="12" s="1"/>
  <c r="DA25" i="12" s="1"/>
  <c r="BN13" i="12"/>
  <c r="BJ13" i="12"/>
  <c r="BF13" i="12"/>
  <c r="AY13" i="12"/>
  <c r="AY26" i="12" s="1"/>
  <c r="AX13" i="12"/>
  <c r="CL13" i="12" s="1"/>
  <c r="CL26" i="12" s="1"/>
  <c r="CK12" i="12"/>
  <c r="CK14" i="12" s="1"/>
  <c r="BS12" i="12"/>
  <c r="BR12" i="12"/>
  <c r="BR14" i="12" s="1"/>
  <c r="BQ12" i="12"/>
  <c r="BP12" i="12"/>
  <c r="BO12" i="12"/>
  <c r="BM12" i="12"/>
  <c r="BL12" i="12"/>
  <c r="BK12" i="12"/>
  <c r="BI12" i="12"/>
  <c r="BH12" i="12"/>
  <c r="BG12" i="12"/>
  <c r="BE12" i="12"/>
  <c r="BD12" i="12"/>
  <c r="BC12" i="12"/>
  <c r="BA12" i="12"/>
  <c r="BA14" i="12" s="1"/>
  <c r="AZ12" i="12"/>
  <c r="AY12" i="12"/>
  <c r="AW12" i="12"/>
  <c r="AW14" i="12" s="1"/>
  <c r="AV12" i="12"/>
  <c r="AV14" i="12" s="1"/>
  <c r="AU12" i="12"/>
  <c r="AU14" i="12" s="1"/>
  <c r="CQ11" i="12"/>
  <c r="CR11" i="12" s="1"/>
  <c r="CS11" i="12" s="1"/>
  <c r="CT11" i="12" s="1"/>
  <c r="CU11" i="12" s="1"/>
  <c r="CV11" i="12" s="1"/>
  <c r="CW11" i="12" s="1"/>
  <c r="CX11" i="12" s="1"/>
  <c r="CY11" i="12" s="1"/>
  <c r="CZ11" i="12" s="1"/>
  <c r="DA11" i="12" s="1"/>
  <c r="BN11" i="12"/>
  <c r="BJ11" i="12"/>
  <c r="BF11" i="12"/>
  <c r="BB11" i="12"/>
  <c r="CM11" i="12" s="1"/>
  <c r="AX11" i="12"/>
  <c r="CL11" i="12" s="1"/>
  <c r="CL24" i="12" s="1"/>
  <c r="CQ10" i="12"/>
  <c r="CR10" i="12" s="1"/>
  <c r="CS10" i="12" s="1"/>
  <c r="CT10" i="12" s="1"/>
  <c r="CU10" i="12" s="1"/>
  <c r="CV10" i="12" s="1"/>
  <c r="CW10" i="12" s="1"/>
  <c r="CX10" i="12" s="1"/>
  <c r="CY10" i="12" s="1"/>
  <c r="CZ10" i="12" s="1"/>
  <c r="DA10" i="12" s="1"/>
  <c r="BN10" i="12"/>
  <c r="BR23" i="12" s="1"/>
  <c r="BJ10" i="12"/>
  <c r="BF10" i="12"/>
  <c r="BB10" i="12"/>
  <c r="AX10" i="12"/>
  <c r="CL10" i="12" s="1"/>
  <c r="CL23" i="12" s="1"/>
  <c r="CQ9" i="12"/>
  <c r="CR9" i="12" s="1"/>
  <c r="CS9" i="12" s="1"/>
  <c r="CT9" i="12" s="1"/>
  <c r="CU9" i="12" s="1"/>
  <c r="CV9" i="12" s="1"/>
  <c r="CW9" i="12" s="1"/>
  <c r="CX9" i="12" s="1"/>
  <c r="CY9" i="12" s="1"/>
  <c r="CZ9" i="12" s="1"/>
  <c r="DA9" i="12" s="1"/>
  <c r="BN9" i="12"/>
  <c r="BJ9" i="12"/>
  <c r="BF9" i="12"/>
  <c r="BB9" i="12"/>
  <c r="AX9" i="12"/>
  <c r="CL9" i="12" s="1"/>
  <c r="CL22" i="12" s="1"/>
  <c r="CQ8" i="12"/>
  <c r="CR8" i="12" s="1"/>
  <c r="BN8" i="12"/>
  <c r="CP8" i="12" s="1"/>
  <c r="BJ8" i="12"/>
  <c r="BF8" i="12"/>
  <c r="BB8" i="12"/>
  <c r="AX8" i="12"/>
  <c r="CL8" i="12" s="1"/>
  <c r="CK7" i="12"/>
  <c r="BS7" i="12"/>
  <c r="BR7" i="12"/>
  <c r="BQ7" i="12"/>
  <c r="BP7" i="12"/>
  <c r="BO7" i="12"/>
  <c r="BM7" i="12"/>
  <c r="BL7" i="12"/>
  <c r="BK7" i="12"/>
  <c r="BI7" i="12"/>
  <c r="BH7" i="12"/>
  <c r="BG7" i="12"/>
  <c r="BE7" i="12"/>
  <c r="BD7" i="12"/>
  <c r="BC7" i="12"/>
  <c r="BA7" i="12"/>
  <c r="AZ7" i="12"/>
  <c r="AY7" i="12"/>
  <c r="AW7" i="12"/>
  <c r="AV7" i="12"/>
  <c r="AU7" i="12"/>
  <c r="CQ6" i="12"/>
  <c r="CR6" i="12" s="1"/>
  <c r="CS6" i="12" s="1"/>
  <c r="CT6" i="12" s="1"/>
  <c r="CU6" i="12" s="1"/>
  <c r="CV6" i="12" s="1"/>
  <c r="CW6" i="12" s="1"/>
  <c r="CX6" i="12" s="1"/>
  <c r="CY6" i="12" s="1"/>
  <c r="CZ6" i="12" s="1"/>
  <c r="DA6" i="12" s="1"/>
  <c r="BN6" i="12"/>
  <c r="CP6" i="12" s="1"/>
  <c r="BJ6" i="12"/>
  <c r="CO6" i="12" s="1"/>
  <c r="BF6" i="12"/>
  <c r="BB6" i="12"/>
  <c r="AX6" i="12"/>
  <c r="CL6" i="12" s="1"/>
  <c r="CL19" i="12" s="1"/>
  <c r="CQ5" i="12"/>
  <c r="CR5" i="12" s="1"/>
  <c r="CS5" i="12" s="1"/>
  <c r="CT5" i="12" s="1"/>
  <c r="CU5" i="12" s="1"/>
  <c r="CV5" i="12" s="1"/>
  <c r="CW5" i="12" s="1"/>
  <c r="CX5" i="12" s="1"/>
  <c r="CY5" i="12" s="1"/>
  <c r="CZ5" i="12" s="1"/>
  <c r="DA5" i="12" s="1"/>
  <c r="BN5" i="12"/>
  <c r="BR18" i="12" s="1"/>
  <c r="BJ5" i="12"/>
  <c r="BF5" i="12"/>
  <c r="CN5" i="12" s="1"/>
  <c r="BB5" i="12"/>
  <c r="AX5" i="12"/>
  <c r="CL5" i="12" s="1"/>
  <c r="CL18" i="12" s="1"/>
  <c r="CQ4" i="12"/>
  <c r="CR4" i="12" s="1"/>
  <c r="BN4" i="12"/>
  <c r="CP4" i="12" s="1"/>
  <c r="BJ4" i="12"/>
  <c r="CO4" i="12" s="1"/>
  <c r="BF4" i="12"/>
  <c r="BB4" i="12"/>
  <c r="CM4" i="12" s="1"/>
  <c r="AX4" i="12"/>
  <c r="CL4" i="12" s="1"/>
  <c r="CB3" i="12"/>
  <c r="CC3" i="12" s="1"/>
  <c r="CD3" i="12" s="1"/>
  <c r="CE3" i="12" s="1"/>
  <c r="CF3" i="12" s="1"/>
  <c r="CG3" i="12" s="1"/>
  <c r="CH3" i="12" s="1"/>
  <c r="CI3" i="12" s="1"/>
  <c r="CJ3" i="12" s="1"/>
  <c r="CK3" i="12" s="1"/>
  <c r="CL3" i="12" s="1"/>
  <c r="CM3" i="12" s="1"/>
  <c r="CN3" i="12" s="1"/>
  <c r="CO3" i="12" s="1"/>
  <c r="CP3" i="12" s="1"/>
  <c r="CQ3" i="12" s="1"/>
  <c r="CR3" i="12" s="1"/>
  <c r="CS3" i="12" s="1"/>
  <c r="CT3" i="12" s="1"/>
  <c r="CU3" i="12" s="1"/>
  <c r="CV3" i="12" s="1"/>
  <c r="CW3" i="12" s="1"/>
  <c r="CX3" i="12" s="1"/>
  <c r="CY3" i="12" s="1"/>
  <c r="CZ3" i="12" s="1"/>
  <c r="DA3" i="12" s="1"/>
  <c r="DB3" i="12" s="1"/>
  <c r="DC3" i="12" s="1"/>
  <c r="DD3" i="12" s="1"/>
  <c r="DE3" i="12" s="1"/>
  <c r="DF3" i="12" s="1"/>
  <c r="DG3" i="12" s="1"/>
  <c r="DH3" i="12" s="1"/>
  <c r="DI3" i="12" s="1"/>
  <c r="DJ3" i="12" s="1"/>
  <c r="DK3" i="12" s="1"/>
  <c r="DL3" i="12" s="1"/>
  <c r="DM3" i="12" s="1"/>
  <c r="DN3" i="12" s="1"/>
  <c r="DO3" i="12" s="1"/>
  <c r="DP3" i="12" s="1"/>
  <c r="DQ3" i="12" s="1"/>
  <c r="DR3" i="12" s="1"/>
  <c r="DS3" i="12" s="1"/>
  <c r="DT3" i="12" s="1"/>
  <c r="DU3" i="12" s="1"/>
  <c r="DV3" i="12" s="1"/>
  <c r="DW3" i="12" s="1"/>
  <c r="DX3" i="12" s="1"/>
  <c r="DY3" i="12" s="1"/>
  <c r="DZ3" i="12" s="1"/>
  <c r="EA3" i="12" s="1"/>
  <c r="EB3" i="12" s="1"/>
  <c r="EC3" i="12" s="1"/>
  <c r="ED3" i="12" s="1"/>
  <c r="EE3" i="12" s="1"/>
  <c r="EF3" i="12" s="1"/>
  <c r="EG3" i="12" s="1"/>
  <c r="EH3" i="12" s="1"/>
  <c r="EI3" i="12" s="1"/>
  <c r="EJ3" i="12" s="1"/>
  <c r="EK3" i="12" s="1"/>
  <c r="EL3" i="12" s="1"/>
  <c r="EM3" i="12" s="1"/>
  <c r="EN3" i="12" s="1"/>
  <c r="EO3" i="12" s="1"/>
  <c r="C3" i="12" a="1"/>
  <c r="CT63" i="2" l="1"/>
  <c r="CT98" i="2" s="1"/>
  <c r="CO27" i="2"/>
  <c r="CO31" i="2"/>
  <c r="CO127" i="2"/>
  <c r="AX15" i="2"/>
  <c r="AX30" i="2" s="1"/>
  <c r="BD62" i="2"/>
  <c r="BD74" i="2"/>
  <c r="CM124" i="2"/>
  <c r="CO30" i="2"/>
  <c r="CP43" i="2"/>
  <c r="CP45" i="2"/>
  <c r="CP46" i="2"/>
  <c r="CQ43" i="2"/>
  <c r="CP47" i="2"/>
  <c r="BN52" i="2"/>
  <c r="CP52" i="2" s="1"/>
  <c r="CP74" i="2" s="1"/>
  <c r="BN117" i="2"/>
  <c r="BN76" i="2"/>
  <c r="BN116" i="2"/>
  <c r="BN75" i="2"/>
  <c r="CW6" i="2"/>
  <c r="CR15" i="2"/>
  <c r="CR28" i="2" s="1"/>
  <c r="CI70" i="2"/>
  <c r="CH70" i="2"/>
  <c r="CG70" i="2"/>
  <c r="AS72" i="2"/>
  <c r="CK72" i="2" s="1"/>
  <c r="CN76" i="2"/>
  <c r="CN117" i="2"/>
  <c r="CN75" i="2"/>
  <c r="CN116" i="2"/>
  <c r="AZ127" i="2"/>
  <c r="CM127" i="2" s="1"/>
  <c r="CM125" i="2"/>
  <c r="BN124" i="2"/>
  <c r="BN125" i="2" s="1"/>
  <c r="CL25" i="2"/>
  <c r="CL14" i="2"/>
  <c r="CM25" i="2"/>
  <c r="CQ70" i="2"/>
  <c r="BQ120" i="2"/>
  <c r="BQ119" i="2"/>
  <c r="BQ122" i="2"/>
  <c r="CQ122" i="2" s="1"/>
  <c r="BQ72" i="2"/>
  <c r="CQ72" i="2" s="1"/>
  <c r="BB67" i="2"/>
  <c r="CM65" i="2"/>
  <c r="CM78" i="2" s="1"/>
  <c r="BB78" i="2"/>
  <c r="CP124" i="2"/>
  <c r="CS14" i="2"/>
  <c r="CS27" i="2" s="1"/>
  <c r="CN127" i="2"/>
  <c r="BN31" i="2"/>
  <c r="BN28" i="2"/>
  <c r="BR28" i="2"/>
  <c r="CT7" i="2"/>
  <c r="CT20" i="2" s="1"/>
  <c r="CU4" i="2"/>
  <c r="CU9" i="2"/>
  <c r="CT12" i="2"/>
  <c r="BL62" i="2"/>
  <c r="BL74" i="2"/>
  <c r="CN27" i="2"/>
  <c r="BB27" i="2"/>
  <c r="CP28" i="2"/>
  <c r="CQ28" i="2"/>
  <c r="CA70" i="2"/>
  <c r="CB70" i="2"/>
  <c r="AK72" i="2"/>
  <c r="CI72" i="2" s="1"/>
  <c r="CL52" i="2"/>
  <c r="CL74" i="2" s="1"/>
  <c r="AV62" i="2"/>
  <c r="AV74" i="2"/>
  <c r="BN27" i="2"/>
  <c r="BJ27" i="2"/>
  <c r="BJ15" i="2"/>
  <c r="CP50" i="2"/>
  <c r="BE65" i="2"/>
  <c r="BE77" i="2"/>
  <c r="CW8" i="2"/>
  <c r="CP30" i="2"/>
  <c r="CL75" i="2"/>
  <c r="CL116" i="2"/>
  <c r="CL117" i="2"/>
  <c r="CL76" i="2"/>
  <c r="BH28" i="2"/>
  <c r="BD28" i="2"/>
  <c r="BD30" i="2"/>
  <c r="CM20" i="2"/>
  <c r="CM15" i="2"/>
  <c r="CN20" i="2"/>
  <c r="CN30" i="2"/>
  <c r="CN15" i="2"/>
  <c r="CN28" i="2" s="1"/>
  <c r="BB28" i="2"/>
  <c r="BB30" i="2"/>
  <c r="CP27" i="2"/>
  <c r="CQ27" i="2"/>
  <c r="CP31" i="2"/>
  <c r="BF52" i="2"/>
  <c r="CN52" i="2" s="1"/>
  <c r="CN74" i="2" s="1"/>
  <c r="BF117" i="2"/>
  <c r="BF76" i="2"/>
  <c r="BF116" i="2"/>
  <c r="BF75" i="2"/>
  <c r="DK189" i="12"/>
  <c r="BP155" i="12"/>
  <c r="BQ20" i="12"/>
  <c r="BB19" i="12"/>
  <c r="AV155" i="12"/>
  <c r="DK86" i="12"/>
  <c r="AX153" i="12"/>
  <c r="CH221" i="12"/>
  <c r="CH223" i="12" s="1"/>
  <c r="CU25" i="12"/>
  <c r="BN151" i="12"/>
  <c r="BN158" i="12" s="1"/>
  <c r="CJ144" i="12"/>
  <c r="BF23" i="12"/>
  <c r="CT25" i="12"/>
  <c r="CV25" i="12"/>
  <c r="CW25" i="12"/>
  <c r="CX25" i="12"/>
  <c r="CY25" i="12"/>
  <c r="CR25" i="12"/>
  <c r="CZ25" i="12"/>
  <c r="CS25" i="12"/>
  <c r="BJ18" i="12"/>
  <c r="CP10" i="12"/>
  <c r="CQ23" i="12" s="1"/>
  <c r="BR127" i="12"/>
  <c r="CJ221" i="12"/>
  <c r="AF223" i="12"/>
  <c r="AN223" i="12"/>
  <c r="CN153" i="12"/>
  <c r="BK223" i="12"/>
  <c r="BO221" i="12"/>
  <c r="BO223" i="12" s="1"/>
  <c r="AB223" i="12"/>
  <c r="AJ223" i="12"/>
  <c r="AR223" i="12"/>
  <c r="BC43" i="12"/>
  <c r="AQ78" i="12"/>
  <c r="AD223" i="12"/>
  <c r="AL223" i="12"/>
  <c r="AT223" i="12"/>
  <c r="BB41" i="12"/>
  <c r="AB175" i="12"/>
  <c r="AE223" i="12"/>
  <c r="AM223" i="12"/>
  <c r="AU223" i="12"/>
  <c r="CR98" i="12"/>
  <c r="AC175" i="12"/>
  <c r="BJ26" i="12"/>
  <c r="BM43" i="12"/>
  <c r="BK43" i="12"/>
  <c r="BB153" i="12"/>
  <c r="BJ144" i="12"/>
  <c r="CJ178" i="12"/>
  <c r="AK175" i="12"/>
  <c r="AG223" i="12"/>
  <c r="BC46" i="12"/>
  <c r="BM221" i="12"/>
  <c r="BM223" i="12" s="1"/>
  <c r="BB22" i="12"/>
  <c r="BF39" i="12"/>
  <c r="BC48" i="12"/>
  <c r="BI155" i="12"/>
  <c r="CM9" i="12"/>
  <c r="CM22" i="12" s="1"/>
  <c r="AW123" i="12"/>
  <c r="AX123" i="12" s="1"/>
  <c r="CL123" i="12" s="1"/>
  <c r="CN154" i="12"/>
  <c r="BA155" i="12"/>
  <c r="BI157" i="12"/>
  <c r="AJ175" i="12"/>
  <c r="BP20" i="12"/>
  <c r="BP43" i="12"/>
  <c r="BL46" i="12"/>
  <c r="CQ118" i="12"/>
  <c r="AC167" i="12"/>
  <c r="AL169" i="12"/>
  <c r="AL181" i="12" s="1"/>
  <c r="AY223" i="12"/>
  <c r="BE43" i="12"/>
  <c r="CQ12" i="12"/>
  <c r="BC47" i="12"/>
  <c r="BL144" i="12"/>
  <c r="BK146" i="12"/>
  <c r="AZ158" i="12"/>
  <c r="AJ167" i="12"/>
  <c r="AJ169" i="12" s="1"/>
  <c r="AJ181" i="12" s="1"/>
  <c r="BH25" i="12"/>
  <c r="BL47" i="12"/>
  <c r="R67" i="12"/>
  <c r="R79" i="12" s="1"/>
  <c r="CO115" i="12"/>
  <c r="CP138" i="12"/>
  <c r="CQ138" i="12" s="1"/>
  <c r="CL149" i="12"/>
  <c r="BP158" i="12"/>
  <c r="BA167" i="12"/>
  <c r="BA180" i="12" s="1"/>
  <c r="CN211" i="12"/>
  <c r="AH223" i="12"/>
  <c r="AP223" i="12"/>
  <c r="CL126" i="12"/>
  <c r="CP126" i="12"/>
  <c r="BN140" i="12"/>
  <c r="BN146" i="12" s="1"/>
  <c r="AZ155" i="12"/>
  <c r="BI167" i="12"/>
  <c r="BI180" i="12" s="1"/>
  <c r="BP219" i="12"/>
  <c r="BQ219" i="12" s="1"/>
  <c r="BQ221" i="12" s="1"/>
  <c r="BQ223" i="12" s="1"/>
  <c r="BO144" i="12"/>
  <c r="CG166" i="12"/>
  <c r="AT168" i="12"/>
  <c r="CK168" i="12" s="1"/>
  <c r="CH218" i="12"/>
  <c r="CJ218" i="12"/>
  <c r="CP196" i="12"/>
  <c r="AO223" i="12"/>
  <c r="BB21" i="12"/>
  <c r="BF22" i="12"/>
  <c r="BL50" i="12"/>
  <c r="BL75" i="12" s="1"/>
  <c r="BF21" i="12"/>
  <c r="BJ22" i="12"/>
  <c r="BB39" i="12"/>
  <c r="BN41" i="12"/>
  <c r="BD43" i="12"/>
  <c r="BL45" i="12"/>
  <c r="CP149" i="12"/>
  <c r="CQ149" i="12" s="1"/>
  <c r="CR149" i="12" s="1"/>
  <c r="CM207" i="12"/>
  <c r="CP211" i="12"/>
  <c r="BB18" i="12"/>
  <c r="AV45" i="12"/>
  <c r="CR7" i="12"/>
  <c r="CP5" i="12"/>
  <c r="CQ18" i="12" s="1"/>
  <c r="BP25" i="12"/>
  <c r="BB17" i="12"/>
  <c r="CK47" i="12"/>
  <c r="BD50" i="12"/>
  <c r="BD75" i="12" s="1"/>
  <c r="J67" i="12"/>
  <c r="J79" i="12" s="1"/>
  <c r="DC83" i="12"/>
  <c r="CO113" i="12"/>
  <c r="CP123" i="12"/>
  <c r="CN126" i="12"/>
  <c r="BB144" i="12"/>
  <c r="BK155" i="12"/>
  <c r="CO161" i="12"/>
  <c r="CO214" i="12" s="1"/>
  <c r="CK210" i="12"/>
  <c r="BL221" i="12"/>
  <c r="BL223" i="12" s="1"/>
  <c r="BJ23" i="12"/>
  <c r="BF41" i="12"/>
  <c r="AW155" i="12"/>
  <c r="BB168" i="12"/>
  <c r="AL218" i="12"/>
  <c r="BF17" i="12"/>
  <c r="BJ24" i="12"/>
  <c r="BI25" i="12"/>
  <c r="BS25" i="12"/>
  <c r="BN18" i="12"/>
  <c r="AY43" i="12"/>
  <c r="BH43" i="12"/>
  <c r="BC45" i="12"/>
  <c r="CK46" i="12"/>
  <c r="BD48" i="12"/>
  <c r="CG52" i="12"/>
  <c r="CD77" i="12"/>
  <c r="CC65" i="12"/>
  <c r="CC78" i="12" s="1"/>
  <c r="CM114" i="12"/>
  <c r="CO114" i="12"/>
  <c r="AQ151" i="12"/>
  <c r="AQ158" i="12" s="1"/>
  <c r="BE155" i="12"/>
  <c r="BQ157" i="12"/>
  <c r="AB167" i="12"/>
  <c r="AK177" i="12"/>
  <c r="AV221" i="12"/>
  <c r="AV223" i="12" s="1"/>
  <c r="CO220" i="12"/>
  <c r="CP220" i="12"/>
  <c r="BG223" i="12"/>
  <c r="AV48" i="12"/>
  <c r="BJ12" i="12"/>
  <c r="CD52" i="12"/>
  <c r="CA65" i="12"/>
  <c r="CA78" i="12" s="1"/>
  <c r="CM101" i="12"/>
  <c r="CM103" i="12" s="1"/>
  <c r="CO10" i="12"/>
  <c r="AZ25" i="12"/>
  <c r="BK25" i="12"/>
  <c r="BF18" i="12"/>
  <c r="BJ37" i="12"/>
  <c r="AZ43" i="12"/>
  <c r="BS43" i="12"/>
  <c r="BD45" i="12"/>
  <c r="AV47" i="12"/>
  <c r="CE77" i="12"/>
  <c r="CI65" i="12"/>
  <c r="CI78" i="12" s="1"/>
  <c r="AP67" i="12"/>
  <c r="AP79" i="12" s="1"/>
  <c r="BM155" i="12"/>
  <c r="BF168" i="12"/>
  <c r="CN168" i="12" s="1"/>
  <c r="AL177" i="12"/>
  <c r="CO210" i="12"/>
  <c r="CO211" i="12"/>
  <c r="CL207" i="12"/>
  <c r="AA223" i="12"/>
  <c r="AI223" i="12"/>
  <c r="AQ223" i="12"/>
  <c r="BN22" i="12"/>
  <c r="BB42" i="12"/>
  <c r="CO9" i="12"/>
  <c r="BL25" i="12"/>
  <c r="CK48" i="12"/>
  <c r="CD76" i="12"/>
  <c r="CK65" i="12"/>
  <c r="CK78" i="12" s="1"/>
  <c r="CP101" i="12"/>
  <c r="CP103" i="12" s="1"/>
  <c r="CN101" i="12"/>
  <c r="CN103" i="12" s="1"/>
  <c r="AZ177" i="12"/>
  <c r="CP210" i="12"/>
  <c r="CK207" i="12"/>
  <c r="CM5" i="12"/>
  <c r="CM18" i="12" s="1"/>
  <c r="BC25" i="12"/>
  <c r="CP34" i="12"/>
  <c r="CQ40" i="12" s="1"/>
  <c r="CM35" i="12"/>
  <c r="CP36" i="12"/>
  <c r="BB37" i="12"/>
  <c r="BB50" i="12" s="1"/>
  <c r="BB117" i="12" s="1"/>
  <c r="BL43" i="12"/>
  <c r="BD47" i="12"/>
  <c r="AV50" i="12"/>
  <c r="AV75" i="12" s="1"/>
  <c r="CG65" i="12"/>
  <c r="CG78" i="12" s="1"/>
  <c r="CL115" i="12"/>
  <c r="CP114" i="12"/>
  <c r="BI123" i="12"/>
  <c r="BJ123" i="12" s="1"/>
  <c r="CM126" i="12"/>
  <c r="BQ127" i="12"/>
  <c r="BK144" i="12"/>
  <c r="BN154" i="12"/>
  <c r="BH158" i="12"/>
  <c r="AX168" i="12"/>
  <c r="CL168" i="12" s="1"/>
  <c r="CK211" i="12"/>
  <c r="CO196" i="12"/>
  <c r="CO219" i="12"/>
  <c r="CI221" i="12"/>
  <c r="CI223" i="12" s="1"/>
  <c r="BF24" i="12"/>
  <c r="CN18" i="12"/>
  <c r="AX12" i="12"/>
  <c r="AX14" i="12" s="1"/>
  <c r="BD25" i="12"/>
  <c r="CN35" i="12"/>
  <c r="CN41" i="12" s="1"/>
  <c r="CF77" i="12"/>
  <c r="BQ103" i="12"/>
  <c r="CQ103" i="12" s="1"/>
  <c r="BS127" i="12"/>
  <c r="AT150" i="12"/>
  <c r="CK150" i="12" s="1"/>
  <c r="BA157" i="12"/>
  <c r="BK158" i="12"/>
  <c r="CK161" i="12"/>
  <c r="CK214" i="12" s="1"/>
  <c r="CJ223" i="12"/>
  <c r="AU75" i="12"/>
  <c r="AU52" i="12"/>
  <c r="AU76" i="12"/>
  <c r="CL7" i="12"/>
  <c r="CL17" i="12"/>
  <c r="AU15" i="12"/>
  <c r="AU30" i="12" s="1"/>
  <c r="BJ14" i="12"/>
  <c r="CL12" i="12"/>
  <c r="BJ50" i="12"/>
  <c r="BJ75" i="12" s="1"/>
  <c r="CP7" i="12"/>
  <c r="CQ17" i="12"/>
  <c r="CP17" i="12"/>
  <c r="CR12" i="12"/>
  <c r="CS8" i="12"/>
  <c r="BA27" i="12"/>
  <c r="BK117" i="12"/>
  <c r="BK116" i="12"/>
  <c r="BK76" i="12"/>
  <c r="BK52" i="12"/>
  <c r="BK75" i="12"/>
  <c r="CM17" i="12"/>
  <c r="CP19" i="12"/>
  <c r="BO20" i="12"/>
  <c r="BQ14" i="12"/>
  <c r="BR50" i="12"/>
  <c r="BR48" i="12"/>
  <c r="BR47" i="12"/>
  <c r="BR46" i="12"/>
  <c r="BR45" i="12"/>
  <c r="BC117" i="12"/>
  <c r="BC116" i="12"/>
  <c r="BC75" i="12"/>
  <c r="BC52" i="12"/>
  <c r="BC76" i="12"/>
  <c r="CS4" i="12"/>
  <c r="BN24" i="12"/>
  <c r="BR24" i="12"/>
  <c r="BN26" i="12"/>
  <c r="BR26" i="12"/>
  <c r="BR17" i="12"/>
  <c r="AX7" i="12"/>
  <c r="BF7" i="12"/>
  <c r="BN7" i="12"/>
  <c r="CN10" i="12"/>
  <c r="CO23" i="12" s="1"/>
  <c r="AZ14" i="12"/>
  <c r="BH14" i="12"/>
  <c r="BP14" i="12"/>
  <c r="BP15" i="12" s="1"/>
  <c r="CL21" i="12"/>
  <c r="BQ25" i="12"/>
  <c r="CO33" i="12"/>
  <c r="BJ39" i="12"/>
  <c r="BJ45" i="12"/>
  <c r="CO41" i="12"/>
  <c r="CN36" i="12"/>
  <c r="BQ117" i="12"/>
  <c r="BQ76" i="12"/>
  <c r="BQ116" i="12"/>
  <c r="BQ52" i="12"/>
  <c r="BQ75" i="12"/>
  <c r="BG20" i="12"/>
  <c r="BI14" i="12"/>
  <c r="BI15" i="12" s="1"/>
  <c r="CP33" i="12"/>
  <c r="CQ39" i="12" s="1"/>
  <c r="BR39" i="12"/>
  <c r="BN37" i="12"/>
  <c r="BN45" i="12" s="1"/>
  <c r="CO36" i="12"/>
  <c r="BJ42" i="12"/>
  <c r="BJ48" i="12"/>
  <c r="BI117" i="12"/>
  <c r="BI76" i="12"/>
  <c r="BI52" i="12"/>
  <c r="BI116" i="12"/>
  <c r="BI75" i="12"/>
  <c r="BB23" i="12"/>
  <c r="CO40" i="12"/>
  <c r="BN39" i="12"/>
  <c r="CO5" i="12"/>
  <c r="CO18" i="12" s="1"/>
  <c r="BJ19" i="12"/>
  <c r="BR21" i="12"/>
  <c r="BN21" i="12"/>
  <c r="CN9" i="12"/>
  <c r="BC14" i="12"/>
  <c r="BC15" i="12" s="1"/>
  <c r="BK14" i="12"/>
  <c r="BK15" i="12" s="1"/>
  <c r="BS14" i="12"/>
  <c r="BS15" i="12" s="1"/>
  <c r="BA15" i="12"/>
  <c r="BQ15" i="12"/>
  <c r="AZ20" i="12"/>
  <c r="BR22" i="12"/>
  <c r="BN23" i="12"/>
  <c r="CM41" i="12"/>
  <c r="BF42" i="12"/>
  <c r="BK45" i="12"/>
  <c r="BK46" i="12"/>
  <c r="BK47" i="12"/>
  <c r="BK48" i="12"/>
  <c r="AC79" i="12"/>
  <c r="AC70" i="12"/>
  <c r="AC72" i="12" s="1"/>
  <c r="AS79" i="12"/>
  <c r="AS70" i="12"/>
  <c r="CQ19" i="12"/>
  <c r="BN42" i="12"/>
  <c r="BR19" i="12"/>
  <c r="BN19" i="12"/>
  <c r="BB7" i="12"/>
  <c r="BJ7" i="12"/>
  <c r="CQ7" i="12"/>
  <c r="CM24" i="12"/>
  <c r="BD14" i="12"/>
  <c r="BD15" i="12" s="1"/>
  <c r="BL14" i="12"/>
  <c r="BL15" i="12" s="1"/>
  <c r="BL30" i="12" s="1"/>
  <c r="BR15" i="12"/>
  <c r="BA20" i="12"/>
  <c r="BA25" i="12"/>
  <c r="CL34" i="12"/>
  <c r="CQ42" i="12"/>
  <c r="CQ37" i="12"/>
  <c r="CQ47" i="12" s="1"/>
  <c r="BF19" i="12"/>
  <c r="BB12" i="12"/>
  <c r="BJ17" i="12"/>
  <c r="CL41" i="12"/>
  <c r="CN4" i="12"/>
  <c r="CO17" i="12" s="1"/>
  <c r="BC20" i="12"/>
  <c r="BK20" i="12"/>
  <c r="BS20" i="12"/>
  <c r="CM8" i="12"/>
  <c r="CP9" i="12"/>
  <c r="CN11" i="12"/>
  <c r="CN24" i="12" s="1"/>
  <c r="BE25" i="12"/>
  <c r="BM25" i="12"/>
  <c r="CN13" i="12"/>
  <c r="BE14" i="12"/>
  <c r="BE15" i="12" s="1"/>
  <c r="BM14" i="12"/>
  <c r="BM15" i="12" s="1"/>
  <c r="BM30" i="12" s="1"/>
  <c r="AX37" i="12"/>
  <c r="AX46" i="12" s="1"/>
  <c r="CM34" i="12"/>
  <c r="CN40" i="12" s="1"/>
  <c r="BB40" i="12"/>
  <c r="BS45" i="12"/>
  <c r="BS46" i="12"/>
  <c r="BS47" i="12"/>
  <c r="BS48" i="12"/>
  <c r="BS50" i="12"/>
  <c r="G79" i="12"/>
  <c r="G70" i="12"/>
  <c r="G72" i="12" s="1"/>
  <c r="AY20" i="12"/>
  <c r="BA117" i="12"/>
  <c r="BA76" i="12"/>
  <c r="BA116" i="12"/>
  <c r="BA75" i="12"/>
  <c r="BA52" i="12"/>
  <c r="CM6" i="12"/>
  <c r="CM19" i="12" s="1"/>
  <c r="BD20" i="12"/>
  <c r="BL20" i="12"/>
  <c r="CN8" i="12"/>
  <c r="CO11" i="12"/>
  <c r="BF12" i="12"/>
  <c r="BJ25" i="12" s="1"/>
  <c r="BN12" i="12"/>
  <c r="BR25" i="12" s="1"/>
  <c r="CO13" i="12"/>
  <c r="AV15" i="12"/>
  <c r="AV30" i="12" s="1"/>
  <c r="CK15" i="12"/>
  <c r="CK31" i="12" s="1"/>
  <c r="BN17" i="12"/>
  <c r="BH20" i="12"/>
  <c r="BO43" i="12"/>
  <c r="CQ21" i="12"/>
  <c r="BJ21" i="12"/>
  <c r="CN6" i="12"/>
  <c r="BE20" i="12"/>
  <c r="BM20" i="12"/>
  <c r="CO8" i="12"/>
  <c r="CP21" i="12" s="1"/>
  <c r="CM10" i="12"/>
  <c r="CM23" i="12" s="1"/>
  <c r="BB24" i="12"/>
  <c r="CP11" i="12"/>
  <c r="CP24" i="12" s="1"/>
  <c r="AY25" i="12"/>
  <c r="BG25" i="12"/>
  <c r="BO25" i="12"/>
  <c r="BB13" i="12"/>
  <c r="CP13" i="12"/>
  <c r="AY14" i="12"/>
  <c r="BG14" i="12"/>
  <c r="BO14" i="12"/>
  <c r="AW15" i="12"/>
  <c r="AW30" i="12" s="1"/>
  <c r="BI20" i="12"/>
  <c r="BC26" i="12"/>
  <c r="BF37" i="12"/>
  <c r="BF47" i="12" s="1"/>
  <c r="BJ46" i="12"/>
  <c r="AW75" i="12"/>
  <c r="AW52" i="12"/>
  <c r="AW76" i="12"/>
  <c r="BG43" i="12"/>
  <c r="AU45" i="12"/>
  <c r="AU46" i="12"/>
  <c r="AU47" i="12"/>
  <c r="AU48" i="12"/>
  <c r="O79" i="12"/>
  <c r="O70" i="12"/>
  <c r="O72" i="12" s="1"/>
  <c r="BJ40" i="12"/>
  <c r="BA43" i="12"/>
  <c r="BI43" i="12"/>
  <c r="BQ43" i="12"/>
  <c r="BJ47" i="12"/>
  <c r="CG74" i="12"/>
  <c r="CG75" i="12"/>
  <c r="CJ76" i="12"/>
  <c r="CC77" i="12"/>
  <c r="AM70" i="12"/>
  <c r="BJ41" i="12"/>
  <c r="BR41" i="12"/>
  <c r="AW45" i="12"/>
  <c r="BE45" i="12"/>
  <c r="BM45" i="12"/>
  <c r="AW46" i="12"/>
  <c r="BE46" i="12"/>
  <c r="BM46" i="12"/>
  <c r="AW47" i="12"/>
  <c r="BE47" i="12"/>
  <c r="BM47" i="12"/>
  <c r="AW48" i="12"/>
  <c r="BE48" i="12"/>
  <c r="BM48" i="12"/>
  <c r="BE50" i="12"/>
  <c r="BM50" i="12"/>
  <c r="G78" i="12"/>
  <c r="CB65" i="12"/>
  <c r="CB78" i="12" s="1"/>
  <c r="O78" i="12"/>
  <c r="CD65" i="12"/>
  <c r="CD78" i="12" s="1"/>
  <c r="W78" i="12"/>
  <c r="CF65" i="12"/>
  <c r="CF78" i="12" s="1"/>
  <c r="AM78" i="12"/>
  <c r="CJ65" i="12"/>
  <c r="CJ78" i="12" s="1"/>
  <c r="R70" i="12"/>
  <c r="R72" i="12" s="1"/>
  <c r="CM33" i="12"/>
  <c r="CL36" i="12"/>
  <c r="BF40" i="12"/>
  <c r="BN40" i="12"/>
  <c r="C74" i="12"/>
  <c r="CA52" i="12"/>
  <c r="CA74" i="12" s="1"/>
  <c r="CC52" i="12"/>
  <c r="CC74" i="12" s="1"/>
  <c r="K74" i="12"/>
  <c r="S74" i="12"/>
  <c r="CE52" i="12"/>
  <c r="CE74" i="12" s="1"/>
  <c r="CI52" i="12"/>
  <c r="CI74" i="12" s="1"/>
  <c r="CK52" i="12"/>
  <c r="CK74" i="12" s="1"/>
  <c r="AQ74" i="12"/>
  <c r="CH65" i="12"/>
  <c r="CH78" i="12" s="1"/>
  <c r="W67" i="12"/>
  <c r="BQ147" i="12"/>
  <c r="BQ146" i="12"/>
  <c r="BQ144" i="12"/>
  <c r="CN33" i="12"/>
  <c r="CP35" i="12"/>
  <c r="CM36" i="12"/>
  <c r="AY45" i="12"/>
  <c r="BG45" i="12"/>
  <c r="BO45" i="12"/>
  <c r="AY46" i="12"/>
  <c r="BG46" i="12"/>
  <c r="BO46" i="12"/>
  <c r="AY47" i="12"/>
  <c r="BG47" i="12"/>
  <c r="BO47" i="12"/>
  <c r="AY48" i="12"/>
  <c r="BG48" i="12"/>
  <c r="BO48" i="12"/>
  <c r="AY50" i="12"/>
  <c r="BG50" i="12"/>
  <c r="BO50" i="12"/>
  <c r="CL51" i="12"/>
  <c r="CL118" i="12" s="1"/>
  <c r="CD75" i="12"/>
  <c r="CL53" i="12"/>
  <c r="CG76" i="12"/>
  <c r="CH77" i="12"/>
  <c r="Z67" i="12"/>
  <c r="AZ45" i="12"/>
  <c r="BH45" i="12"/>
  <c r="BP45" i="12"/>
  <c r="AZ46" i="12"/>
  <c r="BH46" i="12"/>
  <c r="BP46" i="12"/>
  <c r="AZ47" i="12"/>
  <c r="BH47" i="12"/>
  <c r="BP47" i="12"/>
  <c r="AZ48" i="12"/>
  <c r="BH48" i="12"/>
  <c r="BP48" i="12"/>
  <c r="AZ50" i="12"/>
  <c r="BH50" i="12"/>
  <c r="BP50" i="12"/>
  <c r="CM51" i="12"/>
  <c r="CM118" i="12" s="1"/>
  <c r="CO53" i="12"/>
  <c r="CH76" i="12"/>
  <c r="AE67" i="12"/>
  <c r="AQ70" i="12"/>
  <c r="AM79" i="12"/>
  <c r="BA45" i="12"/>
  <c r="BI45" i="12"/>
  <c r="BQ45" i="12"/>
  <c r="BA46" i="12"/>
  <c r="BI46" i="12"/>
  <c r="BQ46" i="12"/>
  <c r="BA47" i="12"/>
  <c r="BI47" i="12"/>
  <c r="BQ47" i="12"/>
  <c r="BA48" i="12"/>
  <c r="BI48" i="12"/>
  <c r="BQ48" i="12"/>
  <c r="CO51" i="12"/>
  <c r="CO118" i="12" s="1"/>
  <c r="CD74" i="12"/>
  <c r="CF75" i="12"/>
  <c r="CA76" i="12"/>
  <c r="CI76" i="12"/>
  <c r="AH67" i="12"/>
  <c r="CE75" i="12"/>
  <c r="CM53" i="12"/>
  <c r="CE76" i="12"/>
  <c r="CM54" i="12"/>
  <c r="H67" i="12"/>
  <c r="P67" i="12"/>
  <c r="X67" i="12"/>
  <c r="AF67" i="12"/>
  <c r="AN67" i="12"/>
  <c r="AC78" i="12"/>
  <c r="BK125" i="12"/>
  <c r="AB180" i="12"/>
  <c r="AB169" i="12"/>
  <c r="AB181" i="12" s="1"/>
  <c r="CN51" i="12"/>
  <c r="CN118" i="12" s="1"/>
  <c r="CF52" i="12"/>
  <c r="CF74" i="12" s="1"/>
  <c r="CN53" i="12"/>
  <c r="CF76" i="12"/>
  <c r="CN54" i="12"/>
  <c r="CG77" i="12"/>
  <c r="I67" i="12"/>
  <c r="Q67" i="12"/>
  <c r="Y67" i="12"/>
  <c r="AG67" i="12"/>
  <c r="AO67" i="12"/>
  <c r="BL124" i="12"/>
  <c r="BL125" i="12" s="1"/>
  <c r="BL127" i="12" s="1"/>
  <c r="CP51" i="12"/>
  <c r="CP118" i="12" s="1"/>
  <c r="CH52" i="12"/>
  <c r="CH74" i="12" s="1"/>
  <c r="CP53" i="12"/>
  <c r="CP54" i="12"/>
  <c r="CA77" i="12"/>
  <c r="CI77" i="12"/>
  <c r="CL66" i="12"/>
  <c r="C67" i="12"/>
  <c r="K67" i="12"/>
  <c r="S67" i="12"/>
  <c r="AA67" i="12"/>
  <c r="AI67" i="12"/>
  <c r="AS78" i="12"/>
  <c r="CN114" i="12"/>
  <c r="CA75" i="12"/>
  <c r="CI75" i="12"/>
  <c r="CB77" i="12"/>
  <c r="CJ77" i="12"/>
  <c r="CE65" i="12"/>
  <c r="CE78" i="12" s="1"/>
  <c r="CM66" i="12"/>
  <c r="D67" i="12"/>
  <c r="L67" i="12"/>
  <c r="T67" i="12"/>
  <c r="AB67" i="12"/>
  <c r="AJ67" i="12"/>
  <c r="AR67" i="12"/>
  <c r="CB52" i="12"/>
  <c r="CB74" i="12" s="1"/>
  <c r="CJ52" i="12"/>
  <c r="CJ74" i="12" s="1"/>
  <c r="CB75" i="12"/>
  <c r="CJ75" i="12"/>
  <c r="CK77" i="12"/>
  <c r="CN66" i="12"/>
  <c r="E67" i="12"/>
  <c r="M67" i="12"/>
  <c r="U67" i="12"/>
  <c r="AK67" i="12"/>
  <c r="CM113" i="12"/>
  <c r="CC75" i="12"/>
  <c r="CK75" i="12"/>
  <c r="CC76" i="12"/>
  <c r="CK76" i="12"/>
  <c r="CO66" i="12"/>
  <c r="F67" i="12"/>
  <c r="N67" i="12"/>
  <c r="V67" i="12"/>
  <c r="AD67" i="12"/>
  <c r="AL67" i="12"/>
  <c r="AT67" i="12"/>
  <c r="CN115" i="12"/>
  <c r="CN113" i="12"/>
  <c r="AU125" i="12"/>
  <c r="AY127" i="12"/>
  <c r="BL158" i="12"/>
  <c r="BL157" i="12"/>
  <c r="BL155" i="12"/>
  <c r="CP115" i="12"/>
  <c r="CP113" i="12"/>
  <c r="DD83" i="12"/>
  <c r="AV124" i="12"/>
  <c r="AV125" i="12" s="1"/>
  <c r="AV127" i="12" s="1"/>
  <c r="BC155" i="12"/>
  <c r="BC158" i="12"/>
  <c r="BC157" i="12"/>
  <c r="AA177" i="12"/>
  <c r="AA167" i="12"/>
  <c r="CG162" i="12"/>
  <c r="CG177" i="12" s="1"/>
  <c r="AI177" i="12"/>
  <c r="AI167" i="12"/>
  <c r="CI162" i="12"/>
  <c r="CI177" i="12" s="1"/>
  <c r="AX179" i="12"/>
  <c r="CL164" i="12"/>
  <c r="CL179" i="12" s="1"/>
  <c r="CQ115" i="12"/>
  <c r="CQ113" i="12"/>
  <c r="CL101" i="12"/>
  <c r="CL103" i="12" s="1"/>
  <c r="CO123" i="12"/>
  <c r="CM115" i="12"/>
  <c r="BO127" i="12"/>
  <c r="CL113" i="12"/>
  <c r="CQ114" i="12"/>
  <c r="BO179" i="12"/>
  <c r="BO213" i="12"/>
  <c r="BO178" i="12"/>
  <c r="BO212" i="12"/>
  <c r="BO162" i="12"/>
  <c r="CO101" i="12"/>
  <c r="CO103" i="12" s="1"/>
  <c r="BC127" i="12"/>
  <c r="BJ140" i="12"/>
  <c r="BN144" i="12" s="1"/>
  <c r="CO138" i="12"/>
  <c r="CO140" i="12" s="1"/>
  <c r="BN143" i="12"/>
  <c r="BR139" i="12"/>
  <c r="CP139" i="12"/>
  <c r="BI147" i="12"/>
  <c r="BI146" i="12"/>
  <c r="CL153" i="12"/>
  <c r="CM153" i="12"/>
  <c r="BD158" i="12"/>
  <c r="BD157" i="12"/>
  <c r="BO157" i="12"/>
  <c r="BO155" i="12"/>
  <c r="AR158" i="12"/>
  <c r="BO158" i="12"/>
  <c r="AR160" i="12"/>
  <c r="CI144" i="12"/>
  <c r="CH144" i="12"/>
  <c r="CL114" i="12"/>
  <c r="AZ124" i="12"/>
  <c r="AZ125" i="12" s="1"/>
  <c r="AZ127" i="12" s="1"/>
  <c r="BP124" i="12"/>
  <c r="BP125" i="12" s="1"/>
  <c r="BP127" i="12" s="1"/>
  <c r="BD155" i="12"/>
  <c r="AU158" i="12"/>
  <c r="AX214" i="12"/>
  <c r="CL161" i="12"/>
  <c r="CL214" i="12" s="1"/>
  <c r="BH180" i="12"/>
  <c r="BH169" i="12"/>
  <c r="CN170" i="12"/>
  <c r="BA123" i="12"/>
  <c r="BB123" i="12" s="1"/>
  <c r="CM123" i="12" s="1"/>
  <c r="BG125" i="12"/>
  <c r="CO126" i="12"/>
  <c r="CQ126" i="12"/>
  <c r="BN147" i="12"/>
  <c r="AS160" i="12"/>
  <c r="AS157" i="12"/>
  <c r="AV158" i="12"/>
  <c r="AV157" i="12"/>
  <c r="BG157" i="12"/>
  <c r="BG155" i="12"/>
  <c r="BQ213" i="12"/>
  <c r="BQ212" i="12"/>
  <c r="BQ162" i="12"/>
  <c r="BQ167" i="12" s="1"/>
  <c r="BB213" i="12"/>
  <c r="BB212" i="12"/>
  <c r="CM160" i="12"/>
  <c r="CM178" i="12" s="1"/>
  <c r="BB162" i="12"/>
  <c r="BB214" i="12"/>
  <c r="CM161" i="12"/>
  <c r="CM214" i="12" s="1"/>
  <c r="AE177" i="12"/>
  <c r="AE167" i="12"/>
  <c r="CH162" i="12"/>
  <c r="CH177" i="12" s="1"/>
  <c r="AM177" i="12"/>
  <c r="CJ162" i="12"/>
  <c r="CJ177" i="12" s="1"/>
  <c r="AM167" i="12"/>
  <c r="BF123" i="12"/>
  <c r="BD124" i="12"/>
  <c r="BD125" i="12" s="1"/>
  <c r="BD127" i="12" s="1"/>
  <c r="BM147" i="12"/>
  <c r="BM146" i="12"/>
  <c r="CO154" i="12"/>
  <c r="BH155" i="12"/>
  <c r="BF213" i="12"/>
  <c r="BF212" i="12"/>
  <c r="BF162" i="12"/>
  <c r="CN160" i="12"/>
  <c r="BF144" i="12"/>
  <c r="CL212" i="12"/>
  <c r="AN180" i="12"/>
  <c r="AN169" i="12"/>
  <c r="AN181" i="12" s="1"/>
  <c r="AZ180" i="12"/>
  <c r="AZ169" i="12"/>
  <c r="BF151" i="12"/>
  <c r="BF153" i="12"/>
  <c r="BB154" i="12"/>
  <c r="CP154" i="12"/>
  <c r="CQ150" i="12"/>
  <c r="AY157" i="12"/>
  <c r="AY155" i="12"/>
  <c r="BJ178" i="12"/>
  <c r="CO163" i="12"/>
  <c r="CG179" i="12"/>
  <c r="AA218" i="12"/>
  <c r="CG218" i="12" s="1"/>
  <c r="AA175" i="12"/>
  <c r="CG173" i="12"/>
  <c r="AI218" i="12"/>
  <c r="AI175" i="12"/>
  <c r="CI173" i="12"/>
  <c r="BH124" i="12"/>
  <c r="BH125" i="12" s="1"/>
  <c r="BH127" i="12" s="1"/>
  <c r="BM144" i="12"/>
  <c r="BJ153" i="12"/>
  <c r="BJ151" i="12"/>
  <c r="CO149" i="12"/>
  <c r="BF154" i="12"/>
  <c r="AV154" i="12"/>
  <c r="BG158" i="12"/>
  <c r="BC177" i="12"/>
  <c r="BC167" i="12"/>
  <c r="BP144" i="12"/>
  <c r="BB151" i="12"/>
  <c r="CM151" i="12" s="1"/>
  <c r="CM157" i="12" s="1"/>
  <c r="AX213" i="12"/>
  <c r="AX212" i="12"/>
  <c r="AX162" i="12"/>
  <c r="CP213" i="12"/>
  <c r="CP212" i="12"/>
  <c r="AD177" i="12"/>
  <c r="AD167" i="12"/>
  <c r="AW177" i="12"/>
  <c r="AW167" i="12"/>
  <c r="CN163" i="12"/>
  <c r="BF178" i="12"/>
  <c r="CL178" i="12"/>
  <c r="AK180" i="12"/>
  <c r="AK169" i="12"/>
  <c r="AK181" i="12" s="1"/>
  <c r="CL211" i="12"/>
  <c r="CL196" i="12"/>
  <c r="CL213" i="12" s="1"/>
  <c r="CL209" i="12"/>
  <c r="BL146" i="12"/>
  <c r="BL147" i="12"/>
  <c r="BN153" i="12"/>
  <c r="BJ154" i="12"/>
  <c r="AS158" i="12"/>
  <c r="BA158" i="12"/>
  <c r="BI158" i="12"/>
  <c r="BQ158" i="12"/>
  <c r="BJ213" i="12"/>
  <c r="BJ212" i="12"/>
  <c r="CO160" i="12"/>
  <c r="AG177" i="12"/>
  <c r="AG167" i="12"/>
  <c r="AO177" i="12"/>
  <c r="AO167" i="12"/>
  <c r="BJ162" i="12"/>
  <c r="CH179" i="12"/>
  <c r="CO170" i="12"/>
  <c r="AX151" i="12"/>
  <c r="AU154" i="12"/>
  <c r="AW157" i="12"/>
  <c r="BE157" i="12"/>
  <c r="BM157" i="12"/>
  <c r="BN213" i="12"/>
  <c r="BN212" i="12"/>
  <c r="BN162" i="12"/>
  <c r="CN161" i="12"/>
  <c r="CN214" i="12" s="1"/>
  <c r="AH177" i="12"/>
  <c r="AH167" i="12"/>
  <c r="AP180" i="12"/>
  <c r="AP169" i="12"/>
  <c r="AP181" i="12" s="1"/>
  <c r="BK177" i="12"/>
  <c r="BK167" i="12"/>
  <c r="CK164" i="12"/>
  <c r="CI179" i="12"/>
  <c r="CM168" i="12"/>
  <c r="BN142" i="12"/>
  <c r="BG146" i="12"/>
  <c r="BO146" i="12"/>
  <c r="BO147" i="12"/>
  <c r="CL150" i="12"/>
  <c r="AW154" i="12"/>
  <c r="BQ155" i="12"/>
  <c r="BP160" i="12"/>
  <c r="AU177" i="12"/>
  <c r="AU167" i="12"/>
  <c r="AX178" i="12"/>
  <c r="AC180" i="12"/>
  <c r="AC169" i="12"/>
  <c r="AC181" i="12" s="1"/>
  <c r="BJ221" i="12"/>
  <c r="BJ223" i="12" s="1"/>
  <c r="BH146" i="12"/>
  <c r="BP146" i="12"/>
  <c r="CP179" i="12"/>
  <c r="AS169" i="12"/>
  <c r="CP161" i="12"/>
  <c r="CP214" i="12" s="1"/>
  <c r="BN178" i="12"/>
  <c r="BB179" i="12"/>
  <c r="CJ179" i="12"/>
  <c r="AD175" i="12"/>
  <c r="AN177" i="12"/>
  <c r="CM211" i="12"/>
  <c r="CM196" i="12"/>
  <c r="CM209" i="12"/>
  <c r="BF179" i="12"/>
  <c r="AV167" i="12"/>
  <c r="BD167" i="12"/>
  <c r="BL167" i="12"/>
  <c r="AE175" i="12"/>
  <c r="AM175" i="12"/>
  <c r="AP177" i="12"/>
  <c r="CG178" i="12"/>
  <c r="BJ179" i="12"/>
  <c r="AF167" i="12"/>
  <c r="BE167" i="12"/>
  <c r="BM167" i="12"/>
  <c r="AF175" i="12"/>
  <c r="AN175" i="12"/>
  <c r="BH177" i="12"/>
  <c r="CO209" i="12"/>
  <c r="CN207" i="12"/>
  <c r="BN219" i="12"/>
  <c r="BN221" i="12" s="1"/>
  <c r="BN223" i="12" s="1"/>
  <c r="AC223" i="12"/>
  <c r="AK223" i="12"/>
  <c r="AS223" i="12"/>
  <c r="CH178" i="12"/>
  <c r="CP178" i="12"/>
  <c r="BN179" i="12"/>
  <c r="CH173" i="12"/>
  <c r="AG175" i="12"/>
  <c r="AO175" i="12"/>
  <c r="CP209" i="12"/>
  <c r="CL210" i="12"/>
  <c r="CO207" i="12"/>
  <c r="CI178" i="12"/>
  <c r="CN164" i="12"/>
  <c r="AY167" i="12"/>
  <c r="BG167" i="12"/>
  <c r="AH175" i="12"/>
  <c r="AP175" i="12"/>
  <c r="CM210" i="12"/>
  <c r="DD186" i="12"/>
  <c r="CP207" i="12"/>
  <c r="BB219" i="12"/>
  <c r="CM219" i="12" s="1"/>
  <c r="BA220" i="12"/>
  <c r="BB220" i="12" s="1"/>
  <c r="CM220" i="12" s="1"/>
  <c r="BB178" i="12"/>
  <c r="CO164" i="12"/>
  <c r="CJ173" i="12"/>
  <c r="CN210" i="12"/>
  <c r="BD221" i="12"/>
  <c r="BD223" i="12" s="1"/>
  <c r="BE219" i="12"/>
  <c r="BF219" i="12" s="1"/>
  <c r="CG221" i="12"/>
  <c r="CG223" i="12" s="1"/>
  <c r="CK209" i="12"/>
  <c r="AZ221" i="12"/>
  <c r="AZ223" i="12" s="1"/>
  <c r="BH221" i="12"/>
  <c r="BH223" i="12" s="1"/>
  <c r="BI221" i="12"/>
  <c r="BI223" i="12" s="1"/>
  <c r="CK196" i="12"/>
  <c r="AW219" i="12"/>
  <c r="CL220" i="12"/>
  <c r="DC186" i="12"/>
  <c r="CN209" i="12"/>
  <c r="BE220" i="12"/>
  <c r="BF220" i="12" s="1"/>
  <c r="CN220" i="12" s="1"/>
  <c r="CN196" i="12"/>
  <c r="CR31" i="2" l="1"/>
  <c r="CU63" i="2"/>
  <c r="CU98" i="2"/>
  <c r="AV65" i="2"/>
  <c r="CL62" i="2"/>
  <c r="CL77" i="2" s="1"/>
  <c r="AV77" i="2"/>
  <c r="CN31" i="2"/>
  <c r="CT15" i="2"/>
  <c r="CT28" i="2" s="1"/>
  <c r="BJ28" i="2"/>
  <c r="BJ30" i="2"/>
  <c r="BL65" i="2"/>
  <c r="CP62" i="2"/>
  <c r="CP77" i="2" s="1"/>
  <c r="BL77" i="2"/>
  <c r="CX6" i="2"/>
  <c r="BE78" i="2"/>
  <c r="BE67" i="2"/>
  <c r="BF74" i="2"/>
  <c r="BF62" i="2"/>
  <c r="CM30" i="2"/>
  <c r="CL27" i="2"/>
  <c r="CL15" i="2"/>
  <c r="CM28" i="2" s="1"/>
  <c r="CQ120" i="2"/>
  <c r="CQ119" i="2"/>
  <c r="CR50" i="2"/>
  <c r="CR30" i="2"/>
  <c r="BJ31" i="2"/>
  <c r="CT14" i="2"/>
  <c r="CT27" i="2" s="1"/>
  <c r="CM67" i="2"/>
  <c r="CM79" i="2" s="1"/>
  <c r="BB79" i="2"/>
  <c r="BB70" i="2"/>
  <c r="CS15" i="2"/>
  <c r="CS28" i="2" s="1"/>
  <c r="CO28" i="2"/>
  <c r="CN62" i="2"/>
  <c r="CN77" i="2" s="1"/>
  <c r="BD65" i="2"/>
  <c r="BD77" i="2"/>
  <c r="CV9" i="2"/>
  <c r="CU12" i="2"/>
  <c r="CM31" i="2"/>
  <c r="BN127" i="2"/>
  <c r="CP127" i="2" s="1"/>
  <c r="CP125" i="2"/>
  <c r="AX31" i="2"/>
  <c r="BN62" i="2"/>
  <c r="BN74" i="2"/>
  <c r="CP76" i="2"/>
  <c r="CP117" i="2"/>
  <c r="CP75" i="2"/>
  <c r="CP116" i="2"/>
  <c r="CX8" i="2"/>
  <c r="CU7" i="2"/>
  <c r="CU20" i="2" s="1"/>
  <c r="CV4" i="2"/>
  <c r="CM27" i="2"/>
  <c r="CQ45" i="12"/>
  <c r="CP23" i="12"/>
  <c r="BN157" i="12"/>
  <c r="AJ180" i="12"/>
  <c r="J70" i="12"/>
  <c r="J72" i="12" s="1"/>
  <c r="CP26" i="12"/>
  <c r="CO221" i="12"/>
  <c r="CO223" i="12" s="1"/>
  <c r="CP151" i="12"/>
  <c r="CP158" i="12" s="1"/>
  <c r="CR20" i="12"/>
  <c r="CP140" i="12"/>
  <c r="CN22" i="12"/>
  <c r="BN48" i="12"/>
  <c r="BD76" i="12"/>
  <c r="BN47" i="12"/>
  <c r="BE28" i="12"/>
  <c r="BL116" i="12"/>
  <c r="BD52" i="12"/>
  <c r="BD74" i="12" s="1"/>
  <c r="AX45" i="12"/>
  <c r="BL117" i="12"/>
  <c r="BD116" i="12"/>
  <c r="BR43" i="12"/>
  <c r="BD117" i="12"/>
  <c r="CP42" i="12"/>
  <c r="AQ160" i="12"/>
  <c r="AQ212" i="12" s="1"/>
  <c r="AV76" i="12"/>
  <c r="CI218" i="12"/>
  <c r="AQ157" i="12"/>
  <c r="BB75" i="12"/>
  <c r="BB48" i="12"/>
  <c r="BB116" i="12"/>
  <c r="BA169" i="12"/>
  <c r="BA181" i="12" s="1"/>
  <c r="BI169" i="12"/>
  <c r="BI181" i="12" s="1"/>
  <c r="AT151" i="12"/>
  <c r="AX155" i="12" s="1"/>
  <c r="BB46" i="12"/>
  <c r="BL52" i="12"/>
  <c r="BL74" i="12" s="1"/>
  <c r="BP221" i="12"/>
  <c r="BP223" i="12" s="1"/>
  <c r="BJ155" i="12"/>
  <c r="AU155" i="12"/>
  <c r="BB45" i="12"/>
  <c r="BL76" i="12"/>
  <c r="BB52" i="12"/>
  <c r="BB62" i="12" s="1"/>
  <c r="DF83" i="12"/>
  <c r="BB47" i="12"/>
  <c r="CP146" i="12"/>
  <c r="BB76" i="12"/>
  <c r="CP22" i="12"/>
  <c r="CN19" i="12"/>
  <c r="DF89" i="12"/>
  <c r="CS63" i="12"/>
  <c r="AX154" i="12"/>
  <c r="CB67" i="12"/>
  <c r="CB79" i="12" s="1"/>
  <c r="CP142" i="12"/>
  <c r="AP70" i="12"/>
  <c r="AV52" i="12"/>
  <c r="CQ22" i="12"/>
  <c r="BJ43" i="12"/>
  <c r="CP153" i="12"/>
  <c r="CQ151" i="12"/>
  <c r="CQ160" i="12" s="1"/>
  <c r="CL37" i="12"/>
  <c r="CL45" i="12" s="1"/>
  <c r="CO26" i="12"/>
  <c r="CP147" i="12"/>
  <c r="BA28" i="12"/>
  <c r="BA31" i="12"/>
  <c r="BI28" i="12"/>
  <c r="DF186" i="12"/>
  <c r="CO179" i="12"/>
  <c r="BE124" i="12"/>
  <c r="BA124" i="12"/>
  <c r="CO19" i="12"/>
  <c r="CQ127" i="12"/>
  <c r="CP40" i="12"/>
  <c r="CP144" i="12"/>
  <c r="CL162" i="12"/>
  <c r="CL167" i="12" s="1"/>
  <c r="CM158" i="12"/>
  <c r="BN46" i="12"/>
  <c r="CM179" i="12"/>
  <c r="AW124" i="12"/>
  <c r="AW31" i="12"/>
  <c r="CP162" i="12"/>
  <c r="CP167" i="12" s="1"/>
  <c r="BF155" i="12"/>
  <c r="BQ28" i="12"/>
  <c r="CL43" i="12"/>
  <c r="BP28" i="12"/>
  <c r="BP30" i="12"/>
  <c r="CN21" i="12"/>
  <c r="CN12" i="12"/>
  <c r="BF177" i="12"/>
  <c r="BF167" i="12"/>
  <c r="CO151" i="12"/>
  <c r="BB124" i="12"/>
  <c r="CM124" i="12" s="1"/>
  <c r="Z79" i="12"/>
  <c r="Z70" i="12"/>
  <c r="Z72" i="12" s="1"/>
  <c r="BC74" i="12"/>
  <c r="BC62" i="12"/>
  <c r="AU74" i="12"/>
  <c r="AU62" i="12"/>
  <c r="CJ182" i="12"/>
  <c r="CJ175" i="12"/>
  <c r="AD79" i="12"/>
  <c r="AD70" i="12"/>
  <c r="AD72" i="12" s="1"/>
  <c r="AJ79" i="12"/>
  <c r="AJ70" i="12"/>
  <c r="AF79" i="12"/>
  <c r="AF70" i="12"/>
  <c r="AF72" i="12" s="1"/>
  <c r="CM42" i="12"/>
  <c r="AY27" i="12"/>
  <c r="CQ48" i="12"/>
  <c r="BD31" i="12"/>
  <c r="BD27" i="12"/>
  <c r="BI31" i="12"/>
  <c r="BI27" i="12"/>
  <c r="AZ27" i="12"/>
  <c r="AX15" i="12"/>
  <c r="AX31" i="12" s="1"/>
  <c r="BJ117" i="12"/>
  <c r="BJ116" i="12"/>
  <c r="BJ52" i="12"/>
  <c r="BR31" i="12"/>
  <c r="BO27" i="12"/>
  <c r="CQ14" i="12"/>
  <c r="BA62" i="12"/>
  <c r="BA74" i="12"/>
  <c r="BK180" i="12"/>
  <c r="BK169" i="12"/>
  <c r="BB177" i="12"/>
  <c r="BB167" i="12"/>
  <c r="AR79" i="12"/>
  <c r="AR70" i="12"/>
  <c r="CG70" i="12" s="1"/>
  <c r="CK67" i="12"/>
  <c r="CK79" i="12" s="1"/>
  <c r="AN70" i="12"/>
  <c r="AN79" i="12"/>
  <c r="CK30" i="12"/>
  <c r="CN17" i="12"/>
  <c r="CN7" i="12"/>
  <c r="BO15" i="12"/>
  <c r="BG180" i="12"/>
  <c r="BG169" i="12"/>
  <c r="BH181" i="12"/>
  <c r="BH171" i="12"/>
  <c r="BO116" i="12"/>
  <c r="BO117" i="12"/>
  <c r="BO75" i="12"/>
  <c r="BO76" i="12"/>
  <c r="CQ50" i="12"/>
  <c r="BO52" i="12"/>
  <c r="AW221" i="12"/>
  <c r="AW223" i="12" s="1"/>
  <c r="AY180" i="12"/>
  <c r="AY169" i="12"/>
  <c r="AU180" i="12"/>
  <c r="AU169" i="12"/>
  <c r="BA171" i="12"/>
  <c r="CO213" i="12"/>
  <c r="CO212" i="12"/>
  <c r="CO144" i="12"/>
  <c r="CO162" i="12"/>
  <c r="BB155" i="12"/>
  <c r="BB157" i="12"/>
  <c r="BJ157" i="12"/>
  <c r="BI124" i="12"/>
  <c r="BJ124" i="12" s="1"/>
  <c r="BJ125" i="12" s="1"/>
  <c r="BJ127" i="12" s="1"/>
  <c r="V79" i="12"/>
  <c r="V70" i="12"/>
  <c r="V72" i="12" s="1"/>
  <c r="AB79" i="12"/>
  <c r="AB70" i="12"/>
  <c r="AB72" i="12" s="1"/>
  <c r="AA79" i="12"/>
  <c r="CG67" i="12"/>
  <c r="CG79" i="12" s="1"/>
  <c r="AA70" i="12"/>
  <c r="AA72" i="12" s="1"/>
  <c r="AO70" i="12"/>
  <c r="AO79" i="12"/>
  <c r="X70" i="12"/>
  <c r="X72" i="12" s="1"/>
  <c r="X79" i="12"/>
  <c r="BH116" i="12"/>
  <c r="BH117" i="12"/>
  <c r="BH75" i="12"/>
  <c r="BH76" i="12"/>
  <c r="BH52" i="12"/>
  <c r="BG116" i="12"/>
  <c r="BG117" i="12"/>
  <c r="BG75" i="12"/>
  <c r="BG76" i="12"/>
  <c r="BG52" i="12"/>
  <c r="CO50" i="12"/>
  <c r="CO75" i="12" s="1"/>
  <c r="CQ41" i="12"/>
  <c r="CP41" i="12"/>
  <c r="CO21" i="12"/>
  <c r="CO12" i="12"/>
  <c r="AX48" i="12"/>
  <c r="BQ30" i="12"/>
  <c r="CQ26" i="12"/>
  <c r="BQ31" i="12"/>
  <c r="BQ27" i="12"/>
  <c r="CS12" i="12"/>
  <c r="CT8" i="12"/>
  <c r="AU31" i="12"/>
  <c r="BC180" i="12"/>
  <c r="BC169" i="12"/>
  <c r="E79" i="12"/>
  <c r="E70" i="12"/>
  <c r="E72" i="12" s="1"/>
  <c r="W70" i="12"/>
  <c r="W72" i="12" s="1"/>
  <c r="CF67" i="12"/>
  <c r="CF79" i="12" s="1"/>
  <c r="W79" i="12"/>
  <c r="BG27" i="12"/>
  <c r="CN179" i="12"/>
  <c r="CO178" i="12"/>
  <c r="BB158" i="12"/>
  <c r="BR140" i="12"/>
  <c r="BJ147" i="12"/>
  <c r="CO147" i="12" s="1"/>
  <c r="BJ146" i="12"/>
  <c r="CO146" i="12" s="1"/>
  <c r="AI180" i="12"/>
  <c r="AI169" i="12"/>
  <c r="CI167" i="12"/>
  <c r="CI180" i="12" s="1"/>
  <c r="CN151" i="12"/>
  <c r="N79" i="12"/>
  <c r="N70" i="12"/>
  <c r="N72" i="12" s="1"/>
  <c r="T79" i="12"/>
  <c r="T70" i="12"/>
  <c r="T72" i="12" s="1"/>
  <c r="S79" i="12"/>
  <c r="S70" i="12"/>
  <c r="S72" i="12" s="1"/>
  <c r="CE67" i="12"/>
  <c r="CE79" i="12" s="1"/>
  <c r="AG70" i="12"/>
  <c r="AG72" i="12" s="1"/>
  <c r="AG79" i="12"/>
  <c r="BK127" i="12"/>
  <c r="P79" i="12"/>
  <c r="P70" i="12"/>
  <c r="P72" i="12" s="1"/>
  <c r="AQ72" i="12"/>
  <c r="AZ116" i="12"/>
  <c r="AZ117" i="12"/>
  <c r="AZ75" i="12"/>
  <c r="AZ76" i="12"/>
  <c r="AZ52" i="12"/>
  <c r="AY116" i="12"/>
  <c r="AY117" i="12"/>
  <c r="AY75" i="12"/>
  <c r="AY76" i="12"/>
  <c r="CM50" i="12"/>
  <c r="AY52" i="12"/>
  <c r="CN37" i="12"/>
  <c r="CN48" i="12" s="1"/>
  <c r="CN39" i="12"/>
  <c r="BM116" i="12"/>
  <c r="BM75" i="12"/>
  <c r="BM52" i="12"/>
  <c r="BM117" i="12"/>
  <c r="BM76" i="12"/>
  <c r="BB26" i="12"/>
  <c r="CM13" i="12"/>
  <c r="CM26" i="12" s="1"/>
  <c r="BF46" i="12"/>
  <c r="BD30" i="12"/>
  <c r="AX47" i="12"/>
  <c r="BC30" i="12"/>
  <c r="CM12" i="12"/>
  <c r="CM21" i="12"/>
  <c r="BL62" i="12"/>
  <c r="CO22" i="12"/>
  <c r="BS31" i="12"/>
  <c r="BS27" i="12"/>
  <c r="BI30" i="12"/>
  <c r="CO42" i="12"/>
  <c r="CO37" i="12"/>
  <c r="CO48" i="12" s="1"/>
  <c r="CO39" i="12"/>
  <c r="BF26" i="12"/>
  <c r="AV31" i="12"/>
  <c r="CP18" i="12"/>
  <c r="BM169" i="12"/>
  <c r="BM180" i="12"/>
  <c r="CL154" i="12"/>
  <c r="AX157" i="12"/>
  <c r="CG182" i="12"/>
  <c r="CG175" i="12"/>
  <c r="CN213" i="12"/>
  <c r="CN212" i="12"/>
  <c r="CN144" i="12"/>
  <c r="CN162" i="12"/>
  <c r="M79" i="12"/>
  <c r="M70" i="12"/>
  <c r="M72" i="12" s="1"/>
  <c r="AX50" i="12"/>
  <c r="BB43" i="12"/>
  <c r="CP39" i="12"/>
  <c r="CP37" i="12"/>
  <c r="CQ43" i="12" s="1"/>
  <c r="BN20" i="12"/>
  <c r="BD180" i="12"/>
  <c r="BD169" i="12"/>
  <c r="BQ74" i="12"/>
  <c r="BQ62" i="12"/>
  <c r="BH27" i="12"/>
  <c r="BR117" i="12"/>
  <c r="BR76" i="12"/>
  <c r="BR116" i="12"/>
  <c r="BR75" i="12"/>
  <c r="BR52" i="12"/>
  <c r="AX158" i="12"/>
  <c r="CM212" i="12"/>
  <c r="CM162" i="12"/>
  <c r="CM213" i="12"/>
  <c r="CM144" i="12"/>
  <c r="BJ158" i="12"/>
  <c r="AP72" i="12"/>
  <c r="BE221" i="12"/>
  <c r="BE223" i="12" s="1"/>
  <c r="CH182" i="12"/>
  <c r="CH175" i="12"/>
  <c r="BP213" i="12"/>
  <c r="BP178" i="12"/>
  <c r="BP212" i="12"/>
  <c r="BP162" i="12"/>
  <c r="BP179" i="12"/>
  <c r="AH180" i="12"/>
  <c r="AH169" i="12"/>
  <c r="AH181" i="12" s="1"/>
  <c r="CI182" i="12"/>
  <c r="CI175" i="12"/>
  <c r="CS149" i="12"/>
  <c r="CN123" i="12"/>
  <c r="CL151" i="12"/>
  <c r="AE180" i="12"/>
  <c r="CH167" i="12"/>
  <c r="CH180" i="12" s="1"/>
  <c r="AE169" i="12"/>
  <c r="BA125" i="12"/>
  <c r="BA127" i="12" s="1"/>
  <c r="BO177" i="12"/>
  <c r="BO167" i="12"/>
  <c r="BN155" i="12"/>
  <c r="BF157" i="12"/>
  <c r="F79" i="12"/>
  <c r="F70" i="12"/>
  <c r="F72" i="12" s="1"/>
  <c r="L79" i="12"/>
  <c r="L70" i="12"/>
  <c r="L72" i="12" s="1"/>
  <c r="K79" i="12"/>
  <c r="K70" i="12"/>
  <c r="K72" i="12" s="1"/>
  <c r="CC67" i="12"/>
  <c r="CC79" i="12" s="1"/>
  <c r="Y70" i="12"/>
  <c r="Y72" i="12" s="1"/>
  <c r="Y79" i="12"/>
  <c r="H79" i="12"/>
  <c r="H70" i="12"/>
  <c r="H72" i="12" s="1"/>
  <c r="AE79" i="12"/>
  <c r="AE70" i="12"/>
  <c r="AE72" i="12" s="1"/>
  <c r="CH67" i="12"/>
  <c r="CH79" i="12" s="1"/>
  <c r="BJ76" i="12"/>
  <c r="BE116" i="12"/>
  <c r="BE75" i="12"/>
  <c r="BE52" i="12"/>
  <c r="BE76" i="12"/>
  <c r="BE117" i="12"/>
  <c r="CJ67" i="12"/>
  <c r="CJ79" i="12" s="1"/>
  <c r="BM28" i="12"/>
  <c r="AZ15" i="12"/>
  <c r="BS30" i="12"/>
  <c r="BN25" i="12"/>
  <c r="BN14" i="12"/>
  <c r="BN15" i="12" s="1"/>
  <c r="BS117" i="12"/>
  <c r="BS116" i="12"/>
  <c r="BS75" i="12"/>
  <c r="BS52" i="12"/>
  <c r="BS76" i="12"/>
  <c r="BM31" i="12"/>
  <c r="BM27" i="12"/>
  <c r="BH15" i="12"/>
  <c r="BH31" i="12" s="1"/>
  <c r="CL40" i="12"/>
  <c r="CQ20" i="12"/>
  <c r="AS72" i="12"/>
  <c r="BK31" i="12"/>
  <c r="BK27" i="12"/>
  <c r="BA30" i="12"/>
  <c r="BF48" i="12"/>
  <c r="CQ24" i="12"/>
  <c r="BK74" i="12"/>
  <c r="BK62" i="12"/>
  <c r="AY15" i="12"/>
  <c r="AY31" i="12" s="1"/>
  <c r="CL25" i="12"/>
  <c r="CL14" i="12"/>
  <c r="AS213" i="12"/>
  <c r="AS180" i="12"/>
  <c r="AS178" i="12"/>
  <c r="AS212" i="12"/>
  <c r="AS162" i="12"/>
  <c r="AS177" i="12" s="1"/>
  <c r="AS179" i="12"/>
  <c r="AW144" i="12"/>
  <c r="AS144" i="12"/>
  <c r="CP143" i="12"/>
  <c r="CQ139" i="12"/>
  <c r="CQ140" i="12" s="1"/>
  <c r="CQ144" i="12" s="1"/>
  <c r="AT79" i="12"/>
  <c r="AT70" i="12"/>
  <c r="CM221" i="12"/>
  <c r="CM223" i="12" s="1"/>
  <c r="AG169" i="12"/>
  <c r="AG181" i="12" s="1"/>
  <c r="AG180" i="12"/>
  <c r="AF169" i="12"/>
  <c r="AF181" i="12" s="1"/>
  <c r="AF180" i="12"/>
  <c r="BA221" i="12"/>
  <c r="BA223" i="12" s="1"/>
  <c r="CM154" i="12"/>
  <c r="BJ177" i="12"/>
  <c r="BJ167" i="12"/>
  <c r="CN178" i="12"/>
  <c r="AX177" i="12"/>
  <c r="AX167" i="12"/>
  <c r="BF158" i="12"/>
  <c r="CR138" i="12"/>
  <c r="BQ180" i="12"/>
  <c r="BQ169" i="12"/>
  <c r="BQ171" i="12" s="1"/>
  <c r="BQ173" i="12" s="1"/>
  <c r="AR213" i="12"/>
  <c r="AR212" i="12"/>
  <c r="AR178" i="12"/>
  <c r="AR162" i="12"/>
  <c r="AR179" i="12"/>
  <c r="AV144" i="12"/>
  <c r="AR144" i="12"/>
  <c r="AQ179" i="12"/>
  <c r="AQ213" i="12"/>
  <c r="AK79" i="12"/>
  <c r="AK70" i="12"/>
  <c r="D79" i="12"/>
  <c r="D70" i="12"/>
  <c r="D72" i="12" s="1"/>
  <c r="C79" i="12"/>
  <c r="C70" i="12"/>
  <c r="C72" i="12" s="1"/>
  <c r="CA67" i="12"/>
  <c r="CA79" i="12" s="1"/>
  <c r="Q79" i="12"/>
  <c r="Q70" i="12"/>
  <c r="Q72" i="12" s="1"/>
  <c r="BM124" i="12"/>
  <c r="BM125" i="12" s="1"/>
  <c r="BM127" i="12" s="1"/>
  <c r="CL42" i="12"/>
  <c r="AM72" i="12"/>
  <c r="BE30" i="12"/>
  <c r="BF25" i="12"/>
  <c r="BF14" i="12"/>
  <c r="BJ27" i="12" s="1"/>
  <c r="BG15" i="12"/>
  <c r="BK28" i="12" s="1"/>
  <c r="BE31" i="12"/>
  <c r="BE27" i="12"/>
  <c r="BB25" i="12"/>
  <c r="BB14" i="12"/>
  <c r="BB15" i="12" s="1"/>
  <c r="BB30" i="12" s="1"/>
  <c r="BJ15" i="12"/>
  <c r="BJ30" i="12" s="1"/>
  <c r="BJ20" i="12"/>
  <c r="BC31" i="12"/>
  <c r="BC27" i="12"/>
  <c r="BN43" i="12"/>
  <c r="BN50" i="12"/>
  <c r="AV74" i="12"/>
  <c r="AV62" i="12"/>
  <c r="CN42" i="12"/>
  <c r="CN23" i="12"/>
  <c r="CS7" i="12"/>
  <c r="CS20" i="12" s="1"/>
  <c r="CT4" i="12"/>
  <c r="BR30" i="12"/>
  <c r="CL20" i="12"/>
  <c r="BL169" i="12"/>
  <c r="BL180" i="12"/>
  <c r="BN177" i="12"/>
  <c r="BN167" i="12"/>
  <c r="CO153" i="12"/>
  <c r="CO157" i="12"/>
  <c r="BP31" i="12"/>
  <c r="BP27" i="12"/>
  <c r="BE180" i="12"/>
  <c r="BE169" i="12"/>
  <c r="AD180" i="12"/>
  <c r="AD169" i="12"/>
  <c r="AD181" i="12" s="1"/>
  <c r="CR150" i="12"/>
  <c r="AM180" i="12"/>
  <c r="CJ167" i="12"/>
  <c r="CJ180" i="12" s="1"/>
  <c r="AM169" i="12"/>
  <c r="AL79" i="12"/>
  <c r="AL70" i="12"/>
  <c r="BL31" i="12"/>
  <c r="BL27" i="12"/>
  <c r="BF20" i="12"/>
  <c r="BB221" i="12"/>
  <c r="BB223" i="12" s="1"/>
  <c r="AV180" i="12"/>
  <c r="AV169" i="12"/>
  <c r="AI79" i="12"/>
  <c r="AI70" i="12"/>
  <c r="AI72" i="12" s="1"/>
  <c r="CI67" i="12"/>
  <c r="CI79" i="12" s="1"/>
  <c r="BP116" i="12"/>
  <c r="BP117" i="12"/>
  <c r="BP75" i="12"/>
  <c r="BP76" i="12"/>
  <c r="BP52" i="12"/>
  <c r="BF43" i="12"/>
  <c r="BF50" i="12"/>
  <c r="CP219" i="12"/>
  <c r="CP221" i="12" s="1"/>
  <c r="CP223" i="12" s="1"/>
  <c r="BF221" i="12"/>
  <c r="BF223" i="12" s="1"/>
  <c r="AX219" i="12"/>
  <c r="AX221" i="12" s="1"/>
  <c r="AX223" i="12" s="1"/>
  <c r="CN219" i="12"/>
  <c r="CN221" i="12" s="1"/>
  <c r="CN223" i="12" s="1"/>
  <c r="AS181" i="12"/>
  <c r="AS171" i="12"/>
  <c r="AO180" i="12"/>
  <c r="AO169" i="12"/>
  <c r="AO181" i="12" s="1"/>
  <c r="AW180" i="12"/>
  <c r="AW169" i="12"/>
  <c r="AZ181" i="12"/>
  <c r="AZ171" i="12"/>
  <c r="BG127" i="12"/>
  <c r="CQ124" i="12"/>
  <c r="CQ125" i="12"/>
  <c r="AA180" i="12"/>
  <c r="AA169" i="12"/>
  <c r="CG167" i="12"/>
  <c r="CG180" i="12" s="1"/>
  <c r="AU127" i="12"/>
  <c r="U79" i="12"/>
  <c r="U70" i="12"/>
  <c r="U72" i="12" s="1"/>
  <c r="I79" i="12"/>
  <c r="I70" i="12"/>
  <c r="I72" i="12" s="1"/>
  <c r="AH79" i="12"/>
  <c r="AH70" i="12"/>
  <c r="AH72" i="12" s="1"/>
  <c r="BF45" i="12"/>
  <c r="CM37" i="12"/>
  <c r="CM45" i="12" s="1"/>
  <c r="CM39" i="12"/>
  <c r="CQ46" i="12"/>
  <c r="CD67" i="12"/>
  <c r="CD79" i="12" s="1"/>
  <c r="AW74" i="12"/>
  <c r="AW62" i="12"/>
  <c r="CO24" i="12"/>
  <c r="CM40" i="12"/>
  <c r="BB20" i="12"/>
  <c r="BR20" i="12"/>
  <c r="BI74" i="12"/>
  <c r="BI62" i="12"/>
  <c r="CM7" i="12"/>
  <c r="BK30" i="12"/>
  <c r="CO7" i="12"/>
  <c r="CP20" i="12" s="1"/>
  <c r="CP12" i="12"/>
  <c r="CT30" i="2" l="1"/>
  <c r="CY8" i="2"/>
  <c r="CT50" i="2"/>
  <c r="CS50" i="2"/>
  <c r="CS30" i="2"/>
  <c r="CR51" i="2"/>
  <c r="CR52" i="2" s="1"/>
  <c r="CR53" i="2"/>
  <c r="CR54" i="2"/>
  <c r="BF65" i="2"/>
  <c r="BF77" i="2"/>
  <c r="CP65" i="2"/>
  <c r="CP78" i="2" s="1"/>
  <c r="BL78" i="2"/>
  <c r="BL67" i="2"/>
  <c r="BB122" i="2"/>
  <c r="BB120" i="2"/>
  <c r="BB119" i="2"/>
  <c r="BB72" i="2"/>
  <c r="CM72" i="2" s="1"/>
  <c r="CM70" i="2"/>
  <c r="CU14" i="2"/>
  <c r="CU27" i="2" s="1"/>
  <c r="BE79" i="2"/>
  <c r="BE70" i="2"/>
  <c r="CW9" i="2"/>
  <c r="CV12" i="2"/>
  <c r="CL65" i="2"/>
  <c r="CL78" i="2" s="1"/>
  <c r="AV78" i="2"/>
  <c r="AV67" i="2"/>
  <c r="CW4" i="2"/>
  <c r="CV7" i="2"/>
  <c r="CV20" i="2" s="1"/>
  <c r="CT31" i="2"/>
  <c r="CL28" i="2"/>
  <c r="CL30" i="2"/>
  <c r="CY6" i="2"/>
  <c r="CV63" i="2"/>
  <c r="CV98" i="2" s="1"/>
  <c r="BN65" i="2"/>
  <c r="BN77" i="2"/>
  <c r="BD78" i="2"/>
  <c r="BD67" i="2"/>
  <c r="CN65" i="2"/>
  <c r="CN78" i="2" s="1"/>
  <c r="CL31" i="2"/>
  <c r="CS31" i="2"/>
  <c r="AQ178" i="12"/>
  <c r="CQ155" i="12"/>
  <c r="CD72" i="12"/>
  <c r="BD62" i="12"/>
  <c r="AU144" i="12"/>
  <c r="CP155" i="12"/>
  <c r="BB74" i="12"/>
  <c r="AQ144" i="12"/>
  <c r="AQ162" i="12"/>
  <c r="AQ177" i="12" s="1"/>
  <c r="BI171" i="12"/>
  <c r="CL48" i="12"/>
  <c r="CL47" i="12"/>
  <c r="CL46" i="12"/>
  <c r="CP157" i="12"/>
  <c r="CL177" i="12"/>
  <c r="CS98" i="12"/>
  <c r="CT63" i="12" s="1"/>
  <c r="CT98" i="12" s="1"/>
  <c r="CU63" i="12" s="1"/>
  <c r="CU98" i="12" s="1"/>
  <c r="CV63" i="12" s="1"/>
  <c r="CV98" i="12" s="1"/>
  <c r="CW63" i="12" s="1"/>
  <c r="CW98" i="12" s="1"/>
  <c r="CX63" i="12" s="1"/>
  <c r="CX98" i="12" s="1"/>
  <c r="BN28" i="12"/>
  <c r="BL28" i="12"/>
  <c r="CK151" i="12"/>
  <c r="CK157" i="12" s="1"/>
  <c r="AT157" i="12"/>
  <c r="BB125" i="12"/>
  <c r="BB127" i="12" s="1"/>
  <c r="CM127" i="12" s="1"/>
  <c r="AT158" i="12"/>
  <c r="AT160" i="12"/>
  <c r="CK160" i="12" s="1"/>
  <c r="CK179" i="12" s="1"/>
  <c r="CQ157" i="12"/>
  <c r="CQ158" i="12"/>
  <c r="CP177" i="12"/>
  <c r="CD70" i="12"/>
  <c r="CB72" i="12"/>
  <c r="CN26" i="12"/>
  <c r="CG72" i="12"/>
  <c r="CM46" i="12"/>
  <c r="CC72" i="12"/>
  <c r="BB28" i="12"/>
  <c r="CM48" i="12"/>
  <c r="BE125" i="12"/>
  <c r="BJ31" i="12"/>
  <c r="AW125" i="12"/>
  <c r="AX124" i="12"/>
  <c r="BF124" i="12"/>
  <c r="BF125" i="12" s="1"/>
  <c r="BF127" i="12" s="1"/>
  <c r="CL219" i="12"/>
  <c r="CL221" i="12" s="1"/>
  <c r="CL223" i="12" s="1"/>
  <c r="BG62" i="12"/>
  <c r="BG74" i="12"/>
  <c r="CO52" i="12"/>
  <c r="CO74" i="12" s="1"/>
  <c r="BJ74" i="12"/>
  <c r="BJ62" i="12"/>
  <c r="CL27" i="12"/>
  <c r="BO180" i="12"/>
  <c r="BO169" i="12"/>
  <c r="CT12" i="12"/>
  <c r="CU8" i="12"/>
  <c r="AW77" i="12"/>
  <c r="AW65" i="12"/>
  <c r="BF116" i="12"/>
  <c r="BF52" i="12"/>
  <c r="BF117" i="12"/>
  <c r="BF75" i="12"/>
  <c r="BF76" i="12"/>
  <c r="CN50" i="12"/>
  <c r="CA72" i="12"/>
  <c r="BI173" i="12"/>
  <c r="BI182" i="12"/>
  <c r="CQ147" i="12"/>
  <c r="CR139" i="12"/>
  <c r="CR140" i="12" s="1"/>
  <c r="CH72" i="12"/>
  <c r="AX116" i="12"/>
  <c r="AX117" i="12"/>
  <c r="AX52" i="12"/>
  <c r="AX75" i="12"/>
  <c r="CL50" i="12"/>
  <c r="AX76" i="12"/>
  <c r="CO43" i="12"/>
  <c r="CO47" i="12"/>
  <c r="CO46" i="12"/>
  <c r="CN45" i="12"/>
  <c r="AZ74" i="12"/>
  <c r="AZ62" i="12"/>
  <c r="CF72" i="12"/>
  <c r="CO116" i="12"/>
  <c r="CO117" i="12"/>
  <c r="CO76" i="12"/>
  <c r="BI125" i="12"/>
  <c r="CO124" i="12"/>
  <c r="BK181" i="12"/>
  <c r="BK171" i="12"/>
  <c r="BR28" i="12"/>
  <c r="CL157" i="12"/>
  <c r="CM25" i="12"/>
  <c r="CM14" i="12"/>
  <c r="CO20" i="12"/>
  <c r="AZ182" i="12"/>
  <c r="AZ173" i="12"/>
  <c r="AV171" i="12"/>
  <c r="AV181" i="12"/>
  <c r="CL15" i="12"/>
  <c r="CL31" i="12" s="1"/>
  <c r="BH28" i="12"/>
  <c r="BH30" i="12"/>
  <c r="BN31" i="12"/>
  <c r="BN27" i="12"/>
  <c r="BR27" i="12"/>
  <c r="BE74" i="12"/>
  <c r="BE62" i="12"/>
  <c r="BQ77" i="12"/>
  <c r="BQ65" i="12"/>
  <c r="CN177" i="12"/>
  <c r="CN167" i="12"/>
  <c r="CL158" i="12"/>
  <c r="BD77" i="12"/>
  <c r="BD65" i="12"/>
  <c r="CM116" i="12"/>
  <c r="CM117" i="12"/>
  <c r="BR160" i="12"/>
  <c r="BR144" i="12"/>
  <c r="BR146" i="12"/>
  <c r="CO25" i="12"/>
  <c r="CO14" i="12"/>
  <c r="BO74" i="12"/>
  <c r="BO62" i="12"/>
  <c r="CQ52" i="12"/>
  <c r="CQ74" i="12" s="1"/>
  <c r="BG181" i="12"/>
  <c r="BG171" i="12"/>
  <c r="AX180" i="12"/>
  <c r="AX169" i="12"/>
  <c r="BN30" i="12"/>
  <c r="AL72" i="12"/>
  <c r="CC70" i="12"/>
  <c r="AV77" i="12"/>
  <c r="AV65" i="12"/>
  <c r="CB70" i="12"/>
  <c r="AK72" i="12"/>
  <c r="AR177" i="12"/>
  <c r="AR167" i="12"/>
  <c r="CS138" i="12"/>
  <c r="AY28" i="12"/>
  <c r="AY30" i="12"/>
  <c r="BN124" i="12"/>
  <c r="BR74" i="12"/>
  <c r="BR62" i="12"/>
  <c r="CP43" i="12"/>
  <c r="CP48" i="12"/>
  <c r="CP46" i="12"/>
  <c r="BC28" i="12"/>
  <c r="BM74" i="12"/>
  <c r="BM62" i="12"/>
  <c r="CL180" i="12"/>
  <c r="CL169" i="12"/>
  <c r="CP180" i="12"/>
  <c r="CP169" i="12"/>
  <c r="CQ117" i="12"/>
  <c r="CQ116" i="12"/>
  <c r="CQ76" i="12"/>
  <c r="CQ75" i="12"/>
  <c r="AR72" i="12"/>
  <c r="BA77" i="12"/>
  <c r="BA65" i="12"/>
  <c r="AU77" i="12"/>
  <c r="AU65" i="12"/>
  <c r="BG28" i="12"/>
  <c r="BG30" i="12"/>
  <c r="CM177" i="12"/>
  <c r="CM167" i="12"/>
  <c r="BH182" i="12"/>
  <c r="BH173" i="12"/>
  <c r="AS182" i="12"/>
  <c r="AS173" i="12"/>
  <c r="CS150" i="12"/>
  <c r="CS151" i="12" s="1"/>
  <c r="CS157" i="12" s="1"/>
  <c r="BF27" i="12"/>
  <c r="BA182" i="12"/>
  <c r="BA173" i="12"/>
  <c r="CN25" i="12"/>
  <c r="CN14" i="12"/>
  <c r="CN15" i="12" s="1"/>
  <c r="CM20" i="12"/>
  <c r="AA181" i="12"/>
  <c r="CG169" i="12"/>
  <c r="CG181" i="12" s="1"/>
  <c r="AW171" i="12"/>
  <c r="AW181" i="12"/>
  <c r="BE181" i="12"/>
  <c r="BE171" i="12"/>
  <c r="BB31" i="12"/>
  <c r="BB27" i="12"/>
  <c r="CQ146" i="12"/>
  <c r="BJ180" i="12"/>
  <c r="BJ169" i="12"/>
  <c r="BK77" i="12"/>
  <c r="BK65" i="12"/>
  <c r="CT149" i="12"/>
  <c r="BP167" i="12"/>
  <c r="BP177" i="12"/>
  <c r="CM76" i="12"/>
  <c r="CN155" i="12"/>
  <c r="CN158" i="12"/>
  <c r="CN157" i="12"/>
  <c r="BG31" i="12"/>
  <c r="BC181" i="12"/>
  <c r="BC171" i="12"/>
  <c r="AU181" i="12"/>
  <c r="AU171" i="12"/>
  <c r="BO28" i="12"/>
  <c r="CQ15" i="12"/>
  <c r="BO30" i="12"/>
  <c r="CQ31" i="12"/>
  <c r="AX30" i="12"/>
  <c r="BS28" i="12"/>
  <c r="CA70" i="12"/>
  <c r="AJ72" i="12"/>
  <c r="CQ163" i="12"/>
  <c r="CQ161" i="12"/>
  <c r="CQ162" i="12" s="1"/>
  <c r="CQ164" i="12"/>
  <c r="BP74" i="12"/>
  <c r="BP62" i="12"/>
  <c r="AY62" i="12"/>
  <c r="AY74" i="12"/>
  <c r="CM52" i="12"/>
  <c r="CM74" i="12" s="1"/>
  <c r="AM181" i="12"/>
  <c r="CJ169" i="12"/>
  <c r="CJ181" i="12" s="1"/>
  <c r="BN116" i="12"/>
  <c r="BN117" i="12"/>
  <c r="BN52" i="12"/>
  <c r="BN75" i="12"/>
  <c r="BN76" i="12"/>
  <c r="CM155" i="12"/>
  <c r="AT72" i="12"/>
  <c r="AZ28" i="12"/>
  <c r="AZ30" i="12"/>
  <c r="CR151" i="12"/>
  <c r="CR158" i="12" s="1"/>
  <c r="CP45" i="12"/>
  <c r="BM171" i="12"/>
  <c r="BM181" i="12"/>
  <c r="CH70" i="12"/>
  <c r="BH74" i="12"/>
  <c r="BH62" i="12"/>
  <c r="CO177" i="12"/>
  <c r="CO167" i="12"/>
  <c r="CN20" i="12"/>
  <c r="BR147" i="12"/>
  <c r="AZ31" i="12"/>
  <c r="BD28" i="12"/>
  <c r="BC77" i="12"/>
  <c r="BC65" i="12"/>
  <c r="CO155" i="12"/>
  <c r="CO158" i="12"/>
  <c r="BQ216" i="12"/>
  <c r="BQ215" i="12"/>
  <c r="BQ175" i="12"/>
  <c r="BQ182" i="12"/>
  <c r="BQ218" i="12"/>
  <c r="CN43" i="12"/>
  <c r="CN47" i="12"/>
  <c r="CN46" i="12"/>
  <c r="BB77" i="12"/>
  <c r="BB65" i="12"/>
  <c r="CP14" i="12"/>
  <c r="CP25" i="12"/>
  <c r="CQ25" i="12"/>
  <c r="BL171" i="12"/>
  <c r="BL181" i="12"/>
  <c r="AN72" i="12"/>
  <c r="CE70" i="12"/>
  <c r="BI77" i="12"/>
  <c r="BI65" i="12"/>
  <c r="CM43" i="12"/>
  <c r="CM47" i="12"/>
  <c r="BF15" i="12"/>
  <c r="BN180" i="12"/>
  <c r="BN169" i="12"/>
  <c r="CT7" i="12"/>
  <c r="CT20" i="12" s="1"/>
  <c r="CU4" i="12"/>
  <c r="BS74" i="12"/>
  <c r="BS62" i="12"/>
  <c r="AE181" i="12"/>
  <c r="CH169" i="12"/>
  <c r="CH181" i="12" s="1"/>
  <c r="BD181" i="12"/>
  <c r="BD171" i="12"/>
  <c r="CO45" i="12"/>
  <c r="BL77" i="12"/>
  <c r="BL65" i="12"/>
  <c r="CM75" i="12"/>
  <c r="CE72" i="12"/>
  <c r="AI181" i="12"/>
  <c r="CI169" i="12"/>
  <c r="CI181" i="12" s="1"/>
  <c r="CP47" i="12"/>
  <c r="CF70" i="12"/>
  <c r="AO72" i="12"/>
  <c r="AY181" i="12"/>
  <c r="AY171" i="12"/>
  <c r="BB180" i="12"/>
  <c r="BB169" i="12"/>
  <c r="BO31" i="12"/>
  <c r="BF180" i="12"/>
  <c r="BF169" i="12"/>
  <c r="CP50" i="12"/>
  <c r="CR62" i="2" l="1"/>
  <c r="CR65" i="2"/>
  <c r="DH83" i="2"/>
  <c r="DH84" i="2" s="1"/>
  <c r="CR77" i="2"/>
  <c r="CW63" i="2"/>
  <c r="CW98" i="2"/>
  <c r="BL70" i="2"/>
  <c r="BL79" i="2"/>
  <c r="CZ6" i="2"/>
  <c r="CM119" i="2"/>
  <c r="CM122" i="2"/>
  <c r="CM120" i="2"/>
  <c r="AV70" i="2"/>
  <c r="AV79" i="2"/>
  <c r="CL67" i="2"/>
  <c r="CL79" i="2" s="1"/>
  <c r="BF67" i="2"/>
  <c r="BF78" i="2"/>
  <c r="CX4" i="2"/>
  <c r="CW7" i="2"/>
  <c r="CW20" i="2" s="1"/>
  <c r="BN67" i="2"/>
  <c r="BN78" i="2"/>
  <c r="CV14" i="2"/>
  <c r="CV27" i="2" s="1"/>
  <c r="CT51" i="2"/>
  <c r="CT52" i="2" s="1"/>
  <c r="CT53" i="2"/>
  <c r="CT54" i="2"/>
  <c r="BD70" i="2"/>
  <c r="BD79" i="2"/>
  <c r="CN67" i="2"/>
  <c r="CN79" i="2" s="1"/>
  <c r="CS51" i="2"/>
  <c r="CS52" i="2" s="1"/>
  <c r="CS53" i="2"/>
  <c r="CS54" i="2"/>
  <c r="CU15" i="2"/>
  <c r="CU28" i="2" s="1"/>
  <c r="CX9" i="2"/>
  <c r="CW12" i="2"/>
  <c r="BE119" i="2"/>
  <c r="BE72" i="2"/>
  <c r="BE122" i="2"/>
  <c r="BE120" i="2"/>
  <c r="CZ8" i="2"/>
  <c r="AT178" i="12"/>
  <c r="AQ167" i="12"/>
  <c r="CK162" i="12"/>
  <c r="CK177" i="12" s="1"/>
  <c r="AT144" i="12"/>
  <c r="CN124" i="12"/>
  <c r="CL155" i="12"/>
  <c r="CM125" i="12"/>
  <c r="CK158" i="12"/>
  <c r="AT162" i="12"/>
  <c r="AT177" i="12" s="1"/>
  <c r="CK212" i="12"/>
  <c r="CK213" i="12"/>
  <c r="AX144" i="12"/>
  <c r="AT212" i="12"/>
  <c r="AT213" i="12"/>
  <c r="CK178" i="12"/>
  <c r="CL144" i="12"/>
  <c r="AT179" i="12"/>
  <c r="CK144" i="12"/>
  <c r="CY63" i="12"/>
  <c r="CY98" i="12" s="1"/>
  <c r="CR144" i="12"/>
  <c r="CR146" i="12"/>
  <c r="CK72" i="12"/>
  <c r="AW127" i="12"/>
  <c r="BE127" i="12"/>
  <c r="CN127" i="12" s="1"/>
  <c r="CN125" i="12"/>
  <c r="CL124" i="12"/>
  <c r="AX125" i="12"/>
  <c r="AX127" i="12" s="1"/>
  <c r="CI72" i="12"/>
  <c r="CQ167" i="12"/>
  <c r="DH186" i="12" s="1"/>
  <c r="DH187" i="12" s="1"/>
  <c r="CJ72" i="12"/>
  <c r="CN30" i="12"/>
  <c r="BR77" i="12"/>
  <c r="BR65" i="12"/>
  <c r="AX74" i="12"/>
  <c r="AX62" i="12"/>
  <c r="CL52" i="12"/>
  <c r="CL74" i="12" s="1"/>
  <c r="BL78" i="12"/>
  <c r="BL67" i="12"/>
  <c r="BK78" i="12"/>
  <c r="BK67" i="12"/>
  <c r="BO77" i="12"/>
  <c r="BO65" i="12"/>
  <c r="CQ62" i="12"/>
  <c r="CQ77" i="12" s="1"/>
  <c r="BH77" i="12"/>
  <c r="BH65" i="12"/>
  <c r="BC182" i="12"/>
  <c r="BC173" i="12"/>
  <c r="BJ171" i="12"/>
  <c r="BJ181" i="12"/>
  <c r="AW182" i="12"/>
  <c r="AW173" i="12"/>
  <c r="BA216" i="12"/>
  <c r="BA215" i="12"/>
  <c r="BA218" i="12"/>
  <c r="BA175" i="12"/>
  <c r="BH218" i="12"/>
  <c r="BH216" i="12"/>
  <c r="BH215" i="12"/>
  <c r="BH175" i="12"/>
  <c r="BQ78" i="12"/>
  <c r="BQ67" i="12"/>
  <c r="AW78" i="12"/>
  <c r="AW67" i="12"/>
  <c r="BJ77" i="12"/>
  <c r="BJ65" i="12"/>
  <c r="BL182" i="12"/>
  <c r="BL173" i="12"/>
  <c r="CL171" i="12"/>
  <c r="CL173" i="12" s="1"/>
  <c r="CL181" i="12"/>
  <c r="BS77" i="12"/>
  <c r="BS65" i="12"/>
  <c r="CO180" i="12"/>
  <c r="CO169" i="12"/>
  <c r="AS216" i="12"/>
  <c r="AS215" i="12"/>
  <c r="AS218" i="12"/>
  <c r="AS175" i="12"/>
  <c r="BF74" i="12"/>
  <c r="BF62" i="12"/>
  <c r="BF171" i="12"/>
  <c r="BF181" i="12"/>
  <c r="BN74" i="12"/>
  <c r="BN62" i="12"/>
  <c r="CP52" i="12"/>
  <c r="CP74" i="12" s="1"/>
  <c r="CM27" i="12"/>
  <c r="CP27" i="12"/>
  <c r="CP15" i="12"/>
  <c r="CN52" i="12"/>
  <c r="CN74" i="12" s="1"/>
  <c r="BD182" i="12"/>
  <c r="BD173" i="12"/>
  <c r="CV4" i="12"/>
  <c r="CU7" i="12"/>
  <c r="CU20" i="12" s="1"/>
  <c r="BB67" i="12"/>
  <c r="BB78" i="12"/>
  <c r="CQ27" i="12"/>
  <c r="BP180" i="12"/>
  <c r="BP169" i="12"/>
  <c r="AU78" i="12"/>
  <c r="AU67" i="12"/>
  <c r="AX171" i="12"/>
  <c r="AX181" i="12"/>
  <c r="CO27" i="12"/>
  <c r="AV182" i="12"/>
  <c r="AV173" i="12"/>
  <c r="CS139" i="12"/>
  <c r="CS140" i="12" s="1"/>
  <c r="CR147" i="12"/>
  <c r="BF28" i="12"/>
  <c r="BF30" i="12"/>
  <c r="BE182" i="12"/>
  <c r="BE173" i="12"/>
  <c r="AU182" i="12"/>
  <c r="AU173" i="12"/>
  <c r="CN180" i="12"/>
  <c r="CN169" i="12"/>
  <c r="BP77" i="12"/>
  <c r="BP65" i="12"/>
  <c r="AQ180" i="12"/>
  <c r="AQ169" i="12"/>
  <c r="CL28" i="12"/>
  <c r="CL30" i="12"/>
  <c r="BE65" i="12"/>
  <c r="BE77" i="12"/>
  <c r="AZ218" i="12"/>
  <c r="AZ216" i="12"/>
  <c r="AZ215" i="12"/>
  <c r="AZ175" i="12"/>
  <c r="CN116" i="12"/>
  <c r="CN117" i="12"/>
  <c r="CN76" i="12"/>
  <c r="CN75" i="12"/>
  <c r="CU12" i="12"/>
  <c r="CV8" i="12"/>
  <c r="AY182" i="12"/>
  <c r="AY173" i="12"/>
  <c r="BC78" i="12"/>
  <c r="BC67" i="12"/>
  <c r="AY77" i="12"/>
  <c r="AY65" i="12"/>
  <c r="CM62" i="12"/>
  <c r="CM77" i="12" s="1"/>
  <c r="BN125" i="12"/>
  <c r="CP124" i="12"/>
  <c r="BB171" i="12"/>
  <c r="BB181" i="12"/>
  <c r="CU149" i="12"/>
  <c r="CM15" i="12"/>
  <c r="CM31" i="12" s="1"/>
  <c r="BF31" i="12"/>
  <c r="BJ28" i="12"/>
  <c r="BD78" i="12"/>
  <c r="BD67" i="12"/>
  <c r="CL117" i="12"/>
  <c r="CL116" i="12"/>
  <c r="CL76" i="12"/>
  <c r="CL75" i="12"/>
  <c r="CM180" i="12"/>
  <c r="CM169" i="12"/>
  <c r="AR180" i="12"/>
  <c r="AR169" i="12"/>
  <c r="CP116" i="12"/>
  <c r="CP117" i="12"/>
  <c r="CP75" i="12"/>
  <c r="CP76" i="12"/>
  <c r="CR155" i="12"/>
  <c r="CR160" i="12"/>
  <c r="CR157" i="12"/>
  <c r="CN27" i="12"/>
  <c r="CN31" i="12"/>
  <c r="BM65" i="12"/>
  <c r="BM77" i="12"/>
  <c r="BR164" i="12"/>
  <c r="BR163" i="12"/>
  <c r="BR161" i="12"/>
  <c r="BR162" i="12" s="1"/>
  <c r="BI127" i="12"/>
  <c r="CO127" i="12" s="1"/>
  <c r="CO125" i="12"/>
  <c r="BI78" i="12"/>
  <c r="BI67" i="12"/>
  <c r="BN171" i="12"/>
  <c r="BN181" i="12"/>
  <c r="BM182" i="12"/>
  <c r="BM173" i="12"/>
  <c r="CQ30" i="12"/>
  <c r="CS160" i="12"/>
  <c r="CS155" i="12"/>
  <c r="CT150" i="12"/>
  <c r="CT151" i="12" s="1"/>
  <c r="CT157" i="12" s="1"/>
  <c r="CS158" i="12"/>
  <c r="BA78" i="12"/>
  <c r="BA67" i="12"/>
  <c r="CP171" i="12"/>
  <c r="CP173" i="12" s="1"/>
  <c r="CP181" i="12"/>
  <c r="CT138" i="12"/>
  <c r="AV78" i="12"/>
  <c r="AV67" i="12"/>
  <c r="BG182" i="12"/>
  <c r="BG173" i="12"/>
  <c r="CK167" i="12"/>
  <c r="CO15" i="12"/>
  <c r="CO31" i="12" s="1"/>
  <c r="BK182" i="12"/>
  <c r="BK173" i="12"/>
  <c r="AZ77" i="12"/>
  <c r="AZ65" i="12"/>
  <c r="BI216" i="12"/>
  <c r="BI215" i="12"/>
  <c r="BI218" i="12"/>
  <c r="BI175" i="12"/>
  <c r="BO181" i="12"/>
  <c r="BO171" i="12"/>
  <c r="BG65" i="12"/>
  <c r="BG77" i="12"/>
  <c r="CO62" i="12"/>
  <c r="CO77" i="12" s="1"/>
  <c r="CV15" i="2" l="1"/>
  <c r="CV28" i="2" s="1"/>
  <c r="CU50" i="2"/>
  <c r="CU30" i="2"/>
  <c r="CU31" i="2"/>
  <c r="AV72" i="2"/>
  <c r="CL72" i="2" s="1"/>
  <c r="AV122" i="2"/>
  <c r="CK70" i="2"/>
  <c r="CL70" i="2"/>
  <c r="CJ70" i="2"/>
  <c r="BL72" i="2"/>
  <c r="BL120" i="2"/>
  <c r="BL119" i="2"/>
  <c r="BL122" i="2"/>
  <c r="CT62" i="2"/>
  <c r="CY4" i="2"/>
  <c r="CX7" i="2"/>
  <c r="CX20" i="2" s="1"/>
  <c r="CX63" i="2"/>
  <c r="CX98" i="2"/>
  <c r="DA8" i="2"/>
  <c r="CV50" i="2"/>
  <c r="CS62" i="2"/>
  <c r="DA6" i="2"/>
  <c r="CW15" i="2"/>
  <c r="CW28" i="2" s="1"/>
  <c r="CV31" i="2"/>
  <c r="BF79" i="2"/>
  <c r="BF70" i="2"/>
  <c r="CV30" i="2"/>
  <c r="CW14" i="2"/>
  <c r="CW27" i="2" s="1"/>
  <c r="CY9" i="2"/>
  <c r="CX12" i="2"/>
  <c r="BD72" i="2"/>
  <c r="BD120" i="2"/>
  <c r="BD119" i="2"/>
  <c r="BD122" i="2"/>
  <c r="BN79" i="2"/>
  <c r="BN70" i="2"/>
  <c r="CP67" i="2"/>
  <c r="CP79" i="2" s="1"/>
  <c r="CR66" i="2"/>
  <c r="CR67" i="2"/>
  <c r="AT167" i="12"/>
  <c r="CR14" i="12"/>
  <c r="CR27" i="12" s="1"/>
  <c r="BR167" i="12"/>
  <c r="BR180" i="12" s="1"/>
  <c r="CZ63" i="12"/>
  <c r="CZ98" i="12" s="1"/>
  <c r="CS144" i="12"/>
  <c r="CQ169" i="12"/>
  <c r="CQ170" i="12" s="1"/>
  <c r="CQ171" i="12" s="1"/>
  <c r="CQ173" i="12" s="1"/>
  <c r="CQ180" i="12"/>
  <c r="CL125" i="12"/>
  <c r="CL127" i="12"/>
  <c r="BR169" i="12"/>
  <c r="BM218" i="12"/>
  <c r="BM216" i="12"/>
  <c r="BM215" i="12"/>
  <c r="BM175" i="12"/>
  <c r="BN127" i="12"/>
  <c r="CP127" i="12" s="1"/>
  <c r="CP125" i="12"/>
  <c r="BO182" i="12"/>
  <c r="BO173" i="12"/>
  <c r="CR163" i="12"/>
  <c r="CR164" i="12"/>
  <c r="CR161" i="12"/>
  <c r="CR162" i="12" s="1"/>
  <c r="CM171" i="12"/>
  <c r="CM173" i="12" s="1"/>
  <c r="CM181" i="12"/>
  <c r="BD70" i="12"/>
  <c r="BD79" i="12"/>
  <c r="CP28" i="12"/>
  <c r="CP30" i="12"/>
  <c r="CO171" i="12"/>
  <c r="CO173" i="12" s="1"/>
  <c r="CO181" i="12"/>
  <c r="BJ67" i="12"/>
  <c r="BJ78" i="12"/>
  <c r="AW218" i="12"/>
  <c r="AW216" i="12"/>
  <c r="AW215" i="12"/>
  <c r="AW175" i="12"/>
  <c r="CU138" i="12"/>
  <c r="CV149" i="12"/>
  <c r="AY218" i="12"/>
  <c r="AY216" i="12"/>
  <c r="AY215" i="12"/>
  <c r="AY175" i="12"/>
  <c r="BP78" i="12"/>
  <c r="BP67" i="12"/>
  <c r="BF182" i="12"/>
  <c r="BF173" i="12"/>
  <c r="BO78" i="12"/>
  <c r="BO67" i="12"/>
  <c r="CQ65" i="12"/>
  <c r="CQ78" i="12" s="1"/>
  <c r="AX77" i="12"/>
  <c r="AX65" i="12"/>
  <c r="CL62" i="12"/>
  <c r="CL77" i="12" s="1"/>
  <c r="AQ181" i="12"/>
  <c r="AQ171" i="12"/>
  <c r="BF77" i="12"/>
  <c r="BF65" i="12"/>
  <c r="CN62" i="12"/>
  <c r="CN77" i="12" s="1"/>
  <c r="AW70" i="12"/>
  <c r="AW79" i="12"/>
  <c r="CK180" i="12"/>
  <c r="CK169" i="12"/>
  <c r="CS146" i="12"/>
  <c r="BI79" i="12"/>
  <c r="BI70" i="12"/>
  <c r="CV12" i="12"/>
  <c r="CW8" i="12"/>
  <c r="CN171" i="12"/>
  <c r="CN173" i="12" s="1"/>
  <c r="CN181" i="12"/>
  <c r="AU79" i="12"/>
  <c r="AU70" i="12"/>
  <c r="BJ182" i="12"/>
  <c r="BJ173" i="12"/>
  <c r="BK79" i="12"/>
  <c r="BK70" i="12"/>
  <c r="BR78" i="12"/>
  <c r="BR67" i="12"/>
  <c r="CO65" i="12"/>
  <c r="CO78" i="12" s="1"/>
  <c r="BG78" i="12"/>
  <c r="BG67" i="12"/>
  <c r="CU150" i="12"/>
  <c r="CT158" i="12"/>
  <c r="BS78" i="12"/>
  <c r="BS67" i="12"/>
  <c r="CS164" i="12"/>
  <c r="CS161" i="12"/>
  <c r="CS162" i="12" s="1"/>
  <c r="CS163" i="12"/>
  <c r="BM78" i="12"/>
  <c r="BM67" i="12"/>
  <c r="AY78" i="12"/>
  <c r="CM65" i="12"/>
  <c r="CM78" i="12" s="1"/>
  <c r="AY67" i="12"/>
  <c r="CS147" i="12"/>
  <c r="CT139" i="12"/>
  <c r="CT140" i="12" s="1"/>
  <c r="CW4" i="12"/>
  <c r="CV7" i="12"/>
  <c r="CV20" i="12" s="1"/>
  <c r="BQ70" i="12"/>
  <c r="BQ79" i="12"/>
  <c r="BC218" i="12"/>
  <c r="BC175" i="12"/>
  <c r="BC215" i="12"/>
  <c r="BC216" i="12"/>
  <c r="AV79" i="12"/>
  <c r="AV70" i="12"/>
  <c r="BN182" i="12"/>
  <c r="BN173" i="12"/>
  <c r="BB79" i="12"/>
  <c r="BB70" i="12"/>
  <c r="BG218" i="12"/>
  <c r="BG216" i="12"/>
  <c r="BG215" i="12"/>
  <c r="BG175" i="12"/>
  <c r="CP216" i="12"/>
  <c r="CP215" i="12"/>
  <c r="CP182" i="12"/>
  <c r="CP218" i="12"/>
  <c r="CP175" i="12"/>
  <c r="AU218" i="12"/>
  <c r="AU216" i="12"/>
  <c r="AU215" i="12"/>
  <c r="AU175" i="12"/>
  <c r="AV218" i="12"/>
  <c r="AV216" i="12"/>
  <c r="AV215" i="12"/>
  <c r="AV175" i="12"/>
  <c r="BD218" i="12"/>
  <c r="BD216" i="12"/>
  <c r="BD175" i="12"/>
  <c r="BD215" i="12"/>
  <c r="CL218" i="12"/>
  <c r="CL216" i="12"/>
  <c r="CL215" i="12"/>
  <c r="CL182" i="12"/>
  <c r="CL175" i="12"/>
  <c r="CT155" i="12"/>
  <c r="CT160" i="12"/>
  <c r="BE218" i="12"/>
  <c r="BE216" i="12"/>
  <c r="BE215" i="12"/>
  <c r="BE175" i="12"/>
  <c r="BK218" i="12"/>
  <c r="BK216" i="12"/>
  <c r="BK215" i="12"/>
  <c r="BK175" i="12"/>
  <c r="CO28" i="12"/>
  <c r="CO30" i="12"/>
  <c r="AX182" i="12"/>
  <c r="AX173" i="12"/>
  <c r="CP31" i="12"/>
  <c r="AZ78" i="12"/>
  <c r="AZ67" i="12"/>
  <c r="BA70" i="12"/>
  <c r="BA79" i="12"/>
  <c r="CQ28" i="12"/>
  <c r="AR181" i="12"/>
  <c r="AR171" i="12"/>
  <c r="CM28" i="12"/>
  <c r="CM30" i="12"/>
  <c r="BB182" i="12"/>
  <c r="BB173" i="12"/>
  <c r="BC70" i="12"/>
  <c r="BC79" i="12"/>
  <c r="BE78" i="12"/>
  <c r="BE67" i="12"/>
  <c r="BP181" i="12"/>
  <c r="BP171" i="12"/>
  <c r="BN77" i="12"/>
  <c r="BN65" i="12"/>
  <c r="CP65" i="12" s="1"/>
  <c r="CP78" i="12" s="1"/>
  <c r="CP62" i="12"/>
  <c r="CP77" i="12" s="1"/>
  <c r="BL175" i="12"/>
  <c r="BL218" i="12"/>
  <c r="BL216" i="12"/>
  <c r="BL215" i="12"/>
  <c r="AT180" i="12"/>
  <c r="AT169" i="12"/>
  <c r="BH78" i="12"/>
  <c r="BH67" i="12"/>
  <c r="BL79" i="12"/>
  <c r="BL70" i="12"/>
  <c r="CN28" i="12"/>
  <c r="BF119" i="2" l="1"/>
  <c r="BF72" i="2"/>
  <c r="BF122" i="2"/>
  <c r="BF120" i="2"/>
  <c r="CN72" i="2"/>
  <c r="CV51" i="2"/>
  <c r="CV52" i="2"/>
  <c r="CV53" i="2"/>
  <c r="CV54" i="2"/>
  <c r="CN70" i="2"/>
  <c r="CS77" i="2"/>
  <c r="CR79" i="2"/>
  <c r="CR70" i="2"/>
  <c r="BN119" i="2"/>
  <c r="BN72" i="2"/>
  <c r="CP72" i="2" s="1"/>
  <c r="BN122" i="2"/>
  <c r="BN120" i="2"/>
  <c r="CZ9" i="2"/>
  <c r="CY12" i="2"/>
  <c r="CW50" i="2"/>
  <c r="CP70" i="2"/>
  <c r="CT77" i="2"/>
  <c r="CY63" i="2"/>
  <c r="CY98" i="2"/>
  <c r="CZ4" i="2"/>
  <c r="CY7" i="2"/>
  <c r="CY20" i="2" s="1"/>
  <c r="CX14" i="2"/>
  <c r="CX27" i="2" s="1"/>
  <c r="CW30" i="2"/>
  <c r="CW31" i="2"/>
  <c r="CL120" i="2"/>
  <c r="CL119" i="2"/>
  <c r="CL122" i="2"/>
  <c r="CU51" i="2"/>
  <c r="CU52" i="2"/>
  <c r="CU53" i="2"/>
  <c r="CU54" i="2"/>
  <c r="CR15" i="12"/>
  <c r="CR31" i="12" s="1"/>
  <c r="CS14" i="12"/>
  <c r="CS27" i="12" s="1"/>
  <c r="CT14" i="12"/>
  <c r="CT15" i="12" s="1"/>
  <c r="CT31" i="12" s="1"/>
  <c r="DA63" i="12"/>
  <c r="DA98" i="12" s="1"/>
  <c r="CR167" i="12"/>
  <c r="CR180" i="12" s="1"/>
  <c r="CQ184" i="12"/>
  <c r="CQ182" i="12"/>
  <c r="CQ175" i="12"/>
  <c r="CT144" i="12"/>
  <c r="CT146" i="12"/>
  <c r="BP182" i="12"/>
  <c r="BP173" i="12"/>
  <c r="AY79" i="12"/>
  <c r="AY70" i="12"/>
  <c r="CM67" i="12"/>
  <c r="CM79" i="12" s="1"/>
  <c r="CS167" i="12"/>
  <c r="BR79" i="12"/>
  <c r="BR70" i="12"/>
  <c r="BJ79" i="12"/>
  <c r="BJ70" i="12"/>
  <c r="CM218" i="12"/>
  <c r="CM216" i="12"/>
  <c r="CM215" i="12"/>
  <c r="CM182" i="12"/>
  <c r="CM175" i="12"/>
  <c r="BE70" i="12"/>
  <c r="BE79" i="12"/>
  <c r="CT161" i="12"/>
  <c r="CT162" i="12" s="1"/>
  <c r="CT164" i="12"/>
  <c r="CT163" i="12"/>
  <c r="AV122" i="12"/>
  <c r="AV72" i="12"/>
  <c r="BQ122" i="12"/>
  <c r="BQ119" i="12"/>
  <c r="BQ120" i="12"/>
  <c r="BQ72" i="12"/>
  <c r="BS70" i="12"/>
  <c r="BS79" i="12"/>
  <c r="BI122" i="12"/>
  <c r="BI119" i="12"/>
  <c r="BI72" i="12"/>
  <c r="BI120" i="12"/>
  <c r="BF67" i="12"/>
  <c r="CN67" i="12" s="1"/>
  <c r="CN79" i="12" s="1"/>
  <c r="BF78" i="12"/>
  <c r="CN65" i="12"/>
  <c r="CN78" i="12" s="1"/>
  <c r="AQ182" i="12"/>
  <c r="AQ173" i="12"/>
  <c r="BF175" i="12"/>
  <c r="BF218" i="12"/>
  <c r="BF216" i="12"/>
  <c r="BF215" i="12"/>
  <c r="CV138" i="12"/>
  <c r="CW12" i="12"/>
  <c r="CX8" i="12"/>
  <c r="CW149" i="12"/>
  <c r="AR182" i="12"/>
  <c r="AR173" i="12"/>
  <c r="CX4" i="12"/>
  <c r="CW7" i="12"/>
  <c r="CW20" i="12" s="1"/>
  <c r="BM70" i="12"/>
  <c r="BM79" i="12"/>
  <c r="BK122" i="12"/>
  <c r="BK119" i="12"/>
  <c r="BK120" i="12"/>
  <c r="BK72" i="12"/>
  <c r="AU72" i="12"/>
  <c r="AU122" i="12"/>
  <c r="CK70" i="12"/>
  <c r="CJ70" i="12"/>
  <c r="CI70" i="12"/>
  <c r="BP79" i="12"/>
  <c r="BP70" i="12"/>
  <c r="CT147" i="12"/>
  <c r="CU139" i="12"/>
  <c r="CV150" i="12"/>
  <c r="CV151" i="12" s="1"/>
  <c r="CK171" i="12"/>
  <c r="CK173" i="12" s="1"/>
  <c r="CK181" i="12"/>
  <c r="AX67" i="12"/>
  <c r="AX78" i="12"/>
  <c r="CL65" i="12"/>
  <c r="CL78" i="12" s="1"/>
  <c r="BO79" i="12"/>
  <c r="BO70" i="12"/>
  <c r="CQ67" i="12"/>
  <c r="CQ79" i="12" s="1"/>
  <c r="BL119" i="12"/>
  <c r="BL120" i="12"/>
  <c r="BL72" i="12"/>
  <c r="BL122" i="12"/>
  <c r="AX218" i="12"/>
  <c r="AX216" i="12"/>
  <c r="AX215" i="12"/>
  <c r="AX175" i="12"/>
  <c r="CO216" i="12"/>
  <c r="CO215" i="12"/>
  <c r="CO182" i="12"/>
  <c r="CO175" i="12"/>
  <c r="CO218" i="12"/>
  <c r="BH79" i="12"/>
  <c r="BH70" i="12"/>
  <c r="BN67" i="12"/>
  <c r="BN78" i="12"/>
  <c r="BC119" i="12"/>
  <c r="BC120" i="12"/>
  <c r="BC72" i="12"/>
  <c r="BC122" i="12"/>
  <c r="BB119" i="12"/>
  <c r="BB72" i="12"/>
  <c r="BB122" i="12"/>
  <c r="BB120" i="12"/>
  <c r="BG79" i="12"/>
  <c r="CO67" i="12"/>
  <c r="CO79" i="12" s="1"/>
  <c r="BG70" i="12"/>
  <c r="BJ215" i="12"/>
  <c r="BJ175" i="12"/>
  <c r="BJ218" i="12"/>
  <c r="BJ216" i="12"/>
  <c r="CU151" i="12"/>
  <c r="CU158" i="12" s="1"/>
  <c r="BO218" i="12"/>
  <c r="BO216" i="12"/>
  <c r="BO215" i="12"/>
  <c r="BO175" i="12"/>
  <c r="BR170" i="12"/>
  <c r="BR171" i="12" s="1"/>
  <c r="BR173" i="12" s="1"/>
  <c r="BR182" i="12" s="1"/>
  <c r="AZ79" i="12"/>
  <c r="AZ70" i="12"/>
  <c r="BN175" i="12"/>
  <c r="BN218" i="12"/>
  <c r="BN216" i="12"/>
  <c r="BN215" i="12"/>
  <c r="AW122" i="12"/>
  <c r="AW72" i="12"/>
  <c r="AT171" i="12"/>
  <c r="AT181" i="12"/>
  <c r="BB215" i="12"/>
  <c r="BB218" i="12"/>
  <c r="BB175" i="12"/>
  <c r="BB216" i="12"/>
  <c r="BA122" i="12"/>
  <c r="BA119" i="12"/>
  <c r="BA72" i="12"/>
  <c r="BA120" i="12"/>
  <c r="CN216" i="12"/>
  <c r="CN215" i="12"/>
  <c r="CN182" i="12"/>
  <c r="CN218" i="12"/>
  <c r="CN175" i="12"/>
  <c r="BD119" i="12"/>
  <c r="BD120" i="12"/>
  <c r="BD122" i="12"/>
  <c r="BD72" i="12"/>
  <c r="CS15" i="12" l="1"/>
  <c r="CS31" i="12" s="1"/>
  <c r="CR28" i="12"/>
  <c r="CR30" i="12"/>
  <c r="CR50" i="12"/>
  <c r="CR51" i="12" s="1"/>
  <c r="CR52" i="12" s="1"/>
  <c r="CV62" i="2"/>
  <c r="CP119" i="2"/>
  <c r="CP120" i="2"/>
  <c r="CP122" i="2"/>
  <c r="CW51" i="2"/>
  <c r="CW52" i="2"/>
  <c r="CW53" i="2"/>
  <c r="CW54" i="2"/>
  <c r="CR81" i="2"/>
  <c r="CX31" i="2"/>
  <c r="CZ63" i="2"/>
  <c r="CZ98" i="2"/>
  <c r="CY14" i="2"/>
  <c r="CY27" i="2" s="1"/>
  <c r="DA4" i="2"/>
  <c r="DA7" i="2" s="1"/>
  <c r="CZ7" i="2"/>
  <c r="CZ20" i="2" s="1"/>
  <c r="CU62" i="2"/>
  <c r="DA9" i="2"/>
  <c r="DA12" i="2" s="1"/>
  <c r="CZ12" i="2"/>
  <c r="CN119" i="2"/>
  <c r="CN122" i="2"/>
  <c r="CN120" i="2"/>
  <c r="CX15" i="2"/>
  <c r="CX28" i="2" s="1"/>
  <c r="CT27" i="12"/>
  <c r="CT167" i="12"/>
  <c r="CT50" i="12"/>
  <c r="CT53" i="12" s="1"/>
  <c r="CT30" i="12"/>
  <c r="CR53" i="12"/>
  <c r="CK215" i="12"/>
  <c r="CK182" i="12"/>
  <c r="CK175" i="12"/>
  <c r="CK218" i="12"/>
  <c r="CK216" i="12"/>
  <c r="BH120" i="12"/>
  <c r="BH122" i="12"/>
  <c r="BH119" i="12"/>
  <c r="BH72" i="12"/>
  <c r="BO122" i="12"/>
  <c r="BO120" i="12"/>
  <c r="BO119" i="12"/>
  <c r="CQ70" i="12"/>
  <c r="BO72" i="12"/>
  <c r="BM120" i="12"/>
  <c r="BM119" i="12"/>
  <c r="BM122" i="12"/>
  <c r="BM72" i="12"/>
  <c r="CW138" i="12"/>
  <c r="AY120" i="12"/>
  <c r="AY122" i="12"/>
  <c r="AY119" i="12"/>
  <c r="AY72" i="12"/>
  <c r="CM70" i="12"/>
  <c r="CV155" i="12"/>
  <c r="CV160" i="12"/>
  <c r="CV158" i="12"/>
  <c r="CW150" i="12"/>
  <c r="CV157" i="12"/>
  <c r="BE120" i="12"/>
  <c r="BE122" i="12"/>
  <c r="BE119" i="12"/>
  <c r="BE72" i="12"/>
  <c r="BP218" i="12"/>
  <c r="BP216" i="12"/>
  <c r="BP215" i="12"/>
  <c r="BP175" i="12"/>
  <c r="CX12" i="12"/>
  <c r="CY8" i="12"/>
  <c r="BJ122" i="12"/>
  <c r="BJ119" i="12"/>
  <c r="BJ72" i="12"/>
  <c r="BJ120" i="12"/>
  <c r="AZ120" i="12"/>
  <c r="AZ122" i="12"/>
  <c r="AZ119" i="12"/>
  <c r="AZ72" i="12"/>
  <c r="CU160" i="12"/>
  <c r="CU155" i="12"/>
  <c r="CU157" i="12"/>
  <c r="CV139" i="12"/>
  <c r="CV140" i="12" s="1"/>
  <c r="AQ218" i="12"/>
  <c r="AQ216" i="12"/>
  <c r="AQ215" i="12"/>
  <c r="AQ175" i="12"/>
  <c r="BR122" i="12"/>
  <c r="BR119" i="12"/>
  <c r="BR120" i="12"/>
  <c r="BR72" i="12"/>
  <c r="CX149" i="12"/>
  <c r="BF79" i="12"/>
  <c r="BF70" i="12"/>
  <c r="CX7" i="12"/>
  <c r="CX20" i="12" s="1"/>
  <c r="CY4" i="12"/>
  <c r="AX79" i="12"/>
  <c r="AX70" i="12"/>
  <c r="CL67" i="12"/>
  <c r="CL79" i="12" s="1"/>
  <c r="CU140" i="12"/>
  <c r="CT180" i="12"/>
  <c r="BG120" i="12"/>
  <c r="BG122" i="12"/>
  <c r="BG119" i="12"/>
  <c r="CO70" i="12"/>
  <c r="BG72" i="12"/>
  <c r="BP120" i="12"/>
  <c r="BP122" i="12"/>
  <c r="BP119" i="12"/>
  <c r="BP72" i="12"/>
  <c r="AT182" i="12"/>
  <c r="AT173" i="12"/>
  <c r="BN79" i="12"/>
  <c r="BN70" i="12"/>
  <c r="CP67" i="12"/>
  <c r="CP79" i="12" s="1"/>
  <c r="AR218" i="12"/>
  <c r="AR216" i="12"/>
  <c r="AR215" i="12"/>
  <c r="AR175" i="12"/>
  <c r="BS122" i="12"/>
  <c r="BS119" i="12"/>
  <c r="BS120" i="12"/>
  <c r="BS72" i="12"/>
  <c r="CS180" i="12"/>
  <c r="CR168" i="12"/>
  <c r="CR169" i="12" s="1"/>
  <c r="CS30" i="12" l="1"/>
  <c r="CT28" i="12"/>
  <c r="CS50" i="12"/>
  <c r="CR54" i="12"/>
  <c r="CS28" i="12"/>
  <c r="DA20" i="2"/>
  <c r="CW62" i="2"/>
  <c r="CY15" i="2"/>
  <c r="CY28" i="2" s="1"/>
  <c r="CW77" i="2"/>
  <c r="DA63" i="2"/>
  <c r="DA98" i="2"/>
  <c r="CY50" i="2"/>
  <c r="CZ15" i="2"/>
  <c r="CZ28" i="2" s="1"/>
  <c r="CZ14" i="2"/>
  <c r="CZ27" i="2" s="1"/>
  <c r="CS64" i="2"/>
  <c r="CS65" i="2" s="1"/>
  <c r="CU77" i="2"/>
  <c r="DA14" i="2"/>
  <c r="DA27" i="2" s="1"/>
  <c r="CY30" i="2"/>
  <c r="CX50" i="2"/>
  <c r="CX30" i="2"/>
  <c r="CY31" i="2"/>
  <c r="CV77" i="2"/>
  <c r="CU14" i="12"/>
  <c r="CU27" i="12" s="1"/>
  <c r="CU147" i="12"/>
  <c r="CV14" i="12"/>
  <c r="CV15" i="12" s="1"/>
  <c r="CV30" i="12" s="1"/>
  <c r="CT54" i="12"/>
  <c r="CT51" i="12"/>
  <c r="CT52" i="12" s="1"/>
  <c r="CR62" i="12"/>
  <c r="CR65" i="12" s="1"/>
  <c r="CS51" i="12"/>
  <c r="CS52" i="12" s="1"/>
  <c r="CS54" i="12"/>
  <c r="CS53" i="12"/>
  <c r="CM72" i="12"/>
  <c r="CV144" i="12"/>
  <c r="CV146" i="12"/>
  <c r="CZ8" i="12"/>
  <c r="CY12" i="12"/>
  <c r="CX138" i="12"/>
  <c r="CM122" i="12"/>
  <c r="CM120" i="12"/>
  <c r="CM119" i="12"/>
  <c r="CQ122" i="12"/>
  <c r="CX150" i="12"/>
  <c r="BF120" i="12"/>
  <c r="BF122" i="12"/>
  <c r="BF119" i="12"/>
  <c r="BF72" i="12"/>
  <c r="CN72" i="12" s="1"/>
  <c r="CN70" i="12"/>
  <c r="CO72" i="12"/>
  <c r="CY149" i="12"/>
  <c r="CU161" i="12"/>
  <c r="CU162" i="12" s="1"/>
  <c r="CU164" i="12"/>
  <c r="CU163" i="12"/>
  <c r="CR170" i="12"/>
  <c r="CR171" i="12" s="1"/>
  <c r="CR173" i="12" s="1"/>
  <c r="CO122" i="12"/>
  <c r="CO120" i="12"/>
  <c r="CO119" i="12"/>
  <c r="AT215" i="12"/>
  <c r="AT216" i="12"/>
  <c r="AT218" i="12"/>
  <c r="AT175" i="12"/>
  <c r="AX120" i="12"/>
  <c r="AX122" i="12"/>
  <c r="AX119" i="12"/>
  <c r="AX72" i="12"/>
  <c r="CL72" i="12" s="1"/>
  <c r="CL70" i="12"/>
  <c r="CW151" i="12"/>
  <c r="CQ72" i="12"/>
  <c r="CW139" i="12"/>
  <c r="CW140" i="12" s="1"/>
  <c r="CV147" i="12"/>
  <c r="CU144" i="12"/>
  <c r="CU146" i="12"/>
  <c r="BN120" i="12"/>
  <c r="BN122" i="12"/>
  <c r="BN119" i="12"/>
  <c r="BN72" i="12"/>
  <c r="CP72" i="12" s="1"/>
  <c r="CP70" i="12"/>
  <c r="CZ4" i="12"/>
  <c r="CY7" i="12"/>
  <c r="CY20" i="12" s="1"/>
  <c r="CV164" i="12"/>
  <c r="CV163" i="12"/>
  <c r="CV161" i="12"/>
  <c r="CV162" i="12" s="1"/>
  <c r="CQ119" i="12"/>
  <c r="CQ120" i="12"/>
  <c r="DA15" i="2" l="1"/>
  <c r="CT62" i="12"/>
  <c r="CT77" i="12" s="1"/>
  <c r="CU15" i="12"/>
  <c r="CU31" i="12" s="1"/>
  <c r="CV31" i="12"/>
  <c r="CV27" i="12"/>
  <c r="CZ50" i="2"/>
  <c r="CZ30" i="2"/>
  <c r="CX51" i="2"/>
  <c r="CX52" i="2" s="1"/>
  <c r="CX53" i="2"/>
  <c r="CX54" i="2"/>
  <c r="CS66" i="2"/>
  <c r="CS67" i="2" s="1"/>
  <c r="DA50" i="2"/>
  <c r="DA31" i="2"/>
  <c r="CY51" i="2"/>
  <c r="CY52" i="2"/>
  <c r="CY53" i="2"/>
  <c r="CY54" i="2"/>
  <c r="CZ31" i="2"/>
  <c r="CV50" i="12"/>
  <c r="CV167" i="12"/>
  <c r="CV180" i="12" s="1"/>
  <c r="CS62" i="12"/>
  <c r="CS77" i="12" s="1"/>
  <c r="CW144" i="12"/>
  <c r="DH83" i="12"/>
  <c r="DH84" i="12" s="1"/>
  <c r="CR77" i="12"/>
  <c r="CU167" i="12"/>
  <c r="CU180" i="12" s="1"/>
  <c r="CW160" i="12"/>
  <c r="CW155" i="12"/>
  <c r="CW157" i="12"/>
  <c r="CZ12" i="12"/>
  <c r="DA8" i="12"/>
  <c r="DA12" i="12" s="1"/>
  <c r="CR182" i="12"/>
  <c r="CR175" i="12"/>
  <c r="CR184" i="12"/>
  <c r="CZ149" i="12"/>
  <c r="DA149" i="12" s="1"/>
  <c r="CY150" i="12"/>
  <c r="CY151" i="12" s="1"/>
  <c r="CW146" i="12"/>
  <c r="CN122" i="12"/>
  <c r="CN120" i="12"/>
  <c r="CN119" i="12"/>
  <c r="CL119" i="12"/>
  <c r="CL122" i="12"/>
  <c r="CL120" i="12"/>
  <c r="CZ7" i="12"/>
  <c r="CZ20" i="12" s="1"/>
  <c r="DA4" i="12"/>
  <c r="DA7" i="12" s="1"/>
  <c r="CP122" i="12"/>
  <c r="CP120" i="12"/>
  <c r="CP119" i="12"/>
  <c r="CX139" i="12"/>
  <c r="CX140" i="12" s="1"/>
  <c r="CW147" i="12"/>
  <c r="CX151" i="12"/>
  <c r="CW158" i="12"/>
  <c r="CY138" i="12"/>
  <c r="C3" i="2" a="1"/>
  <c r="DA28" i="2" l="1"/>
  <c r="DA30" i="2"/>
  <c r="CV28" i="12"/>
  <c r="CU28" i="12"/>
  <c r="CU50" i="12"/>
  <c r="CU54" i="12" s="1"/>
  <c r="CU30" i="12"/>
  <c r="CS79" i="2"/>
  <c r="CS70" i="2"/>
  <c r="CY62" i="2"/>
  <c r="CZ51" i="2"/>
  <c r="CZ54" i="2"/>
  <c r="CZ53" i="2"/>
  <c r="CZ52" i="2"/>
  <c r="CZ62" i="2" s="1"/>
  <c r="CX62" i="2"/>
  <c r="DA51" i="2"/>
  <c r="DA52" i="2"/>
  <c r="DA53" i="2"/>
  <c r="DA54" i="2"/>
  <c r="CX14" i="12"/>
  <c r="CX15" i="12" s="1"/>
  <c r="CX30" i="12" s="1"/>
  <c r="CW14" i="12"/>
  <c r="DA20" i="12"/>
  <c r="CV54" i="12"/>
  <c r="CV51" i="12"/>
  <c r="CV52" i="12" s="1"/>
  <c r="CV53" i="12"/>
  <c r="CY160" i="12"/>
  <c r="CY155" i="12"/>
  <c r="CY157" i="12"/>
  <c r="CX144" i="12"/>
  <c r="CX146" i="12"/>
  <c r="CX160" i="12"/>
  <c r="CX155" i="12"/>
  <c r="CX157" i="12"/>
  <c r="CZ138" i="12"/>
  <c r="DA138" i="12" s="1"/>
  <c r="CX147" i="12"/>
  <c r="CY139" i="12"/>
  <c r="CZ150" i="12"/>
  <c r="DA150" i="12" s="1"/>
  <c r="DA151" i="12" s="1"/>
  <c r="DA157" i="12" s="1"/>
  <c r="CY158" i="12"/>
  <c r="CS168" i="12"/>
  <c r="CS169" i="12" s="1"/>
  <c r="CX158" i="12"/>
  <c r="CW164" i="12"/>
  <c r="CW163" i="12"/>
  <c r="CW161" i="12"/>
  <c r="CW162" i="12" s="1"/>
  <c r="CU51" i="12" l="1"/>
  <c r="CU52" i="12" s="1"/>
  <c r="CU53" i="12"/>
  <c r="CX27" i="12"/>
  <c r="CW15" i="12"/>
  <c r="CW28" i="12" s="1"/>
  <c r="CW27" i="12"/>
  <c r="CX31" i="12"/>
  <c r="CX50" i="12"/>
  <c r="CX54" i="12" s="1"/>
  <c r="CY77" i="2"/>
  <c r="CX77" i="2"/>
  <c r="CS81" i="2"/>
  <c r="CZ77" i="2"/>
  <c r="DA62" i="2"/>
  <c r="CV62" i="12"/>
  <c r="CV77" i="12" s="1"/>
  <c r="DA160" i="12"/>
  <c r="CW167" i="12"/>
  <c r="DA158" i="12"/>
  <c r="CW180" i="12"/>
  <c r="CX163" i="12"/>
  <c r="CX161" i="12"/>
  <c r="CX162" i="12" s="1"/>
  <c r="CX164" i="12"/>
  <c r="CS170" i="12"/>
  <c r="CS171" i="12" s="1"/>
  <c r="CS173" i="12" s="1"/>
  <c r="CZ139" i="12"/>
  <c r="DA139" i="12" s="1"/>
  <c r="CY140" i="12"/>
  <c r="CZ151" i="12"/>
  <c r="CZ158" i="12" s="1"/>
  <c r="CY163" i="12"/>
  <c r="CY161" i="12"/>
  <c r="CY162" i="12" s="1"/>
  <c r="CY164" i="12"/>
  <c r="CU62" i="12" l="1"/>
  <c r="CU77" i="12" s="1"/>
  <c r="CW31" i="12"/>
  <c r="CW30" i="12"/>
  <c r="CX28" i="12"/>
  <c r="CW50" i="12"/>
  <c r="CW51" i="12" s="1"/>
  <c r="CW52" i="12" s="1"/>
  <c r="CX53" i="12"/>
  <c r="CX51" i="12"/>
  <c r="CX52" i="12" s="1"/>
  <c r="CT64" i="2"/>
  <c r="CT65" i="2" s="1"/>
  <c r="DA77" i="2"/>
  <c r="CY14" i="12"/>
  <c r="CY27" i="12" s="1"/>
  <c r="DA155" i="12"/>
  <c r="DA163" i="12"/>
  <c r="DA164" i="12"/>
  <c r="DA161" i="12"/>
  <c r="DA162" i="12" s="1"/>
  <c r="DA167" i="12" s="1"/>
  <c r="DA140" i="12"/>
  <c r="DA147" i="12" s="1"/>
  <c r="CW53" i="12"/>
  <c r="CY167" i="12"/>
  <c r="CY180" i="12" s="1"/>
  <c r="CX167" i="12"/>
  <c r="CX180" i="12" s="1"/>
  <c r="CS182" i="12"/>
  <c r="CS175" i="12"/>
  <c r="CS184" i="12"/>
  <c r="CY144" i="12"/>
  <c r="CY146" i="12"/>
  <c r="CZ160" i="12"/>
  <c r="CZ155" i="12"/>
  <c r="CZ157" i="12"/>
  <c r="CY147" i="12"/>
  <c r="CZ140" i="12"/>
  <c r="CX62" i="12" l="1"/>
  <c r="CX77" i="12" s="1"/>
  <c r="CW54" i="12"/>
  <c r="CW62" i="12" s="1"/>
  <c r="CW77" i="12" s="1"/>
  <c r="CY15" i="12"/>
  <c r="CY31" i="12" s="1"/>
  <c r="CT66" i="2"/>
  <c r="CT67" i="2" s="1"/>
  <c r="CZ14" i="12"/>
  <c r="CZ15" i="12" s="1"/>
  <c r="DA144" i="12"/>
  <c r="DA146" i="12"/>
  <c r="DA180" i="12"/>
  <c r="CT168" i="12"/>
  <c r="CT169" i="12" s="1"/>
  <c r="CZ144" i="12"/>
  <c r="CZ146" i="12"/>
  <c r="CZ163" i="12"/>
  <c r="CZ164" i="12"/>
  <c r="CZ161" i="12"/>
  <c r="CZ162" i="12" s="1"/>
  <c r="CZ147" i="12"/>
  <c r="CY28" i="12" l="1"/>
  <c r="CY50" i="12"/>
  <c r="CY51" i="12" s="1"/>
  <c r="CY52" i="12" s="1"/>
  <c r="CY30" i="12"/>
  <c r="CZ27" i="12"/>
  <c r="CT79" i="2"/>
  <c r="CT70" i="2"/>
  <c r="DA14" i="12"/>
  <c r="DA27" i="12" s="1"/>
  <c r="CZ167" i="12"/>
  <c r="CZ31" i="12"/>
  <c r="CZ30" i="12"/>
  <c r="CZ50" i="12"/>
  <c r="CZ28" i="12"/>
  <c r="CZ180" i="12"/>
  <c r="CT170" i="12"/>
  <c r="CT171" i="12" s="1"/>
  <c r="CT173" i="12" s="1"/>
  <c r="DA15" i="12" l="1"/>
  <c r="DA31" i="12" s="1"/>
  <c r="CY54" i="12"/>
  <c r="CY53" i="12"/>
  <c r="CT81" i="2"/>
  <c r="CZ53" i="12"/>
  <c r="CZ51" i="12"/>
  <c r="CZ52" i="12" s="1"/>
  <c r="CZ54" i="12"/>
  <c r="CT182" i="12"/>
  <c r="CT175" i="12"/>
  <c r="CT184" i="12"/>
  <c r="DA28" i="12" l="1"/>
  <c r="DA50" i="12"/>
  <c r="DA53" i="12" s="1"/>
  <c r="DA30" i="12"/>
  <c r="CY62" i="12"/>
  <c r="CY77" i="12" s="1"/>
  <c r="CU64" i="2"/>
  <c r="CU65" i="2" s="1"/>
  <c r="CZ62" i="12"/>
  <c r="CZ77" i="12" s="1"/>
  <c r="CU168" i="12"/>
  <c r="CU169" i="12" s="1"/>
  <c r="DA54" i="12" l="1"/>
  <c r="DA51" i="12"/>
  <c r="DA52" i="12" s="1"/>
  <c r="DA62" i="12" s="1"/>
  <c r="DA77" i="12" s="1"/>
  <c r="CU66" i="2"/>
  <c r="CU67" i="2"/>
  <c r="CU170" i="12"/>
  <c r="CU171" i="12" s="1"/>
  <c r="CU173" i="12" s="1"/>
  <c r="CU79" i="2" l="1"/>
  <c r="CU70" i="2"/>
  <c r="CU182" i="12"/>
  <c r="CU175" i="12"/>
  <c r="CU184" i="12"/>
  <c r="CU81" i="2" l="1"/>
  <c r="CV168" i="12"/>
  <c r="CV169" i="12" s="1"/>
  <c r="CB3" i="2"/>
  <c r="CC3" i="2" s="1"/>
  <c r="CD3" i="2" s="1"/>
  <c r="CE3" i="2" s="1"/>
  <c r="CF3" i="2" s="1"/>
  <c r="CG3" i="2" s="1"/>
  <c r="CH3" i="2" s="1"/>
  <c r="CI3" i="2" s="1"/>
  <c r="CJ3" i="2" s="1"/>
  <c r="CK3" i="2" s="1"/>
  <c r="CL3" i="2" s="1"/>
  <c r="CM3" i="2" s="1"/>
  <c r="CN3" i="2" s="1"/>
  <c r="CO3" i="2" s="1"/>
  <c r="CP3" i="2" s="1"/>
  <c r="CV64" i="2" l="1"/>
  <c r="CV65" i="2" s="1"/>
  <c r="CV170" i="12"/>
  <c r="CV171" i="12" s="1"/>
  <c r="CV173" i="12" s="1"/>
  <c r="CQ3" i="2"/>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CV66" i="2" l="1"/>
  <c r="CV67" i="2" s="1"/>
  <c r="CV182" i="12"/>
  <c r="CV175" i="12"/>
  <c r="CV184" i="12"/>
  <c r="CV79" i="2" l="1"/>
  <c r="CV70" i="2"/>
  <c r="CW168" i="12"/>
  <c r="CW169" i="12" s="1"/>
  <c r="CV81" i="2" l="1"/>
  <c r="CW170" i="12"/>
  <c r="CW171" i="12" s="1"/>
  <c r="CW173" i="12" s="1"/>
  <c r="CW64" i="2" l="1"/>
  <c r="CW65" i="2" s="1"/>
  <c r="CW182" i="12"/>
  <c r="CW175" i="12"/>
  <c r="CW184" i="12"/>
  <c r="CW66" i="2" l="1"/>
  <c r="CW67" i="2"/>
  <c r="CX168" i="12"/>
  <c r="CX169" i="12" s="1"/>
  <c r="CW79" i="2" l="1"/>
  <c r="CW70" i="2"/>
  <c r="CW81" i="2" s="1"/>
  <c r="CX170" i="12"/>
  <c r="CX171" i="12" s="1"/>
  <c r="CX173" i="12" s="1"/>
  <c r="CX64" i="2" l="1"/>
  <c r="CX65" i="2" s="1"/>
  <c r="CX182" i="12"/>
  <c r="CX175" i="12"/>
  <c r="CX184" i="12"/>
  <c r="CX66" i="2" l="1"/>
  <c r="CX67" i="2"/>
  <c r="CY168" i="12"/>
  <c r="CY169" i="12" s="1"/>
  <c r="CX70" i="2" l="1"/>
  <c r="CX81" i="2" s="1"/>
  <c r="CX79" i="2"/>
  <c r="CY170" i="12"/>
  <c r="CY171" i="12" s="1"/>
  <c r="CY173" i="12" s="1"/>
  <c r="CY64" i="2" l="1"/>
  <c r="CY65" i="2" s="1"/>
  <c r="CY182" i="12"/>
  <c r="CY175" i="12"/>
  <c r="CY184" i="12"/>
  <c r="CY66" i="2" l="1"/>
  <c r="CY67" i="2" s="1"/>
  <c r="CZ168" i="12"/>
  <c r="CZ169" i="12" s="1"/>
  <c r="CY70" i="2" l="1"/>
  <c r="CY81" i="2" s="1"/>
  <c r="CY79" i="2"/>
  <c r="CZ170" i="12"/>
  <c r="CZ171" i="12" s="1"/>
  <c r="CZ173" i="12" s="1"/>
  <c r="CZ64" i="2" l="1"/>
  <c r="CZ65" i="2" s="1"/>
  <c r="CZ182" i="12"/>
  <c r="CZ175" i="12"/>
  <c r="CZ184" i="12"/>
  <c r="DA168" i="12" s="1"/>
  <c r="DA169" i="12" s="1"/>
  <c r="DA170" i="12" s="1"/>
  <c r="DA171" i="12" s="1"/>
  <c r="DA173" i="12" s="1"/>
  <c r="CZ66" i="2" l="1"/>
  <c r="CZ67" i="2"/>
  <c r="DA184" i="12"/>
  <c r="DA175" i="12"/>
  <c r="DA182" i="12"/>
  <c r="DB173" i="12"/>
  <c r="DC173" i="12" s="1"/>
  <c r="DD173" i="12" s="1"/>
  <c r="DE173" i="12" s="1"/>
  <c r="DF173" i="12" s="1"/>
  <c r="DG173" i="12" s="1"/>
  <c r="DH173" i="12" s="1"/>
  <c r="DI173" i="12" s="1"/>
  <c r="DJ173" i="12" s="1"/>
  <c r="DK173" i="12" s="1"/>
  <c r="DL173" i="12" s="1"/>
  <c r="DM173" i="12" s="1"/>
  <c r="DN173" i="12" s="1"/>
  <c r="DO173" i="12" s="1"/>
  <c r="DP173" i="12" s="1"/>
  <c r="DQ173" i="12" s="1"/>
  <c r="DR173" i="12" s="1"/>
  <c r="DS173" i="12" s="1"/>
  <c r="DT173" i="12" s="1"/>
  <c r="DU173" i="12" s="1"/>
  <c r="DV173" i="12" s="1"/>
  <c r="DW173" i="12" s="1"/>
  <c r="DX173" i="12" s="1"/>
  <c r="DY173" i="12" s="1"/>
  <c r="DZ173" i="12" s="1"/>
  <c r="EA173" i="12" s="1"/>
  <c r="EB173" i="12" s="1"/>
  <c r="EC173" i="12" s="1"/>
  <c r="ED173" i="12" s="1"/>
  <c r="EE173" i="12" s="1"/>
  <c r="EF173" i="12" s="1"/>
  <c r="EG173" i="12" s="1"/>
  <c r="EH173" i="12" s="1"/>
  <c r="EI173" i="12" s="1"/>
  <c r="EJ173" i="12" s="1"/>
  <c r="EK173" i="12" s="1"/>
  <c r="EL173" i="12" s="1"/>
  <c r="EM173" i="12" s="1"/>
  <c r="EN173" i="12" s="1"/>
  <c r="EO173" i="12" s="1"/>
  <c r="DK191" i="12" s="1"/>
  <c r="DK193" i="12" s="1"/>
  <c r="DK195" i="12" s="1"/>
  <c r="DL195" i="12" s="1"/>
  <c r="CZ79" i="2" l="1"/>
  <c r="CZ70" i="2"/>
  <c r="CZ81" i="2" s="1"/>
  <c r="DJ196" i="12" a="1"/>
  <c r="DA64" i="2" l="1"/>
  <c r="DA65" i="2" s="1"/>
  <c r="L286" i="4"/>
  <c r="L287" i="4" s="1"/>
  <c r="L288" i="4" s="1"/>
  <c r="L289" i="4" s="1"/>
  <c r="L290" i="4" s="1"/>
  <c r="L291" i="4" s="1"/>
  <c r="L292" i="4" s="1"/>
  <c r="L293" i="4" s="1"/>
  <c r="L294" i="4" s="1"/>
  <c r="L295" i="4" s="1"/>
  <c r="L296" i="4" s="1"/>
  <c r="L297" i="4" s="1"/>
  <c r="L298" i="4" s="1"/>
  <c r="L299" i="4" s="1"/>
  <c r="L300" i="4" s="1"/>
  <c r="L301" i="4" s="1"/>
  <c r="L302" i="4" s="1"/>
  <c r="L303" i="4" s="1"/>
  <c r="L304" i="4" s="1"/>
  <c r="L305" i="4" s="1"/>
  <c r="L306" i="4" s="1"/>
  <c r="L307" i="4" s="1"/>
  <c r="L308" i="4" s="1"/>
  <c r="L309" i="4" s="1"/>
  <c r="L310" i="4" s="1"/>
  <c r="L311" i="4" s="1"/>
  <c r="L312" i="4" s="1"/>
  <c r="L313" i="4" s="1"/>
  <c r="L314" i="4" s="1"/>
  <c r="L315" i="4" s="1"/>
  <c r="L316" i="4" s="1"/>
  <c r="L317" i="4" s="1"/>
  <c r="L318" i="4" s="1"/>
  <c r="L319" i="4" s="1"/>
  <c r="L320" i="4" s="1"/>
  <c r="L321" i="4" s="1"/>
  <c r="L322" i="4" s="1"/>
  <c r="L323" i="4" s="1"/>
  <c r="L324" i="4" s="1"/>
  <c r="L325" i="4" s="1"/>
  <c r="L326" i="4" s="1"/>
  <c r="L327" i="4" s="1"/>
  <c r="L328" i="4" s="1"/>
  <c r="L329" i="4" s="1"/>
  <c r="L330" i="4" s="1"/>
  <c r="L331" i="4" s="1"/>
  <c r="L332" i="4" s="1"/>
  <c r="L333" i="4" s="1"/>
  <c r="L334" i="4" s="1"/>
  <c r="L335" i="4" s="1"/>
  <c r="L336" i="4" s="1"/>
  <c r="L337" i="4" s="1"/>
  <c r="L338" i="4" s="1"/>
  <c r="L339" i="4" s="1"/>
  <c r="L340" i="4" s="1"/>
  <c r="L341" i="4" s="1"/>
  <c r="L342" i="4" s="1"/>
  <c r="L343" i="4" s="1"/>
  <c r="L344" i="4" s="1"/>
  <c r="L345" i="4" s="1"/>
  <c r="L346" i="4" s="1"/>
  <c r="L347" i="4" s="1"/>
  <c r="L348" i="4" s="1"/>
  <c r="L349" i="4" s="1"/>
  <c r="L350" i="4" s="1"/>
  <c r="L351" i="4" s="1"/>
  <c r="L352" i="4" s="1"/>
  <c r="L353" i="4" s="1"/>
  <c r="L354" i="4" s="1"/>
  <c r="L355" i="4" s="1"/>
  <c r="L356" i="4" s="1"/>
  <c r="L357" i="4" s="1"/>
  <c r="L358" i="4" s="1"/>
  <c r="L359" i="4" s="1"/>
  <c r="L360" i="4" s="1"/>
  <c r="L361" i="4" s="1"/>
  <c r="L362" i="4" s="1"/>
  <c r="L363" i="4" s="1"/>
  <c r="L364" i="4" s="1"/>
  <c r="L365" i="4" s="1"/>
  <c r="L366" i="4" s="1"/>
  <c r="L367" i="4" s="1"/>
  <c r="L368" i="4" s="1"/>
  <c r="L369" i="4" s="1"/>
  <c r="L370" i="4" s="1"/>
  <c r="L371" i="4" s="1"/>
  <c r="L372" i="4" s="1"/>
  <c r="L373" i="4" s="1"/>
  <c r="L374" i="4" s="1"/>
  <c r="L375" i="4" s="1"/>
  <c r="L376" i="4" s="1"/>
  <c r="L276" i="4"/>
  <c r="L277" i="4" s="1"/>
  <c r="L278" i="4" s="1"/>
  <c r="L279" i="4" s="1"/>
  <c r="L280" i="4" s="1"/>
  <c r="L281" i="4" s="1"/>
  <c r="L282" i="4" s="1"/>
  <c r="L283" i="4" s="1"/>
  <c r="L284" i="4" s="1"/>
  <c r="G2123" i="4"/>
  <c r="G2122" i="4"/>
  <c r="G2121" i="4"/>
  <c r="G2120" i="4"/>
  <c r="G2119" i="4"/>
  <c r="G2118" i="4"/>
  <c r="G2117" i="4"/>
  <c r="G2116" i="4"/>
  <c r="G2115" i="4"/>
  <c r="G2114" i="4"/>
  <c r="G2113" i="4"/>
  <c r="G2112" i="4"/>
  <c r="G2111" i="4"/>
  <c r="G2110" i="4"/>
  <c r="G2109" i="4"/>
  <c r="G2108" i="4"/>
  <c r="G2107" i="4"/>
  <c r="G2106" i="4"/>
  <c r="G2105" i="4"/>
  <c r="G2104" i="4"/>
  <c r="G2103" i="4"/>
  <c r="G2102" i="4"/>
  <c r="G2101" i="4"/>
  <c r="G2100" i="4"/>
  <c r="G2099" i="4"/>
  <c r="G2098" i="4"/>
  <c r="G2097" i="4"/>
  <c r="G2096" i="4"/>
  <c r="G2095" i="4"/>
  <c r="G2094" i="4"/>
  <c r="G2093" i="4"/>
  <c r="G2092" i="4"/>
  <c r="G2091" i="4"/>
  <c r="G2090" i="4"/>
  <c r="G2089" i="4"/>
  <c r="G2088" i="4"/>
  <c r="G2087" i="4"/>
  <c r="G2086" i="4"/>
  <c r="G2085" i="4"/>
  <c r="G2084" i="4"/>
  <c r="G2083" i="4"/>
  <c r="G2082" i="4"/>
  <c r="G2081" i="4"/>
  <c r="G2080" i="4"/>
  <c r="G2079" i="4"/>
  <c r="G2078" i="4"/>
  <c r="G2077" i="4"/>
  <c r="G2076" i="4"/>
  <c r="G2075" i="4"/>
  <c r="G2074" i="4"/>
  <c r="G2073" i="4"/>
  <c r="G2072" i="4"/>
  <c r="G2071" i="4"/>
  <c r="G2070" i="4"/>
  <c r="G2069" i="4"/>
  <c r="G2068" i="4"/>
  <c r="G2067" i="4"/>
  <c r="G2066" i="4"/>
  <c r="G2065" i="4"/>
  <c r="G2064" i="4"/>
  <c r="G2063" i="4"/>
  <c r="G2062" i="4"/>
  <c r="G2061" i="4"/>
  <c r="G2060" i="4"/>
  <c r="G2059" i="4"/>
  <c r="G2058" i="4"/>
  <c r="G2057" i="4"/>
  <c r="G2056" i="4"/>
  <c r="G2055" i="4"/>
  <c r="G2054" i="4"/>
  <c r="G2053" i="4"/>
  <c r="G2052" i="4"/>
  <c r="G2051" i="4"/>
  <c r="G2050" i="4"/>
  <c r="G2049" i="4"/>
  <c r="G2048" i="4"/>
  <c r="G2047" i="4"/>
  <c r="G2046" i="4"/>
  <c r="G2045" i="4"/>
  <c r="G2044" i="4"/>
  <c r="G2043" i="4"/>
  <c r="G2042" i="4"/>
  <c r="G2041" i="4"/>
  <c r="G2040" i="4"/>
  <c r="G2039" i="4"/>
  <c r="G2038" i="4"/>
  <c r="G2037" i="4"/>
  <c r="G2036" i="4"/>
  <c r="G2035" i="4"/>
  <c r="G2034" i="4"/>
  <c r="G2033" i="4"/>
  <c r="G2032" i="4"/>
  <c r="G2031" i="4"/>
  <c r="G2030" i="4"/>
  <c r="G2029" i="4"/>
  <c r="G2028" i="4"/>
  <c r="G2027" i="4"/>
  <c r="G2026" i="4"/>
  <c r="G2025" i="4"/>
  <c r="G2024" i="4"/>
  <c r="G2023" i="4"/>
  <c r="G2022" i="4"/>
  <c r="G2021" i="4"/>
  <c r="G2020" i="4"/>
  <c r="G2019" i="4"/>
  <c r="G2018" i="4"/>
  <c r="G2017" i="4"/>
  <c r="G2016" i="4"/>
  <c r="G2015" i="4"/>
  <c r="G2014" i="4"/>
  <c r="G2013" i="4"/>
  <c r="G2012" i="4"/>
  <c r="G2011" i="4"/>
  <c r="G2010" i="4"/>
  <c r="G2009" i="4"/>
  <c r="G2008" i="4"/>
  <c r="G2007" i="4"/>
  <c r="G2006" i="4"/>
  <c r="G2005" i="4"/>
  <c r="G2004" i="4"/>
  <c r="G2003" i="4"/>
  <c r="G2002" i="4"/>
  <c r="G2001" i="4"/>
  <c r="G2000" i="4"/>
  <c r="G1999" i="4"/>
  <c r="G1998" i="4"/>
  <c r="G1997" i="4"/>
  <c r="G1996" i="4"/>
  <c r="G1995" i="4"/>
  <c r="G1994" i="4"/>
  <c r="G1993" i="4"/>
  <c r="G1992" i="4"/>
  <c r="G1991" i="4"/>
  <c r="G1990" i="4"/>
  <c r="G1989" i="4"/>
  <c r="G1988" i="4"/>
  <c r="G1987" i="4"/>
  <c r="G1986" i="4"/>
  <c r="G1985" i="4"/>
  <c r="G1984" i="4"/>
  <c r="G1983" i="4"/>
  <c r="G1982" i="4"/>
  <c r="G1981" i="4"/>
  <c r="G1980" i="4"/>
  <c r="G1979" i="4"/>
  <c r="G1978" i="4"/>
  <c r="G1977" i="4"/>
  <c r="G1976" i="4"/>
  <c r="G1975" i="4"/>
  <c r="G1974" i="4"/>
  <c r="G1973" i="4"/>
  <c r="G1972" i="4"/>
  <c r="G1971" i="4"/>
  <c r="G1970" i="4"/>
  <c r="G1969" i="4"/>
  <c r="G1968" i="4"/>
  <c r="G1967" i="4"/>
  <c r="G1966" i="4"/>
  <c r="G1965" i="4"/>
  <c r="G1964" i="4"/>
  <c r="G1963" i="4"/>
  <c r="G1962" i="4"/>
  <c r="G1961" i="4"/>
  <c r="G1960" i="4"/>
  <c r="G1959" i="4"/>
  <c r="G1958" i="4"/>
  <c r="G1957" i="4"/>
  <c r="G1956" i="4"/>
  <c r="G1955" i="4"/>
  <c r="G1954" i="4"/>
  <c r="G1953" i="4"/>
  <c r="G1952" i="4"/>
  <c r="G1951" i="4"/>
  <c r="G1950" i="4"/>
  <c r="G1949" i="4"/>
  <c r="G1948" i="4"/>
  <c r="G1947" i="4"/>
  <c r="G1946" i="4"/>
  <c r="G1945" i="4"/>
  <c r="G1944" i="4"/>
  <c r="G1943" i="4"/>
  <c r="G1942" i="4"/>
  <c r="G1941" i="4"/>
  <c r="G1940" i="4"/>
  <c r="G1939" i="4"/>
  <c r="G1938" i="4"/>
  <c r="G1937" i="4"/>
  <c r="G1936" i="4"/>
  <c r="G1935" i="4"/>
  <c r="G1934" i="4"/>
  <c r="G1933" i="4"/>
  <c r="G1932" i="4"/>
  <c r="G1931" i="4"/>
  <c r="G1930" i="4"/>
  <c r="G1929" i="4"/>
  <c r="G1928" i="4"/>
  <c r="G1927" i="4"/>
  <c r="G1926" i="4"/>
  <c r="G1925" i="4"/>
  <c r="G1924" i="4"/>
  <c r="G1923" i="4"/>
  <c r="G1922" i="4"/>
  <c r="G1921" i="4"/>
  <c r="G1920" i="4"/>
  <c r="G1919" i="4"/>
  <c r="G1918" i="4"/>
  <c r="G1917" i="4"/>
  <c r="G1916" i="4"/>
  <c r="G1915" i="4"/>
  <c r="G1914" i="4"/>
  <c r="G1913" i="4"/>
  <c r="G1912" i="4"/>
  <c r="G1911" i="4"/>
  <c r="G1910" i="4"/>
  <c r="G1909" i="4"/>
  <c r="G1908" i="4"/>
  <c r="G1907" i="4"/>
  <c r="G1906" i="4"/>
  <c r="G1905" i="4"/>
  <c r="G1904" i="4"/>
  <c r="G1903" i="4"/>
  <c r="G1902" i="4"/>
  <c r="G1901" i="4"/>
  <c r="G1900" i="4"/>
  <c r="G1899" i="4"/>
  <c r="G1898" i="4"/>
  <c r="G1897" i="4"/>
  <c r="G1896" i="4"/>
  <c r="G1895" i="4"/>
  <c r="G1894" i="4"/>
  <c r="G1893" i="4"/>
  <c r="G1892" i="4"/>
  <c r="G1891" i="4"/>
  <c r="G1890" i="4"/>
  <c r="G1889" i="4"/>
  <c r="G1888" i="4"/>
  <c r="G1887" i="4"/>
  <c r="G1886" i="4"/>
  <c r="G1885" i="4"/>
  <c r="G1884" i="4"/>
  <c r="G1883" i="4"/>
  <c r="G1882" i="4"/>
  <c r="G1881" i="4"/>
  <c r="G1880" i="4"/>
  <c r="G1879" i="4"/>
  <c r="G1878" i="4"/>
  <c r="G1877" i="4"/>
  <c r="G1876" i="4"/>
  <c r="G1875" i="4"/>
  <c r="G1874" i="4"/>
  <c r="G1873" i="4"/>
  <c r="G1872" i="4"/>
  <c r="G1871" i="4"/>
  <c r="G1870" i="4"/>
  <c r="G1869" i="4"/>
  <c r="G1868" i="4"/>
  <c r="G1867" i="4"/>
  <c r="G1866" i="4"/>
  <c r="G1865" i="4"/>
  <c r="G1864" i="4"/>
  <c r="G1863" i="4"/>
  <c r="G1862" i="4"/>
  <c r="G1861" i="4"/>
  <c r="G1860" i="4"/>
  <c r="G1859" i="4"/>
  <c r="G1858" i="4"/>
  <c r="G1857" i="4"/>
  <c r="G1856" i="4"/>
  <c r="G1855" i="4"/>
  <c r="G1854" i="4"/>
  <c r="G1853" i="4"/>
  <c r="G1852" i="4"/>
  <c r="G1851" i="4"/>
  <c r="G1850" i="4"/>
  <c r="G1849" i="4"/>
  <c r="G1848" i="4"/>
  <c r="G1847" i="4"/>
  <c r="G1846" i="4"/>
  <c r="G1845" i="4"/>
  <c r="G1844" i="4"/>
  <c r="G1843" i="4"/>
  <c r="G1842" i="4"/>
  <c r="G1841" i="4"/>
  <c r="G1840" i="4"/>
  <c r="G1839" i="4"/>
  <c r="G1838" i="4"/>
  <c r="G1837" i="4"/>
  <c r="G1836" i="4"/>
  <c r="G1835" i="4"/>
  <c r="G1834" i="4"/>
  <c r="G1833" i="4"/>
  <c r="G1832" i="4"/>
  <c r="G1831" i="4"/>
  <c r="G1830" i="4"/>
  <c r="G1829" i="4"/>
  <c r="G1828" i="4"/>
  <c r="G1827" i="4"/>
  <c r="G1826" i="4"/>
  <c r="G1825" i="4"/>
  <c r="G1824" i="4"/>
  <c r="G1823" i="4"/>
  <c r="G1822" i="4"/>
  <c r="G1821" i="4"/>
  <c r="G1820" i="4"/>
  <c r="G1819" i="4"/>
  <c r="G1818" i="4"/>
  <c r="G1817" i="4"/>
  <c r="G1816" i="4"/>
  <c r="G1815" i="4"/>
  <c r="G1814" i="4"/>
  <c r="G1813" i="4"/>
  <c r="G1812" i="4"/>
  <c r="G1811" i="4"/>
  <c r="G1810" i="4"/>
  <c r="G1809" i="4"/>
  <c r="G1808" i="4"/>
  <c r="G1807" i="4"/>
  <c r="G1806" i="4"/>
  <c r="G1805" i="4"/>
  <c r="G1804" i="4"/>
  <c r="G1803" i="4"/>
  <c r="G1802" i="4"/>
  <c r="G1801" i="4"/>
  <c r="G1800" i="4"/>
  <c r="G1799" i="4"/>
  <c r="G1798" i="4"/>
  <c r="G1797" i="4"/>
  <c r="G1796" i="4"/>
  <c r="G1795" i="4"/>
  <c r="G1794" i="4"/>
  <c r="G1793" i="4"/>
  <c r="G1792" i="4"/>
  <c r="G1791" i="4"/>
  <c r="G1790" i="4"/>
  <c r="G1789" i="4"/>
  <c r="G1788" i="4"/>
  <c r="G1787" i="4"/>
  <c r="G1786" i="4"/>
  <c r="G1785" i="4"/>
  <c r="G1784" i="4"/>
  <c r="G1783" i="4"/>
  <c r="G1782" i="4"/>
  <c r="G1781" i="4"/>
  <c r="G1780" i="4"/>
  <c r="G1779" i="4"/>
  <c r="G1778" i="4"/>
  <c r="G1777" i="4"/>
  <c r="G1776" i="4"/>
  <c r="G1775" i="4"/>
  <c r="G1774" i="4"/>
  <c r="G1773" i="4"/>
  <c r="G1772" i="4"/>
  <c r="G1771" i="4"/>
  <c r="G1770" i="4"/>
  <c r="G1769" i="4"/>
  <c r="G1768" i="4"/>
  <c r="G1767" i="4"/>
  <c r="G1766" i="4"/>
  <c r="G1765" i="4"/>
  <c r="G1764" i="4"/>
  <c r="G1763" i="4"/>
  <c r="G1762" i="4"/>
  <c r="G1761" i="4"/>
  <c r="G1760" i="4"/>
  <c r="G1759" i="4"/>
  <c r="G1758" i="4"/>
  <c r="G1757" i="4"/>
  <c r="G1756" i="4"/>
  <c r="G1755" i="4"/>
  <c r="G1754" i="4"/>
  <c r="G1753" i="4"/>
  <c r="G1752" i="4"/>
  <c r="G1751" i="4"/>
  <c r="G1750" i="4"/>
  <c r="G1749" i="4"/>
  <c r="G1748" i="4"/>
  <c r="G1747" i="4"/>
  <c r="G1746" i="4"/>
  <c r="G1745" i="4"/>
  <c r="G1744" i="4"/>
  <c r="G1743" i="4"/>
  <c r="G1742" i="4"/>
  <c r="G1741" i="4"/>
  <c r="G1740" i="4"/>
  <c r="G1739" i="4"/>
  <c r="G1738" i="4"/>
  <c r="G1737" i="4"/>
  <c r="G1736" i="4"/>
  <c r="G1735" i="4"/>
  <c r="G1734" i="4"/>
  <c r="G1733" i="4"/>
  <c r="G1732" i="4"/>
  <c r="G1731" i="4"/>
  <c r="G1730" i="4"/>
  <c r="G1729" i="4"/>
  <c r="G1728" i="4"/>
  <c r="G1727" i="4"/>
  <c r="G1726" i="4"/>
  <c r="G1725" i="4"/>
  <c r="G1724" i="4"/>
  <c r="G1723" i="4"/>
  <c r="G1722" i="4"/>
  <c r="G1721" i="4"/>
  <c r="G1720" i="4"/>
  <c r="G1719" i="4"/>
  <c r="G1718" i="4"/>
  <c r="G1717" i="4"/>
  <c r="G1716" i="4"/>
  <c r="G1715" i="4"/>
  <c r="G1714" i="4"/>
  <c r="G1713" i="4"/>
  <c r="G1712" i="4"/>
  <c r="G1711" i="4"/>
  <c r="G1710" i="4"/>
  <c r="G1709" i="4"/>
  <c r="G1708" i="4"/>
  <c r="G1707" i="4"/>
  <c r="G1706" i="4"/>
  <c r="G1705" i="4"/>
  <c r="G1704" i="4"/>
  <c r="G1703" i="4"/>
  <c r="G1702" i="4"/>
  <c r="G1701" i="4"/>
  <c r="G1700" i="4"/>
  <c r="G1699" i="4"/>
  <c r="G1698" i="4"/>
  <c r="G1697" i="4"/>
  <c r="G1696" i="4"/>
  <c r="G1695" i="4"/>
  <c r="G1694" i="4"/>
  <c r="G1693" i="4"/>
  <c r="G1692" i="4"/>
  <c r="G1691" i="4"/>
  <c r="G1690" i="4"/>
  <c r="G1689" i="4"/>
  <c r="G1688" i="4"/>
  <c r="G1687" i="4"/>
  <c r="G1686" i="4"/>
  <c r="G1685" i="4"/>
  <c r="G1684" i="4"/>
  <c r="G1683" i="4"/>
  <c r="G1682" i="4"/>
  <c r="G1681" i="4"/>
  <c r="G1680" i="4"/>
  <c r="G1679" i="4"/>
  <c r="G1678" i="4"/>
  <c r="G1677" i="4"/>
  <c r="G1676" i="4"/>
  <c r="G1675" i="4"/>
  <c r="G1674" i="4"/>
  <c r="G1673" i="4"/>
  <c r="G1672" i="4"/>
  <c r="G1671" i="4"/>
  <c r="G1670" i="4"/>
  <c r="G1669" i="4"/>
  <c r="G1668" i="4"/>
  <c r="G1667" i="4"/>
  <c r="G1666" i="4"/>
  <c r="G1665" i="4"/>
  <c r="G1664" i="4"/>
  <c r="G1663" i="4"/>
  <c r="G1662" i="4"/>
  <c r="G1661" i="4"/>
  <c r="G1660" i="4"/>
  <c r="G1659" i="4"/>
  <c r="G1658" i="4"/>
  <c r="G1657" i="4"/>
  <c r="G1656" i="4"/>
  <c r="G1655" i="4"/>
  <c r="G1654" i="4"/>
  <c r="G1653" i="4"/>
  <c r="G1652" i="4"/>
  <c r="G1651" i="4"/>
  <c r="G1650" i="4"/>
  <c r="G1649" i="4"/>
  <c r="G1648" i="4"/>
  <c r="G1647" i="4"/>
  <c r="G1646" i="4"/>
  <c r="G1645" i="4"/>
  <c r="G1644" i="4"/>
  <c r="G1643" i="4"/>
  <c r="G1642" i="4"/>
  <c r="G1641" i="4"/>
  <c r="G1640" i="4"/>
  <c r="G1639" i="4"/>
  <c r="G1638" i="4"/>
  <c r="G1637" i="4"/>
  <c r="G1636" i="4"/>
  <c r="G1635" i="4"/>
  <c r="G1634" i="4"/>
  <c r="G1633" i="4"/>
  <c r="G1632" i="4"/>
  <c r="G1631" i="4"/>
  <c r="G1630" i="4"/>
  <c r="G1629" i="4"/>
  <c r="G1628" i="4"/>
  <c r="G1627" i="4"/>
  <c r="G1626" i="4"/>
  <c r="G1625" i="4"/>
  <c r="G1624" i="4"/>
  <c r="G1623" i="4"/>
  <c r="G1622" i="4"/>
  <c r="G1621" i="4"/>
  <c r="G1620" i="4"/>
  <c r="G1619" i="4"/>
  <c r="G1618" i="4"/>
  <c r="G1617" i="4"/>
  <c r="G1616" i="4"/>
  <c r="G1615" i="4"/>
  <c r="G1614" i="4"/>
  <c r="G1613" i="4"/>
  <c r="G1612" i="4"/>
  <c r="G1611" i="4"/>
  <c r="G1610" i="4"/>
  <c r="G1609" i="4"/>
  <c r="G1608" i="4"/>
  <c r="G1607" i="4"/>
  <c r="G1606" i="4"/>
  <c r="G1605" i="4"/>
  <c r="G1604" i="4"/>
  <c r="G1603" i="4"/>
  <c r="G1602" i="4"/>
  <c r="G1601" i="4"/>
  <c r="G1600" i="4"/>
  <c r="G1599" i="4"/>
  <c r="G1598" i="4"/>
  <c r="G1597" i="4"/>
  <c r="G1596" i="4"/>
  <c r="G1595" i="4"/>
  <c r="G1594" i="4"/>
  <c r="G1593" i="4"/>
  <c r="G1592" i="4"/>
  <c r="G1591" i="4"/>
  <c r="G1590" i="4"/>
  <c r="G1589" i="4"/>
  <c r="G1588" i="4"/>
  <c r="G1587" i="4"/>
  <c r="G1586" i="4"/>
  <c r="G1585" i="4"/>
  <c r="G1584" i="4"/>
  <c r="G1583" i="4"/>
  <c r="G1582" i="4"/>
  <c r="G1581" i="4"/>
  <c r="G1580" i="4"/>
  <c r="G1579" i="4"/>
  <c r="G1578" i="4"/>
  <c r="G1577" i="4"/>
  <c r="G1576" i="4"/>
  <c r="G1575" i="4"/>
  <c r="G1574" i="4"/>
  <c r="G1573" i="4"/>
  <c r="G1572" i="4"/>
  <c r="G1571" i="4"/>
  <c r="G1570" i="4"/>
  <c r="G1569" i="4"/>
  <c r="G1568" i="4"/>
  <c r="G1567" i="4"/>
  <c r="G1566" i="4"/>
  <c r="G1565" i="4"/>
  <c r="G1564" i="4"/>
  <c r="G1563" i="4"/>
  <c r="G1562" i="4"/>
  <c r="G1561" i="4"/>
  <c r="G1560" i="4"/>
  <c r="G1559" i="4"/>
  <c r="G1558" i="4"/>
  <c r="G1557" i="4"/>
  <c r="G1556" i="4"/>
  <c r="G1555" i="4"/>
  <c r="G1554" i="4"/>
  <c r="G1553" i="4"/>
  <c r="G1552" i="4"/>
  <c r="G1551" i="4"/>
  <c r="G1550" i="4"/>
  <c r="G1549" i="4"/>
  <c r="G1548" i="4"/>
  <c r="G1547" i="4"/>
  <c r="G1546" i="4"/>
  <c r="G1545" i="4"/>
  <c r="G1544" i="4"/>
  <c r="G1543" i="4"/>
  <c r="G1542" i="4"/>
  <c r="G1541" i="4"/>
  <c r="G1540" i="4"/>
  <c r="G1539" i="4"/>
  <c r="G1538" i="4"/>
  <c r="G1537" i="4"/>
  <c r="G1536" i="4"/>
  <c r="G1535" i="4"/>
  <c r="G1534" i="4"/>
  <c r="G1533" i="4"/>
  <c r="G1532" i="4"/>
  <c r="G1531" i="4"/>
  <c r="G1530" i="4"/>
  <c r="G1529" i="4"/>
  <c r="G1528" i="4"/>
  <c r="G1527" i="4"/>
  <c r="G1526" i="4"/>
  <c r="G1525" i="4"/>
  <c r="G1524" i="4"/>
  <c r="G1523" i="4"/>
  <c r="G1522" i="4"/>
  <c r="G1521" i="4"/>
  <c r="G1520" i="4"/>
  <c r="G1519" i="4"/>
  <c r="G1518" i="4"/>
  <c r="G1517" i="4"/>
  <c r="G1516" i="4"/>
  <c r="G1515" i="4"/>
  <c r="G1514" i="4"/>
  <c r="G1513" i="4"/>
  <c r="G1512" i="4"/>
  <c r="G1511" i="4"/>
  <c r="G1510" i="4"/>
  <c r="G1509" i="4"/>
  <c r="G1508" i="4"/>
  <c r="G1507" i="4"/>
  <c r="G1506" i="4"/>
  <c r="G1505" i="4"/>
  <c r="G1504" i="4"/>
  <c r="G1503" i="4"/>
  <c r="G1502" i="4"/>
  <c r="G1501" i="4"/>
  <c r="G1500" i="4"/>
  <c r="G1499" i="4"/>
  <c r="G1498" i="4"/>
  <c r="G1497" i="4"/>
  <c r="G1496" i="4"/>
  <c r="G1495" i="4"/>
  <c r="G1494" i="4"/>
  <c r="G1493" i="4"/>
  <c r="G1492" i="4"/>
  <c r="G1491" i="4"/>
  <c r="G1490" i="4"/>
  <c r="G1489" i="4"/>
  <c r="G1488" i="4"/>
  <c r="G1487" i="4"/>
  <c r="G1486" i="4"/>
  <c r="G1485" i="4"/>
  <c r="G1484" i="4"/>
  <c r="G1483" i="4"/>
  <c r="G1482" i="4"/>
  <c r="G1481" i="4"/>
  <c r="G1480" i="4"/>
  <c r="G1479" i="4"/>
  <c r="G1478" i="4"/>
  <c r="G1477" i="4"/>
  <c r="G1476" i="4"/>
  <c r="G1475" i="4"/>
  <c r="G1474" i="4"/>
  <c r="G1473" i="4"/>
  <c r="G1472" i="4"/>
  <c r="G1471" i="4"/>
  <c r="G1470" i="4"/>
  <c r="G1469" i="4"/>
  <c r="G1468" i="4"/>
  <c r="G1467" i="4"/>
  <c r="G1466" i="4"/>
  <c r="G1465" i="4"/>
  <c r="G1464" i="4"/>
  <c r="G1463" i="4"/>
  <c r="G1462" i="4"/>
  <c r="G1461" i="4"/>
  <c r="G1460" i="4"/>
  <c r="G1459" i="4"/>
  <c r="G1458" i="4"/>
  <c r="G1457" i="4"/>
  <c r="G1456" i="4"/>
  <c r="G1455" i="4"/>
  <c r="G1454" i="4"/>
  <c r="G1453" i="4"/>
  <c r="G1452" i="4"/>
  <c r="G1451" i="4"/>
  <c r="G1450" i="4"/>
  <c r="G1449" i="4"/>
  <c r="G1448" i="4"/>
  <c r="G1447" i="4"/>
  <c r="G1446" i="4"/>
  <c r="G1445" i="4"/>
  <c r="G1444" i="4"/>
  <c r="G1443" i="4"/>
  <c r="G1442" i="4"/>
  <c r="G1441" i="4"/>
  <c r="G1440" i="4"/>
  <c r="G1439" i="4"/>
  <c r="G1438" i="4"/>
  <c r="G1437" i="4"/>
  <c r="G1436" i="4"/>
  <c r="G1435" i="4"/>
  <c r="G1434" i="4"/>
  <c r="G1433" i="4"/>
  <c r="G1432" i="4"/>
  <c r="G1431" i="4"/>
  <c r="G1430" i="4"/>
  <c r="G1429" i="4"/>
  <c r="G1428" i="4"/>
  <c r="G1427" i="4"/>
  <c r="G1426" i="4"/>
  <c r="G1425" i="4"/>
  <c r="G1424" i="4"/>
  <c r="G1423" i="4"/>
  <c r="G1422" i="4"/>
  <c r="G1421" i="4"/>
  <c r="G1420" i="4"/>
  <c r="G1419" i="4"/>
  <c r="G1418" i="4"/>
  <c r="G1417" i="4"/>
  <c r="G1416" i="4"/>
  <c r="G1415" i="4"/>
  <c r="G1414" i="4"/>
  <c r="G1413" i="4"/>
  <c r="G1412" i="4"/>
  <c r="G1411" i="4"/>
  <c r="G1410" i="4"/>
  <c r="G1409" i="4"/>
  <c r="G1408" i="4"/>
  <c r="G1407" i="4"/>
  <c r="G1406" i="4"/>
  <c r="G1405" i="4"/>
  <c r="G1404" i="4"/>
  <c r="G1403" i="4"/>
  <c r="G1402" i="4"/>
  <c r="G1401" i="4"/>
  <c r="G1400" i="4"/>
  <c r="G1399" i="4"/>
  <c r="G1398" i="4"/>
  <c r="G1397" i="4"/>
  <c r="G1396" i="4"/>
  <c r="G1395" i="4"/>
  <c r="G1394" i="4"/>
  <c r="G1393" i="4"/>
  <c r="G1392" i="4"/>
  <c r="G1391" i="4"/>
  <c r="G1390" i="4"/>
  <c r="G1389" i="4"/>
  <c r="G1388" i="4"/>
  <c r="G1387" i="4"/>
  <c r="G1386" i="4"/>
  <c r="G1385" i="4"/>
  <c r="G1384" i="4"/>
  <c r="G1383" i="4"/>
  <c r="G1382" i="4"/>
  <c r="G1381" i="4"/>
  <c r="G1380" i="4"/>
  <c r="G1379" i="4"/>
  <c r="G1378" i="4"/>
  <c r="G1377" i="4"/>
  <c r="G1376" i="4"/>
  <c r="G1375" i="4"/>
  <c r="G1374" i="4"/>
  <c r="G1373" i="4"/>
  <c r="G1372" i="4"/>
  <c r="G1371" i="4"/>
  <c r="G1370" i="4"/>
  <c r="G1369" i="4"/>
  <c r="G1368" i="4"/>
  <c r="G1367" i="4"/>
  <c r="G1366" i="4"/>
  <c r="G1365" i="4"/>
  <c r="G1364" i="4"/>
  <c r="G1363" i="4"/>
  <c r="G1362" i="4"/>
  <c r="G1361" i="4"/>
  <c r="G1360" i="4"/>
  <c r="G1359" i="4"/>
  <c r="G1358" i="4"/>
  <c r="G1357" i="4"/>
  <c r="G1356" i="4"/>
  <c r="G1355" i="4"/>
  <c r="G1354" i="4"/>
  <c r="G1353" i="4"/>
  <c r="G1352" i="4"/>
  <c r="G1351" i="4"/>
  <c r="G1350" i="4"/>
  <c r="G1349" i="4"/>
  <c r="G1348" i="4"/>
  <c r="G1347" i="4"/>
  <c r="G1346" i="4"/>
  <c r="G1345" i="4"/>
  <c r="G1344" i="4"/>
  <c r="G1343" i="4"/>
  <c r="G1342" i="4"/>
  <c r="G1341" i="4"/>
  <c r="G1340" i="4"/>
  <c r="G1339" i="4"/>
  <c r="G1338" i="4"/>
  <c r="G1337" i="4"/>
  <c r="G1336" i="4"/>
  <c r="G1335" i="4"/>
  <c r="G1334" i="4"/>
  <c r="G1333" i="4"/>
  <c r="G1332" i="4"/>
  <c r="G1331" i="4"/>
  <c r="G1330" i="4"/>
  <c r="G1329" i="4"/>
  <c r="G1328" i="4"/>
  <c r="G1327" i="4"/>
  <c r="G1326" i="4"/>
  <c r="G1325" i="4"/>
  <c r="G1324" i="4"/>
  <c r="G1323" i="4"/>
  <c r="G1322" i="4"/>
  <c r="G1321" i="4"/>
  <c r="G1320" i="4"/>
  <c r="G1319" i="4"/>
  <c r="G1318" i="4"/>
  <c r="G1317" i="4"/>
  <c r="G1316" i="4"/>
  <c r="G1315" i="4"/>
  <c r="G1314" i="4"/>
  <c r="G1313" i="4"/>
  <c r="G1312" i="4"/>
  <c r="G1311" i="4"/>
  <c r="G1310" i="4"/>
  <c r="G1309" i="4"/>
  <c r="G1308" i="4"/>
  <c r="G1307" i="4"/>
  <c r="G1306" i="4"/>
  <c r="G1305" i="4"/>
  <c r="G1304" i="4"/>
  <c r="G1303" i="4"/>
  <c r="G1302" i="4"/>
  <c r="G1301" i="4"/>
  <c r="G1300" i="4"/>
  <c r="G1299" i="4"/>
  <c r="G1298" i="4"/>
  <c r="G1297" i="4"/>
  <c r="G1296" i="4"/>
  <c r="G1295" i="4"/>
  <c r="G1294" i="4"/>
  <c r="G1293" i="4"/>
  <c r="G1292" i="4"/>
  <c r="G1291" i="4"/>
  <c r="G1290" i="4"/>
  <c r="G1289" i="4"/>
  <c r="G1288" i="4"/>
  <c r="G1287" i="4"/>
  <c r="G1286" i="4"/>
  <c r="G1285" i="4"/>
  <c r="G1284" i="4"/>
  <c r="G1283" i="4"/>
  <c r="G1282" i="4"/>
  <c r="G1281" i="4"/>
  <c r="G1280" i="4"/>
  <c r="G1279" i="4"/>
  <c r="G1278" i="4"/>
  <c r="G1277" i="4"/>
  <c r="G1276" i="4"/>
  <c r="G1275" i="4"/>
  <c r="G1274" i="4"/>
  <c r="G1273" i="4"/>
  <c r="G1272" i="4"/>
  <c r="G1271" i="4"/>
  <c r="G1270" i="4"/>
  <c r="G1269" i="4"/>
  <c r="G1268" i="4"/>
  <c r="G1267" i="4"/>
  <c r="G1266" i="4"/>
  <c r="G1265" i="4"/>
  <c r="G1264" i="4"/>
  <c r="G1263" i="4"/>
  <c r="G1262" i="4"/>
  <c r="G1261" i="4"/>
  <c r="G1260" i="4"/>
  <c r="G1259" i="4"/>
  <c r="G1258" i="4"/>
  <c r="G1257" i="4"/>
  <c r="G1256" i="4"/>
  <c r="G1255" i="4"/>
  <c r="G1254" i="4"/>
  <c r="G1253" i="4"/>
  <c r="G1252" i="4"/>
  <c r="G1251" i="4"/>
  <c r="G1250" i="4"/>
  <c r="G1249" i="4"/>
  <c r="G1248" i="4"/>
  <c r="G1247" i="4"/>
  <c r="G1246" i="4"/>
  <c r="G1245" i="4"/>
  <c r="G1244" i="4"/>
  <c r="G1243" i="4"/>
  <c r="G1242" i="4"/>
  <c r="G1241" i="4"/>
  <c r="G1240" i="4"/>
  <c r="G1239" i="4"/>
  <c r="G1238" i="4"/>
  <c r="G1237" i="4"/>
  <c r="G1236" i="4"/>
  <c r="G1235" i="4"/>
  <c r="G1234" i="4"/>
  <c r="G1233" i="4"/>
  <c r="G1232" i="4"/>
  <c r="G1231" i="4"/>
  <c r="G1230" i="4"/>
  <c r="G1229" i="4"/>
  <c r="G1228" i="4"/>
  <c r="G1227" i="4"/>
  <c r="G1226" i="4"/>
  <c r="G1225" i="4"/>
  <c r="G1224" i="4"/>
  <c r="G1223" i="4"/>
  <c r="G1222" i="4"/>
  <c r="G1221" i="4"/>
  <c r="G1220" i="4"/>
  <c r="G1219" i="4"/>
  <c r="G1218" i="4"/>
  <c r="G1217" i="4"/>
  <c r="G1216" i="4"/>
  <c r="G1215" i="4"/>
  <c r="G1214" i="4"/>
  <c r="G1213" i="4"/>
  <c r="G1212" i="4"/>
  <c r="G1211" i="4"/>
  <c r="G1210" i="4"/>
  <c r="G1209" i="4"/>
  <c r="G1208" i="4"/>
  <c r="G1207" i="4"/>
  <c r="G1206" i="4"/>
  <c r="G1205" i="4"/>
  <c r="G1204" i="4"/>
  <c r="G1203" i="4"/>
  <c r="G1202" i="4"/>
  <c r="G1201" i="4"/>
  <c r="G1200" i="4"/>
  <c r="G1199" i="4"/>
  <c r="G1198" i="4"/>
  <c r="G1197" i="4"/>
  <c r="G1196" i="4"/>
  <c r="G1195" i="4"/>
  <c r="G1194" i="4"/>
  <c r="G1193" i="4"/>
  <c r="G1192" i="4"/>
  <c r="G1191" i="4"/>
  <c r="G1190" i="4"/>
  <c r="G1189" i="4"/>
  <c r="G1188" i="4"/>
  <c r="G1187" i="4"/>
  <c r="G1186" i="4"/>
  <c r="G1185" i="4"/>
  <c r="G1184" i="4"/>
  <c r="G1183" i="4"/>
  <c r="G1182" i="4"/>
  <c r="G1181" i="4"/>
  <c r="G1180" i="4"/>
  <c r="G1179" i="4"/>
  <c r="G1178" i="4"/>
  <c r="G1177" i="4"/>
  <c r="G1176" i="4"/>
  <c r="G1175" i="4"/>
  <c r="G1174" i="4"/>
  <c r="G1173" i="4"/>
  <c r="G1172" i="4"/>
  <c r="G1171" i="4"/>
  <c r="G1170" i="4"/>
  <c r="G1169" i="4"/>
  <c r="G1168" i="4"/>
  <c r="G1167" i="4"/>
  <c r="G1166" i="4"/>
  <c r="G1165" i="4"/>
  <c r="G1164" i="4"/>
  <c r="G1163" i="4"/>
  <c r="G1162" i="4"/>
  <c r="G1161" i="4"/>
  <c r="G1160" i="4"/>
  <c r="G1159" i="4"/>
  <c r="G1158" i="4"/>
  <c r="G1157" i="4"/>
  <c r="G1156" i="4"/>
  <c r="G1155" i="4"/>
  <c r="G1154" i="4"/>
  <c r="G1153" i="4"/>
  <c r="G1152" i="4"/>
  <c r="G1151" i="4"/>
  <c r="G1150" i="4"/>
  <c r="G1149" i="4"/>
  <c r="G1148" i="4"/>
  <c r="G1147" i="4"/>
  <c r="G1146" i="4"/>
  <c r="G1145" i="4"/>
  <c r="G1144" i="4"/>
  <c r="G1143" i="4"/>
  <c r="G1142" i="4"/>
  <c r="G1141" i="4"/>
  <c r="G1140" i="4"/>
  <c r="G1139" i="4"/>
  <c r="G1138" i="4"/>
  <c r="G1137" i="4"/>
  <c r="G1136" i="4"/>
  <c r="G1135" i="4"/>
  <c r="G1134" i="4"/>
  <c r="G1133" i="4"/>
  <c r="G1132" i="4"/>
  <c r="G1131" i="4"/>
  <c r="G1130" i="4"/>
  <c r="G1129" i="4"/>
  <c r="G1128" i="4"/>
  <c r="G1127" i="4"/>
  <c r="G1126" i="4"/>
  <c r="G1125" i="4"/>
  <c r="G1124" i="4"/>
  <c r="G1123" i="4"/>
  <c r="G1122" i="4"/>
  <c r="G1121" i="4"/>
  <c r="G1120" i="4"/>
  <c r="G1119" i="4"/>
  <c r="G1118" i="4"/>
  <c r="G1117" i="4"/>
  <c r="G1116" i="4"/>
  <c r="G1115" i="4"/>
  <c r="G1114" i="4"/>
  <c r="G1113" i="4"/>
  <c r="G1112" i="4"/>
  <c r="G1111" i="4"/>
  <c r="G1110" i="4"/>
  <c r="G1109" i="4"/>
  <c r="G1108" i="4"/>
  <c r="G1107" i="4"/>
  <c r="G1106" i="4"/>
  <c r="G1105" i="4"/>
  <c r="G1104" i="4"/>
  <c r="G1103" i="4"/>
  <c r="G1102" i="4"/>
  <c r="G1101" i="4"/>
  <c r="G1100" i="4"/>
  <c r="G1099" i="4"/>
  <c r="G1098" i="4"/>
  <c r="G1097" i="4"/>
  <c r="G1096" i="4"/>
  <c r="G1095" i="4"/>
  <c r="G1094" i="4"/>
  <c r="G1093" i="4"/>
  <c r="G1092" i="4"/>
  <c r="G1091" i="4"/>
  <c r="G1090" i="4"/>
  <c r="G1089" i="4"/>
  <c r="G1088" i="4"/>
  <c r="G1087" i="4"/>
  <c r="G1086" i="4"/>
  <c r="G1085" i="4"/>
  <c r="G1084" i="4"/>
  <c r="G1083" i="4"/>
  <c r="G1082" i="4"/>
  <c r="G1081" i="4"/>
  <c r="G1080" i="4"/>
  <c r="G1079" i="4"/>
  <c r="G1078" i="4"/>
  <c r="G1077" i="4"/>
  <c r="G1076" i="4"/>
  <c r="G1075" i="4"/>
  <c r="G1074" i="4"/>
  <c r="G1073" i="4"/>
  <c r="G1072" i="4"/>
  <c r="G1071" i="4"/>
  <c r="G1070" i="4"/>
  <c r="G1069" i="4"/>
  <c r="G1068" i="4"/>
  <c r="G1067" i="4"/>
  <c r="G1066" i="4"/>
  <c r="G1065" i="4"/>
  <c r="G1064" i="4"/>
  <c r="G1063" i="4"/>
  <c r="G1062" i="4"/>
  <c r="G1061" i="4"/>
  <c r="G1060" i="4"/>
  <c r="G1059" i="4"/>
  <c r="G1058" i="4"/>
  <c r="G1057" i="4"/>
  <c r="G1056" i="4"/>
  <c r="G1055" i="4"/>
  <c r="G1054" i="4"/>
  <c r="G1053" i="4"/>
  <c r="G1052" i="4"/>
  <c r="G1051" i="4"/>
  <c r="G1050" i="4"/>
  <c r="G1049" i="4"/>
  <c r="G1048" i="4"/>
  <c r="G1047" i="4"/>
  <c r="G1046" i="4"/>
  <c r="G1045" i="4"/>
  <c r="G1044" i="4"/>
  <c r="G1043" i="4"/>
  <c r="G1042" i="4"/>
  <c r="G1041" i="4"/>
  <c r="G1040" i="4"/>
  <c r="G1039" i="4"/>
  <c r="G1038" i="4"/>
  <c r="G1037" i="4"/>
  <c r="G1036" i="4"/>
  <c r="G1035" i="4"/>
  <c r="G1034" i="4"/>
  <c r="G1033" i="4"/>
  <c r="G1032" i="4"/>
  <c r="G1031" i="4"/>
  <c r="G1030" i="4"/>
  <c r="G1029" i="4"/>
  <c r="G1028" i="4"/>
  <c r="G1027" i="4"/>
  <c r="G1026" i="4"/>
  <c r="G1025" i="4"/>
  <c r="G1024" i="4"/>
  <c r="G1023" i="4"/>
  <c r="G1022" i="4"/>
  <c r="G1021" i="4"/>
  <c r="G1020" i="4"/>
  <c r="G1019" i="4"/>
  <c r="G1018" i="4"/>
  <c r="G1017" i="4"/>
  <c r="G1016" i="4"/>
  <c r="G1015" i="4"/>
  <c r="G1014" i="4"/>
  <c r="G1013" i="4"/>
  <c r="G1012" i="4"/>
  <c r="G1011" i="4"/>
  <c r="G1010" i="4"/>
  <c r="G1009" i="4"/>
  <c r="G1008" i="4"/>
  <c r="G1007" i="4"/>
  <c r="G1006" i="4"/>
  <c r="G1005" i="4"/>
  <c r="G1004" i="4"/>
  <c r="G1003" i="4"/>
  <c r="G1002" i="4"/>
  <c r="G1001" i="4"/>
  <c r="G1000" i="4"/>
  <c r="G999" i="4"/>
  <c r="G998" i="4"/>
  <c r="G997" i="4"/>
  <c r="G996" i="4"/>
  <c r="G995" i="4"/>
  <c r="G994" i="4"/>
  <c r="G993" i="4"/>
  <c r="G992" i="4"/>
  <c r="G991" i="4"/>
  <c r="G990" i="4"/>
  <c r="G989" i="4"/>
  <c r="G988" i="4"/>
  <c r="G987" i="4"/>
  <c r="G986" i="4"/>
  <c r="G985" i="4"/>
  <c r="G984" i="4"/>
  <c r="G983" i="4"/>
  <c r="G982" i="4"/>
  <c r="G981" i="4"/>
  <c r="G980" i="4"/>
  <c r="G979" i="4"/>
  <c r="G978" i="4"/>
  <c r="G977" i="4"/>
  <c r="G976" i="4"/>
  <c r="G975" i="4"/>
  <c r="G974" i="4"/>
  <c r="G973" i="4"/>
  <c r="G972" i="4"/>
  <c r="G971" i="4"/>
  <c r="G970" i="4"/>
  <c r="G969" i="4"/>
  <c r="G968" i="4"/>
  <c r="G967" i="4"/>
  <c r="G966" i="4"/>
  <c r="G965" i="4"/>
  <c r="G964" i="4"/>
  <c r="G963" i="4"/>
  <c r="G962" i="4"/>
  <c r="G961" i="4"/>
  <c r="G960" i="4"/>
  <c r="G959" i="4"/>
  <c r="G958" i="4"/>
  <c r="G957" i="4"/>
  <c r="G956" i="4"/>
  <c r="G955" i="4"/>
  <c r="G954" i="4"/>
  <c r="G953" i="4"/>
  <c r="G952" i="4"/>
  <c r="G951" i="4"/>
  <c r="G950" i="4"/>
  <c r="G949" i="4"/>
  <c r="G948" i="4"/>
  <c r="G947" i="4"/>
  <c r="G946" i="4"/>
  <c r="G945" i="4"/>
  <c r="G944" i="4"/>
  <c r="G943" i="4"/>
  <c r="G942" i="4"/>
  <c r="G941" i="4"/>
  <c r="G940" i="4"/>
  <c r="G939" i="4"/>
  <c r="G938" i="4"/>
  <c r="G937" i="4"/>
  <c r="G936" i="4"/>
  <c r="G935" i="4"/>
  <c r="G934" i="4"/>
  <c r="G933" i="4"/>
  <c r="G932" i="4"/>
  <c r="G931" i="4"/>
  <c r="G930" i="4"/>
  <c r="G929" i="4"/>
  <c r="G928" i="4"/>
  <c r="G927" i="4"/>
  <c r="G926" i="4"/>
  <c r="G925" i="4"/>
  <c r="G924" i="4"/>
  <c r="G923" i="4"/>
  <c r="G922" i="4"/>
  <c r="G921" i="4"/>
  <c r="G920" i="4"/>
  <c r="G919" i="4"/>
  <c r="G918" i="4"/>
  <c r="G917" i="4"/>
  <c r="G916" i="4"/>
  <c r="G915" i="4"/>
  <c r="G914" i="4"/>
  <c r="G913" i="4"/>
  <c r="G912" i="4"/>
  <c r="G911" i="4"/>
  <c r="G910" i="4"/>
  <c r="G909" i="4"/>
  <c r="G908" i="4"/>
  <c r="G907" i="4"/>
  <c r="G906" i="4"/>
  <c r="G905" i="4"/>
  <c r="G904" i="4"/>
  <c r="G903" i="4"/>
  <c r="G902" i="4"/>
  <c r="G901" i="4"/>
  <c r="G900" i="4"/>
  <c r="G899" i="4"/>
  <c r="G898" i="4"/>
  <c r="G897" i="4"/>
  <c r="G896" i="4"/>
  <c r="G895" i="4"/>
  <c r="G894" i="4"/>
  <c r="G893" i="4"/>
  <c r="G892" i="4"/>
  <c r="G891" i="4"/>
  <c r="G890" i="4"/>
  <c r="G889" i="4"/>
  <c r="G888" i="4"/>
  <c r="G887" i="4"/>
  <c r="G886" i="4"/>
  <c r="G885" i="4"/>
  <c r="G884" i="4"/>
  <c r="G883" i="4"/>
  <c r="G882" i="4"/>
  <c r="G881" i="4"/>
  <c r="G880" i="4"/>
  <c r="G879" i="4"/>
  <c r="G878" i="4"/>
  <c r="G877" i="4"/>
  <c r="G876" i="4"/>
  <c r="G875" i="4"/>
  <c r="G874" i="4"/>
  <c r="G873" i="4"/>
  <c r="G872" i="4"/>
  <c r="G871" i="4"/>
  <c r="G870" i="4"/>
  <c r="G869" i="4"/>
  <c r="G868" i="4"/>
  <c r="G867" i="4"/>
  <c r="G866" i="4"/>
  <c r="G865" i="4"/>
  <c r="G864" i="4"/>
  <c r="G863" i="4"/>
  <c r="G862" i="4"/>
  <c r="G861" i="4"/>
  <c r="G860" i="4"/>
  <c r="G859" i="4"/>
  <c r="G858" i="4"/>
  <c r="G857" i="4"/>
  <c r="G856" i="4"/>
  <c r="G855" i="4"/>
  <c r="G854" i="4"/>
  <c r="G853" i="4"/>
  <c r="G852" i="4"/>
  <c r="G851" i="4"/>
  <c r="G850" i="4"/>
  <c r="G849" i="4"/>
  <c r="G848" i="4"/>
  <c r="G847" i="4"/>
  <c r="G846" i="4"/>
  <c r="G845" i="4"/>
  <c r="G844" i="4"/>
  <c r="G843" i="4"/>
  <c r="G842" i="4"/>
  <c r="G841" i="4"/>
  <c r="G840" i="4"/>
  <c r="G839" i="4"/>
  <c r="G838" i="4"/>
  <c r="G837" i="4"/>
  <c r="G836" i="4"/>
  <c r="G835" i="4"/>
  <c r="G834" i="4"/>
  <c r="G833" i="4"/>
  <c r="G832" i="4"/>
  <c r="G831" i="4"/>
  <c r="G830" i="4"/>
  <c r="G829" i="4"/>
  <c r="G828" i="4"/>
  <c r="G827" i="4"/>
  <c r="G826" i="4"/>
  <c r="G825" i="4"/>
  <c r="G824" i="4"/>
  <c r="G823" i="4"/>
  <c r="G822" i="4"/>
  <c r="G821" i="4"/>
  <c r="G820" i="4"/>
  <c r="G819" i="4"/>
  <c r="G818" i="4"/>
  <c r="G817" i="4"/>
  <c r="G816" i="4"/>
  <c r="G815" i="4"/>
  <c r="G814" i="4"/>
  <c r="G813" i="4"/>
  <c r="G812" i="4"/>
  <c r="G811" i="4"/>
  <c r="G810" i="4"/>
  <c r="G809" i="4"/>
  <c r="G808" i="4"/>
  <c r="G807" i="4"/>
  <c r="G806" i="4"/>
  <c r="G805" i="4"/>
  <c r="G804" i="4"/>
  <c r="G803" i="4"/>
  <c r="G802" i="4"/>
  <c r="G801" i="4"/>
  <c r="G800" i="4"/>
  <c r="G799" i="4"/>
  <c r="G798" i="4"/>
  <c r="G797" i="4"/>
  <c r="G796" i="4"/>
  <c r="G795" i="4"/>
  <c r="G794" i="4"/>
  <c r="G793" i="4"/>
  <c r="G792" i="4"/>
  <c r="G791" i="4"/>
  <c r="G790" i="4"/>
  <c r="G789" i="4"/>
  <c r="G788" i="4"/>
  <c r="G787" i="4"/>
  <c r="G786" i="4"/>
  <c r="G785" i="4"/>
  <c r="G784" i="4"/>
  <c r="G783" i="4"/>
  <c r="G782" i="4"/>
  <c r="G781" i="4"/>
  <c r="G780" i="4"/>
  <c r="G779" i="4"/>
  <c r="G778" i="4"/>
  <c r="G777" i="4"/>
  <c r="G776" i="4"/>
  <c r="G775" i="4"/>
  <c r="G774" i="4"/>
  <c r="G773" i="4"/>
  <c r="G772" i="4"/>
  <c r="G771" i="4"/>
  <c r="G770" i="4"/>
  <c r="G769" i="4"/>
  <c r="G768" i="4"/>
  <c r="G767" i="4"/>
  <c r="G766" i="4"/>
  <c r="G765" i="4"/>
  <c r="G764" i="4"/>
  <c r="G763" i="4"/>
  <c r="G762" i="4"/>
  <c r="G761" i="4"/>
  <c r="G760" i="4"/>
  <c r="G759" i="4"/>
  <c r="G758" i="4"/>
  <c r="G757" i="4"/>
  <c r="G756" i="4"/>
  <c r="G755" i="4"/>
  <c r="G754" i="4"/>
  <c r="G753" i="4"/>
  <c r="G752" i="4"/>
  <c r="G751" i="4"/>
  <c r="G750" i="4"/>
  <c r="G749" i="4"/>
  <c r="G748" i="4"/>
  <c r="G747" i="4"/>
  <c r="G746" i="4"/>
  <c r="G745" i="4"/>
  <c r="G744" i="4"/>
  <c r="G743" i="4"/>
  <c r="G742" i="4"/>
  <c r="G741" i="4"/>
  <c r="G740" i="4"/>
  <c r="G739" i="4"/>
  <c r="G738" i="4"/>
  <c r="G737" i="4"/>
  <c r="G736" i="4"/>
  <c r="G735" i="4"/>
  <c r="G734" i="4"/>
  <c r="G733" i="4"/>
  <c r="G732" i="4"/>
  <c r="G731" i="4"/>
  <c r="G730" i="4"/>
  <c r="G729" i="4"/>
  <c r="G728" i="4"/>
  <c r="G727" i="4"/>
  <c r="G726" i="4"/>
  <c r="G725" i="4"/>
  <c r="G724" i="4"/>
  <c r="G723" i="4"/>
  <c r="G722" i="4"/>
  <c r="G721" i="4"/>
  <c r="G720" i="4"/>
  <c r="G719" i="4"/>
  <c r="G718" i="4"/>
  <c r="G717" i="4"/>
  <c r="G716" i="4"/>
  <c r="G715" i="4"/>
  <c r="G714" i="4"/>
  <c r="G713" i="4"/>
  <c r="G712" i="4"/>
  <c r="G711" i="4"/>
  <c r="G710" i="4"/>
  <c r="G709" i="4"/>
  <c r="G708" i="4"/>
  <c r="G707" i="4"/>
  <c r="G706" i="4"/>
  <c r="G705" i="4"/>
  <c r="G704" i="4"/>
  <c r="G703" i="4"/>
  <c r="G702" i="4"/>
  <c r="G701" i="4"/>
  <c r="G700" i="4"/>
  <c r="G699" i="4"/>
  <c r="G698" i="4"/>
  <c r="G697" i="4"/>
  <c r="G696" i="4"/>
  <c r="G695" i="4"/>
  <c r="G694" i="4"/>
  <c r="G693" i="4"/>
  <c r="G692" i="4"/>
  <c r="G691" i="4"/>
  <c r="G690" i="4"/>
  <c r="G689" i="4"/>
  <c r="G688" i="4"/>
  <c r="G687" i="4"/>
  <c r="G686" i="4"/>
  <c r="G685" i="4"/>
  <c r="G684" i="4"/>
  <c r="G683" i="4"/>
  <c r="G682" i="4"/>
  <c r="G681" i="4"/>
  <c r="G680" i="4"/>
  <c r="G679" i="4"/>
  <c r="G678" i="4"/>
  <c r="G677" i="4"/>
  <c r="G676" i="4"/>
  <c r="G675" i="4"/>
  <c r="G674" i="4"/>
  <c r="G673" i="4"/>
  <c r="G672" i="4"/>
  <c r="G671" i="4"/>
  <c r="G670" i="4"/>
  <c r="G669" i="4"/>
  <c r="G668" i="4"/>
  <c r="G667" i="4"/>
  <c r="G666" i="4"/>
  <c r="G665" i="4"/>
  <c r="G664" i="4"/>
  <c r="G663" i="4"/>
  <c r="G662" i="4"/>
  <c r="G661" i="4"/>
  <c r="G660" i="4"/>
  <c r="G659" i="4"/>
  <c r="G658" i="4"/>
  <c r="G657" i="4"/>
  <c r="G656" i="4"/>
  <c r="G655" i="4"/>
  <c r="G654" i="4"/>
  <c r="G653" i="4"/>
  <c r="G652" i="4"/>
  <c r="G651" i="4"/>
  <c r="G650" i="4"/>
  <c r="G649" i="4"/>
  <c r="G648" i="4"/>
  <c r="G647" i="4"/>
  <c r="G646" i="4"/>
  <c r="G645" i="4"/>
  <c r="G644" i="4"/>
  <c r="G643" i="4"/>
  <c r="G642" i="4"/>
  <c r="G641" i="4"/>
  <c r="G640" i="4"/>
  <c r="G639" i="4"/>
  <c r="G638" i="4"/>
  <c r="G637" i="4"/>
  <c r="G636" i="4"/>
  <c r="G635" i="4"/>
  <c r="G634" i="4"/>
  <c r="G633" i="4"/>
  <c r="G632" i="4"/>
  <c r="G631" i="4"/>
  <c r="G630" i="4"/>
  <c r="G629" i="4"/>
  <c r="G628" i="4"/>
  <c r="G627" i="4"/>
  <c r="G626" i="4"/>
  <c r="G625" i="4"/>
  <c r="G624" i="4"/>
  <c r="G623" i="4"/>
  <c r="G622" i="4"/>
  <c r="G621" i="4"/>
  <c r="G620" i="4"/>
  <c r="G619" i="4"/>
  <c r="G618" i="4"/>
  <c r="G617" i="4"/>
  <c r="G616" i="4"/>
  <c r="G615" i="4"/>
  <c r="G614" i="4"/>
  <c r="G613" i="4"/>
  <c r="G612" i="4"/>
  <c r="G611" i="4"/>
  <c r="G610" i="4"/>
  <c r="G609" i="4"/>
  <c r="G608" i="4"/>
  <c r="G607" i="4"/>
  <c r="G606" i="4"/>
  <c r="G605" i="4"/>
  <c r="G604" i="4"/>
  <c r="G603" i="4"/>
  <c r="G602" i="4"/>
  <c r="G601" i="4"/>
  <c r="G600" i="4"/>
  <c r="G599" i="4"/>
  <c r="G598" i="4"/>
  <c r="G597" i="4"/>
  <c r="G596" i="4"/>
  <c r="G595" i="4"/>
  <c r="G594" i="4"/>
  <c r="G593" i="4"/>
  <c r="G592" i="4"/>
  <c r="G591" i="4"/>
  <c r="G590" i="4"/>
  <c r="G589" i="4"/>
  <c r="G588" i="4"/>
  <c r="G587" i="4"/>
  <c r="G586" i="4"/>
  <c r="G585" i="4"/>
  <c r="G584" i="4"/>
  <c r="G583" i="4"/>
  <c r="G582" i="4"/>
  <c r="G581" i="4"/>
  <c r="G580" i="4"/>
  <c r="G579" i="4"/>
  <c r="G578" i="4"/>
  <c r="G577" i="4"/>
  <c r="G576" i="4"/>
  <c r="G575" i="4"/>
  <c r="G574" i="4"/>
  <c r="G573" i="4"/>
  <c r="G572" i="4"/>
  <c r="G571" i="4"/>
  <c r="G570" i="4"/>
  <c r="G569" i="4"/>
  <c r="G568" i="4"/>
  <c r="G567" i="4"/>
  <c r="G566" i="4"/>
  <c r="G565" i="4"/>
  <c r="G564" i="4"/>
  <c r="G563" i="4"/>
  <c r="G562" i="4"/>
  <c r="G561" i="4"/>
  <c r="G560" i="4"/>
  <c r="G559" i="4"/>
  <c r="G558" i="4"/>
  <c r="G557" i="4"/>
  <c r="G556" i="4"/>
  <c r="G555" i="4"/>
  <c r="G554" i="4"/>
  <c r="G553" i="4"/>
  <c r="G552" i="4"/>
  <c r="G551" i="4"/>
  <c r="G550" i="4"/>
  <c r="G549" i="4"/>
  <c r="G548" i="4"/>
  <c r="G547" i="4"/>
  <c r="G546" i="4"/>
  <c r="G545" i="4"/>
  <c r="G544" i="4"/>
  <c r="G543" i="4"/>
  <c r="G542" i="4"/>
  <c r="G541" i="4"/>
  <c r="G540" i="4"/>
  <c r="G539" i="4"/>
  <c r="G538" i="4"/>
  <c r="G537" i="4"/>
  <c r="G536" i="4"/>
  <c r="G535" i="4"/>
  <c r="G534" i="4"/>
  <c r="G533" i="4"/>
  <c r="G532" i="4"/>
  <c r="G531" i="4"/>
  <c r="G530" i="4"/>
  <c r="G529" i="4"/>
  <c r="G528" i="4"/>
  <c r="G527" i="4"/>
  <c r="G526" i="4"/>
  <c r="G525" i="4"/>
  <c r="G524" i="4"/>
  <c r="G523" i="4"/>
  <c r="G522" i="4"/>
  <c r="G521" i="4"/>
  <c r="G520" i="4"/>
  <c r="G519" i="4"/>
  <c r="G518" i="4"/>
  <c r="G517" i="4"/>
  <c r="G516" i="4"/>
  <c r="G515" i="4"/>
  <c r="G514" i="4"/>
  <c r="G513" i="4"/>
  <c r="G512" i="4"/>
  <c r="G511" i="4"/>
  <c r="G510" i="4"/>
  <c r="G509" i="4"/>
  <c r="G508" i="4"/>
  <c r="G507" i="4"/>
  <c r="G506" i="4"/>
  <c r="G505" i="4"/>
  <c r="G504" i="4"/>
  <c r="G503" i="4"/>
  <c r="G502" i="4"/>
  <c r="G501" i="4"/>
  <c r="G500" i="4"/>
  <c r="G499" i="4"/>
  <c r="G498" i="4"/>
  <c r="G497" i="4"/>
  <c r="G496" i="4"/>
  <c r="G495" i="4"/>
  <c r="G494" i="4"/>
  <c r="G493" i="4"/>
  <c r="G492" i="4"/>
  <c r="G491" i="4"/>
  <c r="G490" i="4"/>
  <c r="G489" i="4"/>
  <c r="G488" i="4"/>
  <c r="G487" i="4"/>
  <c r="G486" i="4"/>
  <c r="G485" i="4"/>
  <c r="G484" i="4"/>
  <c r="G483" i="4"/>
  <c r="G482" i="4"/>
  <c r="G481" i="4"/>
  <c r="G480" i="4"/>
  <c r="G479" i="4"/>
  <c r="G478" i="4"/>
  <c r="G477" i="4"/>
  <c r="G476" i="4"/>
  <c r="G475" i="4"/>
  <c r="G474" i="4"/>
  <c r="G473" i="4"/>
  <c r="G472" i="4"/>
  <c r="G471" i="4"/>
  <c r="G470" i="4"/>
  <c r="G469" i="4"/>
  <c r="G468" i="4"/>
  <c r="G467" i="4"/>
  <c r="G466" i="4"/>
  <c r="G465" i="4"/>
  <c r="G464" i="4"/>
  <c r="G463" i="4"/>
  <c r="G462" i="4"/>
  <c r="G461" i="4"/>
  <c r="G460" i="4"/>
  <c r="G459" i="4"/>
  <c r="G458" i="4"/>
  <c r="G457" i="4"/>
  <c r="G456" i="4"/>
  <c r="G455" i="4"/>
  <c r="G454" i="4"/>
  <c r="G453" i="4"/>
  <c r="G452" i="4"/>
  <c r="G451" i="4"/>
  <c r="G450" i="4"/>
  <c r="G449" i="4"/>
  <c r="G448" i="4"/>
  <c r="G447" i="4"/>
  <c r="G446" i="4"/>
  <c r="G445" i="4"/>
  <c r="G444" i="4"/>
  <c r="G443" i="4"/>
  <c r="G442" i="4"/>
  <c r="G441" i="4"/>
  <c r="G440" i="4"/>
  <c r="G439" i="4"/>
  <c r="G438" i="4"/>
  <c r="G437" i="4"/>
  <c r="G436" i="4"/>
  <c r="G435" i="4"/>
  <c r="G434" i="4"/>
  <c r="G433" i="4"/>
  <c r="G432" i="4"/>
  <c r="G431" i="4"/>
  <c r="G430" i="4"/>
  <c r="G429" i="4"/>
  <c r="G428" i="4"/>
  <c r="G427" i="4"/>
  <c r="G426" i="4"/>
  <c r="G425" i="4"/>
  <c r="G424" i="4"/>
  <c r="G423" i="4"/>
  <c r="G422" i="4"/>
  <c r="G421" i="4"/>
  <c r="G420" i="4"/>
  <c r="G419" i="4"/>
  <c r="G418" i="4"/>
  <c r="G417" i="4"/>
  <c r="G416" i="4"/>
  <c r="G415" i="4"/>
  <c r="G414" i="4"/>
  <c r="G413" i="4"/>
  <c r="G412" i="4"/>
  <c r="G411" i="4"/>
  <c r="G410" i="4"/>
  <c r="G409" i="4"/>
  <c r="G408" i="4"/>
  <c r="G407" i="4"/>
  <c r="G406" i="4"/>
  <c r="G405" i="4"/>
  <c r="G404" i="4"/>
  <c r="G403" i="4"/>
  <c r="G402" i="4"/>
  <c r="G401" i="4"/>
  <c r="G400" i="4"/>
  <c r="G399" i="4"/>
  <c r="G398" i="4"/>
  <c r="G397" i="4"/>
  <c r="G396" i="4"/>
  <c r="G395" i="4"/>
  <c r="G394" i="4"/>
  <c r="G393" i="4"/>
  <c r="G392" i="4"/>
  <c r="G391" i="4"/>
  <c r="G390" i="4"/>
  <c r="G389" i="4"/>
  <c r="G388" i="4"/>
  <c r="G387" i="4"/>
  <c r="G386" i="4"/>
  <c r="G385" i="4"/>
  <c r="G384" i="4"/>
  <c r="G383" i="4"/>
  <c r="G382" i="4"/>
  <c r="G381" i="4"/>
  <c r="G380" i="4"/>
  <c r="G379" i="4"/>
  <c r="G378" i="4"/>
  <c r="G377" i="4"/>
  <c r="G376" i="4"/>
  <c r="G375" i="4"/>
  <c r="G374" i="4"/>
  <c r="G373" i="4"/>
  <c r="G372" i="4"/>
  <c r="G371" i="4"/>
  <c r="G370" i="4"/>
  <c r="G369" i="4"/>
  <c r="G368" i="4"/>
  <c r="G367" i="4"/>
  <c r="G366" i="4"/>
  <c r="G365" i="4"/>
  <c r="G364" i="4"/>
  <c r="G363" i="4"/>
  <c r="G362" i="4"/>
  <c r="G361" i="4"/>
  <c r="G360" i="4"/>
  <c r="G359" i="4"/>
  <c r="G358" i="4"/>
  <c r="G357" i="4"/>
  <c r="G356" i="4"/>
  <c r="G355" i="4"/>
  <c r="G354" i="4"/>
  <c r="G353" i="4"/>
  <c r="G352" i="4"/>
  <c r="G351" i="4"/>
  <c r="G350" i="4"/>
  <c r="G349" i="4"/>
  <c r="G348" i="4"/>
  <c r="G347" i="4"/>
  <c r="G346" i="4"/>
  <c r="G345" i="4"/>
  <c r="G344" i="4"/>
  <c r="G343" i="4"/>
  <c r="G342" i="4"/>
  <c r="G341" i="4"/>
  <c r="G340" i="4"/>
  <c r="G339" i="4"/>
  <c r="G338" i="4"/>
  <c r="G337" i="4"/>
  <c r="G336" i="4"/>
  <c r="G335" i="4"/>
  <c r="G334" i="4"/>
  <c r="G333" i="4"/>
  <c r="G332" i="4"/>
  <c r="G331" i="4"/>
  <c r="G330" i="4"/>
  <c r="G329" i="4"/>
  <c r="G328" i="4"/>
  <c r="G327" i="4"/>
  <c r="G326" i="4"/>
  <c r="G325" i="4"/>
  <c r="G324" i="4"/>
  <c r="G323" i="4"/>
  <c r="G322" i="4"/>
  <c r="G321" i="4"/>
  <c r="G320" i="4"/>
  <c r="G319" i="4"/>
  <c r="G318" i="4"/>
  <c r="G317" i="4"/>
  <c r="G316" i="4"/>
  <c r="G315" i="4"/>
  <c r="G314" i="4"/>
  <c r="G313" i="4"/>
  <c r="G312" i="4"/>
  <c r="G311" i="4"/>
  <c r="G310" i="4"/>
  <c r="G309" i="4"/>
  <c r="G308" i="4"/>
  <c r="G307" i="4"/>
  <c r="G306" i="4"/>
  <c r="G305" i="4"/>
  <c r="G304" i="4"/>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DA66" i="2" l="1"/>
  <c r="DA67" i="2"/>
  <c r="K263" i="4"/>
  <c r="K267" i="4"/>
  <c r="K266" i="4"/>
  <c r="K264" i="4"/>
  <c r="K265" i="4"/>
  <c r="DA79" i="2" l="1"/>
  <c r="DA70" i="2"/>
  <c r="M376" i="4"/>
  <c r="M329" i="4"/>
  <c r="M316" i="4"/>
  <c r="M292" i="4"/>
  <c r="M345" i="4"/>
  <c r="M278" i="4"/>
  <c r="M358" i="4"/>
  <c r="M353" i="4"/>
  <c r="M367" i="4"/>
  <c r="M294" i="4"/>
  <c r="M288" i="4"/>
  <c r="M359" i="4"/>
  <c r="M286" i="4"/>
  <c r="M284" i="4"/>
  <c r="M335" i="4"/>
  <c r="M330" i="4"/>
  <c r="P275" i="4"/>
  <c r="P274" i="4"/>
  <c r="M299" i="4"/>
  <c r="M309" i="4"/>
  <c r="M369" i="4"/>
  <c r="M324" i="4"/>
  <c r="M371" i="4"/>
  <c r="M320" i="4"/>
  <c r="M341" i="4"/>
  <c r="M285" i="4"/>
  <c r="M274" i="4"/>
  <c r="M327" i="4"/>
  <c r="M313" i="4"/>
  <c r="M356" i="4"/>
  <c r="M276" i="4"/>
  <c r="M339" i="4"/>
  <c r="M312" i="4"/>
  <c r="M333" i="4"/>
  <c r="M290" i="4"/>
  <c r="M307" i="4"/>
  <c r="M366" i="4"/>
  <c r="M317" i="4"/>
  <c r="M361" i="4"/>
  <c r="M303" i="4"/>
  <c r="M370" i="4"/>
  <c r="M344" i="4"/>
  <c r="M342" i="4"/>
  <c r="M360" i="4"/>
  <c r="M372" i="4"/>
  <c r="M331" i="4"/>
  <c r="M321" i="4"/>
  <c r="M319" i="4"/>
  <c r="M283" i="4"/>
  <c r="M352" i="4"/>
  <c r="M350" i="4"/>
  <c r="M355" i="4"/>
  <c r="M277" i="4"/>
  <c r="M347" i="4"/>
  <c r="M337" i="4"/>
  <c r="M295" i="4"/>
  <c r="M306" i="4"/>
  <c r="M336" i="4"/>
  <c r="M334" i="4"/>
  <c r="M357" i="4"/>
  <c r="M348" i="4"/>
  <c r="M315" i="4"/>
  <c r="M275" i="4"/>
  <c r="M287" i="4"/>
  <c r="M282" i="4"/>
  <c r="M328" i="4"/>
  <c r="M326" i="4"/>
  <c r="M349" i="4"/>
  <c r="M332" i="4"/>
  <c r="M291" i="4"/>
  <c r="M375" i="4"/>
  <c r="M296" i="4"/>
  <c r="M351" i="4"/>
  <c r="M279" i="4"/>
  <c r="M346" i="4"/>
  <c r="M297" i="4"/>
  <c r="M304" i="4"/>
  <c r="M310" i="4"/>
  <c r="M373" i="4"/>
  <c r="M301" i="4"/>
  <c r="M308" i="4"/>
  <c r="M362" i="4"/>
  <c r="M305" i="4"/>
  <c r="M343" i="4"/>
  <c r="M364" i="4"/>
  <c r="M322" i="4"/>
  <c r="M281" i="4"/>
  <c r="M374" i="4"/>
  <c r="M302" i="4"/>
  <c r="M365" i="4"/>
  <c r="M293" i="4"/>
  <c r="M300" i="4"/>
  <c r="M338" i="4"/>
  <c r="M289" i="4"/>
  <c r="M311" i="4"/>
  <c r="M323" i="4"/>
  <c r="M298" i="4"/>
  <c r="M368" i="4"/>
  <c r="M280" i="4"/>
  <c r="M318" i="4"/>
  <c r="M354" i="4"/>
  <c r="M325" i="4"/>
  <c r="M340" i="4"/>
  <c r="M363" i="4"/>
  <c r="M314" i="4"/>
  <c r="DB70" i="2" l="1"/>
  <c r="DC70" i="2" s="1"/>
  <c r="DD70" i="2" s="1"/>
  <c r="DE70" i="2" s="1"/>
  <c r="DF70" i="2" s="1"/>
  <c r="DG70" i="2" s="1"/>
  <c r="DH70" i="2" s="1"/>
  <c r="DI70" i="2" s="1"/>
  <c r="DJ70" i="2" s="1"/>
  <c r="DK70" i="2" s="1"/>
  <c r="DL70" i="2" s="1"/>
  <c r="DM70" i="2" s="1"/>
  <c r="DN70" i="2" s="1"/>
  <c r="DO70" i="2" s="1"/>
  <c r="DP70" i="2" s="1"/>
  <c r="DQ70" i="2" s="1"/>
  <c r="DR70" i="2" s="1"/>
  <c r="DS70" i="2" s="1"/>
  <c r="DT70" i="2" s="1"/>
  <c r="DU70" i="2" s="1"/>
  <c r="DV70" i="2" s="1"/>
  <c r="DW70" i="2" s="1"/>
  <c r="DX70" i="2" s="1"/>
  <c r="DY70" i="2" s="1"/>
  <c r="DZ70" i="2" s="1"/>
  <c r="EA70" i="2" s="1"/>
  <c r="EB70" i="2" s="1"/>
  <c r="EC70" i="2" s="1"/>
  <c r="ED70" i="2" s="1"/>
  <c r="EE70" i="2" s="1"/>
  <c r="EF70" i="2" s="1"/>
  <c r="EG70" i="2" s="1"/>
  <c r="EH70" i="2" s="1"/>
  <c r="EI70" i="2" s="1"/>
  <c r="EJ70" i="2" s="1"/>
  <c r="EK70" i="2" s="1"/>
  <c r="EL70" i="2" s="1"/>
  <c r="EM70" i="2" s="1"/>
  <c r="EN70" i="2" s="1"/>
  <c r="EO70" i="2" s="1"/>
  <c r="DK88" i="2" s="1"/>
  <c r="DK90" i="2" s="1"/>
  <c r="DK92" i="2" s="1"/>
  <c r="DA81" i="2"/>
  <c r="P287" i="4"/>
  <c r="P283" i="4"/>
  <c r="P281" i="4"/>
  <c r="P280" i="4"/>
  <c r="P279" i="4"/>
  <c r="P282" i="4"/>
  <c r="P276" i="4"/>
  <c r="P284" i="4"/>
  <c r="P277" i="4"/>
  <c r="P285" i="4"/>
  <c r="P278" i="4"/>
  <c r="P286" i="4"/>
  <c r="DL92" i="2" l="1"/>
  <c r="DJ93" i="2" a="1"/>
  <c r="K268" i="4"/>
  <c r="C5" i="1" l="1"/>
  <c r="DF86" i="2" l="1"/>
  <c r="DF86" i="12"/>
  <c r="C8" i="1"/>
  <c r="DF88" i="12" l="1"/>
  <c r="DF87" i="12"/>
  <c r="DF110" i="12" s="1"/>
  <c r="DF88" i="2"/>
  <c r="DF87" i="2"/>
  <c r="CR66" i="12"/>
  <c r="CR67" i="12" s="1"/>
  <c r="CR79" i="12" s="1"/>
  <c r="DF110" i="2" l="1"/>
  <c r="CR70" i="12"/>
  <c r="CR81" i="12" s="1"/>
  <c r="CS64" i="12" l="1"/>
  <c r="CS65" i="12" s="1"/>
  <c r="CS66" i="12" s="1"/>
  <c r="CS67" i="12" s="1"/>
  <c r="CS79" i="12" l="1"/>
  <c r="CS70" i="12"/>
  <c r="CS81" i="12" l="1"/>
  <c r="CT64" i="12" s="1"/>
  <c r="CT65" i="12" s="1"/>
  <c r="CT66" i="12" l="1"/>
  <c r="CT67" i="12" s="1"/>
  <c r="CT79" i="12" l="1"/>
  <c r="CT70" i="12"/>
  <c r="CT81" i="12" l="1"/>
  <c r="CU64" i="12" s="1"/>
  <c r="CU65" i="12" s="1"/>
  <c r="CU66" i="12" l="1"/>
  <c r="CU67" i="12" s="1"/>
  <c r="CU79" i="12" l="1"/>
  <c r="CU70" i="12"/>
  <c r="CU81" i="12" l="1"/>
  <c r="CV64" i="12" s="1"/>
  <c r="CV65" i="12" s="1"/>
  <c r="CV66" i="12" l="1"/>
  <c r="CV67" i="12" s="1"/>
  <c r="CV79" i="12" l="1"/>
  <c r="CV70" i="12"/>
  <c r="CV81" i="12" l="1"/>
  <c r="CW64" i="12" s="1"/>
  <c r="CW65" i="12" s="1"/>
  <c r="CW66" i="12" l="1"/>
  <c r="CW67" i="12" s="1"/>
  <c r="CW70" i="12" l="1"/>
  <c r="CW79" i="12"/>
  <c r="CW81" i="12" l="1"/>
  <c r="CX64" i="12" s="1"/>
  <c r="CX65" i="12" s="1"/>
  <c r="CX66" i="12" l="1"/>
  <c r="CX67" i="12" s="1"/>
  <c r="CX70" i="12" l="1"/>
  <c r="CX81" i="12" s="1"/>
  <c r="CY64" i="12" s="1"/>
  <c r="CY65" i="12" s="1"/>
  <c r="CX79" i="12"/>
  <c r="CY66" i="12" l="1"/>
  <c r="CY67" i="12" s="1"/>
  <c r="CY79" i="12" l="1"/>
  <c r="CY70" i="12"/>
  <c r="CY81" i="12" s="1"/>
  <c r="CZ64" i="12" s="1"/>
  <c r="CZ65" i="12" s="1"/>
  <c r="CZ66" i="12" l="1"/>
  <c r="CZ67" i="12" s="1"/>
  <c r="CZ79" i="12" l="1"/>
  <c r="CZ70" i="12"/>
  <c r="CZ81" i="12" s="1"/>
  <c r="DA64" i="12" s="1"/>
  <c r="DA65" i="12" s="1"/>
  <c r="DA66" i="12" l="1"/>
  <c r="DA67" i="12" s="1"/>
  <c r="DA70" i="12" l="1"/>
  <c r="DA79" i="12"/>
  <c r="DB70" i="12" l="1"/>
  <c r="DA81" i="12"/>
  <c r="DC70" i="12" l="1"/>
  <c r="DD70" i="12" s="1"/>
  <c r="DE70" i="12" s="1"/>
  <c r="DF70" i="12" s="1"/>
  <c r="DG70" i="12" s="1"/>
  <c r="DH70" i="12" s="1"/>
  <c r="DI70" i="12" s="1"/>
  <c r="DJ70" i="12" s="1"/>
  <c r="DK70" i="12" s="1"/>
  <c r="DL70" i="12" s="1"/>
  <c r="DM70" i="12" s="1"/>
  <c r="DN70" i="12" s="1"/>
  <c r="DO70" i="12" s="1"/>
  <c r="DP70" i="12" s="1"/>
  <c r="DQ70" i="12" s="1"/>
  <c r="DR70" i="12" s="1"/>
  <c r="DS70" i="12" s="1"/>
  <c r="DT70" i="12" s="1"/>
  <c r="DU70" i="12" s="1"/>
  <c r="DV70" i="12" s="1"/>
  <c r="DW70" i="12" s="1"/>
  <c r="DX70" i="12" s="1"/>
  <c r="DY70" i="12" s="1"/>
  <c r="DZ70" i="12" s="1"/>
  <c r="EA70" i="12" s="1"/>
  <c r="EB70" i="12" s="1"/>
  <c r="EC70" i="12" s="1"/>
  <c r="ED70" i="12" s="1"/>
  <c r="EE70" i="12" s="1"/>
  <c r="EF70" i="12" s="1"/>
  <c r="EG70" i="12" s="1"/>
  <c r="EH70" i="12" s="1"/>
  <c r="EI70" i="12" s="1"/>
  <c r="EJ70" i="12" s="1"/>
  <c r="EK70" i="12" s="1"/>
  <c r="EL70" i="12" s="1"/>
  <c r="EM70" i="12" s="1"/>
  <c r="EN70" i="12" s="1"/>
  <c r="EO70" i="12" s="1"/>
  <c r="DK88" i="12" l="1"/>
  <c r="DK90" i="12" s="1"/>
  <c r="DK92" i="12" s="1"/>
  <c r="DJ93" i="12" s="1" a="1"/>
  <c r="DL92"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tc={3010A304-84D8-4CF0-AFE4-17DE2E811994}</author>
    <author>tc={26705ED4-1BD5-4378-84FB-91B5C5FA2559}</author>
  </authors>
  <commentList>
    <comment ref="CR72" authorId="0" shapeId="0" xr:uid="{3010A304-84D8-4CF0-AFE4-17DE2E811994}">
      <text>
        <t>[Threaded comment]
Your version of Excel allows you to read this threaded comment; however, any edits to it will get removed if the file is opened in a newer version of Excel. Learn more: https://go.microsoft.com/fwlink/?linkid=870924
Comment:
    Low: 2.87 High: 2.98 Avg: 2.92</t>
      </text>
    </comment>
    <comment ref="CS72" authorId="1" shapeId="0" xr:uid="{26705ED4-1BD5-4378-84FB-91B5C5FA2559}">
      <text>
        <t>[Threaded comment]
Your version of Excel allows you to read this threaded comment; however, any edits to it will get removed if the file is opened in a newer version of Excel. Learn more: https://go.microsoft.com/fwlink/?linkid=870924
Comment:
    Low: 3.17 High: 3.51 Avg: 3.29</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tc={D82A81C7-7C96-45D7-A732-F77DF82D90BC}</author>
    <author>tc={92CFB18D-6D8F-426D-80AA-F258463914EF}</author>
    <author>tc={4755D540-E304-49C4-8407-98BFEC5A52E4}</author>
    <author>tc={01A76956-5F29-487C-A8F4-41CC9E5E6750}</author>
    <author>tc={4C68A02E-D9FA-49F5-BEA0-A60BC004464C}</author>
    <author>tc={9913FB0A-58B5-469D-A001-AAE93E85DF03}</author>
  </authors>
  <commentList>
    <comment ref="CR72" authorId="0" shapeId="0" xr:uid="{D82A81C7-7C96-45D7-A732-F77DF82D90BC}">
      <text>
        <t>[Threaded comment]
Your version of Excel allows you to read this threaded comment; however, any edits to it will get removed if the file is opened in a newer version of Excel. Learn more: https://go.microsoft.com/fwlink/?linkid=870924
Comment:
    Low: 2.87 High: 2.98 Avg: 2.92</t>
      </text>
    </comment>
    <comment ref="CS72" authorId="1" shapeId="0" xr:uid="{92CFB18D-6D8F-426D-80AA-F258463914EF}">
      <text>
        <t>[Threaded comment]
Your version of Excel allows you to read this threaded comment; however, any edits to it will get removed if the file is opened in a newer version of Excel. Learn more: https://go.microsoft.com/fwlink/?linkid=870924
Comment:
    Low: 3.17 High: 3.51 Avg: 3.29</t>
      </text>
    </comment>
    <comment ref="CQ173" authorId="2" shapeId="0" xr:uid="{4755D540-E304-49C4-8407-98BFEC5A52E4}">
      <text>
        <t>[Threaded comment]
Your version of Excel allows you to read this threaded comment; however, any edits to it will get removed if the file is opened in a newer version of Excel. Learn more: https://go.microsoft.com/fwlink/?linkid=870924
Comment:
    FYE: $151M</t>
      </text>
    </comment>
    <comment ref="CR173" authorId="3" shapeId="0" xr:uid="{01A76956-5F29-487C-A8F4-41CC9E5E6750}">
      <text>
        <t>[Threaded comment]
Your version of Excel allows you to read this threaded comment; however, any edits to it will get removed if the file is opened in a newer version of Excel. Learn more: https://go.microsoft.com/fwlink/?linkid=870924
Comment:
    FYE: $194M</t>
      </text>
    </comment>
    <comment ref="CQ175" authorId="4" shapeId="0" xr:uid="{4C68A02E-D9FA-49F5-BEA0-A60BC004464C}">
      <text>
        <t>[Threaded comment]
Your version of Excel allows you to read this threaded comment; however, any edits to it will get removed if the file is opened in a newer version of Excel. Learn more: https://go.microsoft.com/fwlink/?linkid=870924
Comment:
    Low: 3.37 High: 3.88 Avg: 3.66 (3/30/25)
Excluded one-time write-down of immersive (non-operating)</t>
      </text>
    </comment>
    <comment ref="CR175" authorId="5" shapeId="0" xr:uid="{9913FB0A-58B5-469D-A001-AAE93E85DF03}">
      <text>
        <t>[Threaded comment]
Your version of Excel allows you to read this threaded comment; however, any edits to it will get removed if the file is opened in a newer version of Excel. Learn more: https://go.microsoft.com/fwlink/?linkid=870924
Comment:
    Low: 4.29 High: 5.60 Avg: 4.94 (3/30/25)</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<sst xmlns="http://schemas.openxmlformats.org/spreadsheetml/2006/main" count="2911" uniqueCount="2463">
  <si>
    <t>Price</t>
  </si>
  <si>
    <t>SC</t>
  </si>
  <si>
    <t>MC</t>
  </si>
  <si>
    <t>Cash</t>
  </si>
  <si>
    <t>Debt</t>
  </si>
  <si>
    <t>EV</t>
  </si>
  <si>
    <t>BSX</t>
  </si>
  <si>
    <t/>
  </si>
  <si>
    <t>Q1 2024</t>
  </si>
  <si>
    <t>Q1 2023</t>
  </si>
  <si>
    <t>Q1 2022</t>
  </si>
  <si>
    <t>Q1 2021</t>
  </si>
  <si>
    <t>Q1 2020</t>
  </si>
  <si>
    <t>SG&amp;A as % of Revenue</t>
  </si>
  <si>
    <t>R&amp;D as % of Revenue</t>
  </si>
  <si>
    <t>Net Profit Margin</t>
  </si>
  <si>
    <t>Operating Profit Margin</t>
  </si>
  <si>
    <t>Gross Profit Margin</t>
  </si>
  <si>
    <t>Net Income</t>
  </si>
  <si>
    <t>Pretax Income</t>
  </si>
  <si>
    <t>Other Income</t>
  </si>
  <si>
    <t>Operating Income</t>
  </si>
  <si>
    <t>COGS</t>
  </si>
  <si>
    <t>Quarterly</t>
  </si>
  <si>
    <t>Master</t>
  </si>
  <si>
    <t>SO</t>
  </si>
  <si>
    <t>Boston Scientific Corp. (BSX)</t>
  </si>
  <si>
    <t>Registered Exchange: NYSE</t>
  </si>
  <si>
    <t>SEC filings</t>
  </si>
  <si>
    <t>Headquarted: Marlborough, MA</t>
  </si>
  <si>
    <t>Founded: 1979</t>
  </si>
  <si>
    <t>Minimally invasive devices for endoscopy, urology, and pelvic health</t>
  </si>
  <si>
    <t>MedSurg:</t>
  </si>
  <si>
    <t>Rhythm and Neuro:</t>
  </si>
  <si>
    <t>Cardiovascular:</t>
  </si>
  <si>
    <t>Solutions for cardiac rhythm management (CRM), electrophysiology (EP), and neuromodulation</t>
  </si>
  <si>
    <t>Devices for interventional cardiology, peripheral interventions, and structural heart</t>
  </si>
  <si>
    <t>The Company operates through three segments:</t>
  </si>
  <si>
    <t>The Company states that they operate pursuant to five strategic imperatives</t>
  </si>
  <si>
    <t>Strengthen Category Leadership, Expand into High Growth Adjacencies, Drive Global Expansion, Fund the Journey to Fuel Growth and Develop Key Capabilities</t>
  </si>
  <si>
    <t>Maintaining and expanding our international presence is an important component of our long-term growth strategy</t>
  </si>
  <si>
    <t>Through our international presence, we seek to increase net sales and market share, leverage our relationships with leading physicians and their clinical research programs, accelerate the time to bring new products to market and gain access to worldwide technological developments that we can implement across our product lines</t>
  </si>
  <si>
    <t>Our research and development efforts are focused largely on the development of next-generation and novel technology offerings across multiple programs and all divisions</t>
  </si>
  <si>
    <t>!Check into R&amp;D projects, product pipelines, and create useful life schedules for current assets!</t>
  </si>
  <si>
    <t>https://www.bostonscientific.com/en-US/about-us/leadership.html</t>
  </si>
  <si>
    <t>https://www.morningstar.com/stocks/xnys/bsx/executive</t>
  </si>
  <si>
    <t>https://www.comparably.com/companies/boston-scientific/executive-team</t>
  </si>
  <si>
    <r>
      <rPr>
        <b/>
        <sz val="11"/>
        <color theme="1"/>
        <rFont val="Calibre"/>
      </rPr>
      <t>American Medical Systems</t>
    </r>
    <r>
      <rPr>
        <sz val="11"/>
        <color theme="1"/>
        <rFont val="Calibre"/>
      </rPr>
      <t xml:space="preserve"> (AMS) Pelvic Health (2015) – $1.6B</t>
    </r>
  </si>
  <si>
    <r>
      <rPr>
        <b/>
        <sz val="11"/>
        <color theme="1"/>
        <rFont val="Calibre"/>
      </rPr>
      <t>Men’s health (BPH/ED)</t>
    </r>
    <r>
      <rPr>
        <sz val="11"/>
        <color theme="1"/>
        <rFont val="Calibre"/>
      </rPr>
      <t> &amp; women’s pelvic floor devices</t>
    </r>
  </si>
  <si>
    <r>
      <rPr>
        <b/>
        <sz val="11"/>
        <color theme="1"/>
        <rFont val="Calibre"/>
      </rPr>
      <t>EndoChoice</t>
    </r>
    <r>
      <rPr>
        <sz val="11"/>
        <color theme="1"/>
        <rFont val="Calibre"/>
      </rPr>
      <t xml:space="preserve"> (2016) – $210M</t>
    </r>
  </si>
  <si>
    <r>
      <rPr>
        <b/>
        <sz val="11"/>
        <color theme="1"/>
        <rFont val="Calibre"/>
      </rPr>
      <t>Single-use endoscopy</t>
    </r>
    <r>
      <rPr>
        <sz val="11"/>
        <color theme="1"/>
        <rFont val="Calibre"/>
      </rPr>
      <t> (complemented </t>
    </r>
    <r>
      <rPr>
        <b/>
        <sz val="11"/>
        <color theme="1"/>
        <rFont val="Calibre"/>
      </rPr>
      <t>SpyGlass</t>
    </r>
    <r>
      <rPr>
        <sz val="11"/>
        <color theme="1"/>
        <rFont val="Calibre"/>
      </rPr>
      <t>)</t>
    </r>
  </si>
  <si>
    <r>
      <rPr>
        <b/>
        <sz val="11"/>
        <color theme="1"/>
        <rFont val="Calibre"/>
      </rPr>
      <t>Lumenis Surgical</t>
    </r>
    <r>
      <rPr>
        <sz val="11"/>
        <color theme="1"/>
        <rFont val="Calibre"/>
      </rPr>
      <t xml:space="preserve"> (2021) – $1.07B</t>
    </r>
  </si>
  <si>
    <r>
      <rPr>
        <b/>
        <sz val="11"/>
        <color theme="1"/>
        <rFont val="Calibre"/>
      </rPr>
      <t>Laser solutions for urology</t>
    </r>
    <r>
      <rPr>
        <sz val="11"/>
        <color theme="1"/>
        <rFont val="Calibre"/>
      </rPr>
      <t> (e.g., MOSES for kidney stones)</t>
    </r>
  </si>
  <si>
    <r>
      <rPr>
        <b/>
        <sz val="11"/>
        <color theme="1"/>
        <rFont val="Calibre"/>
      </rPr>
      <t>Acotec Scientific</t>
    </r>
    <r>
      <rPr>
        <sz val="11"/>
        <color theme="1"/>
        <rFont val="Calibre"/>
      </rPr>
      <t xml:space="preserve"> (2022) – $523M</t>
    </r>
  </si>
  <si>
    <r>
      <t>Drug-coated balloons (DCBs) for </t>
    </r>
    <r>
      <rPr>
        <b/>
        <sz val="11"/>
        <color theme="1"/>
        <rFont val="Calibre"/>
      </rPr>
      <t>China’s vascular market</t>
    </r>
  </si>
  <si>
    <r>
      <rPr>
        <b/>
        <sz val="11"/>
        <color theme="1"/>
        <rFont val="Calibre"/>
      </rPr>
      <t>Cameron Health</t>
    </r>
    <r>
      <rPr>
        <sz val="11"/>
        <color theme="1"/>
        <rFont val="Calibre"/>
      </rPr>
      <t xml:space="preserve"> (2012) – $1.35B</t>
    </r>
  </si>
  <si>
    <r>
      <rPr>
        <b/>
        <sz val="11"/>
        <color theme="1"/>
        <rFont val="Calibre"/>
      </rPr>
      <t>S-ICD (subcutaneous defibrillator)</t>
    </r>
    <r>
      <rPr>
        <sz val="11"/>
        <color theme="1"/>
        <rFont val="Calibre"/>
      </rPr>
      <t>, competing with Medtronic/Abbott</t>
    </r>
  </si>
  <si>
    <r>
      <rPr>
        <b/>
        <sz val="11"/>
        <color theme="1"/>
        <rFont val="Calibre"/>
      </rPr>
      <t>Rhythmia Medical</t>
    </r>
    <r>
      <rPr>
        <sz val="11"/>
        <color theme="1"/>
        <rFont val="Calibre"/>
      </rPr>
      <t xml:space="preserve"> (2017) – Undisclosed</t>
    </r>
  </si>
  <si>
    <r>
      <rPr>
        <b/>
        <sz val="11"/>
        <color theme="1"/>
        <rFont val="Calibre"/>
      </rPr>
      <t>High-resolution cardiac mapping</t>
    </r>
    <r>
      <rPr>
        <sz val="11"/>
        <color theme="1"/>
        <rFont val="Calibre"/>
      </rPr>
      <t> (used in Farapulse ablation)</t>
    </r>
  </si>
  <si>
    <r>
      <rPr>
        <b/>
        <sz val="11"/>
        <color theme="1"/>
        <rFont val="Calibre"/>
      </rPr>
      <t>Preventice</t>
    </r>
    <r>
      <rPr>
        <sz val="11"/>
        <color theme="1"/>
        <rFont val="Calibre"/>
      </rPr>
      <t xml:space="preserve"> (2021) – $925M</t>
    </r>
  </si>
  <si>
    <r>
      <rPr>
        <b/>
        <sz val="11"/>
        <color theme="1"/>
        <rFont val="Calibre"/>
      </rPr>
      <t>Remote cardiac monitoring</t>
    </r>
    <r>
      <rPr>
        <sz val="11"/>
        <color theme="1"/>
        <rFont val="Calibre"/>
      </rPr>
      <t> (competing with iRhythm)</t>
    </r>
  </si>
  <si>
    <r>
      <rPr>
        <b/>
        <sz val="11"/>
        <color theme="1"/>
        <rFont val="Calibre"/>
      </rPr>
      <t>Farapulse</t>
    </r>
    <r>
      <rPr>
        <sz val="11"/>
        <color theme="1"/>
        <rFont val="Calibre"/>
      </rPr>
      <t xml:space="preserve"> (2021) – $295M (+ milestones)</t>
    </r>
  </si>
  <si>
    <r>
      <rPr>
        <b/>
        <sz val="11"/>
        <color theme="1"/>
        <rFont val="Calibre"/>
      </rPr>
      <t>Relievant Medsystems</t>
    </r>
    <r>
      <rPr>
        <sz val="11"/>
        <color theme="1"/>
        <rFont val="Calibre"/>
      </rPr>
      <t xml:space="preserve"> (2023) – $850M</t>
    </r>
  </si>
  <si>
    <r>
      <rPr>
        <b/>
        <sz val="11"/>
        <color theme="1"/>
        <rFont val="Calibre"/>
      </rPr>
      <t>Intracept </t>
    </r>
    <r>
      <rPr>
        <sz val="11"/>
        <color theme="1"/>
        <rFont val="Calibre"/>
      </rPr>
      <t>(vertebral bone ablation for chronic back pain)</t>
    </r>
  </si>
  <si>
    <r>
      <rPr>
        <b/>
        <sz val="11"/>
        <color theme="1"/>
        <rFont val="Calibre"/>
      </rPr>
      <t>Axonics</t>
    </r>
    <r>
      <rPr>
        <sz val="11"/>
        <color theme="1"/>
        <rFont val="Calibre"/>
      </rPr>
      <t xml:space="preserve"> (2024) – $3.7B (10 months after proposal due to FTC holdups … bubye Lina Khan)</t>
    </r>
  </si>
  <si>
    <r>
      <rPr>
        <b/>
        <sz val="11"/>
        <color theme="1"/>
        <rFont val="Calibre"/>
      </rPr>
      <t>Guidant</t>
    </r>
    <r>
      <rPr>
        <sz val="11"/>
        <color theme="1"/>
        <rFont val="Calibre"/>
      </rPr>
      <t xml:space="preserve"> (2006) – $27B</t>
    </r>
  </si>
  <si>
    <r>
      <t>Acquired </t>
    </r>
    <r>
      <rPr>
        <b/>
        <sz val="11"/>
        <color theme="1"/>
        <rFont val="Calibre"/>
      </rPr>
      <t>cardiovascular &amp; rhythm management assets</t>
    </r>
    <r>
      <rPr>
        <sz val="11"/>
        <color theme="1"/>
        <rFont val="Calibre"/>
      </rPr>
      <t xml:space="preserve"> (after bidding war with J&amp;J)</t>
    </r>
  </si>
  <si>
    <r>
      <t>Included </t>
    </r>
    <r>
      <rPr>
        <b/>
        <sz val="11"/>
        <color theme="1"/>
        <rFont val="Calibre"/>
      </rPr>
      <t>CRMD (pacemakers/ICDs)</t>
    </r>
    <r>
      <rPr>
        <sz val="11"/>
        <color theme="1"/>
        <rFont val="Calibre"/>
      </rPr>
      <t>, </t>
    </r>
    <r>
      <rPr>
        <b/>
        <sz val="11"/>
        <color theme="1"/>
        <rFont val="Calibre"/>
      </rPr>
      <t>angioplasty stents</t>
    </r>
    <r>
      <rPr>
        <sz val="11"/>
        <color theme="1"/>
        <rFont val="Calibre"/>
      </rPr>
      <t>, and </t>
    </r>
    <r>
      <rPr>
        <b/>
        <sz val="11"/>
        <color theme="1"/>
        <rFont val="Calibre"/>
      </rPr>
      <t>vascular surgery</t>
    </r>
  </si>
  <si>
    <r>
      <rPr>
        <b/>
        <sz val="11"/>
        <color theme="1"/>
        <rFont val="Calibre"/>
      </rPr>
      <t>Sadra Medical</t>
    </r>
    <r>
      <rPr>
        <sz val="11"/>
        <color theme="1"/>
        <rFont val="Calibre"/>
      </rPr>
      <t xml:space="preserve"> (2011) – $193M (+ milestones)</t>
    </r>
  </si>
  <si>
    <r>
      <t>Added </t>
    </r>
    <r>
      <rPr>
        <b/>
        <sz val="11"/>
        <color theme="1"/>
        <rFont val="Calibre"/>
      </rPr>
      <t>Lotus Valve</t>
    </r>
    <r>
      <rPr>
        <sz val="11"/>
        <color theme="1"/>
        <rFont val="Calibre"/>
      </rPr>
      <t> (transcatheter aortic valve, later sold to </t>
    </r>
    <r>
      <rPr>
        <b/>
        <sz val="11"/>
        <color theme="1"/>
        <rFont val="Calibre"/>
      </rPr>
      <t>Shockwave</t>
    </r>
    <r>
      <rPr>
        <sz val="11"/>
        <color theme="1"/>
        <rFont val="Calibre"/>
      </rPr>
      <t>)</t>
    </r>
  </si>
  <si>
    <r>
      <rPr>
        <b/>
        <sz val="11"/>
        <color theme="1"/>
        <rFont val="Calibre"/>
      </rPr>
      <t>Symetis</t>
    </r>
    <r>
      <rPr>
        <sz val="11"/>
        <color theme="1"/>
        <rFont val="Calibre"/>
      </rPr>
      <t xml:space="preserve"> (2017) – $435M</t>
    </r>
  </si>
  <si>
    <r>
      <rPr>
        <b/>
        <sz val="11"/>
        <color theme="1"/>
        <rFont val="Calibre"/>
      </rPr>
      <t>ACURATE neo TAVR system</t>
    </r>
    <r>
      <rPr>
        <sz val="11"/>
        <color theme="1"/>
        <rFont val="Calibre"/>
      </rPr>
      <t> (competed with Edwards/Medtronic in Europe)</t>
    </r>
  </si>
  <si>
    <r>
      <rPr>
        <b/>
        <sz val="11"/>
        <color theme="1"/>
        <rFont val="Calibre"/>
      </rPr>
      <t>BTG plc</t>
    </r>
    <r>
      <rPr>
        <sz val="11"/>
        <color theme="1"/>
        <rFont val="Calibre"/>
      </rPr>
      <t xml:space="preserve"> (2019) – $4.2B</t>
    </r>
  </si>
  <si>
    <r>
      <t>Expanded </t>
    </r>
    <r>
      <rPr>
        <b/>
        <sz val="11"/>
        <color theme="1"/>
        <rFont val="Calibre"/>
      </rPr>
      <t>peripheral interventions</t>
    </r>
    <r>
      <rPr>
        <sz val="11"/>
        <color theme="1"/>
        <rFont val="Calibre"/>
      </rPr>
      <t> (e.g., </t>
    </r>
    <r>
      <rPr>
        <b/>
        <sz val="11"/>
        <color theme="1"/>
        <rFont val="Calibre"/>
      </rPr>
      <t>EKOS</t>
    </r>
    <r>
      <rPr>
        <sz val="11"/>
        <color theme="1"/>
        <rFont val="Calibre"/>
      </rPr>
      <t> ultrasound thrombectomy, </t>
    </r>
    <r>
      <rPr>
        <b/>
        <sz val="11"/>
        <color theme="1"/>
        <rFont val="Calibre"/>
      </rPr>
      <t>Galil</t>
    </r>
    <r>
      <rPr>
        <sz val="11"/>
        <color theme="1"/>
        <rFont val="Calibre"/>
      </rPr>
      <t> venous stents)</t>
    </r>
  </si>
  <si>
    <r>
      <rPr>
        <b/>
        <sz val="11"/>
        <color theme="1"/>
        <rFont val="Calibre"/>
      </rPr>
      <t>Transseptal access tools</t>
    </r>
    <r>
      <rPr>
        <sz val="11"/>
        <color theme="1"/>
        <rFont val="Calibre"/>
      </rPr>
      <t> (</t>
    </r>
    <r>
      <rPr>
        <b/>
        <sz val="11"/>
        <color theme="1"/>
        <rFont val="Calibre"/>
      </rPr>
      <t>used in left-heart procedures</t>
    </r>
    <r>
      <rPr>
        <sz val="11"/>
        <color theme="1"/>
        <rFont val="Calibre"/>
      </rPr>
      <t xml:space="preserve"> like Watchman)</t>
    </r>
  </si>
  <si>
    <r>
      <rPr>
        <b/>
        <sz val="11"/>
        <color theme="1"/>
        <rFont val="Calibre"/>
      </rPr>
      <t>Obsidio</t>
    </r>
    <r>
      <rPr>
        <sz val="11"/>
        <color theme="1"/>
        <rFont val="Calibre"/>
      </rPr>
      <t xml:space="preserve"> (2022) – Undisclosed</t>
    </r>
  </si>
  <si>
    <r>
      <rPr>
        <b/>
        <sz val="11"/>
        <color theme="1"/>
        <rFont val="Calibre"/>
      </rPr>
      <t>Gel Embolic Material</t>
    </r>
    <r>
      <rPr>
        <sz val="11"/>
        <color theme="1"/>
        <rFont val="Calibre"/>
      </rPr>
      <t xml:space="preserve"> (GEM) technology for </t>
    </r>
    <r>
      <rPr>
        <b/>
        <sz val="11"/>
        <color theme="1"/>
        <rFont val="Calibre"/>
      </rPr>
      <t>vascular occlusion</t>
    </r>
  </si>
  <si>
    <r>
      <t>Competes directly with </t>
    </r>
    <r>
      <rPr>
        <b/>
        <sz val="11"/>
        <color theme="1"/>
        <rFont val="Calibre"/>
      </rPr>
      <t>Medtronic’s InterStim</t>
    </r>
    <r>
      <rPr>
        <sz val="11"/>
        <color theme="1"/>
        <rFont val="Calibre"/>
      </rPr>
      <t>, a core product in neuromodulation</t>
    </r>
  </si>
  <si>
    <t>Product Offerings</t>
  </si>
  <si>
    <t>The Company's core businesses are organized into two reportable segments: MedSurg and Cardiovascular. The following describes our key product offerings and new product innovations by reportable segment and business unit</t>
  </si>
  <si>
    <t>[Build table here]</t>
  </si>
  <si>
    <t>Revenues</t>
  </si>
  <si>
    <t>Intangible Asset Impairment</t>
  </si>
  <si>
    <t>Contingent Consideration</t>
  </si>
  <si>
    <t>Restructuring Charges</t>
  </si>
  <si>
    <t>Loss on Disposal of Assets</t>
  </si>
  <si>
    <t>Interest Income (Expenses)</t>
  </si>
  <si>
    <t>Preferred Stock Obligation</t>
  </si>
  <si>
    <t>Net Income Attr to BSX</t>
  </si>
  <si>
    <t>Net Income Attr to Non-Cont</t>
  </si>
  <si>
    <t>EPS</t>
  </si>
  <si>
    <t>Taxes</t>
  </si>
  <si>
    <t xml:space="preserve">R&amp;D </t>
  </si>
  <si>
    <t>Royalties</t>
  </si>
  <si>
    <t>Amortization</t>
  </si>
  <si>
    <t xml:space="preserve">SG&amp;A </t>
  </si>
  <si>
    <t>GP</t>
  </si>
  <si>
    <t>Endoscopy</t>
  </si>
  <si>
    <t>Urology</t>
  </si>
  <si>
    <t>Neuromodulation</t>
  </si>
  <si>
    <t>MedSurg Ttl Revenues</t>
  </si>
  <si>
    <t>Watchman</t>
  </si>
  <si>
    <t>Cardiac Rhythm</t>
  </si>
  <si>
    <t>Electrophysiology</t>
  </si>
  <si>
    <t>Peripheral Interventions</t>
  </si>
  <si>
    <t>Cardiovascular Ttl Revenues</t>
  </si>
  <si>
    <t>Ttl Revenues</t>
  </si>
  <si>
    <t>MedSurg % of Ttl Revenues</t>
  </si>
  <si>
    <t>Cardiovasc % of Ttl Revenues</t>
  </si>
  <si>
    <t>Litigation-Related net Charges</t>
  </si>
  <si>
    <t>U.S. Revenues</t>
  </si>
  <si>
    <t>Euro, Mid. East, Afr</t>
  </si>
  <si>
    <t>A-Pac</t>
  </si>
  <si>
    <t>Lat Am + Canada</t>
  </si>
  <si>
    <t>U.S. % of Revenues</t>
  </si>
  <si>
    <t>Euro, Mid. East, Afr % of Revenues</t>
  </si>
  <si>
    <t>A-Pac % of Revenues</t>
  </si>
  <si>
    <t>Lat Am + Canada % of Revenues</t>
  </si>
  <si>
    <t>U.S. Revenue Growth Y/y</t>
  </si>
  <si>
    <t>Euro, Mid. East, Afr Revenue Growth Y/y</t>
  </si>
  <si>
    <t>A-Pac Revenue Growth Y/y</t>
  </si>
  <si>
    <t>Lat Am + Canada Revenue Growth Y/y</t>
  </si>
  <si>
    <t>Ttl Revenue Growth Y/y</t>
  </si>
  <si>
    <t>Cardiology Ttl</t>
  </si>
  <si>
    <t>Cash &amp; C.E.'s</t>
  </si>
  <si>
    <t>A/R</t>
  </si>
  <si>
    <t>Inventories</t>
  </si>
  <si>
    <t>Prepaid Income Taxes</t>
  </si>
  <si>
    <t>Other Current Assets</t>
  </si>
  <si>
    <t>PP&amp;E</t>
  </si>
  <si>
    <t>Goodwill</t>
  </si>
  <si>
    <t>Other Intangibles</t>
  </si>
  <si>
    <t>Deffered Taxes</t>
  </si>
  <si>
    <t>Other LT Assets</t>
  </si>
  <si>
    <t>Ttl Assets</t>
  </si>
  <si>
    <t>Current Debt</t>
  </si>
  <si>
    <t>Accounts Payable</t>
  </si>
  <si>
    <t>Accrued Expenses</t>
  </si>
  <si>
    <t>Other Current Liabilities</t>
  </si>
  <si>
    <t>Deferred Income Taxes</t>
  </si>
  <si>
    <t>Other LT Liabilities</t>
  </si>
  <si>
    <t>LT Debt</t>
  </si>
  <si>
    <t>SE</t>
  </si>
  <si>
    <t xml:space="preserve">Ttl L + SE </t>
  </si>
  <si>
    <t>Current Ratio</t>
  </si>
  <si>
    <t>Quick Ratio</t>
  </si>
  <si>
    <t>Cash Ratio</t>
  </si>
  <si>
    <t>Return on Assets</t>
  </si>
  <si>
    <t>Return on Equity</t>
  </si>
  <si>
    <t>Ttl Asset Turnover</t>
  </si>
  <si>
    <t>Inventory Turnover Ratio</t>
  </si>
  <si>
    <t>CFFO</t>
  </si>
  <si>
    <t>FCF</t>
  </si>
  <si>
    <t>FCF per Share</t>
  </si>
  <si>
    <t>Apr</t>
  </si>
  <si>
    <t>July</t>
  </si>
  <si>
    <t>Oct</t>
  </si>
  <si>
    <t>Jan</t>
  </si>
  <si>
    <t>CapEx, net</t>
  </si>
  <si>
    <t>https://www.sec.gov/edgar/browse/?CIK=885725&amp;owner=exclude</t>
  </si>
  <si>
    <t>Godel Terminal</t>
  </si>
  <si>
    <t>Assets Held for Sale</t>
  </si>
  <si>
    <t>Q1 2025</t>
  </si>
  <si>
    <t>Q1 2026</t>
  </si>
  <si>
    <t>Dizzying Amount of M&amp;A</t>
  </si>
  <si>
    <t>Will be important to follow up on the durability of organic revenue/earnings, Intelligent M&amp;A is well rewarded by the market in the long run</t>
  </si>
  <si>
    <t>Follow up on management scope</t>
  </si>
  <si>
    <t>[Build M&amp;A scope]</t>
  </si>
  <si>
    <t>Look into Cardiovascular vs MedSurg; see if there are any reported figures on profitability comps between segments</t>
  </si>
  <si>
    <t>Build list of competitors to model</t>
  </si>
  <si>
    <t>Boston Scientific generates a significant portion of it's revenues (~36%) from international clients… listen into earnings call for management comments on tariff affects + potential changes to FY rev/earnings guidance</t>
  </si>
  <si>
    <t xml:space="preserve">Strong Ttl revenue growth, especially in recent years </t>
  </si>
  <si>
    <t>Endoscopy Growth Y/y</t>
  </si>
  <si>
    <t>Urology Growth Y/y</t>
  </si>
  <si>
    <t>Interventional Cardiology</t>
  </si>
  <si>
    <t>Neuro Growth Y/y</t>
  </si>
  <si>
    <t>Revenue Estimates:</t>
  </si>
  <si>
    <t xml:space="preserve">Top Institutional Holders: </t>
  </si>
  <si>
    <t>Tue, 30 Apr 2024 00:00:00 GMT</t>
  </si>
  <si>
    <t>Wed, 01 May 2024 00:00:00 GMT</t>
  </si>
  <si>
    <t>Thu, 02 May 2024 00:00:00 GMT</t>
  </si>
  <si>
    <t>Fri, 03 May 2024 00:00:00 GMT</t>
  </si>
  <si>
    <t>Mon, 06 May 2024 00:00:00 GMT</t>
  </si>
  <si>
    <t>Tue, 07 May 2024 00:00:00 GMT</t>
  </si>
  <si>
    <t>Wed, 08 May 2024 00:00:00 GMT</t>
  </si>
  <si>
    <t>Thu, 09 May 2024 00:00:00 GMT</t>
  </si>
  <si>
    <t>Fri, 10 May 2024 00:00:00 GMT</t>
  </si>
  <si>
    <t>Mon, 13 May 2024 00:00:00 GMT</t>
  </si>
  <si>
    <t>Tue, 14 May 2024 00:00:00 GMT</t>
  </si>
  <si>
    <t>Wed, 15 May 2024 00:00:00 GMT</t>
  </si>
  <si>
    <t>Thu, 16 May 2024 00:00:00 GMT</t>
  </si>
  <si>
    <t>Fri, 17 May 2024 00:00:00 GMT</t>
  </si>
  <si>
    <t>Mon, 20 May 2024 00:00:00 GMT</t>
  </si>
  <si>
    <t>Tue, 21 May 2024 00:00:00 GMT</t>
  </si>
  <si>
    <t>Wed, 22 May 2024 00:00:00 GMT</t>
  </si>
  <si>
    <t>Thu, 23 May 2024 00:00:00 GMT</t>
  </si>
  <si>
    <t>Fri, 24 May 2024 00:00:00 GMT</t>
  </si>
  <si>
    <t>Tue, 28 May 2024 00:00:00 GMT</t>
  </si>
  <si>
    <t>Wed, 29 May 2024 00:00:00 GMT</t>
  </si>
  <si>
    <t>Thu, 30 May 2024 00:00:00 GMT</t>
  </si>
  <si>
    <t>Fri, 31 May 2024 00:00:00 GMT</t>
  </si>
  <si>
    <t>Mon, 03 Jun 2024 00:00:00 GMT</t>
  </si>
  <si>
    <t>Tue, 04 Jun 2024 00:00:00 GMT</t>
  </si>
  <si>
    <t>Wed, 05 Jun 2024 00:00:00 GMT</t>
  </si>
  <si>
    <t>Thu, 06 Jun 2024 00:00:00 GMT</t>
  </si>
  <si>
    <t>Fri, 07 Jun 2024 00:00:00 GMT</t>
  </si>
  <si>
    <t>Mon, 10 Jun 2024 00:00:00 GMT</t>
  </si>
  <si>
    <t>Tue, 11 Jun 2024 00:00:00 GMT</t>
  </si>
  <si>
    <t>Wed, 12 Jun 2024 00:00:00 GMT</t>
  </si>
  <si>
    <t>Thu, 13 Jun 2024 00:00:00 GMT</t>
  </si>
  <si>
    <t>Fri, 14 Jun 2024 00:00:00 GMT</t>
  </si>
  <si>
    <t>Mon, 17 Jun 2024 00:00:00 GMT</t>
  </si>
  <si>
    <t>Tue, 18 Jun 2024 00:00:00 GMT</t>
  </si>
  <si>
    <t>Thu, 20 Jun 2024 00:00:00 GMT</t>
  </si>
  <si>
    <t>Fri, 21 Jun 2024 00:00:00 GMT</t>
  </si>
  <si>
    <t>Mon, 24 Jun 2024 00:00:00 GMT</t>
  </si>
  <si>
    <t>Tue, 25 Jun 2024 00:00:00 GMT</t>
  </si>
  <si>
    <t>Wed, 26 Jun 2024 00:00:00 GMT</t>
  </si>
  <si>
    <t>Thu, 27 Jun 2024 00:00:00 GMT</t>
  </si>
  <si>
    <t>Fri, 28 Jun 2024 00:00:00 GMT</t>
  </si>
  <si>
    <t>Mon, 01 Jul 2024 00:00:00 GMT</t>
  </si>
  <si>
    <t>Tue, 02 Jul 2024 00:00:00 GMT</t>
  </si>
  <si>
    <t>Wed, 03 Jul 2024 00:00:00 GMT</t>
  </si>
  <si>
    <t>Fri, 05 Jul 2024 00:00:00 GMT</t>
  </si>
  <si>
    <t>Mon, 08 Jul 2024 00:00:00 GMT</t>
  </si>
  <si>
    <t>Tue, 09 Jul 2024 00:00:00 GMT</t>
  </si>
  <si>
    <t>Wed, 10 Jul 2024 00:00:00 GMT</t>
  </si>
  <si>
    <t>Thu, 11 Jul 2024 00:00:00 GMT</t>
  </si>
  <si>
    <t>Fri, 12 Jul 2024 00:00:00 GMT</t>
  </si>
  <si>
    <t>Mon, 15 Jul 2024 00:00:00 GMT</t>
  </si>
  <si>
    <t>Tue, 16 Jul 2024 00:00:00 GMT</t>
  </si>
  <si>
    <t>Wed, 17 Jul 2024 00:00:00 GMT</t>
  </si>
  <si>
    <t>Thu, 18 Jul 2024 00:00:00 GMT</t>
  </si>
  <si>
    <t>Fri, 19 Jul 2024 00:00:00 GMT</t>
  </si>
  <si>
    <t>Mon, 22 Jul 2024 00:00:00 GMT</t>
  </si>
  <si>
    <t>Tue, 23 Jul 2024 00:00:00 GMT</t>
  </si>
  <si>
    <t>Wed, 24 Jul 2024 00:00:00 GMT</t>
  </si>
  <si>
    <t>Thu, 25 Jul 2024 00:00:00 GMT</t>
  </si>
  <si>
    <t>Fri, 26 Jul 2024 00:00:00 GMT</t>
  </si>
  <si>
    <t>Mon, 29 Jul 2024 00:00:00 GMT</t>
  </si>
  <si>
    <t>Tue, 30 Jul 2024 00:00:00 GMT</t>
  </si>
  <si>
    <t>Wed, 31 Jul 2024 00:00:00 GMT</t>
  </si>
  <si>
    <t>Thu, 01 Aug 2024 00:00:00 GMT</t>
  </si>
  <si>
    <t>Fri, 02 Aug 2024 00:00:00 GMT</t>
  </si>
  <si>
    <t>Mon, 05 Aug 2024 00:00:00 GMT</t>
  </si>
  <si>
    <t>Tue, 06 Aug 2024 00:00:00 GMT</t>
  </si>
  <si>
    <t>Wed, 07 Aug 2024 00:00:00 GMT</t>
  </si>
  <si>
    <t>Thu, 08 Aug 2024 00:00:00 GMT</t>
  </si>
  <si>
    <t>Fri, 09 Aug 2024 00:00:00 GMT</t>
  </si>
  <si>
    <t>Mon, 12 Aug 2024 00:00:00 GMT</t>
  </si>
  <si>
    <t>Tue, 13 Aug 2024 00:00:00 GMT</t>
  </si>
  <si>
    <t>Wed, 14 Aug 2024 00:00:00 GMT</t>
  </si>
  <si>
    <t>Thu, 15 Aug 2024 00:00:00 GMT</t>
  </si>
  <si>
    <t>Fri, 16 Aug 2024 00:00:00 GMT</t>
  </si>
  <si>
    <t>Mon, 19 Aug 2024 00:00:00 GMT</t>
  </si>
  <si>
    <t>Tue, 20 Aug 2024 00:00:00 GMT</t>
  </si>
  <si>
    <t>Wed, 21 Aug 2024 00:00:00 GMT</t>
  </si>
  <si>
    <t>Thu, 22 Aug 2024 00:00:00 GMT</t>
  </si>
  <si>
    <t>Fri, 23 Aug 2024 00:00:00 GMT</t>
  </si>
  <si>
    <t>Mon, 26 Aug 2024 00:00:00 GMT</t>
  </si>
  <si>
    <t>Tue, 27 Aug 2024 00:00:00 GMT</t>
  </si>
  <si>
    <t>Wed, 28 Aug 2024 00:00:00 GMT</t>
  </si>
  <si>
    <t>Thu, 29 Aug 2024 00:00:00 GMT</t>
  </si>
  <si>
    <t>Fri, 30 Aug 2024 00:00:00 GMT</t>
  </si>
  <si>
    <t>Tue, 03 Sep 2024 00:00:00 GMT</t>
  </si>
  <si>
    <t>Wed, 04 Sep 2024 00:00:00 GMT</t>
  </si>
  <si>
    <t>Thu, 05 Sep 2024 00:00:00 GMT</t>
  </si>
  <si>
    <t>Fri, 06 Sep 2024 00:00:00 GMT</t>
  </si>
  <si>
    <t>Mon, 09 Sep 2024 00:00:00 GMT</t>
  </si>
  <si>
    <t>Tue, 10 Sep 2024 00:00:00 GMT</t>
  </si>
  <si>
    <t>Wed, 11 Sep 2024 00:00:00 GMT</t>
  </si>
  <si>
    <t>Thu, 12 Sep 2024 00:00:00 GMT</t>
  </si>
  <si>
    <t>Fri, 13 Sep 2024 00:00:00 GMT</t>
  </si>
  <si>
    <t>Mon, 16 Sep 2024 00:00:00 GMT</t>
  </si>
  <si>
    <t>Tue, 17 Sep 2024 00:00:00 GMT</t>
  </si>
  <si>
    <t>Wed, 18 Sep 2024 00:00:00 GMT</t>
  </si>
  <si>
    <t>Thu, 19 Sep 2024 00:00:00 GMT</t>
  </si>
  <si>
    <t>Fri, 20 Sep 2024 00:00:00 GMT</t>
  </si>
  <si>
    <t>Mon, 23 Sep 2024 00:00:00 GMT</t>
  </si>
  <si>
    <t>Tue, 24 Sep 2024 00:00:00 GMT</t>
  </si>
  <si>
    <t>Wed, 25 Sep 2024 00:00:00 GMT</t>
  </si>
  <si>
    <t>Thu, 26 Sep 2024 00:00:00 GMT</t>
  </si>
  <si>
    <t>Fri, 27 Sep 2024 00:00:00 GMT</t>
  </si>
  <si>
    <t>Mon, 30 Sep 2024 00:00:00 GMT</t>
  </si>
  <si>
    <t>Tue, 01 Oct 2024 00:00:00 GMT</t>
  </si>
  <si>
    <t>Wed, 02 Oct 2024 00:00:00 GMT</t>
  </si>
  <si>
    <t>Thu, 03 Oct 2024 00:00:00 GMT</t>
  </si>
  <si>
    <t>Fri, 04 Oct 2024 00:00:00 GMT</t>
  </si>
  <si>
    <t>Mon, 07 Oct 2024 00:00:00 GMT</t>
  </si>
  <si>
    <t>Tue, 08 Oct 2024 00:00:00 GMT</t>
  </si>
  <si>
    <t>Wed, 09 Oct 2024 00:00:00 GMT</t>
  </si>
  <si>
    <t>Thu, 10 Oct 2024 00:00:00 GMT</t>
  </si>
  <si>
    <t>Fri, 11 Oct 2024 00:00:00 GMT</t>
  </si>
  <si>
    <t>Mon, 14 Oct 2024 00:00:00 GMT</t>
  </si>
  <si>
    <t>Tue, 15 Oct 2024 00:00:00 GMT</t>
  </si>
  <si>
    <t>Wed, 16 Oct 2024 00:00:00 GMT</t>
  </si>
  <si>
    <t>Thu, 17 Oct 2024 00:00:00 GMT</t>
  </si>
  <si>
    <t>Fri, 18 Oct 2024 00:00:00 GMT</t>
  </si>
  <si>
    <t>Mon, 21 Oct 2024 00:00:00 GMT</t>
  </si>
  <si>
    <t>Tue, 22 Oct 2024 00:00:00 GMT</t>
  </si>
  <si>
    <t>Wed, 23 Oct 2024 00:00:00 GMT</t>
  </si>
  <si>
    <t>Thu, 24 Oct 2024 00:00:00 GMT</t>
  </si>
  <si>
    <t>Fri, 25 Oct 2024 00:00:00 GMT</t>
  </si>
  <si>
    <t>Mon, 28 Oct 2024 00:00:00 GMT</t>
  </si>
  <si>
    <t>Tue, 29 Oct 2024 00:00:00 GMT</t>
  </si>
  <si>
    <t>Wed, 30 Oct 2024 00:00:00 GMT</t>
  </si>
  <si>
    <t>Thu, 31 Oct 2024 00:00:00 GMT</t>
  </si>
  <si>
    <t>Fri, 01 Nov 2024 00:00:00 GMT</t>
  </si>
  <si>
    <t>Mon, 04 Nov 2024 00:00:00 GMT</t>
  </si>
  <si>
    <t>Tue, 05 Nov 2024 00:00:00 GMT</t>
  </si>
  <si>
    <t>Wed, 06 Nov 2024 00:00:00 GMT</t>
  </si>
  <si>
    <t>Thu, 07 Nov 2024 00:00:00 GMT</t>
  </si>
  <si>
    <t>Fri, 08 Nov 2024 00:00:00 GMT</t>
  </si>
  <si>
    <t>Mon, 11 Nov 2024 00:00:00 GMT</t>
  </si>
  <si>
    <t>Tue, 12 Nov 2024 00:00:00 GMT</t>
  </si>
  <si>
    <t>Wed, 13 Nov 2024 00:00:00 GMT</t>
  </si>
  <si>
    <t>Thu, 14 Nov 2024 00:00:00 GMT</t>
  </si>
  <si>
    <t>Fri, 15 Nov 2024 00:00:00 GMT</t>
  </si>
  <si>
    <t>Mon, 18 Nov 2024 00:00:00 GMT</t>
  </si>
  <si>
    <t>Tue, 19 Nov 2024 00:00:00 GMT</t>
  </si>
  <si>
    <t>Wed, 20 Nov 2024 00:00:00 GMT</t>
  </si>
  <si>
    <t>Thu, 21 Nov 2024 00:00:00 GMT</t>
  </si>
  <si>
    <t>Fri, 22 Nov 2024 00:00:00 GMT</t>
  </si>
  <si>
    <t>Mon, 25 Nov 2024 00:00:00 GMT</t>
  </si>
  <si>
    <t>Tue, 26 Nov 2024 00:00:00 GMT</t>
  </si>
  <si>
    <t>Wed, 27 Nov 2024 00:00:00 GMT</t>
  </si>
  <si>
    <t>Fri, 29 Nov 2024 00:00:00 GMT</t>
  </si>
  <si>
    <t>Mon, 02 Dec 2024 00:00:00 GMT</t>
  </si>
  <si>
    <t>Tue, 03 Dec 2024 00:00:00 GMT</t>
  </si>
  <si>
    <t>Wed, 04 Dec 2024 00:00:00 GMT</t>
  </si>
  <si>
    <t>Thu, 05 Dec 2024 00:00:00 GMT</t>
  </si>
  <si>
    <t>Fri, 06 Dec 2024 00:00:00 GMT</t>
  </si>
  <si>
    <t>Mon, 09 Dec 2024 00:00:00 GMT</t>
  </si>
  <si>
    <t>Tue, 10 Dec 2024 00:00:00 GMT</t>
  </si>
  <si>
    <t>Wed, 11 Dec 2024 00:00:00 GMT</t>
  </si>
  <si>
    <t>Thu, 12 Dec 2024 00:00:00 GMT</t>
  </si>
  <si>
    <t>Fri, 13 Dec 2024 00:00:00 GMT</t>
  </si>
  <si>
    <t>Mon, 16 Dec 2024 00:00:00 GMT</t>
  </si>
  <si>
    <t>Tue, 17 Dec 2024 00:00:00 GMT</t>
  </si>
  <si>
    <t>Wed, 18 Dec 2024 00:00:00 GMT</t>
  </si>
  <si>
    <t>Thu, 19 Dec 2024 00:00:00 GMT</t>
  </si>
  <si>
    <t>Fri, 20 Dec 2024 00:00:00 GMT</t>
  </si>
  <si>
    <t>Mon, 23 Dec 2024 00:00:00 GMT</t>
  </si>
  <si>
    <t>Tue, 24 Dec 2024 00:00:00 GMT</t>
  </si>
  <si>
    <t>Thu, 26 Dec 2024 00:00:00 GMT</t>
  </si>
  <si>
    <t>Fri, 27 Dec 2024 00:00:00 GMT</t>
  </si>
  <si>
    <t>Mon, 30 Dec 2024 00:00:00 GMT</t>
  </si>
  <si>
    <t>Tue, 31 Dec 2024 00:00:00 GMT</t>
  </si>
  <si>
    <t>Thu, 02 Jan 2025 00:00:00 GMT</t>
  </si>
  <si>
    <t>Fri, 03 Jan 2025 00:00:00 GMT</t>
  </si>
  <si>
    <t>Mon, 06 Jan 2025 00:00:00 GMT</t>
  </si>
  <si>
    <t>Tue, 07 Jan 2025 00:00:00 GMT</t>
  </si>
  <si>
    <t>Wed, 08 Jan 2025 00:00:00 GMT</t>
  </si>
  <si>
    <t>Fri, 10 Jan 2025 00:00:00 GMT</t>
  </si>
  <si>
    <t>Mon, 13 Jan 2025 00:00:00 GMT</t>
  </si>
  <si>
    <t>Tue, 14 Jan 2025 00:00:00 GMT</t>
  </si>
  <si>
    <t>Wed, 15 Jan 2025 00:00:00 GMT</t>
  </si>
  <si>
    <t>Thu, 16 Jan 2025 00:00:00 GMT</t>
  </si>
  <si>
    <t>Fri, 17 Jan 2025 00:00:00 GMT</t>
  </si>
  <si>
    <t>Tue, 21 Jan 2025 00:00:00 GMT</t>
  </si>
  <si>
    <t>Wed, 22 Jan 2025 00:00:00 GMT</t>
  </si>
  <si>
    <t>Thu, 23 Jan 2025 00:00:00 GMT</t>
  </si>
  <si>
    <t>Fri, 24 Jan 2025 00:00:00 GMT</t>
  </si>
  <si>
    <t>Mon, 27 Jan 2025 00:00:00 GMT</t>
  </si>
  <si>
    <t>Tue, 28 Jan 2025 00:00:00 GMT</t>
  </si>
  <si>
    <t>Wed, 29 Jan 2025 00:00:00 GMT</t>
  </si>
  <si>
    <t>Thu, 30 Jan 2025 00:00:00 GMT</t>
  </si>
  <si>
    <t>Fri, 31 Jan 2025 00:00:00 GMT</t>
  </si>
  <si>
    <t>Mon, 03 Feb 2025 00:00:00 GMT</t>
  </si>
  <si>
    <t>Tue, 04 Feb 2025 00:00:00 GMT</t>
  </si>
  <si>
    <t>Wed, 05 Feb 2025 00:00:00 GMT</t>
  </si>
  <si>
    <t>Thu, 06 Feb 2025 00:00:00 GMT</t>
  </si>
  <si>
    <t>Fri, 07 Feb 2025 00:00:00 GMT</t>
  </si>
  <si>
    <t>Mon, 10 Feb 2025 00:00:00 GMT</t>
  </si>
  <si>
    <t>Tue, 11 Feb 2025 00:00:00 GMT</t>
  </si>
  <si>
    <t>Wed, 12 Feb 2025 00:00:00 GMT</t>
  </si>
  <si>
    <t>Thu, 13 Feb 2025 00:00:00 GMT</t>
  </si>
  <si>
    <t>Fri, 14 Feb 2025 00:00:00 GMT</t>
  </si>
  <si>
    <t>Tue, 18 Feb 2025 00:00:00 GMT</t>
  </si>
  <si>
    <t>Wed, 19 Feb 2025 00:00:00 GMT</t>
  </si>
  <si>
    <t>Thu, 20 Feb 2025 00:00:00 GMT</t>
  </si>
  <si>
    <t>Fri, 21 Feb 2025 00:00:00 GMT</t>
  </si>
  <si>
    <t>Mon, 24 Feb 2025 00:00:00 GMT</t>
  </si>
  <si>
    <t>Tue, 25 Feb 2025 00:00:00 GMT</t>
  </si>
  <si>
    <t>Wed, 26 Feb 2025 00:00:00 GMT</t>
  </si>
  <si>
    <t>Thu, 27 Feb 2025 00:00:00 GMT</t>
  </si>
  <si>
    <t>Fri, 28 Feb 2025 00:00:00 GMT</t>
  </si>
  <si>
    <t>Mon, 03 Mar 2025 00:00:00 GMT</t>
  </si>
  <si>
    <t>Tue, 04 Mar 2025 00:00:00 GMT</t>
  </si>
  <si>
    <t>Wed, 05 Mar 2025 00:00:00 GMT</t>
  </si>
  <si>
    <t>Thu, 06 Mar 2025 00:00:00 GMT</t>
  </si>
  <si>
    <t>Mon, 10 Mar 2025 00:00:00 GMT</t>
  </si>
  <si>
    <t>Tue, 11 Mar 2025 00:00:00 GMT</t>
  </si>
  <si>
    <t>Wed, 12 Mar 2025 00:00:00 GMT</t>
  </si>
  <si>
    <t>Thu, 13 Mar 2025 00:00:00 GMT</t>
  </si>
  <si>
    <t>Fri, 14 Mar 2025 00:00:00 GMT</t>
  </si>
  <si>
    <t>Mon, 17 Mar 2025 00:00:00 GMT</t>
  </si>
  <si>
    <t>Tue, 18 Mar 2025 00:00:00 GMT</t>
  </si>
  <si>
    <t>Wed, 19 Mar 2025 00:00:00 GMT</t>
  </si>
  <si>
    <t>Thu, 20 Mar 2025 00:00:00 GMT</t>
  </si>
  <si>
    <t>Fri, 21 Mar 2025 00:00:00 GMT</t>
  </si>
  <si>
    <t>Mon, 24 Mar 2025 00:00:00 GMT</t>
  </si>
  <si>
    <t>Tue, 25 Mar 2025 00:00:00 GMT</t>
  </si>
  <si>
    <t>Wed, 26 Mar 2025 00:00:00 GMT</t>
  </si>
  <si>
    <t>Thu, 27 Mar 2025 00:00:00 GMT</t>
  </si>
  <si>
    <t>Fri, 28 Mar 2025 00:00:00 GMT</t>
  </si>
  <si>
    <t>Mon, 31 Mar 2025 00:00:00 GMT</t>
  </si>
  <si>
    <t>Tue, 01 Apr 2025 00:00:00 GMT</t>
  </si>
  <si>
    <t>Wed, 02 Apr 2025 00:00:00 GMT</t>
  </si>
  <si>
    <t>Thu, 03 Apr 2025 00:00:00 GMT</t>
  </si>
  <si>
    <t>Fri, 04 Apr 2025 00:00:00 GMT</t>
  </si>
  <si>
    <t>Mon, 07 Apr 2025 00:00:00 GMT</t>
  </si>
  <si>
    <t>Tue, 08 Apr 2025 00:00:00 GMT</t>
  </si>
  <si>
    <t>Wed, 09 Apr 2025 00:00:00 GMT</t>
  </si>
  <si>
    <t>Thu, 10 Apr 2025 00:00:00 GMT</t>
  </si>
  <si>
    <t>Fri, 11 Apr 2025 00:00:00 GMT</t>
  </si>
  <si>
    <t>Mon, 14 Apr 2025 00:00:00 GMT</t>
  </si>
  <si>
    <t>Tue, 15 Apr 2025 00:00:00 GMT</t>
  </si>
  <si>
    <t>Wed, 16 Apr 2025 00:00:00 GMT</t>
  </si>
  <si>
    <t>Thu, 17 Apr 2025 00:00:00 GMT</t>
  </si>
  <si>
    <t>Mon, 21 Apr 2025 00:00:00 GMT</t>
  </si>
  <si>
    <t>Tue, 22 Apr 2025 00:00:00 GMT</t>
  </si>
  <si>
    <t>Wed, 23 Apr 2025 00:00:00 GMT</t>
  </si>
  <si>
    <t>Thu, 24 Apr 2025 00:00:00 GMT</t>
  </si>
  <si>
    <t>Fri, 25 Apr 2025 00:00:00 GMT</t>
  </si>
  <si>
    <t>Mon, 28 Apr 2025 00:00:00 GMT</t>
  </si>
  <si>
    <t>Tue, 29 Apr 2025 00:00:00 GMT</t>
  </si>
  <si>
    <t>UTC Date</t>
  </si>
  <si>
    <t>Volume</t>
  </si>
  <si>
    <t>Open</t>
  </si>
  <si>
    <t>Low</t>
  </si>
  <si>
    <t>High</t>
  </si>
  <si>
    <t>Close</t>
  </si>
  <si>
    <t>Max</t>
  </si>
  <si>
    <t>Min</t>
  </si>
  <si>
    <t>There is slight implied upside to mean 1-day returns</t>
  </si>
  <si>
    <t>SD σ</t>
  </si>
  <si>
    <t>Mean</t>
  </si>
  <si>
    <t>&lt;- Sortino Ratio (Downside Risk Adjusted Return)</t>
  </si>
  <si>
    <t>Bin</t>
  </si>
  <si>
    <t>More</t>
  </si>
  <si>
    <t>Frequency</t>
  </si>
  <si>
    <t>Mon, 01 May 2017 00:00:00 GMT</t>
  </si>
  <si>
    <t>Tue, 02 May 2017 00:00:00 GMT</t>
  </si>
  <si>
    <t>Wed, 03 May 2017 00:00:00 GMT</t>
  </si>
  <si>
    <t>Thu, 04 May 2017 00:00:00 GMT</t>
  </si>
  <si>
    <t>Fri, 05 May 2017 00:00:00 GMT</t>
  </si>
  <si>
    <t>Mon, 08 May 2017 00:00:00 GMT</t>
  </si>
  <si>
    <t>Tue, 09 May 2017 00:00:00 GMT</t>
  </si>
  <si>
    <t>Wed, 10 May 2017 00:00:00 GMT</t>
  </si>
  <si>
    <t>Thu, 11 May 2017 00:00:00 GMT</t>
  </si>
  <si>
    <t>Fri, 12 May 2017 00:00:00 GMT</t>
  </si>
  <si>
    <t>Mon, 15 May 2017 00:00:00 GMT</t>
  </si>
  <si>
    <t>Tue, 16 May 2017 00:00:00 GMT</t>
  </si>
  <si>
    <t>Wed, 17 May 2017 00:00:00 GMT</t>
  </si>
  <si>
    <t>Thu, 18 May 2017 00:00:00 GMT</t>
  </si>
  <si>
    <t>Fri, 19 May 2017 00:00:00 GMT</t>
  </si>
  <si>
    <t>Mon, 22 May 2017 00:00:00 GMT</t>
  </si>
  <si>
    <t>Tue, 23 May 2017 00:00:00 GMT</t>
  </si>
  <si>
    <t>Wed, 24 May 2017 00:00:00 GMT</t>
  </si>
  <si>
    <t>Thu, 25 May 2017 00:00:00 GMT</t>
  </si>
  <si>
    <t>Fri, 26 May 2017 00:00:00 GMT</t>
  </si>
  <si>
    <t>Tue, 30 May 2017 00:00:00 GMT</t>
  </si>
  <si>
    <t>Wed, 31 May 2017 00:00:00 GMT</t>
  </si>
  <si>
    <t>Thu, 01 Jun 2017 00:00:00 GMT</t>
  </si>
  <si>
    <t>Fri, 02 Jun 2017 00:00:00 GMT</t>
  </si>
  <si>
    <t>Mon, 05 Jun 2017 00:00:00 GMT</t>
  </si>
  <si>
    <t>Tue, 06 Jun 2017 00:00:00 GMT</t>
  </si>
  <si>
    <t>Wed, 07 Jun 2017 00:00:00 GMT</t>
  </si>
  <si>
    <t>Thu, 08 Jun 2017 00:00:00 GMT</t>
  </si>
  <si>
    <t>Fri, 09 Jun 2017 00:00:00 GMT</t>
  </si>
  <si>
    <t>Mon, 12 Jun 2017 00:00:00 GMT</t>
  </si>
  <si>
    <t>Tue, 13 Jun 2017 00:00:00 GMT</t>
  </si>
  <si>
    <t>Wed, 14 Jun 2017 00:00:00 GMT</t>
  </si>
  <si>
    <t>Thu, 15 Jun 2017 00:00:00 GMT</t>
  </si>
  <si>
    <t>Fri, 16 Jun 2017 00:00:00 GMT</t>
  </si>
  <si>
    <t>Mon, 19 Jun 2017 00:00:00 GMT</t>
  </si>
  <si>
    <t>Tue, 20 Jun 2017 00:00:00 GMT</t>
  </si>
  <si>
    <t>Wed, 21 Jun 2017 00:00:00 GMT</t>
  </si>
  <si>
    <t>Thu, 22 Jun 2017 00:00:00 GMT</t>
  </si>
  <si>
    <t>Fri, 23 Jun 2017 00:00:00 GMT</t>
  </si>
  <si>
    <t>Mon, 26 Jun 2017 00:00:00 GMT</t>
  </si>
  <si>
    <t>Tue, 27 Jun 2017 00:00:00 GMT</t>
  </si>
  <si>
    <t>Wed, 28 Jun 2017 00:00:00 GMT</t>
  </si>
  <si>
    <t>Thu, 29 Jun 2017 00:00:00 GMT</t>
  </si>
  <si>
    <t>Fri, 30 Jun 2017 00:00:00 GMT</t>
  </si>
  <si>
    <t>Mon, 03 Jul 2017 00:00:00 GMT</t>
  </si>
  <si>
    <t>Wed, 05 Jul 2017 00:00:00 GMT</t>
  </si>
  <si>
    <t>Thu, 06 Jul 2017 00:00:00 GMT</t>
  </si>
  <si>
    <t>Fri, 07 Jul 2017 00:00:00 GMT</t>
  </si>
  <si>
    <t>Mon, 10 Jul 2017 00:00:00 GMT</t>
  </si>
  <si>
    <t>Tue, 11 Jul 2017 00:00:00 GMT</t>
  </si>
  <si>
    <t>Wed, 12 Jul 2017 00:00:00 GMT</t>
  </si>
  <si>
    <t>Thu, 13 Jul 2017 00:00:00 GMT</t>
  </si>
  <si>
    <t>Fri, 14 Jul 2017 00:00:00 GMT</t>
  </si>
  <si>
    <t>Mon, 17 Jul 2017 00:00:00 GMT</t>
  </si>
  <si>
    <t>Tue, 18 Jul 2017 00:00:00 GMT</t>
  </si>
  <si>
    <t>Wed, 19 Jul 2017 00:00:00 GMT</t>
  </si>
  <si>
    <t>Thu, 20 Jul 2017 00:00:00 GMT</t>
  </si>
  <si>
    <t>Fri, 21 Jul 2017 00:00:00 GMT</t>
  </si>
  <si>
    <t>Mon, 24 Jul 2017 00:00:00 GMT</t>
  </si>
  <si>
    <t>Tue, 25 Jul 2017 00:00:00 GMT</t>
  </si>
  <si>
    <t>Wed, 26 Jul 2017 00:00:00 GMT</t>
  </si>
  <si>
    <t>Thu, 27 Jul 2017 00:00:00 GMT</t>
  </si>
  <si>
    <t>Fri, 28 Jul 2017 00:00:00 GMT</t>
  </si>
  <si>
    <t>Mon, 31 Jul 2017 00:00:00 GMT</t>
  </si>
  <si>
    <t>Tue, 01 Aug 2017 00:00:00 GMT</t>
  </si>
  <si>
    <t>Wed, 02 Aug 2017 00:00:00 GMT</t>
  </si>
  <si>
    <t>Thu, 03 Aug 2017 00:00:00 GMT</t>
  </si>
  <si>
    <t>Fri, 04 Aug 2017 00:00:00 GMT</t>
  </si>
  <si>
    <t>Mon, 07 Aug 2017 00:00:00 GMT</t>
  </si>
  <si>
    <t>Tue, 08 Aug 2017 00:00:00 GMT</t>
  </si>
  <si>
    <t>Wed, 09 Aug 2017 00:00:00 GMT</t>
  </si>
  <si>
    <t>Thu, 10 Aug 2017 00:00:00 GMT</t>
  </si>
  <si>
    <t>Fri, 11 Aug 2017 00:00:00 GMT</t>
  </si>
  <si>
    <t>Mon, 14 Aug 2017 00:00:00 GMT</t>
  </si>
  <si>
    <t>Tue, 15 Aug 2017 00:00:00 GMT</t>
  </si>
  <si>
    <t>Wed, 16 Aug 2017 00:00:00 GMT</t>
  </si>
  <si>
    <t>Thu, 17 Aug 2017 00:00:00 GMT</t>
  </si>
  <si>
    <t>Fri, 18 Aug 2017 00:00:00 GMT</t>
  </si>
  <si>
    <t>Mon, 21 Aug 2017 00:00:00 GMT</t>
  </si>
  <si>
    <t>Tue, 22 Aug 2017 00:00:00 GMT</t>
  </si>
  <si>
    <t>Wed, 23 Aug 2017 00:00:00 GMT</t>
  </si>
  <si>
    <t>Thu, 24 Aug 2017 00:00:00 GMT</t>
  </si>
  <si>
    <t>Fri, 25 Aug 2017 00:00:00 GMT</t>
  </si>
  <si>
    <t>Mon, 28 Aug 2017 00:00:00 GMT</t>
  </si>
  <si>
    <t>Tue, 29 Aug 2017 00:00:00 GMT</t>
  </si>
  <si>
    <t>Wed, 30 Aug 2017 00:00:00 GMT</t>
  </si>
  <si>
    <t>Thu, 31 Aug 2017 00:00:00 GMT</t>
  </si>
  <si>
    <t>Fri, 01 Sep 2017 00:00:00 GMT</t>
  </si>
  <si>
    <t>Tue, 05 Sep 2017 00:00:00 GMT</t>
  </si>
  <si>
    <t>Wed, 06 Sep 2017 00:00:00 GMT</t>
  </si>
  <si>
    <t>Thu, 07 Sep 2017 00:00:00 GMT</t>
  </si>
  <si>
    <t>Fri, 08 Sep 2017 00:00:00 GMT</t>
  </si>
  <si>
    <t>Mon, 11 Sep 2017 00:00:00 GMT</t>
  </si>
  <si>
    <t>Tue, 12 Sep 2017 00:00:00 GMT</t>
  </si>
  <si>
    <t>Wed, 13 Sep 2017 00:00:00 GMT</t>
  </si>
  <si>
    <t>Thu, 14 Sep 2017 00:00:00 GMT</t>
  </si>
  <si>
    <t>Fri, 15 Sep 2017 00:00:00 GMT</t>
  </si>
  <si>
    <t>Mon, 18 Sep 2017 00:00:00 GMT</t>
  </si>
  <si>
    <t>Tue, 19 Sep 2017 00:00:00 GMT</t>
  </si>
  <si>
    <t>Wed, 20 Sep 2017 00:00:00 GMT</t>
  </si>
  <si>
    <t>Thu, 21 Sep 2017 00:00:00 GMT</t>
  </si>
  <si>
    <t>Fri, 22 Sep 2017 00:00:00 GMT</t>
  </si>
  <si>
    <t>Mon, 25 Sep 2017 00:00:00 GMT</t>
  </si>
  <si>
    <t>Tue, 26 Sep 2017 00:00:00 GMT</t>
  </si>
  <si>
    <t>Wed, 27 Sep 2017 00:00:00 GMT</t>
  </si>
  <si>
    <t>Thu, 28 Sep 2017 00:00:00 GMT</t>
  </si>
  <si>
    <t>Fri, 29 Sep 2017 00:00:00 GMT</t>
  </si>
  <si>
    <t>Mon, 02 Oct 2017 00:00:00 GMT</t>
  </si>
  <si>
    <t>Tue, 03 Oct 2017 00:00:00 GMT</t>
  </si>
  <si>
    <t>Wed, 04 Oct 2017 00:00:00 GMT</t>
  </si>
  <si>
    <t>Thu, 05 Oct 2017 00:00:00 GMT</t>
  </si>
  <si>
    <t>Fri, 06 Oct 2017 00:00:00 GMT</t>
  </si>
  <si>
    <t>Mon, 09 Oct 2017 00:00:00 GMT</t>
  </si>
  <si>
    <t>Tue, 10 Oct 2017 00:00:00 GMT</t>
  </si>
  <si>
    <t>Wed, 11 Oct 2017 00:00:00 GMT</t>
  </si>
  <si>
    <t>Thu, 12 Oct 2017 00:00:00 GMT</t>
  </si>
  <si>
    <t>Fri, 13 Oct 2017 00:00:00 GMT</t>
  </si>
  <si>
    <t>Mon, 16 Oct 2017 00:00:00 GMT</t>
  </si>
  <si>
    <t>Tue, 17 Oct 2017 00:00:00 GMT</t>
  </si>
  <si>
    <t>Wed, 18 Oct 2017 00:00:00 GMT</t>
  </si>
  <si>
    <t>Thu, 19 Oct 2017 00:00:00 GMT</t>
  </si>
  <si>
    <t>Fri, 20 Oct 2017 00:00:00 GMT</t>
  </si>
  <si>
    <t>Mon, 23 Oct 2017 00:00:00 GMT</t>
  </si>
  <si>
    <t>Tue, 24 Oct 2017 00:00:00 GMT</t>
  </si>
  <si>
    <t>Wed, 25 Oct 2017 00:00:00 GMT</t>
  </si>
  <si>
    <t>Thu, 26 Oct 2017 00:00:00 GMT</t>
  </si>
  <si>
    <t>Fri, 27 Oct 2017 00:00:00 GMT</t>
  </si>
  <si>
    <t>Mon, 30 Oct 2017 00:00:00 GMT</t>
  </si>
  <si>
    <t>Tue, 31 Oct 2017 00:00:00 GMT</t>
  </si>
  <si>
    <t>Wed, 01 Nov 2017 00:00:00 GMT</t>
  </si>
  <si>
    <t>Thu, 02 Nov 2017 00:00:00 GMT</t>
  </si>
  <si>
    <t>Fri, 03 Nov 2017 00:00:00 GMT</t>
  </si>
  <si>
    <t>Mon, 06 Nov 2017 00:00:00 GMT</t>
  </si>
  <si>
    <t>Tue, 07 Nov 2017 00:00:00 GMT</t>
  </si>
  <si>
    <t>Wed, 08 Nov 2017 00:00:00 GMT</t>
  </si>
  <si>
    <t>Thu, 09 Nov 2017 00:00:00 GMT</t>
  </si>
  <si>
    <t>Fri, 10 Nov 2017 00:00:00 GMT</t>
  </si>
  <si>
    <t>Mon, 13 Nov 2017 00:00:00 GMT</t>
  </si>
  <si>
    <t>Tue, 14 Nov 2017 00:00:00 GMT</t>
  </si>
  <si>
    <t>Wed, 15 Nov 2017 00:00:00 GMT</t>
  </si>
  <si>
    <t>Thu, 16 Nov 2017 00:00:00 GMT</t>
  </si>
  <si>
    <t>Fri, 17 Nov 2017 00:00:00 GMT</t>
  </si>
  <si>
    <t>Mon, 20 Nov 2017 00:00:00 GMT</t>
  </si>
  <si>
    <t>Tue, 21 Nov 2017 00:00:00 GMT</t>
  </si>
  <si>
    <t>Wed, 22 Nov 2017 00:00:00 GMT</t>
  </si>
  <si>
    <t>Fri, 24 Nov 2017 00:00:00 GMT</t>
  </si>
  <si>
    <t>Mon, 27 Nov 2017 00:00:00 GMT</t>
  </si>
  <si>
    <t>Tue, 28 Nov 2017 00:00:00 GMT</t>
  </si>
  <si>
    <t>Wed, 29 Nov 2017 00:00:00 GMT</t>
  </si>
  <si>
    <t>Thu, 30 Nov 2017 00:00:00 GMT</t>
  </si>
  <si>
    <t>Fri, 01 Dec 2017 00:00:00 GMT</t>
  </si>
  <si>
    <t>Mon, 04 Dec 2017 00:00:00 GMT</t>
  </si>
  <si>
    <t>Tue, 05 Dec 2017 00:00:00 GMT</t>
  </si>
  <si>
    <t>Wed, 06 Dec 2017 00:00:00 GMT</t>
  </si>
  <si>
    <t>Thu, 07 Dec 2017 00:00:00 GMT</t>
  </si>
  <si>
    <t>Fri, 08 Dec 2017 00:00:00 GMT</t>
  </si>
  <si>
    <t>Mon, 11 Dec 2017 00:00:00 GMT</t>
  </si>
  <si>
    <t>Tue, 12 Dec 2017 00:00:00 GMT</t>
  </si>
  <si>
    <t>Wed, 13 Dec 2017 00:00:00 GMT</t>
  </si>
  <si>
    <t>Thu, 14 Dec 2017 00:00:00 GMT</t>
  </si>
  <si>
    <t>Fri, 15 Dec 2017 00:00:00 GMT</t>
  </si>
  <si>
    <t>Mon, 18 Dec 2017 00:00:00 GMT</t>
  </si>
  <si>
    <t>Tue, 19 Dec 2017 00:00:00 GMT</t>
  </si>
  <si>
    <t>Wed, 20 Dec 2017 00:00:00 GMT</t>
  </si>
  <si>
    <t>Thu, 21 Dec 2017 00:00:00 GMT</t>
  </si>
  <si>
    <t>Fri, 22 Dec 2017 00:00:00 GMT</t>
  </si>
  <si>
    <t>Tue, 26 Dec 2017 00:00:00 GMT</t>
  </si>
  <si>
    <t>Wed, 27 Dec 2017 00:00:00 GMT</t>
  </si>
  <si>
    <t>Thu, 28 Dec 2017 00:00:00 GMT</t>
  </si>
  <si>
    <t>Fri, 29 Dec 2017 00:00:00 GMT</t>
  </si>
  <si>
    <t>Tue, 02 Jan 2018 00:00:00 GMT</t>
  </si>
  <si>
    <t>Wed, 03 Jan 2018 00:00:00 GMT</t>
  </si>
  <si>
    <t>Thu, 04 Jan 2018 00:00:00 GMT</t>
  </si>
  <si>
    <t>Fri, 05 Jan 2018 00:00:00 GMT</t>
  </si>
  <si>
    <t>Mon, 08 Jan 2018 00:00:00 GMT</t>
  </si>
  <si>
    <t>Tue, 09 Jan 2018 00:00:00 GMT</t>
  </si>
  <si>
    <t>Wed, 10 Jan 2018 00:00:00 GMT</t>
  </si>
  <si>
    <t>Thu, 11 Jan 2018 00:00:00 GMT</t>
  </si>
  <si>
    <t>Fri, 12 Jan 2018 00:00:00 GMT</t>
  </si>
  <si>
    <t>Tue, 16 Jan 2018 00:00:00 GMT</t>
  </si>
  <si>
    <t>Wed, 17 Jan 2018 00:00:00 GMT</t>
  </si>
  <si>
    <t>Thu, 18 Jan 2018 00:00:00 GMT</t>
  </si>
  <si>
    <t>Fri, 19 Jan 2018 00:00:00 GMT</t>
  </si>
  <si>
    <t>Mon, 22 Jan 2018 00:00:00 GMT</t>
  </si>
  <si>
    <t>Tue, 23 Jan 2018 00:00:00 GMT</t>
  </si>
  <si>
    <t>Wed, 24 Jan 2018 00:00:00 GMT</t>
  </si>
  <si>
    <t>Thu, 25 Jan 2018 00:00:00 GMT</t>
  </si>
  <si>
    <t>Fri, 26 Jan 2018 00:00:00 GMT</t>
  </si>
  <si>
    <t>Mon, 29 Jan 2018 00:00:00 GMT</t>
  </si>
  <si>
    <t>Tue, 30 Jan 2018 00:00:00 GMT</t>
  </si>
  <si>
    <t>Wed, 31 Jan 2018 00:00:00 GMT</t>
  </si>
  <si>
    <t>Thu, 01 Feb 2018 00:00:00 GMT</t>
  </si>
  <si>
    <t>Fri, 02 Feb 2018 00:00:00 GMT</t>
  </si>
  <si>
    <t>Mon, 05 Feb 2018 00:00:00 GMT</t>
  </si>
  <si>
    <t>Tue, 06 Feb 2018 00:00:00 GMT</t>
  </si>
  <si>
    <t>Wed, 07 Feb 2018 00:00:00 GMT</t>
  </si>
  <si>
    <t>Thu, 08 Feb 2018 00:00:00 GMT</t>
  </si>
  <si>
    <t>Fri, 09 Feb 2018 00:00:00 GMT</t>
  </si>
  <si>
    <t>Mon, 12 Feb 2018 00:00:00 GMT</t>
  </si>
  <si>
    <t>Tue, 13 Feb 2018 00:00:00 GMT</t>
  </si>
  <si>
    <t>Wed, 14 Feb 2018 00:00:00 GMT</t>
  </si>
  <si>
    <t>Thu, 15 Feb 2018 00:00:00 GMT</t>
  </si>
  <si>
    <t>Fri, 16 Feb 2018 00:00:00 GMT</t>
  </si>
  <si>
    <t>Tue, 20 Feb 2018 00:00:00 GMT</t>
  </si>
  <si>
    <t>Wed, 21 Feb 2018 00:00:00 GMT</t>
  </si>
  <si>
    <t>Thu, 22 Feb 2018 00:00:00 GMT</t>
  </si>
  <si>
    <t>Fri, 23 Feb 2018 00:00:00 GMT</t>
  </si>
  <si>
    <t>Mon, 26 Feb 2018 00:00:00 GMT</t>
  </si>
  <si>
    <t>Tue, 27 Feb 2018 00:00:00 GMT</t>
  </si>
  <si>
    <t>Wed, 28 Feb 2018 00:00:00 GMT</t>
  </si>
  <si>
    <t>Thu, 01 Mar 2018 00:00:00 GMT</t>
  </si>
  <si>
    <t>Fri, 02 Mar 2018 00:00:00 GMT</t>
  </si>
  <si>
    <t>Mon, 05 Mar 2018 00:00:00 GMT</t>
  </si>
  <si>
    <t>Tue, 06 Mar 2018 00:00:00 GMT</t>
  </si>
  <si>
    <t>Wed, 07 Mar 2018 00:00:00 GMT</t>
  </si>
  <si>
    <t>Thu, 08 Mar 2018 00:00:00 GMT</t>
  </si>
  <si>
    <t>Fri, 09 Mar 2018 00:00:00 GMT</t>
  </si>
  <si>
    <t>Mon, 12 Mar 2018 00:00:00 GMT</t>
  </si>
  <si>
    <t>Tue, 13 Mar 2018 00:00:00 GMT</t>
  </si>
  <si>
    <t>Wed, 14 Mar 2018 00:00:00 GMT</t>
  </si>
  <si>
    <t>Thu, 15 Mar 2018 00:00:00 GMT</t>
  </si>
  <si>
    <t>Fri, 16 Mar 2018 00:00:00 GMT</t>
  </si>
  <si>
    <t>Mon, 19 Mar 2018 00:00:00 GMT</t>
  </si>
  <si>
    <t>Tue, 20 Mar 2018 00:00:00 GMT</t>
  </si>
  <si>
    <t>Wed, 21 Mar 2018 00:00:00 GMT</t>
  </si>
  <si>
    <t>Thu, 22 Mar 2018 00:00:00 GMT</t>
  </si>
  <si>
    <t>Fri, 23 Mar 2018 00:00:00 GMT</t>
  </si>
  <si>
    <t>Mon, 26 Mar 2018 00:00:00 GMT</t>
  </si>
  <si>
    <t>Tue, 27 Mar 2018 00:00:00 GMT</t>
  </si>
  <si>
    <t>Wed, 28 Mar 2018 00:00:00 GMT</t>
  </si>
  <si>
    <t>Thu, 29 Mar 2018 00:00:00 GMT</t>
  </si>
  <si>
    <t>Mon, 02 Apr 2018 00:00:00 GMT</t>
  </si>
  <si>
    <t>Tue, 03 Apr 2018 00:00:00 GMT</t>
  </si>
  <si>
    <t>Wed, 04 Apr 2018 00:00:00 GMT</t>
  </si>
  <si>
    <t>Thu, 05 Apr 2018 00:00:00 GMT</t>
  </si>
  <si>
    <t>Fri, 06 Apr 2018 00:00:00 GMT</t>
  </si>
  <si>
    <t>Mon, 09 Apr 2018 00:00:00 GMT</t>
  </si>
  <si>
    <t>Tue, 10 Apr 2018 00:00:00 GMT</t>
  </si>
  <si>
    <t>Wed, 11 Apr 2018 00:00:00 GMT</t>
  </si>
  <si>
    <t>Thu, 12 Apr 2018 00:00:00 GMT</t>
  </si>
  <si>
    <t>Fri, 13 Apr 2018 00:00:00 GMT</t>
  </si>
  <si>
    <t>Mon, 16 Apr 2018 00:00:00 GMT</t>
  </si>
  <si>
    <t>Tue, 17 Apr 2018 00:00:00 GMT</t>
  </si>
  <si>
    <t>Wed, 18 Apr 2018 00:00:00 GMT</t>
  </si>
  <si>
    <t>Thu, 19 Apr 2018 00:00:00 GMT</t>
  </si>
  <si>
    <t>Fri, 20 Apr 2018 00:00:00 GMT</t>
  </si>
  <si>
    <t>Mon, 23 Apr 2018 00:00:00 GMT</t>
  </si>
  <si>
    <t>Tue, 24 Apr 2018 00:00:00 GMT</t>
  </si>
  <si>
    <t>Wed, 25 Apr 2018 00:00:00 GMT</t>
  </si>
  <si>
    <t>Thu, 26 Apr 2018 00:00:00 GMT</t>
  </si>
  <si>
    <t>Fri, 27 Apr 2018 00:00:00 GMT</t>
  </si>
  <si>
    <t>Mon, 30 Apr 2018 00:00:00 GMT</t>
  </si>
  <si>
    <t>Tue, 01 May 2018 00:00:00 GMT</t>
  </si>
  <si>
    <t>Wed, 02 May 2018 00:00:00 GMT</t>
  </si>
  <si>
    <t>Thu, 03 May 2018 00:00:00 GMT</t>
  </si>
  <si>
    <t>Fri, 04 May 2018 00:00:00 GMT</t>
  </si>
  <si>
    <t>Mon, 07 May 2018 00:00:00 GMT</t>
  </si>
  <si>
    <t>Tue, 08 May 2018 00:00:00 GMT</t>
  </si>
  <si>
    <t>Wed, 09 May 2018 00:00:00 GMT</t>
  </si>
  <si>
    <t>Thu, 10 May 2018 00:00:00 GMT</t>
  </si>
  <si>
    <t>Fri, 11 May 2018 00:00:00 GMT</t>
  </si>
  <si>
    <t>Mon, 14 May 2018 00:00:00 GMT</t>
  </si>
  <si>
    <t>Tue, 15 May 2018 00:00:00 GMT</t>
  </si>
  <si>
    <t>Wed, 16 May 2018 00:00:00 GMT</t>
  </si>
  <si>
    <t>Thu, 17 May 2018 00:00:00 GMT</t>
  </si>
  <si>
    <t>Fri, 18 May 2018 00:00:00 GMT</t>
  </si>
  <si>
    <t>Mon, 21 May 2018 00:00:00 GMT</t>
  </si>
  <si>
    <t>Tue, 22 May 2018 00:00:00 GMT</t>
  </si>
  <si>
    <t>Wed, 23 May 2018 00:00:00 GMT</t>
  </si>
  <si>
    <t>Thu, 24 May 2018 00:00:00 GMT</t>
  </si>
  <si>
    <t>Fri, 25 May 2018 00:00:00 GMT</t>
  </si>
  <si>
    <t>Tue, 29 May 2018 00:00:00 GMT</t>
  </si>
  <si>
    <t>Wed, 30 May 2018 00:00:00 GMT</t>
  </si>
  <si>
    <t>Thu, 31 May 2018 00:00:00 GMT</t>
  </si>
  <si>
    <t>Fri, 01 Jun 2018 00:00:00 GMT</t>
  </si>
  <si>
    <t>Mon, 04 Jun 2018 00:00:00 GMT</t>
  </si>
  <si>
    <t>Tue, 05 Jun 2018 00:00:00 GMT</t>
  </si>
  <si>
    <t>Wed, 06 Jun 2018 00:00:00 GMT</t>
  </si>
  <si>
    <t>Thu, 07 Jun 2018 00:00:00 GMT</t>
  </si>
  <si>
    <t>Fri, 08 Jun 2018 00:00:00 GMT</t>
  </si>
  <si>
    <t>Mon, 11 Jun 2018 00:00:00 GMT</t>
  </si>
  <si>
    <t>Tue, 12 Jun 2018 00:00:00 GMT</t>
  </si>
  <si>
    <t>Wed, 13 Jun 2018 00:00:00 GMT</t>
  </si>
  <si>
    <t>Thu, 14 Jun 2018 00:00:00 GMT</t>
  </si>
  <si>
    <t>Fri, 15 Jun 2018 00:00:00 GMT</t>
  </si>
  <si>
    <t>Mon, 18 Jun 2018 00:00:00 GMT</t>
  </si>
  <si>
    <t>Tue, 19 Jun 2018 00:00:00 GMT</t>
  </si>
  <si>
    <t>Wed, 20 Jun 2018 00:00:00 GMT</t>
  </si>
  <si>
    <t>Thu, 21 Jun 2018 00:00:00 GMT</t>
  </si>
  <si>
    <t>Fri, 22 Jun 2018 00:00:00 GMT</t>
  </si>
  <si>
    <t>Mon, 25 Jun 2018 00:00:00 GMT</t>
  </si>
  <si>
    <t>Tue, 26 Jun 2018 00:00:00 GMT</t>
  </si>
  <si>
    <t>Wed, 27 Jun 2018 00:00:00 GMT</t>
  </si>
  <si>
    <t>Thu, 28 Jun 2018 00:00:00 GMT</t>
  </si>
  <si>
    <t>Fri, 29 Jun 2018 00:00:00 GMT</t>
  </si>
  <si>
    <t>Mon, 02 Jul 2018 00:00:00 GMT</t>
  </si>
  <si>
    <t>Tue, 03 Jul 2018 00:00:00 GMT</t>
  </si>
  <si>
    <t>Thu, 05 Jul 2018 00:00:00 GMT</t>
  </si>
  <si>
    <t>Fri, 06 Jul 2018 00:00:00 GMT</t>
  </si>
  <si>
    <t>Mon, 09 Jul 2018 00:00:00 GMT</t>
  </si>
  <si>
    <t>Tue, 10 Jul 2018 00:00:00 GMT</t>
  </si>
  <si>
    <t>Wed, 11 Jul 2018 00:00:00 GMT</t>
  </si>
  <si>
    <t>Thu, 12 Jul 2018 00:00:00 GMT</t>
  </si>
  <si>
    <t>Fri, 13 Jul 2018 00:00:00 GMT</t>
  </si>
  <si>
    <t>Mon, 16 Jul 2018 00:00:00 GMT</t>
  </si>
  <si>
    <t>Tue, 17 Jul 2018 00:00:00 GMT</t>
  </si>
  <si>
    <t>Wed, 18 Jul 2018 00:00:00 GMT</t>
  </si>
  <si>
    <t>Thu, 19 Jul 2018 00:00:00 GMT</t>
  </si>
  <si>
    <t>Fri, 20 Jul 2018 00:00:00 GMT</t>
  </si>
  <si>
    <t>Mon, 23 Jul 2018 00:00:00 GMT</t>
  </si>
  <si>
    <t>Tue, 24 Jul 2018 00:00:00 GMT</t>
  </si>
  <si>
    <t>Wed, 25 Jul 2018 00:00:00 GMT</t>
  </si>
  <si>
    <t>Thu, 26 Jul 2018 00:00:00 GMT</t>
  </si>
  <si>
    <t>Fri, 27 Jul 2018 00:00:00 GMT</t>
  </si>
  <si>
    <t>Mon, 30 Jul 2018 00:00:00 GMT</t>
  </si>
  <si>
    <t>Tue, 31 Jul 2018 00:00:00 GMT</t>
  </si>
  <si>
    <t>Wed, 01 Aug 2018 00:00:00 GMT</t>
  </si>
  <si>
    <t>Thu, 02 Aug 2018 00:00:00 GMT</t>
  </si>
  <si>
    <t>Fri, 03 Aug 2018 00:00:00 GMT</t>
  </si>
  <si>
    <t>Mon, 06 Aug 2018 00:00:00 GMT</t>
  </si>
  <si>
    <t>Tue, 07 Aug 2018 00:00:00 GMT</t>
  </si>
  <si>
    <t>Wed, 08 Aug 2018 00:00:00 GMT</t>
  </si>
  <si>
    <t>Thu, 09 Aug 2018 00:00:00 GMT</t>
  </si>
  <si>
    <t>Fri, 10 Aug 2018 00:00:00 GMT</t>
  </si>
  <si>
    <t>Mon, 13 Aug 2018 00:00:00 GMT</t>
  </si>
  <si>
    <t>Tue, 14 Aug 2018 00:00:00 GMT</t>
  </si>
  <si>
    <t>Wed, 15 Aug 2018 00:00:00 GMT</t>
  </si>
  <si>
    <t>Thu, 16 Aug 2018 00:00:00 GMT</t>
  </si>
  <si>
    <t>Fri, 17 Aug 2018 00:00:00 GMT</t>
  </si>
  <si>
    <t>Mon, 20 Aug 2018 00:00:00 GMT</t>
  </si>
  <si>
    <t>Tue, 21 Aug 2018 00:00:00 GMT</t>
  </si>
  <si>
    <t>Wed, 22 Aug 2018 00:00:00 GMT</t>
  </si>
  <si>
    <t>Thu, 23 Aug 2018 00:00:00 GMT</t>
  </si>
  <si>
    <t>Fri, 24 Aug 2018 00:00:00 GMT</t>
  </si>
  <si>
    <t>Mon, 27 Aug 2018 00:00:00 GMT</t>
  </si>
  <si>
    <t>Tue, 28 Aug 2018 00:00:00 GMT</t>
  </si>
  <si>
    <t>Wed, 29 Aug 2018 00:00:00 GMT</t>
  </si>
  <si>
    <t>Thu, 30 Aug 2018 00:00:00 GMT</t>
  </si>
  <si>
    <t>Fri, 31 Aug 2018 00:00:00 GMT</t>
  </si>
  <si>
    <t>Tue, 04 Sep 2018 00:00:00 GMT</t>
  </si>
  <si>
    <t>Wed, 05 Sep 2018 00:00:00 GMT</t>
  </si>
  <si>
    <t>Thu, 06 Sep 2018 00:00:00 GMT</t>
  </si>
  <si>
    <t>Fri, 07 Sep 2018 00:00:00 GMT</t>
  </si>
  <si>
    <t>Mon, 10 Sep 2018 00:00:00 GMT</t>
  </si>
  <si>
    <t>Tue, 11 Sep 2018 00:00:00 GMT</t>
  </si>
  <si>
    <t>Wed, 12 Sep 2018 00:00:00 GMT</t>
  </si>
  <si>
    <t>Thu, 13 Sep 2018 00:00:00 GMT</t>
  </si>
  <si>
    <t>Fri, 14 Sep 2018 00:00:00 GMT</t>
  </si>
  <si>
    <t>Mon, 17 Sep 2018 00:00:00 GMT</t>
  </si>
  <si>
    <t>Tue, 18 Sep 2018 00:00:00 GMT</t>
  </si>
  <si>
    <t>Wed, 19 Sep 2018 00:00:00 GMT</t>
  </si>
  <si>
    <t>Thu, 20 Sep 2018 00:00:00 GMT</t>
  </si>
  <si>
    <t>Fri, 21 Sep 2018 00:00:00 GMT</t>
  </si>
  <si>
    <t>Mon, 24 Sep 2018 00:00:00 GMT</t>
  </si>
  <si>
    <t>Tue, 25 Sep 2018 00:00:00 GMT</t>
  </si>
  <si>
    <t>Wed, 26 Sep 2018 00:00:00 GMT</t>
  </si>
  <si>
    <t>Thu, 27 Sep 2018 00:00:00 GMT</t>
  </si>
  <si>
    <t>Fri, 28 Sep 2018 00:00:00 GMT</t>
  </si>
  <si>
    <t>Mon, 01 Oct 2018 00:00:00 GMT</t>
  </si>
  <si>
    <t>Tue, 02 Oct 2018 00:00:00 GMT</t>
  </si>
  <si>
    <t>Wed, 03 Oct 2018 00:00:00 GMT</t>
  </si>
  <si>
    <t>Thu, 04 Oct 2018 00:00:00 GMT</t>
  </si>
  <si>
    <t>Fri, 05 Oct 2018 00:00:00 GMT</t>
  </si>
  <si>
    <t>Mon, 08 Oct 2018 00:00:00 GMT</t>
  </si>
  <si>
    <t>Tue, 09 Oct 2018 00:00:00 GMT</t>
  </si>
  <si>
    <t>Wed, 10 Oct 2018 00:00:00 GMT</t>
  </si>
  <si>
    <t>Thu, 11 Oct 2018 00:00:00 GMT</t>
  </si>
  <si>
    <t>Fri, 12 Oct 2018 00:00:00 GMT</t>
  </si>
  <si>
    <t>Mon, 15 Oct 2018 00:00:00 GMT</t>
  </si>
  <si>
    <t>Tue, 16 Oct 2018 00:00:00 GMT</t>
  </si>
  <si>
    <t>Wed, 17 Oct 2018 00:00:00 GMT</t>
  </si>
  <si>
    <t>Thu, 18 Oct 2018 00:00:00 GMT</t>
  </si>
  <si>
    <t>Fri, 19 Oct 2018 00:00:00 GMT</t>
  </si>
  <si>
    <t>Mon, 22 Oct 2018 00:00:00 GMT</t>
  </si>
  <si>
    <t>Tue, 23 Oct 2018 00:00:00 GMT</t>
  </si>
  <si>
    <t>Wed, 24 Oct 2018 00:00:00 GMT</t>
  </si>
  <si>
    <t>Thu, 25 Oct 2018 00:00:00 GMT</t>
  </si>
  <si>
    <t>Fri, 26 Oct 2018 00:00:00 GMT</t>
  </si>
  <si>
    <t>Mon, 29 Oct 2018 00:00:00 GMT</t>
  </si>
  <si>
    <t>Tue, 30 Oct 2018 00:00:00 GMT</t>
  </si>
  <si>
    <t>Wed, 31 Oct 2018 00:00:00 GMT</t>
  </si>
  <si>
    <t>Thu, 01 Nov 2018 00:00:00 GMT</t>
  </si>
  <si>
    <t>Fri, 02 Nov 2018 00:00:00 GMT</t>
  </si>
  <si>
    <t>Mon, 05 Nov 2018 00:00:00 GMT</t>
  </si>
  <si>
    <t>Tue, 06 Nov 2018 00:00:00 GMT</t>
  </si>
  <si>
    <t>Wed, 07 Nov 2018 00:00:00 GMT</t>
  </si>
  <si>
    <t>Thu, 08 Nov 2018 00:00:00 GMT</t>
  </si>
  <si>
    <t>Fri, 09 Nov 2018 00:00:00 GMT</t>
  </si>
  <si>
    <t>Mon, 12 Nov 2018 00:00:00 GMT</t>
  </si>
  <si>
    <t>Tue, 13 Nov 2018 00:00:00 GMT</t>
  </si>
  <si>
    <t>Wed, 14 Nov 2018 00:00:00 GMT</t>
  </si>
  <si>
    <t>Thu, 15 Nov 2018 00:00:00 GMT</t>
  </si>
  <si>
    <t>Fri, 16 Nov 2018 00:00:00 GMT</t>
  </si>
  <si>
    <t>Mon, 19 Nov 2018 00:00:00 GMT</t>
  </si>
  <si>
    <t>Tue, 20 Nov 2018 00:00:00 GMT</t>
  </si>
  <si>
    <t>Wed, 21 Nov 2018 00:00:00 GMT</t>
  </si>
  <si>
    <t>Fri, 23 Nov 2018 00:00:00 GMT</t>
  </si>
  <si>
    <t>Mon, 26 Nov 2018 00:00:00 GMT</t>
  </si>
  <si>
    <t>Tue, 27 Nov 2018 00:00:00 GMT</t>
  </si>
  <si>
    <t>Wed, 28 Nov 2018 00:00:00 GMT</t>
  </si>
  <si>
    <t>Thu, 29 Nov 2018 00:00:00 GMT</t>
  </si>
  <si>
    <t>Fri, 30 Nov 2018 00:00:00 GMT</t>
  </si>
  <si>
    <t>Mon, 03 Dec 2018 00:00:00 GMT</t>
  </si>
  <si>
    <t>Tue, 04 Dec 2018 00:00:00 GMT</t>
  </si>
  <si>
    <t>Thu, 06 Dec 2018 00:00:00 GMT</t>
  </si>
  <si>
    <t>Fri, 07 Dec 2018 00:00:00 GMT</t>
  </si>
  <si>
    <t>Mon, 10 Dec 2018 00:00:00 GMT</t>
  </si>
  <si>
    <t>Tue, 11 Dec 2018 00:00:00 GMT</t>
  </si>
  <si>
    <t>Wed, 12 Dec 2018 00:00:00 GMT</t>
  </si>
  <si>
    <t>Thu, 13 Dec 2018 00:00:00 GMT</t>
  </si>
  <si>
    <t>Fri, 14 Dec 2018 00:00:00 GMT</t>
  </si>
  <si>
    <t>Mon, 17 Dec 2018 00:00:00 GMT</t>
  </si>
  <si>
    <t>Tue, 18 Dec 2018 00:00:00 GMT</t>
  </si>
  <si>
    <t>Wed, 19 Dec 2018 00:00:00 GMT</t>
  </si>
  <si>
    <t>Thu, 20 Dec 2018 00:00:00 GMT</t>
  </si>
  <si>
    <t>Fri, 21 Dec 2018 00:00:00 GMT</t>
  </si>
  <si>
    <t>Mon, 24 Dec 2018 00:00:00 GMT</t>
  </si>
  <si>
    <t>Wed, 26 Dec 2018 00:00:00 GMT</t>
  </si>
  <si>
    <t>Thu, 27 Dec 2018 00:00:00 GMT</t>
  </si>
  <si>
    <t>Fri, 28 Dec 2018 00:00:00 GMT</t>
  </si>
  <si>
    <t>Mon, 31 Dec 2018 00:00:00 GMT</t>
  </si>
  <si>
    <t>Wed, 02 Jan 2019 00:00:00 GMT</t>
  </si>
  <si>
    <t>Thu, 03 Jan 2019 00:00:00 GMT</t>
  </si>
  <si>
    <t>Fri, 04 Jan 2019 00:00:00 GMT</t>
  </si>
  <si>
    <t>Mon, 07 Jan 2019 00:00:00 GMT</t>
  </si>
  <si>
    <t>Tue, 08 Jan 2019 00:00:00 GMT</t>
  </si>
  <si>
    <t>Wed, 09 Jan 2019 00:00:00 GMT</t>
  </si>
  <si>
    <t>Thu, 10 Jan 2019 00:00:00 GMT</t>
  </si>
  <si>
    <t>Fri, 11 Jan 2019 00:00:00 GMT</t>
  </si>
  <si>
    <t>Mon, 14 Jan 2019 00:00:00 GMT</t>
  </si>
  <si>
    <t>Tue, 15 Jan 2019 00:00:00 GMT</t>
  </si>
  <si>
    <t>Wed, 16 Jan 2019 00:00:00 GMT</t>
  </si>
  <si>
    <t>Thu, 17 Jan 2019 00:00:00 GMT</t>
  </si>
  <si>
    <t>Fri, 18 Jan 2019 00:00:00 GMT</t>
  </si>
  <si>
    <t>Tue, 22 Jan 2019 00:00:00 GMT</t>
  </si>
  <si>
    <t>Wed, 23 Jan 2019 00:00:00 GMT</t>
  </si>
  <si>
    <t>Thu, 24 Jan 2019 00:00:00 GMT</t>
  </si>
  <si>
    <t>Fri, 25 Jan 2019 00:00:00 GMT</t>
  </si>
  <si>
    <t>Mon, 28 Jan 2019 00:00:00 GMT</t>
  </si>
  <si>
    <t>Tue, 29 Jan 2019 00:00:00 GMT</t>
  </si>
  <si>
    <t>Wed, 30 Jan 2019 00:00:00 GMT</t>
  </si>
  <si>
    <t>Thu, 31 Jan 2019 00:00:00 GMT</t>
  </si>
  <si>
    <t>Fri, 01 Feb 2019 00:00:00 GMT</t>
  </si>
  <si>
    <t>Mon, 04 Feb 2019 00:00:00 GMT</t>
  </si>
  <si>
    <t>Tue, 05 Feb 2019 00:00:00 GMT</t>
  </si>
  <si>
    <t>Wed, 06 Feb 2019 00:00:00 GMT</t>
  </si>
  <si>
    <t>Thu, 07 Feb 2019 00:00:00 GMT</t>
  </si>
  <si>
    <t>Fri, 08 Feb 2019 00:00:00 GMT</t>
  </si>
  <si>
    <t>Mon, 11 Feb 2019 00:00:00 GMT</t>
  </si>
  <si>
    <t>Tue, 12 Feb 2019 00:00:00 GMT</t>
  </si>
  <si>
    <t>Wed, 13 Feb 2019 00:00:00 GMT</t>
  </si>
  <si>
    <t>Thu, 14 Feb 2019 00:00:00 GMT</t>
  </si>
  <si>
    <t>Fri, 15 Feb 2019 00:00:00 GMT</t>
  </si>
  <si>
    <t>Tue, 19 Feb 2019 00:00:00 GMT</t>
  </si>
  <si>
    <t>Wed, 20 Feb 2019 00:00:00 GMT</t>
  </si>
  <si>
    <t>Thu, 21 Feb 2019 00:00:00 GMT</t>
  </si>
  <si>
    <t>Fri, 22 Feb 2019 00:00:00 GMT</t>
  </si>
  <si>
    <t>Mon, 25 Feb 2019 00:00:00 GMT</t>
  </si>
  <si>
    <t>Tue, 26 Feb 2019 00:00:00 GMT</t>
  </si>
  <si>
    <t>Wed, 27 Feb 2019 00:00:00 GMT</t>
  </si>
  <si>
    <t>Thu, 28 Feb 2019 00:00:00 GMT</t>
  </si>
  <si>
    <t>Fri, 01 Mar 2019 00:00:00 GMT</t>
  </si>
  <si>
    <t>Mon, 04 Mar 2019 00:00:00 GMT</t>
  </si>
  <si>
    <t>Tue, 05 Mar 2019 00:00:00 GMT</t>
  </si>
  <si>
    <t>Wed, 06 Mar 2019 00:00:00 GMT</t>
  </si>
  <si>
    <t>Thu, 07 Mar 2019 00:00:00 GMT</t>
  </si>
  <si>
    <t>Fri, 08 Mar 2019 00:00:00 GMT</t>
  </si>
  <si>
    <t>Mon, 11 Mar 2019 00:00:00 GMT</t>
  </si>
  <si>
    <t>Tue, 12 Mar 2019 00:00:00 GMT</t>
  </si>
  <si>
    <t>Wed, 13 Mar 2019 00:00:00 GMT</t>
  </si>
  <si>
    <t>Thu, 14 Mar 2019 00:00:00 GMT</t>
  </si>
  <si>
    <t>Fri, 15 Mar 2019 00:00:00 GMT</t>
  </si>
  <si>
    <t>Mon, 18 Mar 2019 00:00:00 GMT</t>
  </si>
  <si>
    <t>Tue, 19 Mar 2019 00:00:00 GMT</t>
  </si>
  <si>
    <t>Wed, 20 Mar 2019 00:00:00 GMT</t>
  </si>
  <si>
    <t>Thu, 21 Mar 2019 00:00:00 GMT</t>
  </si>
  <si>
    <t>Fri, 22 Mar 2019 00:00:00 GMT</t>
  </si>
  <si>
    <t>Mon, 25 Mar 2019 00:00:00 GMT</t>
  </si>
  <si>
    <t>Tue, 26 Mar 2019 00:00:00 GMT</t>
  </si>
  <si>
    <t>Wed, 27 Mar 2019 00:00:00 GMT</t>
  </si>
  <si>
    <t>Thu, 28 Mar 2019 00:00:00 GMT</t>
  </si>
  <si>
    <t>Fri, 29 Mar 2019 00:00:00 GMT</t>
  </si>
  <si>
    <t>Mon, 01 Apr 2019 00:00:00 GMT</t>
  </si>
  <si>
    <t>Tue, 02 Apr 2019 00:00:00 GMT</t>
  </si>
  <si>
    <t>Wed, 03 Apr 2019 00:00:00 GMT</t>
  </si>
  <si>
    <t>Thu, 04 Apr 2019 00:00:00 GMT</t>
  </si>
  <si>
    <t>Fri, 05 Apr 2019 00:00:00 GMT</t>
  </si>
  <si>
    <t>Mon, 08 Apr 2019 00:00:00 GMT</t>
  </si>
  <si>
    <t>Tue, 09 Apr 2019 00:00:00 GMT</t>
  </si>
  <si>
    <t>Wed, 10 Apr 2019 00:00:00 GMT</t>
  </si>
  <si>
    <t>Thu, 11 Apr 2019 00:00:00 GMT</t>
  </si>
  <si>
    <t>Fri, 12 Apr 2019 00:00:00 GMT</t>
  </si>
  <si>
    <t>Mon, 15 Apr 2019 00:00:00 GMT</t>
  </si>
  <si>
    <t>Tue, 16 Apr 2019 00:00:00 GMT</t>
  </si>
  <si>
    <t>Wed, 17 Apr 2019 00:00:00 GMT</t>
  </si>
  <si>
    <t>Thu, 18 Apr 2019 00:00:00 GMT</t>
  </si>
  <si>
    <t>Mon, 22 Apr 2019 00:00:00 GMT</t>
  </si>
  <si>
    <t>Tue, 23 Apr 2019 00:00:00 GMT</t>
  </si>
  <si>
    <t>Wed, 24 Apr 2019 00:00:00 GMT</t>
  </si>
  <si>
    <t>Thu, 25 Apr 2019 00:00:00 GMT</t>
  </si>
  <si>
    <t>Fri, 26 Apr 2019 00:00:00 GMT</t>
  </si>
  <si>
    <t>Mon, 29 Apr 2019 00:00:00 GMT</t>
  </si>
  <si>
    <t>Tue, 30 Apr 2019 00:00:00 GMT</t>
  </si>
  <si>
    <t>Wed, 01 May 2019 00:00:00 GMT</t>
  </si>
  <si>
    <t>Thu, 02 May 2019 00:00:00 GMT</t>
  </si>
  <si>
    <t>Fri, 03 May 2019 00:00:00 GMT</t>
  </si>
  <si>
    <t>Mon, 06 May 2019 00:00:00 GMT</t>
  </si>
  <si>
    <t>Tue, 07 May 2019 00:00:00 GMT</t>
  </si>
  <si>
    <t>Wed, 08 May 2019 00:00:00 GMT</t>
  </si>
  <si>
    <t>Thu, 09 May 2019 00:00:00 GMT</t>
  </si>
  <si>
    <t>Fri, 10 May 2019 00:00:00 GMT</t>
  </si>
  <si>
    <t>Mon, 13 May 2019 00:00:00 GMT</t>
  </si>
  <si>
    <t>Tue, 14 May 2019 00:00:00 GMT</t>
  </si>
  <si>
    <t>Wed, 15 May 2019 00:00:00 GMT</t>
  </si>
  <si>
    <t>Thu, 16 May 2019 00:00:00 GMT</t>
  </si>
  <si>
    <t>Fri, 17 May 2019 00:00:00 GMT</t>
  </si>
  <si>
    <t>Mon, 20 May 2019 00:00:00 GMT</t>
  </si>
  <si>
    <t>Tue, 21 May 2019 00:00:00 GMT</t>
  </si>
  <si>
    <t>Wed, 22 May 2019 00:00:00 GMT</t>
  </si>
  <si>
    <t>Thu, 23 May 2019 00:00:00 GMT</t>
  </si>
  <si>
    <t>Fri, 24 May 2019 00:00:00 GMT</t>
  </si>
  <si>
    <t>Tue, 28 May 2019 00:00:00 GMT</t>
  </si>
  <si>
    <t>Wed, 29 May 2019 00:00:00 GMT</t>
  </si>
  <si>
    <t>Thu, 30 May 2019 00:00:00 GMT</t>
  </si>
  <si>
    <t>Fri, 31 May 2019 00:00:00 GMT</t>
  </si>
  <si>
    <t>Mon, 03 Jun 2019 00:00:00 GMT</t>
  </si>
  <si>
    <t>Tue, 04 Jun 2019 00:00:00 GMT</t>
  </si>
  <si>
    <t>Wed, 05 Jun 2019 00:00:00 GMT</t>
  </si>
  <si>
    <t>Thu, 06 Jun 2019 00:00:00 GMT</t>
  </si>
  <si>
    <t>Fri, 07 Jun 2019 00:00:00 GMT</t>
  </si>
  <si>
    <t>Mon, 10 Jun 2019 00:00:00 GMT</t>
  </si>
  <si>
    <t>Tue, 11 Jun 2019 00:00:00 GMT</t>
  </si>
  <si>
    <t>Wed, 12 Jun 2019 00:00:00 GMT</t>
  </si>
  <si>
    <t>Thu, 13 Jun 2019 00:00:00 GMT</t>
  </si>
  <si>
    <t>Fri, 14 Jun 2019 00:00:00 GMT</t>
  </si>
  <si>
    <t>Mon, 17 Jun 2019 00:00:00 GMT</t>
  </si>
  <si>
    <t>Tue, 18 Jun 2019 00:00:00 GMT</t>
  </si>
  <si>
    <t>Wed, 19 Jun 2019 00:00:00 GMT</t>
  </si>
  <si>
    <t>Thu, 20 Jun 2019 00:00:00 GMT</t>
  </si>
  <si>
    <t>Fri, 21 Jun 2019 00:00:00 GMT</t>
  </si>
  <si>
    <t>Mon, 24 Jun 2019 00:00:00 GMT</t>
  </si>
  <si>
    <t>Tue, 25 Jun 2019 00:00:00 GMT</t>
  </si>
  <si>
    <t>Wed, 26 Jun 2019 00:00:00 GMT</t>
  </si>
  <si>
    <t>Thu, 27 Jun 2019 00:00:00 GMT</t>
  </si>
  <si>
    <t>Fri, 28 Jun 2019 00:00:00 GMT</t>
  </si>
  <si>
    <t>Mon, 01 Jul 2019 00:00:00 GMT</t>
  </si>
  <si>
    <t>Tue, 02 Jul 2019 00:00:00 GMT</t>
  </si>
  <si>
    <t>Wed, 03 Jul 2019 00:00:00 GMT</t>
  </si>
  <si>
    <t>Fri, 05 Jul 2019 00:00:00 GMT</t>
  </si>
  <si>
    <t>Mon, 08 Jul 2019 00:00:00 GMT</t>
  </si>
  <si>
    <t>Tue, 09 Jul 2019 00:00:00 GMT</t>
  </si>
  <si>
    <t>Wed, 10 Jul 2019 00:00:00 GMT</t>
  </si>
  <si>
    <t>Thu, 11 Jul 2019 00:00:00 GMT</t>
  </si>
  <si>
    <t>Fri, 12 Jul 2019 00:00:00 GMT</t>
  </si>
  <si>
    <t>Mon, 15 Jul 2019 00:00:00 GMT</t>
  </si>
  <si>
    <t>Tue, 16 Jul 2019 00:00:00 GMT</t>
  </si>
  <si>
    <t>Wed, 17 Jul 2019 00:00:00 GMT</t>
  </si>
  <si>
    <t>Thu, 18 Jul 2019 00:00:00 GMT</t>
  </si>
  <si>
    <t>Fri, 19 Jul 2019 00:00:00 GMT</t>
  </si>
  <si>
    <t>Mon, 22 Jul 2019 00:00:00 GMT</t>
  </si>
  <si>
    <t>Tue, 23 Jul 2019 00:00:00 GMT</t>
  </si>
  <si>
    <t>Wed, 24 Jul 2019 00:00:00 GMT</t>
  </si>
  <si>
    <t>Thu, 25 Jul 2019 00:00:00 GMT</t>
  </si>
  <si>
    <t>Fri, 26 Jul 2019 00:00:00 GMT</t>
  </si>
  <si>
    <t>Mon, 29 Jul 2019 00:00:00 GMT</t>
  </si>
  <si>
    <t>Tue, 30 Jul 2019 00:00:00 GMT</t>
  </si>
  <si>
    <t>Wed, 31 Jul 2019 00:00:00 GMT</t>
  </si>
  <si>
    <t>Thu, 01 Aug 2019 00:00:00 GMT</t>
  </si>
  <si>
    <t>Fri, 02 Aug 2019 00:00:00 GMT</t>
  </si>
  <si>
    <t>Mon, 05 Aug 2019 00:00:00 GMT</t>
  </si>
  <si>
    <t>Tue, 06 Aug 2019 00:00:00 GMT</t>
  </si>
  <si>
    <t>Wed, 07 Aug 2019 00:00:00 GMT</t>
  </si>
  <si>
    <t>Thu, 08 Aug 2019 00:00:00 GMT</t>
  </si>
  <si>
    <t>Fri, 09 Aug 2019 00:00:00 GMT</t>
  </si>
  <si>
    <t>Mon, 12 Aug 2019 00:00:00 GMT</t>
  </si>
  <si>
    <t>Tue, 13 Aug 2019 00:00:00 GMT</t>
  </si>
  <si>
    <t>Wed, 14 Aug 2019 00:00:00 GMT</t>
  </si>
  <si>
    <t>Thu, 15 Aug 2019 00:00:00 GMT</t>
  </si>
  <si>
    <t>Fri, 16 Aug 2019 00:00:00 GMT</t>
  </si>
  <si>
    <t>Mon, 19 Aug 2019 00:00:00 GMT</t>
  </si>
  <si>
    <t>Tue, 20 Aug 2019 00:00:00 GMT</t>
  </si>
  <si>
    <t>Wed, 21 Aug 2019 00:00:00 GMT</t>
  </si>
  <si>
    <t>Thu, 22 Aug 2019 00:00:00 GMT</t>
  </si>
  <si>
    <t>Fri, 23 Aug 2019 00:00:00 GMT</t>
  </si>
  <si>
    <t>Mon, 26 Aug 2019 00:00:00 GMT</t>
  </si>
  <si>
    <t>Tue, 27 Aug 2019 00:00:00 GMT</t>
  </si>
  <si>
    <t>Wed, 28 Aug 2019 00:00:00 GMT</t>
  </si>
  <si>
    <t>Thu, 29 Aug 2019 00:00:00 GMT</t>
  </si>
  <si>
    <t>Fri, 30 Aug 2019 00:00:00 GMT</t>
  </si>
  <si>
    <t>Tue, 03 Sep 2019 00:00:00 GMT</t>
  </si>
  <si>
    <t>Wed, 04 Sep 2019 00:00:00 GMT</t>
  </si>
  <si>
    <t>Thu, 05 Sep 2019 00:00:00 GMT</t>
  </si>
  <si>
    <t>Fri, 06 Sep 2019 00:00:00 GMT</t>
  </si>
  <si>
    <t>Mon, 09 Sep 2019 00:00:00 GMT</t>
  </si>
  <si>
    <t>Tue, 10 Sep 2019 00:00:00 GMT</t>
  </si>
  <si>
    <t>Wed, 11 Sep 2019 00:00:00 GMT</t>
  </si>
  <si>
    <t>Thu, 12 Sep 2019 00:00:00 GMT</t>
  </si>
  <si>
    <t>Fri, 13 Sep 2019 00:00:00 GMT</t>
  </si>
  <si>
    <t>Mon, 16 Sep 2019 00:00:00 GMT</t>
  </si>
  <si>
    <t>Tue, 17 Sep 2019 00:00:00 GMT</t>
  </si>
  <si>
    <t>Wed, 18 Sep 2019 00:00:00 GMT</t>
  </si>
  <si>
    <t>Thu, 19 Sep 2019 00:00:00 GMT</t>
  </si>
  <si>
    <t>Fri, 20 Sep 2019 00:00:00 GMT</t>
  </si>
  <si>
    <t>Mon, 23 Sep 2019 00:00:00 GMT</t>
  </si>
  <si>
    <t>Tue, 24 Sep 2019 00:00:00 GMT</t>
  </si>
  <si>
    <t>Wed, 25 Sep 2019 00:00:00 GMT</t>
  </si>
  <si>
    <t>Thu, 26 Sep 2019 00:00:00 GMT</t>
  </si>
  <si>
    <t>Fri, 27 Sep 2019 00:00:00 GMT</t>
  </si>
  <si>
    <t>Mon, 30 Sep 2019 00:00:00 GMT</t>
  </si>
  <si>
    <t>Tue, 01 Oct 2019 00:00:00 GMT</t>
  </si>
  <si>
    <t>Wed, 02 Oct 2019 00:00:00 GMT</t>
  </si>
  <si>
    <t>Thu, 03 Oct 2019 00:00:00 GMT</t>
  </si>
  <si>
    <t>Fri, 04 Oct 2019 00:00:00 GMT</t>
  </si>
  <si>
    <t>Mon, 07 Oct 2019 00:00:00 GMT</t>
  </si>
  <si>
    <t>Tue, 08 Oct 2019 00:00:00 GMT</t>
  </si>
  <si>
    <t>Wed, 09 Oct 2019 00:00:00 GMT</t>
  </si>
  <si>
    <t>Thu, 10 Oct 2019 00:00:00 GMT</t>
  </si>
  <si>
    <t>Fri, 11 Oct 2019 00:00:00 GMT</t>
  </si>
  <si>
    <t>Mon, 14 Oct 2019 00:00:00 GMT</t>
  </si>
  <si>
    <t>Tue, 15 Oct 2019 00:00:00 GMT</t>
  </si>
  <si>
    <t>Wed, 16 Oct 2019 00:00:00 GMT</t>
  </si>
  <si>
    <t>Thu, 17 Oct 2019 00:00:00 GMT</t>
  </si>
  <si>
    <t>Fri, 18 Oct 2019 00:00:00 GMT</t>
  </si>
  <si>
    <t>Mon, 21 Oct 2019 00:00:00 GMT</t>
  </si>
  <si>
    <t>Tue, 22 Oct 2019 00:00:00 GMT</t>
  </si>
  <si>
    <t>Wed, 23 Oct 2019 00:00:00 GMT</t>
  </si>
  <si>
    <t>Thu, 24 Oct 2019 00:00:00 GMT</t>
  </si>
  <si>
    <t>Fri, 25 Oct 2019 00:00:00 GMT</t>
  </si>
  <si>
    <t>Mon, 28 Oct 2019 00:00:00 GMT</t>
  </si>
  <si>
    <t>Tue, 29 Oct 2019 00:00:00 GMT</t>
  </si>
  <si>
    <t>Wed, 30 Oct 2019 00:00:00 GMT</t>
  </si>
  <si>
    <t>Thu, 31 Oct 2019 00:00:00 GMT</t>
  </si>
  <si>
    <t>Fri, 01 Nov 2019 00:00:00 GMT</t>
  </si>
  <si>
    <t>Mon, 04 Nov 2019 00:00:00 GMT</t>
  </si>
  <si>
    <t>Tue, 05 Nov 2019 00:00:00 GMT</t>
  </si>
  <si>
    <t>Wed, 06 Nov 2019 00:00:00 GMT</t>
  </si>
  <si>
    <t>Thu, 07 Nov 2019 00:00:00 GMT</t>
  </si>
  <si>
    <t>Fri, 08 Nov 2019 00:00:00 GMT</t>
  </si>
  <si>
    <t>Mon, 11 Nov 2019 00:00:00 GMT</t>
  </si>
  <si>
    <t>Tue, 12 Nov 2019 00:00:00 GMT</t>
  </si>
  <si>
    <t>Wed, 13 Nov 2019 00:00:00 GMT</t>
  </si>
  <si>
    <t>Thu, 14 Nov 2019 00:00:00 GMT</t>
  </si>
  <si>
    <t>Fri, 15 Nov 2019 00:00:00 GMT</t>
  </si>
  <si>
    <t>Mon, 18 Nov 2019 00:00:00 GMT</t>
  </si>
  <si>
    <t>Tue, 19 Nov 2019 00:00:00 GMT</t>
  </si>
  <si>
    <t>Wed, 20 Nov 2019 00:00:00 GMT</t>
  </si>
  <si>
    <t>Thu, 21 Nov 2019 00:00:00 GMT</t>
  </si>
  <si>
    <t>Fri, 22 Nov 2019 00:00:00 GMT</t>
  </si>
  <si>
    <t>Mon, 25 Nov 2019 00:00:00 GMT</t>
  </si>
  <si>
    <t>Tue, 26 Nov 2019 00:00:00 GMT</t>
  </si>
  <si>
    <t>Wed, 27 Nov 2019 00:00:00 GMT</t>
  </si>
  <si>
    <t>Fri, 29 Nov 2019 00:00:00 GMT</t>
  </si>
  <si>
    <t>Mon, 02 Dec 2019 00:00:00 GMT</t>
  </si>
  <si>
    <t>Tue, 03 Dec 2019 00:00:00 GMT</t>
  </si>
  <si>
    <t>Wed, 04 Dec 2019 00:00:00 GMT</t>
  </si>
  <si>
    <t>Thu, 05 Dec 2019 00:00:00 GMT</t>
  </si>
  <si>
    <t>Fri, 06 Dec 2019 00:00:00 GMT</t>
  </si>
  <si>
    <t>Mon, 09 Dec 2019 00:00:00 GMT</t>
  </si>
  <si>
    <t>Tue, 10 Dec 2019 00:00:00 GMT</t>
  </si>
  <si>
    <t>Wed, 11 Dec 2019 00:00:00 GMT</t>
  </si>
  <si>
    <t>Thu, 12 Dec 2019 00:00:00 GMT</t>
  </si>
  <si>
    <t>Fri, 13 Dec 2019 00:00:00 GMT</t>
  </si>
  <si>
    <t>Mon, 16 Dec 2019 00:00:00 GMT</t>
  </si>
  <si>
    <t>Tue, 17 Dec 2019 00:00:00 GMT</t>
  </si>
  <si>
    <t>Wed, 18 Dec 2019 00:00:00 GMT</t>
  </si>
  <si>
    <t>Thu, 19 Dec 2019 00:00:00 GMT</t>
  </si>
  <si>
    <t>Fri, 20 Dec 2019 00:00:00 GMT</t>
  </si>
  <si>
    <t>Mon, 23 Dec 2019 00:00:00 GMT</t>
  </si>
  <si>
    <t>Tue, 24 Dec 2019 00:00:00 GMT</t>
  </si>
  <si>
    <t>Thu, 26 Dec 2019 00:00:00 GMT</t>
  </si>
  <si>
    <t>Fri, 27 Dec 2019 00:00:00 GMT</t>
  </si>
  <si>
    <t>Mon, 30 Dec 2019 00:00:00 GMT</t>
  </si>
  <si>
    <t>Tue, 31 Dec 2019 00:00:00 GMT</t>
  </si>
  <si>
    <t>Thu, 02 Jan 2020 00:00:00 GMT</t>
  </si>
  <si>
    <t>Fri, 03 Jan 2020 00:00:00 GMT</t>
  </si>
  <si>
    <t>Mon, 06 Jan 2020 00:00:00 GMT</t>
  </si>
  <si>
    <t>Tue, 07 Jan 2020 00:00:00 GMT</t>
  </si>
  <si>
    <t>Wed, 08 Jan 2020 00:00:00 GMT</t>
  </si>
  <si>
    <t>Thu, 09 Jan 2020 00:00:00 GMT</t>
  </si>
  <si>
    <t>Fri, 10 Jan 2020 00:00:00 GMT</t>
  </si>
  <si>
    <t>Mon, 13 Jan 2020 00:00:00 GMT</t>
  </si>
  <si>
    <t>Tue, 14 Jan 2020 00:00:00 GMT</t>
  </si>
  <si>
    <t>Wed, 15 Jan 2020 00:00:00 GMT</t>
  </si>
  <si>
    <t>Thu, 16 Jan 2020 00:00:00 GMT</t>
  </si>
  <si>
    <t>Fri, 17 Jan 2020 00:00:00 GMT</t>
  </si>
  <si>
    <t>Tue, 21 Jan 2020 00:00:00 GMT</t>
  </si>
  <si>
    <t>Wed, 22 Jan 2020 00:00:00 GMT</t>
  </si>
  <si>
    <t>Thu, 23 Jan 2020 00:00:00 GMT</t>
  </si>
  <si>
    <t>Fri, 24 Jan 2020 00:00:00 GMT</t>
  </si>
  <si>
    <t>Mon, 27 Jan 2020 00:00:00 GMT</t>
  </si>
  <si>
    <t>Tue, 28 Jan 2020 00:00:00 GMT</t>
  </si>
  <si>
    <t>Wed, 29 Jan 2020 00:00:00 GMT</t>
  </si>
  <si>
    <t>Thu, 30 Jan 2020 00:00:00 GMT</t>
  </si>
  <si>
    <t>Fri, 31 Jan 2020 00:00:00 GMT</t>
  </si>
  <si>
    <t>Mon, 03 Feb 2020 00:00:00 GMT</t>
  </si>
  <si>
    <t>Tue, 04 Feb 2020 00:00:00 GMT</t>
  </si>
  <si>
    <t>Wed, 05 Feb 2020 00:00:00 GMT</t>
  </si>
  <si>
    <t>Thu, 06 Feb 2020 00:00:00 GMT</t>
  </si>
  <si>
    <t>Fri, 07 Feb 2020 00:00:00 GMT</t>
  </si>
  <si>
    <t>Mon, 10 Feb 2020 00:00:00 GMT</t>
  </si>
  <si>
    <t>Tue, 11 Feb 2020 00:00:00 GMT</t>
  </si>
  <si>
    <t>Wed, 12 Feb 2020 00:00:00 GMT</t>
  </si>
  <si>
    <t>Thu, 13 Feb 2020 00:00:00 GMT</t>
  </si>
  <si>
    <t>Fri, 14 Feb 2020 00:00:00 GMT</t>
  </si>
  <si>
    <t>Tue, 18 Feb 2020 00:00:00 GMT</t>
  </si>
  <si>
    <t>Wed, 19 Feb 2020 00:00:00 GMT</t>
  </si>
  <si>
    <t>Thu, 20 Feb 2020 00:00:00 GMT</t>
  </si>
  <si>
    <t>Fri, 21 Feb 2020 00:00:00 GMT</t>
  </si>
  <si>
    <t>Mon, 24 Feb 2020 00:00:00 GMT</t>
  </si>
  <si>
    <t>Tue, 25 Feb 2020 00:00:00 GMT</t>
  </si>
  <si>
    <t>Wed, 26 Feb 2020 00:00:00 GMT</t>
  </si>
  <si>
    <t>Thu, 27 Feb 2020 00:00:00 GMT</t>
  </si>
  <si>
    <t>Fri, 28 Feb 2020 00:00:00 GMT</t>
  </si>
  <si>
    <t>Mon, 02 Mar 2020 00:00:00 GMT</t>
  </si>
  <si>
    <t>Tue, 03 Mar 2020 00:00:00 GMT</t>
  </si>
  <si>
    <t>Wed, 04 Mar 2020 00:00:00 GMT</t>
  </si>
  <si>
    <t>Thu, 05 Mar 2020 00:00:00 GMT</t>
  </si>
  <si>
    <t>Fri, 06 Mar 2020 00:00:00 GMT</t>
  </si>
  <si>
    <t>Mon, 09 Mar 2020 00:00:00 GMT</t>
  </si>
  <si>
    <t>Tue, 10 Mar 2020 00:00:00 GMT</t>
  </si>
  <si>
    <t>Wed, 11 Mar 2020 00:00:00 GMT</t>
  </si>
  <si>
    <t>Thu, 12 Mar 2020 00:00:00 GMT</t>
  </si>
  <si>
    <t>Fri, 13 Mar 2020 00:00:00 GMT</t>
  </si>
  <si>
    <t>Mon, 16 Mar 2020 00:00:00 GMT</t>
  </si>
  <si>
    <t>Tue, 17 Mar 2020 00:00:00 GMT</t>
  </si>
  <si>
    <t>Wed, 18 Mar 2020 00:00:00 GMT</t>
  </si>
  <si>
    <t>Thu, 19 Mar 2020 00:00:00 GMT</t>
  </si>
  <si>
    <t>Fri, 20 Mar 2020 00:00:00 GMT</t>
  </si>
  <si>
    <t>Mon, 23 Mar 2020 00:00:00 GMT</t>
  </si>
  <si>
    <t>Tue, 24 Mar 2020 00:00:00 GMT</t>
  </si>
  <si>
    <t>Wed, 25 Mar 2020 00:00:00 GMT</t>
  </si>
  <si>
    <t>Thu, 26 Mar 2020 00:00:00 GMT</t>
  </si>
  <si>
    <t>Fri, 27 Mar 2020 00:00:00 GMT</t>
  </si>
  <si>
    <t>Mon, 30 Mar 2020 00:00:00 GMT</t>
  </si>
  <si>
    <t>Tue, 31 Mar 2020 00:00:00 GMT</t>
  </si>
  <si>
    <t>Wed, 01 Apr 2020 00:00:00 GMT</t>
  </si>
  <si>
    <t>Thu, 02 Apr 2020 00:00:00 GMT</t>
  </si>
  <si>
    <t>Fri, 03 Apr 2020 00:00:00 GMT</t>
  </si>
  <si>
    <t>Mon, 06 Apr 2020 00:00:00 GMT</t>
  </si>
  <si>
    <t>Tue, 07 Apr 2020 00:00:00 GMT</t>
  </si>
  <si>
    <t>Wed, 08 Apr 2020 00:00:00 GMT</t>
  </si>
  <si>
    <t>Thu, 09 Apr 2020 00:00:00 GMT</t>
  </si>
  <si>
    <t>Mon, 13 Apr 2020 00:00:00 GMT</t>
  </si>
  <si>
    <t>Tue, 14 Apr 2020 00:00:00 GMT</t>
  </si>
  <si>
    <t>Wed, 15 Apr 2020 00:00:00 GMT</t>
  </si>
  <si>
    <t>Thu, 16 Apr 2020 00:00:00 GMT</t>
  </si>
  <si>
    <t>Fri, 17 Apr 2020 00:00:00 GMT</t>
  </si>
  <si>
    <t>Mon, 20 Apr 2020 00:00:00 GMT</t>
  </si>
  <si>
    <t>Tue, 21 Apr 2020 00:00:00 GMT</t>
  </si>
  <si>
    <t>Wed, 22 Apr 2020 00:00:00 GMT</t>
  </si>
  <si>
    <t>Thu, 23 Apr 2020 00:00:00 GMT</t>
  </si>
  <si>
    <t>Fri, 24 Apr 2020 00:00:00 GMT</t>
  </si>
  <si>
    <t>Mon, 27 Apr 2020 00:00:00 GMT</t>
  </si>
  <si>
    <t>Tue, 28 Apr 2020 00:00:00 GMT</t>
  </si>
  <si>
    <t>Wed, 29 Apr 2020 00:00:00 GMT</t>
  </si>
  <si>
    <t>Thu, 30 Apr 2020 00:00:00 GMT</t>
  </si>
  <si>
    <t>Fri, 01 May 2020 00:00:00 GMT</t>
  </si>
  <si>
    <t>Mon, 04 May 2020 00:00:00 GMT</t>
  </si>
  <si>
    <t>Tue, 05 May 2020 00:00:00 GMT</t>
  </si>
  <si>
    <t>Wed, 06 May 2020 00:00:00 GMT</t>
  </si>
  <si>
    <t>Thu, 07 May 2020 00:00:00 GMT</t>
  </si>
  <si>
    <t>Fri, 08 May 2020 00:00:00 GMT</t>
  </si>
  <si>
    <t>Mon, 11 May 2020 00:00:00 GMT</t>
  </si>
  <si>
    <t>Tue, 12 May 2020 00:00:00 GMT</t>
  </si>
  <si>
    <t>Wed, 13 May 2020 00:00:00 GMT</t>
  </si>
  <si>
    <t>Thu, 14 May 2020 00:00:00 GMT</t>
  </si>
  <si>
    <t>Fri, 15 May 2020 00:00:00 GMT</t>
  </si>
  <si>
    <t>Mon, 18 May 2020 00:00:00 GMT</t>
  </si>
  <si>
    <t>Tue, 19 May 2020 00:00:00 GMT</t>
  </si>
  <si>
    <t>Wed, 20 May 2020 00:00:00 GMT</t>
  </si>
  <si>
    <t>Thu, 21 May 2020 00:00:00 GMT</t>
  </si>
  <si>
    <t>Fri, 22 May 2020 00:00:00 GMT</t>
  </si>
  <si>
    <t>Tue, 26 May 2020 00:00:00 GMT</t>
  </si>
  <si>
    <t>Wed, 27 May 2020 00:00:00 GMT</t>
  </si>
  <si>
    <t>Thu, 28 May 2020 00:00:00 GMT</t>
  </si>
  <si>
    <t>Fri, 29 May 2020 00:00:00 GMT</t>
  </si>
  <si>
    <t>Mon, 01 Jun 2020 00:00:00 GMT</t>
  </si>
  <si>
    <t>Tue, 02 Jun 2020 00:00:00 GMT</t>
  </si>
  <si>
    <t>Wed, 03 Jun 2020 00:00:00 GMT</t>
  </si>
  <si>
    <t>Thu, 04 Jun 2020 00:00:00 GMT</t>
  </si>
  <si>
    <t>Fri, 05 Jun 2020 00:00:00 GMT</t>
  </si>
  <si>
    <t>Mon, 08 Jun 2020 00:00:00 GMT</t>
  </si>
  <si>
    <t>Tue, 09 Jun 2020 00:00:00 GMT</t>
  </si>
  <si>
    <t>Wed, 10 Jun 2020 00:00:00 GMT</t>
  </si>
  <si>
    <t>Thu, 11 Jun 2020 00:00:00 GMT</t>
  </si>
  <si>
    <t>Fri, 12 Jun 2020 00:00:00 GMT</t>
  </si>
  <si>
    <t>Mon, 15 Jun 2020 00:00:00 GMT</t>
  </si>
  <si>
    <t>Tue, 16 Jun 2020 00:00:00 GMT</t>
  </si>
  <si>
    <t>Wed, 17 Jun 2020 00:00:00 GMT</t>
  </si>
  <si>
    <t>Thu, 18 Jun 2020 00:00:00 GMT</t>
  </si>
  <si>
    <t>Fri, 19 Jun 2020 00:00:00 GMT</t>
  </si>
  <si>
    <t>Mon, 22 Jun 2020 00:00:00 GMT</t>
  </si>
  <si>
    <t>Tue, 23 Jun 2020 00:00:00 GMT</t>
  </si>
  <si>
    <t>Wed, 24 Jun 2020 00:00:00 GMT</t>
  </si>
  <si>
    <t>Thu, 25 Jun 2020 00:00:00 GMT</t>
  </si>
  <si>
    <t>Fri, 26 Jun 2020 00:00:00 GMT</t>
  </si>
  <si>
    <t>Mon, 29 Jun 2020 00:00:00 GMT</t>
  </si>
  <si>
    <t>Tue, 30 Jun 2020 00:00:00 GMT</t>
  </si>
  <si>
    <t>Wed, 01 Jul 2020 00:00:00 GMT</t>
  </si>
  <si>
    <t>Thu, 02 Jul 2020 00:00:00 GMT</t>
  </si>
  <si>
    <t>Mon, 06 Jul 2020 00:00:00 GMT</t>
  </si>
  <si>
    <t>Tue, 07 Jul 2020 00:00:00 GMT</t>
  </si>
  <si>
    <t>Wed, 08 Jul 2020 00:00:00 GMT</t>
  </si>
  <si>
    <t>Thu, 09 Jul 2020 00:00:00 GMT</t>
  </si>
  <si>
    <t>Fri, 10 Jul 2020 00:00:00 GMT</t>
  </si>
  <si>
    <t>Mon, 13 Jul 2020 00:00:00 GMT</t>
  </si>
  <si>
    <t>Tue, 14 Jul 2020 00:00:00 GMT</t>
  </si>
  <si>
    <t>Wed, 15 Jul 2020 00:00:00 GMT</t>
  </si>
  <si>
    <t>Thu, 16 Jul 2020 00:00:00 GMT</t>
  </si>
  <si>
    <t>Fri, 17 Jul 2020 00:00:00 GMT</t>
  </si>
  <si>
    <t>Mon, 20 Jul 2020 00:00:00 GMT</t>
  </si>
  <si>
    <t>Tue, 21 Jul 2020 00:00:00 GMT</t>
  </si>
  <si>
    <t>Wed, 22 Jul 2020 00:00:00 GMT</t>
  </si>
  <si>
    <t>Thu, 23 Jul 2020 00:00:00 GMT</t>
  </si>
  <si>
    <t>Fri, 24 Jul 2020 00:00:00 GMT</t>
  </si>
  <si>
    <t>Mon, 27 Jul 2020 00:00:00 GMT</t>
  </si>
  <si>
    <t>Tue, 28 Jul 2020 00:00:00 GMT</t>
  </si>
  <si>
    <t>Wed, 29 Jul 2020 00:00:00 GMT</t>
  </si>
  <si>
    <t>Thu, 30 Jul 2020 00:00:00 GMT</t>
  </si>
  <si>
    <t>Fri, 31 Jul 2020 00:00:00 GMT</t>
  </si>
  <si>
    <t>Mon, 03 Aug 2020 00:00:00 GMT</t>
  </si>
  <si>
    <t>Tue, 04 Aug 2020 00:00:00 GMT</t>
  </si>
  <si>
    <t>Wed, 05 Aug 2020 00:00:00 GMT</t>
  </si>
  <si>
    <t>Thu, 06 Aug 2020 00:00:00 GMT</t>
  </si>
  <si>
    <t>Fri, 07 Aug 2020 00:00:00 GMT</t>
  </si>
  <si>
    <t>Mon, 10 Aug 2020 00:00:00 GMT</t>
  </si>
  <si>
    <t>Tue, 11 Aug 2020 00:00:00 GMT</t>
  </si>
  <si>
    <t>Wed, 12 Aug 2020 00:00:00 GMT</t>
  </si>
  <si>
    <t>Thu, 13 Aug 2020 00:00:00 GMT</t>
  </si>
  <si>
    <t>Fri, 14 Aug 2020 00:00:00 GMT</t>
  </si>
  <si>
    <t>Mon, 17 Aug 2020 00:00:00 GMT</t>
  </si>
  <si>
    <t>Tue, 18 Aug 2020 00:00:00 GMT</t>
  </si>
  <si>
    <t>Wed, 19 Aug 2020 00:00:00 GMT</t>
  </si>
  <si>
    <t>Thu, 20 Aug 2020 00:00:00 GMT</t>
  </si>
  <si>
    <t>Fri, 21 Aug 2020 00:00:00 GMT</t>
  </si>
  <si>
    <t>Mon, 24 Aug 2020 00:00:00 GMT</t>
  </si>
  <si>
    <t>Tue, 25 Aug 2020 00:00:00 GMT</t>
  </si>
  <si>
    <t>Wed, 26 Aug 2020 00:00:00 GMT</t>
  </si>
  <si>
    <t>Thu, 27 Aug 2020 00:00:00 GMT</t>
  </si>
  <si>
    <t>Fri, 28 Aug 2020 00:00:00 GMT</t>
  </si>
  <si>
    <t>Mon, 31 Aug 2020 00:00:00 GMT</t>
  </si>
  <si>
    <t>Tue, 01 Sep 2020 00:00:00 GMT</t>
  </si>
  <si>
    <t>Wed, 02 Sep 2020 00:00:00 GMT</t>
  </si>
  <si>
    <t>Thu, 03 Sep 2020 00:00:00 GMT</t>
  </si>
  <si>
    <t>Fri, 04 Sep 2020 00:00:00 GMT</t>
  </si>
  <si>
    <t>Tue, 08 Sep 2020 00:00:00 GMT</t>
  </si>
  <si>
    <t>Wed, 09 Sep 2020 00:00:00 GMT</t>
  </si>
  <si>
    <t>Thu, 10 Sep 2020 00:00:00 GMT</t>
  </si>
  <si>
    <t>Fri, 11 Sep 2020 00:00:00 GMT</t>
  </si>
  <si>
    <t>Mon, 14 Sep 2020 00:00:00 GMT</t>
  </si>
  <si>
    <t>Tue, 15 Sep 2020 00:00:00 GMT</t>
  </si>
  <si>
    <t>Wed, 16 Sep 2020 00:00:00 GMT</t>
  </si>
  <si>
    <t>Thu, 17 Sep 2020 00:00:00 GMT</t>
  </si>
  <si>
    <t>Fri, 18 Sep 2020 00:00:00 GMT</t>
  </si>
  <si>
    <t>Mon, 21 Sep 2020 00:00:00 GMT</t>
  </si>
  <si>
    <t>Tue, 22 Sep 2020 00:00:00 GMT</t>
  </si>
  <si>
    <t>Wed, 23 Sep 2020 00:00:00 GMT</t>
  </si>
  <si>
    <t>Thu, 24 Sep 2020 00:00:00 GMT</t>
  </si>
  <si>
    <t>Fri, 25 Sep 2020 00:00:00 GMT</t>
  </si>
  <si>
    <t>Mon, 28 Sep 2020 00:00:00 GMT</t>
  </si>
  <si>
    <t>Tue, 29 Sep 2020 00:00:00 GMT</t>
  </si>
  <si>
    <t>Wed, 30 Sep 2020 00:00:00 GMT</t>
  </si>
  <si>
    <t>Thu, 01 Oct 2020 00:00:00 GMT</t>
  </si>
  <si>
    <t>Fri, 02 Oct 2020 00:00:00 GMT</t>
  </si>
  <si>
    <t>Mon, 05 Oct 2020 00:00:00 GMT</t>
  </si>
  <si>
    <t>Tue, 06 Oct 2020 00:00:00 GMT</t>
  </si>
  <si>
    <t>Wed, 07 Oct 2020 00:00:00 GMT</t>
  </si>
  <si>
    <t>Thu, 08 Oct 2020 00:00:00 GMT</t>
  </si>
  <si>
    <t>Fri, 09 Oct 2020 00:00:00 GMT</t>
  </si>
  <si>
    <t>Mon, 12 Oct 2020 00:00:00 GMT</t>
  </si>
  <si>
    <t>Tue, 13 Oct 2020 00:00:00 GMT</t>
  </si>
  <si>
    <t>Wed, 14 Oct 2020 00:00:00 GMT</t>
  </si>
  <si>
    <t>Thu, 15 Oct 2020 00:00:00 GMT</t>
  </si>
  <si>
    <t>Fri, 16 Oct 2020 00:00:00 GMT</t>
  </si>
  <si>
    <t>Mon, 19 Oct 2020 00:00:00 GMT</t>
  </si>
  <si>
    <t>Tue, 20 Oct 2020 00:00:00 GMT</t>
  </si>
  <si>
    <t>Wed, 21 Oct 2020 00:00:00 GMT</t>
  </si>
  <si>
    <t>Thu, 22 Oct 2020 00:00:00 GMT</t>
  </si>
  <si>
    <t>Fri, 23 Oct 2020 00:00:00 GMT</t>
  </si>
  <si>
    <t>Mon, 26 Oct 2020 00:00:00 GMT</t>
  </si>
  <si>
    <t>Tue, 27 Oct 2020 00:00:00 GMT</t>
  </si>
  <si>
    <t>Wed, 28 Oct 2020 00:00:00 GMT</t>
  </si>
  <si>
    <t>Thu, 29 Oct 2020 00:00:00 GMT</t>
  </si>
  <si>
    <t>Fri, 30 Oct 2020 00:00:00 GMT</t>
  </si>
  <si>
    <t>Mon, 02 Nov 2020 00:00:00 GMT</t>
  </si>
  <si>
    <t>Tue, 03 Nov 2020 00:00:00 GMT</t>
  </si>
  <si>
    <t>Wed, 04 Nov 2020 00:00:00 GMT</t>
  </si>
  <si>
    <t>Thu, 05 Nov 2020 00:00:00 GMT</t>
  </si>
  <si>
    <t>Fri, 06 Nov 2020 00:00:00 GMT</t>
  </si>
  <si>
    <t>Mon, 09 Nov 2020 00:00:00 GMT</t>
  </si>
  <si>
    <t>Tue, 10 Nov 2020 00:00:00 GMT</t>
  </si>
  <si>
    <t>Wed, 11 Nov 2020 00:00:00 GMT</t>
  </si>
  <si>
    <t>Thu, 12 Nov 2020 00:00:00 GMT</t>
  </si>
  <si>
    <t>Fri, 13 Nov 2020 00:00:00 GMT</t>
  </si>
  <si>
    <t>Mon, 16 Nov 2020 00:00:00 GMT</t>
  </si>
  <si>
    <t>Tue, 17 Nov 2020 00:00:00 GMT</t>
  </si>
  <si>
    <t>Wed, 18 Nov 2020 00:00:00 GMT</t>
  </si>
  <si>
    <t>Thu, 19 Nov 2020 00:00:00 GMT</t>
  </si>
  <si>
    <t>Fri, 20 Nov 2020 00:00:00 GMT</t>
  </si>
  <si>
    <t>Mon, 23 Nov 2020 00:00:00 GMT</t>
  </si>
  <si>
    <t>Tue, 24 Nov 2020 00:00:00 GMT</t>
  </si>
  <si>
    <t>Wed, 25 Nov 2020 00:00:00 GMT</t>
  </si>
  <si>
    <t>Fri, 27 Nov 2020 00:00:00 GMT</t>
  </si>
  <si>
    <t>Mon, 30 Nov 2020 00:00:00 GMT</t>
  </si>
  <si>
    <t>Tue, 01 Dec 2020 00:00:00 GMT</t>
  </si>
  <si>
    <t>Wed, 02 Dec 2020 00:00:00 GMT</t>
  </si>
  <si>
    <t>Thu, 03 Dec 2020 00:00:00 GMT</t>
  </si>
  <si>
    <t>Fri, 04 Dec 2020 00:00:00 GMT</t>
  </si>
  <si>
    <t>Mon, 07 Dec 2020 00:00:00 GMT</t>
  </si>
  <si>
    <t>Tue, 08 Dec 2020 00:00:00 GMT</t>
  </si>
  <si>
    <t>Wed, 09 Dec 2020 00:00:00 GMT</t>
  </si>
  <si>
    <t>Thu, 10 Dec 2020 00:00:00 GMT</t>
  </si>
  <si>
    <t>Fri, 11 Dec 2020 00:00:00 GMT</t>
  </si>
  <si>
    <t>Mon, 14 Dec 2020 00:00:00 GMT</t>
  </si>
  <si>
    <t>Tue, 15 Dec 2020 00:00:00 GMT</t>
  </si>
  <si>
    <t>Wed, 16 Dec 2020 00:00:00 GMT</t>
  </si>
  <si>
    <t>Thu, 17 Dec 2020 00:00:00 GMT</t>
  </si>
  <si>
    <t>Fri, 18 Dec 2020 00:00:00 GMT</t>
  </si>
  <si>
    <t>Mon, 21 Dec 2020 00:00:00 GMT</t>
  </si>
  <si>
    <t>Tue, 22 Dec 2020 00:00:00 GMT</t>
  </si>
  <si>
    <t>Wed, 23 Dec 2020 00:00:00 GMT</t>
  </si>
  <si>
    <t>Thu, 24 Dec 2020 00:00:00 GMT</t>
  </si>
  <si>
    <t>Mon, 28 Dec 2020 00:00:00 GMT</t>
  </si>
  <si>
    <t>Tue, 29 Dec 2020 00:00:00 GMT</t>
  </si>
  <si>
    <t>Wed, 30 Dec 2020 00:00:00 GMT</t>
  </si>
  <si>
    <t>Thu, 31 Dec 2020 00:00:00 GMT</t>
  </si>
  <si>
    <t>Mon, 04 Jan 2021 00:00:00 GMT</t>
  </si>
  <si>
    <t>Tue, 05 Jan 2021 00:00:00 GMT</t>
  </si>
  <si>
    <t>Wed, 06 Jan 2021 00:00:00 GMT</t>
  </si>
  <si>
    <t>Thu, 07 Jan 2021 00:00:00 GMT</t>
  </si>
  <si>
    <t>Fri, 08 Jan 2021 00:00:00 GMT</t>
  </si>
  <si>
    <t>Mon, 11 Jan 2021 00:00:00 GMT</t>
  </si>
  <si>
    <t>Tue, 12 Jan 2021 00:00:00 GMT</t>
  </si>
  <si>
    <t>Wed, 13 Jan 2021 00:00:00 GMT</t>
  </si>
  <si>
    <t>Thu, 14 Jan 2021 00:00:00 GMT</t>
  </si>
  <si>
    <t>Fri, 15 Jan 2021 00:00:00 GMT</t>
  </si>
  <si>
    <t>Tue, 19 Jan 2021 00:00:00 GMT</t>
  </si>
  <si>
    <t>Wed, 20 Jan 2021 00:00:00 GMT</t>
  </si>
  <si>
    <t>Thu, 21 Jan 2021 00:00:00 GMT</t>
  </si>
  <si>
    <t>Fri, 22 Jan 2021 00:00:00 GMT</t>
  </si>
  <si>
    <t>Mon, 25 Jan 2021 00:00:00 GMT</t>
  </si>
  <si>
    <t>Tue, 26 Jan 2021 00:00:00 GMT</t>
  </si>
  <si>
    <t>Wed, 27 Jan 2021 00:00:00 GMT</t>
  </si>
  <si>
    <t>Thu, 28 Jan 2021 00:00:00 GMT</t>
  </si>
  <si>
    <t>Fri, 29 Jan 2021 00:00:00 GMT</t>
  </si>
  <si>
    <t>Mon, 01 Feb 2021 00:00:00 GMT</t>
  </si>
  <si>
    <t>Tue, 02 Feb 2021 00:00:00 GMT</t>
  </si>
  <si>
    <t>Wed, 03 Feb 2021 00:00:00 GMT</t>
  </si>
  <si>
    <t>Thu, 04 Feb 2021 00:00:00 GMT</t>
  </si>
  <si>
    <t>Fri, 05 Feb 2021 00:00:00 GMT</t>
  </si>
  <si>
    <t>Mon, 08 Feb 2021 00:00:00 GMT</t>
  </si>
  <si>
    <t>Tue, 09 Feb 2021 00:00:00 GMT</t>
  </si>
  <si>
    <t>Wed, 10 Feb 2021 00:00:00 GMT</t>
  </si>
  <si>
    <t>Thu, 11 Feb 2021 00:00:00 GMT</t>
  </si>
  <si>
    <t>Fri, 12 Feb 2021 00:00:00 GMT</t>
  </si>
  <si>
    <t>Tue, 16 Feb 2021 00:00:00 GMT</t>
  </si>
  <si>
    <t>Wed, 17 Feb 2021 00:00:00 GMT</t>
  </si>
  <si>
    <t>Thu, 18 Feb 2021 00:00:00 GMT</t>
  </si>
  <si>
    <t>Fri, 19 Feb 2021 00:00:00 GMT</t>
  </si>
  <si>
    <t>Mon, 22 Feb 2021 00:00:00 GMT</t>
  </si>
  <si>
    <t>Tue, 23 Feb 2021 00:00:00 GMT</t>
  </si>
  <si>
    <t>Wed, 24 Feb 2021 00:00:00 GMT</t>
  </si>
  <si>
    <t>Thu, 25 Feb 2021 00:00:00 GMT</t>
  </si>
  <si>
    <t>Fri, 26 Feb 2021 00:00:00 GMT</t>
  </si>
  <si>
    <t>Mon, 01 Mar 2021 00:00:00 GMT</t>
  </si>
  <si>
    <t>Tue, 02 Mar 2021 00:00:00 GMT</t>
  </si>
  <si>
    <t>Wed, 03 Mar 2021 00:00:00 GMT</t>
  </si>
  <si>
    <t>Thu, 04 Mar 2021 00:00:00 GMT</t>
  </si>
  <si>
    <t>Fri, 05 Mar 2021 00:00:00 GMT</t>
  </si>
  <si>
    <t>Mon, 08 Mar 2021 00:00:00 GMT</t>
  </si>
  <si>
    <t>Tue, 09 Mar 2021 00:00:00 GMT</t>
  </si>
  <si>
    <t>Wed, 10 Mar 2021 00:00:00 GMT</t>
  </si>
  <si>
    <t>Thu, 11 Mar 2021 00:00:00 GMT</t>
  </si>
  <si>
    <t>Fri, 12 Mar 2021 00:00:00 GMT</t>
  </si>
  <si>
    <t>Mon, 15 Mar 2021 00:00:00 GMT</t>
  </si>
  <si>
    <t>Tue, 16 Mar 2021 00:00:00 GMT</t>
  </si>
  <si>
    <t>Wed, 17 Mar 2021 00:00:00 GMT</t>
  </si>
  <si>
    <t>Thu, 18 Mar 2021 00:00:00 GMT</t>
  </si>
  <si>
    <t>Fri, 19 Mar 2021 00:00:00 GMT</t>
  </si>
  <si>
    <t>Mon, 22 Mar 2021 00:00:00 GMT</t>
  </si>
  <si>
    <t>Tue, 23 Mar 2021 00:00:00 GMT</t>
  </si>
  <si>
    <t>Wed, 24 Mar 2021 00:00:00 GMT</t>
  </si>
  <si>
    <t>Thu, 25 Mar 2021 00:00:00 GMT</t>
  </si>
  <si>
    <t>Fri, 26 Mar 2021 00:00:00 GMT</t>
  </si>
  <si>
    <t>Mon, 29 Mar 2021 00:00:00 GMT</t>
  </si>
  <si>
    <t>Tue, 30 Mar 2021 00:00:00 GMT</t>
  </si>
  <si>
    <t>Wed, 31 Mar 2021 00:00:00 GMT</t>
  </si>
  <si>
    <t>Thu, 01 Apr 2021 00:00:00 GMT</t>
  </si>
  <si>
    <t>Mon, 05 Apr 2021 00:00:00 GMT</t>
  </si>
  <si>
    <t>Tue, 06 Apr 2021 00:00:00 GMT</t>
  </si>
  <si>
    <t>Wed, 07 Apr 2021 00:00:00 GMT</t>
  </si>
  <si>
    <t>Thu, 08 Apr 2021 00:00:00 GMT</t>
  </si>
  <si>
    <t>Fri, 09 Apr 2021 00:00:00 GMT</t>
  </si>
  <si>
    <t>Mon, 12 Apr 2021 00:00:00 GMT</t>
  </si>
  <si>
    <t>Tue, 13 Apr 2021 00:00:00 GMT</t>
  </si>
  <si>
    <t>Wed, 14 Apr 2021 00:00:00 GMT</t>
  </si>
  <si>
    <t>Thu, 15 Apr 2021 00:00:00 GMT</t>
  </si>
  <si>
    <t>Fri, 16 Apr 2021 00:00:00 GMT</t>
  </si>
  <si>
    <t>Mon, 19 Apr 2021 00:00:00 GMT</t>
  </si>
  <si>
    <t>Tue, 20 Apr 2021 00:00:00 GMT</t>
  </si>
  <si>
    <t>Wed, 21 Apr 2021 00:00:00 GMT</t>
  </si>
  <si>
    <t>Thu, 22 Apr 2021 00:00:00 GMT</t>
  </si>
  <si>
    <t>Fri, 23 Apr 2021 00:00:00 GMT</t>
  </si>
  <si>
    <t>Mon, 26 Apr 2021 00:00:00 GMT</t>
  </si>
  <si>
    <t>Tue, 27 Apr 2021 00:00:00 GMT</t>
  </si>
  <si>
    <t>Wed, 28 Apr 2021 00:00:00 GMT</t>
  </si>
  <si>
    <t>Thu, 29 Apr 2021 00:00:00 GMT</t>
  </si>
  <si>
    <t>Fri, 30 Apr 2021 00:00:00 GMT</t>
  </si>
  <si>
    <t>Mon, 03 May 2021 00:00:00 GMT</t>
  </si>
  <si>
    <t>Tue, 04 May 2021 00:00:00 GMT</t>
  </si>
  <si>
    <t>Wed, 05 May 2021 00:00:00 GMT</t>
  </si>
  <si>
    <t>Thu, 06 May 2021 00:00:00 GMT</t>
  </si>
  <si>
    <t>Fri, 07 May 2021 00:00:00 GMT</t>
  </si>
  <si>
    <t>Mon, 10 May 2021 00:00:00 GMT</t>
  </si>
  <si>
    <t>Tue, 11 May 2021 00:00:00 GMT</t>
  </si>
  <si>
    <t>Wed, 12 May 2021 00:00:00 GMT</t>
  </si>
  <si>
    <t>Thu, 13 May 2021 00:00:00 GMT</t>
  </si>
  <si>
    <t>Fri, 14 May 2021 00:00:00 GMT</t>
  </si>
  <si>
    <t>Mon, 17 May 2021 00:00:00 GMT</t>
  </si>
  <si>
    <t>Tue, 18 May 2021 00:00:00 GMT</t>
  </si>
  <si>
    <t>Wed, 19 May 2021 00:00:00 GMT</t>
  </si>
  <si>
    <t>Thu, 20 May 2021 00:00:00 GMT</t>
  </si>
  <si>
    <t>Fri, 21 May 2021 00:00:00 GMT</t>
  </si>
  <si>
    <t>Mon, 24 May 2021 00:00:00 GMT</t>
  </si>
  <si>
    <t>Tue, 25 May 2021 00:00:00 GMT</t>
  </si>
  <si>
    <t>Wed, 26 May 2021 00:00:00 GMT</t>
  </si>
  <si>
    <t>Thu, 27 May 2021 00:00:00 GMT</t>
  </si>
  <si>
    <t>Fri, 28 May 2021 00:00:00 GMT</t>
  </si>
  <si>
    <t>Tue, 01 Jun 2021 00:00:00 GMT</t>
  </si>
  <si>
    <t>Wed, 02 Jun 2021 00:00:00 GMT</t>
  </si>
  <si>
    <t>Thu, 03 Jun 2021 00:00:00 GMT</t>
  </si>
  <si>
    <t>Fri, 04 Jun 2021 00:00:00 GMT</t>
  </si>
  <si>
    <t>Mon, 07 Jun 2021 00:00:00 GMT</t>
  </si>
  <si>
    <t>Tue, 08 Jun 2021 00:00:00 GMT</t>
  </si>
  <si>
    <t>Wed, 09 Jun 2021 00:00:00 GMT</t>
  </si>
  <si>
    <t>Thu, 10 Jun 2021 00:00:00 GMT</t>
  </si>
  <si>
    <t>Fri, 11 Jun 2021 00:00:00 GMT</t>
  </si>
  <si>
    <t>Mon, 14 Jun 2021 00:00:00 GMT</t>
  </si>
  <si>
    <t>Tue, 15 Jun 2021 00:00:00 GMT</t>
  </si>
  <si>
    <t>Wed, 16 Jun 2021 00:00:00 GMT</t>
  </si>
  <si>
    <t>Thu, 17 Jun 2021 00:00:00 GMT</t>
  </si>
  <si>
    <t>Fri, 18 Jun 2021 00:00:00 GMT</t>
  </si>
  <si>
    <t>Mon, 21 Jun 2021 00:00:00 GMT</t>
  </si>
  <si>
    <t>Tue, 22 Jun 2021 00:00:00 GMT</t>
  </si>
  <si>
    <t>Wed, 23 Jun 2021 00:00:00 GMT</t>
  </si>
  <si>
    <t>Thu, 24 Jun 2021 00:00:00 GMT</t>
  </si>
  <si>
    <t>Fri, 25 Jun 2021 00:00:00 GMT</t>
  </si>
  <si>
    <t>Mon, 28 Jun 2021 00:00:00 GMT</t>
  </si>
  <si>
    <t>Tue, 29 Jun 2021 00:00:00 GMT</t>
  </si>
  <si>
    <t>Wed, 30 Jun 2021 00:00:00 GMT</t>
  </si>
  <si>
    <t>Thu, 01 Jul 2021 00:00:00 GMT</t>
  </si>
  <si>
    <t>Fri, 02 Jul 2021 00:00:00 GMT</t>
  </si>
  <si>
    <t>Tue, 06 Jul 2021 00:00:00 GMT</t>
  </si>
  <si>
    <t>Wed, 07 Jul 2021 00:00:00 GMT</t>
  </si>
  <si>
    <t>Thu, 08 Jul 2021 00:00:00 GMT</t>
  </si>
  <si>
    <t>Fri, 09 Jul 2021 00:00:00 GMT</t>
  </si>
  <si>
    <t>Mon, 12 Jul 2021 00:00:00 GMT</t>
  </si>
  <si>
    <t>Tue, 13 Jul 2021 00:00:00 GMT</t>
  </si>
  <si>
    <t>Wed, 14 Jul 2021 00:00:00 GMT</t>
  </si>
  <si>
    <t>Thu, 15 Jul 2021 00:00:00 GMT</t>
  </si>
  <si>
    <t>Fri, 16 Jul 2021 00:00:00 GMT</t>
  </si>
  <si>
    <t>Mon, 19 Jul 2021 00:00:00 GMT</t>
  </si>
  <si>
    <t>Tue, 20 Jul 2021 00:00:00 GMT</t>
  </si>
  <si>
    <t>Wed, 21 Jul 2021 00:00:00 GMT</t>
  </si>
  <si>
    <t>Thu, 22 Jul 2021 00:00:00 GMT</t>
  </si>
  <si>
    <t>Fri, 23 Jul 2021 00:00:00 GMT</t>
  </si>
  <si>
    <t>Mon, 26 Jul 2021 00:00:00 GMT</t>
  </si>
  <si>
    <t>Tue, 27 Jul 2021 00:00:00 GMT</t>
  </si>
  <si>
    <t>Wed, 28 Jul 2021 00:00:00 GMT</t>
  </si>
  <si>
    <t>Thu, 29 Jul 2021 00:00:00 GMT</t>
  </si>
  <si>
    <t>Fri, 30 Jul 2021 00:00:00 GMT</t>
  </si>
  <si>
    <t>Mon, 02 Aug 2021 00:00:00 GMT</t>
  </si>
  <si>
    <t>Tue, 03 Aug 2021 00:00:00 GMT</t>
  </si>
  <si>
    <t>Wed, 04 Aug 2021 00:00:00 GMT</t>
  </si>
  <si>
    <t>Thu, 05 Aug 2021 00:00:00 GMT</t>
  </si>
  <si>
    <t>Fri, 06 Aug 2021 00:00:00 GMT</t>
  </si>
  <si>
    <t>Mon, 09 Aug 2021 00:00:00 GMT</t>
  </si>
  <si>
    <t>Tue, 10 Aug 2021 00:00:00 GMT</t>
  </si>
  <si>
    <t>Wed, 11 Aug 2021 00:00:00 GMT</t>
  </si>
  <si>
    <t>Thu, 12 Aug 2021 00:00:00 GMT</t>
  </si>
  <si>
    <t>Fri, 13 Aug 2021 00:00:00 GMT</t>
  </si>
  <si>
    <t>Mon, 16 Aug 2021 00:00:00 GMT</t>
  </si>
  <si>
    <t>Tue, 17 Aug 2021 00:00:00 GMT</t>
  </si>
  <si>
    <t>Wed, 18 Aug 2021 00:00:00 GMT</t>
  </si>
  <si>
    <t>Thu, 19 Aug 2021 00:00:00 GMT</t>
  </si>
  <si>
    <t>Fri, 20 Aug 2021 00:00:00 GMT</t>
  </si>
  <si>
    <t>Mon, 23 Aug 2021 00:00:00 GMT</t>
  </si>
  <si>
    <t>Tue, 24 Aug 2021 00:00:00 GMT</t>
  </si>
  <si>
    <t>Wed, 25 Aug 2021 00:00:00 GMT</t>
  </si>
  <si>
    <t>Thu, 26 Aug 2021 00:00:00 GMT</t>
  </si>
  <si>
    <t>Fri, 27 Aug 2021 00:00:00 GMT</t>
  </si>
  <si>
    <t>Mon, 30 Aug 2021 00:00:00 GMT</t>
  </si>
  <si>
    <t>Tue, 31 Aug 2021 00:00:00 GMT</t>
  </si>
  <si>
    <t>Wed, 01 Sep 2021 00:00:00 GMT</t>
  </si>
  <si>
    <t>Thu, 02 Sep 2021 00:00:00 GMT</t>
  </si>
  <si>
    <t>Fri, 03 Sep 2021 00:00:00 GMT</t>
  </si>
  <si>
    <t>Tue, 07 Sep 2021 00:00:00 GMT</t>
  </si>
  <si>
    <t>Wed, 08 Sep 2021 00:00:00 GMT</t>
  </si>
  <si>
    <t>Thu, 09 Sep 2021 00:00:00 GMT</t>
  </si>
  <si>
    <t>Fri, 10 Sep 2021 00:00:00 GMT</t>
  </si>
  <si>
    <t>Mon, 13 Sep 2021 00:00:00 GMT</t>
  </si>
  <si>
    <t>Tue, 14 Sep 2021 00:00:00 GMT</t>
  </si>
  <si>
    <t>Wed, 15 Sep 2021 00:00:00 GMT</t>
  </si>
  <si>
    <t>Thu, 16 Sep 2021 00:00:00 GMT</t>
  </si>
  <si>
    <t>Fri, 17 Sep 2021 00:00:00 GMT</t>
  </si>
  <si>
    <t>Mon, 20 Sep 2021 00:00:00 GMT</t>
  </si>
  <si>
    <t>Tue, 21 Sep 2021 00:00:00 GMT</t>
  </si>
  <si>
    <t>Wed, 22 Sep 2021 00:00:00 GMT</t>
  </si>
  <si>
    <t>Thu, 23 Sep 2021 00:00:00 GMT</t>
  </si>
  <si>
    <t>Fri, 24 Sep 2021 00:00:00 GMT</t>
  </si>
  <si>
    <t>Mon, 27 Sep 2021 00:00:00 GMT</t>
  </si>
  <si>
    <t>Tue, 28 Sep 2021 00:00:00 GMT</t>
  </si>
  <si>
    <t>Wed, 29 Sep 2021 00:00:00 GMT</t>
  </si>
  <si>
    <t>Thu, 30 Sep 2021 00:00:00 GMT</t>
  </si>
  <si>
    <t>Fri, 01 Oct 2021 00:00:00 GMT</t>
  </si>
  <si>
    <t>Mon, 04 Oct 2021 00:00:00 GMT</t>
  </si>
  <si>
    <t>Tue, 05 Oct 2021 00:00:00 GMT</t>
  </si>
  <si>
    <t>Wed, 06 Oct 2021 00:00:00 GMT</t>
  </si>
  <si>
    <t>Thu, 07 Oct 2021 00:00:00 GMT</t>
  </si>
  <si>
    <t>Fri, 08 Oct 2021 00:00:00 GMT</t>
  </si>
  <si>
    <t>Mon, 11 Oct 2021 00:00:00 GMT</t>
  </si>
  <si>
    <t>Tue, 12 Oct 2021 00:00:00 GMT</t>
  </si>
  <si>
    <t>Wed, 13 Oct 2021 00:00:00 GMT</t>
  </si>
  <si>
    <t>Thu, 14 Oct 2021 00:00:00 GMT</t>
  </si>
  <si>
    <t>Fri, 15 Oct 2021 00:00:00 GMT</t>
  </si>
  <si>
    <t>Mon, 18 Oct 2021 00:00:00 GMT</t>
  </si>
  <si>
    <t>Tue, 19 Oct 2021 00:00:00 GMT</t>
  </si>
  <si>
    <t>Wed, 20 Oct 2021 00:00:00 GMT</t>
  </si>
  <si>
    <t>Thu, 21 Oct 2021 00:00:00 GMT</t>
  </si>
  <si>
    <t>Fri, 22 Oct 2021 00:00:00 GMT</t>
  </si>
  <si>
    <t>Mon, 25 Oct 2021 00:00:00 GMT</t>
  </si>
  <si>
    <t>Tue, 26 Oct 2021 00:00:00 GMT</t>
  </si>
  <si>
    <t>Wed, 27 Oct 2021 00:00:00 GMT</t>
  </si>
  <si>
    <t>Thu, 28 Oct 2021 00:00:00 GMT</t>
  </si>
  <si>
    <t>Fri, 29 Oct 2021 00:00:00 GMT</t>
  </si>
  <si>
    <t>Mon, 01 Nov 2021 00:00:00 GMT</t>
  </si>
  <si>
    <t>Tue, 02 Nov 2021 00:00:00 GMT</t>
  </si>
  <si>
    <t>Wed, 03 Nov 2021 00:00:00 GMT</t>
  </si>
  <si>
    <t>Thu, 04 Nov 2021 00:00:00 GMT</t>
  </si>
  <si>
    <t>Fri, 05 Nov 2021 00:00:00 GMT</t>
  </si>
  <si>
    <t>Mon, 08 Nov 2021 00:00:00 GMT</t>
  </si>
  <si>
    <t>Tue, 09 Nov 2021 00:00:00 GMT</t>
  </si>
  <si>
    <t>Wed, 10 Nov 2021 00:00:00 GMT</t>
  </si>
  <si>
    <t>Thu, 11 Nov 2021 00:00:00 GMT</t>
  </si>
  <si>
    <t>Fri, 12 Nov 2021 00:00:00 GMT</t>
  </si>
  <si>
    <t>Mon, 15 Nov 2021 00:00:00 GMT</t>
  </si>
  <si>
    <t>Tue, 16 Nov 2021 00:00:00 GMT</t>
  </si>
  <si>
    <t>Wed, 17 Nov 2021 00:00:00 GMT</t>
  </si>
  <si>
    <t>Thu, 18 Nov 2021 00:00:00 GMT</t>
  </si>
  <si>
    <t>Fri, 19 Nov 2021 00:00:00 GMT</t>
  </si>
  <si>
    <t>Mon, 22 Nov 2021 00:00:00 GMT</t>
  </si>
  <si>
    <t>Tue, 23 Nov 2021 00:00:00 GMT</t>
  </si>
  <si>
    <t>Wed, 24 Nov 2021 00:00:00 GMT</t>
  </si>
  <si>
    <t>Fri, 26 Nov 2021 00:00:00 GMT</t>
  </si>
  <si>
    <t>Mon, 29 Nov 2021 00:00:00 GMT</t>
  </si>
  <si>
    <t>Tue, 30 Nov 2021 00:00:00 GMT</t>
  </si>
  <si>
    <t>Wed, 01 Dec 2021 00:00:00 GMT</t>
  </si>
  <si>
    <t>Thu, 02 Dec 2021 00:00:00 GMT</t>
  </si>
  <si>
    <t>Fri, 03 Dec 2021 00:00:00 GMT</t>
  </si>
  <si>
    <t>Mon, 06 Dec 2021 00:00:00 GMT</t>
  </si>
  <si>
    <t>Tue, 07 Dec 2021 00:00:00 GMT</t>
  </si>
  <si>
    <t>Wed, 08 Dec 2021 00:00:00 GMT</t>
  </si>
  <si>
    <t>Thu, 09 Dec 2021 00:00:00 GMT</t>
  </si>
  <si>
    <t>Fri, 10 Dec 2021 00:00:00 GMT</t>
  </si>
  <si>
    <t>Mon, 13 Dec 2021 00:00:00 GMT</t>
  </si>
  <si>
    <t>Tue, 14 Dec 2021 00:00:00 GMT</t>
  </si>
  <si>
    <t>Wed, 15 Dec 2021 00:00:00 GMT</t>
  </si>
  <si>
    <t>Thu, 16 Dec 2021 00:00:00 GMT</t>
  </si>
  <si>
    <t>Fri, 17 Dec 2021 00:00:00 GMT</t>
  </si>
  <si>
    <t>Mon, 20 Dec 2021 00:00:00 GMT</t>
  </si>
  <si>
    <t>Tue, 21 Dec 2021 00:00:00 GMT</t>
  </si>
  <si>
    <t>Wed, 22 Dec 2021 00:00:00 GMT</t>
  </si>
  <si>
    <t>Thu, 23 Dec 2021 00:00:00 GMT</t>
  </si>
  <si>
    <t>Mon, 27 Dec 2021 00:00:00 GMT</t>
  </si>
  <si>
    <t>Tue, 28 Dec 2021 00:00:00 GMT</t>
  </si>
  <si>
    <t>Wed, 29 Dec 2021 00:00:00 GMT</t>
  </si>
  <si>
    <t>Thu, 30 Dec 2021 00:00:00 GMT</t>
  </si>
  <si>
    <t>Fri, 31 Dec 2021 00:00:00 GMT</t>
  </si>
  <si>
    <t>Mon, 03 Jan 2022 00:00:00 GMT</t>
  </si>
  <si>
    <t>Tue, 04 Jan 2022 00:00:00 GMT</t>
  </si>
  <si>
    <t>Wed, 05 Jan 2022 00:00:00 GMT</t>
  </si>
  <si>
    <t>Thu, 06 Jan 2022 00:00:00 GMT</t>
  </si>
  <si>
    <t>Fri, 07 Jan 2022 00:00:00 GMT</t>
  </si>
  <si>
    <t>Mon, 10 Jan 2022 00:00:00 GMT</t>
  </si>
  <si>
    <t>Tue, 11 Jan 2022 00:00:00 GMT</t>
  </si>
  <si>
    <t>Wed, 12 Jan 2022 00:00:00 GMT</t>
  </si>
  <si>
    <t>Thu, 13 Jan 2022 00:00:00 GMT</t>
  </si>
  <si>
    <t>Fri, 14 Jan 2022 00:00:00 GMT</t>
  </si>
  <si>
    <t>Tue, 18 Jan 2022 00:00:00 GMT</t>
  </si>
  <si>
    <t>Wed, 19 Jan 2022 00:00:00 GMT</t>
  </si>
  <si>
    <t>Thu, 20 Jan 2022 00:00:00 GMT</t>
  </si>
  <si>
    <t>Fri, 21 Jan 2022 00:00:00 GMT</t>
  </si>
  <si>
    <t>Mon, 24 Jan 2022 00:00:00 GMT</t>
  </si>
  <si>
    <t>Tue, 25 Jan 2022 00:00:00 GMT</t>
  </si>
  <si>
    <t>Wed, 26 Jan 2022 00:00:00 GMT</t>
  </si>
  <si>
    <t>Thu, 27 Jan 2022 00:00:00 GMT</t>
  </si>
  <si>
    <t>Fri, 28 Jan 2022 00:00:00 GMT</t>
  </si>
  <si>
    <t>Mon, 31 Jan 2022 00:00:00 GMT</t>
  </si>
  <si>
    <t>Tue, 01 Feb 2022 00:00:00 GMT</t>
  </si>
  <si>
    <t>Wed, 02 Feb 2022 00:00:00 GMT</t>
  </si>
  <si>
    <t>Thu, 03 Feb 2022 00:00:00 GMT</t>
  </si>
  <si>
    <t>Fri, 04 Feb 2022 00:00:00 GMT</t>
  </si>
  <si>
    <t>Mon, 07 Feb 2022 00:00:00 GMT</t>
  </si>
  <si>
    <t>Tue, 08 Feb 2022 00:00:00 GMT</t>
  </si>
  <si>
    <t>Wed, 09 Feb 2022 00:00:00 GMT</t>
  </si>
  <si>
    <t>Thu, 10 Feb 2022 00:00:00 GMT</t>
  </si>
  <si>
    <t>Fri, 11 Feb 2022 00:00:00 GMT</t>
  </si>
  <si>
    <t>Mon, 14 Feb 2022 00:00:00 GMT</t>
  </si>
  <si>
    <t>Tue, 15 Feb 2022 00:00:00 GMT</t>
  </si>
  <si>
    <t>Wed, 16 Feb 2022 00:00:00 GMT</t>
  </si>
  <si>
    <t>Thu, 17 Feb 2022 00:00:00 GMT</t>
  </si>
  <si>
    <t>Fri, 18 Feb 2022 00:00:00 GMT</t>
  </si>
  <si>
    <t>Tue, 22 Feb 2022 00:00:00 GMT</t>
  </si>
  <si>
    <t>Wed, 23 Feb 2022 00:00:00 GMT</t>
  </si>
  <si>
    <t>Thu, 24 Feb 2022 00:00:00 GMT</t>
  </si>
  <si>
    <t>Fri, 25 Feb 2022 00:00:00 GMT</t>
  </si>
  <si>
    <t>Mon, 28 Feb 2022 00:00:00 GMT</t>
  </si>
  <si>
    <t>Tue, 01 Mar 2022 00:00:00 GMT</t>
  </si>
  <si>
    <t>Wed, 02 Mar 2022 00:00:00 GMT</t>
  </si>
  <si>
    <t>Thu, 03 Mar 2022 00:00:00 GMT</t>
  </si>
  <si>
    <t>Fri, 04 Mar 2022 00:00:00 GMT</t>
  </si>
  <si>
    <t>Mon, 07 Mar 2022 00:00:00 GMT</t>
  </si>
  <si>
    <t>Tue, 08 Mar 2022 00:00:00 GMT</t>
  </si>
  <si>
    <t>Wed, 09 Mar 2022 00:00:00 GMT</t>
  </si>
  <si>
    <t>Thu, 10 Mar 2022 00:00:00 GMT</t>
  </si>
  <si>
    <t>Fri, 11 Mar 2022 00:00:00 GMT</t>
  </si>
  <si>
    <t>Mon, 14 Mar 2022 00:00:00 GMT</t>
  </si>
  <si>
    <t>Tue, 15 Mar 2022 00:00:00 GMT</t>
  </si>
  <si>
    <t>Wed, 16 Mar 2022 00:00:00 GMT</t>
  </si>
  <si>
    <t>Thu, 17 Mar 2022 00:00:00 GMT</t>
  </si>
  <si>
    <t>Fri, 18 Mar 2022 00:00:00 GMT</t>
  </si>
  <si>
    <t>Mon, 21 Mar 2022 00:00:00 GMT</t>
  </si>
  <si>
    <t>Tue, 22 Mar 2022 00:00:00 GMT</t>
  </si>
  <si>
    <t>Wed, 23 Mar 2022 00:00:00 GMT</t>
  </si>
  <si>
    <t>Thu, 24 Mar 2022 00:00:00 GMT</t>
  </si>
  <si>
    <t>Fri, 25 Mar 2022 00:00:00 GMT</t>
  </si>
  <si>
    <t>Mon, 28 Mar 2022 00:00:00 GMT</t>
  </si>
  <si>
    <t>Tue, 29 Mar 2022 00:00:00 GMT</t>
  </si>
  <si>
    <t>Wed, 30 Mar 2022 00:00:00 GMT</t>
  </si>
  <si>
    <t>Thu, 31 Mar 2022 00:00:00 GMT</t>
  </si>
  <si>
    <t>Fri, 01 Apr 2022 00:00:00 GMT</t>
  </si>
  <si>
    <t>Mon, 04 Apr 2022 00:00:00 GMT</t>
  </si>
  <si>
    <t>Tue, 05 Apr 2022 00:00:00 GMT</t>
  </si>
  <si>
    <t>Wed, 06 Apr 2022 00:00:00 GMT</t>
  </si>
  <si>
    <t>Thu, 07 Apr 2022 00:00:00 GMT</t>
  </si>
  <si>
    <t>Fri, 08 Apr 2022 00:00:00 GMT</t>
  </si>
  <si>
    <t>Mon, 11 Apr 2022 00:00:00 GMT</t>
  </si>
  <si>
    <t>Tue, 12 Apr 2022 00:00:00 GMT</t>
  </si>
  <si>
    <t>Wed, 13 Apr 2022 00:00:00 GMT</t>
  </si>
  <si>
    <t>Thu, 14 Apr 2022 00:00:00 GMT</t>
  </si>
  <si>
    <t>Mon, 18 Apr 2022 00:00:00 GMT</t>
  </si>
  <si>
    <t>Tue, 19 Apr 2022 00:00:00 GMT</t>
  </si>
  <si>
    <t>Wed, 20 Apr 2022 00:00:00 GMT</t>
  </si>
  <si>
    <t>Thu, 21 Apr 2022 00:00:00 GMT</t>
  </si>
  <si>
    <t>Fri, 22 Apr 2022 00:00:00 GMT</t>
  </si>
  <si>
    <t>Mon, 25 Apr 2022 00:00:00 GMT</t>
  </si>
  <si>
    <t>Tue, 26 Apr 2022 00:00:00 GMT</t>
  </si>
  <si>
    <t>Wed, 27 Apr 2022 00:00:00 GMT</t>
  </si>
  <si>
    <t>Thu, 28 Apr 2022 00:00:00 GMT</t>
  </si>
  <si>
    <t>Fri, 29 Apr 2022 00:00:00 GMT</t>
  </si>
  <si>
    <t>Mon, 02 May 2022 00:00:00 GMT</t>
  </si>
  <si>
    <t>Tue, 03 May 2022 00:00:00 GMT</t>
  </si>
  <si>
    <t>Wed, 04 May 2022 00:00:00 GMT</t>
  </si>
  <si>
    <t>Thu, 05 May 2022 00:00:00 GMT</t>
  </si>
  <si>
    <t>Fri, 06 May 2022 00:00:00 GMT</t>
  </si>
  <si>
    <t>Mon, 09 May 2022 00:00:00 GMT</t>
  </si>
  <si>
    <t>Tue, 10 May 2022 00:00:00 GMT</t>
  </si>
  <si>
    <t>Wed, 11 May 2022 00:00:00 GMT</t>
  </si>
  <si>
    <t>Thu, 12 May 2022 00:00:00 GMT</t>
  </si>
  <si>
    <t>Fri, 13 May 2022 00:00:00 GMT</t>
  </si>
  <si>
    <t>Mon, 16 May 2022 00:00:00 GMT</t>
  </si>
  <si>
    <t>Tue, 17 May 2022 00:00:00 GMT</t>
  </si>
  <si>
    <t>Wed, 18 May 2022 00:00:00 GMT</t>
  </si>
  <si>
    <t>Thu, 19 May 2022 00:00:00 GMT</t>
  </si>
  <si>
    <t>Fri, 20 May 2022 00:00:00 GMT</t>
  </si>
  <si>
    <t>Mon, 23 May 2022 00:00:00 GMT</t>
  </si>
  <si>
    <t>Tue, 24 May 2022 00:00:00 GMT</t>
  </si>
  <si>
    <t>Wed, 25 May 2022 00:00:00 GMT</t>
  </si>
  <si>
    <t>Thu, 26 May 2022 00:00:00 GMT</t>
  </si>
  <si>
    <t>Fri, 27 May 2022 00:00:00 GMT</t>
  </si>
  <si>
    <t>Tue, 31 May 2022 00:00:00 GMT</t>
  </si>
  <si>
    <t>Wed, 01 Jun 2022 00:00:00 GMT</t>
  </si>
  <si>
    <t>Thu, 02 Jun 2022 00:00:00 GMT</t>
  </si>
  <si>
    <t>Fri, 03 Jun 2022 00:00:00 GMT</t>
  </si>
  <si>
    <t>Mon, 06 Jun 2022 00:00:00 GMT</t>
  </si>
  <si>
    <t>Tue, 07 Jun 2022 00:00:00 GMT</t>
  </si>
  <si>
    <t>Wed, 08 Jun 2022 00:00:00 GMT</t>
  </si>
  <si>
    <t>Thu, 09 Jun 2022 00:00:00 GMT</t>
  </si>
  <si>
    <t>Fri, 10 Jun 2022 00:00:00 GMT</t>
  </si>
  <si>
    <t>Mon, 13 Jun 2022 00:00:00 GMT</t>
  </si>
  <si>
    <t>Tue, 14 Jun 2022 00:00:00 GMT</t>
  </si>
  <si>
    <t>Wed, 15 Jun 2022 00:00:00 GMT</t>
  </si>
  <si>
    <t>Thu, 16 Jun 2022 00:00:00 GMT</t>
  </si>
  <si>
    <t>Fri, 17 Jun 2022 00:00:00 GMT</t>
  </si>
  <si>
    <t>Tue, 21 Jun 2022 00:00:00 GMT</t>
  </si>
  <si>
    <t>Wed, 22 Jun 2022 00:00:00 GMT</t>
  </si>
  <si>
    <t>Thu, 23 Jun 2022 00:00:00 GMT</t>
  </si>
  <si>
    <t>Fri, 24 Jun 2022 00:00:00 GMT</t>
  </si>
  <si>
    <t>Mon, 27 Jun 2022 00:00:00 GMT</t>
  </si>
  <si>
    <t>Tue, 28 Jun 2022 00:00:00 GMT</t>
  </si>
  <si>
    <t>Wed, 29 Jun 2022 00:00:00 GMT</t>
  </si>
  <si>
    <t>Thu, 30 Jun 2022 00:00:00 GMT</t>
  </si>
  <si>
    <t>Fri, 01 Jul 2022 00:00:00 GMT</t>
  </si>
  <si>
    <t>Tue, 05 Jul 2022 00:00:00 GMT</t>
  </si>
  <si>
    <t>Wed, 06 Jul 2022 00:00:00 GMT</t>
  </si>
  <si>
    <t>Thu, 07 Jul 2022 00:00:00 GMT</t>
  </si>
  <si>
    <t>Fri, 08 Jul 2022 00:00:00 GMT</t>
  </si>
  <si>
    <t>Mon, 11 Jul 2022 00:00:00 GMT</t>
  </si>
  <si>
    <t>Tue, 12 Jul 2022 00:00:00 GMT</t>
  </si>
  <si>
    <t>Wed, 13 Jul 2022 00:00:00 GMT</t>
  </si>
  <si>
    <t>Thu, 14 Jul 2022 00:00:00 GMT</t>
  </si>
  <si>
    <t>Fri, 15 Jul 2022 00:00:00 GMT</t>
  </si>
  <si>
    <t>Mon, 18 Jul 2022 00:00:00 GMT</t>
  </si>
  <si>
    <t>Tue, 19 Jul 2022 00:00:00 GMT</t>
  </si>
  <si>
    <t>Wed, 20 Jul 2022 00:00:00 GMT</t>
  </si>
  <si>
    <t>Thu, 21 Jul 2022 00:00:00 GMT</t>
  </si>
  <si>
    <t>Fri, 22 Jul 2022 00:00:00 GMT</t>
  </si>
  <si>
    <t>Mon, 25 Jul 2022 00:00:00 GMT</t>
  </si>
  <si>
    <t>Tue, 26 Jul 2022 00:00:00 GMT</t>
  </si>
  <si>
    <t>Wed, 27 Jul 2022 00:00:00 GMT</t>
  </si>
  <si>
    <t>Thu, 28 Jul 2022 00:00:00 GMT</t>
  </si>
  <si>
    <t>Fri, 29 Jul 2022 00:00:00 GMT</t>
  </si>
  <si>
    <t>Mon, 01 Aug 2022 00:00:00 GMT</t>
  </si>
  <si>
    <t>Tue, 02 Aug 2022 00:00:00 GMT</t>
  </si>
  <si>
    <t>Wed, 03 Aug 2022 00:00:00 GMT</t>
  </si>
  <si>
    <t>Thu, 04 Aug 2022 00:00:00 GMT</t>
  </si>
  <si>
    <t>Fri, 05 Aug 2022 00:00:00 GMT</t>
  </si>
  <si>
    <t>Mon, 08 Aug 2022 00:00:00 GMT</t>
  </si>
  <si>
    <t>Tue, 09 Aug 2022 00:00:00 GMT</t>
  </si>
  <si>
    <t>Wed, 10 Aug 2022 00:00:00 GMT</t>
  </si>
  <si>
    <t>Thu, 11 Aug 2022 00:00:00 GMT</t>
  </si>
  <si>
    <t>Fri, 12 Aug 2022 00:00:00 GMT</t>
  </si>
  <si>
    <t>Mon, 15 Aug 2022 00:00:00 GMT</t>
  </si>
  <si>
    <t>Tue, 16 Aug 2022 00:00:00 GMT</t>
  </si>
  <si>
    <t>Wed, 17 Aug 2022 00:00:00 GMT</t>
  </si>
  <si>
    <t>Thu, 18 Aug 2022 00:00:00 GMT</t>
  </si>
  <si>
    <t>Fri, 19 Aug 2022 00:00:00 GMT</t>
  </si>
  <si>
    <t>Mon, 22 Aug 2022 00:00:00 GMT</t>
  </si>
  <si>
    <t>Tue, 23 Aug 2022 00:00:00 GMT</t>
  </si>
  <si>
    <t>Wed, 24 Aug 2022 00:00:00 GMT</t>
  </si>
  <si>
    <t>Thu, 25 Aug 2022 00:00:00 GMT</t>
  </si>
  <si>
    <t>Fri, 26 Aug 2022 00:00:00 GMT</t>
  </si>
  <si>
    <t>Mon, 29 Aug 2022 00:00:00 GMT</t>
  </si>
  <si>
    <t>Tue, 30 Aug 2022 00:00:00 GMT</t>
  </si>
  <si>
    <t>Wed, 31 Aug 2022 00:00:00 GMT</t>
  </si>
  <si>
    <t>Thu, 01 Sep 2022 00:00:00 GMT</t>
  </si>
  <si>
    <t>Fri, 02 Sep 2022 00:00:00 GMT</t>
  </si>
  <si>
    <t>Tue, 06 Sep 2022 00:00:00 GMT</t>
  </si>
  <si>
    <t>Wed, 07 Sep 2022 00:00:00 GMT</t>
  </si>
  <si>
    <t>Thu, 08 Sep 2022 00:00:00 GMT</t>
  </si>
  <si>
    <t>Fri, 09 Sep 2022 00:00:00 GMT</t>
  </si>
  <si>
    <t>Mon, 12 Sep 2022 00:00:00 GMT</t>
  </si>
  <si>
    <t>Tue, 13 Sep 2022 00:00:00 GMT</t>
  </si>
  <si>
    <t>Wed, 14 Sep 2022 00:00:00 GMT</t>
  </si>
  <si>
    <t>Thu, 15 Sep 2022 00:00:00 GMT</t>
  </si>
  <si>
    <t>Fri, 16 Sep 2022 00:00:00 GMT</t>
  </si>
  <si>
    <t>Mon, 19 Sep 2022 00:00:00 GMT</t>
  </si>
  <si>
    <t>Tue, 20 Sep 2022 00:00:00 GMT</t>
  </si>
  <si>
    <t>Wed, 21 Sep 2022 00:00:00 GMT</t>
  </si>
  <si>
    <t>Thu, 22 Sep 2022 00:00:00 GMT</t>
  </si>
  <si>
    <t>Fri, 23 Sep 2022 00:00:00 GMT</t>
  </si>
  <si>
    <t>Mon, 26 Sep 2022 00:00:00 GMT</t>
  </si>
  <si>
    <t>Tue, 27 Sep 2022 00:00:00 GMT</t>
  </si>
  <si>
    <t>Wed, 28 Sep 2022 00:00:00 GMT</t>
  </si>
  <si>
    <t>Thu, 29 Sep 2022 00:00:00 GMT</t>
  </si>
  <si>
    <t>Fri, 30 Sep 2022 00:00:00 GMT</t>
  </si>
  <si>
    <t>Mon, 03 Oct 2022 00:00:00 GMT</t>
  </si>
  <si>
    <t>Tue, 04 Oct 2022 00:00:00 GMT</t>
  </si>
  <si>
    <t>Wed, 05 Oct 2022 00:00:00 GMT</t>
  </si>
  <si>
    <t>Thu, 06 Oct 2022 00:00:00 GMT</t>
  </si>
  <si>
    <t>Fri, 07 Oct 2022 00:00:00 GMT</t>
  </si>
  <si>
    <t>Mon, 10 Oct 2022 00:00:00 GMT</t>
  </si>
  <si>
    <t>Tue, 11 Oct 2022 00:00:00 GMT</t>
  </si>
  <si>
    <t>Wed, 12 Oct 2022 00:00:00 GMT</t>
  </si>
  <si>
    <t>Thu, 13 Oct 2022 00:00:00 GMT</t>
  </si>
  <si>
    <t>Fri, 14 Oct 2022 00:00:00 GMT</t>
  </si>
  <si>
    <t>Mon, 17 Oct 2022 00:00:00 GMT</t>
  </si>
  <si>
    <t>Tue, 18 Oct 2022 00:00:00 GMT</t>
  </si>
  <si>
    <t>Wed, 19 Oct 2022 00:00:00 GMT</t>
  </si>
  <si>
    <t>Thu, 20 Oct 2022 00:00:00 GMT</t>
  </si>
  <si>
    <t>Fri, 21 Oct 2022 00:00:00 GMT</t>
  </si>
  <si>
    <t>Mon, 24 Oct 2022 00:00:00 GMT</t>
  </si>
  <si>
    <t>Tue, 25 Oct 2022 00:00:00 GMT</t>
  </si>
  <si>
    <t>Wed, 26 Oct 2022 00:00:00 GMT</t>
  </si>
  <si>
    <t>Thu, 27 Oct 2022 00:00:00 GMT</t>
  </si>
  <si>
    <t>Fri, 28 Oct 2022 00:00:00 GMT</t>
  </si>
  <si>
    <t>Mon, 31 Oct 2022 00:00:00 GMT</t>
  </si>
  <si>
    <t>Tue, 01 Nov 2022 00:00:00 GMT</t>
  </si>
  <si>
    <t>Wed, 02 Nov 2022 00:00:00 GMT</t>
  </si>
  <si>
    <t>Thu, 03 Nov 2022 00:00:00 GMT</t>
  </si>
  <si>
    <t>Fri, 04 Nov 2022 00:00:00 GMT</t>
  </si>
  <si>
    <t>Mon, 07 Nov 2022 00:00:00 GMT</t>
  </si>
  <si>
    <t>Tue, 08 Nov 2022 00:00:00 GMT</t>
  </si>
  <si>
    <t>Wed, 09 Nov 2022 00:00:00 GMT</t>
  </si>
  <si>
    <t>Thu, 10 Nov 2022 00:00:00 GMT</t>
  </si>
  <si>
    <t>Fri, 11 Nov 2022 00:00:00 GMT</t>
  </si>
  <si>
    <t>Mon, 14 Nov 2022 00:00:00 GMT</t>
  </si>
  <si>
    <t>Tue, 15 Nov 2022 00:00:00 GMT</t>
  </si>
  <si>
    <t>Wed, 16 Nov 2022 00:00:00 GMT</t>
  </si>
  <si>
    <t>Thu, 17 Nov 2022 00:00:00 GMT</t>
  </si>
  <si>
    <t>Fri, 18 Nov 2022 00:00:00 GMT</t>
  </si>
  <si>
    <t>Mon, 21 Nov 2022 00:00:00 GMT</t>
  </si>
  <si>
    <t>Tue, 22 Nov 2022 00:00:00 GMT</t>
  </si>
  <si>
    <t>Wed, 23 Nov 2022 00:00:00 GMT</t>
  </si>
  <si>
    <t>Fri, 25 Nov 2022 00:00:00 GMT</t>
  </si>
  <si>
    <t>Mon, 28 Nov 2022 00:00:00 GMT</t>
  </si>
  <si>
    <t>Tue, 29 Nov 2022 00:00:00 GMT</t>
  </si>
  <si>
    <t>Wed, 30 Nov 2022 00:00:00 GMT</t>
  </si>
  <si>
    <t>Thu, 01 Dec 2022 00:00:00 GMT</t>
  </si>
  <si>
    <t>Fri, 02 Dec 2022 00:00:00 GMT</t>
  </si>
  <si>
    <t>Mon, 05 Dec 2022 00:00:00 GMT</t>
  </si>
  <si>
    <t>Tue, 06 Dec 2022 00:00:00 GMT</t>
  </si>
  <si>
    <t>Wed, 07 Dec 2022 00:00:00 GMT</t>
  </si>
  <si>
    <t>Thu, 08 Dec 2022 00:00:00 GMT</t>
  </si>
  <si>
    <t>Fri, 09 Dec 2022 00:00:00 GMT</t>
  </si>
  <si>
    <t>Mon, 12 Dec 2022 00:00:00 GMT</t>
  </si>
  <si>
    <t>Tue, 13 Dec 2022 00:00:00 GMT</t>
  </si>
  <si>
    <t>Wed, 14 Dec 2022 00:00:00 GMT</t>
  </si>
  <si>
    <t>Thu, 15 Dec 2022 00:00:00 GMT</t>
  </si>
  <si>
    <t>Fri, 16 Dec 2022 00:00:00 GMT</t>
  </si>
  <si>
    <t>Mon, 19 Dec 2022 00:00:00 GMT</t>
  </si>
  <si>
    <t>Tue, 20 Dec 2022 00:00:00 GMT</t>
  </si>
  <si>
    <t>Wed, 21 Dec 2022 00:00:00 GMT</t>
  </si>
  <si>
    <t>Thu, 22 Dec 2022 00:00:00 GMT</t>
  </si>
  <si>
    <t>Fri, 23 Dec 2022 00:00:00 GMT</t>
  </si>
  <si>
    <t>Tue, 27 Dec 2022 00:00:00 GMT</t>
  </si>
  <si>
    <t>Wed, 28 Dec 2022 00:00:00 GMT</t>
  </si>
  <si>
    <t>Thu, 29 Dec 2022 00:00:00 GMT</t>
  </si>
  <si>
    <t>Fri, 30 Dec 2022 00:00:00 GMT</t>
  </si>
  <si>
    <t>Tue, 03 Jan 2023 00:00:00 GMT</t>
  </si>
  <si>
    <t>Wed, 04 Jan 2023 00:00:00 GMT</t>
  </si>
  <si>
    <t>Thu, 05 Jan 2023 00:00:00 GMT</t>
  </si>
  <si>
    <t>Fri, 06 Jan 2023 00:00:00 GMT</t>
  </si>
  <si>
    <t>Mon, 09 Jan 2023 00:00:00 GMT</t>
  </si>
  <si>
    <t>Tue, 10 Jan 2023 00:00:00 GMT</t>
  </si>
  <si>
    <t>Wed, 11 Jan 2023 00:00:00 GMT</t>
  </si>
  <si>
    <t>Thu, 12 Jan 2023 00:00:00 GMT</t>
  </si>
  <si>
    <t>Fri, 13 Jan 2023 00:00:00 GMT</t>
  </si>
  <si>
    <t>Tue, 17 Jan 2023 00:00:00 GMT</t>
  </si>
  <si>
    <t>Wed, 18 Jan 2023 00:00:00 GMT</t>
  </si>
  <si>
    <t>Thu, 19 Jan 2023 00:00:00 GMT</t>
  </si>
  <si>
    <t>Fri, 20 Jan 2023 00:00:00 GMT</t>
  </si>
  <si>
    <t>Mon, 23 Jan 2023 00:00:00 GMT</t>
  </si>
  <si>
    <t>Tue, 24 Jan 2023 00:00:00 GMT</t>
  </si>
  <si>
    <t>Wed, 25 Jan 2023 00:00:00 GMT</t>
  </si>
  <si>
    <t>Thu, 26 Jan 2023 00:00:00 GMT</t>
  </si>
  <si>
    <t>Fri, 27 Jan 2023 00:00:00 GMT</t>
  </si>
  <si>
    <t>Mon, 30 Jan 2023 00:00:00 GMT</t>
  </si>
  <si>
    <t>Tue, 31 Jan 2023 00:00:00 GMT</t>
  </si>
  <si>
    <t>Wed, 01 Feb 2023 00:00:00 GMT</t>
  </si>
  <si>
    <t>Thu, 02 Feb 2023 00:00:00 GMT</t>
  </si>
  <si>
    <t>Fri, 03 Feb 2023 00:00:00 GMT</t>
  </si>
  <si>
    <t>Mon, 06 Feb 2023 00:00:00 GMT</t>
  </si>
  <si>
    <t>Tue, 07 Feb 2023 00:00:00 GMT</t>
  </si>
  <si>
    <t>Wed, 08 Feb 2023 00:00:00 GMT</t>
  </si>
  <si>
    <t>Thu, 09 Feb 2023 00:00:00 GMT</t>
  </si>
  <si>
    <t>Fri, 10 Feb 2023 00:00:00 GMT</t>
  </si>
  <si>
    <t>Mon, 13 Feb 2023 00:00:00 GMT</t>
  </si>
  <si>
    <t>Tue, 14 Feb 2023 00:00:00 GMT</t>
  </si>
  <si>
    <t>Wed, 15 Feb 2023 00:00:00 GMT</t>
  </si>
  <si>
    <t>Thu, 16 Feb 2023 00:00:00 GMT</t>
  </si>
  <si>
    <t>Fri, 17 Feb 2023 00:00:00 GMT</t>
  </si>
  <si>
    <t>Tue, 21 Feb 2023 00:00:00 GMT</t>
  </si>
  <si>
    <t>Wed, 22 Feb 2023 00:00:00 GMT</t>
  </si>
  <si>
    <t>Thu, 23 Feb 2023 00:00:00 GMT</t>
  </si>
  <si>
    <t>Fri, 24 Feb 2023 00:00:00 GMT</t>
  </si>
  <si>
    <t>Mon, 27 Feb 2023 00:00:00 GMT</t>
  </si>
  <si>
    <t>Tue, 28 Feb 2023 00:00:00 GMT</t>
  </si>
  <si>
    <t>Wed, 01 Mar 2023 00:00:00 GMT</t>
  </si>
  <si>
    <t>Thu, 02 Mar 2023 00:00:00 GMT</t>
  </si>
  <si>
    <t>Fri, 03 Mar 2023 00:00:00 GMT</t>
  </si>
  <si>
    <t>Mon, 06 Mar 2023 00:00:00 GMT</t>
  </si>
  <si>
    <t>Tue, 07 Mar 2023 00:00:00 GMT</t>
  </si>
  <si>
    <t>Wed, 08 Mar 2023 00:00:00 GMT</t>
  </si>
  <si>
    <t>Thu, 09 Mar 2023 00:00:00 GMT</t>
  </si>
  <si>
    <t>Fri, 10 Mar 2023 00:00:00 GMT</t>
  </si>
  <si>
    <t>Mon, 13 Mar 2023 00:00:00 GMT</t>
  </si>
  <si>
    <t>Tue, 14 Mar 2023 00:00:00 GMT</t>
  </si>
  <si>
    <t>Wed, 15 Mar 2023 00:00:00 GMT</t>
  </si>
  <si>
    <t>Thu, 16 Mar 2023 00:00:00 GMT</t>
  </si>
  <si>
    <t>Fri, 17 Mar 2023 00:00:00 GMT</t>
  </si>
  <si>
    <t>Mon, 20 Mar 2023 00:00:00 GMT</t>
  </si>
  <si>
    <t>Tue, 21 Mar 2023 00:00:00 GMT</t>
  </si>
  <si>
    <t>Wed, 22 Mar 2023 00:00:00 GMT</t>
  </si>
  <si>
    <t>Thu, 23 Mar 2023 00:00:00 GMT</t>
  </si>
  <si>
    <t>Fri, 24 Mar 2023 00:00:00 GMT</t>
  </si>
  <si>
    <t>Mon, 27 Mar 2023 00:00:00 GMT</t>
  </si>
  <si>
    <t>Tue, 28 Mar 2023 00:00:00 GMT</t>
  </si>
  <si>
    <t>Wed, 29 Mar 2023 00:00:00 GMT</t>
  </si>
  <si>
    <t>Thu, 30 Mar 2023 00:00:00 GMT</t>
  </si>
  <si>
    <t>Fri, 31 Mar 2023 00:00:00 GMT</t>
  </si>
  <si>
    <t>Mon, 03 Apr 2023 00:00:00 GMT</t>
  </si>
  <si>
    <t>Tue, 04 Apr 2023 00:00:00 GMT</t>
  </si>
  <si>
    <t>Wed, 05 Apr 2023 00:00:00 GMT</t>
  </si>
  <si>
    <t>Thu, 06 Apr 2023 00:00:00 GMT</t>
  </si>
  <si>
    <t>Mon, 10 Apr 2023 00:00:00 GMT</t>
  </si>
  <si>
    <t>Tue, 11 Apr 2023 00:00:00 GMT</t>
  </si>
  <si>
    <t>Wed, 12 Apr 2023 00:00:00 GMT</t>
  </si>
  <si>
    <t>Thu, 13 Apr 2023 00:00:00 GMT</t>
  </si>
  <si>
    <t>Fri, 14 Apr 2023 00:00:00 GMT</t>
  </si>
  <si>
    <t>Mon, 17 Apr 2023 00:00:00 GMT</t>
  </si>
  <si>
    <t>Tue, 18 Apr 2023 00:00:00 GMT</t>
  </si>
  <si>
    <t>Wed, 19 Apr 2023 00:00:00 GMT</t>
  </si>
  <si>
    <t>Thu, 20 Apr 2023 00:00:00 GMT</t>
  </si>
  <si>
    <t>Fri, 21 Apr 2023 00:00:00 GMT</t>
  </si>
  <si>
    <t>Mon, 24 Apr 2023 00:00:00 GMT</t>
  </si>
  <si>
    <t>Tue, 25 Apr 2023 00:00:00 GMT</t>
  </si>
  <si>
    <t>Wed, 26 Apr 2023 00:00:00 GMT</t>
  </si>
  <si>
    <t>Thu, 27 Apr 2023 00:00:00 GMT</t>
  </si>
  <si>
    <t>Fri, 28 Apr 2023 00:00:00 GMT</t>
  </si>
  <si>
    <t>Mon, 01 May 2023 00:00:00 GMT</t>
  </si>
  <si>
    <t>Tue, 02 May 2023 00:00:00 GMT</t>
  </si>
  <si>
    <t>Wed, 03 May 2023 00:00:00 GMT</t>
  </si>
  <si>
    <t>Thu, 04 May 2023 00:00:00 GMT</t>
  </si>
  <si>
    <t>Fri, 05 May 2023 00:00:00 GMT</t>
  </si>
  <si>
    <t>Mon, 08 May 2023 00:00:00 GMT</t>
  </si>
  <si>
    <t>Tue, 09 May 2023 00:00:00 GMT</t>
  </si>
  <si>
    <t>Wed, 10 May 2023 00:00:00 GMT</t>
  </si>
  <si>
    <t>Thu, 11 May 2023 00:00:00 GMT</t>
  </si>
  <si>
    <t>Fri, 12 May 2023 00:00:00 GMT</t>
  </si>
  <si>
    <t>Mon, 15 May 2023 00:00:00 GMT</t>
  </si>
  <si>
    <t>Tue, 16 May 2023 00:00:00 GMT</t>
  </si>
  <si>
    <t>Wed, 17 May 2023 00:00:00 GMT</t>
  </si>
  <si>
    <t>Thu, 18 May 2023 00:00:00 GMT</t>
  </si>
  <si>
    <t>Fri, 19 May 2023 00:00:00 GMT</t>
  </si>
  <si>
    <t>Mon, 22 May 2023 00:00:00 GMT</t>
  </si>
  <si>
    <t>Tue, 23 May 2023 00:00:00 GMT</t>
  </si>
  <si>
    <t>Wed, 24 May 2023 00:00:00 GMT</t>
  </si>
  <si>
    <t>Thu, 25 May 2023 00:00:00 GMT</t>
  </si>
  <si>
    <t>Fri, 26 May 2023 00:00:00 GMT</t>
  </si>
  <si>
    <t>Tue, 30 May 2023 00:00:00 GMT</t>
  </si>
  <si>
    <t>Wed, 31 May 2023 00:00:00 GMT</t>
  </si>
  <si>
    <t>Thu, 01 Jun 2023 00:00:00 GMT</t>
  </si>
  <si>
    <t>Fri, 02 Jun 2023 00:00:00 GMT</t>
  </si>
  <si>
    <t>Mon, 05 Jun 2023 00:00:00 GMT</t>
  </si>
  <si>
    <t>Tue, 06 Jun 2023 00:00:00 GMT</t>
  </si>
  <si>
    <t>Wed, 07 Jun 2023 00:00:00 GMT</t>
  </si>
  <si>
    <t>Thu, 08 Jun 2023 00:00:00 GMT</t>
  </si>
  <si>
    <t>Fri, 09 Jun 2023 00:00:00 GMT</t>
  </si>
  <si>
    <t>Mon, 12 Jun 2023 00:00:00 GMT</t>
  </si>
  <si>
    <t>Tue, 13 Jun 2023 00:00:00 GMT</t>
  </si>
  <si>
    <t>Wed, 14 Jun 2023 00:00:00 GMT</t>
  </si>
  <si>
    <t>Thu, 15 Jun 2023 00:00:00 GMT</t>
  </si>
  <si>
    <t>Fri, 16 Jun 2023 00:00:00 GMT</t>
  </si>
  <si>
    <t>Tue, 20 Jun 2023 00:00:00 GMT</t>
  </si>
  <si>
    <t>Wed, 21 Jun 2023 00:00:00 GMT</t>
  </si>
  <si>
    <t>Thu, 22 Jun 2023 00:00:00 GMT</t>
  </si>
  <si>
    <t>Fri, 23 Jun 2023 00:00:00 GMT</t>
  </si>
  <si>
    <t>Mon, 26 Jun 2023 00:00:00 GMT</t>
  </si>
  <si>
    <t>Tue, 27 Jun 2023 00:00:00 GMT</t>
  </si>
  <si>
    <t>Wed, 28 Jun 2023 00:00:00 GMT</t>
  </si>
  <si>
    <t>Thu, 29 Jun 2023 00:00:00 GMT</t>
  </si>
  <si>
    <t>Fri, 30 Jun 2023 00:00:00 GMT</t>
  </si>
  <si>
    <t>Mon, 03 Jul 2023 00:00:00 GMT</t>
  </si>
  <si>
    <t>Wed, 05 Jul 2023 00:00:00 GMT</t>
  </si>
  <si>
    <t>Thu, 06 Jul 2023 00:00:00 GMT</t>
  </si>
  <si>
    <t>Fri, 07 Jul 2023 00:00:00 GMT</t>
  </si>
  <si>
    <t>Mon, 10 Jul 2023 00:00:00 GMT</t>
  </si>
  <si>
    <t>Tue, 11 Jul 2023 00:00:00 GMT</t>
  </si>
  <si>
    <t>Wed, 12 Jul 2023 00:00:00 GMT</t>
  </si>
  <si>
    <t>Thu, 13 Jul 2023 00:00:00 GMT</t>
  </si>
  <si>
    <t>Fri, 14 Jul 2023 00:00:00 GMT</t>
  </si>
  <si>
    <t>Mon, 17 Jul 2023 00:00:00 GMT</t>
  </si>
  <si>
    <t>Tue, 18 Jul 2023 00:00:00 GMT</t>
  </si>
  <si>
    <t>Wed, 19 Jul 2023 00:00:00 GMT</t>
  </si>
  <si>
    <t>Thu, 20 Jul 2023 00:00:00 GMT</t>
  </si>
  <si>
    <t>Fri, 21 Jul 2023 00:00:00 GMT</t>
  </si>
  <si>
    <t>Mon, 24 Jul 2023 00:00:00 GMT</t>
  </si>
  <si>
    <t>Tue, 25 Jul 2023 00:00:00 GMT</t>
  </si>
  <si>
    <t>Wed, 26 Jul 2023 00:00:00 GMT</t>
  </si>
  <si>
    <t>Thu, 27 Jul 2023 00:00:00 GMT</t>
  </si>
  <si>
    <t>Fri, 28 Jul 2023 00:00:00 GMT</t>
  </si>
  <si>
    <t>Mon, 31 Jul 2023 00:00:00 GMT</t>
  </si>
  <si>
    <t>Tue, 01 Aug 2023 00:00:00 GMT</t>
  </si>
  <si>
    <t>Wed, 02 Aug 2023 00:00:00 GMT</t>
  </si>
  <si>
    <t>Thu, 03 Aug 2023 00:00:00 GMT</t>
  </si>
  <si>
    <t>Fri, 04 Aug 2023 00:00:00 GMT</t>
  </si>
  <si>
    <t>Mon, 07 Aug 2023 00:00:00 GMT</t>
  </si>
  <si>
    <t>Tue, 08 Aug 2023 00:00:00 GMT</t>
  </si>
  <si>
    <t>Wed, 09 Aug 2023 00:00:00 GMT</t>
  </si>
  <si>
    <t>Thu, 10 Aug 2023 00:00:00 GMT</t>
  </si>
  <si>
    <t>Fri, 11 Aug 2023 00:00:00 GMT</t>
  </si>
  <si>
    <t>Mon, 14 Aug 2023 00:00:00 GMT</t>
  </si>
  <si>
    <t>Tue, 15 Aug 2023 00:00:00 GMT</t>
  </si>
  <si>
    <t>Wed, 16 Aug 2023 00:00:00 GMT</t>
  </si>
  <si>
    <t>Thu, 17 Aug 2023 00:00:00 GMT</t>
  </si>
  <si>
    <t>Fri, 18 Aug 2023 00:00:00 GMT</t>
  </si>
  <si>
    <t>Mon, 21 Aug 2023 00:00:00 GMT</t>
  </si>
  <si>
    <t>Tue, 22 Aug 2023 00:00:00 GMT</t>
  </si>
  <si>
    <t>Wed, 23 Aug 2023 00:00:00 GMT</t>
  </si>
  <si>
    <t>Thu, 24 Aug 2023 00:00:00 GMT</t>
  </si>
  <si>
    <t>Fri, 25 Aug 2023 00:00:00 GMT</t>
  </si>
  <si>
    <t>Mon, 28 Aug 2023 00:00:00 GMT</t>
  </si>
  <si>
    <t>Tue, 29 Aug 2023 00:00:00 GMT</t>
  </si>
  <si>
    <t>Wed, 30 Aug 2023 00:00:00 GMT</t>
  </si>
  <si>
    <t>Thu, 31 Aug 2023 00:00:00 GMT</t>
  </si>
  <si>
    <t>Fri, 01 Sep 2023 00:00:00 GMT</t>
  </si>
  <si>
    <t>Tue, 05 Sep 2023 00:00:00 GMT</t>
  </si>
  <si>
    <t>Wed, 06 Sep 2023 00:00:00 GMT</t>
  </si>
  <si>
    <t>Thu, 07 Sep 2023 00:00:00 GMT</t>
  </si>
  <si>
    <t>Fri, 08 Sep 2023 00:00:00 GMT</t>
  </si>
  <si>
    <t>Mon, 11 Sep 2023 00:00:00 GMT</t>
  </si>
  <si>
    <t>Tue, 12 Sep 2023 00:00:00 GMT</t>
  </si>
  <si>
    <t>Wed, 13 Sep 2023 00:00:00 GMT</t>
  </si>
  <si>
    <t>Thu, 14 Sep 2023 00:00:00 GMT</t>
  </si>
  <si>
    <t>Fri, 15 Sep 2023 00:00:00 GMT</t>
  </si>
  <si>
    <t>Mon, 18 Sep 2023 00:00:00 GMT</t>
  </si>
  <si>
    <t>Tue, 19 Sep 2023 00:00:00 GMT</t>
  </si>
  <si>
    <t>Wed, 20 Sep 2023 00:00:00 GMT</t>
  </si>
  <si>
    <t>Thu, 21 Sep 2023 00:00:00 GMT</t>
  </si>
  <si>
    <t>Fri, 22 Sep 2023 00:00:00 GMT</t>
  </si>
  <si>
    <t>Mon, 25 Sep 2023 00:00:00 GMT</t>
  </si>
  <si>
    <t>Tue, 26 Sep 2023 00:00:00 GMT</t>
  </si>
  <si>
    <t>Wed, 27 Sep 2023 00:00:00 GMT</t>
  </si>
  <si>
    <t>Thu, 28 Sep 2023 00:00:00 GMT</t>
  </si>
  <si>
    <t>Fri, 29 Sep 2023 00:00:00 GMT</t>
  </si>
  <si>
    <t>Mon, 02 Oct 2023 00:00:00 GMT</t>
  </si>
  <si>
    <t>Tue, 03 Oct 2023 00:00:00 GMT</t>
  </si>
  <si>
    <t>Wed, 04 Oct 2023 00:00:00 GMT</t>
  </si>
  <si>
    <t>Thu, 05 Oct 2023 00:00:00 GMT</t>
  </si>
  <si>
    <t>Fri, 06 Oct 2023 00:00:00 GMT</t>
  </si>
  <si>
    <t>Mon, 09 Oct 2023 00:00:00 GMT</t>
  </si>
  <si>
    <t>Tue, 10 Oct 2023 00:00:00 GMT</t>
  </si>
  <si>
    <t>Wed, 11 Oct 2023 00:00:00 GMT</t>
  </si>
  <si>
    <t>Thu, 12 Oct 2023 00:00:00 GMT</t>
  </si>
  <si>
    <t>Fri, 13 Oct 2023 00:00:00 GMT</t>
  </si>
  <si>
    <t>Mon, 16 Oct 2023 00:00:00 GMT</t>
  </si>
  <si>
    <t>Tue, 17 Oct 2023 00:00:00 GMT</t>
  </si>
  <si>
    <t>Wed, 18 Oct 2023 00:00:00 GMT</t>
  </si>
  <si>
    <t>Thu, 19 Oct 2023 00:00:00 GMT</t>
  </si>
  <si>
    <t>Fri, 20 Oct 2023 00:00:00 GMT</t>
  </si>
  <si>
    <t>Mon, 23 Oct 2023 00:00:00 GMT</t>
  </si>
  <si>
    <t>Tue, 24 Oct 2023 00:00:00 GMT</t>
  </si>
  <si>
    <t>Wed, 25 Oct 2023 00:00:00 GMT</t>
  </si>
  <si>
    <t>Thu, 26 Oct 2023 00:00:00 GMT</t>
  </si>
  <si>
    <t>Fri, 27 Oct 2023 00:00:00 GMT</t>
  </si>
  <si>
    <t>Mon, 30 Oct 2023 00:00:00 GMT</t>
  </si>
  <si>
    <t>Tue, 31 Oct 2023 00:00:00 GMT</t>
  </si>
  <si>
    <t>Wed, 01 Nov 2023 00:00:00 GMT</t>
  </si>
  <si>
    <t>Thu, 02 Nov 2023 00:00:00 GMT</t>
  </si>
  <si>
    <t>Fri, 03 Nov 2023 00:00:00 GMT</t>
  </si>
  <si>
    <t>Mon, 06 Nov 2023 00:00:00 GMT</t>
  </si>
  <si>
    <t>Tue, 07 Nov 2023 00:00:00 GMT</t>
  </si>
  <si>
    <t>Wed, 08 Nov 2023 00:00:00 GMT</t>
  </si>
  <si>
    <t>Thu, 09 Nov 2023 00:00:00 GMT</t>
  </si>
  <si>
    <t>Fri, 10 Nov 2023 00:00:00 GMT</t>
  </si>
  <si>
    <t>Mon, 13 Nov 2023 00:00:00 GMT</t>
  </si>
  <si>
    <t>Tue, 14 Nov 2023 00:00:00 GMT</t>
  </si>
  <si>
    <t>Wed, 15 Nov 2023 00:00:00 GMT</t>
  </si>
  <si>
    <t>Thu, 16 Nov 2023 00:00:00 GMT</t>
  </si>
  <si>
    <t>Fri, 17 Nov 2023 00:00:00 GMT</t>
  </si>
  <si>
    <t>Mon, 20 Nov 2023 00:00:00 GMT</t>
  </si>
  <si>
    <t>Tue, 21 Nov 2023 00:00:00 GMT</t>
  </si>
  <si>
    <t>Wed, 22 Nov 2023 00:00:00 GMT</t>
  </si>
  <si>
    <t>Fri, 24 Nov 2023 00:00:00 GMT</t>
  </si>
  <si>
    <t>Mon, 27 Nov 2023 00:00:00 GMT</t>
  </si>
  <si>
    <t>Tue, 28 Nov 2023 00:00:00 GMT</t>
  </si>
  <si>
    <t>Wed, 29 Nov 2023 00:00:00 GMT</t>
  </si>
  <si>
    <t>Thu, 30 Nov 2023 00:00:00 GMT</t>
  </si>
  <si>
    <t>Fri, 01 Dec 2023 00:00:00 GMT</t>
  </si>
  <si>
    <t>Mon, 04 Dec 2023 00:00:00 GMT</t>
  </si>
  <si>
    <t>Tue, 05 Dec 2023 00:00:00 GMT</t>
  </si>
  <si>
    <t>Wed, 06 Dec 2023 00:00:00 GMT</t>
  </si>
  <si>
    <t>Thu, 07 Dec 2023 00:00:00 GMT</t>
  </si>
  <si>
    <t>Fri, 08 Dec 2023 00:00:00 GMT</t>
  </si>
  <si>
    <t>Mon, 11 Dec 2023 00:00:00 GMT</t>
  </si>
  <si>
    <t>Tue, 12 Dec 2023 00:00:00 GMT</t>
  </si>
  <si>
    <t>Wed, 13 Dec 2023 00:00:00 GMT</t>
  </si>
  <si>
    <t>Thu, 14 Dec 2023 00:00:00 GMT</t>
  </si>
  <si>
    <t>Fri, 15 Dec 2023 00:00:00 GMT</t>
  </si>
  <si>
    <t>Mon, 18 Dec 2023 00:00:00 GMT</t>
  </si>
  <si>
    <t>Tue, 19 Dec 2023 00:00:00 GMT</t>
  </si>
  <si>
    <t>Wed, 20 Dec 2023 00:00:00 GMT</t>
  </si>
  <si>
    <t>Thu, 21 Dec 2023 00:00:00 GMT</t>
  </si>
  <si>
    <t>Fri, 22 Dec 2023 00:00:00 GMT</t>
  </si>
  <si>
    <t>Tue, 26 Dec 2023 00:00:00 GMT</t>
  </si>
  <si>
    <t>Wed, 27 Dec 2023 00:00:00 GMT</t>
  </si>
  <si>
    <t>Thu, 28 Dec 2023 00:00:00 GMT</t>
  </si>
  <si>
    <t>Fri, 29 Dec 2023 00:00:00 GMT</t>
  </si>
  <si>
    <t>Tue, 02 Jan 2024 00:00:00 GMT</t>
  </si>
  <si>
    <t>Wed, 03 Jan 2024 00:00:00 GMT</t>
  </si>
  <si>
    <t>Thu, 04 Jan 2024 00:00:00 GMT</t>
  </si>
  <si>
    <t>Fri, 05 Jan 2024 00:00:00 GMT</t>
  </si>
  <si>
    <t>Mon, 08 Jan 2024 00:00:00 GMT</t>
  </si>
  <si>
    <t>Tue, 09 Jan 2024 00:00:00 GMT</t>
  </si>
  <si>
    <t>Wed, 10 Jan 2024 00:00:00 GMT</t>
  </si>
  <si>
    <t>Thu, 11 Jan 2024 00:00:00 GMT</t>
  </si>
  <si>
    <t>Fri, 12 Jan 2024 00:00:00 GMT</t>
  </si>
  <si>
    <t>Tue, 16 Jan 2024 00:00:00 GMT</t>
  </si>
  <si>
    <t>Wed, 17 Jan 2024 00:00:00 GMT</t>
  </si>
  <si>
    <t>Thu, 18 Jan 2024 00:00:00 GMT</t>
  </si>
  <si>
    <t>Fri, 19 Jan 2024 00:00:00 GMT</t>
  </si>
  <si>
    <t>Mon, 22 Jan 2024 00:00:00 GMT</t>
  </si>
  <si>
    <t>Tue, 23 Jan 2024 00:00:00 GMT</t>
  </si>
  <si>
    <t>Wed, 24 Jan 2024 00:00:00 GMT</t>
  </si>
  <si>
    <t>Thu, 25 Jan 2024 00:00:00 GMT</t>
  </si>
  <si>
    <t>Fri, 26 Jan 2024 00:00:00 GMT</t>
  </si>
  <si>
    <t>Mon, 29 Jan 2024 00:00:00 GMT</t>
  </si>
  <si>
    <t>Tue, 30 Jan 2024 00:00:00 GMT</t>
  </si>
  <si>
    <t>Wed, 31 Jan 2024 00:00:00 GMT</t>
  </si>
  <si>
    <t>Thu, 01 Feb 2024 00:00:00 GMT</t>
  </si>
  <si>
    <t>Fri, 02 Feb 2024 00:00:00 GMT</t>
  </si>
  <si>
    <t>Mon, 05 Feb 2024 00:00:00 GMT</t>
  </si>
  <si>
    <t>Tue, 06 Feb 2024 00:00:00 GMT</t>
  </si>
  <si>
    <t>Wed, 07 Feb 2024 00:00:00 GMT</t>
  </si>
  <si>
    <t>Thu, 08 Feb 2024 00:00:00 GMT</t>
  </si>
  <si>
    <t>Fri, 09 Feb 2024 00:00:00 GMT</t>
  </si>
  <si>
    <t>Mon, 12 Feb 2024 00:00:00 GMT</t>
  </si>
  <si>
    <t>Tue, 13 Feb 2024 00:00:00 GMT</t>
  </si>
  <si>
    <t>Wed, 14 Feb 2024 00:00:00 GMT</t>
  </si>
  <si>
    <t>Thu, 15 Feb 2024 00:00:00 GMT</t>
  </si>
  <si>
    <t>Fri, 16 Feb 2024 00:00:00 GMT</t>
  </si>
  <si>
    <t>Tue, 20 Feb 2024 00:00:00 GMT</t>
  </si>
  <si>
    <t>Wed, 21 Feb 2024 00:00:00 GMT</t>
  </si>
  <si>
    <t>Thu, 22 Feb 2024 00:00:00 GMT</t>
  </si>
  <si>
    <t>Fri, 23 Feb 2024 00:00:00 GMT</t>
  </si>
  <si>
    <t>Mon, 26 Feb 2024 00:00:00 GMT</t>
  </si>
  <si>
    <t>Tue, 27 Feb 2024 00:00:00 GMT</t>
  </si>
  <si>
    <t>Wed, 28 Feb 2024 00:00:00 GMT</t>
  </si>
  <si>
    <t>Thu, 29 Feb 2024 00:00:00 GMT</t>
  </si>
  <si>
    <t>Fri, 01 Mar 2024 00:00:00 GMT</t>
  </si>
  <si>
    <t>Mon, 04 Mar 2024 00:00:00 GMT</t>
  </si>
  <si>
    <t>Tue, 05 Mar 2024 00:00:00 GMT</t>
  </si>
  <si>
    <t>Wed, 06 Mar 2024 00:00:00 GMT</t>
  </si>
  <si>
    <t>Thu, 07 Mar 2024 00:00:00 GMT</t>
  </si>
  <si>
    <t>Fri, 08 Mar 2024 00:00:00 GMT</t>
  </si>
  <si>
    <t>Mon, 11 Mar 2024 00:00:00 GMT</t>
  </si>
  <si>
    <t>Tue, 12 Mar 2024 00:00:00 GMT</t>
  </si>
  <si>
    <t>Wed, 13 Mar 2024 00:00:00 GMT</t>
  </si>
  <si>
    <t>Thu, 14 Mar 2024 00:00:00 GMT</t>
  </si>
  <si>
    <t>Fri, 15 Mar 2024 00:00:00 GMT</t>
  </si>
  <si>
    <t>Mon, 18 Mar 2024 00:00:00 GMT</t>
  </si>
  <si>
    <t>Tue, 19 Mar 2024 00:00:00 GMT</t>
  </si>
  <si>
    <t>Wed, 20 Mar 2024 00:00:00 GMT</t>
  </si>
  <si>
    <t>Thu, 21 Mar 2024 00:00:00 GMT</t>
  </si>
  <si>
    <t>Fri, 22 Mar 2024 00:00:00 GMT</t>
  </si>
  <si>
    <t>Mon, 25 Mar 2024 00:00:00 GMT</t>
  </si>
  <si>
    <t>Tue, 26 Mar 2024 00:00:00 GMT</t>
  </si>
  <si>
    <t>Wed, 27 Mar 2024 00:00:00 GMT</t>
  </si>
  <si>
    <t>Thu, 28 Mar 2024 00:00:00 GMT</t>
  </si>
  <si>
    <t>Mon, 01 Apr 2024 00:00:00 GMT</t>
  </si>
  <si>
    <t>Tue, 02 Apr 2024 00:00:00 GMT</t>
  </si>
  <si>
    <t>Wed, 03 Apr 2024 00:00:00 GMT</t>
  </si>
  <si>
    <t>Thu, 04 Apr 2024 00:00:00 GMT</t>
  </si>
  <si>
    <t>Fri, 05 Apr 2024 00:00:00 GMT</t>
  </si>
  <si>
    <t>Mon, 08 Apr 2024 00:00:00 GMT</t>
  </si>
  <si>
    <t>Tue, 09 Apr 2024 00:00:00 GMT</t>
  </si>
  <si>
    <t>Wed, 10 Apr 2024 00:00:00 GMT</t>
  </si>
  <si>
    <t>Thu, 11 Apr 2024 00:00:00 GMT</t>
  </si>
  <si>
    <t>Fri, 12 Apr 2024 00:00:00 GMT</t>
  </si>
  <si>
    <t>Mon, 15 Apr 2024 00:00:00 GMT</t>
  </si>
  <si>
    <t>Tue, 16 Apr 2024 00:00:00 GMT</t>
  </si>
  <si>
    <t>Wed, 17 Apr 2024 00:00:00 GMT</t>
  </si>
  <si>
    <t>Thu, 18 Apr 2024 00:00:00 GMT</t>
  </si>
  <si>
    <t>Fri, 19 Apr 2024 00:00:00 GMT</t>
  </si>
  <si>
    <t>Mon, 22 Apr 2024 00:00:00 GMT</t>
  </si>
  <si>
    <t>Tue, 23 Apr 2024 00:00:00 GMT</t>
  </si>
  <si>
    <t>Wed, 24 Apr 2024 00:00:00 GMT</t>
  </si>
  <si>
    <t>Thu, 25 Apr 2024 00:00:00 GMT</t>
  </si>
  <si>
    <t>Fri, 26 Apr 2024 00:00:00 GMT</t>
  </si>
  <si>
    <t>Mon, 29 Apr 2024 00:00:00 GMT</t>
  </si>
  <si>
    <t>Day change</t>
  </si>
  <si>
    <t>X</t>
  </si>
  <si>
    <t>Y</t>
  </si>
  <si>
    <t>BSX Historical Return Histogram (4/30/25)</t>
  </si>
  <si>
    <t>Median</t>
  </si>
  <si>
    <t xml:space="preserve">(Y) Pop. Density </t>
  </si>
  <si>
    <r>
      <t xml:space="preserve"> (X) 1-Day</t>
    </r>
    <r>
      <rPr>
        <b/>
        <i/>
        <sz val="11"/>
        <color theme="1"/>
        <rFont val="Calibri"/>
        <family val="2"/>
        <scheme val="minor"/>
      </rPr>
      <t xml:space="preserve"> Δ </t>
    </r>
    <r>
      <rPr>
        <i/>
        <sz val="11"/>
        <color theme="1"/>
        <rFont val="Calibri"/>
        <family val="2"/>
        <scheme val="minor"/>
      </rPr>
      <t xml:space="preserve"> </t>
    </r>
  </si>
  <si>
    <t>2σ</t>
  </si>
  <si>
    <t>1σ</t>
  </si>
  <si>
    <t>3σ</t>
  </si>
  <si>
    <t>Mean μ</t>
  </si>
  <si>
    <t>-3σ</t>
  </si>
  <si>
    <t>-2σ</t>
  </si>
  <si>
    <t>-1σ</t>
  </si>
  <si>
    <t>β (1-year avg.)</t>
  </si>
  <si>
    <t>Balance Sheet Overview</t>
  </si>
  <si>
    <t xml:space="preserve">  3σ 1-Day Δ: ±</t>
  </si>
  <si>
    <t>Effective Tax Rate</t>
  </si>
  <si>
    <r>
      <rPr>
        <i/>
        <sz val="11"/>
        <color theme="1"/>
        <rFont val="Calibre"/>
      </rPr>
      <t>n</t>
    </r>
    <r>
      <rPr>
        <sz val="11"/>
        <color theme="1"/>
        <rFont val="Calibre"/>
      </rPr>
      <t xml:space="preserve"> =</t>
    </r>
  </si>
  <si>
    <t>SD Lines</t>
  </si>
  <si>
    <t>Distribution Overlay</t>
  </si>
  <si>
    <t>Histogram Data</t>
  </si>
  <si>
    <r>
      <rPr>
        <b/>
        <sz val="11"/>
        <color theme="1"/>
        <rFont val="Calibre"/>
      </rPr>
      <t>Boston Scientific Corporation</t>
    </r>
    <r>
      <rPr>
        <sz val="11"/>
        <color theme="1"/>
        <rFont val="Calibre"/>
      </rPr>
      <t xml:space="preserve"> is a global developer, manufacturer and marketer of </t>
    </r>
    <r>
      <rPr>
        <b/>
        <sz val="11"/>
        <color theme="1"/>
        <rFont val="Calibre"/>
      </rPr>
      <t>medical devices</t>
    </r>
    <r>
      <rPr>
        <sz val="11"/>
        <color theme="1"/>
        <rFont val="Calibre"/>
      </rPr>
      <t xml:space="preserve"> that are used in a broad range of</t>
    </r>
    <r>
      <rPr>
        <b/>
        <sz val="11"/>
        <color theme="1"/>
        <rFont val="Calibre"/>
      </rPr>
      <t xml:space="preserve"> interventional medical specialties</t>
    </r>
    <r>
      <rPr>
        <sz val="11"/>
        <color theme="1"/>
        <rFont val="Calibre"/>
      </rPr>
      <t xml:space="preserve"> for both domestic and international markets</t>
    </r>
  </si>
  <si>
    <t>&lt;- Sharpe Ratio (Risk Adjusted Return)</t>
  </si>
  <si>
    <t>Interventional Growth Y/y</t>
  </si>
  <si>
    <t>Watchman Growth Y/y</t>
  </si>
  <si>
    <t xml:space="preserve">Rhythm Growth Y/y </t>
  </si>
  <si>
    <t>Electrophysiology Growth Y/y</t>
  </si>
  <si>
    <t>Peripheral Growth Y/y</t>
  </si>
  <si>
    <r>
      <t xml:space="preserve">Privately held medical device company that has developed the </t>
    </r>
    <r>
      <rPr>
        <b/>
        <sz val="11"/>
        <color theme="1"/>
        <rFont val="Calibre"/>
      </rPr>
      <t>TIVUS™ Intravascular Ultrasound System</t>
    </r>
  </si>
  <si>
    <r>
      <rPr>
        <b/>
        <sz val="11"/>
        <color theme="1"/>
        <rFont val="Calibre"/>
      </rPr>
      <t>Intravascular lithotripsy advanced laser-based platform</t>
    </r>
    <r>
      <rPr>
        <sz val="11"/>
        <color theme="1"/>
        <rFont val="Calibre"/>
      </rPr>
      <t xml:space="preserve"> for the treatment of </t>
    </r>
    <r>
      <rPr>
        <b/>
        <sz val="11"/>
        <color theme="1"/>
        <rFont val="Calibre"/>
      </rPr>
      <t>coronary and peripheral artery disease</t>
    </r>
  </si>
  <si>
    <r>
      <rPr>
        <b/>
        <sz val="11"/>
        <color theme="1"/>
        <rFont val="Calibre"/>
      </rPr>
      <t>Intera</t>
    </r>
    <r>
      <rPr>
        <sz val="11"/>
        <color theme="1"/>
        <rFont val="Calibre"/>
      </rPr>
      <t xml:space="preserve"> (2024) --- $175M</t>
    </r>
  </si>
  <si>
    <r>
      <rPr>
        <b/>
        <sz val="11"/>
        <color theme="1"/>
        <rFont val="Calibre"/>
      </rPr>
      <t>Cortex</t>
    </r>
    <r>
      <rPr>
        <sz val="11"/>
        <color theme="1"/>
        <rFont val="Calibre"/>
      </rPr>
      <t xml:space="preserve"> (2025) -- $239M (+$50M milestones)</t>
    </r>
  </si>
  <si>
    <r>
      <t xml:space="preserve">Privately held medical technology company focused on the development of a </t>
    </r>
    <r>
      <rPr>
        <b/>
        <sz val="11"/>
        <color theme="1"/>
        <rFont val="Calibre"/>
      </rPr>
      <t>diagnostic mapping solution</t>
    </r>
    <r>
      <rPr>
        <sz val="11"/>
        <color theme="1"/>
        <rFont val="Calibre"/>
      </rPr>
      <t xml:space="preserve"> which may</t>
    </r>
    <r>
      <rPr>
        <b/>
        <sz val="11"/>
        <color theme="1"/>
        <rFont val="Calibre"/>
      </rPr>
      <t xml:space="preserve"> identify triggers and drivers outside of the pulmonary veins </t>
    </r>
    <r>
      <rPr>
        <sz val="11"/>
        <color theme="1"/>
        <rFont val="Calibre"/>
      </rPr>
      <t xml:space="preserve">that are </t>
    </r>
    <r>
      <rPr>
        <b/>
        <sz val="11"/>
        <color theme="1"/>
        <rFont val="Calibre"/>
      </rPr>
      <t>foundational to atrial fibrillation</t>
    </r>
    <r>
      <rPr>
        <sz val="11"/>
        <color theme="1"/>
        <rFont val="Calibre"/>
      </rPr>
      <t xml:space="preserve"> (AF)</t>
    </r>
  </si>
  <si>
    <r>
      <rPr>
        <b/>
        <sz val="11"/>
        <color theme="1"/>
        <rFont val="Calibre"/>
      </rPr>
      <t>Bolt Medical</t>
    </r>
    <r>
      <rPr>
        <sz val="11"/>
        <color theme="1"/>
        <rFont val="Calibre"/>
      </rPr>
      <t xml:space="preserve"> (2025) -- $516M (+ $148M milestones), completed full stake acquisition from initial 26% equity stake</t>
    </r>
  </si>
  <si>
    <t>The Intera 3000 pump is used to administer hepatic artery infusion therapy to treat tumors in the liver primarily caused by metastatic colorectal cancer</t>
  </si>
  <si>
    <r>
      <rPr>
        <b/>
        <sz val="11"/>
        <color theme="1"/>
        <rFont val="Calibre"/>
      </rPr>
      <t>SoniVie</t>
    </r>
    <r>
      <rPr>
        <sz val="11"/>
        <color theme="1"/>
        <rFont val="Calibre"/>
      </rPr>
      <t xml:space="preserve"> (2025) --- $360M (+ $180M milestones), completed full stake acquisition from initial 26% equity stake</t>
    </r>
  </si>
  <si>
    <r>
      <rPr>
        <b/>
        <sz val="11"/>
        <color theme="1"/>
        <rFont val="Calibre"/>
      </rPr>
      <t>Silk Road Medical</t>
    </r>
    <r>
      <rPr>
        <sz val="11"/>
        <color theme="1"/>
        <rFont val="Calibre"/>
      </rPr>
      <t xml:space="preserve"> (2024) -- N/A</t>
    </r>
  </si>
  <si>
    <r>
      <rPr>
        <b/>
        <sz val="11"/>
        <color theme="1"/>
        <rFont val="Calibre"/>
      </rPr>
      <t>Apollo Endosurgery</t>
    </r>
    <r>
      <rPr>
        <sz val="11"/>
        <color theme="1"/>
        <rFont val="Calibre"/>
      </rPr>
      <t xml:space="preserve"> (2024) -- N/A</t>
    </r>
  </si>
  <si>
    <t>Public company that has developed and commercialized endoscopic suturing devices including OverStitch™ Endoscopic Suturing Systems and X-Tack™ Endoscopic HeliX Tacking Systems and endobariatric devices including the Apollo ESG™ and Apollo REVISE™ Systems</t>
  </si>
  <si>
    <t>Only FDA-cleared system to treat vertebrogenic pain, a form of chronic low back pain</t>
  </si>
  <si>
    <r>
      <rPr>
        <b/>
        <sz val="11"/>
        <color theme="1"/>
        <rFont val="Calibre"/>
      </rPr>
      <t>Baylis Medical</t>
    </r>
    <r>
      <rPr>
        <sz val="11"/>
        <color theme="1"/>
        <rFont val="Calibre"/>
      </rPr>
      <t xml:space="preserve"> (2022) – $1.75B</t>
    </r>
  </si>
  <si>
    <r>
      <t> First devices authorized by the FDA for endoscopic sleeve gastroplasty and endoscopic bariatric revision procedures, as well as the Orbera</t>
    </r>
    <r>
      <rPr>
        <sz val="11"/>
        <color rgb="FF000000"/>
        <rFont val="Calibre"/>
      </rPr>
      <t> Intragastric Balloon for endoscopic weight management</t>
    </r>
  </si>
  <si>
    <r>
      <t xml:space="preserve">An </t>
    </r>
    <r>
      <rPr>
        <b/>
        <sz val="11"/>
        <color theme="1"/>
        <rFont val="Calibre"/>
      </rPr>
      <t>investigational technology</t>
    </r>
    <r>
      <rPr>
        <sz val="11"/>
        <color theme="1"/>
        <rFont val="Calibre"/>
      </rPr>
      <t xml:space="preserve">, the </t>
    </r>
    <r>
      <rPr>
        <b/>
        <sz val="11"/>
        <color theme="1"/>
        <rFont val="Calibre"/>
      </rPr>
      <t>TIVUS system is designed to denervate nerves surrounding blood vessels</t>
    </r>
    <r>
      <rPr>
        <sz val="11"/>
        <color theme="1"/>
        <rFont val="Calibre"/>
      </rPr>
      <t xml:space="preserve"> to treat a variety of</t>
    </r>
    <r>
      <rPr>
        <b/>
        <sz val="11"/>
        <color theme="1"/>
        <rFont val="Calibre"/>
      </rPr>
      <t xml:space="preserve"> hypertensive disorders</t>
    </r>
    <r>
      <rPr>
        <sz val="11"/>
        <color theme="1"/>
        <rFont val="Calibre"/>
      </rPr>
      <t xml:space="preserve">, including </t>
    </r>
    <r>
      <rPr>
        <b/>
        <sz val="11"/>
        <color theme="1"/>
        <rFont val="Calibre"/>
      </rPr>
      <t>renal artery denervation for hypertension</t>
    </r>
  </si>
  <si>
    <r>
      <t xml:space="preserve"> Privately held medical device company that provides the </t>
    </r>
    <r>
      <rPr>
        <b/>
        <sz val="11"/>
        <color theme="1"/>
        <rFont val="Calibre"/>
      </rPr>
      <t xml:space="preserve">Intera 3000 Hepatic Artery Infusion Pump </t>
    </r>
    <r>
      <rPr>
        <sz val="11"/>
        <color theme="1"/>
        <rFont val="Calibre"/>
      </rPr>
      <t xml:space="preserve">and </t>
    </r>
    <r>
      <rPr>
        <b/>
        <sz val="11"/>
        <color theme="1"/>
        <rFont val="Calibre"/>
      </rPr>
      <t>floxuridine</t>
    </r>
    <r>
      <rPr>
        <sz val="11"/>
        <color theme="1"/>
        <rFont val="Calibre"/>
      </rPr>
      <t xml:space="preserve"> – </t>
    </r>
    <r>
      <rPr>
        <b/>
        <sz val="11"/>
        <color theme="1"/>
        <rFont val="Calibre"/>
      </rPr>
      <t>a chemotherapy drug (Full FDA approval)</t>
    </r>
  </si>
  <si>
    <r>
      <t xml:space="preserve">publicly traded medical device company that has </t>
    </r>
    <r>
      <rPr>
        <b/>
        <sz val="11"/>
        <color theme="1"/>
        <rFont val="Calibre"/>
      </rPr>
      <t xml:space="preserve">developed </t>
    </r>
    <r>
      <rPr>
        <sz val="11"/>
        <color theme="1"/>
        <rFont val="Calibre"/>
      </rPr>
      <t xml:space="preserve">an </t>
    </r>
    <r>
      <rPr>
        <b/>
        <sz val="11"/>
        <color theme="1"/>
        <rFont val="Calibre"/>
      </rPr>
      <t>innovative platform of products to prevent stroke</t>
    </r>
    <r>
      <rPr>
        <sz val="11"/>
        <color theme="1"/>
        <rFont val="Calibre"/>
      </rPr>
      <t xml:space="preserve"> in patients with</t>
    </r>
    <r>
      <rPr>
        <b/>
        <sz val="11"/>
        <color theme="1"/>
        <rFont val="Calibre"/>
      </rPr>
      <t xml:space="preserve"> carotid artery disease through a minimally-invasive procedure called transcarotid artery revascularization</t>
    </r>
  </si>
  <si>
    <r>
      <t xml:space="preserve">Privately held maker of a </t>
    </r>
    <r>
      <rPr>
        <b/>
        <sz val="11"/>
        <color theme="1"/>
        <rFont val="Calibre"/>
      </rPr>
      <t>technology used for embolization of blood vessels</t>
    </r>
  </si>
  <si>
    <r>
      <rPr>
        <b/>
        <sz val="11"/>
        <color theme="1"/>
        <rFont val="Calibre"/>
      </rPr>
      <t xml:space="preserve">Received FDA 510(k) clearance for and launched the VersaCross Connect™ LAAC Access Solution </t>
    </r>
    <r>
      <rPr>
        <sz val="11"/>
        <color theme="1"/>
        <rFont val="Calibre"/>
      </rPr>
      <t>(Q2'22) developed by Baylis Medical, providing</t>
    </r>
    <r>
      <rPr>
        <b/>
        <sz val="11"/>
        <color theme="1"/>
        <rFont val="Calibre"/>
      </rPr>
      <t xml:space="preserve"> safe and efficient access to the left side of the heart</t>
    </r>
  </si>
  <si>
    <r>
      <t xml:space="preserve">Developed the radiofrequency (RF) NRG™ and VersaCross™ Transseptal Platforms as well as a </t>
    </r>
    <r>
      <rPr>
        <b/>
        <sz val="11"/>
        <color theme="1"/>
        <rFont val="Calibre"/>
      </rPr>
      <t>family of guidewires, sheaths and dilators used to support left heart access</t>
    </r>
    <r>
      <rPr>
        <sz val="11"/>
        <color theme="1"/>
        <rFont val="Calibre"/>
      </rPr>
      <t xml:space="preserve">, which </t>
    </r>
    <r>
      <rPr>
        <b/>
        <sz val="11"/>
        <color theme="1"/>
        <rFont val="Calibre"/>
      </rPr>
      <t>expands The Company's electrophysiology and structural heart product portfolios</t>
    </r>
  </si>
  <si>
    <r>
      <t>Axonics’ flagship products are </t>
    </r>
    <r>
      <rPr>
        <b/>
        <sz val="11"/>
        <color theme="1"/>
        <rFont val="Calibre"/>
      </rPr>
      <t>sacral neuromodulation</t>
    </r>
    <r>
      <rPr>
        <sz val="11"/>
        <color theme="1"/>
        <rFont val="Calibre"/>
      </rPr>
      <t xml:space="preserve"> (SNM) systems </t>
    </r>
    <r>
      <rPr>
        <b/>
        <sz val="11"/>
        <color theme="1"/>
        <rFont val="Calibre"/>
      </rPr>
      <t>for urinary incontinence</t>
    </r>
  </si>
  <si>
    <r>
      <t xml:space="preserve">The Axonics product portfolio includes the Axonics R20™ and Axonics F15™ Systems used to deliver sacral neuromodulation (SNM) therapy </t>
    </r>
    <r>
      <rPr>
        <b/>
        <sz val="11"/>
        <color theme="1"/>
        <rFont val="Calibre"/>
      </rPr>
      <t>for the treatment of over-active bladder and fecal incontinence</t>
    </r>
  </si>
  <si>
    <r>
      <t xml:space="preserve">Publicly traded medical technology company primarily focused on the </t>
    </r>
    <r>
      <rPr>
        <b/>
        <sz val="11"/>
        <color theme="1"/>
        <rFont val="Calibre"/>
      </rPr>
      <t>development and commercialization of devices to treat urinary and bowel dysfunction</t>
    </r>
  </si>
  <si>
    <r>
      <t xml:space="preserve">Privately held medical technology company that has </t>
    </r>
    <r>
      <rPr>
        <b/>
        <sz val="11"/>
        <color theme="1"/>
        <rFont val="Calibre"/>
      </rPr>
      <t>developed and commercialized the Intracept™ Intraosseous Nerve Ablation System</t>
    </r>
  </si>
  <si>
    <r>
      <rPr>
        <b/>
        <sz val="11"/>
        <color theme="1"/>
        <rFont val="Calibre"/>
      </rPr>
      <t>Pulsed-field ablation (PFA)</t>
    </r>
    <r>
      <rPr>
        <sz val="11"/>
        <color theme="1"/>
        <rFont val="Calibre"/>
      </rPr>
      <t xml:space="preserve"> for </t>
    </r>
    <r>
      <rPr>
        <b/>
        <sz val="11"/>
        <color theme="1"/>
        <rFont val="Calibre"/>
      </rPr>
      <t>atrial fibrillation</t>
    </r>
    <r>
      <rPr>
        <sz val="11"/>
        <color theme="1"/>
        <rFont val="Calibre"/>
      </rPr>
      <t xml:space="preserve"> (now a $1B+ opportunity)</t>
    </r>
  </si>
  <si>
    <t>MedSurg Growth Y/y</t>
  </si>
  <si>
    <t>Cardiology Growth Y/y</t>
  </si>
  <si>
    <t>Cardiovascular Y/y</t>
  </si>
  <si>
    <t>ROIC</t>
  </si>
  <si>
    <t>Terminal</t>
  </si>
  <si>
    <t>RFR (10-year yield)</t>
  </si>
  <si>
    <t>ERP 
(Avg. market return - (less) RFR)</t>
  </si>
  <si>
    <t>Equity β (1-year avg.)</t>
  </si>
  <si>
    <t>Discount (Cost of Equity)</t>
  </si>
  <si>
    <t>NPV</t>
  </si>
  <si>
    <t>FV</t>
  </si>
  <si>
    <t>CP</t>
  </si>
  <si>
    <t>Resources:</t>
  </si>
  <si>
    <t>Earnings Calls</t>
  </si>
  <si>
    <t>U.S. Patent Office Search</t>
  </si>
  <si>
    <t>Thrombecotomy News</t>
  </si>
  <si>
    <t>MedTech News</t>
  </si>
  <si>
    <t>Boston Scientific Homepage</t>
  </si>
  <si>
    <t>FDA Med Device Reporting's</t>
  </si>
  <si>
    <t>https://www.bostonscientific.com/en-US/home.html</t>
  </si>
  <si>
    <t>https://investors.bostonscientific.com/</t>
  </si>
  <si>
    <t>https://seekingalpha.com/symbol/BSX/earnings/transcripts</t>
  </si>
  <si>
    <t>https://app.godelterminal.com/</t>
  </si>
  <si>
    <t>https://www.fda.gov/medical-devices</t>
  </si>
  <si>
    <t>https://ppubs.uspto.gov/pubThe Companybapp/static/pages/ppubsbasic.html</t>
  </si>
  <si>
    <t>https://www.bostonscientific.com/content/dam/bostonscientific/corporate/patent-marking-spreadsheet-6feb-2025.pdf</t>
  </si>
  <si>
    <t>https://evtoday.com/</t>
  </si>
  <si>
    <t>https://www.medtechdive.com/</t>
  </si>
  <si>
    <t>BSX IP Catalog</t>
  </si>
  <si>
    <t>BSX IR Page</t>
  </si>
  <si>
    <t>Rhythm and Neuro operating segment is consolidated into the Cardiovascular segment on financial filings</t>
  </si>
  <si>
    <t>In the future, it's going to be necessary to build out a full cash flow statement. M&amp;A activity demands tracking investing/financing figures just as closely as standard operating figures</t>
  </si>
  <si>
    <t>Look for management comments/reporting's on organic vs inorganic sales</t>
  </si>
  <si>
    <t>Cardiovascular is the larger business, and it is growing at a faster rate</t>
  </si>
  <si>
    <t>Research BSX market share in each of their business segments</t>
  </si>
  <si>
    <t>In the past several years, The Company has completed numerous acquisitions in support of its growth strategy, both strengthening the core businesses and expanding into high growth adjacent markets</t>
  </si>
  <si>
    <t>MacroTrends</t>
  </si>
  <si>
    <t>ROIC, WACC</t>
  </si>
  <si>
    <t>https://www.macrotrends.net/stocks/charts/BSX/boston-scientific/income-statement?freq=Q</t>
  </si>
  <si>
    <t>https://www.gurufocus.com/term/wacc/BSX</t>
  </si>
  <si>
    <t>IPO: May 19, 1992 -- $1.6B valuation</t>
  </si>
  <si>
    <t>Sector: Healthcare</t>
  </si>
  <si>
    <t>Industry: Medical Devices</t>
  </si>
  <si>
    <t>Investor Relations Contact:</t>
  </si>
  <si>
    <t>Investors Relation Department</t>
  </si>
  <si>
    <t>Phone:</t>
  </si>
  <si>
    <t xml:space="preserve">Email: </t>
  </si>
  <si>
    <t>BSXInvestorRelations@bsci.com</t>
  </si>
  <si>
    <t>Overview:</t>
  </si>
  <si>
    <t>Founder(s): John Abele, Peter Nicholas</t>
  </si>
  <si>
    <t>Fixed Asset Turnover Ratio</t>
  </si>
  <si>
    <t>Noteworthy M&amp;A</t>
  </si>
  <si>
    <t>Q/q Total Revenues, Net Income, FCF</t>
  </si>
  <si>
    <t>Y/y Total Revenue, Net Income, FCF</t>
  </si>
  <si>
    <t>Management expects to continue to invest in our core businesses and pursue opportunities to diversify and further expand our presence in strategic, high-growth adjacencies and new global markets, including growth within the countries we define as emerging markets</t>
  </si>
  <si>
    <t>Learn more about BSX's venture arm, and the innovative products that are bought and developed internally … now driving top-line growth</t>
  </si>
  <si>
    <t>WATCHMAN FLX</t>
  </si>
  <si>
    <r>
      <t xml:space="preserve">The Boston Scientific </t>
    </r>
    <r>
      <rPr>
        <b/>
        <sz val="11"/>
        <color theme="1"/>
        <rFont val="Calibre"/>
      </rPr>
      <t>Watchman FLX is</t>
    </r>
    <r>
      <rPr>
        <sz val="11"/>
        <color theme="1"/>
        <rFont val="Calibre"/>
      </rPr>
      <t xml:space="preserve"> a percutaneous, transcatheter left atrial appendage (LAA) closure device </t>
    </r>
    <r>
      <rPr>
        <b/>
        <sz val="11"/>
        <color theme="1"/>
        <rFont val="Calibre"/>
      </rPr>
      <t>designed as an alternative to long-term oral anticoagulation</t>
    </r>
    <r>
      <rPr>
        <sz val="11"/>
        <color theme="1"/>
        <rFont val="Calibre"/>
      </rPr>
      <t xml:space="preserve"> (OAC) in </t>
    </r>
    <r>
      <rPr>
        <b/>
        <sz val="11"/>
        <color theme="1"/>
        <rFont val="Calibre"/>
      </rPr>
      <t>patients with non-valvular atrial fibrillation (NVAF) at increased risk of stroke and systemic embolism</t>
    </r>
  </si>
  <si>
    <t>Unlike direct oral anticoagulants (DOACs) or warfarin, which carry inherent bleeding risks, the Watchman FLX mechanically excludes the LAA (primary site of thrombus formation in atrial fibrillation (AF)) ... reducing stroke risk without necessitating lifelong anticoagulant treatment</t>
  </si>
  <si>
    <t>The device is implanted via a minimally invasive procedure and, following endothelialization, typically allows discontinuation of oral anticoagulants after a short-term post-implant antithrombotic regimen</t>
  </si>
  <si>
    <t>Watchman FLX Implant:</t>
  </si>
  <si>
    <t>Compared to OACs, the Watchman FLX may be particularly advantageous for patients with contraindications to anticoagulation (ex: history of major bleeding, high fall risk, or compliance challenges), offering a durable solution with comparable stroke prevention efficacy while mitigating hemorrhagic risks</t>
  </si>
  <si>
    <t>NVAF significantly increases the risk of thromboembolic stroke due to blood stasis in the left atrial appendage (LAA)</t>
  </si>
  <si>
    <t xml:space="preserve">Seems like a great technology for addressing risks associated with elderly patients being treated with OACs </t>
  </si>
  <si>
    <t>Since NVAF-related strokes often originate from the LAA, occluding the LAA (via devices like Watchman FLX) can be an effective alternative to long-term anticoagulation in eligible patients, particularly those with high bleeding risk</t>
  </si>
  <si>
    <t>Market Position:</t>
  </si>
  <si>
    <t>The device is a key growth engine for Boston Scientific's structural heart portfolio, with the company reporting ~20% compound annual growth rate (CAGR) for Watchman in 2025, reflecting both category expansion and significant sales momentum</t>
  </si>
  <si>
    <t>https://www.massdevice.com/boston-scientific-farapulse-watchman-drive-2025-growth/</t>
  </si>
  <si>
    <t>While Abbott’s Amplatzer Amulet is gaining share in Europe and launched in the US, Watchman’s entrenched customer base, earlier US approval, and continuous innovation enable it to maintain a substantial lead in both procedural volume and revenue</t>
  </si>
  <si>
    <t>In July, Boston Scientific received FDA approval expanding Watchman FLX and FLX Pro labels to include post-ablation patients, potentially adding 1-2 million patients globally to their market</t>
  </si>
  <si>
    <t xml:space="preserve">Expansion to potential patient population is BIG and will substantially boost procedural volumes, securing Watchman's category leadership </t>
  </si>
  <si>
    <t>Boston Scientific received FDA approval expanding Watchman FLX and FLX Pro labels to include post-ablation patients, potentially adding 1-2 million patients globally to their market</t>
  </si>
  <si>
    <t>Notes:</t>
  </si>
  <si>
    <t>[X]</t>
  </si>
  <si>
    <t>[Y]</t>
  </si>
  <si>
    <t>[Z]</t>
  </si>
  <si>
    <t>Employee Snapshot</t>
  </si>
  <si>
    <t>Ttl Liabilities</t>
  </si>
  <si>
    <t>Watchman and the Electrohpysiology Portfolio are worth building case studies on … Growth is incredible …</t>
  </si>
  <si>
    <t>Venture Capital driven … really special to see IP get commercialized so effectively</t>
  </si>
  <si>
    <t>Invested Capital</t>
  </si>
  <si>
    <t>2023-2024</t>
  </si>
  <si>
    <t>Projected ROIC:</t>
  </si>
  <si>
    <t>Change Δ</t>
  </si>
  <si>
    <t>Address: 300 Boston Scientific Way Marlborough, MA 01752-1234 U.S.</t>
  </si>
  <si>
    <t>Employees: 53,000 (Q4'24)</t>
  </si>
  <si>
    <t>The return distribution does fit a Gaussian distribution curve, but the curve is quite wide from return variability (high SD in daily avg returns), which reduces confidence in any inferences</t>
  </si>
  <si>
    <t xml:space="preserve">Revenue by Segment </t>
  </si>
  <si>
    <t>Earnings Snapshot:</t>
  </si>
  <si>
    <t>ANGIOJET Peripheral Thrombectomy System</t>
  </si>
  <si>
    <t>The AngioJet Thrombectomy System is a pharmacomechanical peripheral thrombectomy device with active aspiration and Power Pulse™ lytic delivery designed to treat the widest range of thrombosed vessels, rapidly restoring blood flow</t>
  </si>
  <si>
    <t>AngioJet is a console‑based rheolytic thrombectomy system composed of a mobile drive unit, a disposable pump set, and a family of single‑use catheters</t>
  </si>
  <si>
    <t>High‑pressure saline is pumped to jet orifices near the catheter tip; the jets exit retrograde, creating a localized low‑pressure (Venturi) zone that sucks thrombus into side windows</t>
  </si>
  <si>
    <t>Fragments and transports clot particles back through the catheter to an external collection bag, providing active aspiration while minimizing distal embolization</t>
  </si>
  <si>
    <t>Key features that differentiate The Company's thrombectomy offering include:</t>
  </si>
  <si>
    <t>Rheolytic thrombus removal (no rotating parts), suitable for fresh and subacute clot</t>
  </si>
  <si>
    <t>Power Pulse™ mode, allowing infusion of physician‑selected lytic agent into the thrombus followed by mechanical removal, i.e., pharmacomechanical thrombectomy</t>
  </si>
  <si>
    <t>Power Pulse mode is a feature of the AngioJet Thrombectomy System that combines mechanical clot disruption with simultaneous, targeted infusion of thrombolytic drugs (like tPA) directly into the thrombus</t>
  </si>
  <si>
    <t>Allows for delivering of medication where it's most effective to soften clots and speed up removal … offers flexibility for physicians to treat various clot burdens and restore blood flow rapidly in peripheral arteries</t>
  </si>
  <si>
    <t>The AngioJet Ultra platform covers arterial, venous, and arteriovenous (AV) access indications (all trad peripheral indications) … Accompaning catheter families optimized by vessel size and anatomy for optimal treatment outcomes</t>
  </si>
  <si>
    <t>Representative use cases in deep vein thrombosis (DVT), peripheral arteries, AV access (dialysis fistulas and grafts) and legacy coronary treatments</t>
  </si>
  <si>
    <t>The use of larger "super-sized" bore catheters is associated with a higher aspiration force and improved clot retrieval efficacy</t>
  </si>
  <si>
    <t>Elsesser mentioned on a PEN conference call that enlarging catheter lumen improves aspiration force to a point … although simply maximizing lumen size yields diminishing returns due to the physics of fluid dynamics in the brain's vasculature</t>
  </si>
  <si>
    <t xml:space="preserve">For aspiration to work effectively, you need "flow ingestion" or the ability to suck the clot into the catheter using high-speed fluid flow … </t>
  </si>
  <si>
    <t xml:space="preserve"> </t>
  </si>
  <si>
    <t>Boston Scientific’s EKOS Endovascular System is an ultrasound‑assisted, catheter‑directed thrombolysis platform used to dissolve thrombus in pulmonary embolism (PE), deep vein thrombosis (DVT), and select peripheral arterial occlusions</t>
  </si>
  <si>
    <t>It is a lytic‑based therapy focused on accelerating and localizing drug effect, rather than a purely mechanical thrombectomy device</t>
  </si>
  <si>
    <t>The EKOS system consists of three components:</t>
  </si>
  <si>
    <t>An infusion catheter that delivers a thrombolytic drug (typically tPA) along the length of the clot</t>
  </si>
  <si>
    <t>An ultrasonic core wire that sits inside the infusion catheter and emits high‑frequency, low‑power ultrasound energy</t>
  </si>
  <si>
    <t>A control unit that powers and monitors the ultrasonic core</t>
  </si>
  <si>
    <t>Ultrasound energy mechanically unwinds and thins fibrin strands and produces “acoustic streaming,” which drives the lytic agent deeper into the thrombus and exposes more binding sites</t>
  </si>
  <si>
    <t>This allows effective clot dissolution with much lower lytic dose and shorter infusion times compared with standard catheter‑directed thrombolysis (CDT) or systemic thrombolysis</t>
  </si>
  <si>
    <t>EKOS is cleared for ultrasound‑assisted, catheter‑directed thrombolysis in pulmonary Embolism (PE), deep vein thrombosis (DVT), and Peripheral arterial occlusions (POA)</t>
  </si>
  <si>
    <t>EKOS is fundamentally pharmacologic plus ultrasound; it does not aspirate or physically remove clots in the way PEN, NARI, or other systems do</t>
  </si>
  <si>
    <t>The device serves the market as an option for patients who are poor candidates for full‑dose systemic lytics but in whom some lytic use is acceptable and as a therapy favored by some centers for intermediate‑risk PE, where data support RV function improvement with relatively low bleeding risk</t>
  </si>
  <si>
    <t>EKOS / EKOS+ Endovascular System</t>
  </si>
  <si>
    <t>Mechanical thrombectomy is growing rapidly in the stroke treatment space while gaining guidline traction … there is still a place for EKOS (occupies the ultrasound‑assisted lytic niche), but market share is being taken by aspiration devices</t>
  </si>
  <si>
    <t>From an industry perspective, newer aspiration‑based systems (PEN Lightning, NARI ClotTriever/FlowTriever) are driving a shift toward larger‑lumen catheters, simplified setup, and “no‑lytic” (tPA / drug assisted thrombectomy) strategies</t>
  </si>
  <si>
    <t>Elsesser and Penumbra have historically argued that 0.072" (1.83 mm) represents an optimal "sweet spot" for the Middle Cerebral Artery (MCA) balancing three critical factors that decline if lumen size goes larger:</t>
  </si>
  <si>
    <t>The Corking Effect:</t>
  </si>
  <si>
    <t>If a catheter is too large (e.g., "super bore" 0.088" in a 2.5mm vessel), it effectively seals the vessel like a cork … This completely stops blood flow …</t>
  </si>
  <si>
    <t>An "Optimal Ratio":</t>
  </si>
  <si>
    <t>Studies and Penumbra's commentary suggest the optimal catheter-to-vessel diameter ratio is roughly 0.7 to 0.8 …  Exceeding this ratio creates a seal that reduces aspiration efficiency</t>
  </si>
  <si>
    <t>Trackability Trade-off:</t>
  </si>
  <si>
    <t>Enlarging the lumen generally requires stiffer walls to prevent collapse under vacuum … Ezperts have argued that "super bore" catheters sacrifice the flexibility needed to navigate tortuous anatomy ("trackability") to reach the clot in the first place</t>
  </si>
  <si>
    <t>Without blood flow around the tip, the catheter acts like a static vacuum plug rather than a vacuum cleaner … It cannot "ingest" the clot because there is no fluid flow to sweep the thrombus into the mouth of the catheter</t>
  </si>
  <si>
    <t>Equity Preformance Compared to Peers</t>
  </si>
  <si>
    <t>The resulting behavior can be thought of as a high‑pressure, internal “washout” within the vessel itself</t>
  </si>
  <si>
    <t>Large contemporary medical registries report that Watchman implant success rates are ~98-99% and result in high left atrial appendage seal rates, which has reinforced physician confidence and encouraged broader use globally</t>
  </si>
  <si>
    <t>Better procedural success and more consistent outcomes</t>
  </si>
  <si>
    <t>Stroke prevention in atrial fibrillation (AF) patients who either cannot take or do poorly on long‑term anticoagulants</t>
  </si>
  <si>
    <r>
      <rPr>
        <b/>
        <sz val="11"/>
        <color theme="1"/>
        <rFont val="Calibre"/>
      </rPr>
      <t>WATCHMAN device was the first of its kind to receive FDA approval as a Left Atrial Appendage Closure (LAAC) device</t>
    </r>
    <r>
      <rPr>
        <sz val="11"/>
        <color theme="1"/>
        <rFont val="Calibre"/>
      </rPr>
      <t xml:space="preserve"> … </t>
    </r>
    <r>
      <rPr>
        <b/>
        <sz val="11"/>
        <color theme="1"/>
        <rFont val="Calibre"/>
      </rPr>
      <t>novel device that emerged from BSX's VC arm</t>
    </r>
    <r>
      <rPr>
        <sz val="11"/>
        <color theme="1"/>
        <rFont val="Calibre"/>
      </rPr>
      <t xml:space="preserve"> and has since been widely adopted by the global market … incredible success story</t>
    </r>
  </si>
  <si>
    <t xml:space="preserve"> WATCHMAN (now mainly WATCHMAN FLX) is a self‑expanding nitinol frame with fixation anchors and a permeable fabric cap (polyethylene terephthalate) that sits at the opening of the left atrial appendage (LAA)</t>
  </si>
  <si>
    <t>It is delivered percutaneously via a trans‑septal sheath from the femoral vein, then deployed like a parachute/umbrella to plug the LAA orifice</t>
  </si>
  <si>
    <t>The device is recapturable and repositionable before final release offering physicians superior implant flexibility</t>
  </si>
  <si>
    <t>Huge, clearly defined patient pool … growing prevelance of AF in a aging global population with a large cohort already intolerant to OACs</t>
  </si>
  <si>
    <t xml:space="preserve">For patients and referring physicians, the story is straightforward: “Plug the pouch where the clot forms; potentially stop blood thinners later” … That clarity drives referrals from cardiologists, neurologists, and primary care </t>
  </si>
  <si>
    <t xml:space="preserve">Very simple reimbursment process on the commercial side </t>
  </si>
  <si>
    <t>From an engineering standpoint, while WATCHMAN is 'just' a nitinol plug with fabric, clinically it hits several sweet spots in the market it serves …</t>
  </si>
  <si>
    <t>Solves a single, well‑characterized failure mode (LAA thrombus formation) with a localized mechanical solution</t>
  </si>
  <si>
    <t>Converts a chronic systemic therapy problem (lifelong anticoagulation medication ingestion) into a discrete procedural problem, which fits the incentives of hospitals, EP labs, and device companies to drive superior patient outcomes (contrary to many healthcare sceptic beliefs)</t>
  </si>
  <si>
    <t>BSX's R&amp;D team has iterated quickly (2.5 -&gt; FLX -&gt; FLX Pro) to improve safety and endothelialization while growing the addressable anatomy range over the last few years (see most recent patient TAM numbers below)</t>
  </si>
  <si>
    <t xml:space="preserve">On 1/15/2026 Boston Scientific entered an agreement to acquire Penumbra at $374 dollars per share or ~$14.5B … This is Boston Scientific's largest acquisition to date and vastly exands its Thrombectomy and Embolectomy portfolios </t>
  </si>
  <si>
    <t>Current CEO: Michael F. Mahoney (since 2012)</t>
  </si>
  <si>
    <t>Cost of Equity</t>
  </si>
  <si>
    <t>Market Return(1-year avg.)</t>
  </si>
  <si>
    <t>Cost of Debt</t>
  </si>
  <si>
    <t>Capital Structure</t>
  </si>
  <si>
    <t>Debt to Ttl Mkt Cap</t>
  </si>
  <si>
    <t>Mkt Cap</t>
  </si>
  <si>
    <t>Tax Rate</t>
  </si>
  <si>
    <t>After Tax Cost of Debt</t>
  </si>
  <si>
    <t>WACC</t>
  </si>
  <si>
    <t xml:space="preserve">Cost of Equity </t>
  </si>
  <si>
    <t>Mkt Equity to Ttl Mkt Cap</t>
  </si>
  <si>
    <r>
      <rPr>
        <b/>
        <sz val="11"/>
        <color rgb="FF0070C0"/>
        <rFont val="Calibre"/>
      </rPr>
      <t>Avg.</t>
    </r>
    <r>
      <rPr>
        <sz val="11"/>
        <color rgb="FF0070C0"/>
        <rFont val="Calibre"/>
      </rPr>
      <t xml:space="preserve"> (2023-2024)</t>
    </r>
  </si>
  <si>
    <t>LT Debt / Equity</t>
  </si>
  <si>
    <t>Fiscal Year: [January - December]</t>
  </si>
  <si>
    <t>Thrombectomy  
(Neuro + Peripheral)</t>
  </si>
  <si>
    <t>Embolization &amp; Access 
(Peripheral Embolization + Neuro Embolization + Access + Neurosurgical Tools)</t>
  </si>
  <si>
    <t>Thrombectomy Revenue Growth Y/y</t>
  </si>
  <si>
    <t>E &amp; A  Revenue Growth Y/y</t>
  </si>
  <si>
    <t>Total Revenue Growth Y/y</t>
  </si>
  <si>
    <t>Thrombectomy % of Ttl Revenues</t>
  </si>
  <si>
    <t>E &amp; A % of Ttl Revenues</t>
  </si>
  <si>
    <t>International Revenues</t>
  </si>
  <si>
    <t>International Revenue Growth Y/y</t>
  </si>
  <si>
    <t>U.S. % of Ttl Revenues</t>
  </si>
  <si>
    <t>International % of Ttl Revenues</t>
  </si>
  <si>
    <t>R&amp;D</t>
  </si>
  <si>
    <t>SG&amp;A</t>
  </si>
  <si>
    <t>Acquired In-Process R&amp;D</t>
  </si>
  <si>
    <t>Impairment Charges</t>
  </si>
  <si>
    <t>Interest and Other Income, net</t>
  </si>
  <si>
    <t>Tax Expense (Benefit)</t>
  </si>
  <si>
    <t>Consolidated Net Income</t>
  </si>
  <si>
    <t>Net Income attr to Non-Cont.</t>
  </si>
  <si>
    <t>Net Income attr to PEN</t>
  </si>
  <si>
    <t>R&amp;D as % of Revenues</t>
  </si>
  <si>
    <t xml:space="preserve">SG&amp;A as % of Revenues </t>
  </si>
  <si>
    <t>Cash &amp; C.E.s</t>
  </si>
  <si>
    <t>Marketable Investments</t>
  </si>
  <si>
    <t>Prepaid Expenses</t>
  </si>
  <si>
    <t>Operating Leases</t>
  </si>
  <si>
    <t>Financing Leases</t>
  </si>
  <si>
    <t>Intangible Assets, net</t>
  </si>
  <si>
    <t>Deferred Tax Assets</t>
  </si>
  <si>
    <t>Debt / Equity</t>
  </si>
  <si>
    <t>A/P</t>
  </si>
  <si>
    <t>Accrued Liabilities</t>
  </si>
  <si>
    <t>Current Operating Lease Liabilities</t>
  </si>
  <si>
    <t>Current Finance Lease Liabilities</t>
  </si>
  <si>
    <t>Non-current Operating Lease Liabilities</t>
  </si>
  <si>
    <t>Non-current Finance Lease Liabilities</t>
  </si>
  <si>
    <t>Other Liabilities</t>
  </si>
  <si>
    <t>Ttl L + SE</t>
  </si>
  <si>
    <t>NI</t>
  </si>
  <si>
    <t>CapEx</t>
  </si>
  <si>
    <t>[Penumbra Financials]</t>
  </si>
  <si>
    <t>Boston Scientific describes WATCHMAN FLX as built on the “most studied and implanted” LAAC platform, which supports physician familiarity and adoption</t>
  </si>
  <si>
    <t>Boston Scientific’s cited post-implant regimen in the FLX study was NOAC/ASA for 45 days, then clopidogrel/ASA to 6 months, then aspirin afterward … Rapidly de-risks patients from further thromboembolic stroke complications and drops need for OACs</t>
  </si>
  <si>
    <t>FLX is also approved for NVAF patients eligible for anticoagulation therapy aswell (wider label / patient pool)</t>
  </si>
  <si>
    <t>Average patient expected to heal within 45 days of the procedure … the exposed surface becomes covered with endothelial tissue, permanently sealing off the LAA so clots that form inside cannot escape into the systemic circulation</t>
  </si>
  <si>
    <t>Boston Scientific's Watchman FLX (including its latest iteration, Watchman FLX Pro) holds a commanding position in the global left atrial appendage closure (LAAC) device market, maintaining approximately 70-90% market share due to its robust clinical evidence, first-mover advantage, reimbursement support, and broad physician adoption</t>
  </si>
  <si>
    <t>Q2'26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</si>
</sst>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0_);_(* \(#,##0.0\);_(* &quot;-&quot;??_);_(@_)"/>
    <numFmt numFmtId="167" formatCode="_(* #,##0_);_(* \(#,##0\);_(* &quot;-&quot;??_);_(@_)"/>
  </numFmts>
  <fonts count="21">
    <font>
      <sz val="11"/>
      <color theme="1"/>
      <name val="Calibri"/>
      <family val="2"/>
      <scheme val="minor"/>
    </font>
    <font>
      <sz val="11"/>
      <color theme="1"/>
      <name val="Calibre"/>
    </font>
    <font>
      <u/>
      <sz val="11"/>
      <color theme="10"/>
      <name val="Calibri"/>
      <family val="2"/>
      <scheme val="minor"/>
    </font>
    <font>
      <u/>
      <sz val="11"/>
      <color theme="10"/>
      <name val="Calibre"/>
    </font>
    <font>
      <b/>
      <sz val="11"/>
      <color theme="1"/>
      <name val="Calibre"/>
    </font>
    <font>
      <sz val="11"/>
      <name val="Calibre"/>
    </font>
    <font>
      <b/>
      <sz val="11"/>
      <name val="Calibre"/>
    </font>
    <font>
      <b/>
      <u/>
      <sz val="11"/>
      <color theme="1"/>
      <name val="Calibre"/>
    </font>
    <font>
      <i/>
      <sz val="11"/>
      <color theme="1"/>
      <name val="Calibre"/>
    </font>
    <font>
      <sz val="11"/>
      <color theme="1"/>
      <name val="Calibri"/>
      <family val="2"/>
      <scheme val="minor"/>
    </font>
    <font>
      <sz val="10"/>
      <name val="Arial"/>
      <family val="2"/>
    </font>
    <font>
      <b/>
      <sz val="10"/>
      <name val="Arial"/>
      <family val="2"/>
    </font>
    <font>
      <b/>
      <sz val="10"/>
      <name val="Calibre"/>
    </font>
    <font>
      <i/>
      <sz val="11"/>
      <color theme="1"/>
      <name val="Calibri"/>
      <family val="2"/>
      <scheme val="minor"/>
    </font>
    <font>
      <b/>
      <i/>
      <sz val="11"/>
      <color theme="1"/>
      <name val="Calibri"/>
      <family val="2"/>
      <scheme val="minor"/>
    </font>
    <font>
      <sz val="11"/>
      <color rgb="FF000000"/>
      <name val="Calibre"/>
    </font>
    <font>
      <sz val="11"/>
      <color rgb="FF0070C0"/>
      <name val="Calibre"/>
    </font>
    <font>
      <u/>
      <sz val="11"/>
      <color rgb="FF00B0F0"/>
      <name val="Calibre"/>
    </font>
    <font>
      <b/>
      <sz val="11"/>
      <color rgb="FF0070C0"/>
      <name val="Calibre"/>
    </font>
    <font>
      <sz val="10"/>
      <name val="Calibre"/>
    </font>
    <font>
      <sz val="11"/>
      <color theme="4" tint="-0.249977111117893"/>
      <name val="Calibre"/>
    </font>
  </fonts>
  <fills count="4">
    <fill>
      <patternFill patternType="none"/>
    </fill>
    <fill>
      <patternFill patternType="gray125"/>
    </fill>
    <fill>
      <patternFill patternType="solid">
        <fgColor rgb="FFF5F5F5"/>
      </patternFill>
    </fill>
    <fill>
      <patternFill patternType="solid">
        <fgColor rgb="FF00B05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0" fontId="2" fillId="0" borderId="0" applyNumberFormat="0" applyFill="0" applyBorder="0" applyAlignment="0" applyProtection="0"/>
    <xf numFmtId="9" fontId="9" fillId="0" borderId="0" applyFont="0" applyFill="0" applyBorder="0" applyAlignment="0" applyProtection="0"/>
    <xf numFmtId="43" fontId="9" fillId="0" borderId="0" applyFont="0" applyFill="0" applyBorder="0" applyAlignment="0" applyProtection="0"/>
  </cellStyleXfs>
  <cellXfs count="119">
    <xf numFmtId="0" fontId="0" fillId="0" borderId="0" xfId="0"/>
    <xf numFmtId="0" fontId="1" fillId="0" borderId="0" xfId="0" applyFont="1"/>
    <xf numFmtId="0" fontId="3" fillId="0" borderId="0" xfId="1" applyFont="1"/>
    <xf numFmtId="0" fontId="4" fillId="0" borderId="0" xfId="0" applyFont="1"/>
    <xf numFmtId="0" fontId="5" fillId="0" borderId="0" xfId="0" applyFont="1"/>
    <xf numFmtId="0" fontId="6" fillId="0" borderId="0" xfId="0" applyFont="1"/>
    <xf numFmtId="0" fontId="7" fillId="0" borderId="0" xfId="0" applyFont="1"/>
    <xf numFmtId="2" fontId="5" fillId="0" borderId="0" xfId="0" applyNumberFormat="1" applyFont="1"/>
    <xf numFmtId="10" fontId="5" fillId="0" borderId="0" xfId="0" applyNumberFormat="1" applyFont="1"/>
    <xf numFmtId="10" fontId="1" fillId="0" borderId="0" xfId="0" applyNumberFormat="1" applyFont="1"/>
    <xf numFmtId="2" fontId="1" fillId="0" borderId="0" xfId="0" applyNumberFormat="1" applyFont="1"/>
    <xf numFmtId="164" fontId="1" fillId="0" borderId="0" xfId="0" applyNumberFormat="1" applyFont="1"/>
    <xf numFmtId="164" fontId="5" fillId="0" borderId="0" xfId="0" applyNumberFormat="1" applyFont="1"/>
    <xf numFmtId="0" fontId="10" fillId="0" borderId="0" xfId="0" applyFont="1"/>
    <xf numFmtId="0" fontId="11" fillId="2" borderId="0" xfId="0" applyFont="1" applyFill="1" applyAlignment="1">
      <alignment horizontal="center" vertical="center"/>
    </xf>
    <xf numFmtId="0" fontId="12" fillId="2" borderId="0" xfId="0" applyFont="1" applyFill="1" applyAlignment="1">
      <alignment horizontal="center" vertical="center"/>
    </xf>
    <xf numFmtId="10" fontId="12" fillId="2" borderId="0" xfId="0" applyNumberFormat="1" applyFont="1" applyFill="1" applyAlignment="1">
      <alignment horizontal="center" vertical="center"/>
    </xf>
    <xf numFmtId="0" fontId="12" fillId="2" borderId="0" xfId="0" applyFont="1" applyFill="1" applyAlignment="1">
      <alignment horizontal="right" vertical="center"/>
    </xf>
    <xf numFmtId="10" fontId="10" fillId="0" borderId="0" xfId="0" applyNumberFormat="1" applyFont="1"/>
    <xf numFmtId="2" fontId="10" fillId="0" borderId="0" xfId="0" applyNumberFormat="1" applyFont="1"/>
    <xf numFmtId="10" fontId="0" fillId="0" borderId="0" xfId="0" applyNumberFormat="1"/>
    <xf numFmtId="0" fontId="0" fillId="0" borderId="1" xfId="0" applyBorder="1"/>
    <xf numFmtId="0" fontId="13" fillId="0" borderId="2" xfId="0" applyFont="1" applyBorder="1" applyAlignment="1">
      <alignment horizontal="center"/>
    </xf>
    <xf numFmtId="0" fontId="1" fillId="0" borderId="0" xfId="2" applyNumberFormat="1" applyFont="1"/>
    <xf numFmtId="0" fontId="13" fillId="0" borderId="2" xfId="0" applyFont="1" applyBorder="1" applyAlignment="1">
      <alignment horizontal="left"/>
    </xf>
    <xf numFmtId="0" fontId="13" fillId="0" borderId="2" xfId="0" applyFont="1" applyBorder="1" applyAlignment="1">
      <alignment horizontal="center" wrapText="1"/>
    </xf>
    <xf numFmtId="0" fontId="1" fillId="0" borderId="0" xfId="0" applyFont="1" applyAlignment="1">
      <alignment horizontal="right"/>
    </xf>
    <xf numFmtId="2" fontId="1" fillId="0" borderId="0" xfId="2" quotePrefix="1" applyNumberFormat="1" applyFont="1"/>
    <xf numFmtId="2" fontId="1" fillId="0" borderId="0" xfId="0" quotePrefix="1" applyNumberFormat="1" applyFont="1"/>
    <xf numFmtId="0" fontId="4" fillId="0" borderId="0" xfId="0" applyFont="1" applyAlignment="1">
      <alignment horizontal="left"/>
    </xf>
    <xf numFmtId="3" fontId="1" fillId="0" borderId="0" xfId="0" applyNumberFormat="1" applyFont="1" applyAlignment="1">
      <alignment horizontal="left"/>
    </xf>
    <xf numFmtId="0" fontId="1" fillId="0" borderId="0" xfId="0" applyFont="1" applyAlignment="1">
      <alignment horizontal="left" indent="1"/>
    </xf>
    <xf numFmtId="0" fontId="5" fillId="0" borderId="0" xfId="0" applyFont="1" applyAlignment="1">
      <alignment horizontal="left" indent="1"/>
    </xf>
    <xf numFmtId="164" fontId="4" fillId="0" borderId="0" xfId="0" applyNumberFormat="1" applyFont="1"/>
    <xf numFmtId="164" fontId="6" fillId="0" borderId="0" xfId="0" applyNumberFormat="1" applyFont="1"/>
    <xf numFmtId="0" fontId="16" fillId="0" borderId="0" xfId="0" applyFont="1" applyAlignment="1">
      <alignment vertical="top" wrapText="1"/>
    </xf>
    <xf numFmtId="10" fontId="16" fillId="0" borderId="0" xfId="0" applyNumberFormat="1" applyFont="1"/>
    <xf numFmtId="1" fontId="16" fillId="0" borderId="0" xfId="0" applyNumberFormat="1" applyFont="1"/>
    <xf numFmtId="2" fontId="16" fillId="0" borderId="0" xfId="0" applyNumberFormat="1" applyFont="1"/>
    <xf numFmtId="9" fontId="5" fillId="0" borderId="0" xfId="0" applyNumberFormat="1" applyFont="1"/>
    <xf numFmtId="0" fontId="2" fillId="0" borderId="0" xfId="1"/>
    <xf numFmtId="0" fontId="17" fillId="0" borderId="0" xfId="1" applyFont="1"/>
    <xf numFmtId="10" fontId="5" fillId="0" borderId="0" xfId="2" applyNumberFormat="1" applyFont="1"/>
    <xf numFmtId="10" fontId="6" fillId="0" borderId="0" xfId="0" applyNumberFormat="1" applyFont="1"/>
    <xf numFmtId="0" fontId="1" fillId="3" borderId="0" xfId="0" applyFont="1" applyFill="1"/>
    <xf numFmtId="1" fontId="5" fillId="0" borderId="0" xfId="0" applyNumberFormat="1" applyFont="1"/>
    <xf numFmtId="1" fontId="1" fillId="0" borderId="0" xfId="0" applyNumberFormat="1" applyFont="1"/>
    <xf numFmtId="10" fontId="1" fillId="0" borderId="0" xfId="0" applyNumberFormat="1" applyFont="1" applyAlignment="1">
      <alignment vertical="top"/>
    </xf>
    <xf numFmtId="0" fontId="16" fillId="0" borderId="0" xfId="0" applyFont="1" applyAlignment="1">
      <alignment vertical="top"/>
    </xf>
    <xf numFmtId="0" fontId="16" fillId="0" borderId="0" xfId="0" applyFont="1" applyAlignment="1">
      <alignment horizontal="right" vertical="top"/>
    </xf>
    <xf numFmtId="10" fontId="16" fillId="0" borderId="0" xfId="0" applyNumberFormat="1" applyFont="1" applyAlignment="1">
      <alignment vertical="top"/>
    </xf>
    <xf numFmtId="1" fontId="16" fillId="0" borderId="0" xfId="0" applyNumberFormat="1" applyFont="1" applyAlignment="1">
      <alignment vertical="top"/>
    </xf>
    <xf numFmtId="165" fontId="16" fillId="0" borderId="0" xfId="0" applyNumberFormat="1" applyFont="1" applyAlignment="1">
      <alignment vertical="top"/>
    </xf>
    <xf numFmtId="164" fontId="16" fillId="0" borderId="0" xfId="2" applyNumberFormat="1" applyFont="1" applyAlignment="1">
      <alignment vertical="top"/>
    </xf>
    <xf numFmtId="14" fontId="16" fillId="0" borderId="0" xfId="0" applyNumberFormat="1" applyFont="1" applyAlignment="1">
      <alignment horizontal="right" vertical="top"/>
    </xf>
    <xf numFmtId="2" fontId="16" fillId="0" borderId="0" xfId="0" applyNumberFormat="1" applyFont="1" applyAlignment="1">
      <alignment vertical="top"/>
    </xf>
    <xf numFmtId="49" fontId="16" fillId="0" borderId="0" xfId="0" applyNumberFormat="1" applyFont="1" applyAlignment="1">
      <alignment horizontal="right" vertical="top"/>
    </xf>
    <xf numFmtId="0" fontId="16" fillId="0" borderId="0" xfId="0" applyFont="1"/>
    <xf numFmtId="0" fontId="18" fillId="0" borderId="0" xfId="0" applyFont="1"/>
    <xf numFmtId="1" fontId="18" fillId="0" borderId="0" xfId="0" applyNumberFormat="1" applyFont="1"/>
    <xf numFmtId="164" fontId="16" fillId="0" borderId="0" xfId="0" applyNumberFormat="1" applyFont="1"/>
    <xf numFmtId="164" fontId="18" fillId="0" borderId="0" xfId="0" applyNumberFormat="1" applyFont="1"/>
    <xf numFmtId="165" fontId="16" fillId="0" borderId="0" xfId="0" applyNumberFormat="1" applyFont="1"/>
    <xf numFmtId="164" fontId="16" fillId="0" borderId="0" xfId="2" applyNumberFormat="1" applyFont="1"/>
    <xf numFmtId="0" fontId="18" fillId="0" borderId="0" xfId="0" applyFont="1" applyAlignment="1">
      <alignment vertical="top"/>
    </xf>
    <xf numFmtId="0" fontId="16" fillId="0" borderId="0" xfId="0" applyFont="1" applyAlignment="1">
      <alignment horizontal="center"/>
    </xf>
    <xf numFmtId="0" fontId="16" fillId="0" borderId="0" xfId="0" applyFont="1" applyAlignment="1">
      <alignment horizontal="right"/>
    </xf>
    <xf numFmtId="10" fontId="16" fillId="0" borderId="0" xfId="2" applyNumberFormat="1" applyFont="1"/>
    <xf numFmtId="164" fontId="1" fillId="0" borderId="0" xfId="0" applyNumberFormat="1" applyFont="1" applyAlignment="1">
      <alignment horizontal="left" indent="1"/>
    </xf>
    <xf numFmtId="9" fontId="16" fillId="0" borderId="0" xfId="2" applyFont="1"/>
    <xf numFmtId="10" fontId="16" fillId="0" borderId="0" xfId="2" applyNumberFormat="1" applyFont="1" applyAlignment="1">
      <alignment horizontal="right"/>
    </xf>
    <xf numFmtId="0" fontId="16" fillId="0" borderId="0" xfId="0" applyFont="1" applyAlignment="1">
      <alignment horizontal="left" indent="1"/>
    </xf>
    <xf numFmtId="0" fontId="16" fillId="0" borderId="0" xfId="0" applyFont="1" applyAlignment="1">
      <alignment horizontal="left" vertical="top" indent="1"/>
    </xf>
    <xf numFmtId="10" fontId="16" fillId="0" borderId="0" xfId="2" applyNumberFormat="1" applyFont="1" applyAlignment="1">
      <alignment horizontal="left" indent="1"/>
    </xf>
    <xf numFmtId="0" fontId="18" fillId="0" borderId="0" xfId="0" applyFont="1" applyAlignment="1">
      <alignment horizontal="left" indent="1"/>
    </xf>
    <xf numFmtId="10" fontId="18" fillId="0" borderId="0" xfId="2" applyNumberFormat="1" applyFont="1"/>
    <xf numFmtId="1" fontId="18" fillId="0" borderId="0" xfId="0" applyNumberFormat="1" applyFont="1" applyAlignment="1">
      <alignment horizontal="left" indent="1"/>
    </xf>
    <xf numFmtId="14" fontId="1" fillId="0" borderId="0" xfId="0" applyNumberFormat="1" applyFont="1" applyAlignment="1">
      <alignment horizontal="left"/>
    </xf>
    <xf numFmtId="0" fontId="18" fillId="0" borderId="0" xfId="0" applyFont="1" applyAlignment="1">
      <alignment horizontal="left" vertical="top" indent="1"/>
    </xf>
    <xf numFmtId="0" fontId="18" fillId="0" borderId="0" xfId="0" applyFont="1" applyAlignment="1">
      <alignment horizontal="right" vertical="center"/>
    </xf>
    <xf numFmtId="43" fontId="1" fillId="0" borderId="0" xfId="3" applyFont="1" applyAlignment="1">
      <alignment horizontal="left"/>
    </xf>
    <xf numFmtId="166" fontId="1" fillId="0" borderId="0" xfId="3" applyNumberFormat="1" applyFont="1" applyAlignment="1">
      <alignment horizontal="left"/>
    </xf>
    <xf numFmtId="167" fontId="1" fillId="0" borderId="0" xfId="3" applyNumberFormat="1" applyFont="1" applyAlignment="1">
      <alignment horizontal="left"/>
    </xf>
    <xf numFmtId="0" fontId="1" fillId="0" borderId="0" xfId="0" applyFont="1" applyAlignment="1">
      <alignment vertical="center"/>
    </xf>
    <xf numFmtId="0" fontId="16" fillId="0" borderId="0" xfId="0" applyFont="1" applyAlignment="1">
      <alignment vertical="center"/>
    </xf>
    <xf numFmtId="0" fontId="4" fillId="0" borderId="0" xfId="0" applyFont="1" applyAlignment="1">
      <alignment vertical="center"/>
    </xf>
    <xf numFmtId="165" fontId="4" fillId="0" borderId="0" xfId="0" applyNumberFormat="1" applyFont="1" applyAlignment="1">
      <alignment vertical="center"/>
    </xf>
    <xf numFmtId="0" fontId="18" fillId="0" borderId="0" xfId="0" applyFont="1" applyAlignment="1">
      <alignment vertical="center"/>
    </xf>
    <xf numFmtId="0" fontId="1" fillId="0" borderId="0" xfId="0" applyFont="1" applyAlignment="1">
      <alignment horizontal="left" vertical="center" wrapText="1" indent="1"/>
    </xf>
    <xf numFmtId="0" fontId="19" fillId="0" borderId="0" xfId="0" applyFont="1" applyAlignment="1">
      <alignment vertical="center"/>
    </xf>
    <xf numFmtId="165" fontId="1" fillId="0" borderId="0" xfId="0" applyNumberFormat="1" applyFont="1" applyAlignment="1">
      <alignment vertical="center"/>
    </xf>
    <xf numFmtId="165" fontId="16" fillId="0" borderId="0" xfId="0" applyNumberFormat="1" applyFont="1" applyAlignment="1">
      <alignment vertical="center"/>
    </xf>
    <xf numFmtId="0" fontId="12" fillId="0" borderId="0" xfId="0" applyFont="1" applyAlignment="1">
      <alignment vertical="center"/>
    </xf>
    <xf numFmtId="1" fontId="4" fillId="0" borderId="0" xfId="0" applyNumberFormat="1" applyFont="1" applyAlignment="1">
      <alignment vertical="center"/>
    </xf>
    <xf numFmtId="165" fontId="18" fillId="0" borderId="0" xfId="0" applyNumberFormat="1" applyFont="1" applyAlignment="1">
      <alignment vertical="center"/>
    </xf>
    <xf numFmtId="0" fontId="1" fillId="0" borderId="0" xfId="0" applyFont="1" applyAlignment="1">
      <alignment horizontal="left" vertical="center" indent="1"/>
    </xf>
    <xf numFmtId="164" fontId="1" fillId="0" borderId="0" xfId="0" applyNumberFormat="1" applyFont="1" applyAlignment="1">
      <alignment vertical="center"/>
    </xf>
    <xf numFmtId="164" fontId="16" fillId="0" borderId="0" xfId="2" applyNumberFormat="1" applyFont="1" applyAlignment="1">
      <alignment vertical="center"/>
    </xf>
    <xf numFmtId="164" fontId="16" fillId="0" borderId="0" xfId="0" applyNumberFormat="1" applyFont="1" applyAlignment="1">
      <alignment vertical="center"/>
    </xf>
    <xf numFmtId="164" fontId="4" fillId="0" borderId="0" xfId="0" applyNumberFormat="1" applyFont="1" applyAlignment="1">
      <alignment vertical="center"/>
    </xf>
    <xf numFmtId="164" fontId="18" fillId="0" borderId="0" xfId="0" applyNumberFormat="1" applyFont="1" applyAlignment="1">
      <alignment vertical="center"/>
    </xf>
    <xf numFmtId="2" fontId="1" fillId="0" borderId="0" xfId="0" applyNumberFormat="1" applyFont="1" applyAlignment="1">
      <alignment vertical="center"/>
    </xf>
    <xf numFmtId="2" fontId="16" fillId="0" borderId="0" xfId="0" applyNumberFormat="1" applyFont="1" applyAlignment="1">
      <alignment vertical="center"/>
    </xf>
    <xf numFmtId="9" fontId="1" fillId="0" borderId="0" xfId="0" applyNumberFormat="1" applyFont="1" applyAlignment="1">
      <alignment vertical="center"/>
    </xf>
    <xf numFmtId="0" fontId="16" fillId="0" borderId="0" xfId="0" applyFont="1" applyAlignment="1">
      <alignment vertical="center" wrapText="1"/>
    </xf>
    <xf numFmtId="10" fontId="16" fillId="0" borderId="0" xfId="0" applyNumberFormat="1" applyFont="1" applyAlignment="1">
      <alignment vertical="center"/>
    </xf>
    <xf numFmtId="1" fontId="16" fillId="0" borderId="0" xfId="0" applyNumberFormat="1" applyFont="1" applyAlignment="1">
      <alignment vertical="center"/>
    </xf>
    <xf numFmtId="14" fontId="16" fillId="0" borderId="0" xfId="0" applyNumberFormat="1" applyFont="1" applyAlignment="1">
      <alignment horizontal="left" vertical="center"/>
    </xf>
    <xf numFmtId="0" fontId="16" fillId="0" borderId="0" xfId="0" applyFont="1" applyAlignment="1">
      <alignment horizontal="left" vertical="center"/>
    </xf>
    <xf numFmtId="49" fontId="16" fillId="0" borderId="0" xfId="0" applyNumberFormat="1" applyFont="1" applyAlignment="1">
      <alignment horizontal="left" vertical="center"/>
    </xf>
    <xf numFmtId="10" fontId="1" fillId="0" borderId="0" xfId="0" applyNumberFormat="1" applyFont="1" applyAlignment="1">
      <alignment vertical="center"/>
    </xf>
    <xf numFmtId="10" fontId="18" fillId="0" borderId="0" xfId="0" applyNumberFormat="1" applyFont="1" applyAlignment="1">
      <alignment vertical="center"/>
    </xf>
    <xf numFmtId="10" fontId="1" fillId="0" borderId="0" xfId="2" applyNumberFormat="1" applyFont="1"/>
    <xf numFmtId="164" fontId="1" fillId="0" borderId="0" xfId="2" applyNumberFormat="1" applyFont="1" applyAlignment="1">
      <alignment vertical="center"/>
    </xf>
    <xf numFmtId="164" fontId="4" fillId="0" borderId="0" xfId="2" applyNumberFormat="1" applyFont="1" applyAlignment="1">
      <alignment vertical="center"/>
    </xf>
    <xf numFmtId="10" fontId="4" fillId="0" borderId="0" xfId="0" applyNumberFormat="1" applyFont="1" applyAlignment="1">
      <alignment vertical="center"/>
    </xf>
    <xf numFmtId="0" fontId="16" fillId="0" borderId="0" xfId="0" applyFont="1" applyAlignment="1">
      <alignment horizontal="center"/>
    </xf>
    <xf numFmtId="0" fontId="20" fillId="0" borderId="0" xfId="0" applyFont="1" applyAlignment="1">
      <alignment horizontal="center" vertical="center"/>
    </xf>
    <xf numFmtId="0" fontId="1" fillId="0" borderId="0" xfId="0" applyFont="1" applyAlignment="1">
      <alignment wrapText="1"/>
    </xf>
  </cellXfs>
  <cellStyles count="4">
    <cellStyle name="Comma" xfId="3" builtinId="3"/>
    <cellStyle name="Hyperlink" xfId="1" builtinId="8"/>
    <cellStyle name="Normal" xfId="0" builtinId="0"/>
    <cellStyle name="Percent" xfId="2" builtinId="5"/>
  </cellStyles>
  <dxfs count="15">
    <dxf>
      <font>
        <b/>
        <i val="0"/>
        <color theme="0"/>
      </font>
      <fill>
        <patternFill>
          <bgColor rgb="FF5A8C38"/>
        </patternFill>
      </fill>
    </dxf>
    <dxf>
      <font>
        <b/>
        <i val="0"/>
        <color theme="0"/>
      </font>
      <fill>
        <patternFill>
          <bgColor rgb="FF00CC66"/>
        </patternFill>
      </fill>
    </dxf>
    <dxf>
      <font>
        <b/>
        <i val="0"/>
        <color theme="1"/>
      </font>
      <fill>
        <patternFill>
          <bgColor rgb="FFEBE600"/>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F6D70"/>
      <color rgb="FFFF7C80"/>
      <color rgb="FF9CCA7C"/>
      <color rgb="FF76ABDC"/>
      <color rgb="FF82A1D8"/>
      <color rgb="FFC65A9A"/>
      <color rgb="FFDB95BF"/>
      <color rgb="FFCF73AA"/>
      <color rgb="FF132F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(BSX) 1-Day Historical Return Histogram + Normal Distribution Overlay</a:t>
            </a:r>
          </a:p>
        </c:rich>
      </c:tx>
      <c:layout>
        <c:manualLayout>
          <c:xMode val="edge"/>
          <c:yMode val="edge"/>
          <c:x val="0.27736280796715335"/>
          <c:y val="1.92816660034200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smoothMarker"/>
        <c:varyColors val="0"/>
        <c:ser>
          <c:idx val="0"/>
          <c:order val="0"/>
          <c:tx>
            <c:v>Population Histogram</c:v>
          </c:tx>
          <c:spPr>
            <a:ln w="25400" cap="rnd">
              <a:solidFill>
                <a:schemeClr val="accent4"/>
              </a:solidFill>
              <a:round/>
            </a:ln>
            <a:effectLst/>
          </c:spPr>
          <c:marker>
            <c:symbol val="none"/>
          </c:marker>
          <c:xVal>
            <c:numRef>
              <c:f>'Notes | Analysis'!$L$274:$L$375</c:f>
              <c:numCache>
                <c:formatCode>0.00%</c:formatCode>
                <c:ptCount val="102"/>
                <c:pt idx="0">
                  <c:v>-5.0999999999999997E-2</c:v>
                </c:pt>
                <c:pt idx="1">
                  <c:v>-0.05</c:v>
                </c:pt>
                <c:pt idx="2">
                  <c:v>-4.9000000000000002E-2</c:v>
                </c:pt>
                <c:pt idx="3">
                  <c:v>-4.8000000000000001E-2</c:v>
                </c:pt>
                <c:pt idx="4">
                  <c:v>-4.7E-2</c:v>
                </c:pt>
                <c:pt idx="5">
                  <c:v>-4.5999999999999999E-2</c:v>
                </c:pt>
                <c:pt idx="6">
                  <c:v>-4.4999999999999998E-2</c:v>
                </c:pt>
                <c:pt idx="7">
                  <c:v>-4.3999999999999997E-2</c:v>
                </c:pt>
                <c:pt idx="8">
                  <c:v>-4.2999999999999997E-2</c:v>
                </c:pt>
                <c:pt idx="9">
                  <c:v>-4.1999999999999996E-2</c:v>
                </c:pt>
                <c:pt idx="10">
                  <c:v>-4.0999999999999995E-2</c:v>
                </c:pt>
                <c:pt idx="11">
                  <c:v>-0.04</c:v>
                </c:pt>
                <c:pt idx="12">
                  <c:v>-3.9E-2</c:v>
                </c:pt>
                <c:pt idx="13">
                  <c:v>-3.7999999999999999E-2</c:v>
                </c:pt>
                <c:pt idx="14">
                  <c:v>-3.6999999999999998E-2</c:v>
                </c:pt>
                <c:pt idx="15">
                  <c:v>-3.5999999999999997E-2</c:v>
                </c:pt>
                <c:pt idx="16">
                  <c:v>-3.4999999999999996E-2</c:v>
                </c:pt>
                <c:pt idx="17">
                  <c:v>-3.3999999999999996E-2</c:v>
                </c:pt>
                <c:pt idx="18">
                  <c:v>-3.2999999999999995E-2</c:v>
                </c:pt>
                <c:pt idx="19">
                  <c:v>-3.1999999999999994E-2</c:v>
                </c:pt>
                <c:pt idx="20">
                  <c:v>-3.0999999999999993E-2</c:v>
                </c:pt>
                <c:pt idx="21">
                  <c:v>-2.9999999999999992E-2</c:v>
                </c:pt>
                <c:pt idx="22">
                  <c:v>-2.8999999999999991E-2</c:v>
                </c:pt>
                <c:pt idx="23">
                  <c:v>-2.799999999999999E-2</c:v>
                </c:pt>
                <c:pt idx="24">
                  <c:v>-2.6999999999999989E-2</c:v>
                </c:pt>
                <c:pt idx="25">
                  <c:v>-2.5999999999999988E-2</c:v>
                </c:pt>
                <c:pt idx="26">
                  <c:v>-2.4999999999999988E-2</c:v>
                </c:pt>
                <c:pt idx="27">
                  <c:v>-2.3999999999999987E-2</c:v>
                </c:pt>
                <c:pt idx="28">
                  <c:v>-2.2999999999999986E-2</c:v>
                </c:pt>
                <c:pt idx="29">
                  <c:v>-2.1999999999999985E-2</c:v>
                </c:pt>
                <c:pt idx="30">
                  <c:v>-2.0999999999999984E-2</c:v>
                </c:pt>
                <c:pt idx="31">
                  <c:v>-1.9999999999999983E-2</c:v>
                </c:pt>
                <c:pt idx="32">
                  <c:v>-1.8999999999999982E-2</c:v>
                </c:pt>
                <c:pt idx="33">
                  <c:v>-1.7999999999999981E-2</c:v>
                </c:pt>
                <c:pt idx="34">
                  <c:v>-1.699999999999998E-2</c:v>
                </c:pt>
                <c:pt idx="35">
                  <c:v>-1.599999999999998E-2</c:v>
                </c:pt>
                <c:pt idx="36">
                  <c:v>-1.4999999999999979E-2</c:v>
                </c:pt>
                <c:pt idx="37">
                  <c:v>-1.3999999999999978E-2</c:v>
                </c:pt>
                <c:pt idx="38">
                  <c:v>-1.2999999999999977E-2</c:v>
                </c:pt>
                <c:pt idx="39">
                  <c:v>-1.1999999999999976E-2</c:v>
                </c:pt>
                <c:pt idx="40">
                  <c:v>-1.0999999999999975E-2</c:v>
                </c:pt>
                <c:pt idx="41">
                  <c:v>-9.9999999999999742E-3</c:v>
                </c:pt>
                <c:pt idx="42">
                  <c:v>-8.9999999999999733E-3</c:v>
                </c:pt>
                <c:pt idx="43">
                  <c:v>-7.9999999999999724E-3</c:v>
                </c:pt>
                <c:pt idx="44">
                  <c:v>-6.9999999999999724E-3</c:v>
                </c:pt>
                <c:pt idx="45">
                  <c:v>-5.9999999999999724E-3</c:v>
                </c:pt>
                <c:pt idx="46">
                  <c:v>-4.9999999999999723E-3</c:v>
                </c:pt>
                <c:pt idx="47">
                  <c:v>-3.9999999999999723E-3</c:v>
                </c:pt>
                <c:pt idx="48">
                  <c:v>-2.9999999999999723E-3</c:v>
                </c:pt>
                <c:pt idx="49">
                  <c:v>-1.9999999999999723E-3</c:v>
                </c:pt>
                <c:pt idx="50">
                  <c:v>-9.9999999999997227E-4</c:v>
                </c:pt>
                <c:pt idx="51">
                  <c:v>2.7755575615628914E-17</c:v>
                </c:pt>
                <c:pt idx="52">
                  <c:v>1.0000000000000278E-3</c:v>
                </c:pt>
                <c:pt idx="53">
                  <c:v>2.0000000000000278E-3</c:v>
                </c:pt>
                <c:pt idx="54">
                  <c:v>3.0000000000000278E-3</c:v>
                </c:pt>
                <c:pt idx="55">
                  <c:v>4.0000000000000278E-3</c:v>
                </c:pt>
                <c:pt idx="56">
                  <c:v>5.0000000000000279E-3</c:v>
                </c:pt>
                <c:pt idx="57">
                  <c:v>6.0000000000000279E-3</c:v>
                </c:pt>
                <c:pt idx="58">
                  <c:v>7.0000000000000279E-3</c:v>
                </c:pt>
                <c:pt idx="59">
                  <c:v>8.0000000000000279E-3</c:v>
                </c:pt>
                <c:pt idx="60">
                  <c:v>9.0000000000000288E-3</c:v>
                </c:pt>
                <c:pt idx="61">
                  <c:v>1.000000000000003E-2</c:v>
                </c:pt>
                <c:pt idx="62">
                  <c:v>1.1000000000000031E-2</c:v>
                </c:pt>
                <c:pt idx="63">
                  <c:v>1.2000000000000031E-2</c:v>
                </c:pt>
                <c:pt idx="64">
                  <c:v>1.3000000000000032E-2</c:v>
                </c:pt>
                <c:pt idx="65">
                  <c:v>1.4000000000000033E-2</c:v>
                </c:pt>
                <c:pt idx="66">
                  <c:v>1.5000000000000034E-2</c:v>
                </c:pt>
                <c:pt idx="67">
                  <c:v>1.6000000000000035E-2</c:v>
                </c:pt>
                <c:pt idx="68">
                  <c:v>1.7000000000000036E-2</c:v>
                </c:pt>
                <c:pt idx="69">
                  <c:v>1.8000000000000037E-2</c:v>
                </c:pt>
                <c:pt idx="70">
                  <c:v>1.9000000000000038E-2</c:v>
                </c:pt>
                <c:pt idx="71">
                  <c:v>2.0000000000000039E-2</c:v>
                </c:pt>
                <c:pt idx="72">
                  <c:v>2.1000000000000039E-2</c:v>
                </c:pt>
                <c:pt idx="73">
                  <c:v>2.200000000000004E-2</c:v>
                </c:pt>
                <c:pt idx="74">
                  <c:v>2.3000000000000041E-2</c:v>
                </c:pt>
                <c:pt idx="75">
                  <c:v>2.4000000000000042E-2</c:v>
                </c:pt>
                <c:pt idx="76">
                  <c:v>2.5000000000000043E-2</c:v>
                </c:pt>
                <c:pt idx="77">
                  <c:v>2.6000000000000044E-2</c:v>
                </c:pt>
                <c:pt idx="78">
                  <c:v>2.7000000000000045E-2</c:v>
                </c:pt>
                <c:pt idx="79">
                  <c:v>2.8000000000000046E-2</c:v>
                </c:pt>
                <c:pt idx="80">
                  <c:v>2.9000000000000047E-2</c:v>
                </c:pt>
                <c:pt idx="81">
                  <c:v>3.0000000000000047E-2</c:v>
                </c:pt>
                <c:pt idx="82">
                  <c:v>3.1000000000000048E-2</c:v>
                </c:pt>
                <c:pt idx="83">
                  <c:v>3.2000000000000049E-2</c:v>
                </c:pt>
                <c:pt idx="84">
                  <c:v>3.300000000000005E-2</c:v>
                </c:pt>
                <c:pt idx="85">
                  <c:v>3.4000000000000051E-2</c:v>
                </c:pt>
                <c:pt idx="86">
                  <c:v>3.5000000000000052E-2</c:v>
                </c:pt>
                <c:pt idx="87">
                  <c:v>3.6000000000000053E-2</c:v>
                </c:pt>
                <c:pt idx="88">
                  <c:v>3.7000000000000054E-2</c:v>
                </c:pt>
                <c:pt idx="89">
                  <c:v>3.8000000000000055E-2</c:v>
                </c:pt>
                <c:pt idx="90">
                  <c:v>3.9000000000000055E-2</c:v>
                </c:pt>
                <c:pt idx="91">
                  <c:v>4.0000000000000056E-2</c:v>
                </c:pt>
                <c:pt idx="92">
                  <c:v>4.1000000000000057E-2</c:v>
                </c:pt>
                <c:pt idx="93">
                  <c:v>4.2000000000000058E-2</c:v>
                </c:pt>
                <c:pt idx="94">
                  <c:v>4.3000000000000059E-2</c:v>
                </c:pt>
                <c:pt idx="95">
                  <c:v>4.400000000000006E-2</c:v>
                </c:pt>
                <c:pt idx="96">
                  <c:v>4.5000000000000061E-2</c:v>
                </c:pt>
                <c:pt idx="97">
                  <c:v>4.6000000000000062E-2</c:v>
                </c:pt>
                <c:pt idx="98">
                  <c:v>4.7000000000000063E-2</c:v>
                </c:pt>
                <c:pt idx="99">
                  <c:v>4.8000000000000063E-2</c:v>
                </c:pt>
                <c:pt idx="100">
                  <c:v>4.9000000000000064E-2</c:v>
                </c:pt>
                <c:pt idx="101">
                  <c:v>5.0000000000000065E-2</c:v>
                </c:pt>
              </c:numCache>
            </c:numRef>
          </c:xVal>
          <c:yVal>
            <c:numRef>
              <c:f>'Notes | Analysis'!$M$274:$M$375</c:f>
              <c:numCache>
                <c:formatCode>General</c:formatCode>
                <c:ptCount val="102"/>
                <c:pt idx="0">
                  <c:v>3.0591924132819574E-2</c:v>
                </c:pt>
                <c:pt idx="1">
                  <c:v>3.9877712361680778E-2</c:v>
                </c:pt>
                <c:pt idx="2">
                  <c:v>5.1710857815749703E-2</c:v>
                </c:pt>
                <c:pt idx="3">
                  <c:v>6.6705448845555404E-2</c:v>
                </c:pt>
                <c:pt idx="4">
                  <c:v>8.5599049485127199E-2</c:v>
                </c:pt>
                <c:pt idx="5">
                  <c:v>0.10927092925939848</c:v>
                </c:pt>
                <c:pt idx="6">
                  <c:v>0.13876131071779618</c:v>
                </c:pt>
                <c:pt idx="7">
                  <c:v>0.175291240056516</c:v>
                </c:pt>
                <c:pt idx="8">
                  <c:v>0.22028255041662292</c:v>
                </c:pt>
                <c:pt idx="9">
                  <c:v>0.27537723921566615</c:v>
                </c:pt>
                <c:pt idx="10">
                  <c:v>0.34245542462452749</c:v>
                </c:pt>
                <c:pt idx="11">
                  <c:v>0.42365088813731527</c:v>
                </c:pt>
                <c:pt idx="12">
                  <c:v>0.52136305790835646</c:v>
                </c:pt>
                <c:pt idx="13">
                  <c:v>0.63826415060640307</c:v>
                </c:pt>
                <c:pt idx="14">
                  <c:v>0.77730007888510488</c:v>
                </c:pt>
                <c:pt idx="15">
                  <c:v>0.94168365924039099</c:v>
                </c:pt>
                <c:pt idx="16">
                  <c:v>1.1348786337001096</c:v>
                </c:pt>
                <c:pt idx="17">
                  <c:v>1.3605730611231091</c:v>
                </c:pt>
                <c:pt idx="18">
                  <c:v>1.6226407516959294</c:v>
                </c:pt>
                <c:pt idx="19">
                  <c:v>1.9250896215676325</c:v>
                </c:pt>
                <c:pt idx="20">
                  <c:v>2.2719961407504448</c:v>
                </c:pt>
                <c:pt idx="21">
                  <c:v>2.6674254399306507</c:v>
                </c:pt>
                <c:pt idx="22">
                  <c:v>3.1153371293936116</c:v>
                </c:pt>
                <c:pt idx="23">
                  <c:v>3.6194774589502758</c:v>
                </c:pt>
                <c:pt idx="24">
                  <c:v>4.1832590983783016</c:v>
                </c:pt>
                <c:pt idx="25">
                  <c:v>4.8096305236886279</c:v>
                </c:pt>
                <c:pt idx="26">
                  <c:v>5.500937729202823</c:v>
                </c:pt>
                <c:pt idx="27">
                  <c:v>6.2587817166679685</c:v>
                </c:pt>
                <c:pt idx="28">
                  <c:v>7.083875903123368</c:v>
                </c:pt>
                <c:pt idx="29">
                  <c:v>7.975908198131517</c:v>
                </c:pt>
                <c:pt idx="30">
                  <c:v>8.9334129859111631</c:v>
                </c:pt>
                <c:pt idx="31">
                  <c:v>9.9536585672914555</c:v>
                </c:pt>
                <c:pt idx="32">
                  <c:v>11.032555732128332</c:v>
                </c:pt>
                <c:pt idx="33">
                  <c:v>12.164593013007199</c:v>
                </c:pt>
                <c:pt idx="34">
                  <c:v>13.342803792782865</c:v>
                </c:pt>
                <c:pt idx="35">
                  <c:v>14.558769790307135</c:v>
                </c:pt>
                <c:pt idx="36">
                  <c:v>15.802664532564007</c:v>
                </c:pt>
                <c:pt idx="37">
                  <c:v>17.063339254211055</c:v>
                </c:pt>
                <c:pt idx="38">
                  <c:v>18.328452279441191</c:v>
                </c:pt>
                <c:pt idx="39">
                  <c:v>19.584641383352356</c:v>
                </c:pt>
                <c:pt idx="40">
                  <c:v>20.817736961441405</c:v>
                </c:pt>
                <c:pt idx="41">
                  <c:v>22.013012128380719</c:v>
                </c:pt>
                <c:pt idx="42">
                  <c:v>23.155464200656759</c:v>
                </c:pt>
                <c:pt idx="43">
                  <c:v>24.230120475407347</c:v>
                </c:pt>
                <c:pt idx="44">
                  <c:v>25.222359882376647</c:v>
                </c:pt>
                <c:pt idx="45">
                  <c:v>26.118241033919514</c:v>
                </c:pt>
                <c:pt idx="46">
                  <c:v>26.904826495305016</c:v>
                </c:pt>
                <c:pt idx="47">
                  <c:v>27.570492794901046</c:v>
                </c:pt>
                <c:pt idx="48">
                  <c:v>28.105215823006972</c:v>
                </c:pt>
                <c:pt idx="49">
                  <c:v>28.500821839438292</c:v>
                </c:pt>
                <c:pt idx="50">
                  <c:v>28.751195310794607</c:v>
                </c:pt>
                <c:pt idx="51">
                  <c:v>28.852436193024193</c:v>
                </c:pt>
                <c:pt idx="52">
                  <c:v>28.802961006253643</c:v>
                </c:pt>
                <c:pt idx="53">
                  <c:v>28.603544040973865</c:v>
                </c:pt>
                <c:pt idx="54">
                  <c:v>28.257297196982872</c:v>
                </c:pt>
                <c:pt idx="55">
                  <c:v>27.769589188746785</c:v>
                </c:pt>
                <c:pt idx="56">
                  <c:v>27.147907048834838</c:v>
                </c:pt>
                <c:pt idx="57">
                  <c:v>26.401664922547127</c:v>
                </c:pt>
                <c:pt idx="58">
                  <c:v>25.541966977276854</c:v>
                </c:pt>
                <c:pt idx="59">
                  <c:v>24.581332768068599</c:v>
                </c:pt>
                <c:pt idx="60">
                  <c:v>23.53339454224594</c:v>
                </c:pt>
                <c:pt idx="61">
                  <c:v>22.412576687606812</c:v>
                </c:pt>
                <c:pt idx="62">
                  <c:v>21.233767809891518</c:v>
                </c:pt>
                <c:pt idx="63">
                  <c:v>20.011995768509944</c:v>
                </c:pt>
                <c:pt idx="64">
                  <c:v>18.762115429546839</c:v>
                </c:pt>
                <c:pt idx="65">
                  <c:v>17.498517956437325</c:v>
                </c:pt>
                <c:pt idx="66">
                  <c:v>16.234869212549331</c:v>
                </c:pt>
                <c:pt idx="67">
                  <c:v>14.98388336967434</c:v>
                </c:pt>
                <c:pt idx="68">
                  <c:v>13.757136183135959</c:v>
                </c:pt>
                <c:pt idx="69">
                  <c:v>12.564920691546931</c:v>
                </c:pt>
                <c:pt idx="70">
                  <c:v>11.416146408711956</c:v>
                </c:pt>
                <c:pt idx="71">
                  <c:v>10.318281471848838</c:v>
                </c:pt>
                <c:pt idx="72">
                  <c:v>9.2773357591423071</c:v>
                </c:pt>
                <c:pt idx="73">
                  <c:v>8.2978817427535461</c:v>
                </c:pt>
                <c:pt idx="74">
                  <c:v>7.3831088382628316</c:v>
                </c:pt>
                <c:pt idx="75">
                  <c:v>6.5349062702372782</c:v>
                </c:pt>
                <c:pt idx="76">
                  <c:v>5.7539690031753361</c:v>
                </c:pt>
                <c:pt idx="77">
                  <c:v>5.0399210804445067</c:v>
                </c:pt>
                <c:pt idx="78">
                  <c:v>4.3914507517572954</c:v>
                </c:pt>
                <c:pt idx="79">
                  <c:v>3.8064520231241104</c:v>
                </c:pt>
                <c:pt idx="80">
                  <c:v>3.2821676957953958</c:v>
                </c:pt>
                <c:pt idx="81">
                  <c:v>2.8153295317669818</c:v>
                </c:pt>
                <c:pt idx="82">
                  <c:v>2.4022918505849429</c:v>
                </c:pt>
                <c:pt idx="83">
                  <c:v>2.0391555838380411</c:v>
                </c:pt>
                <c:pt idx="84">
                  <c:v>1.7218805511436099</c:v>
                </c:pt>
                <c:pt idx="85">
                  <c:v>1.4463844404460273</c:v>
                </c:pt>
                <c:pt idx="86">
                  <c:v>1.2086276476094449</c:v>
                </c:pt>
                <c:pt idx="87">
                  <c:v>1.0046837335565351</c:v>
                </c:pt>
                <c:pt idx="88">
                  <c:v>0.83079577615326938</c:v>
                </c:pt>
                <c:pt idx="89">
                  <c:v>0.68341931965171021</c:v>
                </c:pt>
                <c:pt idx="90">
                  <c:v>0.55925295364183469</c:v>
                </c:pt>
                <c:pt idx="91">
                  <c:v>0.45525778808573852</c:v>
                </c:pt>
                <c:pt idx="92">
                  <c:v>0.36866723721618644</c:v>
                </c:pt>
                <c:pt idx="93">
                  <c:v>0.29698859210252299</c:v>
                </c:pt>
                <c:pt idx="94">
                  <c:v>0.2379978608472092</c:v>
                </c:pt>
                <c:pt idx="95">
                  <c:v>0.18972929914146222</c:v>
                </c:pt>
                <c:pt idx="96">
                  <c:v>0.15046095503185336</c:v>
                </c:pt>
                <c:pt idx="97">
                  <c:v>0.11869742256229208</c:v>
                </c:pt>
                <c:pt idx="98">
                  <c:v>9.3150850813840558E-2</c:v>
                </c:pt>
                <c:pt idx="99">
                  <c:v>7.2721097759600339E-2</c:v>
                </c:pt>
                <c:pt idx="100">
                  <c:v>5.6475760672150807E-2</c:v>
                </c:pt>
                <c:pt idx="101">
                  <c:v>4.3630663252486018E-2</c:v>
                </c:pt>
              </c:numCache>
            </c:numRef>
          </c:yVal>
          <c:smooth val="1"/>
          <c:extLst>
            <c:ext xmlns:c16="http://schemas.microsoft.com/office/drawing/2014/chart" uri="{C3380CC4-5D6E-409C-BE32-E72D297353CC}">
              <c16:uniqueId val="{00000000-A3E0-4241-B9E2-C6C1132A9B06}"/>
            </c:ext>
          </c:extLst>
        </c:ser>
        <c:ser>
          <c:idx val="1"/>
          <c:order val="1"/>
          <c:tx>
            <c:v>Normal Distribution Overlay</c:v>
          </c:tx>
          <c:spPr>
            <a:ln w="19050" cap="rnd">
              <a:noFill/>
              <a:round/>
            </a:ln>
            <a:effectLst/>
          </c:spPr>
          <c:marker>
            <c:symbol val="none"/>
          </c:marker>
          <c:errBars>
            <c:errDir val="y"/>
            <c:errBarType val="minus"/>
            <c:errValType val="percentage"/>
            <c:noEndCap val="1"/>
            <c:val val="100"/>
            <c:spPr>
              <a:noFill/>
              <a:ln w="114300" cap="flat" cmpd="sng" algn="ctr">
                <a:solidFill>
                  <a:srgbClr val="00B0F0"/>
                </a:solidFill>
                <a:round/>
              </a:ln>
              <a:effectLst/>
            </c:spPr>
          </c:errBars>
          <c:xVal>
            <c:numRef>
              <c:f>'Notes | Analysis'!$I$274:$I$374</c:f>
              <c:numCache>
                <c:formatCode>0.00%</c:formatCode>
                <c:ptCount val="101"/>
                <c:pt idx="0">
                  <c:v>-0.05</c:v>
                </c:pt>
                <c:pt idx="1">
                  <c:v>-4.9000000000000002E-2</c:v>
                </c:pt>
                <c:pt idx="2">
                  <c:v>-4.8000000000000001E-2</c:v>
                </c:pt>
                <c:pt idx="3">
                  <c:v>-4.7E-2</c:v>
                </c:pt>
                <c:pt idx="4">
                  <c:v>-4.5999999999999999E-2</c:v>
                </c:pt>
                <c:pt idx="5">
                  <c:v>-4.4999999999999998E-2</c:v>
                </c:pt>
                <c:pt idx="6">
                  <c:v>-4.3999999999999997E-2</c:v>
                </c:pt>
                <c:pt idx="7">
                  <c:v>-4.2999999999999997E-2</c:v>
                </c:pt>
                <c:pt idx="8">
                  <c:v>-4.1999999999999996E-2</c:v>
                </c:pt>
                <c:pt idx="9">
                  <c:v>-4.0999999999999995E-2</c:v>
                </c:pt>
                <c:pt idx="10">
                  <c:v>-0.04</c:v>
                </c:pt>
                <c:pt idx="11">
                  <c:v>-3.9E-2</c:v>
                </c:pt>
                <c:pt idx="12">
                  <c:v>-3.7999999999999999E-2</c:v>
                </c:pt>
                <c:pt idx="13">
                  <c:v>-3.6999999999999998E-2</c:v>
                </c:pt>
                <c:pt idx="14">
                  <c:v>-3.5999999999999997E-2</c:v>
                </c:pt>
                <c:pt idx="15">
                  <c:v>-3.4999999999999996E-2</c:v>
                </c:pt>
                <c:pt idx="16">
                  <c:v>-3.3999999999999996E-2</c:v>
                </c:pt>
                <c:pt idx="17">
                  <c:v>-3.2999999999999995E-2</c:v>
                </c:pt>
                <c:pt idx="18">
                  <c:v>-3.1999999999999994E-2</c:v>
                </c:pt>
                <c:pt idx="19">
                  <c:v>-3.0999999999999993E-2</c:v>
                </c:pt>
                <c:pt idx="20">
                  <c:v>-2.9999999999999992E-2</c:v>
                </c:pt>
                <c:pt idx="21">
                  <c:v>-2.8999999999999991E-2</c:v>
                </c:pt>
                <c:pt idx="22">
                  <c:v>-2.799999999999999E-2</c:v>
                </c:pt>
                <c:pt idx="23">
                  <c:v>-2.6999999999999989E-2</c:v>
                </c:pt>
                <c:pt idx="24">
                  <c:v>-2.5999999999999988E-2</c:v>
                </c:pt>
                <c:pt idx="25">
                  <c:v>-2.4999999999999988E-2</c:v>
                </c:pt>
                <c:pt idx="26">
                  <c:v>-2.3999999999999987E-2</c:v>
                </c:pt>
                <c:pt idx="27">
                  <c:v>-2.2999999999999986E-2</c:v>
                </c:pt>
                <c:pt idx="28">
                  <c:v>-2.1999999999999985E-2</c:v>
                </c:pt>
                <c:pt idx="29">
                  <c:v>-2.0999999999999984E-2</c:v>
                </c:pt>
                <c:pt idx="30">
                  <c:v>-1.9999999999999983E-2</c:v>
                </c:pt>
                <c:pt idx="31">
                  <c:v>-1.8999999999999982E-2</c:v>
                </c:pt>
                <c:pt idx="32">
                  <c:v>-1.7999999999999981E-2</c:v>
                </c:pt>
                <c:pt idx="33">
                  <c:v>-1.699999999999998E-2</c:v>
                </c:pt>
                <c:pt idx="34">
                  <c:v>-1.599999999999998E-2</c:v>
                </c:pt>
                <c:pt idx="35">
                  <c:v>-1.4999999999999979E-2</c:v>
                </c:pt>
                <c:pt idx="36">
                  <c:v>-1.3999999999999978E-2</c:v>
                </c:pt>
                <c:pt idx="37">
                  <c:v>-1.2999999999999977E-2</c:v>
                </c:pt>
                <c:pt idx="38">
                  <c:v>-1.1999999999999976E-2</c:v>
                </c:pt>
                <c:pt idx="39">
                  <c:v>-1.0999999999999975E-2</c:v>
                </c:pt>
                <c:pt idx="40">
                  <c:v>-9.9999999999999742E-3</c:v>
                </c:pt>
                <c:pt idx="41">
                  <c:v>-8.9999999999999733E-3</c:v>
                </c:pt>
                <c:pt idx="42">
                  <c:v>-7.9999999999999724E-3</c:v>
                </c:pt>
                <c:pt idx="43">
                  <c:v>-6.9999999999999724E-3</c:v>
                </c:pt>
                <c:pt idx="44">
                  <c:v>-5.9999999999999724E-3</c:v>
                </c:pt>
                <c:pt idx="45">
                  <c:v>-4.9999999999999723E-3</c:v>
                </c:pt>
                <c:pt idx="46">
                  <c:v>-3.9999999999999723E-3</c:v>
                </c:pt>
                <c:pt idx="47">
                  <c:v>-2.9999999999999723E-3</c:v>
                </c:pt>
                <c:pt idx="48">
                  <c:v>-1.9999999999999723E-3</c:v>
                </c:pt>
                <c:pt idx="49">
                  <c:v>-9.9999999999997227E-4</c:v>
                </c:pt>
                <c:pt idx="50">
                  <c:v>2.7755575615628914E-17</c:v>
                </c:pt>
                <c:pt idx="51">
                  <c:v>1.0000000000000278E-3</c:v>
                </c:pt>
                <c:pt idx="52">
                  <c:v>2.0000000000000278E-3</c:v>
                </c:pt>
                <c:pt idx="53">
                  <c:v>3.0000000000000278E-3</c:v>
                </c:pt>
                <c:pt idx="54">
                  <c:v>4.0000000000000278E-3</c:v>
                </c:pt>
                <c:pt idx="55">
                  <c:v>5.0000000000000279E-3</c:v>
                </c:pt>
                <c:pt idx="56">
                  <c:v>6.0000000000000279E-3</c:v>
                </c:pt>
                <c:pt idx="57">
                  <c:v>7.0000000000000279E-3</c:v>
                </c:pt>
                <c:pt idx="58">
                  <c:v>8.0000000000000279E-3</c:v>
                </c:pt>
                <c:pt idx="59">
                  <c:v>9.0000000000000288E-3</c:v>
                </c:pt>
                <c:pt idx="60">
                  <c:v>1.000000000000003E-2</c:v>
                </c:pt>
                <c:pt idx="61">
                  <c:v>1.1000000000000031E-2</c:v>
                </c:pt>
                <c:pt idx="62">
                  <c:v>1.2000000000000031E-2</c:v>
                </c:pt>
                <c:pt idx="63">
                  <c:v>1.3000000000000032E-2</c:v>
                </c:pt>
                <c:pt idx="64">
                  <c:v>1.4000000000000033E-2</c:v>
                </c:pt>
                <c:pt idx="65">
                  <c:v>1.5000000000000034E-2</c:v>
                </c:pt>
                <c:pt idx="66">
                  <c:v>1.6000000000000035E-2</c:v>
                </c:pt>
                <c:pt idx="67">
                  <c:v>1.7000000000000036E-2</c:v>
                </c:pt>
                <c:pt idx="68">
                  <c:v>1.8000000000000037E-2</c:v>
                </c:pt>
                <c:pt idx="69">
                  <c:v>1.9000000000000038E-2</c:v>
                </c:pt>
                <c:pt idx="70">
                  <c:v>2.0000000000000039E-2</c:v>
                </c:pt>
                <c:pt idx="71">
                  <c:v>2.1000000000000039E-2</c:v>
                </c:pt>
                <c:pt idx="72">
                  <c:v>2.200000000000004E-2</c:v>
                </c:pt>
                <c:pt idx="73">
                  <c:v>2.3000000000000041E-2</c:v>
                </c:pt>
                <c:pt idx="74">
                  <c:v>2.4000000000000042E-2</c:v>
                </c:pt>
                <c:pt idx="75">
                  <c:v>2.5000000000000043E-2</c:v>
                </c:pt>
                <c:pt idx="76">
                  <c:v>2.6000000000000044E-2</c:v>
                </c:pt>
                <c:pt idx="77">
                  <c:v>2.7000000000000045E-2</c:v>
                </c:pt>
                <c:pt idx="78">
                  <c:v>2.8000000000000046E-2</c:v>
                </c:pt>
                <c:pt idx="79">
                  <c:v>2.9000000000000047E-2</c:v>
                </c:pt>
                <c:pt idx="80">
                  <c:v>3.0000000000000047E-2</c:v>
                </c:pt>
                <c:pt idx="81">
                  <c:v>3.1000000000000048E-2</c:v>
                </c:pt>
                <c:pt idx="82">
                  <c:v>3.2000000000000049E-2</c:v>
                </c:pt>
                <c:pt idx="83">
                  <c:v>3.300000000000005E-2</c:v>
                </c:pt>
                <c:pt idx="84">
                  <c:v>3.4000000000000051E-2</c:v>
                </c:pt>
                <c:pt idx="85">
                  <c:v>3.5000000000000052E-2</c:v>
                </c:pt>
                <c:pt idx="86">
                  <c:v>3.6000000000000053E-2</c:v>
                </c:pt>
                <c:pt idx="87">
                  <c:v>3.7000000000000054E-2</c:v>
                </c:pt>
                <c:pt idx="88">
                  <c:v>3.8000000000000055E-2</c:v>
                </c:pt>
                <c:pt idx="89">
                  <c:v>3.9000000000000055E-2</c:v>
                </c:pt>
                <c:pt idx="90">
                  <c:v>4.0000000000000056E-2</c:v>
                </c:pt>
                <c:pt idx="91">
                  <c:v>4.1000000000000057E-2</c:v>
                </c:pt>
                <c:pt idx="92">
                  <c:v>4.2000000000000058E-2</c:v>
                </c:pt>
                <c:pt idx="93">
                  <c:v>4.3000000000000059E-2</c:v>
                </c:pt>
                <c:pt idx="94">
                  <c:v>4.400000000000006E-2</c:v>
                </c:pt>
                <c:pt idx="95">
                  <c:v>4.5000000000000061E-2</c:v>
                </c:pt>
                <c:pt idx="96">
                  <c:v>4.6000000000000062E-2</c:v>
                </c:pt>
                <c:pt idx="97">
                  <c:v>4.7000000000000063E-2</c:v>
                </c:pt>
                <c:pt idx="98">
                  <c:v>4.8000000000000063E-2</c:v>
                </c:pt>
                <c:pt idx="99">
                  <c:v>4.9000000000000064E-2</c:v>
                </c:pt>
                <c:pt idx="100">
                  <c:v>5.0000000000000065E-2</c:v>
                </c:pt>
              </c:numCache>
            </c:numRef>
          </c:xVal>
          <c:yVal>
            <c:numRef>
              <c:f>'Notes | Analysis'!$J$274:$J$374</c:f>
              <c:numCache>
                <c:formatCode>General</c:formatCode>
                <c:ptCount val="101"/>
                <c:pt idx="0">
                  <c:v>1</c:v>
                </c:pt>
                <c:pt idx="1">
                  <c:v>2</c:v>
                </c:pt>
                <c:pt idx="2">
                  <c:v>2</c:v>
                </c:pt>
                <c:pt idx="3">
                  <c:v>0</c:v>
                </c:pt>
                <c:pt idx="4">
                  <c:v>1</c:v>
                </c:pt>
                <c:pt idx="5">
                  <c:v>1</c:v>
                </c:pt>
                <c:pt idx="6">
                  <c:v>1</c:v>
                </c:pt>
                <c:pt idx="7">
                  <c:v>0</c:v>
                </c:pt>
                <c:pt idx="8">
                  <c:v>0</c:v>
                </c:pt>
                <c:pt idx="9">
                  <c:v>1</c:v>
                </c:pt>
                <c:pt idx="10">
                  <c:v>6</c:v>
                </c:pt>
                <c:pt idx="11">
                  <c:v>2</c:v>
                </c:pt>
                <c:pt idx="12">
                  <c:v>2</c:v>
                </c:pt>
                <c:pt idx="13">
                  <c:v>3</c:v>
                </c:pt>
                <c:pt idx="14">
                  <c:v>3</c:v>
                </c:pt>
                <c:pt idx="15">
                  <c:v>2</c:v>
                </c:pt>
                <c:pt idx="16">
                  <c:v>0</c:v>
                </c:pt>
                <c:pt idx="17">
                  <c:v>2</c:v>
                </c:pt>
                <c:pt idx="18">
                  <c:v>2</c:v>
                </c:pt>
                <c:pt idx="19">
                  <c:v>2</c:v>
                </c:pt>
                <c:pt idx="20">
                  <c:v>6</c:v>
                </c:pt>
                <c:pt idx="21">
                  <c:v>5</c:v>
                </c:pt>
                <c:pt idx="22">
                  <c:v>5</c:v>
                </c:pt>
                <c:pt idx="23">
                  <c:v>5</c:v>
                </c:pt>
                <c:pt idx="24">
                  <c:v>7</c:v>
                </c:pt>
                <c:pt idx="25">
                  <c:v>7</c:v>
                </c:pt>
                <c:pt idx="26">
                  <c:v>6</c:v>
                </c:pt>
                <c:pt idx="27">
                  <c:v>8</c:v>
                </c:pt>
                <c:pt idx="28">
                  <c:v>6</c:v>
                </c:pt>
                <c:pt idx="29">
                  <c:v>10</c:v>
                </c:pt>
                <c:pt idx="30">
                  <c:v>10</c:v>
                </c:pt>
                <c:pt idx="31">
                  <c:v>18</c:v>
                </c:pt>
                <c:pt idx="32">
                  <c:v>12</c:v>
                </c:pt>
                <c:pt idx="33">
                  <c:v>11</c:v>
                </c:pt>
                <c:pt idx="34">
                  <c:v>23</c:v>
                </c:pt>
                <c:pt idx="35">
                  <c:v>20</c:v>
                </c:pt>
                <c:pt idx="36">
                  <c:v>29</c:v>
                </c:pt>
                <c:pt idx="37">
                  <c:v>18</c:v>
                </c:pt>
                <c:pt idx="38">
                  <c:v>30</c:v>
                </c:pt>
                <c:pt idx="39">
                  <c:v>44</c:v>
                </c:pt>
                <c:pt idx="40">
                  <c:v>37</c:v>
                </c:pt>
                <c:pt idx="41">
                  <c:v>41</c:v>
                </c:pt>
                <c:pt idx="42">
                  <c:v>54</c:v>
                </c:pt>
                <c:pt idx="43">
                  <c:v>55</c:v>
                </c:pt>
                <c:pt idx="44">
                  <c:v>62</c:v>
                </c:pt>
                <c:pt idx="45">
                  <c:v>53</c:v>
                </c:pt>
                <c:pt idx="46">
                  <c:v>59</c:v>
                </c:pt>
                <c:pt idx="47">
                  <c:v>70</c:v>
                </c:pt>
                <c:pt idx="48">
                  <c:v>69</c:v>
                </c:pt>
                <c:pt idx="49">
                  <c:v>72</c:v>
                </c:pt>
                <c:pt idx="50">
                  <c:v>83</c:v>
                </c:pt>
                <c:pt idx="51">
                  <c:v>62</c:v>
                </c:pt>
                <c:pt idx="52">
                  <c:v>80</c:v>
                </c:pt>
                <c:pt idx="53">
                  <c:v>73</c:v>
                </c:pt>
                <c:pt idx="54">
                  <c:v>63</c:v>
                </c:pt>
                <c:pt idx="55">
                  <c:v>83</c:v>
                </c:pt>
                <c:pt idx="56">
                  <c:v>70</c:v>
                </c:pt>
                <c:pt idx="57">
                  <c:v>76</c:v>
                </c:pt>
                <c:pt idx="58">
                  <c:v>59</c:v>
                </c:pt>
                <c:pt idx="59">
                  <c:v>46</c:v>
                </c:pt>
                <c:pt idx="60">
                  <c:v>43</c:v>
                </c:pt>
                <c:pt idx="61">
                  <c:v>42</c:v>
                </c:pt>
                <c:pt idx="62">
                  <c:v>53</c:v>
                </c:pt>
                <c:pt idx="63">
                  <c:v>28</c:v>
                </c:pt>
                <c:pt idx="64">
                  <c:v>26</c:v>
                </c:pt>
                <c:pt idx="65">
                  <c:v>28</c:v>
                </c:pt>
                <c:pt idx="66">
                  <c:v>17</c:v>
                </c:pt>
                <c:pt idx="67">
                  <c:v>21</c:v>
                </c:pt>
                <c:pt idx="68">
                  <c:v>20</c:v>
                </c:pt>
                <c:pt idx="69">
                  <c:v>15</c:v>
                </c:pt>
                <c:pt idx="70">
                  <c:v>12</c:v>
                </c:pt>
                <c:pt idx="71">
                  <c:v>11</c:v>
                </c:pt>
                <c:pt idx="72">
                  <c:v>15</c:v>
                </c:pt>
                <c:pt idx="73">
                  <c:v>11</c:v>
                </c:pt>
                <c:pt idx="74">
                  <c:v>6</c:v>
                </c:pt>
                <c:pt idx="75">
                  <c:v>10</c:v>
                </c:pt>
                <c:pt idx="76">
                  <c:v>7</c:v>
                </c:pt>
                <c:pt idx="77">
                  <c:v>2</c:v>
                </c:pt>
                <c:pt idx="78">
                  <c:v>3</c:v>
                </c:pt>
                <c:pt idx="79">
                  <c:v>8</c:v>
                </c:pt>
                <c:pt idx="80">
                  <c:v>1</c:v>
                </c:pt>
                <c:pt idx="81">
                  <c:v>2</c:v>
                </c:pt>
                <c:pt idx="82">
                  <c:v>3</c:v>
                </c:pt>
                <c:pt idx="83">
                  <c:v>2</c:v>
                </c:pt>
                <c:pt idx="84">
                  <c:v>6</c:v>
                </c:pt>
                <c:pt idx="85">
                  <c:v>3</c:v>
                </c:pt>
                <c:pt idx="86">
                  <c:v>5</c:v>
                </c:pt>
                <c:pt idx="87">
                  <c:v>4</c:v>
                </c:pt>
                <c:pt idx="88">
                  <c:v>1</c:v>
                </c:pt>
                <c:pt idx="89">
                  <c:v>1</c:v>
                </c:pt>
                <c:pt idx="90">
                  <c:v>1</c:v>
                </c:pt>
                <c:pt idx="91">
                  <c:v>3</c:v>
                </c:pt>
                <c:pt idx="92">
                  <c:v>1</c:v>
                </c:pt>
                <c:pt idx="93">
                  <c:v>0</c:v>
                </c:pt>
                <c:pt idx="94">
                  <c:v>0</c:v>
                </c:pt>
                <c:pt idx="95">
                  <c:v>3</c:v>
                </c:pt>
                <c:pt idx="96">
                  <c:v>0</c:v>
                </c:pt>
                <c:pt idx="97">
                  <c:v>0</c:v>
                </c:pt>
                <c:pt idx="98">
                  <c:v>0</c:v>
                </c:pt>
                <c:pt idx="99">
                  <c:v>0</c:v>
                </c:pt>
                <c:pt idx="100">
                  <c:v>0</c:v>
                </c:pt>
              </c:numCache>
            </c:numRef>
          </c:yVal>
          <c:smooth val="1"/>
          <c:extLst>
            <c:ext xmlns:c16="http://schemas.microsoft.com/office/drawing/2014/chart" uri="{C3380CC4-5D6E-409C-BE32-E72D297353CC}">
              <c16:uniqueId val="{00000001-A3E0-4241-B9E2-C6C1132A9B06}"/>
            </c:ext>
          </c:extLst>
        </c:ser>
        <c:ser>
          <c:idx val="2"/>
          <c:order val="2"/>
          <c:tx>
            <c:v>Mean</c:v>
          </c:tx>
          <c:spPr>
            <a:ln w="19050" cap="rnd">
              <a:solidFill>
                <a:srgbClr val="FFC000"/>
              </a:solidFill>
              <a:round/>
            </a:ln>
            <a:effectLst/>
          </c:spPr>
          <c:marker>
            <c:symbol val="none"/>
          </c:marker>
          <c:dLbls>
            <c:dLbl>
              <c:idx val="1"/>
              <c:layout>
                <c:manualLayout>
                  <c:x val="-6.3107481784505842E-2"/>
                  <c:y val="-2.1575977858818544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743859408361745"/>
                      <c:h val="0.14378455124811076"/>
                    </c:manualLayout>
                  </c15:layout>
                </c:ext>
                <c:ext xmlns:c16="http://schemas.microsoft.com/office/drawing/2014/chart" uri="{C3380CC4-5D6E-409C-BE32-E72D297353CC}">
                  <c16:uniqueId val="{0000000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'Notes | Analysis'!$P$274:$P$275</c:f>
              <c:numCache>
                <c:formatCode>0.00%</c:formatCode>
                <c:ptCount val="2"/>
                <c:pt idx="0">
                  <c:v>1.7193071624249672E-4</c:v>
                </c:pt>
                <c:pt idx="1">
                  <c:v>1.7193071624249672E-4</c:v>
                </c:pt>
              </c:numCache>
            </c:numRef>
          </c:xVal>
          <c:yVal>
            <c:numRef>
              <c:f>'Notes | Analysis'!$Q$274:$Q$275</c:f>
              <c:numCache>
                <c:formatCode>General</c:formatCode>
                <c:ptCount val="2"/>
                <c:pt idx="0">
                  <c:v>0</c:v>
                </c:pt>
                <c:pt idx="1">
                  <c:v>30</c:v>
                </c:pt>
              </c:numCache>
            </c:numRef>
          </c:yVal>
          <c:smooth val="1"/>
          <c:extLst>
            <c:ext xmlns:c16="http://schemas.microsoft.com/office/drawing/2014/chart" uri="{C3380CC4-5D6E-409C-BE32-E72D297353CC}">
              <c16:uniqueId val="{00000002-A3E0-4241-B9E2-C6C1132A9B06}"/>
            </c:ext>
          </c:extLst>
        </c:ser>
        <c:ser>
          <c:idx val="3"/>
          <c:order val="3"/>
          <c:tx>
            <c:strRef>
              <c:f>'Notes | Analysis'!$O$276</c:f>
              <c:strCache>
                <c:ptCount val="1"/>
                <c:pt idx="0">
                  <c:v>-3σ</c:v>
                </c:pt>
              </c:strCache>
            </c:strRef>
          </c:tx>
          <c:spPr>
            <a:ln w="19050" cap="rnd">
              <a:solidFill>
                <a:schemeClr val="accent4"/>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A3E0-4241-B9E2-C6C1132A9B06}"/>
                </c:ext>
              </c:extLst>
            </c:dLbl>
            <c:dLbl>
              <c:idx val="1"/>
              <c:layout>
                <c:manualLayout>
                  <c:x val="-3.567424325972722E-2"/>
                  <c:y val="-5.1262893416674747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6355413555374724E-2"/>
                      <c:h val="6.726547968844146E-2"/>
                    </c:manualLayout>
                  </c15:layout>
                </c:ext>
                <c:ext xmlns:c16="http://schemas.microsoft.com/office/drawing/2014/chart" uri="{C3380CC4-5D6E-409C-BE32-E72D297353CC}">
                  <c16:uniqueId val="{0000001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'Notes | Analysis'!$P$276:$P$277</c:f>
              <c:numCache>
                <c:formatCode>0.00%</c:formatCode>
                <c:ptCount val="2"/>
                <c:pt idx="0">
                  <c:v>-4.1305825225752449E-2</c:v>
                </c:pt>
                <c:pt idx="1">
                  <c:v>-4.1305825225752449E-2</c:v>
                </c:pt>
              </c:numCache>
            </c:numRef>
          </c:xVal>
          <c:yVal>
            <c:numRef>
              <c:f>'Notes | Analysis'!$Q$276:$Q$277</c:f>
              <c:numCache>
                <c:formatCode>General</c:formatCode>
                <c:ptCount val="2"/>
                <c:pt idx="0">
                  <c:v>0</c:v>
                </c:pt>
                <c:pt idx="1">
                  <c:v>2</c:v>
                </c:pt>
              </c:numCache>
            </c:numRef>
          </c:yVal>
          <c:smooth val="1"/>
          <c:extLst>
            <c:ext xmlns:c16="http://schemas.microsoft.com/office/drawing/2014/chart" uri="{C3380CC4-5D6E-409C-BE32-E72D297353CC}">
              <c16:uniqueId val="{00000004-A3E0-4241-B9E2-C6C1132A9B06}"/>
            </c:ext>
          </c:extLst>
        </c:ser>
        <c:ser>
          <c:idx val="4"/>
          <c:order val="4"/>
          <c:tx>
            <c:strRef>
              <c:f>'Notes | Analysis'!$O$278</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A3E0-4241-B9E2-C6C1132A9B06}"/>
                </c:ext>
              </c:extLst>
            </c:dLbl>
            <c:dLbl>
              <c:idx val="1"/>
              <c:layout>
                <c:manualLayout>
                  <c:x val="-5.4474653508531361E-2"/>
                  <c:y val="-6.043328164760015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Analysis'!$P$278:$P$279</c:f>
              <c:numCache>
                <c:formatCode>0.00%</c:formatCode>
                <c:ptCount val="2"/>
                <c:pt idx="0">
                  <c:v>-2.7479906578420799E-2</c:v>
                </c:pt>
                <c:pt idx="1">
                  <c:v>-2.7479906578420799E-2</c:v>
                </c:pt>
              </c:numCache>
            </c:numRef>
          </c:xVal>
          <c:yVal>
            <c:numRef>
              <c:f>'Notes | Analysis'!$Q$278:$Q$279</c:f>
              <c:numCache>
                <c:formatCode>General</c:formatCode>
                <c:ptCount val="2"/>
                <c:pt idx="0">
                  <c:v>0</c:v>
                </c:pt>
                <c:pt idx="1">
                  <c:v>5</c:v>
                </c:pt>
              </c:numCache>
            </c:numRef>
          </c:yVal>
          <c:smooth val="1"/>
          <c:extLst>
            <c:ext xmlns:c16="http://schemas.microsoft.com/office/drawing/2014/chart" uri="{C3380CC4-5D6E-409C-BE32-E72D297353CC}">
              <c16:uniqueId val="{00000005-A3E0-4241-B9E2-C6C1132A9B06}"/>
            </c:ext>
          </c:extLst>
        </c:ser>
        <c:ser>
          <c:idx val="5"/>
          <c:order val="5"/>
          <c:tx>
            <c:strRef>
              <c:f>'Notes | Analysis'!$O$280</c:f>
              <c:strCache>
                <c:ptCount val="1"/>
                <c:pt idx="0">
                  <c:v>-1σ</c:v>
                </c:pt>
              </c:strCache>
            </c:strRef>
          </c:tx>
          <c:spPr>
            <a:ln w="19050" cap="rnd">
              <a:solidFill>
                <a:schemeClr val="accent6"/>
              </a:solidFill>
              <a:round/>
            </a:ln>
            <a:effectLst/>
          </c:spPr>
          <c:marker>
            <c:symbol val="none"/>
          </c:marker>
          <c:dPt>
            <c:idx val="1"/>
            <c:marker>
              <c:symbol val="none"/>
            </c:marker>
            <c:bubble3D val="0"/>
            <c:spPr>
              <a:ln w="19050" cap="rnd">
                <a:solidFill>
                  <a:srgbClr val="FFC000"/>
                </a:solidFill>
                <a:round/>
              </a:ln>
              <a:effectLst/>
            </c:spPr>
            <c:extLst>
              <c:ext xmlns:c16="http://schemas.microsoft.com/office/drawing/2014/chart" uri="{C3380CC4-5D6E-409C-BE32-E72D297353CC}">
                <c16:uniqueId val="{0000000A-A3E0-4241-B9E2-C6C1132A9B06}"/>
              </c:ext>
            </c:extLst>
          </c:dPt>
          <c:dLbls>
            <c:dLbl>
              <c:idx val="0"/>
              <c:delete val="1"/>
              <c:extLst>
                <c:ext xmlns:c15="http://schemas.microsoft.com/office/drawing/2012/chart" uri="{CE6537A1-D6FC-4f65-9D91-7224C49458BB}"/>
                <c:ext xmlns:c16="http://schemas.microsoft.com/office/drawing/2014/chart" uri="{C3380CC4-5D6E-409C-BE32-E72D297353CC}">
                  <c16:uniqueId val="{0000000D-A3E0-4241-B9E2-C6C1132A9B06}"/>
                </c:ext>
              </c:extLst>
            </c:dLbl>
            <c:dLbl>
              <c:idx val="1"/>
              <c:layout>
                <c:manualLayout>
                  <c:x val="-5.3138395431688086E-2"/>
                  <c:y val="-4.5178984637252485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9.630382341411331E-2"/>
                      <c:h val="7.8289187590152964E-2"/>
                    </c:manualLayout>
                  </c15:layout>
                </c:ext>
                <c:ext xmlns:c16="http://schemas.microsoft.com/office/drawing/2014/chart" uri="{C3380CC4-5D6E-409C-BE32-E72D297353CC}">
                  <c16:uniqueId val="{0000000A-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Analysis'!$P$280:$P$281</c:f>
              <c:numCache>
                <c:formatCode>0.00%</c:formatCode>
                <c:ptCount val="2"/>
                <c:pt idx="0">
                  <c:v>-1.3653987931089151E-2</c:v>
                </c:pt>
                <c:pt idx="1">
                  <c:v>-1.3653987931089151E-2</c:v>
                </c:pt>
              </c:numCache>
            </c:numRef>
          </c:xVal>
          <c:yVal>
            <c:numRef>
              <c:f>'Notes | Analysis'!$Q$280:$Q$281</c:f>
              <c:numCache>
                <c:formatCode>General</c:formatCode>
                <c:ptCount val="2"/>
                <c:pt idx="0">
                  <c:v>0</c:v>
                </c:pt>
                <c:pt idx="1">
                  <c:v>20</c:v>
                </c:pt>
              </c:numCache>
            </c:numRef>
          </c:yVal>
          <c:smooth val="1"/>
          <c:extLst>
            <c:ext xmlns:c16="http://schemas.microsoft.com/office/drawing/2014/chart" uri="{C3380CC4-5D6E-409C-BE32-E72D297353CC}">
              <c16:uniqueId val="{00000006-A3E0-4241-B9E2-C6C1132A9B06}"/>
            </c:ext>
          </c:extLst>
        </c:ser>
        <c:ser>
          <c:idx val="6"/>
          <c:order val="6"/>
          <c:tx>
            <c:strRef>
              <c:f>'Notes | Analysis'!$O$282</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A3E0-4241-B9E2-C6C1132A9B06}"/>
                </c:ext>
              </c:extLst>
            </c:dLbl>
            <c:dLbl>
              <c:idx val="1"/>
              <c:layout>
                <c:manualLayout>
                  <c:x val="-5.2223532509388881E-2"/>
                  <c:y val="-4.5226050121197757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9.5673274213213547E-2"/>
                      <c:h val="0.11406688780366495"/>
                    </c:manualLayout>
                  </c15:layout>
                </c:ext>
                <c:ext xmlns:c16="http://schemas.microsoft.com/office/drawing/2014/chart" uri="{C3380CC4-5D6E-409C-BE32-E72D297353CC}">
                  <c16:uniqueId val="{0000000C-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Analysis'!$P$282:$P$283</c:f>
              <c:numCache>
                <c:formatCode>0.00%</c:formatCode>
                <c:ptCount val="2"/>
                <c:pt idx="0">
                  <c:v>1.3997849363574144E-2</c:v>
                </c:pt>
                <c:pt idx="1">
                  <c:v>1.3997849363574144E-2</c:v>
                </c:pt>
              </c:numCache>
            </c:numRef>
          </c:xVal>
          <c:yVal>
            <c:numRef>
              <c:f>'Notes | Analysis'!$Q$282:$Q$283</c:f>
              <c:numCache>
                <c:formatCode>General</c:formatCode>
                <c:ptCount val="2"/>
                <c:pt idx="0">
                  <c:v>0</c:v>
                </c:pt>
                <c:pt idx="1">
                  <c:v>20</c:v>
                </c:pt>
              </c:numCache>
            </c:numRef>
          </c:yVal>
          <c:smooth val="1"/>
          <c:extLst>
            <c:ext xmlns:c16="http://schemas.microsoft.com/office/drawing/2014/chart" uri="{C3380CC4-5D6E-409C-BE32-E72D297353CC}">
              <c16:uniqueId val="{00000007-A3E0-4241-B9E2-C6C1132A9B06}"/>
            </c:ext>
          </c:extLst>
        </c:ser>
        <c:ser>
          <c:idx val="7"/>
          <c:order val="7"/>
          <c:tx>
            <c:strRef>
              <c:f>'Notes | Analysis'!$O$284</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A3E0-4241-B9E2-C6C1132A9B06}"/>
                </c:ext>
              </c:extLst>
            </c:dLbl>
            <c:dLbl>
              <c:idx val="1"/>
              <c:layout>
                <c:manualLayout>
                  <c:x val="-3.0332971645163749E-2"/>
                  <c:y val="-6.037668526294358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Analysis'!$P$284:$P$285</c:f>
              <c:numCache>
                <c:formatCode>0.00%</c:formatCode>
                <c:ptCount val="2"/>
                <c:pt idx="0">
                  <c:v>2.7823768010905792E-2</c:v>
                </c:pt>
                <c:pt idx="1">
                  <c:v>2.7823768010905792E-2</c:v>
                </c:pt>
              </c:numCache>
            </c:numRef>
          </c:xVal>
          <c:yVal>
            <c:numRef>
              <c:f>'Notes | Analysis'!$Q$284:$Q$285</c:f>
              <c:numCache>
                <c:formatCode>General</c:formatCode>
                <c:ptCount val="2"/>
                <c:pt idx="0">
                  <c:v>0</c:v>
                </c:pt>
                <c:pt idx="1">
                  <c:v>5</c:v>
                </c:pt>
              </c:numCache>
            </c:numRef>
          </c:yVal>
          <c:smooth val="1"/>
          <c:extLst>
            <c:ext xmlns:c16="http://schemas.microsoft.com/office/drawing/2014/chart" uri="{C3380CC4-5D6E-409C-BE32-E72D297353CC}">
              <c16:uniqueId val="{00000008-A3E0-4241-B9E2-C6C1132A9B06}"/>
            </c:ext>
          </c:extLst>
        </c:ser>
        <c:ser>
          <c:idx val="8"/>
          <c:order val="8"/>
          <c:tx>
            <c:strRef>
              <c:f>'Notes | Analysis'!$O$286</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A3E0-4241-B9E2-C6C1132A9B06}"/>
                </c:ext>
              </c:extLst>
            </c:dLbl>
            <c:dLbl>
              <c:idx val="1"/>
              <c:layout>
                <c:manualLayout>
                  <c:x val="-3.9948130208505551E-2"/>
                  <c:y val="-5.457006514159401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Analysis'!$P$286:$P$287</c:f>
              <c:numCache>
                <c:formatCode>0.00%</c:formatCode>
                <c:ptCount val="2"/>
                <c:pt idx="0">
                  <c:v>4.1649686658237442E-2</c:v>
                </c:pt>
                <c:pt idx="1">
                  <c:v>4.1649686658237442E-2</c:v>
                </c:pt>
              </c:numCache>
            </c:numRef>
          </c:xVal>
          <c:yVal>
            <c:numRef>
              <c:f>'Notes | Analysis'!$Q$286:$Q$287</c:f>
              <c:numCache>
                <c:formatCode>General</c:formatCode>
                <c:ptCount val="2"/>
                <c:pt idx="0">
                  <c:v>0</c:v>
                </c:pt>
                <c:pt idx="1">
                  <c:v>2</c:v>
                </c:pt>
              </c:numCache>
            </c:numRef>
          </c:yVal>
          <c:smooth val="1"/>
          <c:extLst>
            <c:ext xmlns:c16="http://schemas.microsoft.com/office/drawing/2014/chart" uri="{C3380CC4-5D6E-409C-BE32-E72D297353CC}">
              <c16:uniqueId val="{00000009-A3E0-4241-B9E2-C6C1132A9B06}"/>
            </c:ext>
          </c:extLst>
        </c:ser>
        <c:dLbls>
          <c:showLegendKey val="0"/>
          <c:showVal val="0"/>
          <c:showCatName val="0"/>
          <c:showSerName val="0"/>
          <c:showPercent val="0"/>
          <c:showBubbleSize val="0"/>
        </c:dLbls>
        <c:axId val="1953242783"/>
        <c:axId val="1953240383"/>
      </c:scatterChart>
      <c:valAx>
        <c:axId val="1953242783"/>
        <c:scaling>
          <c:orientation val="minMax"/>
          <c:max val="5.000000000000001E-2"/>
          <c:min val="-5.000000000000001E-2"/>
        </c:scaling>
        <c:delete val="0"/>
        <c:axPos val="b"/>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3240383"/>
        <c:crosses val="autoZero"/>
        <c:crossBetween val="midCat"/>
        <c:majorUnit val="5.000000000000001E-3"/>
      </c:valAx>
      <c:valAx>
        <c:axId val="195324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42783"/>
        <c:crossesAt val="-1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(BSX) Quarterly Ttl Revenue,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solidFill>
                <a:srgbClr val="00B050"/>
              </a:solidFill>
            </a:ln>
            <a:effectLst/>
          </c:spPr>
          <c:invertIfNegative val="0"/>
          <c:cat>
            <c:strRef>
              <c:f>Model!$AU$3:$BO$3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Model!$AU$70:$BT$70</c:f>
              <c:numCache>
                <c:formatCode>General</c:formatCode>
                <c:ptCount val="26"/>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pt idx="21">
                  <c:v>797</c:v>
                </c:pt>
                <c:pt idx="22">
                  <c:v>755</c:v>
                </c:pt>
                <c:pt idx="23">
                  <c:v>672</c:v>
                </c:pt>
                <c:pt idx="24">
                  <c:v>1341</c:v>
                </c:pt>
                <c:pt idx="25">
                  <c:v>907</c:v>
                </c:pt>
              </c:numCache>
            </c:numRef>
          </c:val>
          <c:extLst>
            <c:ext xmlns:c16="http://schemas.microsoft.com/office/drawing/2014/chart" uri="{C3380CC4-5D6E-409C-BE32-E72D297353CC}">
              <c16:uniqueId val="{00000000-2857-4893-BE3D-B1719B5599A7}"/>
            </c:ext>
          </c:extLst>
        </c:ser>
        <c:ser>
          <c:idx val="2"/>
          <c:order val="2"/>
          <c:tx>
            <c:v>FCF</c:v>
          </c:tx>
          <c:spPr>
            <a:solidFill>
              <a:srgbClr val="FFC000"/>
            </a:solidFill>
            <a:ln>
              <a:noFill/>
            </a:ln>
          </c:spPr>
          <c:invertIfNegative val="0"/>
          <c:cat>
            <c:strRef>
              <c:f>Model!$AU$3:$BO$3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Model!$AU$125:$BT$125</c:f>
              <c:numCache>
                <c:formatCode>General</c:formatCode>
                <c:ptCount val="26"/>
                <c:pt idx="0">
                  <c:v>-174</c:v>
                </c:pt>
                <c:pt idx="1">
                  <c:v>202</c:v>
                </c:pt>
                <c:pt idx="2">
                  <c:v>596</c:v>
                </c:pt>
                <c:pt idx="3">
                  <c:v>520</c:v>
                </c:pt>
                <c:pt idx="4">
                  <c:v>213</c:v>
                </c:pt>
                <c:pt idx="5">
                  <c:v>540</c:v>
                </c:pt>
                <c:pt idx="6">
                  <c:v>361</c:v>
                </c:pt>
                <c:pt idx="7">
                  <c:v>216</c:v>
                </c:pt>
                <c:pt idx="8">
                  <c:v>82</c:v>
                </c:pt>
                <c:pt idx="9">
                  <c:v>-50</c:v>
                </c:pt>
                <c:pt idx="10">
                  <c:v>321</c:v>
                </c:pt>
                <c:pt idx="11">
                  <c:v>597</c:v>
                </c:pt>
                <c:pt idx="12">
                  <c:v>82</c:v>
                </c:pt>
                <c:pt idx="13">
                  <c:v>515</c:v>
                </c:pt>
                <c:pt idx="14">
                  <c:v>509</c:v>
                </c:pt>
                <c:pt idx="15">
                  <c:v>690</c:v>
                </c:pt>
                <c:pt idx="16">
                  <c:v>-14</c:v>
                </c:pt>
                <c:pt idx="17">
                  <c:v>658</c:v>
                </c:pt>
                <c:pt idx="18">
                  <c:v>823</c:v>
                </c:pt>
                <c:pt idx="19">
                  <c:v>1181</c:v>
                </c:pt>
                <c:pt idx="20">
                  <c:v>354</c:v>
                </c:pt>
                <c:pt idx="21">
                  <c:v>1129</c:v>
                </c:pt>
                <c:pt idx="22">
                  <c:v>1163</c:v>
                </c:pt>
                <c:pt idx="23">
                  <c:v>1013</c:v>
                </c:pt>
                <c:pt idx="24">
                  <c:v>171</c:v>
                </c:pt>
                <c:pt idx="25">
                  <c:v>1279</c:v>
                </c:pt>
              </c:numCache>
            </c:numRef>
          </c:val>
          <c:extLst>
            <c:ext xmlns:c16="http://schemas.microsoft.com/office/drawing/2014/chart" uri="{C3380CC4-5D6E-409C-BE32-E72D297353CC}">
              <c16:uniqueId val="{00000001-2857-4893-BE3D-B1719B5599A7}"/>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Model!$AU$1:$BS$1</c:f>
              <c:strCache>
                <c:ptCount val="25"/>
                <c:pt idx="0">
                  <c:v>Q1 2020</c:v>
                </c:pt>
                <c:pt idx="4">
                  <c:v>Q1 2021</c:v>
                </c:pt>
                <c:pt idx="8">
                  <c:v>Q1 2022</c:v>
                </c:pt>
                <c:pt idx="12">
                  <c:v>Q1 2023</c:v>
                </c:pt>
                <c:pt idx="16">
                  <c:v>Q1 2024</c:v>
                </c:pt>
                <c:pt idx="20">
                  <c:v>Q1 2025</c:v>
                </c:pt>
                <c:pt idx="24">
                  <c:v>Q1 2026</c:v>
                </c:pt>
              </c:strCache>
            </c:strRef>
          </c:cat>
          <c:val>
            <c:numRef>
              <c:f>Model!$AU$50:$BT$50</c:f>
              <c:numCache>
                <c:formatCode>General</c:formatCode>
                <c:ptCount val="26"/>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pt idx="21">
                  <c:v>5061</c:v>
                </c:pt>
                <c:pt idx="22">
                  <c:v>5065</c:v>
                </c:pt>
                <c:pt idx="23">
                  <c:v>5286</c:v>
                </c:pt>
                <c:pt idx="24">
                  <c:v>5204</c:v>
                </c:pt>
                <c:pt idx="25">
                  <c:v>5442</c:v>
                </c:pt>
              </c:numCache>
            </c:numRef>
          </c:val>
          <c:smooth val="0"/>
          <c:extLst>
            <c:ext xmlns:c16="http://schemas.microsoft.com/office/drawing/2014/chart" uri="{C3380CC4-5D6E-409C-BE32-E72D297353CC}">
              <c16:uniqueId val="{00000002-2857-4893-BE3D-B1719B5599A7}"/>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(BSX) Revenue by Segment </a:t>
            </a:r>
            <a:r>
              <a:rPr lang="en-US" sz="1400" b="0" i="0" u="none" strike="noStrike" kern="1200" spc="0" baseline="0">
                <a:solidFill>
                  <a:sysClr val="windowText" lastClr="000000">
                    <a:lumMod val="65000"/>
                    <a:lumOff val="35000"/>
                  </a:sysClr>
                </a:solidFill>
                <a:latin typeface="Calibre"/>
              </a:rPr>
              <a:t>(in $ millions)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Model!$B$4</c:f>
              <c:strCache>
                <c:ptCount val="1"/>
                <c:pt idx="0">
                  <c:v>Endoscopy</c:v>
                </c:pt>
              </c:strCache>
            </c:strRef>
          </c:tx>
          <c:spPr>
            <a:solidFill>
              <a:schemeClr val="accent5">
                <a:lumMod val="50000"/>
              </a:schemeClr>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Model!$AU$4:$BT$4</c:f>
              <c:numCache>
                <c:formatCode>General</c:formatCode>
                <c:ptCount val="26"/>
                <c:pt idx="0">
                  <c:v>442</c:v>
                </c:pt>
                <c:pt idx="1">
                  <c:v>348</c:v>
                </c:pt>
                <c:pt idx="2">
                  <c:v>475</c:v>
                </c:pt>
                <c:pt idx="3">
                  <c:v>515</c:v>
                </c:pt>
                <c:pt idx="4">
                  <c:v>499</c:v>
                </c:pt>
                <c:pt idx="5">
                  <c:v>551</c:v>
                </c:pt>
                <c:pt idx="6">
                  <c:v>533</c:v>
                </c:pt>
                <c:pt idx="7">
                  <c:v>558</c:v>
                </c:pt>
                <c:pt idx="8">
                  <c:v>532</c:v>
                </c:pt>
                <c:pt idx="9">
                  <c:v>561</c:v>
                </c:pt>
                <c:pt idx="10">
                  <c:v>559</c:v>
                </c:pt>
                <c:pt idx="11">
                  <c:v>569</c:v>
                </c:pt>
                <c:pt idx="12">
                  <c:v>577</c:v>
                </c:pt>
                <c:pt idx="13">
                  <c:v>630</c:v>
                </c:pt>
                <c:pt idx="14">
                  <c:v>629</c:v>
                </c:pt>
                <c:pt idx="15">
                  <c:v>646</c:v>
                </c:pt>
                <c:pt idx="16">
                  <c:v>642</c:v>
                </c:pt>
                <c:pt idx="17">
                  <c:v>675</c:v>
                </c:pt>
                <c:pt idx="18">
                  <c:v>678</c:v>
                </c:pt>
                <c:pt idx="19">
                  <c:v>692</c:v>
                </c:pt>
                <c:pt idx="20">
                  <c:v>673</c:v>
                </c:pt>
                <c:pt idx="21">
                  <c:v>737</c:v>
                </c:pt>
                <c:pt idx="22">
                  <c:v>747</c:v>
                </c:pt>
                <c:pt idx="23">
                  <c:v>760</c:v>
                </c:pt>
                <c:pt idx="24">
                  <c:v>736</c:v>
                </c:pt>
                <c:pt idx="25">
                  <c:v>793</c:v>
                </c:pt>
              </c:numCache>
            </c:numRef>
          </c:val>
          <c:extLst>
            <c:ext xmlns:c16="http://schemas.microsoft.com/office/drawing/2014/chart" uri="{C3380CC4-5D6E-409C-BE32-E72D297353CC}">
              <c16:uniqueId val="{00000000-6175-4BF4-B46F-BC3700B5D1CA}"/>
            </c:ext>
          </c:extLst>
        </c:ser>
        <c:ser>
          <c:idx val="1"/>
          <c:order val="1"/>
          <c:tx>
            <c:strRef>
              <c:f>Model!$B$5</c:f>
              <c:strCache>
                <c:ptCount val="1"/>
                <c:pt idx="0">
                  <c:v>Urology</c:v>
                </c:pt>
              </c:strCache>
            </c:strRef>
          </c:tx>
          <c:spPr>
            <a:solidFill>
              <a:schemeClr val="accent5">
                <a:lumMod val="75000"/>
              </a:schemeClr>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Model!$AU$5:$BT$5</c:f>
              <c:numCache>
                <c:formatCode>General</c:formatCode>
                <c:ptCount val="26"/>
                <c:pt idx="0">
                  <c:v>332</c:v>
                </c:pt>
                <c:pt idx="1">
                  <c:v>228</c:v>
                </c:pt>
                <c:pt idx="2">
                  <c:v>350</c:v>
                </c:pt>
                <c:pt idx="3">
                  <c:v>376</c:v>
                </c:pt>
                <c:pt idx="4">
                  <c:v>361</c:v>
                </c:pt>
                <c:pt idx="5">
                  <c:v>397</c:v>
                </c:pt>
                <c:pt idx="6">
                  <c:v>384</c:v>
                </c:pt>
                <c:pt idx="7">
                  <c:v>441</c:v>
                </c:pt>
                <c:pt idx="8">
                  <c:v>413</c:v>
                </c:pt>
                <c:pt idx="9">
                  <c:v>450</c:v>
                </c:pt>
                <c:pt idx="10">
                  <c:v>433</c:v>
                </c:pt>
                <c:pt idx="11">
                  <c:v>477</c:v>
                </c:pt>
                <c:pt idx="12">
                  <c:v>469</c:v>
                </c:pt>
                <c:pt idx="13">
                  <c:v>485</c:v>
                </c:pt>
                <c:pt idx="14">
                  <c:v>483</c:v>
                </c:pt>
                <c:pt idx="15">
                  <c:v>527</c:v>
                </c:pt>
                <c:pt idx="16">
                  <c:v>513</c:v>
                </c:pt>
                <c:pt idx="17">
                  <c:v>525</c:v>
                </c:pt>
                <c:pt idx="18">
                  <c:v>532</c:v>
                </c:pt>
                <c:pt idx="19">
                  <c:v>630</c:v>
                </c:pt>
                <c:pt idx="20">
                  <c:v>633</c:v>
                </c:pt>
                <c:pt idx="21">
                  <c:v>676</c:v>
                </c:pt>
                <c:pt idx="22">
                  <c:v>682</c:v>
                </c:pt>
                <c:pt idx="23">
                  <c:v>717</c:v>
                </c:pt>
                <c:pt idx="24">
                  <c:v>646</c:v>
                </c:pt>
                <c:pt idx="25">
                  <c:v>684</c:v>
                </c:pt>
              </c:numCache>
            </c:numRef>
          </c:val>
          <c:extLst>
            <c:ext xmlns:c16="http://schemas.microsoft.com/office/drawing/2014/chart" uri="{C3380CC4-5D6E-409C-BE32-E72D297353CC}">
              <c16:uniqueId val="{00000001-6175-4BF4-B46F-BC3700B5D1CA}"/>
            </c:ext>
          </c:extLst>
        </c:ser>
        <c:ser>
          <c:idx val="2"/>
          <c:order val="2"/>
          <c:tx>
            <c:strRef>
              <c:f>Model!$B$6</c:f>
              <c:strCache>
                <c:ptCount val="1"/>
                <c:pt idx="0">
                  <c:v>Neuromodulation</c:v>
                </c:pt>
              </c:strCache>
            </c:strRef>
          </c:tx>
          <c:spPr>
            <a:solidFill>
              <a:srgbClr val="5881CC"/>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Model!$AU$6:$BT$6</c:f>
              <c:numCache>
                <c:formatCode>General</c:formatCode>
                <c:ptCount val="26"/>
                <c:pt idx="0">
                  <c:v>191</c:v>
                </c:pt>
                <c:pt idx="1">
                  <c:v>122</c:v>
                </c:pt>
                <c:pt idx="2">
                  <c:v>216</c:v>
                </c:pt>
                <c:pt idx="3">
                  <c:v>232</c:v>
                </c:pt>
                <c:pt idx="4">
                  <c:v>198</c:v>
                </c:pt>
                <c:pt idx="5">
                  <c:v>247</c:v>
                </c:pt>
                <c:pt idx="6">
                  <c:v>221</c:v>
                </c:pt>
                <c:pt idx="7">
                  <c:v>243</c:v>
                </c:pt>
                <c:pt idx="8">
                  <c:v>209</c:v>
                </c:pt>
                <c:pt idx="9">
                  <c:v>238</c:v>
                </c:pt>
                <c:pt idx="10">
                  <c:v>221</c:v>
                </c:pt>
                <c:pt idx="11">
                  <c:v>249</c:v>
                </c:pt>
                <c:pt idx="12">
                  <c:v>234</c:v>
                </c:pt>
                <c:pt idx="13">
                  <c:v>244</c:v>
                </c:pt>
                <c:pt idx="14">
                  <c:v>229</c:v>
                </c:pt>
                <c:pt idx="15">
                  <c:v>269</c:v>
                </c:pt>
                <c:pt idx="16">
                  <c:v>256</c:v>
                </c:pt>
                <c:pt idx="17">
                  <c:v>282</c:v>
                </c:pt>
                <c:pt idx="18">
                  <c:v>268</c:v>
                </c:pt>
                <c:pt idx="19">
                  <c:v>300</c:v>
                </c:pt>
                <c:pt idx="20">
                  <c:v>271</c:v>
                </c:pt>
                <c:pt idx="21">
                  <c:v>303</c:v>
                </c:pt>
                <c:pt idx="22">
                  <c:v>293</c:v>
                </c:pt>
                <c:pt idx="23">
                  <c:v>332</c:v>
                </c:pt>
                <c:pt idx="24">
                  <c:v>319</c:v>
                </c:pt>
                <c:pt idx="25">
                  <c:v>341</c:v>
                </c:pt>
              </c:numCache>
            </c:numRef>
          </c:val>
          <c:extLst>
            <c:ext xmlns:c16="http://schemas.microsoft.com/office/drawing/2014/chart" uri="{C3380CC4-5D6E-409C-BE32-E72D297353CC}">
              <c16:uniqueId val="{00000002-6175-4BF4-B46F-BC3700B5D1CA}"/>
            </c:ext>
          </c:extLst>
        </c:ser>
        <c:ser>
          <c:idx val="3"/>
          <c:order val="3"/>
          <c:tx>
            <c:strRef>
              <c:f>Model!$B$8</c:f>
              <c:strCache>
                <c:ptCount val="1"/>
                <c:pt idx="0">
                  <c:v>Interventional Cardiology</c:v>
                </c:pt>
              </c:strCache>
            </c:strRef>
          </c:tx>
          <c:spPr>
            <a:solidFill>
              <a:schemeClr val="accent1">
                <a:lumMod val="60000"/>
                <a:lumOff val="40000"/>
              </a:schemeClr>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Model!$AU$8:$BT$8</c:f>
              <c:numCache>
                <c:formatCode>General</c:formatCode>
                <c:ptCount val="26"/>
                <c:pt idx="0">
                  <c:v>633</c:v>
                </c:pt>
                <c:pt idx="1">
                  <c:v>495</c:v>
                </c:pt>
                <c:pt idx="2">
                  <c:v>586</c:v>
                </c:pt>
                <c:pt idx="3">
                  <c:v>585</c:v>
                </c:pt>
                <c:pt idx="4">
                  <c:v>526</c:v>
                </c:pt>
                <c:pt idx="5">
                  <c:v>574</c:v>
                </c:pt>
                <c:pt idx="6">
                  <c:v>534</c:v>
                </c:pt>
                <c:pt idx="7">
                  <c:v>575</c:v>
                </c:pt>
                <c:pt idx="8">
                  <c:v>544</c:v>
                </c:pt>
                <c:pt idx="9">
                  <c:v>574</c:v>
                </c:pt>
                <c:pt idx="10">
                  <c:v>549</c:v>
                </c:pt>
                <c:pt idx="11">
                  <c:v>561</c:v>
                </c:pt>
                <c:pt idx="12">
                  <c:v>591</c:v>
                </c:pt>
                <c:pt idx="13">
                  <c:v>629</c:v>
                </c:pt>
                <c:pt idx="14">
                  <c:v>583</c:v>
                </c:pt>
                <c:pt idx="15">
                  <c:v>614</c:v>
                </c:pt>
                <c:pt idx="16">
                  <c:v>652</c:v>
                </c:pt>
                <c:pt idx="17">
                  <c:v>665</c:v>
                </c:pt>
                <c:pt idx="18">
                  <c:v>661</c:v>
                </c:pt>
                <c:pt idx="19">
                  <c:v>667</c:v>
                </c:pt>
                <c:pt idx="20">
                  <c:v>697</c:v>
                </c:pt>
                <c:pt idx="21">
                  <c:v>731</c:v>
                </c:pt>
                <c:pt idx="22">
                  <c:v>686</c:v>
                </c:pt>
                <c:pt idx="23">
                  <c:v>732</c:v>
                </c:pt>
                <c:pt idx="24">
                  <c:v>764</c:v>
                </c:pt>
                <c:pt idx="25">
                  <c:v>833</c:v>
                </c:pt>
              </c:numCache>
            </c:numRef>
          </c:val>
          <c:extLst>
            <c:ext xmlns:c16="http://schemas.microsoft.com/office/drawing/2014/chart" uri="{C3380CC4-5D6E-409C-BE32-E72D297353CC}">
              <c16:uniqueId val="{00000003-6175-4BF4-B46F-BC3700B5D1CA}"/>
            </c:ext>
          </c:extLst>
        </c:ser>
        <c:ser>
          <c:idx val="4"/>
          <c:order val="4"/>
          <c:tx>
            <c:strRef>
              <c:f>Model!$B$9</c:f>
              <c:strCache>
                <c:ptCount val="1"/>
                <c:pt idx="0">
                  <c:v>Watchman</c:v>
                </c:pt>
              </c:strCache>
            </c:strRef>
          </c:tx>
          <c:spPr>
            <a:solidFill>
              <a:srgbClr val="CDE1F3"/>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Model!$AU$9:$BT$9</c:f>
              <c:numCache>
                <c:formatCode>General</c:formatCode>
                <c:ptCount val="26"/>
                <c:pt idx="0">
                  <c:v>41</c:v>
                </c:pt>
                <c:pt idx="1">
                  <c:v>68</c:v>
                </c:pt>
                <c:pt idx="2">
                  <c:v>74</c:v>
                </c:pt>
                <c:pt idx="3">
                  <c:v>36</c:v>
                </c:pt>
                <c:pt idx="4">
                  <c:v>170</c:v>
                </c:pt>
                <c:pt idx="5">
                  <c:v>216</c:v>
                </c:pt>
                <c:pt idx="6">
                  <c:v>210</c:v>
                </c:pt>
                <c:pt idx="7">
                  <c:v>233</c:v>
                </c:pt>
                <c:pt idx="8">
                  <c:v>226</c:v>
                </c:pt>
                <c:pt idx="9">
                  <c:v>250</c:v>
                </c:pt>
                <c:pt idx="10">
                  <c:v>262</c:v>
                </c:pt>
                <c:pt idx="11">
                  <c:v>281</c:v>
                </c:pt>
                <c:pt idx="12">
                  <c:v>291</c:v>
                </c:pt>
                <c:pt idx="13">
                  <c:v>317</c:v>
                </c:pt>
                <c:pt idx="14">
                  <c:v>323</c:v>
                </c:pt>
                <c:pt idx="15">
                  <c:v>343</c:v>
                </c:pt>
                <c:pt idx="16">
                  <c:v>344</c:v>
                </c:pt>
                <c:pt idx="17">
                  <c:v>379</c:v>
                </c:pt>
                <c:pt idx="18">
                  <c:v>380</c:v>
                </c:pt>
                <c:pt idx="19">
                  <c:v>413</c:v>
                </c:pt>
                <c:pt idx="20">
                  <c:v>425</c:v>
                </c:pt>
                <c:pt idx="21">
                  <c:v>486</c:v>
                </c:pt>
                <c:pt idx="22">
                  <c:v>512</c:v>
                </c:pt>
                <c:pt idx="23">
                  <c:v>541</c:v>
                </c:pt>
                <c:pt idx="24">
                  <c:v>506</c:v>
                </c:pt>
                <c:pt idx="25">
                  <c:v>507</c:v>
                </c:pt>
              </c:numCache>
            </c:numRef>
          </c:val>
          <c:extLst>
            <c:ext xmlns:c16="http://schemas.microsoft.com/office/drawing/2014/chart" uri="{C3380CC4-5D6E-409C-BE32-E72D297353CC}">
              <c16:uniqueId val="{00000004-6175-4BF4-B46F-BC3700B5D1CA}"/>
            </c:ext>
          </c:extLst>
        </c:ser>
        <c:ser>
          <c:idx val="5"/>
          <c:order val="5"/>
          <c:tx>
            <c:strRef>
              <c:f>Model!$B$10</c:f>
              <c:strCache>
                <c:ptCount val="1"/>
                <c:pt idx="0">
                  <c:v>Cardiac Rhythm</c:v>
                </c:pt>
              </c:strCache>
            </c:strRef>
          </c:tx>
          <c:spPr>
            <a:solidFill>
              <a:srgbClr val="94346D"/>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Model!$AU$10:$BT$10</c:f>
              <c:numCache>
                <c:formatCode>General</c:formatCode>
                <c:ptCount val="26"/>
                <c:pt idx="0">
                  <c:v>437</c:v>
                </c:pt>
                <c:pt idx="1">
                  <c:v>351</c:v>
                </c:pt>
                <c:pt idx="2">
                  <c:v>465</c:v>
                </c:pt>
                <c:pt idx="3">
                  <c:v>451</c:v>
                </c:pt>
                <c:pt idx="4">
                  <c:v>469</c:v>
                </c:pt>
                <c:pt idx="5">
                  <c:v>524</c:v>
                </c:pt>
                <c:pt idx="6">
                  <c:v>512</c:v>
                </c:pt>
                <c:pt idx="7">
                  <c:v>514</c:v>
                </c:pt>
                <c:pt idx="8">
                  <c:v>519</c:v>
                </c:pt>
                <c:pt idx="9">
                  <c:v>541</c:v>
                </c:pt>
                <c:pt idx="10">
                  <c:v>519</c:v>
                </c:pt>
                <c:pt idx="11">
                  <c:v>521</c:v>
                </c:pt>
                <c:pt idx="12">
                  <c:v>548</c:v>
                </c:pt>
                <c:pt idx="13">
                  <c:v>566</c:v>
                </c:pt>
                <c:pt idx="14">
                  <c:v>552</c:v>
                </c:pt>
                <c:pt idx="15">
                  <c:v>552</c:v>
                </c:pt>
                <c:pt idx="16">
                  <c:v>575</c:v>
                </c:pt>
                <c:pt idx="17">
                  <c:v>576</c:v>
                </c:pt>
                <c:pt idx="18">
                  <c:v>561</c:v>
                </c:pt>
                <c:pt idx="19">
                  <c:v>567</c:v>
                </c:pt>
                <c:pt idx="20">
                  <c:v>578</c:v>
                </c:pt>
                <c:pt idx="21">
                  <c:v>590</c:v>
                </c:pt>
                <c:pt idx="22">
                  <c:v>578</c:v>
                </c:pt>
                <c:pt idx="23">
                  <c:v>607</c:v>
                </c:pt>
                <c:pt idx="24">
                  <c:v>906</c:v>
                </c:pt>
                <c:pt idx="25">
                  <c:v>585</c:v>
                </c:pt>
              </c:numCache>
            </c:numRef>
          </c:val>
          <c:extLst>
            <c:ext xmlns:c16="http://schemas.microsoft.com/office/drawing/2014/chart" uri="{C3380CC4-5D6E-409C-BE32-E72D297353CC}">
              <c16:uniqueId val="{00000005-6175-4BF4-B46F-BC3700B5D1CA}"/>
            </c:ext>
          </c:extLst>
        </c:ser>
        <c:ser>
          <c:idx val="6"/>
          <c:order val="6"/>
          <c:tx>
            <c:strRef>
              <c:f>Model!$B$11</c:f>
              <c:strCache>
                <c:ptCount val="1"/>
                <c:pt idx="0">
                  <c:v>Electrophysiology</c:v>
                </c:pt>
              </c:strCache>
            </c:strRef>
          </c:tx>
          <c:spPr>
            <a:solidFill>
              <a:srgbClr val="C65A9A"/>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Model!$AU$11:$BT$11</c:f>
              <c:numCache>
                <c:formatCode>General</c:formatCode>
                <c:ptCount val="26"/>
                <c:pt idx="0">
                  <c:v>74</c:v>
                </c:pt>
                <c:pt idx="1">
                  <c:v>51</c:v>
                </c:pt>
                <c:pt idx="2">
                  <c:v>76</c:v>
                </c:pt>
                <c:pt idx="3">
                  <c:v>86</c:v>
                </c:pt>
                <c:pt idx="4">
                  <c:v>83</c:v>
                </c:pt>
                <c:pt idx="5">
                  <c:v>95</c:v>
                </c:pt>
                <c:pt idx="6">
                  <c:v>86</c:v>
                </c:pt>
                <c:pt idx="7">
                  <c:v>101</c:v>
                </c:pt>
                <c:pt idx="8">
                  <c:v>118</c:v>
                </c:pt>
                <c:pt idx="9">
                  <c:v>152</c:v>
                </c:pt>
                <c:pt idx="10">
                  <c:v>148</c:v>
                </c:pt>
                <c:pt idx="11">
                  <c:v>167</c:v>
                </c:pt>
                <c:pt idx="12">
                  <c:v>177</c:v>
                </c:pt>
                <c:pt idx="13">
                  <c:v>193</c:v>
                </c:pt>
                <c:pt idx="14">
                  <c:v>190</c:v>
                </c:pt>
                <c:pt idx="15">
                  <c:v>240</c:v>
                </c:pt>
                <c:pt idx="16">
                  <c:v>300</c:v>
                </c:pt>
                <c:pt idx="17">
                  <c:v>428</c:v>
                </c:pt>
                <c:pt idx="18">
                  <c:v>527</c:v>
                </c:pt>
                <c:pt idx="19">
                  <c:v>649</c:v>
                </c:pt>
                <c:pt idx="20">
                  <c:v>729</c:v>
                </c:pt>
                <c:pt idx="21">
                  <c:v>840</c:v>
                </c:pt>
                <c:pt idx="22">
                  <c:v>865</c:v>
                </c:pt>
                <c:pt idx="23">
                  <c:v>889</c:v>
                </c:pt>
                <c:pt idx="24">
                  <c:v>578</c:v>
                </c:pt>
                <c:pt idx="25">
                  <c:v>916</c:v>
                </c:pt>
              </c:numCache>
            </c:numRef>
          </c:val>
          <c:extLst>
            <c:ext xmlns:c16="http://schemas.microsoft.com/office/drawing/2014/chart" uri="{C3380CC4-5D6E-409C-BE32-E72D297353CC}">
              <c16:uniqueId val="{00000006-6175-4BF4-B46F-BC3700B5D1CA}"/>
            </c:ext>
          </c:extLst>
        </c:ser>
        <c:ser>
          <c:idx val="7"/>
          <c:order val="7"/>
          <c:tx>
            <c:strRef>
              <c:f>Model!$B$13</c:f>
              <c:strCache>
                <c:ptCount val="1"/>
                <c:pt idx="0">
                  <c:v>Peripheral Interventions</c:v>
                </c:pt>
              </c:strCache>
            </c:strRef>
          </c:tx>
          <c:spPr>
            <a:solidFill>
              <a:srgbClr val="DB95BF"/>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Model!$AU$13:$BT$13</c:f>
              <c:numCache>
                <c:formatCode>General</c:formatCode>
                <c:ptCount val="26"/>
                <c:pt idx="0">
                  <c:v>393</c:v>
                </c:pt>
                <c:pt idx="1">
                  <c:v>340</c:v>
                </c:pt>
                <c:pt idx="2">
                  <c:v>417</c:v>
                </c:pt>
                <c:pt idx="3">
                  <c:v>427</c:v>
                </c:pt>
                <c:pt idx="4">
                  <c:v>433</c:v>
                </c:pt>
                <c:pt idx="5">
                  <c:v>473</c:v>
                </c:pt>
                <c:pt idx="6">
                  <c:v>452</c:v>
                </c:pt>
                <c:pt idx="7">
                  <c:v>462</c:v>
                </c:pt>
                <c:pt idx="8">
                  <c:v>465</c:v>
                </c:pt>
                <c:pt idx="9">
                  <c:v>478</c:v>
                </c:pt>
                <c:pt idx="10">
                  <c:v>479</c:v>
                </c:pt>
                <c:pt idx="11">
                  <c:v>477</c:v>
                </c:pt>
                <c:pt idx="12">
                  <c:v>502</c:v>
                </c:pt>
                <c:pt idx="13">
                  <c:v>535</c:v>
                </c:pt>
                <c:pt idx="14">
                  <c:v>538</c:v>
                </c:pt>
                <c:pt idx="15">
                  <c:v>534</c:v>
                </c:pt>
                <c:pt idx="16">
                  <c:v>575</c:v>
                </c:pt>
                <c:pt idx="17">
                  <c:v>590</c:v>
                </c:pt>
                <c:pt idx="18">
                  <c:v>602</c:v>
                </c:pt>
                <c:pt idx="19">
                  <c:v>643</c:v>
                </c:pt>
                <c:pt idx="20">
                  <c:v>657</c:v>
                </c:pt>
                <c:pt idx="21">
                  <c:v>698</c:v>
                </c:pt>
                <c:pt idx="22">
                  <c:v>702</c:v>
                </c:pt>
                <c:pt idx="23">
                  <c:v>708</c:v>
                </c:pt>
                <c:pt idx="24">
                  <c:v>749</c:v>
                </c:pt>
                <c:pt idx="25">
                  <c:v>783</c:v>
                </c:pt>
              </c:numCache>
            </c:numRef>
          </c:val>
          <c:extLst>
            <c:ext xmlns:c16="http://schemas.microsoft.com/office/drawing/2014/chart" uri="{C3380CC4-5D6E-409C-BE32-E72D297353CC}">
              <c16:uniqueId val="{00000007-6175-4BF4-B46F-BC3700B5D1CA}"/>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9.9181700603905437E-2"/>
          <c:y val="5.2058346839546202E-2"/>
          <c:w val="0.81748499994511048"/>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(BSX) Annualized Ttl Revenue,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strRef>
              <c:f>Model!$B$67</c:f>
              <c:strCache>
                <c:ptCount val="1"/>
                <c:pt idx="0">
                  <c:v>Net Income</c:v>
                </c:pt>
              </c:strCache>
            </c:strRef>
          </c:tx>
          <c:spPr>
            <a:solidFill>
              <a:srgbClr val="00B050"/>
            </a:solidFill>
            <a:ln>
              <a:solidFill>
                <a:srgbClr val="00B050"/>
              </a:solidFill>
            </a:ln>
          </c:spPr>
          <c:invertIfNegative val="0"/>
          <c:cat>
            <c:strRef>
              <c:f>Model!$AU$3:$BO$3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Model!$CA$67:$CQ$67</c:f>
              <c:numCache>
                <c:formatCode>General</c:formatCode>
                <c:ptCount val="17"/>
                <c:pt idx="0">
                  <c:v>-1025</c:v>
                </c:pt>
                <c:pt idx="1">
                  <c:v>-1065</c:v>
                </c:pt>
                <c:pt idx="2">
                  <c:v>441</c:v>
                </c:pt>
                <c:pt idx="3">
                  <c:v>-4068</c:v>
                </c:pt>
                <c:pt idx="4">
                  <c:v>-121</c:v>
                </c:pt>
                <c:pt idx="5">
                  <c:v>-119</c:v>
                </c:pt>
                <c:pt idx="6">
                  <c:v>-239</c:v>
                </c:pt>
                <c:pt idx="7">
                  <c:v>347</c:v>
                </c:pt>
                <c:pt idx="8">
                  <c:v>104</c:v>
                </c:pt>
                <c:pt idx="9">
                  <c:v>1670</c:v>
                </c:pt>
                <c:pt idx="10">
                  <c:v>4700</c:v>
                </c:pt>
                <c:pt idx="11">
                  <c:v>-81</c:v>
                </c:pt>
                <c:pt idx="12">
                  <c:v>1039</c:v>
                </c:pt>
                <c:pt idx="13">
                  <c:v>696</c:v>
                </c:pt>
                <c:pt idx="14">
                  <c:v>1592</c:v>
                </c:pt>
                <c:pt idx="15">
                  <c:v>1848</c:v>
                </c:pt>
                <c:pt idx="16">
                  <c:v>2893</c:v>
                </c:pt>
              </c:numCache>
            </c:numRef>
          </c:val>
          <c:extLst>
            <c:ext xmlns:c16="http://schemas.microsoft.com/office/drawing/2014/chart" uri="{C3380CC4-5D6E-409C-BE32-E72D297353CC}">
              <c16:uniqueId val="{00000000-D71C-4FA2-9312-B23F3A1F732F}"/>
            </c:ext>
          </c:extLst>
        </c:ser>
        <c:ser>
          <c:idx val="2"/>
          <c:order val="2"/>
          <c:tx>
            <c:v>FCF</c:v>
          </c:tx>
          <c:spPr>
            <a:solidFill>
              <a:srgbClr val="FFC000"/>
            </a:solidFill>
            <a:ln>
              <a:noFill/>
            </a:ln>
          </c:spPr>
          <c:invertIfNegative val="0"/>
          <c:cat>
            <c:strRef>
              <c:f>Model!$AU$3:$BO$3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Model!$CA$125:$CQ$125</c:f>
              <c:numCache>
                <c:formatCode>General</c:formatCode>
                <c:ptCount val="17"/>
                <c:pt idx="11">
                  <c:v>1144</c:v>
                </c:pt>
                <c:pt idx="12">
                  <c:v>1330</c:v>
                </c:pt>
                <c:pt idx="13">
                  <c:v>950</c:v>
                </c:pt>
                <c:pt idx="14">
                  <c:v>1106</c:v>
                </c:pt>
                <c:pt idx="15">
                  <c:v>2648</c:v>
                </c:pt>
                <c:pt idx="16">
                  <c:v>3659</c:v>
                </c:pt>
              </c:numCache>
            </c:numRef>
          </c:val>
          <c:extLst>
            <c:ext xmlns:c16="http://schemas.microsoft.com/office/drawing/2014/chart" uri="{C3380CC4-5D6E-409C-BE32-E72D297353CC}">
              <c16:uniqueId val="{00000001-D71C-4FA2-9312-B23F3A1F732F}"/>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8575">
              <a:solidFill>
                <a:srgbClr val="00B0F0"/>
              </a:solidFill>
            </a:ln>
          </c:spPr>
          <c:marker>
            <c:symbol val="none"/>
          </c:marker>
          <c:cat>
            <c:numRef>
              <c:f>Model!$CA$3:$CQ$3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Model!$CA$50:$CQ$50</c:f>
              <c:numCache>
                <c:formatCode>General</c:formatCode>
                <c:ptCount val="17"/>
                <c:pt idx="0">
                  <c:v>8188</c:v>
                </c:pt>
                <c:pt idx="1">
                  <c:v>7806</c:v>
                </c:pt>
                <c:pt idx="2">
                  <c:v>7622</c:v>
                </c:pt>
                <c:pt idx="3">
                  <c:v>7249</c:v>
                </c:pt>
                <c:pt idx="4">
                  <c:v>7143</c:v>
                </c:pt>
                <c:pt idx="5">
                  <c:v>7380</c:v>
                </c:pt>
                <c:pt idx="6">
                  <c:v>7477</c:v>
                </c:pt>
                <c:pt idx="7">
                  <c:v>8386</c:v>
                </c:pt>
                <c:pt idx="8">
                  <c:v>9048</c:v>
                </c:pt>
                <c:pt idx="9">
                  <c:v>9823</c:v>
                </c:pt>
                <c:pt idx="10">
                  <c:v>10735</c:v>
                </c:pt>
                <c:pt idx="11">
                  <c:v>9913</c:v>
                </c:pt>
                <c:pt idx="12">
                  <c:v>11888</c:v>
                </c:pt>
                <c:pt idx="13">
                  <c:v>12682</c:v>
                </c:pt>
                <c:pt idx="14">
                  <c:v>14240</c:v>
                </c:pt>
                <c:pt idx="15">
                  <c:v>16747</c:v>
                </c:pt>
                <c:pt idx="16">
                  <c:v>20075</c:v>
                </c:pt>
              </c:numCache>
            </c:numRef>
          </c:val>
          <c:smooth val="0"/>
          <c:extLst>
            <c:ext xmlns:c16="http://schemas.microsoft.com/office/drawing/2014/chart" uri="{C3380CC4-5D6E-409C-BE32-E72D297353CC}">
              <c16:uniqueId val="{00000002-D71C-4FA2-9312-B23F3A1F732F}"/>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min val="-5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w="25400">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(BSX) Revenue by Segment </a:t>
            </a:r>
            <a:r>
              <a:rPr lang="en-US" sz="1400" b="0" i="0" u="none" strike="noStrike" kern="1200" spc="0" baseline="0">
                <a:solidFill>
                  <a:sysClr val="windowText" lastClr="000000">
                    <a:lumMod val="65000"/>
                    <a:lumOff val="35000"/>
                  </a:sysClr>
                </a:solidFill>
                <a:latin typeface="Calibre"/>
              </a:rPr>
              <a:t>(in $ millions)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4"/>
          <c:order val="0"/>
          <c:tx>
            <c:strRef>
              <c:f>Model!$B$33</c:f>
              <c:strCache>
                <c:ptCount val="1"/>
                <c:pt idx="0">
                  <c:v>U.S. Revenues</c:v>
                </c:pt>
              </c:strCache>
            </c:strRef>
          </c:tx>
          <c:spPr>
            <a:solidFill>
              <a:srgbClr val="76ABDC"/>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Model!$AU$33:$BT$33</c:f>
              <c:numCache>
                <c:formatCode>General</c:formatCode>
                <c:ptCount val="26"/>
                <c:pt idx="0">
                  <c:v>1452</c:v>
                </c:pt>
                <c:pt idx="1">
                  <c:v>1058</c:v>
                </c:pt>
                <c:pt idx="2">
                  <c:v>1496</c:v>
                </c:pt>
                <c:pt idx="3">
                  <c:v>1502</c:v>
                </c:pt>
                <c:pt idx="4">
                  <c:v>1577</c:v>
                </c:pt>
                <c:pt idx="5">
                  <c:v>1800</c:v>
                </c:pt>
                <c:pt idx="6">
                  <c:v>1726</c:v>
                </c:pt>
                <c:pt idx="7">
                  <c:v>1798</c:v>
                </c:pt>
                <c:pt idx="8">
                  <c:v>1778</c:v>
                </c:pt>
                <c:pt idx="9">
                  <c:v>1934</c:v>
                </c:pt>
                <c:pt idx="10">
                  <c:v>1934</c:v>
                </c:pt>
                <c:pt idx="11">
                  <c:v>1986</c:v>
                </c:pt>
                <c:pt idx="12">
                  <c:v>2003</c:v>
                </c:pt>
                <c:pt idx="13">
                  <c:v>2110</c:v>
                </c:pt>
                <c:pt idx="14">
                  <c:v>2099</c:v>
                </c:pt>
                <c:pt idx="15">
                  <c:v>2213</c:v>
                </c:pt>
                <c:pt idx="16">
                  <c:v>2258</c:v>
                </c:pt>
                <c:pt idx="17">
                  <c:v>2466</c:v>
                </c:pt>
                <c:pt idx="18">
                  <c:v>2593</c:v>
                </c:pt>
                <c:pt idx="19">
                  <c:v>2893</c:v>
                </c:pt>
                <c:pt idx="20">
                  <c:v>2960</c:v>
                </c:pt>
                <c:pt idx="21">
                  <c:v>3224</c:v>
                </c:pt>
                <c:pt idx="22">
                  <c:v>3294</c:v>
                </c:pt>
                <c:pt idx="23">
                  <c:v>3385</c:v>
                </c:pt>
                <c:pt idx="24">
                  <c:v>3284</c:v>
                </c:pt>
                <c:pt idx="25">
                  <c:v>3426</c:v>
                </c:pt>
              </c:numCache>
            </c:numRef>
          </c:val>
          <c:extLst>
            <c:ext xmlns:c16="http://schemas.microsoft.com/office/drawing/2014/chart" uri="{C3380CC4-5D6E-409C-BE32-E72D297353CC}">
              <c16:uniqueId val="{00000004-DADF-471E-89A2-B3496682B8AA}"/>
            </c:ext>
          </c:extLst>
        </c:ser>
        <c:ser>
          <c:idx val="5"/>
          <c:order val="1"/>
          <c:tx>
            <c:strRef>
              <c:f>Model!$B$34</c:f>
              <c:strCache>
                <c:ptCount val="1"/>
                <c:pt idx="0">
                  <c:v>Euro, Mid. East, Afr</c:v>
                </c:pt>
              </c:strCache>
            </c:strRef>
          </c:tx>
          <c:spPr>
            <a:solidFill>
              <a:srgbClr val="FFC000">
                <a:lumMod val="60000"/>
                <a:lumOff val="40000"/>
              </a:srgbClr>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Model!$AU$34:$BT$34</c:f>
              <c:numCache>
                <c:formatCode>General</c:formatCode>
                <c:ptCount val="26"/>
                <c:pt idx="0">
                  <c:v>552</c:v>
                </c:pt>
                <c:pt idx="1">
                  <c:v>416</c:v>
                </c:pt>
                <c:pt idx="2">
                  <c:v>540</c:v>
                </c:pt>
                <c:pt idx="3">
                  <c:v>589</c:v>
                </c:pt>
                <c:pt idx="4">
                  <c:v>604</c:v>
                </c:pt>
                <c:pt idx="5">
                  <c:v>662</c:v>
                </c:pt>
                <c:pt idx="6">
                  <c:v>590</c:v>
                </c:pt>
                <c:pt idx="7">
                  <c:v>662</c:v>
                </c:pt>
                <c:pt idx="8">
                  <c:v>624</c:v>
                </c:pt>
                <c:pt idx="9">
                  <c:v>660</c:v>
                </c:pt>
                <c:pt idx="10">
                  <c:v>585</c:v>
                </c:pt>
                <c:pt idx="11">
                  <c:v>657</c:v>
                </c:pt>
                <c:pt idx="12">
                  <c:v>712</c:v>
                </c:pt>
                <c:pt idx="13">
                  <c:v>723</c:v>
                </c:pt>
                <c:pt idx="14">
                  <c:v>671</c:v>
                </c:pt>
                <c:pt idx="15">
                  <c:v>750</c:v>
                </c:pt>
                <c:pt idx="16">
                  <c:v>803</c:v>
                </c:pt>
                <c:pt idx="17">
                  <c:v>822</c:v>
                </c:pt>
                <c:pt idx="18">
                  <c:v>773</c:v>
                </c:pt>
                <c:pt idx="19">
                  <c:v>830</c:v>
                </c:pt>
                <c:pt idx="20">
                  <c:v>846</c:v>
                </c:pt>
                <c:pt idx="21">
                  <c:v>878</c:v>
                </c:pt>
                <c:pt idx="22">
                  <c:v>793</c:v>
                </c:pt>
                <c:pt idx="23">
                  <c:v>933</c:v>
                </c:pt>
                <c:pt idx="24">
                  <c:v>932</c:v>
                </c:pt>
                <c:pt idx="25">
                  <c:v>932</c:v>
                </c:pt>
              </c:numCache>
            </c:numRef>
          </c:val>
          <c:extLst>
            <c:ext xmlns:c16="http://schemas.microsoft.com/office/drawing/2014/chart" uri="{C3380CC4-5D6E-409C-BE32-E72D297353CC}">
              <c16:uniqueId val="{00000005-DADF-471E-89A2-B3496682B8AA}"/>
            </c:ext>
          </c:extLst>
        </c:ser>
        <c:ser>
          <c:idx val="6"/>
          <c:order val="2"/>
          <c:tx>
            <c:strRef>
              <c:f>Model!$B$35</c:f>
              <c:strCache>
                <c:ptCount val="1"/>
                <c:pt idx="0">
                  <c:v>A-Pac</c:v>
                </c:pt>
              </c:strCache>
            </c:strRef>
          </c:tx>
          <c:spPr>
            <a:solidFill>
              <a:srgbClr val="9CCA7C"/>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Model!$AU$35:$BT$35</c:f>
              <c:numCache>
                <c:formatCode>General</c:formatCode>
                <c:ptCount val="26"/>
                <c:pt idx="0">
                  <c:v>409</c:v>
                </c:pt>
                <c:pt idx="1">
                  <c:v>410</c:v>
                </c:pt>
                <c:pt idx="2">
                  <c:v>472</c:v>
                </c:pt>
                <c:pt idx="3">
                  <c:v>490</c:v>
                </c:pt>
                <c:pt idx="4">
                  <c:v>473</c:v>
                </c:pt>
                <c:pt idx="5">
                  <c:v>520</c:v>
                </c:pt>
                <c:pt idx="6">
                  <c:v>517</c:v>
                </c:pt>
                <c:pt idx="7">
                  <c:v>560</c:v>
                </c:pt>
                <c:pt idx="8">
                  <c:v>517</c:v>
                </c:pt>
                <c:pt idx="9">
                  <c:v>530</c:v>
                </c:pt>
                <c:pt idx="10">
                  <c:v>532</c:v>
                </c:pt>
                <c:pt idx="11">
                  <c:v>537</c:v>
                </c:pt>
                <c:pt idx="12">
                  <c:v>548</c:v>
                </c:pt>
                <c:pt idx="13">
                  <c:v>626</c:v>
                </c:pt>
                <c:pt idx="14">
                  <c:v>611</c:v>
                </c:pt>
                <c:pt idx="15">
                  <c:v>615</c:v>
                </c:pt>
                <c:pt idx="16">
                  <c:v>647</c:v>
                </c:pt>
                <c:pt idx="17">
                  <c:v>670</c:v>
                </c:pt>
                <c:pt idx="18">
                  <c:v>684</c:v>
                </c:pt>
                <c:pt idx="19">
                  <c:v>685</c:v>
                </c:pt>
                <c:pt idx="20">
                  <c:v>701</c:v>
                </c:pt>
                <c:pt idx="21">
                  <c:v>790</c:v>
                </c:pt>
                <c:pt idx="22">
                  <c:v>803</c:v>
                </c:pt>
                <c:pt idx="23">
                  <c:v>789</c:v>
                </c:pt>
                <c:pt idx="24">
                  <c:v>803</c:v>
                </c:pt>
                <c:pt idx="25">
                  <c:v>878</c:v>
                </c:pt>
              </c:numCache>
            </c:numRef>
          </c:val>
          <c:extLst>
            <c:ext xmlns:c16="http://schemas.microsoft.com/office/drawing/2014/chart" uri="{C3380CC4-5D6E-409C-BE32-E72D297353CC}">
              <c16:uniqueId val="{00000006-DADF-471E-89A2-B3496682B8AA}"/>
            </c:ext>
          </c:extLst>
        </c:ser>
        <c:ser>
          <c:idx val="7"/>
          <c:order val="3"/>
          <c:tx>
            <c:strRef>
              <c:f>Model!$B$36</c:f>
              <c:strCache>
                <c:ptCount val="1"/>
                <c:pt idx="0">
                  <c:v>Lat Am + Canada</c:v>
                </c:pt>
              </c:strCache>
            </c:strRef>
          </c:tx>
          <c:spPr>
            <a:solidFill>
              <a:srgbClr val="FF6D70"/>
            </a:solidFill>
            <a:ln>
              <a:noFill/>
            </a:ln>
            <a:effectLst/>
          </c:spPr>
          <c:invertIfNegative val="0"/>
          <c:cat>
            <c:strRef>
              <c:f>Model!$AU$1:$BS$1</c:f>
              <c:strCache>
                <c:ptCount val="25"/>
                <c:pt idx="0">
                  <c:v>Q1 2020</c:v>
                </c:pt>
                <c:pt idx="4">
                  <c:v>Q1 2021</c:v>
                </c:pt>
                <c:pt idx="8">
                  <c:v>Q1 2022</c:v>
                </c:pt>
                <c:pt idx="12">
                  <c:v>Q1 2023</c:v>
                </c:pt>
                <c:pt idx="16">
                  <c:v>Q1 2024</c:v>
                </c:pt>
                <c:pt idx="20">
                  <c:v>Q1 2025</c:v>
                </c:pt>
                <c:pt idx="24">
                  <c:v>Q1 2026</c:v>
                </c:pt>
              </c:strCache>
            </c:strRef>
          </c:cat>
          <c:val>
            <c:numRef>
              <c:f>Model!$AU$36:$BT$36</c:f>
              <c:numCache>
                <c:formatCode>General</c:formatCode>
                <c:ptCount val="26"/>
                <c:pt idx="0">
                  <c:v>89</c:v>
                </c:pt>
                <c:pt idx="1">
                  <c:v>51</c:v>
                </c:pt>
                <c:pt idx="2">
                  <c:v>77</c:v>
                </c:pt>
                <c:pt idx="3">
                  <c:v>90</c:v>
                </c:pt>
                <c:pt idx="4">
                  <c:v>85</c:v>
                </c:pt>
                <c:pt idx="5">
                  <c:v>95</c:v>
                </c:pt>
                <c:pt idx="6">
                  <c:v>99</c:v>
                </c:pt>
                <c:pt idx="7">
                  <c:v>107</c:v>
                </c:pt>
                <c:pt idx="8">
                  <c:v>107</c:v>
                </c:pt>
                <c:pt idx="9">
                  <c:v>120</c:v>
                </c:pt>
                <c:pt idx="10">
                  <c:v>119</c:v>
                </c:pt>
                <c:pt idx="11">
                  <c:v>123</c:v>
                </c:pt>
                <c:pt idx="12">
                  <c:v>126</c:v>
                </c:pt>
                <c:pt idx="13">
                  <c:v>140</c:v>
                </c:pt>
                <c:pt idx="14">
                  <c:v>146</c:v>
                </c:pt>
                <c:pt idx="15">
                  <c:v>147</c:v>
                </c:pt>
                <c:pt idx="16">
                  <c:v>149</c:v>
                </c:pt>
                <c:pt idx="17">
                  <c:v>162</c:v>
                </c:pt>
                <c:pt idx="18">
                  <c:v>159</c:v>
                </c:pt>
                <c:pt idx="19">
                  <c:v>153</c:v>
                </c:pt>
                <c:pt idx="20">
                  <c:v>156</c:v>
                </c:pt>
                <c:pt idx="21">
                  <c:v>169</c:v>
                </c:pt>
                <c:pt idx="22">
                  <c:v>175</c:v>
                </c:pt>
                <c:pt idx="23">
                  <c:v>179</c:v>
                </c:pt>
                <c:pt idx="24">
                  <c:v>185</c:v>
                </c:pt>
                <c:pt idx="25">
                  <c:v>206</c:v>
                </c:pt>
              </c:numCache>
            </c:numRef>
          </c:val>
          <c:extLst>
            <c:ext xmlns:c16="http://schemas.microsoft.com/office/drawing/2014/chart" uri="{C3380CC4-5D6E-409C-BE32-E72D297353CC}">
              <c16:uniqueId val="{00000007-DADF-471E-89A2-B3496682B8AA}"/>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9.9181700603905437E-2"/>
          <c:y val="5.2058346839546202E-2"/>
          <c:w val="0.81748499994511048"/>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chart" Target="../charts/chart4.xml"/><Relationship Id="rId10" Type="http://schemas.openxmlformats.org/officeDocument/2006/relationships/image" Target="../media/image7.png"/><Relationship Id="rId4" Type="http://schemas.openxmlformats.org/officeDocument/2006/relationships/chart" Target="../charts/chart3.xml"/><Relationship Id="rId9"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2</xdr:row>
      <xdr:rowOff>9524</xdr:rowOff>
    </xdr:from>
    <xdr:to>
      <xdr:col>9</xdr:col>
      <xdr:colOff>4273</xdr:colOff>
      <xdr:row>7</xdr:row>
      <xdr:rowOff>171450</xdr:rowOff>
    </xdr:to>
    <xdr:pic>
      <xdr:nvPicPr>
        <xdr:cNvPr id="3" name="Picture 2">
          <a:extLst>
            <a:ext uri="{FF2B5EF4-FFF2-40B4-BE49-F238E27FC236}">
              <a16:creationId xmlns:a16="http://schemas.microsoft.com/office/drawing/2014/main" id="{11A8B0D1-3A6F-C34C-783D-49794DF3107D}"/>
            </a:ext>
          </a:extLst>
        </xdr:cNvPr>
        <xdr:cNvPicPr>
          <a:picLocks noChangeAspect="1"/>
        </xdr:cNvPicPr>
      </xdr:nvPicPr>
      <xdr:blipFill>
        <a:blip xmlns:r="http://schemas.openxmlformats.org/officeDocument/2006/relationships" r:embed="rId1"/>
        <a:stretch>
          <a:fillRect/>
        </a:stretch>
      </xdr:blipFill>
      <xdr:spPr>
        <a:xfrm>
          <a:off x="2857500" y="380999"/>
          <a:ext cx="1823548" cy="10668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95</xdr:col>
      <xdr:colOff>0</xdr:colOff>
      <xdr:row>1</xdr:row>
      <xdr:rowOff>0</xdr:rowOff>
    </xdr:from>
    <xdr:to>
      <xdr:col>95</xdr:col>
      <xdr:colOff>0</xdr:colOff>
      <xdr:row>120</xdr:row>
      <xdr:rowOff>0</xdr:rowOff>
    </xdr:to>
    <xdr:cxnSp macro="">
      <xdr:nvCxnSpPr>
        <xdr:cNvPr id="3" name="Straight Connector 2">
          <a:extLst>
            <a:ext uri="{FF2B5EF4-FFF2-40B4-BE49-F238E27FC236}">
              <a16:creationId xmlns:a16="http://schemas.microsoft.com/office/drawing/2014/main" id="{26161FD3-A372-4552-A6DA-F351A5440194}"/>
            </a:ext>
          </a:extLst>
        </xdr:cNvPr>
        <xdr:cNvCxnSpPr/>
      </xdr:nvCxnSpPr>
      <xdr:spPr>
        <a:xfrm>
          <a:off x="55872529" y="0"/>
          <a:ext cx="0" cy="195724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95</xdr:col>
      <xdr:colOff>0</xdr:colOff>
      <xdr:row>0</xdr:row>
      <xdr:rowOff>0</xdr:rowOff>
    </xdr:from>
    <xdr:to>
      <xdr:col>95</xdr:col>
      <xdr:colOff>0</xdr:colOff>
      <xdr:row>128</xdr:row>
      <xdr:rowOff>0</xdr:rowOff>
    </xdr:to>
    <xdr:cxnSp macro="">
      <xdr:nvCxnSpPr>
        <xdr:cNvPr id="2" name="Straight Connector 1">
          <a:extLst>
            <a:ext uri="{FF2B5EF4-FFF2-40B4-BE49-F238E27FC236}">
              <a16:creationId xmlns:a16="http://schemas.microsoft.com/office/drawing/2014/main" id="{0189E5E6-2E60-4900-9BD2-003D2AAD62B4}"/>
            </a:ext>
          </a:extLst>
        </xdr:cNvPr>
        <xdr:cNvCxnSpPr/>
      </xdr:nvCxnSpPr>
      <xdr:spPr>
        <a:xfrm>
          <a:off x="60164382" y="0"/>
          <a:ext cx="0" cy="3799914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0</xdr:colOff>
      <xdr:row>0</xdr:row>
      <xdr:rowOff>0</xdr:rowOff>
    </xdr:from>
    <xdr:to>
      <xdr:col>72</xdr:col>
      <xdr:colOff>0</xdr:colOff>
      <xdr:row>128</xdr:row>
      <xdr:rowOff>0</xdr:rowOff>
    </xdr:to>
    <xdr:cxnSp macro="">
      <xdr:nvCxnSpPr>
        <xdr:cNvPr id="5" name="Straight Connector 4">
          <a:extLst>
            <a:ext uri="{FF2B5EF4-FFF2-40B4-BE49-F238E27FC236}">
              <a16:creationId xmlns:a16="http://schemas.microsoft.com/office/drawing/2014/main" id="{AD491479-2998-47BB-A960-1A96E0AB1640}"/>
            </a:ext>
          </a:extLst>
        </xdr:cNvPr>
        <xdr:cNvCxnSpPr/>
      </xdr:nvCxnSpPr>
      <xdr:spPr>
        <a:xfrm>
          <a:off x="46056176" y="0"/>
          <a:ext cx="0" cy="219411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95</xdr:col>
      <xdr:colOff>2</xdr:colOff>
      <xdr:row>0</xdr:row>
      <xdr:rowOff>0</xdr:rowOff>
    </xdr:from>
    <xdr:to>
      <xdr:col>95</xdr:col>
      <xdr:colOff>2</xdr:colOff>
      <xdr:row>223</xdr:row>
      <xdr:rowOff>11206</xdr:rowOff>
    </xdr:to>
    <xdr:cxnSp macro="">
      <xdr:nvCxnSpPr>
        <xdr:cNvPr id="3" name="Straight Connector 2">
          <a:extLst>
            <a:ext uri="{FF2B5EF4-FFF2-40B4-BE49-F238E27FC236}">
              <a16:creationId xmlns:a16="http://schemas.microsoft.com/office/drawing/2014/main" id="{E3FCCF7A-4FDE-4DC0-B962-64E7DE1ADCCC}"/>
            </a:ext>
          </a:extLst>
        </xdr:cNvPr>
        <xdr:cNvCxnSpPr/>
      </xdr:nvCxnSpPr>
      <xdr:spPr>
        <a:xfrm>
          <a:off x="60164384" y="0"/>
          <a:ext cx="0" cy="380103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1</xdr:colOff>
      <xdr:row>0</xdr:row>
      <xdr:rowOff>0</xdr:rowOff>
    </xdr:from>
    <xdr:to>
      <xdr:col>72</xdr:col>
      <xdr:colOff>1</xdr:colOff>
      <xdr:row>137</xdr:row>
      <xdr:rowOff>95250</xdr:rowOff>
    </xdr:to>
    <xdr:cxnSp macro="">
      <xdr:nvCxnSpPr>
        <xdr:cNvPr id="4" name="Straight Connector 3">
          <a:extLst>
            <a:ext uri="{FF2B5EF4-FFF2-40B4-BE49-F238E27FC236}">
              <a16:creationId xmlns:a16="http://schemas.microsoft.com/office/drawing/2014/main" id="{9C0E3078-74B9-4D91-A526-4F209124476A}"/>
            </a:ext>
          </a:extLst>
        </xdr:cNvPr>
        <xdr:cNvCxnSpPr/>
      </xdr:nvCxnSpPr>
      <xdr:spPr>
        <a:xfrm>
          <a:off x="46056177" y="0"/>
          <a:ext cx="0" cy="2363880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12533</xdr:colOff>
      <xdr:row>38</xdr:row>
      <xdr:rowOff>9524</xdr:rowOff>
    </xdr:from>
    <xdr:to>
      <xdr:col>18</xdr:col>
      <xdr:colOff>9525</xdr:colOff>
      <xdr:row>69</xdr:row>
      <xdr:rowOff>12310</xdr:rowOff>
    </xdr:to>
    <xdr:pic>
      <xdr:nvPicPr>
        <xdr:cNvPr id="27" name="Picture 26">
          <a:extLst>
            <a:ext uri="{FF2B5EF4-FFF2-40B4-BE49-F238E27FC236}">
              <a16:creationId xmlns:a16="http://schemas.microsoft.com/office/drawing/2014/main" id="{462CE214-2641-4696-AE64-4A13CFCEA67C}"/>
            </a:ext>
          </a:extLst>
        </xdr:cNvPr>
        <xdr:cNvPicPr>
          <a:picLocks noChangeAspect="1"/>
        </xdr:cNvPicPr>
      </xdr:nvPicPr>
      <xdr:blipFill>
        <a:blip xmlns:r="http://schemas.openxmlformats.org/officeDocument/2006/relationships" r:embed="rId1"/>
        <a:stretch>
          <a:fillRect/>
        </a:stretch>
      </xdr:blipFill>
      <xdr:spPr>
        <a:xfrm>
          <a:off x="222083" y="6915149"/>
          <a:ext cx="6569242" cy="5613011"/>
        </a:xfrm>
        <a:prstGeom prst="rect">
          <a:avLst/>
        </a:prstGeom>
      </xdr:spPr>
    </xdr:pic>
    <xdr:clientData/>
  </xdr:twoCellAnchor>
  <xdr:twoCellAnchor>
    <xdr:from>
      <xdr:col>8</xdr:col>
      <xdr:colOff>0</xdr:colOff>
      <xdr:row>228</xdr:row>
      <xdr:rowOff>1</xdr:rowOff>
    </xdr:from>
    <xdr:to>
      <xdr:col>23</xdr:col>
      <xdr:colOff>0</xdr:colOff>
      <xdr:row>261</xdr:row>
      <xdr:rowOff>0</xdr:rowOff>
    </xdr:to>
    <xdr:graphicFrame macro="">
      <xdr:nvGraphicFramePr>
        <xdr:cNvPr id="31" name="Chart 30">
          <a:extLst>
            <a:ext uri="{FF2B5EF4-FFF2-40B4-BE49-F238E27FC236}">
              <a16:creationId xmlns:a16="http://schemas.microsoft.com/office/drawing/2014/main" id="{6A4913C8-2FE3-48D2-8996-5AEF98FCB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150</xdr:row>
      <xdr:rowOff>0</xdr:rowOff>
    </xdr:from>
    <xdr:to>
      <xdr:col>23</xdr:col>
      <xdr:colOff>0</xdr:colOff>
      <xdr:row>184</xdr:row>
      <xdr:rowOff>0</xdr:rowOff>
    </xdr:to>
    <xdr:graphicFrame macro="">
      <xdr:nvGraphicFramePr>
        <xdr:cNvPr id="32" name="Chart 31">
          <a:extLst>
            <a:ext uri="{FF2B5EF4-FFF2-40B4-BE49-F238E27FC236}">
              <a16:creationId xmlns:a16="http://schemas.microsoft.com/office/drawing/2014/main" id="{2A1FDE25-7FDD-4CC6-A36C-EF4C0911A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74</xdr:row>
      <xdr:rowOff>1</xdr:rowOff>
    </xdr:from>
    <xdr:to>
      <xdr:col>23</xdr:col>
      <xdr:colOff>0</xdr:colOff>
      <xdr:row>107</xdr:row>
      <xdr:rowOff>1</xdr:rowOff>
    </xdr:to>
    <xdr:graphicFrame macro="">
      <xdr:nvGraphicFramePr>
        <xdr:cNvPr id="2" name="Chart 1">
          <a:extLst>
            <a:ext uri="{FF2B5EF4-FFF2-40B4-BE49-F238E27FC236}">
              <a16:creationId xmlns:a16="http://schemas.microsoft.com/office/drawing/2014/main" id="{1895BEC3-9417-4E08-A4B6-FB8810B69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189</xdr:row>
      <xdr:rowOff>1</xdr:rowOff>
    </xdr:from>
    <xdr:to>
      <xdr:col>23</xdr:col>
      <xdr:colOff>0</xdr:colOff>
      <xdr:row>223</xdr:row>
      <xdr:rowOff>1</xdr:rowOff>
    </xdr:to>
    <xdr:graphicFrame macro="">
      <xdr:nvGraphicFramePr>
        <xdr:cNvPr id="4" name="Chart 3">
          <a:extLst>
            <a:ext uri="{FF2B5EF4-FFF2-40B4-BE49-F238E27FC236}">
              <a16:creationId xmlns:a16="http://schemas.microsoft.com/office/drawing/2014/main" id="{352CA710-17F5-46E0-AC31-4133F3B5F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0</xdr:colOff>
      <xdr:row>17</xdr:row>
      <xdr:rowOff>0</xdr:rowOff>
    </xdr:from>
    <xdr:to>
      <xdr:col>41</xdr:col>
      <xdr:colOff>2421</xdr:colOff>
      <xdr:row>43</xdr:row>
      <xdr:rowOff>25024</xdr:rowOff>
    </xdr:to>
    <xdr:pic>
      <xdr:nvPicPr>
        <xdr:cNvPr id="10" name="Picture 9">
          <a:extLst>
            <a:ext uri="{FF2B5EF4-FFF2-40B4-BE49-F238E27FC236}">
              <a16:creationId xmlns:a16="http://schemas.microsoft.com/office/drawing/2014/main" id="{C4273BF9-D69C-4A37-84D6-1C715F45AC93}"/>
            </a:ext>
          </a:extLst>
        </xdr:cNvPr>
        <xdr:cNvPicPr>
          <a:picLocks noChangeAspect="1"/>
        </xdr:cNvPicPr>
      </xdr:nvPicPr>
      <xdr:blipFill>
        <a:blip xmlns:r="http://schemas.openxmlformats.org/officeDocument/2006/relationships" r:embed="rId6"/>
        <a:stretch>
          <a:fillRect/>
        </a:stretch>
      </xdr:blipFill>
      <xdr:spPr>
        <a:xfrm>
          <a:off x="16211550" y="27217688"/>
          <a:ext cx="7286625" cy="4489076"/>
        </a:xfrm>
        <a:prstGeom prst="rect">
          <a:avLst/>
        </a:prstGeom>
      </xdr:spPr>
    </xdr:pic>
    <xdr:clientData/>
  </xdr:twoCellAnchor>
  <xdr:twoCellAnchor editAs="oneCell">
    <xdr:from>
      <xdr:col>41</xdr:col>
      <xdr:colOff>11206</xdr:colOff>
      <xdr:row>74</xdr:row>
      <xdr:rowOff>11206</xdr:rowOff>
    </xdr:from>
    <xdr:to>
      <xdr:col>52</xdr:col>
      <xdr:colOff>24814</xdr:colOff>
      <xdr:row>99</xdr:row>
      <xdr:rowOff>153998</xdr:rowOff>
    </xdr:to>
    <xdr:pic>
      <xdr:nvPicPr>
        <xdr:cNvPr id="12" name="Picture 11">
          <a:extLst>
            <a:ext uri="{FF2B5EF4-FFF2-40B4-BE49-F238E27FC236}">
              <a16:creationId xmlns:a16="http://schemas.microsoft.com/office/drawing/2014/main" id="{12218E63-2D8C-4585-96BA-7125518F133A}"/>
            </a:ext>
          </a:extLst>
        </xdr:cNvPr>
        <xdr:cNvPicPr>
          <a:picLocks noChangeAspect="1"/>
        </xdr:cNvPicPr>
      </xdr:nvPicPr>
      <xdr:blipFill>
        <a:blip xmlns:r="http://schemas.openxmlformats.org/officeDocument/2006/relationships" r:embed="rId7"/>
        <a:stretch>
          <a:fillRect/>
        </a:stretch>
      </xdr:blipFill>
      <xdr:spPr>
        <a:xfrm>
          <a:off x="21952324" y="10264588"/>
          <a:ext cx="6793166" cy="4625146"/>
        </a:xfrm>
        <a:prstGeom prst="rect">
          <a:avLst/>
        </a:prstGeom>
      </xdr:spPr>
    </xdr:pic>
    <xdr:clientData/>
  </xdr:twoCellAnchor>
  <xdr:twoCellAnchor editAs="oneCell">
    <xdr:from>
      <xdr:col>30</xdr:col>
      <xdr:colOff>11206</xdr:colOff>
      <xdr:row>74</xdr:row>
      <xdr:rowOff>11206</xdr:rowOff>
    </xdr:from>
    <xdr:to>
      <xdr:col>41</xdr:col>
      <xdr:colOff>24814</xdr:colOff>
      <xdr:row>99</xdr:row>
      <xdr:rowOff>142792</xdr:rowOff>
    </xdr:to>
    <xdr:pic>
      <xdr:nvPicPr>
        <xdr:cNvPr id="14" name="Picture 13">
          <a:extLst>
            <a:ext uri="{FF2B5EF4-FFF2-40B4-BE49-F238E27FC236}">
              <a16:creationId xmlns:a16="http://schemas.microsoft.com/office/drawing/2014/main" id="{B4FEB44D-FA14-4503-A43F-2B621640158D}"/>
            </a:ext>
          </a:extLst>
        </xdr:cNvPr>
        <xdr:cNvPicPr>
          <a:picLocks noChangeAspect="1"/>
        </xdr:cNvPicPr>
      </xdr:nvPicPr>
      <xdr:blipFill>
        <a:blip xmlns:r="http://schemas.openxmlformats.org/officeDocument/2006/relationships" r:embed="rId8"/>
        <a:stretch>
          <a:fillRect/>
        </a:stretch>
      </xdr:blipFill>
      <xdr:spPr>
        <a:xfrm>
          <a:off x="15172765" y="10264588"/>
          <a:ext cx="6793167" cy="4613940"/>
        </a:xfrm>
        <a:prstGeom prst="rect">
          <a:avLst/>
        </a:prstGeom>
      </xdr:spPr>
    </xdr:pic>
    <xdr:clientData/>
  </xdr:twoCellAnchor>
  <xdr:twoCellAnchor editAs="oneCell">
    <xdr:from>
      <xdr:col>42</xdr:col>
      <xdr:colOff>2801</xdr:colOff>
      <xdr:row>112</xdr:row>
      <xdr:rowOff>20731</xdr:rowOff>
    </xdr:from>
    <xdr:to>
      <xdr:col>54</xdr:col>
      <xdr:colOff>4482</xdr:colOff>
      <xdr:row>140</xdr:row>
      <xdr:rowOff>17319</xdr:rowOff>
    </xdr:to>
    <xdr:pic>
      <xdr:nvPicPr>
        <xdr:cNvPr id="15" name="Picture 14">
          <a:extLst>
            <a:ext uri="{FF2B5EF4-FFF2-40B4-BE49-F238E27FC236}">
              <a16:creationId xmlns:a16="http://schemas.microsoft.com/office/drawing/2014/main" id="{386D51D4-D6B9-44CA-934B-90171A3454B2}"/>
            </a:ext>
          </a:extLst>
        </xdr:cNvPr>
        <xdr:cNvPicPr>
          <a:picLocks noChangeAspect="1"/>
        </xdr:cNvPicPr>
      </xdr:nvPicPr>
      <xdr:blipFill>
        <a:blip xmlns:r="http://schemas.openxmlformats.org/officeDocument/2006/relationships" r:embed="rId9"/>
        <a:stretch>
          <a:fillRect/>
        </a:stretch>
      </xdr:blipFill>
      <xdr:spPr>
        <a:xfrm>
          <a:off x="22560242" y="19418113"/>
          <a:ext cx="7386358" cy="5055534"/>
        </a:xfrm>
        <a:prstGeom prst="rect">
          <a:avLst/>
        </a:prstGeom>
      </xdr:spPr>
    </xdr:pic>
    <xdr:clientData/>
  </xdr:twoCellAnchor>
  <xdr:twoCellAnchor editAs="oneCell">
    <xdr:from>
      <xdr:col>29</xdr:col>
      <xdr:colOff>224117</xdr:colOff>
      <xdr:row>112</xdr:row>
      <xdr:rowOff>11205</xdr:rowOff>
    </xdr:from>
    <xdr:to>
      <xdr:col>42</xdr:col>
      <xdr:colOff>0</xdr:colOff>
      <xdr:row>140</xdr:row>
      <xdr:rowOff>17319</xdr:rowOff>
    </xdr:to>
    <xdr:pic>
      <xdr:nvPicPr>
        <xdr:cNvPr id="16" name="Picture 15">
          <a:extLst>
            <a:ext uri="{FF2B5EF4-FFF2-40B4-BE49-F238E27FC236}">
              <a16:creationId xmlns:a16="http://schemas.microsoft.com/office/drawing/2014/main" id="{49E633B7-F150-4E89-82EA-9DB9B8FE066D}"/>
            </a:ext>
          </a:extLst>
        </xdr:cNvPr>
        <xdr:cNvPicPr>
          <a:picLocks noChangeAspect="1"/>
        </xdr:cNvPicPr>
      </xdr:nvPicPr>
      <xdr:blipFill>
        <a:blip xmlns:r="http://schemas.openxmlformats.org/officeDocument/2006/relationships" r:embed="rId10"/>
        <a:stretch>
          <a:fillRect/>
        </a:stretch>
      </xdr:blipFill>
      <xdr:spPr>
        <a:xfrm>
          <a:off x="15161558" y="19408587"/>
          <a:ext cx="7395883" cy="5065060"/>
        </a:xfrm>
        <a:prstGeom prst="rect">
          <a:avLst/>
        </a:prstGeom>
      </xdr:spPr>
    </xdr:pic>
    <xdr:clientData/>
  </xdr:twoCellAnchor>
  <xdr:twoCellAnchor editAs="oneCell">
    <xdr:from>
      <xdr:col>8</xdr:col>
      <xdr:colOff>11206</xdr:colOff>
      <xdr:row>2</xdr:row>
      <xdr:rowOff>11207</xdr:rowOff>
    </xdr:from>
    <xdr:to>
      <xdr:col>18</xdr:col>
      <xdr:colOff>11206</xdr:colOff>
      <xdr:row>32</xdr:row>
      <xdr:rowOff>168089</xdr:rowOff>
    </xdr:to>
    <xdr:pic>
      <xdr:nvPicPr>
        <xdr:cNvPr id="3" name="Picture 2">
          <a:extLst>
            <a:ext uri="{FF2B5EF4-FFF2-40B4-BE49-F238E27FC236}">
              <a16:creationId xmlns:a16="http://schemas.microsoft.com/office/drawing/2014/main" id="{4EB2BF44-07B5-30D7-9091-E40709DB92A1}"/>
            </a:ext>
          </a:extLst>
        </xdr:cNvPr>
        <xdr:cNvPicPr>
          <a:picLocks noChangeAspect="1"/>
        </xdr:cNvPicPr>
      </xdr:nvPicPr>
      <xdr:blipFill>
        <a:blip xmlns:r="http://schemas.openxmlformats.org/officeDocument/2006/relationships" r:embed="rId11"/>
        <a:stretch>
          <a:fillRect/>
        </a:stretch>
      </xdr:blipFill>
      <xdr:spPr>
        <a:xfrm>
          <a:off x="224118" y="381001"/>
          <a:ext cx="6611470" cy="5546912"/>
        </a:xfrm>
        <a:prstGeom prst="rect">
          <a:avLst/>
        </a:prstGeom>
      </xdr:spPr>
    </xdr:pic>
    <xdr:clientData/>
  </xdr:twoCellAnchor>
  <xdr:twoCellAnchor editAs="oneCell">
    <xdr:from>
      <xdr:col>18</xdr:col>
      <xdr:colOff>0</xdr:colOff>
      <xdr:row>2</xdr:row>
      <xdr:rowOff>11206</xdr:rowOff>
    </xdr:from>
    <xdr:to>
      <xdr:col>29</xdr:col>
      <xdr:colOff>0</xdr:colOff>
      <xdr:row>32</xdr:row>
      <xdr:rowOff>168088</xdr:rowOff>
    </xdr:to>
    <xdr:pic>
      <xdr:nvPicPr>
        <xdr:cNvPr id="5" name="Picture 4">
          <a:extLst>
            <a:ext uri="{FF2B5EF4-FFF2-40B4-BE49-F238E27FC236}">
              <a16:creationId xmlns:a16="http://schemas.microsoft.com/office/drawing/2014/main" id="{900BDE56-96AF-231F-B0B6-4C7FAE96C117}"/>
            </a:ext>
          </a:extLst>
        </xdr:cNvPr>
        <xdr:cNvPicPr>
          <a:picLocks noChangeAspect="1"/>
        </xdr:cNvPicPr>
      </xdr:nvPicPr>
      <xdr:blipFill>
        <a:blip xmlns:r="http://schemas.openxmlformats.org/officeDocument/2006/relationships" r:embed="rId12"/>
        <a:stretch>
          <a:fillRect/>
        </a:stretch>
      </xdr:blipFill>
      <xdr:spPr>
        <a:xfrm>
          <a:off x="6824382" y="381000"/>
          <a:ext cx="6902824" cy="5546912"/>
        </a:xfrm>
        <a:prstGeom prst="rect">
          <a:avLst/>
        </a:prstGeom>
      </xdr:spPr>
    </xdr:pic>
    <xdr:clientData/>
  </xdr:twoCellAnchor>
  <xdr:twoCellAnchor>
    <xdr:from>
      <xdr:col>8</xdr:col>
      <xdr:colOff>0</xdr:colOff>
      <xdr:row>112</xdr:row>
      <xdr:rowOff>1</xdr:rowOff>
    </xdr:from>
    <xdr:to>
      <xdr:col>23</xdr:col>
      <xdr:colOff>0</xdr:colOff>
      <xdr:row>145</xdr:row>
      <xdr:rowOff>1</xdr:rowOff>
    </xdr:to>
    <xdr:graphicFrame macro="">
      <xdr:nvGraphicFramePr>
        <xdr:cNvPr id="6" name="Chart 5">
          <a:extLst>
            <a:ext uri="{FF2B5EF4-FFF2-40B4-BE49-F238E27FC236}">
              <a16:creationId xmlns:a16="http://schemas.microsoft.com/office/drawing/2014/main" id="{D4034170-01F9-4A85-BA85-6854A5C3D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12</xdr:col>
      <xdr:colOff>4321</xdr:colOff>
      <xdr:row>30</xdr:row>
      <xdr:rowOff>171450</xdr:rowOff>
    </xdr:to>
    <xdr:pic>
      <xdr:nvPicPr>
        <xdr:cNvPr id="2" name="Picture 1">
          <a:extLst>
            <a:ext uri="{FF2B5EF4-FFF2-40B4-BE49-F238E27FC236}">
              <a16:creationId xmlns:a16="http://schemas.microsoft.com/office/drawing/2014/main" id="{2E7A2C7B-ACC8-462C-B39F-F13EA9670D94}"/>
            </a:ext>
          </a:extLst>
        </xdr:cNvPr>
        <xdr:cNvPicPr>
          <a:picLocks noChangeAspect="1"/>
        </xdr:cNvPicPr>
      </xdr:nvPicPr>
      <xdr:blipFill>
        <a:blip xmlns:r="http://schemas.openxmlformats.org/officeDocument/2006/relationships" r:embed="rId1"/>
        <a:stretch>
          <a:fillRect/>
        </a:stretch>
      </xdr:blipFill>
      <xdr:spPr>
        <a:xfrm>
          <a:off x="228600" y="190500"/>
          <a:ext cx="6700396" cy="5410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28</xdr:col>
      <xdr:colOff>1</xdr:colOff>
      <xdr:row>1</xdr:row>
      <xdr:rowOff>0</xdr:rowOff>
    </xdr:from>
    <xdr:to>
      <xdr:col>39</xdr:col>
      <xdr:colOff>11207</xdr:colOff>
      <xdr:row>24</xdr:row>
      <xdr:rowOff>11205</xdr:rowOff>
    </xdr:to>
    <xdr:pic>
      <xdr:nvPicPr>
        <xdr:cNvPr id="4" name="Picture 3" descr="Boston Scientific 111303-001 - System Catheter Thrombectomy Angiojet Solent  Dista 4/3fr 145cm Peripheral Arterial OTW Mechanical Rheolytic Power Pulse  Enabled F/1.5mm Vessel 0.014in GW, 1/Each - CIA Medical">
          <a:extLst>
            <a:ext uri="{FF2B5EF4-FFF2-40B4-BE49-F238E27FC236}">
              <a16:creationId xmlns:a16="http://schemas.microsoft.com/office/drawing/2014/main" id="{86F21321-40F5-8280-F2DE-FE10AF66C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62295" y="179294"/>
          <a:ext cx="6667500" cy="4157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11207</xdr:colOff>
      <xdr:row>17</xdr:row>
      <xdr:rowOff>16809</xdr:rowOff>
    </xdr:from>
    <xdr:to>
      <xdr:col>5</xdr:col>
      <xdr:colOff>1123</xdr:colOff>
      <xdr:row>31</xdr:row>
      <xdr:rowOff>5605</xdr:rowOff>
    </xdr:to>
    <xdr:pic>
      <xdr:nvPicPr>
        <xdr:cNvPr id="2" name="dimg_7s6BaIPgAt-HwbkPlY6LgQg_21" descr="WATCHMAN FLX™ - Boston Scientific">
          <a:extLst>
            <a:ext uri="{FF2B5EF4-FFF2-40B4-BE49-F238E27FC236}">
              <a16:creationId xmlns:a16="http://schemas.microsoft.com/office/drawing/2014/main" id="{E15E4FDC-7E85-480A-7ACF-298A7AC69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913" y="2000250"/>
          <a:ext cx="2410386" cy="25101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acob H" id="{10052DE7-FF44-498E-BC5D-8197C5D2830D}" userId="6fdd6cd1f6a5d55a"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R72" dT="2025-05-05T07:35:31.38" personId="{10052DE7-FF44-498E-BC5D-8197C5D2830D}" id="{3010A304-84D8-4CF0-AFE4-17DE2E811994}">
    <text>Low: 2.87 High: 2.98 Avg: 2.92</text>
  </threadedComment>
  <threadedComment ref="CS72" dT="2025-05-05T07:36:17.60" personId="{10052DE7-FF44-498E-BC5D-8197C5D2830D}" id="{26705ED4-1BD5-4378-84FB-91B5C5FA2559}">
    <text>Low: 3.17 High: 3.51 Avg: 3.29</text>
  </threadedComment>
</ThreadedComments>
</file>

<file path=xl/threadedComments/threadedComment2.xml><?xml version="1.0" encoding="utf-8"?>
<ThreadedComments xmlns="http://schemas.microsoft.com/office/spreadsheetml/2018/threadedcomments" xmlns:x="http://schemas.openxmlformats.org/spreadsheetml/2006/main">
  <threadedComment ref="CR72" dT="2025-05-05T07:35:31.38" personId="{10052DE7-FF44-498E-BC5D-8197C5D2830D}" id="{D82A81C7-7C96-45D7-A732-F77DF82D90BC}">
    <text>Low: 2.87 High: 2.98 Avg: 2.92</text>
  </threadedComment>
  <threadedComment ref="CS72" dT="2025-05-05T07:36:17.60" personId="{10052DE7-FF44-498E-BC5D-8197C5D2830D}" id="{92CFB18D-6D8F-426D-80AA-F258463914EF}">
    <text>Low: 3.17 High: 3.51 Avg: 3.29</text>
  </threadedComment>
  <threadedComment ref="CQ173" dT="2025-05-11T05:59:26.41" personId="{10052DE7-FF44-498E-BC5D-8197C5D2830D}" id="{4755D540-E304-49C4-8407-98BFEC5A52E4}">
    <text>FYE: $151M</text>
  </threadedComment>
  <threadedComment ref="CR173" dT="2025-05-11T05:59:41.30" personId="{10052DE7-FF44-498E-BC5D-8197C5D2830D}" id="{01A76956-5F29-487C-A8F4-41CC9E5E6750}">
    <text>FYE: $194M</text>
  </threadedComment>
  <threadedComment ref="CQ175" dT="2025-04-20T23:34:23.68" personId="{10052DE7-FF44-498E-BC5D-8197C5D2830D}" id="{4C68A02E-D9FA-49F5-BEA0-A60BC004464C}">
    <text>Low: 3.37 High: 3.88 Avg: 3.66 (3/30/25)
Excluded one-time write-down of immersive (non-operating)</text>
  </threadedComment>
  <threadedComment ref="CR175" dT="2025-04-16T09:17:41.02" personId="{10052DE7-FF44-498E-BC5D-8197C5D2830D}" id="{9913FB0A-58B5-469D-A001-AAE93E85DF03}">
    <text>Low: 4.29 High: 5.60 Avg: 4.94 (3/30/25)</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pp.godelterminal.com/" TargetMode="External"/><Relationship Id="rId3" Type="http://schemas.openxmlformats.org/officeDocument/2006/relationships/hyperlink" Target="https://www.bostonscientific.com/en-US/home.html" TargetMode="External"/><Relationship Id="rId7" Type="http://schemas.openxmlformats.org/officeDocument/2006/relationships/hyperlink" Target="https://ppubs.uspto.gov/pubwebapp/static/pages/ppubsbasic.html" TargetMode="External"/><Relationship Id="rId12" Type="http://schemas.openxmlformats.org/officeDocument/2006/relationships/drawing" Target="../drawings/drawing1.xml"/><Relationship Id="rId2" Type="http://schemas.openxmlformats.org/officeDocument/2006/relationships/hyperlink" Target="https://www.sec.gov/edgar/browse/?CIK=885725&amp;owner=exclude" TargetMode="External"/><Relationship Id="rId1" Type="http://schemas.openxmlformats.org/officeDocument/2006/relationships/hyperlink" Target="000%20Med-Devices%20Master%20List%20000.xlsx" TargetMode="External"/><Relationship Id="rId6" Type="http://schemas.openxmlformats.org/officeDocument/2006/relationships/hyperlink" Target="https://www.fda.gov/medical-devices" TargetMode="External"/><Relationship Id="rId11" Type="http://schemas.openxmlformats.org/officeDocument/2006/relationships/hyperlink" Target="https://www.gurufocus.com/term/wacc/BSX" TargetMode="External"/><Relationship Id="rId5" Type="http://schemas.openxmlformats.org/officeDocument/2006/relationships/hyperlink" Target="https://seekingalpha.com/symbol/BSX/earnings/transcripts" TargetMode="External"/><Relationship Id="rId10" Type="http://schemas.openxmlformats.org/officeDocument/2006/relationships/hyperlink" Target="mailto:BSXInvestorRelations@bsci.com" TargetMode="External"/><Relationship Id="rId4" Type="http://schemas.openxmlformats.org/officeDocument/2006/relationships/hyperlink" Target="https://investors.bostonscientific.com/" TargetMode="External"/><Relationship Id="rId9" Type="http://schemas.openxmlformats.org/officeDocument/2006/relationships/hyperlink" Target="https://www.bostonscientific.com/content/dam/bostonscientific/corporate/patent-marking-spreadsheet-6feb-2025.pdf"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bostonscientific.com/en-US/about-us/leadership.html" TargetMode="External"/><Relationship Id="rId2" Type="http://schemas.openxmlformats.org/officeDocument/2006/relationships/hyperlink" Target="https://www.comparably.com/companies/boston-scientific/executive-team" TargetMode="External"/><Relationship Id="rId1" Type="http://schemas.openxmlformats.org/officeDocument/2006/relationships/hyperlink" Target="https://www.morningstar.com/stocks/xnys/bsx/executive" TargetMode="External"/><Relationship Id="rId4"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massdevice.com/boston-scientific-farapulse-watchman-drive-2025-grow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1"/>
  <sheetViews>
    <sheetView tabSelected="1" zoomScale="85" zoomScaleNormal="85" workbookViewId="0">
      <selection activeCell="C3" sqref="C3"/>
    </sheetView>
  </sheetViews>
  <sheetFormatPr defaultColWidth="9.140625" defaultRowHeight="14.25"/>
  <cols>
    <col min="1" max="1" width="2.85546875" style="1" customWidth="1"/>
    <col min="2" max="2" width="9.140625" style="1"/>
    <col min="3" max="3" width="9.28515625" style="1" customWidth="1"/>
    <col min="4" max="4" width="10.85546875" style="1" customWidth="1"/>
    <col min="5" max="16384" width="9.140625" style="1"/>
  </cols>
  <sheetData>
    <row r="1" spans="1:42">
      <c r="A1" s="41" t="s">
        <v>24</v>
      </c>
      <c r="AP1" s="1">
        <v>1</v>
      </c>
    </row>
    <row r="2" spans="1:42" ht="15">
      <c r="B2" s="3" t="s">
        <v>6</v>
      </c>
    </row>
    <row r="3" spans="1:42">
      <c r="B3" s="1" t="s">
        <v>0</v>
      </c>
      <c r="C3" s="80">
        <v>43.79</v>
      </c>
      <c r="D3" s="77">
        <v>46236</v>
      </c>
    </row>
    <row r="4" spans="1:42">
      <c r="B4" s="1" t="s">
        <v>25</v>
      </c>
      <c r="C4" s="81">
        <v>1470.2</v>
      </c>
      <c r="D4" s="1" t="s">
        <v>2462</v>
      </c>
    </row>
    <row r="5" spans="1:42">
      <c r="B5" s="1" t="s">
        <v>2</v>
      </c>
      <c r="C5" s="82">
        <f>C3*C4</f>
        <v>64380.057999999997</v>
      </c>
    </row>
    <row r="6" spans="1:42">
      <c r="B6" s="1" t="s">
        <v>3</v>
      </c>
      <c r="C6" s="82">
        <v>1453</v>
      </c>
      <c r="D6" s="1" t="s">
        <v>2462</v>
      </c>
    </row>
    <row r="7" spans="1:42">
      <c r="B7" s="1" t="s">
        <v>4</v>
      </c>
      <c r="C7" s="82">
        <v>10988</v>
      </c>
      <c r="D7" s="1" t="s">
        <v>2462</v>
      </c>
    </row>
    <row r="8" spans="1:42">
      <c r="B8" s="1" t="s">
        <v>5</v>
      </c>
      <c r="C8" s="82">
        <f>C5-C6+C7</f>
        <v>73915.05799999999</v>
      </c>
      <c r="O8" s="1" t="s">
        <v>2269</v>
      </c>
    </row>
    <row r="9" spans="1:42">
      <c r="O9" s="1" t="s">
        <v>28</v>
      </c>
      <c r="R9" s="41" t="s">
        <v>159</v>
      </c>
    </row>
    <row r="10" spans="1:42" ht="15">
      <c r="B10" s="3" t="s">
        <v>26</v>
      </c>
      <c r="O10" s="1" t="s">
        <v>2274</v>
      </c>
      <c r="R10" s="41" t="s">
        <v>2276</v>
      </c>
    </row>
    <row r="11" spans="1:42">
      <c r="P11" s="1" t="s">
        <v>2286</v>
      </c>
      <c r="S11" s="41" t="s">
        <v>2277</v>
      </c>
    </row>
    <row r="12" spans="1:42">
      <c r="B12" s="1" t="s">
        <v>2306</v>
      </c>
      <c r="G12" s="1" t="s">
        <v>27</v>
      </c>
      <c r="O12" s="1" t="s">
        <v>2270</v>
      </c>
      <c r="R12" s="41" t="s">
        <v>2278</v>
      </c>
    </row>
    <row r="13" spans="1:42">
      <c r="B13" s="1" t="s">
        <v>30</v>
      </c>
      <c r="G13" s="1" t="s">
        <v>2341</v>
      </c>
      <c r="O13" s="1" t="s">
        <v>160</v>
      </c>
      <c r="R13" s="41" t="s">
        <v>2279</v>
      </c>
    </row>
    <row r="14" spans="1:42">
      <c r="B14" s="1" t="s">
        <v>29</v>
      </c>
      <c r="G14" s="1" t="s">
        <v>2300</v>
      </c>
      <c r="O14" s="1" t="s">
        <v>2275</v>
      </c>
      <c r="R14" s="41" t="s">
        <v>2280</v>
      </c>
    </row>
    <row r="15" spans="1:42">
      <c r="B15" s="1" t="s">
        <v>2401</v>
      </c>
      <c r="G15" s="1" t="s">
        <v>2301</v>
      </c>
      <c r="O15" s="1" t="s">
        <v>2271</v>
      </c>
      <c r="R15" s="41" t="s">
        <v>2281</v>
      </c>
    </row>
    <row r="16" spans="1:42" ht="15">
      <c r="B16" s="1" t="s">
        <v>2342</v>
      </c>
      <c r="G16" s="1" t="s">
        <v>2302</v>
      </c>
      <c r="J16" s="1" t="s">
        <v>2303</v>
      </c>
      <c r="K16" s="41" t="s">
        <v>2304</v>
      </c>
      <c r="O16" s="40"/>
      <c r="P16" s="1" t="s">
        <v>2285</v>
      </c>
      <c r="Q16" s="2"/>
      <c r="S16" s="41" t="s">
        <v>2282</v>
      </c>
    </row>
    <row r="17" spans="1:18">
      <c r="B17" s="1" t="s">
        <v>2298</v>
      </c>
      <c r="O17" s="1" t="s">
        <v>2272</v>
      </c>
      <c r="R17" s="41" t="s">
        <v>2283</v>
      </c>
    </row>
    <row r="18" spans="1:18">
      <c r="B18" s="1" t="s">
        <v>2299</v>
      </c>
      <c r="O18" s="1" t="s">
        <v>2273</v>
      </c>
      <c r="R18" s="41" t="s">
        <v>2284</v>
      </c>
    </row>
    <row r="19" spans="1:18">
      <c r="B19" s="1" t="s">
        <v>2297</v>
      </c>
      <c r="O19" s="1" t="s">
        <v>2293</v>
      </c>
      <c r="R19" s="41" t="s">
        <v>2295</v>
      </c>
    </row>
    <row r="20" spans="1:18">
      <c r="B20" s="1" t="s">
        <v>2415</v>
      </c>
      <c r="O20" s="1" t="s">
        <v>2294</v>
      </c>
      <c r="R20" s="41" t="s">
        <v>2296</v>
      </c>
    </row>
    <row r="22" spans="1:18" ht="15">
      <c r="A22" s="3" t="s">
        <v>2305</v>
      </c>
    </row>
    <row r="23" spans="1:18" ht="15">
      <c r="B23" s="1" t="s">
        <v>2225</v>
      </c>
    </row>
    <row r="24" spans="1:18">
      <c r="C24" s="1" t="s">
        <v>37</v>
      </c>
    </row>
    <row r="25" spans="1:18" ht="15">
      <c r="D25" s="3" t="s">
        <v>32</v>
      </c>
      <c r="F25" s="1" t="s">
        <v>31</v>
      </c>
    </row>
    <row r="26" spans="1:18" ht="15">
      <c r="D26" s="3" t="s">
        <v>33</v>
      </c>
      <c r="F26" s="1" t="s">
        <v>35</v>
      </c>
    </row>
    <row r="27" spans="1:18" ht="15">
      <c r="D27" s="3" t="s">
        <v>34</v>
      </c>
      <c r="F27" s="1" t="s">
        <v>36</v>
      </c>
    </row>
    <row r="28" spans="1:18">
      <c r="B28" s="1" t="s">
        <v>38</v>
      </c>
    </row>
    <row r="29" spans="1:18">
      <c r="C29" s="1" t="s">
        <v>39</v>
      </c>
    </row>
    <row r="30" spans="1:18">
      <c r="B30" s="1" t="s">
        <v>2311</v>
      </c>
    </row>
    <row r="31" spans="1:18">
      <c r="C31" s="1" t="s">
        <v>40</v>
      </c>
    </row>
    <row r="32" spans="1:18">
      <c r="C32" s="1" t="s">
        <v>41</v>
      </c>
    </row>
    <row r="33" spans="2:4">
      <c r="B33" s="1" t="s">
        <v>42</v>
      </c>
    </row>
    <row r="34" spans="2:4">
      <c r="C34" s="1" t="s">
        <v>43</v>
      </c>
    </row>
    <row r="35" spans="2:4">
      <c r="B35" s="1" t="s">
        <v>2292</v>
      </c>
    </row>
    <row r="37" spans="2:4" ht="15">
      <c r="D37" s="3"/>
    </row>
    <row r="38" spans="2:4" ht="14.25" customHeight="1">
      <c r="D38" s="3"/>
    </row>
    <row r="39" spans="2:4" ht="14.25" customHeight="1">
      <c r="D39" s="3"/>
    </row>
    <row r="40" spans="2:4" ht="14.25" customHeight="1">
      <c r="D40" s="3"/>
    </row>
    <row r="41" spans="2:4" ht="14.25" customHeight="1">
      <c r="D41" s="3"/>
    </row>
    <row r="42" spans="2:4" ht="14.25" customHeight="1">
      <c r="D42" s="3"/>
    </row>
    <row r="43" spans="2:4" ht="14.25" customHeight="1">
      <c r="D43" s="3"/>
    </row>
    <row r="44" spans="2:4" ht="14.25" customHeight="1">
      <c r="D44" s="3"/>
    </row>
    <row r="45" spans="2:4" ht="14.25" customHeight="1">
      <c r="D45" s="3"/>
    </row>
    <row r="46" spans="2:4" ht="14.25" customHeight="1">
      <c r="D46" s="3"/>
    </row>
    <row r="47" spans="2:4" ht="14.25" customHeight="1">
      <c r="D47" s="3"/>
    </row>
    <row r="48" spans="2:4" ht="14.25" customHeight="1">
      <c r="D48" s="3"/>
    </row>
    <row r="49" spans="4:8" ht="14.25" customHeight="1">
      <c r="D49" s="3"/>
    </row>
    <row r="50" spans="4:8" ht="14.25" customHeight="1">
      <c r="D50" s="3"/>
    </row>
    <row r="51" spans="4:8" ht="14.25" customHeight="1">
      <c r="D51" s="3"/>
    </row>
    <row r="52" spans="4:8" ht="14.25" customHeight="1">
      <c r="D52" s="3"/>
    </row>
    <row r="53" spans="4:8" ht="15">
      <c r="D53" s="3"/>
    </row>
    <row r="54" spans="4:8" ht="15">
      <c r="D54" s="3"/>
    </row>
    <row r="55" spans="4:8" ht="15">
      <c r="D55" s="3"/>
    </row>
    <row r="56" spans="4:8" ht="15">
      <c r="D56" s="3"/>
    </row>
    <row r="57" spans="4:8" ht="15">
      <c r="D57" s="3"/>
    </row>
    <row r="58" spans="4:8" ht="15">
      <c r="D58" s="3"/>
    </row>
    <row r="59" spans="4:8" ht="15">
      <c r="D59" s="3"/>
      <c r="H59" s="3"/>
    </row>
    <row r="60" spans="4:8" ht="15">
      <c r="D60" s="3"/>
    </row>
    <row r="61" spans="4:8" ht="15">
      <c r="D61" s="3"/>
    </row>
    <row r="62" spans="4:8" ht="15">
      <c r="D62" s="3"/>
    </row>
    <row r="63" spans="4:8" ht="15">
      <c r="D63" s="3"/>
    </row>
    <row r="64" spans="4:8" ht="15">
      <c r="D64" s="3"/>
    </row>
    <row r="65" spans="4:4" ht="15">
      <c r="D65" s="3"/>
    </row>
    <row r="66" spans="4:4" ht="15">
      <c r="D66" s="3"/>
    </row>
    <row r="67" spans="4:4" ht="15">
      <c r="D67" s="3"/>
    </row>
    <row r="68" spans="4:4" ht="15">
      <c r="D68" s="3"/>
    </row>
    <row r="69" spans="4:4" ht="15">
      <c r="D69" s="3"/>
    </row>
    <row r="70" spans="4:4" ht="15">
      <c r="D70" s="3"/>
    </row>
    <row r="71" spans="4:4" ht="15">
      <c r="D71" s="3"/>
    </row>
    <row r="72" spans="4:4" ht="15">
      <c r="D72" s="3"/>
    </row>
    <row r="73" spans="4:4" ht="15">
      <c r="D73" s="3"/>
    </row>
    <row r="74" spans="4:4" ht="15">
      <c r="D74" s="3"/>
    </row>
    <row r="75" spans="4:4" ht="15">
      <c r="D75" s="3"/>
    </row>
    <row r="76" spans="4:4" ht="15">
      <c r="D76" s="3"/>
    </row>
    <row r="87" spans="1:7" ht="15">
      <c r="G87" s="3"/>
    </row>
    <row r="96" spans="1:7" ht="15">
      <c r="A96" s="3" t="s">
        <v>78</v>
      </c>
    </row>
    <row r="98" spans="2:4">
      <c r="B98" s="1" t="s">
        <v>79</v>
      </c>
    </row>
    <row r="99" spans="2:4" ht="15">
      <c r="C99" s="3" t="s">
        <v>2287</v>
      </c>
    </row>
    <row r="101" spans="2:4" ht="15">
      <c r="B101" s="6" t="s">
        <v>80</v>
      </c>
      <c r="D101" s="3"/>
    </row>
  </sheetData>
  <hyperlinks>
    <hyperlink ref="A1" r:id="rId1" xr:uid="{8C860948-C6BE-4410-993F-D2B52D1CE524}"/>
    <hyperlink ref="R9" r:id="rId2" xr:uid="{CC2AD62B-2CB6-483A-A8DA-C3508130A55B}"/>
    <hyperlink ref="R10" r:id="rId3" xr:uid="{DA7C058A-A7D0-44E0-9C69-8CF96CFCF069}"/>
    <hyperlink ref="S11" r:id="rId4" xr:uid="{EED43706-A4DD-4817-9A59-E2B101C9E412}"/>
    <hyperlink ref="R12" r:id="rId5" xr:uid="{52D138B6-2643-4F3E-A3F1-4EBD30E7B87F}"/>
    <hyperlink ref="R14" r:id="rId6" xr:uid="{E2FA8700-0F2A-4325-A033-63A18395633A}"/>
    <hyperlink ref="R15" r:id="rId7" display="https://ppubs.uspto.gov/pubwebapp/static/pages/ppubsbasic.html" xr:uid="{5D924670-4521-4D66-A033-20024E3EB160}"/>
    <hyperlink ref="R13" r:id="rId8" xr:uid="{65FE3CDE-EEBC-4412-B90C-0853A214A35C}"/>
    <hyperlink ref="S16" r:id="rId9" xr:uid="{6D38E20D-CE44-439F-A2C2-40438A2DDD44}"/>
    <hyperlink ref="K16" r:id="rId10" xr:uid="{B252F228-44A7-4D81-B0EA-887B29E1A170}"/>
    <hyperlink ref="R20" r:id="rId11" xr:uid="{2E7F29A6-9277-42E1-A11E-339D3C4F6466}"/>
  </hyperlink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BBBF-231F-4413-9D35-B81B3144EF2A}">
  <dimension ref="B1:EP223"/>
  <sheetViews>
    <sheetView zoomScale="85" zoomScaleNormal="85" workbookViewId="0">
      <pane xSplit="2" ySplit="3" topLeftCell="AU24" activePane="bottomRight" state="frozen"/>
      <selection pane="topRight" activeCell="C1" sqref="C1"/>
      <selection pane="bottomLeft" activeCell="A3" sqref="A3"/>
      <selection pane="bottomRight" activeCell="BT160" sqref="BT160:BU215"/>
    </sheetView>
  </sheetViews>
  <sheetFormatPr defaultColWidth="9.140625" defaultRowHeight="14.25"/>
  <cols>
    <col min="1" max="1" width="3" style="1" customWidth="1"/>
    <col min="2" max="2" width="39.42578125" style="1" bestFit="1" customWidth="1"/>
    <col min="3" max="15" width="9.28515625" style="1" bestFit="1" customWidth="1"/>
    <col min="16" max="16" width="9.85546875" style="1" bestFit="1" customWidth="1"/>
    <col min="17" max="24" width="9.28515625" style="1" bestFit="1" customWidth="1"/>
    <col min="25" max="25" width="9.28515625" style="1" customWidth="1"/>
    <col min="26" max="45" width="9.28515625" style="1" bestFit="1" customWidth="1"/>
    <col min="46" max="46" width="9.28515625" style="1" customWidth="1"/>
    <col min="47" max="47" width="9.28515625" style="1" bestFit="1" customWidth="1"/>
    <col min="48" max="48" width="10" style="1" bestFit="1" customWidth="1"/>
    <col min="49" max="66" width="9.28515625" style="1" bestFit="1" customWidth="1"/>
    <col min="67" max="68" width="9.28515625" style="4" customWidth="1"/>
    <col min="69" max="70" width="9.28515625" style="1" customWidth="1"/>
    <col min="71" max="72" width="9.140625" style="1"/>
    <col min="73" max="74" width="9.140625" style="57"/>
    <col min="75" max="78" width="9.140625" style="1"/>
    <col min="79" max="94" width="9.28515625" style="1" bestFit="1" customWidth="1"/>
    <col min="95" max="95" width="9.28515625" style="1" customWidth="1"/>
    <col min="96" max="99" width="9.28515625" style="57" customWidth="1"/>
    <col min="100" max="100" width="9.140625" style="57" customWidth="1"/>
    <col min="101" max="105" width="9.28515625" style="57" customWidth="1"/>
    <col min="106" max="146" width="9.28515625" style="57" bestFit="1" customWidth="1"/>
    <col min="147" max="16384" width="9.140625" style="1"/>
  </cols>
  <sheetData>
    <row r="1" spans="2:146" ht="15">
      <c r="AU1" s="5" t="s">
        <v>12</v>
      </c>
      <c r="AY1" s="5" t="s">
        <v>11</v>
      </c>
      <c r="BC1" s="5" t="s">
        <v>10</v>
      </c>
      <c r="BG1" s="5" t="s">
        <v>9</v>
      </c>
      <c r="BK1" s="5" t="s">
        <v>8</v>
      </c>
      <c r="BO1" s="5" t="s">
        <v>162</v>
      </c>
      <c r="BP1" s="5"/>
      <c r="BS1" s="3" t="s">
        <v>163</v>
      </c>
    </row>
    <row r="2" spans="2:146">
      <c r="B2" s="1" t="s">
        <v>23</v>
      </c>
      <c r="C2" s="1" t="s">
        <v>154</v>
      </c>
      <c r="D2" s="1" t="s">
        <v>155</v>
      </c>
      <c r="E2" s="1" t="s">
        <v>156</v>
      </c>
      <c r="F2" s="1" t="s">
        <v>157</v>
      </c>
      <c r="G2" s="1" t="s">
        <v>154</v>
      </c>
      <c r="H2" s="1" t="s">
        <v>155</v>
      </c>
      <c r="I2" s="1" t="s">
        <v>156</v>
      </c>
      <c r="J2" s="1" t="s">
        <v>157</v>
      </c>
      <c r="K2" s="1" t="s">
        <v>154</v>
      </c>
      <c r="L2" s="1" t="s">
        <v>155</v>
      </c>
      <c r="M2" s="1" t="s">
        <v>156</v>
      </c>
      <c r="N2" s="1" t="s">
        <v>157</v>
      </c>
      <c r="O2" s="1" t="s">
        <v>154</v>
      </c>
      <c r="P2" s="1" t="s">
        <v>155</v>
      </c>
      <c r="Q2" s="1" t="s">
        <v>156</v>
      </c>
      <c r="R2" s="1" t="s">
        <v>157</v>
      </c>
      <c r="S2" s="1" t="s">
        <v>154</v>
      </c>
      <c r="T2" s="1" t="s">
        <v>155</v>
      </c>
      <c r="U2" s="1" t="s">
        <v>156</v>
      </c>
      <c r="V2" s="1" t="s">
        <v>157</v>
      </c>
      <c r="W2" s="1" t="s">
        <v>154</v>
      </c>
      <c r="X2" s="1" t="s">
        <v>155</v>
      </c>
      <c r="Y2" s="1" t="s">
        <v>156</v>
      </c>
      <c r="Z2" s="1" t="s">
        <v>157</v>
      </c>
      <c r="AA2" s="1" t="s">
        <v>154</v>
      </c>
      <c r="AB2" s="1" t="s">
        <v>155</v>
      </c>
      <c r="AC2" s="1" t="s">
        <v>156</v>
      </c>
      <c r="AD2" s="1" t="s">
        <v>157</v>
      </c>
      <c r="AE2" s="1" t="s">
        <v>154</v>
      </c>
      <c r="AF2" s="1" t="s">
        <v>155</v>
      </c>
      <c r="AG2" s="1" t="s">
        <v>156</v>
      </c>
      <c r="AH2" s="1" t="s">
        <v>157</v>
      </c>
      <c r="AI2" s="1" t="s">
        <v>154</v>
      </c>
      <c r="AJ2" s="1" t="s">
        <v>155</v>
      </c>
      <c r="AK2" s="1" t="s">
        <v>156</v>
      </c>
      <c r="AL2" s="1" t="s">
        <v>157</v>
      </c>
      <c r="AM2" s="1" t="s">
        <v>154</v>
      </c>
      <c r="AN2" s="1" t="s">
        <v>155</v>
      </c>
      <c r="AO2" s="1" t="s">
        <v>156</v>
      </c>
      <c r="AP2" s="1" t="s">
        <v>157</v>
      </c>
      <c r="AQ2" s="1" t="s">
        <v>154</v>
      </c>
      <c r="AR2" s="1" t="s">
        <v>155</v>
      </c>
      <c r="AS2" s="1" t="s">
        <v>156</v>
      </c>
      <c r="AT2" s="1" t="s">
        <v>157</v>
      </c>
      <c r="AU2" s="1" t="s">
        <v>154</v>
      </c>
      <c r="AV2" s="1" t="s">
        <v>155</v>
      </c>
      <c r="AW2" s="1" t="s">
        <v>156</v>
      </c>
      <c r="AX2" s="1" t="s">
        <v>157</v>
      </c>
      <c r="AY2" s="1" t="s">
        <v>154</v>
      </c>
      <c r="AZ2" s="1" t="s">
        <v>155</v>
      </c>
      <c r="BA2" s="1" t="s">
        <v>156</v>
      </c>
      <c r="BB2" s="1" t="s">
        <v>157</v>
      </c>
      <c r="BC2" s="1" t="s">
        <v>154</v>
      </c>
      <c r="BD2" s="1" t="s">
        <v>155</v>
      </c>
      <c r="BE2" s="1" t="s">
        <v>156</v>
      </c>
      <c r="BF2" s="1" t="s">
        <v>157</v>
      </c>
      <c r="BG2" s="1" t="s">
        <v>154</v>
      </c>
      <c r="BH2" s="1" t="s">
        <v>155</v>
      </c>
      <c r="BI2" s="1" t="s">
        <v>156</v>
      </c>
      <c r="BJ2" s="1" t="s">
        <v>157</v>
      </c>
      <c r="BK2" s="1" t="s">
        <v>154</v>
      </c>
      <c r="BL2" s="1" t="s">
        <v>155</v>
      </c>
      <c r="BM2" s="1" t="s">
        <v>156</v>
      </c>
      <c r="BN2" s="1" t="s">
        <v>157</v>
      </c>
      <c r="BO2" s="1" t="s">
        <v>154</v>
      </c>
      <c r="BP2" s="1" t="s">
        <v>155</v>
      </c>
      <c r="BQ2" s="1" t="s">
        <v>156</v>
      </c>
      <c r="BR2" s="1" t="s">
        <v>157</v>
      </c>
      <c r="BS2" s="1" t="s">
        <v>154</v>
      </c>
      <c r="BT2" s="1" t="s">
        <v>155</v>
      </c>
      <c r="BU2" s="57" t="s">
        <v>156</v>
      </c>
      <c r="BV2" s="57" t="s">
        <v>157</v>
      </c>
    </row>
    <row r="3" spans="2:146" s="3" customFormat="1" ht="15">
      <c r="B3" s="3" t="s">
        <v>81</v>
      </c>
      <c r="C3" s="3" t="str" cm="1">
        <f t="array" ref="C3:BV3">"Q"&amp;MOD(_xlfn.SEQUENCE(1,72)-1,4)+1&amp;" "&amp;(2009+INT((_xlfn.SEQUENCE(1,72)-1)/4))</f>
        <v>Q1 2009</v>
      </c>
      <c r="D3" s="5" t="str">
        <v>Q2 2009</v>
      </c>
      <c r="E3" s="5" t="str">
        <v>Q3 2009</v>
      </c>
      <c r="F3" s="5" t="str">
        <v>Q4 2009</v>
      </c>
      <c r="G3" s="5" t="str">
        <v>Q1 2010</v>
      </c>
      <c r="H3" s="5" t="str">
        <v>Q2 2010</v>
      </c>
      <c r="I3" s="5" t="str">
        <v>Q3 2010</v>
      </c>
      <c r="J3" s="5" t="str">
        <v>Q4 2010</v>
      </c>
      <c r="K3" s="5" t="str">
        <v>Q1 2011</v>
      </c>
      <c r="L3" s="5" t="str">
        <v>Q2 2011</v>
      </c>
      <c r="M3" s="5" t="str">
        <v>Q3 2011</v>
      </c>
      <c r="N3" s="5" t="str">
        <v>Q4 2011</v>
      </c>
      <c r="O3" s="5" t="str">
        <v>Q1 2012</v>
      </c>
      <c r="P3" s="5" t="str">
        <v>Q2 2012</v>
      </c>
      <c r="Q3" s="5" t="str">
        <v>Q3 2012</v>
      </c>
      <c r="R3" s="5" t="str">
        <v>Q4 2012</v>
      </c>
      <c r="S3" s="5" t="str">
        <v>Q1 2013</v>
      </c>
      <c r="T3" s="5" t="str">
        <v>Q2 2013</v>
      </c>
      <c r="U3" s="5" t="str">
        <v>Q3 2013</v>
      </c>
      <c r="V3" s="5" t="str">
        <v>Q4 2013</v>
      </c>
      <c r="W3" s="5" t="str">
        <v>Q1 2014</v>
      </c>
      <c r="X3" s="5" t="str">
        <v>Q2 2014</v>
      </c>
      <c r="Y3" s="5" t="str">
        <v>Q3 2014</v>
      </c>
      <c r="Z3" s="5" t="str">
        <v>Q4 2014</v>
      </c>
      <c r="AA3" s="5" t="str">
        <v>Q1 2015</v>
      </c>
      <c r="AB3" s="5" t="str">
        <v>Q2 2015</v>
      </c>
      <c r="AC3" s="5" t="str">
        <v>Q3 2015</v>
      </c>
      <c r="AD3" s="5" t="str">
        <v>Q4 2015</v>
      </c>
      <c r="AE3" s="5" t="str">
        <v>Q1 2016</v>
      </c>
      <c r="AF3" s="5" t="str">
        <v>Q2 2016</v>
      </c>
      <c r="AG3" s="5" t="str">
        <v>Q3 2016</v>
      </c>
      <c r="AH3" s="5" t="str">
        <v>Q4 2016</v>
      </c>
      <c r="AI3" s="5" t="str">
        <v>Q1 2017</v>
      </c>
      <c r="AJ3" s="5" t="str">
        <v>Q2 2017</v>
      </c>
      <c r="AK3" s="5" t="str">
        <v>Q3 2017</v>
      </c>
      <c r="AL3" s="5" t="str">
        <v>Q4 2017</v>
      </c>
      <c r="AM3" s="5" t="str">
        <v>Q1 2018</v>
      </c>
      <c r="AN3" s="5" t="str">
        <v>Q2 2018</v>
      </c>
      <c r="AO3" s="5" t="str">
        <v>Q3 2018</v>
      </c>
      <c r="AP3" s="5" t="str">
        <v>Q4 2018</v>
      </c>
      <c r="AQ3" s="5" t="str">
        <v>Q1 2019</v>
      </c>
      <c r="AR3" s="5" t="str">
        <v>Q2 2019</v>
      </c>
      <c r="AS3" s="5" t="str">
        <v>Q3 2019</v>
      </c>
      <c r="AT3" s="5" t="str">
        <v>Q4 2019</v>
      </c>
      <c r="AU3" s="5" t="str">
        <v>Q1 2020</v>
      </c>
      <c r="AV3" s="5" t="str">
        <v>Q2 2020</v>
      </c>
      <c r="AW3" s="5" t="str">
        <v>Q3 2020</v>
      </c>
      <c r="AX3" s="5" t="str">
        <v>Q4 2020</v>
      </c>
      <c r="AY3" s="5" t="str">
        <v>Q1 2021</v>
      </c>
      <c r="AZ3" s="5" t="str">
        <v>Q2 2021</v>
      </c>
      <c r="BA3" s="5" t="str">
        <v>Q3 2021</v>
      </c>
      <c r="BB3" s="5" t="str">
        <v>Q4 2021</v>
      </c>
      <c r="BC3" s="5" t="str">
        <v>Q1 2022</v>
      </c>
      <c r="BD3" s="5" t="str">
        <v>Q2 2022</v>
      </c>
      <c r="BE3" s="5" t="str">
        <v>Q3 2022</v>
      </c>
      <c r="BF3" s="5" t="str">
        <v>Q4 2022</v>
      </c>
      <c r="BG3" s="5" t="str">
        <v>Q1 2023</v>
      </c>
      <c r="BH3" s="5" t="str">
        <v>Q2 2023</v>
      </c>
      <c r="BI3" s="5" t="str">
        <v>Q3 2023</v>
      </c>
      <c r="BJ3" s="5" t="str">
        <v>Q4 2023</v>
      </c>
      <c r="BK3" s="5" t="str">
        <v>Q1 2024</v>
      </c>
      <c r="BL3" s="5" t="str">
        <v>Q2 2024</v>
      </c>
      <c r="BM3" s="5" t="str">
        <v>Q3 2024</v>
      </c>
      <c r="BN3" s="5" t="str">
        <v>Q4 2024</v>
      </c>
      <c r="BO3" s="5" t="str">
        <v>Q1 2025</v>
      </c>
      <c r="BP3" s="5" t="str">
        <v>Q2 2025</v>
      </c>
      <c r="BQ3" s="3" t="str">
        <v>Q3 2025</v>
      </c>
      <c r="BR3" s="3" t="str">
        <v>Q4 2025</v>
      </c>
      <c r="BS3" s="3" t="str">
        <v>Q1 2026</v>
      </c>
      <c r="BT3" s="3" t="str">
        <v>Q2 2026</v>
      </c>
      <c r="BU3" s="58" t="str">
        <v>Q3 2026</v>
      </c>
      <c r="BV3" s="58" t="str">
        <v>Q4 2026</v>
      </c>
      <c r="CA3" s="3">
        <v>2009</v>
      </c>
      <c r="CB3" s="3">
        <f t="shared" ref="CB3:DG3" si="0">CA3+1</f>
        <v>2010</v>
      </c>
      <c r="CC3" s="3">
        <f t="shared" si="0"/>
        <v>2011</v>
      </c>
      <c r="CD3" s="3">
        <f t="shared" si="0"/>
        <v>2012</v>
      </c>
      <c r="CE3" s="3">
        <f t="shared" si="0"/>
        <v>2013</v>
      </c>
      <c r="CF3" s="3">
        <f t="shared" si="0"/>
        <v>2014</v>
      </c>
      <c r="CG3" s="3">
        <f t="shared" si="0"/>
        <v>2015</v>
      </c>
      <c r="CH3" s="3">
        <f t="shared" si="0"/>
        <v>2016</v>
      </c>
      <c r="CI3" s="3">
        <f t="shared" si="0"/>
        <v>2017</v>
      </c>
      <c r="CJ3" s="3">
        <f t="shared" si="0"/>
        <v>2018</v>
      </c>
      <c r="CK3" s="3">
        <f t="shared" si="0"/>
        <v>2019</v>
      </c>
      <c r="CL3" s="3">
        <f t="shared" si="0"/>
        <v>2020</v>
      </c>
      <c r="CM3" s="3">
        <f t="shared" si="0"/>
        <v>2021</v>
      </c>
      <c r="CN3" s="3">
        <f t="shared" si="0"/>
        <v>2022</v>
      </c>
      <c r="CO3" s="3">
        <f t="shared" si="0"/>
        <v>2023</v>
      </c>
      <c r="CP3" s="3">
        <f t="shared" si="0"/>
        <v>2024</v>
      </c>
      <c r="CQ3" s="3">
        <f t="shared" si="0"/>
        <v>2025</v>
      </c>
      <c r="CR3" s="58">
        <f t="shared" si="0"/>
        <v>2026</v>
      </c>
      <c r="CS3" s="58">
        <f t="shared" si="0"/>
        <v>2027</v>
      </c>
      <c r="CT3" s="58">
        <f t="shared" si="0"/>
        <v>2028</v>
      </c>
      <c r="CU3" s="58">
        <f t="shared" si="0"/>
        <v>2029</v>
      </c>
      <c r="CV3" s="58">
        <f t="shared" si="0"/>
        <v>2030</v>
      </c>
      <c r="CW3" s="58">
        <f t="shared" si="0"/>
        <v>2031</v>
      </c>
      <c r="CX3" s="58">
        <f t="shared" si="0"/>
        <v>2032</v>
      </c>
      <c r="CY3" s="58">
        <f t="shared" si="0"/>
        <v>2033</v>
      </c>
      <c r="CZ3" s="58">
        <f t="shared" si="0"/>
        <v>2034</v>
      </c>
      <c r="DA3" s="58">
        <f t="shared" si="0"/>
        <v>2035</v>
      </c>
      <c r="DB3" s="58">
        <f t="shared" si="0"/>
        <v>2036</v>
      </c>
      <c r="DC3" s="58">
        <f t="shared" si="0"/>
        <v>2037</v>
      </c>
      <c r="DD3" s="58">
        <f t="shared" si="0"/>
        <v>2038</v>
      </c>
      <c r="DE3" s="58">
        <f t="shared" si="0"/>
        <v>2039</v>
      </c>
      <c r="DF3" s="58">
        <f t="shared" si="0"/>
        <v>2040</v>
      </c>
      <c r="DG3" s="58">
        <f t="shared" si="0"/>
        <v>2041</v>
      </c>
      <c r="DH3" s="58">
        <f t="shared" ref="DH3:EN3" si="1">DG3+1</f>
        <v>2042</v>
      </c>
      <c r="DI3" s="58">
        <f t="shared" si="1"/>
        <v>2043</v>
      </c>
      <c r="DJ3" s="58">
        <f t="shared" si="1"/>
        <v>2044</v>
      </c>
      <c r="DK3" s="58">
        <f t="shared" si="1"/>
        <v>2045</v>
      </c>
      <c r="DL3" s="58">
        <f t="shared" si="1"/>
        <v>2046</v>
      </c>
      <c r="DM3" s="58">
        <f t="shared" si="1"/>
        <v>2047</v>
      </c>
      <c r="DN3" s="58">
        <f t="shared" si="1"/>
        <v>2048</v>
      </c>
      <c r="DO3" s="58">
        <f t="shared" si="1"/>
        <v>2049</v>
      </c>
      <c r="DP3" s="58">
        <f t="shared" si="1"/>
        <v>2050</v>
      </c>
      <c r="DQ3" s="58">
        <f t="shared" si="1"/>
        <v>2051</v>
      </c>
      <c r="DR3" s="58">
        <f t="shared" si="1"/>
        <v>2052</v>
      </c>
      <c r="DS3" s="58">
        <f t="shared" si="1"/>
        <v>2053</v>
      </c>
      <c r="DT3" s="58">
        <f t="shared" si="1"/>
        <v>2054</v>
      </c>
      <c r="DU3" s="58">
        <f t="shared" si="1"/>
        <v>2055</v>
      </c>
      <c r="DV3" s="58">
        <f t="shared" si="1"/>
        <v>2056</v>
      </c>
      <c r="DW3" s="58">
        <f t="shared" si="1"/>
        <v>2057</v>
      </c>
      <c r="DX3" s="58">
        <f t="shared" si="1"/>
        <v>2058</v>
      </c>
      <c r="DY3" s="58">
        <f t="shared" si="1"/>
        <v>2059</v>
      </c>
      <c r="DZ3" s="58">
        <f t="shared" si="1"/>
        <v>2060</v>
      </c>
      <c r="EA3" s="58">
        <f t="shared" si="1"/>
        <v>2061</v>
      </c>
      <c r="EB3" s="58">
        <f t="shared" si="1"/>
        <v>2062</v>
      </c>
      <c r="EC3" s="58">
        <f t="shared" si="1"/>
        <v>2063</v>
      </c>
      <c r="ED3" s="58">
        <f t="shared" si="1"/>
        <v>2064</v>
      </c>
      <c r="EE3" s="58">
        <f t="shared" si="1"/>
        <v>2065</v>
      </c>
      <c r="EF3" s="58">
        <f t="shared" si="1"/>
        <v>2066</v>
      </c>
      <c r="EG3" s="58">
        <f t="shared" si="1"/>
        <v>2067</v>
      </c>
      <c r="EH3" s="58">
        <f t="shared" si="1"/>
        <v>2068</v>
      </c>
      <c r="EI3" s="58">
        <f t="shared" si="1"/>
        <v>2069</v>
      </c>
      <c r="EJ3" s="58">
        <f t="shared" si="1"/>
        <v>2070</v>
      </c>
      <c r="EK3" s="58">
        <f t="shared" si="1"/>
        <v>2071</v>
      </c>
      <c r="EL3" s="58">
        <f t="shared" si="1"/>
        <v>2072</v>
      </c>
      <c r="EM3" s="58">
        <f t="shared" si="1"/>
        <v>2073</v>
      </c>
      <c r="EN3" s="58">
        <f t="shared" si="1"/>
        <v>2074</v>
      </c>
      <c r="EO3" s="58">
        <f t="shared" ref="EO3" si="2">EN3+1</f>
        <v>2075</v>
      </c>
      <c r="EP3" s="58"/>
    </row>
    <row r="4" spans="2:146">
      <c r="B4" s="31" t="s">
        <v>97</v>
      </c>
      <c r="AU4" s="1">
        <v>442</v>
      </c>
      <c r="AV4" s="1">
        <v>348</v>
      </c>
      <c r="AW4" s="1">
        <v>475</v>
      </c>
      <c r="AX4" s="1">
        <f>1780-SUM(AU4:AW4)</f>
        <v>515</v>
      </c>
      <c r="AY4" s="1">
        <v>499</v>
      </c>
      <c r="AZ4" s="1">
        <v>551</v>
      </c>
      <c r="BA4" s="1">
        <v>533</v>
      </c>
      <c r="BB4" s="1">
        <f>2141-SUM(AY4:BA4)</f>
        <v>558</v>
      </c>
      <c r="BC4" s="1">
        <v>532</v>
      </c>
      <c r="BD4" s="1">
        <v>561</v>
      </c>
      <c r="BE4" s="1">
        <v>559</v>
      </c>
      <c r="BF4" s="1">
        <f>2221-SUM(BC4:BE4)</f>
        <v>569</v>
      </c>
      <c r="BG4" s="1">
        <v>577</v>
      </c>
      <c r="BH4" s="1">
        <v>630</v>
      </c>
      <c r="BI4" s="1">
        <v>629</v>
      </c>
      <c r="BJ4" s="1">
        <f>2482-SUM(BG4:BI4)</f>
        <v>646</v>
      </c>
      <c r="BK4" s="1">
        <v>642</v>
      </c>
      <c r="BL4" s="1">
        <v>675</v>
      </c>
      <c r="BM4" s="1">
        <v>678</v>
      </c>
      <c r="BN4" s="1">
        <f>2687-SUM(BK4:BM4)</f>
        <v>692</v>
      </c>
      <c r="BO4" s="1">
        <v>673</v>
      </c>
      <c r="BP4" s="1">
        <v>737</v>
      </c>
      <c r="BQ4" s="1">
        <v>747</v>
      </c>
      <c r="BR4" s="1">
        <v>760</v>
      </c>
      <c r="BS4" s="1">
        <v>736</v>
      </c>
      <c r="BT4" s="1">
        <v>793</v>
      </c>
      <c r="CK4" s="4">
        <v>1894</v>
      </c>
      <c r="CL4" s="4">
        <f>SUM(AU4:AX4)</f>
        <v>1780</v>
      </c>
      <c r="CM4" s="4">
        <f>SUM(AY4:BB4)</f>
        <v>2141</v>
      </c>
      <c r="CN4" s="4">
        <f>SUM(BC4:BF4)</f>
        <v>2221</v>
      </c>
      <c r="CO4" s="4">
        <f>SUM(BG4:BJ4)</f>
        <v>2482</v>
      </c>
      <c r="CP4" s="4">
        <f>SUM(BK4:BN4)</f>
        <v>2687</v>
      </c>
      <c r="CQ4" s="4">
        <f t="shared" ref="CQ4:CQ15" si="3">SUM(BO4:BR4)</f>
        <v>2917</v>
      </c>
      <c r="CR4" s="37">
        <f t="shared" ref="CR4:DA4" si="4">CQ4*(1+CR17)</f>
        <v>3179.53</v>
      </c>
      <c r="CS4" s="37">
        <f t="shared" si="4"/>
        <v>3386.1994500000001</v>
      </c>
      <c r="CT4" s="37">
        <f t="shared" si="4"/>
        <v>3562.2818214000004</v>
      </c>
      <c r="CU4" s="37">
        <f t="shared" si="4"/>
        <v>3711.8976578988004</v>
      </c>
      <c r="CV4" s="37">
        <f t="shared" si="4"/>
        <v>3860.3735642147526</v>
      </c>
      <c r="CW4" s="37">
        <f t="shared" si="4"/>
        <v>4003.207386090698</v>
      </c>
      <c r="CX4" s="37">
        <f t="shared" si="4"/>
        <v>4143.3196446038719</v>
      </c>
      <c r="CY4" s="37">
        <f t="shared" si="4"/>
        <v>4275.905873231196</v>
      </c>
      <c r="CZ4" s="37">
        <f t="shared" si="4"/>
        <v>4408.4589553013629</v>
      </c>
      <c r="DA4" s="37">
        <f t="shared" si="4"/>
        <v>4540.7127239604042</v>
      </c>
      <c r="DB4" s="37"/>
      <c r="DC4" s="37"/>
      <c r="DD4" s="37"/>
      <c r="DE4" s="37"/>
      <c r="DF4" s="37"/>
      <c r="DG4" s="37"/>
      <c r="DH4" s="37"/>
      <c r="DI4" s="37"/>
      <c r="DJ4" s="37"/>
      <c r="DK4" s="37"/>
      <c r="DL4" s="37"/>
      <c r="DM4" s="37"/>
      <c r="DN4" s="37"/>
      <c r="DO4" s="37"/>
      <c r="DP4" s="37"/>
      <c r="DQ4" s="37"/>
      <c r="DR4" s="37"/>
      <c r="DS4" s="37"/>
      <c r="DT4" s="37"/>
      <c r="DU4" s="37"/>
      <c r="DV4" s="37"/>
      <c r="DW4" s="37"/>
      <c r="DX4" s="37"/>
      <c r="DY4" s="37"/>
      <c r="DZ4" s="37"/>
      <c r="EA4" s="37"/>
      <c r="EB4" s="37"/>
      <c r="EC4" s="37"/>
      <c r="ED4" s="37"/>
      <c r="EE4" s="37"/>
      <c r="EF4" s="37"/>
      <c r="EG4" s="37"/>
      <c r="EH4" s="37"/>
      <c r="EI4" s="37"/>
      <c r="EJ4" s="37"/>
      <c r="EK4" s="37"/>
      <c r="EL4" s="37"/>
      <c r="EM4" s="37"/>
      <c r="EN4" s="37"/>
      <c r="EO4" s="37"/>
      <c r="EP4" s="37"/>
    </row>
    <row r="5" spans="2:146">
      <c r="B5" s="31" t="s">
        <v>98</v>
      </c>
      <c r="AU5" s="1">
        <v>332</v>
      </c>
      <c r="AV5" s="1">
        <v>228</v>
      </c>
      <c r="AW5" s="1">
        <v>350</v>
      </c>
      <c r="AX5" s="1">
        <f>1286-SUM(AU5:AW5)</f>
        <v>376</v>
      </c>
      <c r="AY5" s="1">
        <v>361</v>
      </c>
      <c r="AZ5" s="1">
        <v>397</v>
      </c>
      <c r="BA5" s="1">
        <v>384</v>
      </c>
      <c r="BB5" s="1">
        <f>1583-SUM(AY5:BA5)</f>
        <v>441</v>
      </c>
      <c r="BC5" s="1">
        <v>413</v>
      </c>
      <c r="BD5" s="1">
        <v>450</v>
      </c>
      <c r="BE5" s="1">
        <v>433</v>
      </c>
      <c r="BF5" s="1">
        <f>1773-SUM(BC5:BE5)</f>
        <v>477</v>
      </c>
      <c r="BG5" s="1">
        <v>469</v>
      </c>
      <c r="BH5" s="1">
        <v>485</v>
      </c>
      <c r="BI5" s="1">
        <v>483</v>
      </c>
      <c r="BJ5" s="1">
        <f>1964-SUM(BG5:BI5)</f>
        <v>527</v>
      </c>
      <c r="BK5" s="1">
        <v>513</v>
      </c>
      <c r="BL5" s="1">
        <v>525</v>
      </c>
      <c r="BM5" s="1">
        <v>532</v>
      </c>
      <c r="BN5" s="1">
        <f>2200-SUM(BK5:BM5)</f>
        <v>630</v>
      </c>
      <c r="BO5" s="1">
        <v>633</v>
      </c>
      <c r="BP5" s="1">
        <v>676</v>
      </c>
      <c r="BQ5" s="1">
        <v>682</v>
      </c>
      <c r="BR5" s="1">
        <v>717</v>
      </c>
      <c r="BS5" s="1">
        <v>646</v>
      </c>
      <c r="BT5" s="1">
        <v>684</v>
      </c>
      <c r="CK5" s="4">
        <v>1413</v>
      </c>
      <c r="CL5" s="4">
        <f>SUM(AU5:AX5)</f>
        <v>1286</v>
      </c>
      <c r="CM5" s="4">
        <f>SUM(AY5:BB5)</f>
        <v>1583</v>
      </c>
      <c r="CN5" s="4">
        <f>SUM(BC5:BF5)</f>
        <v>1773</v>
      </c>
      <c r="CO5" s="4">
        <f>SUM(BG5:BJ5)</f>
        <v>1964</v>
      </c>
      <c r="CP5" s="4">
        <f>SUM(BK5:BN5)</f>
        <v>2200</v>
      </c>
      <c r="CQ5" s="4">
        <f t="shared" si="3"/>
        <v>2708</v>
      </c>
      <c r="CR5" s="37">
        <f t="shared" ref="CR5:DA5" si="5">CQ5*(1+CR18)</f>
        <v>2870.48</v>
      </c>
      <c r="CS5" s="37">
        <f t="shared" si="5"/>
        <v>2985.2991999999999</v>
      </c>
      <c r="CT5" s="37">
        <f t="shared" si="5"/>
        <v>3194.2701440000001</v>
      </c>
      <c r="CU5" s="37">
        <f t="shared" si="5"/>
        <v>3449.8117555200001</v>
      </c>
      <c r="CV5" s="37">
        <f t="shared" si="5"/>
        <v>3656.8004608512001</v>
      </c>
      <c r="CW5" s="37">
        <f t="shared" si="5"/>
        <v>3839.6404838937601</v>
      </c>
      <c r="CX5" s="37">
        <f t="shared" si="5"/>
        <v>4012.4243056689788</v>
      </c>
      <c r="CY5" s="37">
        <f t="shared" si="5"/>
        <v>4172.9212778957381</v>
      </c>
      <c r="CZ5" s="37">
        <f t="shared" si="5"/>
        <v>4318.9735226220882</v>
      </c>
      <c r="DA5" s="37">
        <f t="shared" si="5"/>
        <v>4459.3401621073062</v>
      </c>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7"/>
      <c r="EO5" s="37"/>
      <c r="EP5" s="37"/>
    </row>
    <row r="6" spans="2:146">
      <c r="B6" s="31" t="s">
        <v>99</v>
      </c>
      <c r="AU6" s="1">
        <v>191</v>
      </c>
      <c r="AV6" s="1">
        <v>122</v>
      </c>
      <c r="AW6" s="1">
        <v>216</v>
      </c>
      <c r="AX6" s="1">
        <f>761-SUM(AU6:AW6)</f>
        <v>232</v>
      </c>
      <c r="AY6" s="1">
        <v>198</v>
      </c>
      <c r="AZ6" s="1">
        <v>247</v>
      </c>
      <c r="BA6" s="1">
        <v>221</v>
      </c>
      <c r="BB6" s="1">
        <f>909-SUM(AY6:BA6)</f>
        <v>243</v>
      </c>
      <c r="BC6" s="1">
        <v>209</v>
      </c>
      <c r="BD6" s="1">
        <v>238</v>
      </c>
      <c r="BE6" s="1">
        <v>221</v>
      </c>
      <c r="BF6" s="1">
        <f>917-SUM(BC6:BE6)</f>
        <v>249</v>
      </c>
      <c r="BG6" s="1">
        <v>234</v>
      </c>
      <c r="BH6" s="1">
        <v>244</v>
      </c>
      <c r="BI6" s="1">
        <v>229</v>
      </c>
      <c r="BJ6" s="1">
        <f>976-SUM(BG6:BI6)</f>
        <v>269</v>
      </c>
      <c r="BK6" s="1">
        <v>256</v>
      </c>
      <c r="BL6" s="1">
        <v>282</v>
      </c>
      <c r="BM6" s="1">
        <v>268</v>
      </c>
      <c r="BN6" s="1">
        <f>1106-SUM(BK6:BM6)</f>
        <v>300</v>
      </c>
      <c r="BO6" s="1">
        <v>271</v>
      </c>
      <c r="BP6" s="1">
        <v>303</v>
      </c>
      <c r="BQ6" s="1">
        <v>293</v>
      </c>
      <c r="BR6" s="1">
        <v>332</v>
      </c>
      <c r="BS6" s="1">
        <v>319</v>
      </c>
      <c r="BT6" s="1">
        <v>341</v>
      </c>
      <c r="CK6" s="4">
        <v>873</v>
      </c>
      <c r="CL6" s="4">
        <f>SUM(AU6:AX6)</f>
        <v>761</v>
      </c>
      <c r="CM6" s="4">
        <f>SUM(AY6:BB6)</f>
        <v>909</v>
      </c>
      <c r="CN6" s="4">
        <f>SUM(BC6:BF6)</f>
        <v>917</v>
      </c>
      <c r="CO6" s="4">
        <f>SUM(BG6:BJ6)</f>
        <v>976</v>
      </c>
      <c r="CP6" s="4">
        <f>SUM(BK6:BN6)</f>
        <v>1106</v>
      </c>
      <c r="CQ6" s="4">
        <f t="shared" si="3"/>
        <v>1199</v>
      </c>
      <c r="CR6" s="37">
        <f t="shared" ref="CR6:DA6" si="6">CQ6*(1+CR19)</f>
        <v>1366.8600000000001</v>
      </c>
      <c r="CS6" s="37">
        <f t="shared" si="6"/>
        <v>1530.8832000000002</v>
      </c>
      <c r="CT6" s="37">
        <f t="shared" si="6"/>
        <v>1699.2803520000004</v>
      </c>
      <c r="CU6" s="37">
        <f t="shared" si="6"/>
        <v>1869.2083872000007</v>
      </c>
      <c r="CV6" s="37">
        <f t="shared" si="6"/>
        <v>2037.4371420480009</v>
      </c>
      <c r="CW6" s="37">
        <f t="shared" si="6"/>
        <v>2200.4321134118409</v>
      </c>
      <c r="CX6" s="37">
        <f t="shared" si="6"/>
        <v>2354.4623613506697</v>
      </c>
      <c r="CY6" s="37">
        <f t="shared" si="6"/>
        <v>2495.7301030317099</v>
      </c>
      <c r="CZ6" s="37">
        <f t="shared" si="6"/>
        <v>2620.5166081832954</v>
      </c>
      <c r="DA6" s="37">
        <f t="shared" si="6"/>
        <v>2725.3372725106274</v>
      </c>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row>
    <row r="7" spans="2:146" s="3" customFormat="1" ht="15">
      <c r="B7" s="3" t="s">
        <v>100</v>
      </c>
      <c r="AU7" s="3">
        <f t="shared" ref="AU7:BT7" si="7">SUM(AU4:AU6)</f>
        <v>965</v>
      </c>
      <c r="AV7" s="3">
        <f t="shared" si="7"/>
        <v>698</v>
      </c>
      <c r="AW7" s="3">
        <f t="shared" si="7"/>
        <v>1041</v>
      </c>
      <c r="AX7" s="3">
        <f t="shared" si="7"/>
        <v>1123</v>
      </c>
      <c r="AY7" s="3">
        <f t="shared" si="7"/>
        <v>1058</v>
      </c>
      <c r="AZ7" s="3">
        <f t="shared" si="7"/>
        <v>1195</v>
      </c>
      <c r="BA7" s="3">
        <f t="shared" si="7"/>
        <v>1138</v>
      </c>
      <c r="BB7" s="3">
        <f t="shared" si="7"/>
        <v>1242</v>
      </c>
      <c r="BC7" s="3">
        <f t="shared" si="7"/>
        <v>1154</v>
      </c>
      <c r="BD7" s="3">
        <f t="shared" si="7"/>
        <v>1249</v>
      </c>
      <c r="BE7" s="3">
        <f t="shared" si="7"/>
        <v>1213</v>
      </c>
      <c r="BF7" s="3">
        <f t="shared" si="7"/>
        <v>1295</v>
      </c>
      <c r="BG7" s="3">
        <f t="shared" si="7"/>
        <v>1280</v>
      </c>
      <c r="BH7" s="3">
        <f t="shared" si="7"/>
        <v>1359</v>
      </c>
      <c r="BI7" s="3">
        <f t="shared" si="7"/>
        <v>1341</v>
      </c>
      <c r="BJ7" s="3">
        <f t="shared" si="7"/>
        <v>1442</v>
      </c>
      <c r="BK7" s="3">
        <f t="shared" si="7"/>
        <v>1411</v>
      </c>
      <c r="BL7" s="3">
        <f t="shared" si="7"/>
        <v>1482</v>
      </c>
      <c r="BM7" s="3">
        <f t="shared" si="7"/>
        <v>1478</v>
      </c>
      <c r="BN7" s="3">
        <f t="shared" si="7"/>
        <v>1622</v>
      </c>
      <c r="BO7" s="3">
        <f t="shared" si="7"/>
        <v>1577</v>
      </c>
      <c r="BP7" s="3">
        <f t="shared" si="7"/>
        <v>1716</v>
      </c>
      <c r="BQ7" s="3">
        <f t="shared" si="7"/>
        <v>1722</v>
      </c>
      <c r="BR7" s="3">
        <f t="shared" si="7"/>
        <v>1809</v>
      </c>
      <c r="BS7" s="3">
        <f t="shared" si="7"/>
        <v>1701</v>
      </c>
      <c r="BT7" s="3">
        <f t="shared" si="7"/>
        <v>1818</v>
      </c>
      <c r="BU7" s="58"/>
      <c r="BV7" s="58"/>
      <c r="CK7" s="3">
        <f t="shared" ref="CK7:CP7" si="8">SUM(CK4:CK6)</f>
        <v>4180</v>
      </c>
      <c r="CL7" s="3">
        <f t="shared" si="8"/>
        <v>3827</v>
      </c>
      <c r="CM7" s="3">
        <f t="shared" si="8"/>
        <v>4633</v>
      </c>
      <c r="CN7" s="3">
        <f t="shared" si="8"/>
        <v>4911</v>
      </c>
      <c r="CO7" s="3">
        <f t="shared" si="8"/>
        <v>5422</v>
      </c>
      <c r="CP7" s="3">
        <f t="shared" si="8"/>
        <v>5993</v>
      </c>
      <c r="CQ7" s="5">
        <f t="shared" si="3"/>
        <v>6824</v>
      </c>
      <c r="CR7" s="59">
        <f t="shared" ref="CR7:DA7" si="9">SUM(CR4:CR6)</f>
        <v>7416.8700000000008</v>
      </c>
      <c r="CS7" s="59">
        <f t="shared" si="9"/>
        <v>7902.3818499999998</v>
      </c>
      <c r="CT7" s="59">
        <f t="shared" si="9"/>
        <v>8455.8323173999997</v>
      </c>
      <c r="CU7" s="59">
        <f t="shared" si="9"/>
        <v>9030.9178006188013</v>
      </c>
      <c r="CV7" s="59">
        <f t="shared" si="9"/>
        <v>9554.6111671139533</v>
      </c>
      <c r="CW7" s="59">
        <f t="shared" si="9"/>
        <v>10043.2799833963</v>
      </c>
      <c r="CX7" s="59">
        <f t="shared" si="9"/>
        <v>10510.20631162352</v>
      </c>
      <c r="CY7" s="59">
        <f t="shared" si="9"/>
        <v>10944.557254158644</v>
      </c>
      <c r="CZ7" s="59">
        <f t="shared" si="9"/>
        <v>11347.949086106748</v>
      </c>
      <c r="DA7" s="59">
        <f t="shared" si="9"/>
        <v>11725.390158578339</v>
      </c>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row>
    <row r="8" spans="2:146">
      <c r="B8" s="31" t="s">
        <v>174</v>
      </c>
      <c r="AU8" s="1">
        <v>633</v>
      </c>
      <c r="AV8" s="1">
        <v>495</v>
      </c>
      <c r="AW8" s="1">
        <v>586</v>
      </c>
      <c r="AX8" s="1">
        <f>2299-SUM(AU8:AW8)</f>
        <v>585</v>
      </c>
      <c r="AY8" s="1">
        <v>526</v>
      </c>
      <c r="AZ8" s="1">
        <v>574</v>
      </c>
      <c r="BA8" s="1">
        <v>534</v>
      </c>
      <c r="BB8" s="1">
        <f>2209-SUM(AY8:BA8)</f>
        <v>575</v>
      </c>
      <c r="BC8" s="1">
        <v>544</v>
      </c>
      <c r="BD8" s="1">
        <v>574</v>
      </c>
      <c r="BE8" s="1">
        <v>549</v>
      </c>
      <c r="BF8" s="1">
        <f>2228-SUM(BC8:BE8)</f>
        <v>561</v>
      </c>
      <c r="BG8" s="1">
        <v>591</v>
      </c>
      <c r="BH8" s="1">
        <v>629</v>
      </c>
      <c r="BI8" s="1">
        <v>583</v>
      </c>
      <c r="BJ8" s="1">
        <f>2417-SUM(BG8:BI8)</f>
        <v>614</v>
      </c>
      <c r="BK8" s="1">
        <v>652</v>
      </c>
      <c r="BL8" s="1">
        <v>665</v>
      </c>
      <c r="BM8" s="1">
        <v>661</v>
      </c>
      <c r="BN8" s="1">
        <f>2645-SUM(BK8:BM8)</f>
        <v>667</v>
      </c>
      <c r="BO8" s="1">
        <v>697</v>
      </c>
      <c r="BP8" s="1">
        <v>731</v>
      </c>
      <c r="BQ8" s="1">
        <v>686</v>
      </c>
      <c r="BR8" s="1">
        <v>732</v>
      </c>
      <c r="BS8" s="1">
        <v>764</v>
      </c>
      <c r="BT8" s="1">
        <v>833</v>
      </c>
      <c r="CK8" s="4">
        <v>2816</v>
      </c>
      <c r="CL8" s="4">
        <f>SUM(AU8:AX8)</f>
        <v>2299</v>
      </c>
      <c r="CM8" s="4">
        <f>SUM(AY8:BB8)</f>
        <v>2209</v>
      </c>
      <c r="CN8" s="4">
        <f>SUM(BC8:BF8)</f>
        <v>2228</v>
      </c>
      <c r="CO8" s="4">
        <f>SUM(BG8:BJ8)</f>
        <v>2417</v>
      </c>
      <c r="CP8" s="4">
        <f>SUM(BK8:BN8)</f>
        <v>2645</v>
      </c>
      <c r="CQ8" s="4">
        <f t="shared" si="3"/>
        <v>2846</v>
      </c>
      <c r="CR8" s="37">
        <f t="shared" ref="CR8:DA8" si="10">CQ8*(1+CR21)</f>
        <v>3116.37</v>
      </c>
      <c r="CS8" s="37">
        <f t="shared" si="10"/>
        <v>3459.1707000000001</v>
      </c>
      <c r="CT8" s="37">
        <f t="shared" si="10"/>
        <v>3701.3126490000004</v>
      </c>
      <c r="CU8" s="37">
        <f t="shared" si="10"/>
        <v>3886.3782814500005</v>
      </c>
      <c r="CV8" s="37">
        <f t="shared" si="10"/>
        <v>4061.2653041152503</v>
      </c>
      <c r="CW8" s="37">
        <f t="shared" si="10"/>
        <v>4223.7159162798607</v>
      </c>
      <c r="CX8" s="37">
        <f t="shared" si="10"/>
        <v>4371.5459733496555</v>
      </c>
      <c r="CY8" s="37">
        <f t="shared" si="10"/>
        <v>4502.6923525501452</v>
      </c>
      <c r="CZ8" s="37">
        <f t="shared" si="10"/>
        <v>4615.259661363898</v>
      </c>
      <c r="DA8" s="37">
        <f t="shared" si="10"/>
        <v>4719.1030037445853</v>
      </c>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row>
    <row r="9" spans="2:146">
      <c r="B9" s="31" t="s">
        <v>101</v>
      </c>
      <c r="AU9" s="1">
        <v>41</v>
      </c>
      <c r="AV9" s="1">
        <v>68</v>
      </c>
      <c r="AW9" s="1">
        <v>74</v>
      </c>
      <c r="AX9" s="1">
        <f>219-SUM(AU9:AW9)</f>
        <v>36</v>
      </c>
      <c r="AY9" s="1">
        <v>170</v>
      </c>
      <c r="AZ9" s="1">
        <v>216</v>
      </c>
      <c r="BA9" s="1">
        <v>210</v>
      </c>
      <c r="BB9" s="1">
        <f>829-SUM(AY9:BA9)</f>
        <v>233</v>
      </c>
      <c r="BC9" s="1">
        <v>226</v>
      </c>
      <c r="BD9" s="1">
        <v>250</v>
      </c>
      <c r="BE9" s="1">
        <v>262</v>
      </c>
      <c r="BF9" s="1">
        <f>1019-SUM(BC9:BE9)</f>
        <v>281</v>
      </c>
      <c r="BG9" s="1">
        <v>291</v>
      </c>
      <c r="BH9" s="1">
        <v>317</v>
      </c>
      <c r="BI9" s="1">
        <v>323</v>
      </c>
      <c r="BJ9" s="1">
        <f>1274-SUM(BG9:BI9)</f>
        <v>343</v>
      </c>
      <c r="BK9" s="1">
        <v>344</v>
      </c>
      <c r="BL9" s="1">
        <v>379</v>
      </c>
      <c r="BM9" s="1">
        <v>380</v>
      </c>
      <c r="BN9" s="1">
        <f>1516-SUM(BK9:BM9)</f>
        <v>413</v>
      </c>
      <c r="BO9" s="1">
        <v>425</v>
      </c>
      <c r="BP9" s="1">
        <v>486</v>
      </c>
      <c r="BQ9" s="1">
        <v>512</v>
      </c>
      <c r="BR9" s="1">
        <v>541</v>
      </c>
      <c r="BS9" s="1">
        <v>506</v>
      </c>
      <c r="BT9" s="1">
        <v>507</v>
      </c>
      <c r="CK9" s="4">
        <v>81</v>
      </c>
      <c r="CL9" s="4">
        <f>SUM(AU9:AX9)</f>
        <v>219</v>
      </c>
      <c r="CM9" s="4">
        <f>SUM(AY9:BB9)</f>
        <v>829</v>
      </c>
      <c r="CN9" s="4">
        <f>SUM(BC9:BF9)</f>
        <v>1019</v>
      </c>
      <c r="CO9" s="4">
        <f>SUM(BG9:BJ9)</f>
        <v>1274</v>
      </c>
      <c r="CP9" s="4">
        <f>SUM(BK9:BN9)</f>
        <v>1516</v>
      </c>
      <c r="CQ9" s="4">
        <f t="shared" si="3"/>
        <v>1964</v>
      </c>
      <c r="CR9" s="37">
        <f t="shared" ref="CR9:DA9" si="11">CQ9*(1+CR22)</f>
        <v>2278.2399999999998</v>
      </c>
      <c r="CS9" s="37">
        <f t="shared" si="11"/>
        <v>2585.8023999999996</v>
      </c>
      <c r="CT9" s="37">
        <f t="shared" si="11"/>
        <v>2973.6727599999995</v>
      </c>
      <c r="CU9" s="37">
        <f t="shared" si="11"/>
        <v>3330.5134911999999</v>
      </c>
      <c r="CV9" s="37">
        <f t="shared" si="11"/>
        <v>3713.5225426879997</v>
      </c>
      <c r="CW9" s="37">
        <f t="shared" si="11"/>
        <v>4084.8747969567999</v>
      </c>
      <c r="CX9" s="37">
        <f t="shared" si="11"/>
        <v>4432.0891546981275</v>
      </c>
      <c r="CY9" s="37">
        <f t="shared" si="11"/>
        <v>4764.495841300487</v>
      </c>
      <c r="CZ9" s="37">
        <f t="shared" si="11"/>
        <v>5098.0105501915214</v>
      </c>
      <c r="DA9" s="37">
        <f t="shared" si="11"/>
        <v>5429.3812359539697</v>
      </c>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row>
    <row r="10" spans="2:146">
      <c r="B10" s="31" t="s">
        <v>102</v>
      </c>
      <c r="AU10" s="1">
        <v>437</v>
      </c>
      <c r="AV10" s="1">
        <v>351</v>
      </c>
      <c r="AW10" s="1">
        <v>465</v>
      </c>
      <c r="AX10" s="1">
        <f>1704-SUM(AU10:AW10)</f>
        <v>451</v>
      </c>
      <c r="AY10" s="1">
        <v>469</v>
      </c>
      <c r="AZ10" s="1">
        <v>524</v>
      </c>
      <c r="BA10" s="1">
        <v>512</v>
      </c>
      <c r="BB10" s="1">
        <f>2019-SUM(AY10:BA10)</f>
        <v>514</v>
      </c>
      <c r="BC10" s="1">
        <v>519</v>
      </c>
      <c r="BD10" s="1">
        <v>541</v>
      </c>
      <c r="BE10" s="1">
        <v>519</v>
      </c>
      <c r="BF10" s="1">
        <f>2100-SUM(BC10:BE10)</f>
        <v>521</v>
      </c>
      <c r="BG10" s="1">
        <v>548</v>
      </c>
      <c r="BH10" s="1">
        <v>566</v>
      </c>
      <c r="BI10" s="1">
        <v>552</v>
      </c>
      <c r="BJ10" s="1">
        <f>2218-SUM(BG10:BI10)</f>
        <v>552</v>
      </c>
      <c r="BK10" s="1">
        <v>575</v>
      </c>
      <c r="BL10" s="1">
        <v>576</v>
      </c>
      <c r="BM10" s="1">
        <v>561</v>
      </c>
      <c r="BN10" s="1">
        <f>2279-SUM(BK10:BM10)</f>
        <v>567</v>
      </c>
      <c r="BO10" s="1">
        <v>578</v>
      </c>
      <c r="BP10" s="1">
        <v>590</v>
      </c>
      <c r="BQ10" s="1">
        <v>578</v>
      </c>
      <c r="BR10" s="1">
        <v>607</v>
      </c>
      <c r="BS10" s="1">
        <v>906</v>
      </c>
      <c r="BT10" s="1">
        <v>585</v>
      </c>
      <c r="CK10" s="4">
        <v>1939</v>
      </c>
      <c r="CL10" s="4">
        <f>SUM(AU10:AX10)</f>
        <v>1704</v>
      </c>
      <c r="CM10" s="4">
        <f>SUM(AY10:BB10)</f>
        <v>2019</v>
      </c>
      <c r="CN10" s="4">
        <f>SUM(BC10:BF10)</f>
        <v>2100</v>
      </c>
      <c r="CO10" s="4">
        <f>SUM(BG10:BJ10)</f>
        <v>2218</v>
      </c>
      <c r="CP10" s="4">
        <f>SUM(BK10:BN10)</f>
        <v>2279</v>
      </c>
      <c r="CQ10" s="4">
        <f t="shared" si="3"/>
        <v>2353</v>
      </c>
      <c r="CR10" s="37">
        <f t="shared" ref="CR10:DA10" si="12">CQ10*(1+CR23)</f>
        <v>3176.55</v>
      </c>
      <c r="CS10" s="37">
        <f t="shared" si="12"/>
        <v>3811.86</v>
      </c>
      <c r="CT10" s="37">
        <f t="shared" si="12"/>
        <v>3926.2158000000004</v>
      </c>
      <c r="CU10" s="37">
        <f t="shared" si="12"/>
        <v>4024.3711950000002</v>
      </c>
      <c r="CV10" s="37">
        <f t="shared" si="12"/>
        <v>4114.9195468875005</v>
      </c>
      <c r="CW10" s="37">
        <f t="shared" si="12"/>
        <v>4197.2179378252504</v>
      </c>
      <c r="CX10" s="37">
        <f t="shared" si="12"/>
        <v>4270.669251737193</v>
      </c>
      <c r="CY10" s="37">
        <f t="shared" si="12"/>
        <v>4334.7292905132508</v>
      </c>
      <c r="CZ10" s="37">
        <f t="shared" si="12"/>
        <v>4388.9134066446659</v>
      </c>
      <c r="DA10" s="37">
        <f t="shared" si="12"/>
        <v>4432.8025407111127</v>
      </c>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row>
    <row r="11" spans="2:146">
      <c r="B11" s="31" t="s">
        <v>103</v>
      </c>
      <c r="AU11" s="1">
        <v>74</v>
      </c>
      <c r="AV11" s="1">
        <v>51</v>
      </c>
      <c r="AW11" s="1">
        <v>76</v>
      </c>
      <c r="AX11" s="1">
        <f>287-SUM(AU11:AW11)</f>
        <v>86</v>
      </c>
      <c r="AY11" s="1">
        <v>83</v>
      </c>
      <c r="AZ11" s="1">
        <v>95</v>
      </c>
      <c r="BA11" s="1">
        <v>86</v>
      </c>
      <c r="BB11" s="1">
        <f>365-SUM(AY11:BA11)</f>
        <v>101</v>
      </c>
      <c r="BC11" s="1">
        <v>118</v>
      </c>
      <c r="BD11" s="1">
        <v>152</v>
      </c>
      <c r="BE11" s="1">
        <v>148</v>
      </c>
      <c r="BF11" s="1">
        <f>585-SUM(BC11:BE11)</f>
        <v>167</v>
      </c>
      <c r="BG11" s="1">
        <v>177</v>
      </c>
      <c r="BH11" s="1">
        <v>193</v>
      </c>
      <c r="BI11" s="1">
        <v>190</v>
      </c>
      <c r="BJ11" s="1">
        <f>800-SUM(BG11:BI11)</f>
        <v>240</v>
      </c>
      <c r="BK11" s="1">
        <v>300</v>
      </c>
      <c r="BL11" s="1">
        <v>428</v>
      </c>
      <c r="BM11" s="1">
        <v>527</v>
      </c>
      <c r="BN11" s="1">
        <f>1904-SUM(BK11:BM11)</f>
        <v>649</v>
      </c>
      <c r="BO11" s="1">
        <v>729</v>
      </c>
      <c r="BP11" s="1">
        <v>840</v>
      </c>
      <c r="BQ11" s="1">
        <v>865</v>
      </c>
      <c r="BR11" s="1">
        <v>889</v>
      </c>
      <c r="BS11" s="1">
        <v>578</v>
      </c>
      <c r="BT11" s="1">
        <v>916</v>
      </c>
      <c r="CK11" s="4">
        <v>329</v>
      </c>
      <c r="CL11" s="4">
        <f>SUM(AU11:AX11)</f>
        <v>287</v>
      </c>
      <c r="CM11" s="4">
        <f>SUM(AY11:BB11)</f>
        <v>365</v>
      </c>
      <c r="CN11" s="4">
        <f>SUM(BC11:BF11)</f>
        <v>585</v>
      </c>
      <c r="CO11" s="4">
        <f>SUM(BG11:BJ11)</f>
        <v>800</v>
      </c>
      <c r="CP11" s="4">
        <f>SUM(BK11:BN11)</f>
        <v>1904</v>
      </c>
      <c r="CQ11" s="4">
        <f t="shared" si="3"/>
        <v>3323</v>
      </c>
      <c r="CR11" s="37">
        <f t="shared" ref="CR11:DA11" si="13">CQ11*(1+CR24)</f>
        <v>2591.94</v>
      </c>
      <c r="CS11" s="37">
        <f t="shared" si="13"/>
        <v>2332.7460000000001</v>
      </c>
      <c r="CT11" s="37">
        <f t="shared" si="13"/>
        <v>2659.3304400000002</v>
      </c>
      <c r="CU11" s="37">
        <f t="shared" si="13"/>
        <v>2951.8567884000004</v>
      </c>
      <c r="CV11" s="37">
        <f t="shared" si="13"/>
        <v>3217.5238993560006</v>
      </c>
      <c r="CW11" s="37">
        <f t="shared" si="13"/>
        <v>3474.9258113044807</v>
      </c>
      <c r="CX11" s="37">
        <f t="shared" si="13"/>
        <v>3718.1706180957945</v>
      </c>
      <c r="CY11" s="37">
        <f t="shared" si="13"/>
        <v>3941.2608551815424</v>
      </c>
      <c r="CZ11" s="37">
        <f t="shared" si="13"/>
        <v>4138.3238979406196</v>
      </c>
      <c r="DA11" s="37">
        <f t="shared" si="13"/>
        <v>4303.8568538582449</v>
      </c>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row>
    <row r="12" spans="2:146" s="3" customFormat="1" ht="15">
      <c r="B12" s="3" t="s">
        <v>123</v>
      </c>
      <c r="AU12" s="3">
        <f t="shared" ref="AU12:BT12" si="14">SUM(AU8:AU11)</f>
        <v>1185</v>
      </c>
      <c r="AV12" s="3">
        <f t="shared" si="14"/>
        <v>965</v>
      </c>
      <c r="AW12" s="3">
        <f t="shared" si="14"/>
        <v>1201</v>
      </c>
      <c r="AX12" s="3">
        <f t="shared" si="14"/>
        <v>1158</v>
      </c>
      <c r="AY12" s="3">
        <f t="shared" si="14"/>
        <v>1248</v>
      </c>
      <c r="AZ12" s="3">
        <f t="shared" si="14"/>
        <v>1409</v>
      </c>
      <c r="BA12" s="3">
        <f t="shared" si="14"/>
        <v>1342</v>
      </c>
      <c r="BB12" s="3">
        <f t="shared" si="14"/>
        <v>1423</v>
      </c>
      <c r="BC12" s="3">
        <f t="shared" si="14"/>
        <v>1407</v>
      </c>
      <c r="BD12" s="3">
        <f t="shared" si="14"/>
        <v>1517</v>
      </c>
      <c r="BE12" s="3">
        <f t="shared" si="14"/>
        <v>1478</v>
      </c>
      <c r="BF12" s="3">
        <f t="shared" si="14"/>
        <v>1530</v>
      </c>
      <c r="BG12" s="3">
        <f t="shared" si="14"/>
        <v>1607</v>
      </c>
      <c r="BH12" s="3">
        <f t="shared" si="14"/>
        <v>1705</v>
      </c>
      <c r="BI12" s="3">
        <f t="shared" si="14"/>
        <v>1648</v>
      </c>
      <c r="BJ12" s="3">
        <f t="shared" si="14"/>
        <v>1749</v>
      </c>
      <c r="BK12" s="3">
        <f t="shared" si="14"/>
        <v>1871</v>
      </c>
      <c r="BL12" s="3">
        <f t="shared" si="14"/>
        <v>2048</v>
      </c>
      <c r="BM12" s="3">
        <f t="shared" si="14"/>
        <v>2129</v>
      </c>
      <c r="BN12" s="3">
        <f t="shared" si="14"/>
        <v>2296</v>
      </c>
      <c r="BO12" s="3">
        <f t="shared" si="14"/>
        <v>2429</v>
      </c>
      <c r="BP12" s="3">
        <f t="shared" si="14"/>
        <v>2647</v>
      </c>
      <c r="BQ12" s="3">
        <f t="shared" si="14"/>
        <v>2641</v>
      </c>
      <c r="BR12" s="3">
        <f t="shared" si="14"/>
        <v>2769</v>
      </c>
      <c r="BS12" s="3">
        <f t="shared" si="14"/>
        <v>2754</v>
      </c>
      <c r="BT12" s="3">
        <f t="shared" si="14"/>
        <v>2841</v>
      </c>
      <c r="BU12" s="58"/>
      <c r="BV12" s="58"/>
      <c r="CK12" s="5">
        <f t="shared" ref="CK12:CP12" si="15">SUM(CK8:CK11)</f>
        <v>5165</v>
      </c>
      <c r="CL12" s="5">
        <f t="shared" si="15"/>
        <v>4509</v>
      </c>
      <c r="CM12" s="5">
        <f t="shared" si="15"/>
        <v>5422</v>
      </c>
      <c r="CN12" s="5">
        <f t="shared" si="15"/>
        <v>5932</v>
      </c>
      <c r="CO12" s="5">
        <f t="shared" si="15"/>
        <v>6709</v>
      </c>
      <c r="CP12" s="5">
        <f t="shared" si="15"/>
        <v>8344</v>
      </c>
      <c r="CQ12" s="5">
        <f t="shared" si="3"/>
        <v>10486</v>
      </c>
      <c r="CR12" s="59">
        <f t="shared" ref="CR12:DA12" si="16">SUM(CR8:CR11)</f>
        <v>11163.1</v>
      </c>
      <c r="CS12" s="59">
        <f t="shared" si="16"/>
        <v>12189.579099999999</v>
      </c>
      <c r="CT12" s="59">
        <f t="shared" si="16"/>
        <v>13260.531649</v>
      </c>
      <c r="CU12" s="59">
        <f t="shared" si="16"/>
        <v>14193.11975605</v>
      </c>
      <c r="CV12" s="59">
        <f t="shared" si="16"/>
        <v>15107.231293046752</v>
      </c>
      <c r="CW12" s="59">
        <f t="shared" si="16"/>
        <v>15980.734462366392</v>
      </c>
      <c r="CX12" s="59">
        <f t="shared" si="16"/>
        <v>16792.47499788077</v>
      </c>
      <c r="CY12" s="59">
        <f t="shared" si="16"/>
        <v>17543.178339545426</v>
      </c>
      <c r="CZ12" s="59">
        <f t="shared" si="16"/>
        <v>18240.507516140708</v>
      </c>
      <c r="DA12" s="59">
        <f t="shared" si="16"/>
        <v>18885.143634267912</v>
      </c>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row>
    <row r="13" spans="2:146">
      <c r="B13" s="31" t="s">
        <v>104</v>
      </c>
      <c r="AU13" s="1">
        <v>393</v>
      </c>
      <c r="AV13" s="1">
        <v>340</v>
      </c>
      <c r="AW13" s="1">
        <v>417</v>
      </c>
      <c r="AX13" s="1">
        <f>1577-SUM(AU13:AW13)</f>
        <v>427</v>
      </c>
      <c r="AY13" s="1">
        <f>433</f>
        <v>433</v>
      </c>
      <c r="AZ13" s="1">
        <v>473</v>
      </c>
      <c r="BA13" s="1">
        <v>452</v>
      </c>
      <c r="BB13" s="1">
        <f>1820-SUM(AY13:BA13)</f>
        <v>462</v>
      </c>
      <c r="BC13" s="1">
        <v>465</v>
      </c>
      <c r="BD13" s="1">
        <v>478</v>
      </c>
      <c r="BE13" s="1">
        <v>479</v>
      </c>
      <c r="BF13" s="1">
        <f>1899-SUM(BC13:BE13)</f>
        <v>477</v>
      </c>
      <c r="BG13" s="1">
        <v>502</v>
      </c>
      <c r="BH13" s="1">
        <v>535</v>
      </c>
      <c r="BI13" s="1">
        <v>538</v>
      </c>
      <c r="BJ13" s="1">
        <f>2109-SUM(BG13:BI13)</f>
        <v>534</v>
      </c>
      <c r="BK13" s="1">
        <v>575</v>
      </c>
      <c r="BL13" s="1">
        <v>590</v>
      </c>
      <c r="BM13" s="1">
        <v>602</v>
      </c>
      <c r="BN13" s="1">
        <f>2410-SUM(BK13:BM13)</f>
        <v>643</v>
      </c>
      <c r="BO13" s="1">
        <v>657</v>
      </c>
      <c r="BP13" s="1">
        <v>698</v>
      </c>
      <c r="BQ13" s="1">
        <v>702</v>
      </c>
      <c r="BR13" s="1">
        <v>708</v>
      </c>
      <c r="BS13" s="1">
        <v>749</v>
      </c>
      <c r="BT13" s="1">
        <v>783</v>
      </c>
      <c r="CK13" s="4">
        <v>1390</v>
      </c>
      <c r="CL13" s="4">
        <f>SUM(AU13:AX13)</f>
        <v>1577</v>
      </c>
      <c r="CM13" s="4">
        <f>SUM(AY13:BB13)</f>
        <v>1820</v>
      </c>
      <c r="CN13" s="4">
        <f>SUM(BC13:BF13)</f>
        <v>1899</v>
      </c>
      <c r="CO13" s="4">
        <f>SUM(BG13:BJ13)</f>
        <v>2109</v>
      </c>
      <c r="CP13" s="4">
        <f>SUM(BK13:BN13)</f>
        <v>2410</v>
      </c>
      <c r="CQ13" s="4">
        <f t="shared" si="3"/>
        <v>2765</v>
      </c>
      <c r="CR13" s="37">
        <f t="shared" ref="CR13:DA13" si="17">CQ13*(1+CR26)</f>
        <v>3138.2750000000001</v>
      </c>
      <c r="CS13" s="37">
        <f t="shared" si="17"/>
        <v>3514.8680000000004</v>
      </c>
      <c r="CT13" s="37">
        <f t="shared" si="17"/>
        <v>3919.0778200000004</v>
      </c>
      <c r="CU13" s="37">
        <f t="shared" si="17"/>
        <v>4350.1763802000005</v>
      </c>
      <c r="CV13" s="37">
        <f t="shared" si="17"/>
        <v>4785.1940182200005</v>
      </c>
      <c r="CW13" s="37">
        <f t="shared" si="17"/>
        <v>5215.861479859801</v>
      </c>
      <c r="CX13" s="37">
        <f t="shared" si="17"/>
        <v>5633.1303982485852</v>
      </c>
      <c r="CY13" s="37">
        <f t="shared" si="17"/>
        <v>6027.4495261259863</v>
      </c>
      <c r="CZ13" s="37">
        <f t="shared" si="17"/>
        <v>6389.0964976935456</v>
      </c>
      <c r="DA13" s="37">
        <f t="shared" si="17"/>
        <v>6644.6603576012876</v>
      </c>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row>
    <row r="14" spans="2:146" s="3" customFormat="1" ht="15">
      <c r="B14" s="3" t="s">
        <v>105</v>
      </c>
      <c r="AU14" s="3">
        <f t="shared" ref="AU14:BT14" si="18">SUM(AU12:AU13)</f>
        <v>1578</v>
      </c>
      <c r="AV14" s="3">
        <f t="shared" si="18"/>
        <v>1305</v>
      </c>
      <c r="AW14" s="3">
        <f t="shared" si="18"/>
        <v>1618</v>
      </c>
      <c r="AX14" s="3">
        <f t="shared" si="18"/>
        <v>1585</v>
      </c>
      <c r="AY14" s="3">
        <f t="shared" si="18"/>
        <v>1681</v>
      </c>
      <c r="AZ14" s="3">
        <f t="shared" si="18"/>
        <v>1882</v>
      </c>
      <c r="BA14" s="3">
        <f t="shared" si="18"/>
        <v>1794</v>
      </c>
      <c r="BB14" s="3">
        <f t="shared" si="18"/>
        <v>1885</v>
      </c>
      <c r="BC14" s="3">
        <f t="shared" si="18"/>
        <v>1872</v>
      </c>
      <c r="BD14" s="3">
        <f t="shared" si="18"/>
        <v>1995</v>
      </c>
      <c r="BE14" s="3">
        <f t="shared" si="18"/>
        <v>1957</v>
      </c>
      <c r="BF14" s="3">
        <f t="shared" si="18"/>
        <v>2007</v>
      </c>
      <c r="BG14" s="3">
        <f t="shared" si="18"/>
        <v>2109</v>
      </c>
      <c r="BH14" s="3">
        <f t="shared" si="18"/>
        <v>2240</v>
      </c>
      <c r="BI14" s="3">
        <f t="shared" si="18"/>
        <v>2186</v>
      </c>
      <c r="BJ14" s="3">
        <f t="shared" si="18"/>
        <v>2283</v>
      </c>
      <c r="BK14" s="3">
        <f t="shared" si="18"/>
        <v>2446</v>
      </c>
      <c r="BL14" s="3">
        <f t="shared" si="18"/>
        <v>2638</v>
      </c>
      <c r="BM14" s="3">
        <f t="shared" si="18"/>
        <v>2731</v>
      </c>
      <c r="BN14" s="3">
        <f t="shared" si="18"/>
        <v>2939</v>
      </c>
      <c r="BO14" s="3">
        <f t="shared" si="18"/>
        <v>3086</v>
      </c>
      <c r="BP14" s="3">
        <f t="shared" si="18"/>
        <v>3345</v>
      </c>
      <c r="BQ14" s="3">
        <f t="shared" si="18"/>
        <v>3343</v>
      </c>
      <c r="BR14" s="3">
        <f t="shared" si="18"/>
        <v>3477</v>
      </c>
      <c r="BS14" s="3">
        <f t="shared" si="18"/>
        <v>3503</v>
      </c>
      <c r="BT14" s="3">
        <f t="shared" si="18"/>
        <v>3624</v>
      </c>
      <c r="BU14" s="58"/>
      <c r="BV14" s="58"/>
      <c r="CK14" s="3">
        <f t="shared" ref="CK14:CP14" si="19">CK12+CK13</f>
        <v>6555</v>
      </c>
      <c r="CL14" s="3">
        <f t="shared" si="19"/>
        <v>6086</v>
      </c>
      <c r="CM14" s="3">
        <f t="shared" si="19"/>
        <v>7242</v>
      </c>
      <c r="CN14" s="3">
        <f t="shared" si="19"/>
        <v>7831</v>
      </c>
      <c r="CO14" s="3">
        <f t="shared" si="19"/>
        <v>8818</v>
      </c>
      <c r="CP14" s="3">
        <f t="shared" si="19"/>
        <v>10754</v>
      </c>
      <c r="CQ14" s="5">
        <f t="shared" si="3"/>
        <v>13251</v>
      </c>
      <c r="CR14" s="59">
        <f t="shared" ref="CR14:DA14" si="20">CR12+CR13</f>
        <v>14301.375</v>
      </c>
      <c r="CS14" s="59">
        <f t="shared" si="20"/>
        <v>15704.447099999999</v>
      </c>
      <c r="CT14" s="59">
        <f t="shared" si="20"/>
        <v>17179.609469000003</v>
      </c>
      <c r="CU14" s="59">
        <f t="shared" si="20"/>
        <v>18543.296136249999</v>
      </c>
      <c r="CV14" s="59">
        <f t="shared" si="20"/>
        <v>19892.425311266754</v>
      </c>
      <c r="CW14" s="59">
        <f t="shared" si="20"/>
        <v>21196.595942226195</v>
      </c>
      <c r="CX14" s="59">
        <f t="shared" si="20"/>
        <v>22425.605396129355</v>
      </c>
      <c r="CY14" s="59">
        <f t="shared" si="20"/>
        <v>23570.627865671413</v>
      </c>
      <c r="CZ14" s="59">
        <f t="shared" si="20"/>
        <v>24629.604013834254</v>
      </c>
      <c r="DA14" s="59">
        <f t="shared" si="20"/>
        <v>25529.803991869201</v>
      </c>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row>
    <row r="15" spans="2:146" s="3" customFormat="1" ht="15">
      <c r="B15" s="3" t="s">
        <v>106</v>
      </c>
      <c r="AU15" s="3">
        <f>AU7+AU14</f>
        <v>2543</v>
      </c>
      <c r="AV15" s="3">
        <f>AV7+AV14</f>
        <v>2003</v>
      </c>
      <c r="AW15" s="3">
        <f>AW7+AW14</f>
        <v>2659</v>
      </c>
      <c r="AX15" s="3">
        <f>AX7+AX14</f>
        <v>2708</v>
      </c>
      <c r="AY15" s="3">
        <f>AY7+AY14+13</f>
        <v>2752</v>
      </c>
      <c r="AZ15" s="3">
        <f t="shared" ref="AZ15:BE15" si="21">AZ7+AZ14</f>
        <v>3077</v>
      </c>
      <c r="BA15" s="3">
        <f t="shared" si="21"/>
        <v>2932</v>
      </c>
      <c r="BB15" s="3">
        <f t="shared" si="21"/>
        <v>3127</v>
      </c>
      <c r="BC15" s="3">
        <f t="shared" si="21"/>
        <v>3026</v>
      </c>
      <c r="BD15" s="3">
        <f t="shared" si="21"/>
        <v>3244</v>
      </c>
      <c r="BE15" s="3">
        <f t="shared" si="21"/>
        <v>3170</v>
      </c>
      <c r="BF15" s="3">
        <f>BF7+BF14-60</f>
        <v>3242</v>
      </c>
      <c r="BG15" s="3">
        <f t="shared" ref="BG15:BT15" si="22">BG7+BG14</f>
        <v>3389</v>
      </c>
      <c r="BH15" s="3">
        <f t="shared" si="22"/>
        <v>3599</v>
      </c>
      <c r="BI15" s="3">
        <f t="shared" si="22"/>
        <v>3527</v>
      </c>
      <c r="BJ15" s="3">
        <f t="shared" si="22"/>
        <v>3725</v>
      </c>
      <c r="BK15" s="3">
        <f t="shared" si="22"/>
        <v>3857</v>
      </c>
      <c r="BL15" s="3">
        <f t="shared" si="22"/>
        <v>4120</v>
      </c>
      <c r="BM15" s="3">
        <f t="shared" si="22"/>
        <v>4209</v>
      </c>
      <c r="BN15" s="3">
        <f t="shared" si="22"/>
        <v>4561</v>
      </c>
      <c r="BO15" s="3">
        <f t="shared" si="22"/>
        <v>4663</v>
      </c>
      <c r="BP15" s="3">
        <f t="shared" si="22"/>
        <v>5061</v>
      </c>
      <c r="BQ15" s="3">
        <f t="shared" si="22"/>
        <v>5065</v>
      </c>
      <c r="BR15" s="3">
        <f t="shared" si="22"/>
        <v>5286</v>
      </c>
      <c r="BS15" s="3">
        <f t="shared" si="22"/>
        <v>5204</v>
      </c>
      <c r="BT15" s="3">
        <f t="shared" si="22"/>
        <v>5442</v>
      </c>
      <c r="BU15" s="58"/>
      <c r="BV15" s="58"/>
      <c r="CK15" s="3">
        <f>CK7+CK14</f>
        <v>10735</v>
      </c>
      <c r="CL15" s="3">
        <f>CL7+CL14</f>
        <v>9913</v>
      </c>
      <c r="CM15" s="3">
        <f>CM7+CM14+13</f>
        <v>11888</v>
      </c>
      <c r="CN15" s="3">
        <f>CN7+CN14-60</f>
        <v>12682</v>
      </c>
      <c r="CO15" s="3">
        <f>CO7+CO14</f>
        <v>14240</v>
      </c>
      <c r="CP15" s="3">
        <f>CP7+CP14</f>
        <v>16747</v>
      </c>
      <c r="CQ15" s="5">
        <f t="shared" si="3"/>
        <v>20075</v>
      </c>
      <c r="CR15" s="59">
        <f t="shared" ref="CR15:DA15" si="23">CR7+CR14</f>
        <v>21718.245000000003</v>
      </c>
      <c r="CS15" s="59">
        <f t="shared" si="23"/>
        <v>23606.828949999999</v>
      </c>
      <c r="CT15" s="59">
        <f t="shared" si="23"/>
        <v>25635.441786400002</v>
      </c>
      <c r="CU15" s="59">
        <f t="shared" si="23"/>
        <v>27574.2139368688</v>
      </c>
      <c r="CV15" s="59">
        <f t="shared" si="23"/>
        <v>29447.036478380709</v>
      </c>
      <c r="CW15" s="59">
        <f t="shared" si="23"/>
        <v>31239.875925622495</v>
      </c>
      <c r="CX15" s="59">
        <f t="shared" si="23"/>
        <v>32935.811707752873</v>
      </c>
      <c r="CY15" s="59">
        <f t="shared" si="23"/>
        <v>34515.185119830057</v>
      </c>
      <c r="CZ15" s="59">
        <f t="shared" si="23"/>
        <v>35977.553099941004</v>
      </c>
      <c r="DA15" s="59">
        <f t="shared" si="23"/>
        <v>37255.19415044754</v>
      </c>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row>
    <row r="16" spans="2:146" s="3" customFormat="1" ht="15">
      <c r="BU16" s="58"/>
      <c r="BV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row>
    <row r="17" spans="2:146" s="11" customFormat="1">
      <c r="B17" s="68" t="s">
        <v>172</v>
      </c>
      <c r="AU17" s="12"/>
      <c r="AV17" s="12"/>
      <c r="AW17" s="12"/>
      <c r="AX17" s="12"/>
      <c r="AY17" s="12">
        <f t="shared" ref="AY17:AY28" si="24">AY4/AU4-1</f>
        <v>0.12895927601809953</v>
      </c>
      <c r="AZ17" s="12">
        <f t="shared" ref="AZ17:AZ28" si="25">AZ4/AV4-1</f>
        <v>0.58333333333333326</v>
      </c>
      <c r="BA17" s="12">
        <f t="shared" ref="BA17:BA28" si="26">BA4/AW4-1</f>
        <v>0.12210526315789472</v>
      </c>
      <c r="BB17" s="12">
        <f t="shared" ref="BB17:BB28" si="27">BB4/AX4-1</f>
        <v>8.3495145631067968E-2</v>
      </c>
      <c r="BC17" s="12">
        <f t="shared" ref="BC17:BC28" si="28">BC4/AY4-1</f>
        <v>6.6132264529058071E-2</v>
      </c>
      <c r="BD17" s="12">
        <f t="shared" ref="BD17:BD28" si="29">BD4/AZ4-1</f>
        <v>1.8148820326678861E-2</v>
      </c>
      <c r="BE17" s="12">
        <f t="shared" ref="BE17:BE28" si="30">BE4/BA4-1</f>
        <v>4.8780487804878092E-2</v>
      </c>
      <c r="BF17" s="12">
        <f t="shared" ref="BF17:BF28" si="31">BF4/BB4-1</f>
        <v>1.9713261648745428E-2</v>
      </c>
      <c r="BG17" s="12">
        <f t="shared" ref="BG17:BG28" si="32">BG4/BC4-1</f>
        <v>8.4586466165413432E-2</v>
      </c>
      <c r="BH17" s="12">
        <f t="shared" ref="BH17:BH28" si="33">BH4/BD4-1</f>
        <v>0.12299465240641716</v>
      </c>
      <c r="BI17" s="12">
        <f t="shared" ref="BI17:BI28" si="34">BI4/BE4-1</f>
        <v>0.12522361359570655</v>
      </c>
      <c r="BJ17" s="12">
        <f t="shared" ref="BJ17:BJ28" si="35">BJ4/BF4-1</f>
        <v>0.13532513181019334</v>
      </c>
      <c r="BK17" s="12">
        <f t="shared" ref="BK17:BK28" si="36">BK4/BG4-1</f>
        <v>0.11265164644714032</v>
      </c>
      <c r="BL17" s="12">
        <f t="shared" ref="BL17:BL28" si="37">BL4/BH4-1</f>
        <v>7.1428571428571397E-2</v>
      </c>
      <c r="BM17" s="12">
        <f t="shared" ref="BM17:BM28" si="38">BM4/BI4-1</f>
        <v>7.7901430842607367E-2</v>
      </c>
      <c r="BN17" s="12">
        <f t="shared" ref="BN17:BN28" si="39">BN4/BJ4-1</f>
        <v>7.120743034055721E-2</v>
      </c>
      <c r="BO17" s="12">
        <f t="shared" ref="BO17:BO28" si="40">BO4/BK4-1</f>
        <v>4.8286604361370777E-2</v>
      </c>
      <c r="BP17" s="12">
        <f t="shared" ref="BP17:BP28" si="41">BP4/BL4-1</f>
        <v>9.1851851851851851E-2</v>
      </c>
      <c r="BQ17" s="12">
        <f t="shared" ref="BQ17:BQ28" si="42">BQ4/BM4-1</f>
        <v>0.10176991150442483</v>
      </c>
      <c r="BR17" s="11">
        <f t="shared" ref="BR17:BR28" si="43">BR4/BN4-1</f>
        <v>9.8265895953757232E-2</v>
      </c>
      <c r="BS17" s="11">
        <f t="shared" ref="BS17:BT28" si="44">BS4/BO4-1</f>
        <v>9.3610698365527378E-2</v>
      </c>
      <c r="BT17" s="11">
        <f t="shared" si="44"/>
        <v>7.5983717774762649E-2</v>
      </c>
      <c r="BU17" s="60"/>
      <c r="BV17" s="60"/>
      <c r="CL17" s="11">
        <f t="shared" ref="CL17:DA28" si="45">CL4/CK4-1</f>
        <v>-6.0190073917634646E-2</v>
      </c>
      <c r="CM17" s="11">
        <f t="shared" si="45"/>
        <v>0.20280898876404496</v>
      </c>
      <c r="CN17" s="11">
        <f t="shared" si="45"/>
        <v>3.736571695469415E-2</v>
      </c>
      <c r="CO17" s="11">
        <f t="shared" si="45"/>
        <v>0.11751463304817644</v>
      </c>
      <c r="CP17" s="11">
        <f t="shared" si="45"/>
        <v>8.2594681708299866E-2</v>
      </c>
      <c r="CQ17" s="11">
        <f t="shared" si="45"/>
        <v>8.5597320431708201E-2</v>
      </c>
      <c r="CR17" s="60">
        <v>0.09</v>
      </c>
      <c r="CS17" s="60">
        <v>6.5000000000000002E-2</v>
      </c>
      <c r="CT17" s="60">
        <v>5.1999999999999998E-2</v>
      </c>
      <c r="CU17" s="60">
        <v>4.2000000000000003E-2</v>
      </c>
      <c r="CV17" s="60">
        <v>0.04</v>
      </c>
      <c r="CW17" s="60">
        <v>3.6999999999999998E-2</v>
      </c>
      <c r="CX17" s="60">
        <v>3.5000000000000003E-2</v>
      </c>
      <c r="CY17" s="60">
        <v>3.2000000000000001E-2</v>
      </c>
      <c r="CZ17" s="60">
        <v>3.1E-2</v>
      </c>
      <c r="DA17" s="60">
        <v>0.03</v>
      </c>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row>
    <row r="18" spans="2:146" s="11" customFormat="1">
      <c r="B18" s="68" t="s">
        <v>173</v>
      </c>
      <c r="AU18" s="12"/>
      <c r="AV18" s="12"/>
      <c r="AW18" s="12"/>
      <c r="AX18" s="12"/>
      <c r="AY18" s="12">
        <f t="shared" si="24"/>
        <v>8.7349397590361422E-2</v>
      </c>
      <c r="AZ18" s="12">
        <f t="shared" si="25"/>
        <v>0.74122807017543857</v>
      </c>
      <c r="BA18" s="12">
        <f t="shared" si="26"/>
        <v>9.7142857142857197E-2</v>
      </c>
      <c r="BB18" s="12">
        <f t="shared" si="27"/>
        <v>0.1728723404255319</v>
      </c>
      <c r="BC18" s="12">
        <f t="shared" si="28"/>
        <v>0.14404432132963985</v>
      </c>
      <c r="BD18" s="12">
        <f t="shared" si="29"/>
        <v>0.13350125944584379</v>
      </c>
      <c r="BE18" s="12">
        <f t="shared" si="30"/>
        <v>0.12760416666666674</v>
      </c>
      <c r="BF18" s="12">
        <f t="shared" si="31"/>
        <v>8.163265306122458E-2</v>
      </c>
      <c r="BG18" s="12">
        <f t="shared" si="32"/>
        <v>0.13559322033898313</v>
      </c>
      <c r="BH18" s="12">
        <f t="shared" si="33"/>
        <v>7.7777777777777724E-2</v>
      </c>
      <c r="BI18" s="12">
        <f t="shared" si="34"/>
        <v>0.11547344110854496</v>
      </c>
      <c r="BJ18" s="12">
        <f t="shared" si="35"/>
        <v>0.10482180293501053</v>
      </c>
      <c r="BK18" s="12">
        <f t="shared" si="36"/>
        <v>9.3816631130063888E-2</v>
      </c>
      <c r="BL18" s="12">
        <f t="shared" si="37"/>
        <v>8.247422680412364E-2</v>
      </c>
      <c r="BM18" s="12">
        <f t="shared" si="38"/>
        <v>0.10144927536231885</v>
      </c>
      <c r="BN18" s="12">
        <f t="shared" si="39"/>
        <v>0.19544592030360541</v>
      </c>
      <c r="BO18" s="12">
        <f t="shared" si="40"/>
        <v>0.23391812865497075</v>
      </c>
      <c r="BP18" s="12">
        <f t="shared" si="41"/>
        <v>0.28761904761904766</v>
      </c>
      <c r="BQ18" s="12">
        <f t="shared" si="42"/>
        <v>0.28195488721804507</v>
      </c>
      <c r="BR18" s="11">
        <f t="shared" si="43"/>
        <v>0.13809523809523805</v>
      </c>
      <c r="BS18" s="11">
        <f t="shared" si="44"/>
        <v>2.0537124802527673E-2</v>
      </c>
      <c r="BT18" s="11">
        <f t="shared" si="44"/>
        <v>1.1834319526627279E-2</v>
      </c>
      <c r="BU18" s="60"/>
      <c r="BV18" s="60"/>
      <c r="CL18" s="11">
        <f t="shared" si="45"/>
        <v>-8.987968860580331E-2</v>
      </c>
      <c r="CM18" s="11">
        <f t="shared" si="45"/>
        <v>0.23094867807153974</v>
      </c>
      <c r="CN18" s="11">
        <f t="shared" si="45"/>
        <v>0.12002526847757422</v>
      </c>
      <c r="CO18" s="11">
        <f t="shared" si="45"/>
        <v>0.10772701635645787</v>
      </c>
      <c r="CP18" s="11">
        <f t="shared" si="45"/>
        <v>0.12016293279022405</v>
      </c>
      <c r="CQ18" s="11">
        <f t="shared" si="45"/>
        <v>0.23090909090909095</v>
      </c>
      <c r="CR18" s="60">
        <v>0.06</v>
      </c>
      <c r="CS18" s="60">
        <v>0.04</v>
      </c>
      <c r="CT18" s="60">
        <v>7.0000000000000007E-2</v>
      </c>
      <c r="CU18" s="60">
        <v>0.08</v>
      </c>
      <c r="CV18" s="60">
        <v>0.06</v>
      </c>
      <c r="CW18" s="60">
        <v>0.05</v>
      </c>
      <c r="CX18" s="60">
        <v>4.4999999999999998E-2</v>
      </c>
      <c r="CY18" s="60">
        <v>0.04</v>
      </c>
      <c r="CZ18" s="60">
        <v>3.5000000000000003E-2</v>
      </c>
      <c r="DA18" s="60">
        <v>3.2500000000000001E-2</v>
      </c>
      <c r="DB18" s="60"/>
      <c r="DC18" s="60"/>
      <c r="DD18" s="60"/>
      <c r="DE18" s="60"/>
      <c r="DF18" s="60"/>
      <c r="DG18" s="60"/>
      <c r="DH18" s="60"/>
      <c r="DI18" s="60"/>
      <c r="DJ18" s="60"/>
      <c r="DK18" s="60"/>
      <c r="DL18" s="60"/>
      <c r="DM18" s="60"/>
      <c r="DN18" s="60"/>
      <c r="DO18" s="60"/>
      <c r="DP18" s="60"/>
      <c r="DQ18" s="60"/>
      <c r="DR18" s="60"/>
      <c r="DS18" s="60"/>
      <c r="DT18" s="60"/>
      <c r="DU18" s="60"/>
      <c r="DV18" s="60"/>
      <c r="DW18" s="60"/>
      <c r="DX18" s="60"/>
      <c r="DY18" s="60"/>
      <c r="DZ18" s="60"/>
      <c r="EA18" s="60"/>
      <c r="EB18" s="60"/>
      <c r="EC18" s="60"/>
      <c r="ED18" s="60"/>
      <c r="EE18" s="60"/>
      <c r="EF18" s="60"/>
      <c r="EG18" s="60"/>
      <c r="EH18" s="60"/>
      <c r="EI18" s="60"/>
      <c r="EJ18" s="60"/>
      <c r="EK18" s="60"/>
      <c r="EL18" s="60"/>
      <c r="EM18" s="60"/>
      <c r="EN18" s="60"/>
      <c r="EO18" s="60"/>
      <c r="EP18" s="60"/>
    </row>
    <row r="19" spans="2:146" s="11" customFormat="1">
      <c r="B19" s="68" t="s">
        <v>175</v>
      </c>
      <c r="AU19" s="12"/>
      <c r="AV19" s="12"/>
      <c r="AW19" s="12"/>
      <c r="AX19" s="12"/>
      <c r="AY19" s="12">
        <f t="shared" si="24"/>
        <v>3.6649214659685958E-2</v>
      </c>
      <c r="AZ19" s="12">
        <f t="shared" si="25"/>
        <v>1.0245901639344264</v>
      </c>
      <c r="BA19" s="12">
        <f t="shared" si="26"/>
        <v>2.314814814814814E-2</v>
      </c>
      <c r="BB19" s="12">
        <f t="shared" si="27"/>
        <v>4.7413793103448176E-2</v>
      </c>
      <c r="BC19" s="12">
        <f t="shared" si="28"/>
        <v>5.555555555555558E-2</v>
      </c>
      <c r="BD19" s="12">
        <f t="shared" si="29"/>
        <v>-3.6437246963562764E-2</v>
      </c>
      <c r="BE19" s="12">
        <f t="shared" si="30"/>
        <v>0</v>
      </c>
      <c r="BF19" s="12">
        <f t="shared" si="31"/>
        <v>2.4691358024691468E-2</v>
      </c>
      <c r="BG19" s="12">
        <f t="shared" si="32"/>
        <v>0.11961722488038284</v>
      </c>
      <c r="BH19" s="12">
        <f t="shared" si="33"/>
        <v>2.5210084033613356E-2</v>
      </c>
      <c r="BI19" s="12">
        <f t="shared" si="34"/>
        <v>3.6199095022624528E-2</v>
      </c>
      <c r="BJ19" s="12">
        <f t="shared" si="35"/>
        <v>8.032128514056236E-2</v>
      </c>
      <c r="BK19" s="12">
        <f t="shared" si="36"/>
        <v>9.4017094017094127E-2</v>
      </c>
      <c r="BL19" s="12">
        <f t="shared" si="37"/>
        <v>0.15573770491803285</v>
      </c>
      <c r="BM19" s="12">
        <f t="shared" si="38"/>
        <v>0.17030567685589526</v>
      </c>
      <c r="BN19" s="12">
        <f t="shared" si="39"/>
        <v>0.11524163568773238</v>
      </c>
      <c r="BO19" s="12">
        <f t="shared" si="40"/>
        <v>5.859375E-2</v>
      </c>
      <c r="BP19" s="12">
        <f t="shared" si="41"/>
        <v>7.4468085106383031E-2</v>
      </c>
      <c r="BQ19" s="12">
        <f t="shared" si="42"/>
        <v>9.3283582089552342E-2</v>
      </c>
      <c r="BR19" s="11">
        <f t="shared" si="43"/>
        <v>0.10666666666666669</v>
      </c>
      <c r="BS19" s="11">
        <f t="shared" si="44"/>
        <v>0.17712177121771222</v>
      </c>
      <c r="BT19" s="11">
        <f t="shared" si="44"/>
        <v>0.12541254125412538</v>
      </c>
      <c r="BU19" s="60"/>
      <c r="BV19" s="60"/>
      <c r="CL19" s="11">
        <f t="shared" si="45"/>
        <v>-0.12829324169530354</v>
      </c>
      <c r="CM19" s="11">
        <f t="shared" si="45"/>
        <v>0.19448094612352174</v>
      </c>
      <c r="CN19" s="11">
        <f t="shared" si="45"/>
        <v>8.8008800880088334E-3</v>
      </c>
      <c r="CO19" s="11">
        <f t="shared" si="45"/>
        <v>6.4340239912759056E-2</v>
      </c>
      <c r="CP19" s="11">
        <f t="shared" si="45"/>
        <v>0.13319672131147531</v>
      </c>
      <c r="CQ19" s="11">
        <f t="shared" si="45"/>
        <v>8.408679927667273E-2</v>
      </c>
      <c r="CR19" s="60">
        <v>0.14000000000000001</v>
      </c>
      <c r="CS19" s="60">
        <v>0.12</v>
      </c>
      <c r="CT19" s="60">
        <v>0.11</v>
      </c>
      <c r="CU19" s="60">
        <v>0.1</v>
      </c>
      <c r="CV19" s="60">
        <v>0.09</v>
      </c>
      <c r="CW19" s="60">
        <v>0.08</v>
      </c>
      <c r="CX19" s="60">
        <v>7.0000000000000007E-2</v>
      </c>
      <c r="CY19" s="60">
        <v>0.06</v>
      </c>
      <c r="CZ19" s="60">
        <v>0.05</v>
      </c>
      <c r="DA19" s="60">
        <v>0.04</v>
      </c>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row>
    <row r="20" spans="2:146" s="33" customFormat="1" ht="15">
      <c r="B20" s="33" t="s">
        <v>2257</v>
      </c>
      <c r="AU20" s="34"/>
      <c r="AV20" s="34"/>
      <c r="AW20" s="34"/>
      <c r="AX20" s="34"/>
      <c r="AY20" s="34">
        <f t="shared" si="24"/>
        <v>9.6373056994818684E-2</v>
      </c>
      <c r="AZ20" s="34">
        <f t="shared" si="25"/>
        <v>0.71203438395415475</v>
      </c>
      <c r="BA20" s="34">
        <f t="shared" si="26"/>
        <v>9.3179634966378488E-2</v>
      </c>
      <c r="BB20" s="34">
        <f t="shared" si="27"/>
        <v>0.10596616206589493</v>
      </c>
      <c r="BC20" s="34">
        <f t="shared" si="28"/>
        <v>9.0737240075614345E-2</v>
      </c>
      <c r="BD20" s="34">
        <f t="shared" si="29"/>
        <v>4.5188284518828503E-2</v>
      </c>
      <c r="BE20" s="34">
        <f t="shared" si="30"/>
        <v>6.5905096660808349E-2</v>
      </c>
      <c r="BF20" s="34">
        <f t="shared" si="31"/>
        <v>4.2673107890499162E-2</v>
      </c>
      <c r="BG20" s="34">
        <f t="shared" si="32"/>
        <v>0.10918544194107449</v>
      </c>
      <c r="BH20" s="34">
        <f t="shared" si="33"/>
        <v>8.8070456365092031E-2</v>
      </c>
      <c r="BI20" s="34">
        <f t="shared" si="34"/>
        <v>0.10552349546578732</v>
      </c>
      <c r="BJ20" s="34">
        <f t="shared" si="35"/>
        <v>0.11351351351351346</v>
      </c>
      <c r="BK20" s="34">
        <f t="shared" si="36"/>
        <v>0.10234374999999996</v>
      </c>
      <c r="BL20" s="34">
        <f t="shared" si="37"/>
        <v>9.0507726269315691E-2</v>
      </c>
      <c r="BM20" s="34">
        <f t="shared" si="38"/>
        <v>0.10216256524981349</v>
      </c>
      <c r="BN20" s="34">
        <f t="shared" si="39"/>
        <v>0.12482662968099856</v>
      </c>
      <c r="BO20" s="34">
        <f t="shared" si="40"/>
        <v>0.11764705882352944</v>
      </c>
      <c r="BP20" s="34">
        <f t="shared" si="41"/>
        <v>0.15789473684210531</v>
      </c>
      <c r="BQ20" s="34">
        <f t="shared" si="42"/>
        <v>0.16508795669824083</v>
      </c>
      <c r="BR20" s="33">
        <f t="shared" si="43"/>
        <v>0.11528976572133165</v>
      </c>
      <c r="BS20" s="33">
        <f t="shared" si="44"/>
        <v>7.8630310716550467E-2</v>
      </c>
      <c r="BT20" s="33">
        <f t="shared" si="44"/>
        <v>5.9440559440559371E-2</v>
      </c>
      <c r="BU20" s="61"/>
      <c r="BV20" s="61"/>
      <c r="CL20" s="33">
        <f t="shared" si="45"/>
        <v>-8.4449760765550219E-2</v>
      </c>
      <c r="CM20" s="33">
        <f t="shared" si="45"/>
        <v>0.21060883198327662</v>
      </c>
      <c r="CN20" s="33">
        <f t="shared" si="45"/>
        <v>6.0004316857327877E-2</v>
      </c>
      <c r="CO20" s="33">
        <f t="shared" si="45"/>
        <v>0.10405212787619633</v>
      </c>
      <c r="CP20" s="33">
        <f t="shared" si="45"/>
        <v>0.10531169310217625</v>
      </c>
      <c r="CQ20" s="33">
        <f t="shared" si="45"/>
        <v>0.13866177206741193</v>
      </c>
      <c r="CR20" s="61">
        <f t="shared" si="45"/>
        <v>8.6880128956623892E-2</v>
      </c>
      <c r="CS20" s="61">
        <f t="shared" si="45"/>
        <v>6.5460477263319827E-2</v>
      </c>
      <c r="CT20" s="61">
        <f t="shared" si="45"/>
        <v>7.0035905364405959E-2</v>
      </c>
      <c r="CU20" s="61">
        <f t="shared" si="45"/>
        <v>6.8010511754758696E-2</v>
      </c>
      <c r="CV20" s="61">
        <f t="shared" si="45"/>
        <v>5.7988941772813885E-2</v>
      </c>
      <c r="CW20" s="61">
        <f t="shared" si="45"/>
        <v>5.11448145544946E-2</v>
      </c>
      <c r="CX20" s="61">
        <f t="shared" si="45"/>
        <v>4.6491418042626576E-2</v>
      </c>
      <c r="CY20" s="61">
        <f t="shared" si="45"/>
        <v>4.1326585764045687E-2</v>
      </c>
      <c r="CZ20" s="61">
        <f t="shared" si="45"/>
        <v>3.6857757018432524E-2</v>
      </c>
      <c r="DA20" s="61">
        <f t="shared" si="45"/>
        <v>3.3260730164333507E-2</v>
      </c>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row>
    <row r="21" spans="2:146" s="11" customFormat="1">
      <c r="B21" s="68" t="s">
        <v>2227</v>
      </c>
      <c r="AU21" s="12"/>
      <c r="AV21" s="12"/>
      <c r="AW21" s="12"/>
      <c r="AX21" s="12"/>
      <c r="AY21" s="12">
        <f t="shared" si="24"/>
        <v>-0.16903633491311221</v>
      </c>
      <c r="AZ21" s="12">
        <f t="shared" si="25"/>
        <v>0.15959595959595951</v>
      </c>
      <c r="BA21" s="12">
        <f t="shared" si="26"/>
        <v>-8.8737201365187701E-2</v>
      </c>
      <c r="BB21" s="12">
        <f t="shared" si="27"/>
        <v>-1.7094017094017144E-2</v>
      </c>
      <c r="BC21" s="12">
        <f t="shared" si="28"/>
        <v>3.4220532319391594E-2</v>
      </c>
      <c r="BD21" s="12">
        <f t="shared" si="29"/>
        <v>0</v>
      </c>
      <c r="BE21" s="12">
        <f t="shared" si="30"/>
        <v>2.8089887640449396E-2</v>
      </c>
      <c r="BF21" s="12">
        <f t="shared" si="31"/>
        <v>-2.4347826086956514E-2</v>
      </c>
      <c r="BG21" s="12">
        <f t="shared" si="32"/>
        <v>8.6397058823529438E-2</v>
      </c>
      <c r="BH21" s="12">
        <f t="shared" si="33"/>
        <v>9.5818815331010443E-2</v>
      </c>
      <c r="BI21" s="12">
        <f t="shared" si="34"/>
        <v>6.1930783242258647E-2</v>
      </c>
      <c r="BJ21" s="12">
        <f t="shared" si="35"/>
        <v>9.4474153297682717E-2</v>
      </c>
      <c r="BK21" s="12">
        <f t="shared" si="36"/>
        <v>0.10321489001692052</v>
      </c>
      <c r="BL21" s="12">
        <f t="shared" si="37"/>
        <v>5.7233704292527721E-2</v>
      </c>
      <c r="BM21" s="12">
        <f t="shared" si="38"/>
        <v>0.13379073756432236</v>
      </c>
      <c r="BN21" s="12">
        <f t="shared" si="39"/>
        <v>8.6319218241042384E-2</v>
      </c>
      <c r="BO21" s="12">
        <f t="shared" si="40"/>
        <v>6.9018404907975395E-2</v>
      </c>
      <c r="BP21" s="12">
        <f t="shared" si="41"/>
        <v>9.9248120300751808E-2</v>
      </c>
      <c r="BQ21" s="12">
        <f t="shared" si="42"/>
        <v>3.7821482602117928E-2</v>
      </c>
      <c r="BR21" s="11">
        <f t="shared" si="43"/>
        <v>9.7451274362818641E-2</v>
      </c>
      <c r="BS21" s="11">
        <f t="shared" si="44"/>
        <v>9.612625538020092E-2</v>
      </c>
      <c r="BT21" s="11">
        <f t="shared" si="44"/>
        <v>0.13953488372093026</v>
      </c>
      <c r="BU21" s="60"/>
      <c r="BV21" s="60"/>
      <c r="CL21" s="11">
        <f t="shared" si="45"/>
        <v>-0.18359375</v>
      </c>
      <c r="CM21" s="11">
        <f t="shared" si="45"/>
        <v>-3.9147455415397991E-2</v>
      </c>
      <c r="CN21" s="11">
        <f t="shared" si="45"/>
        <v>8.6011770031688695E-3</v>
      </c>
      <c r="CO21" s="11">
        <f t="shared" si="45"/>
        <v>8.48294434470378E-2</v>
      </c>
      <c r="CP21" s="11">
        <f t="shared" si="45"/>
        <v>9.4331816301199911E-2</v>
      </c>
      <c r="CQ21" s="11">
        <f t="shared" si="45"/>
        <v>7.5992438563327047E-2</v>
      </c>
      <c r="CR21" s="60">
        <v>9.5000000000000001E-2</v>
      </c>
      <c r="CS21" s="60">
        <v>0.11</v>
      </c>
      <c r="CT21" s="60">
        <v>7.0000000000000007E-2</v>
      </c>
      <c r="CU21" s="60">
        <v>0.05</v>
      </c>
      <c r="CV21" s="60">
        <v>4.4999999999999998E-2</v>
      </c>
      <c r="CW21" s="60">
        <v>0.04</v>
      </c>
      <c r="CX21" s="60">
        <v>3.5000000000000003E-2</v>
      </c>
      <c r="CY21" s="60">
        <v>0.03</v>
      </c>
      <c r="CZ21" s="60">
        <v>2.5000000000000001E-2</v>
      </c>
      <c r="DA21" s="60">
        <v>2.2499999999999999E-2</v>
      </c>
      <c r="DB21" s="60"/>
      <c r="DC21" s="60"/>
      <c r="DD21" s="60"/>
      <c r="DE21" s="60"/>
      <c r="DF21" s="60"/>
      <c r="DG21" s="60"/>
      <c r="DH21" s="60"/>
      <c r="DI21" s="60"/>
      <c r="DJ21" s="60"/>
      <c r="DK21" s="60"/>
      <c r="DL21" s="60"/>
      <c r="DM21" s="60"/>
      <c r="DN21" s="60"/>
      <c r="DO21" s="60"/>
      <c r="DP21" s="60"/>
      <c r="DQ21" s="60"/>
      <c r="DR21" s="60"/>
      <c r="DS21" s="60"/>
      <c r="DT21" s="60"/>
      <c r="DU21" s="60"/>
      <c r="DV21" s="60"/>
      <c r="DW21" s="60"/>
      <c r="DX21" s="60"/>
      <c r="DY21" s="60"/>
      <c r="DZ21" s="60"/>
      <c r="EA21" s="60"/>
      <c r="EB21" s="60"/>
      <c r="EC21" s="60"/>
      <c r="ED21" s="60"/>
      <c r="EE21" s="60"/>
      <c r="EF21" s="60"/>
      <c r="EG21" s="60"/>
      <c r="EH21" s="60"/>
      <c r="EI21" s="60"/>
      <c r="EJ21" s="60"/>
      <c r="EK21" s="60"/>
      <c r="EL21" s="60"/>
      <c r="EM21" s="60"/>
      <c r="EN21" s="60"/>
      <c r="EO21" s="60"/>
      <c r="EP21" s="60"/>
    </row>
    <row r="22" spans="2:146" s="11" customFormat="1">
      <c r="B22" s="68" t="s">
        <v>2228</v>
      </c>
      <c r="AU22" s="12"/>
      <c r="AV22" s="12"/>
      <c r="AW22" s="12"/>
      <c r="AX22" s="12"/>
      <c r="AY22" s="12">
        <f t="shared" si="24"/>
        <v>3.1463414634146343</v>
      </c>
      <c r="AZ22" s="12">
        <f t="shared" si="25"/>
        <v>2.1764705882352939</v>
      </c>
      <c r="BA22" s="12">
        <f t="shared" si="26"/>
        <v>1.8378378378378377</v>
      </c>
      <c r="BB22" s="12">
        <f t="shared" si="27"/>
        <v>5.4722222222222223</v>
      </c>
      <c r="BC22" s="12">
        <f t="shared" si="28"/>
        <v>0.32941176470588229</v>
      </c>
      <c r="BD22" s="12">
        <f t="shared" si="29"/>
        <v>0.15740740740740744</v>
      </c>
      <c r="BE22" s="12">
        <f t="shared" si="30"/>
        <v>0.24761904761904763</v>
      </c>
      <c r="BF22" s="12">
        <f t="shared" si="31"/>
        <v>0.20600858369098707</v>
      </c>
      <c r="BG22" s="12">
        <f t="shared" si="32"/>
        <v>0.28761061946902644</v>
      </c>
      <c r="BH22" s="12">
        <f t="shared" si="33"/>
        <v>0.26800000000000002</v>
      </c>
      <c r="BI22" s="12">
        <f t="shared" si="34"/>
        <v>0.23282442748091614</v>
      </c>
      <c r="BJ22" s="12">
        <f t="shared" si="35"/>
        <v>0.22064056939501775</v>
      </c>
      <c r="BK22" s="12">
        <f t="shared" si="36"/>
        <v>0.18213058419243988</v>
      </c>
      <c r="BL22" s="12">
        <f t="shared" si="37"/>
        <v>0.19558359621451094</v>
      </c>
      <c r="BM22" s="12">
        <f t="shared" si="38"/>
        <v>0.17647058823529416</v>
      </c>
      <c r="BN22" s="12">
        <f t="shared" si="39"/>
        <v>0.20408163265306123</v>
      </c>
      <c r="BO22" s="12">
        <f t="shared" si="40"/>
        <v>0.23546511627906974</v>
      </c>
      <c r="BP22" s="12">
        <f t="shared" si="41"/>
        <v>0.28232189973614785</v>
      </c>
      <c r="BQ22" s="12">
        <f t="shared" si="42"/>
        <v>0.34736842105263155</v>
      </c>
      <c r="BR22" s="11">
        <f t="shared" si="43"/>
        <v>0.30992736077481831</v>
      </c>
      <c r="BS22" s="11">
        <f t="shared" si="44"/>
        <v>0.19058823529411772</v>
      </c>
      <c r="BT22" s="11">
        <f t="shared" si="44"/>
        <v>4.3209876543209846E-2</v>
      </c>
      <c r="BU22" s="60"/>
      <c r="BV22" s="60"/>
      <c r="CL22" s="11">
        <f t="shared" si="45"/>
        <v>1.7037037037037037</v>
      </c>
      <c r="CM22" s="11">
        <f t="shared" si="45"/>
        <v>2.7853881278538815</v>
      </c>
      <c r="CN22" s="11">
        <f t="shared" si="45"/>
        <v>0.22919179734620032</v>
      </c>
      <c r="CO22" s="11">
        <f t="shared" si="45"/>
        <v>0.25024533856722275</v>
      </c>
      <c r="CP22" s="11">
        <f t="shared" si="45"/>
        <v>0.18995290423861855</v>
      </c>
      <c r="CQ22" s="11">
        <f t="shared" si="45"/>
        <v>0.29551451187335087</v>
      </c>
      <c r="CR22" s="60">
        <v>0.16</v>
      </c>
      <c r="CS22" s="60">
        <v>0.13500000000000001</v>
      </c>
      <c r="CT22" s="60">
        <v>0.15</v>
      </c>
      <c r="CU22" s="60">
        <v>0.12</v>
      </c>
      <c r="CV22" s="60">
        <v>0.115</v>
      </c>
      <c r="CW22" s="60">
        <v>0.1</v>
      </c>
      <c r="CX22" s="60">
        <v>8.5000000000000006E-2</v>
      </c>
      <c r="CY22" s="60">
        <v>7.4999999999999997E-2</v>
      </c>
      <c r="CZ22" s="60">
        <v>7.0000000000000007E-2</v>
      </c>
      <c r="DA22" s="60">
        <v>6.5000000000000002E-2</v>
      </c>
      <c r="DB22" s="60"/>
      <c r="DC22" s="60"/>
      <c r="DD22" s="60"/>
      <c r="DE22" s="60"/>
      <c r="DF22" s="60"/>
      <c r="DG22" s="60"/>
      <c r="DH22" s="60"/>
      <c r="DI22" s="60"/>
      <c r="DJ22" s="60"/>
      <c r="DK22" s="60"/>
      <c r="DL22" s="60"/>
      <c r="DM22" s="60"/>
      <c r="DN22" s="60"/>
      <c r="DO22" s="60"/>
      <c r="DP22" s="60"/>
      <c r="DQ22" s="60"/>
      <c r="DR22" s="60"/>
      <c r="DS22" s="60"/>
      <c r="DT22" s="60"/>
      <c r="DU22" s="60"/>
      <c r="DV22" s="60"/>
      <c r="DW22" s="60"/>
      <c r="DX22" s="60"/>
      <c r="DY22" s="60"/>
      <c r="DZ22" s="60"/>
      <c r="EA22" s="60"/>
      <c r="EB22" s="60"/>
      <c r="EC22" s="60"/>
      <c r="ED22" s="60"/>
      <c r="EE22" s="60"/>
      <c r="EF22" s="60"/>
      <c r="EG22" s="60"/>
      <c r="EH22" s="60"/>
      <c r="EI22" s="60"/>
      <c r="EJ22" s="60"/>
      <c r="EK22" s="60"/>
      <c r="EL22" s="60"/>
      <c r="EM22" s="60"/>
      <c r="EN22" s="60"/>
      <c r="EO22" s="60"/>
      <c r="EP22" s="60"/>
    </row>
    <row r="23" spans="2:146" s="11" customFormat="1">
      <c r="B23" s="68" t="s">
        <v>2229</v>
      </c>
      <c r="AU23" s="12"/>
      <c r="AV23" s="12"/>
      <c r="AW23" s="12"/>
      <c r="AX23" s="12"/>
      <c r="AY23" s="12">
        <f t="shared" si="24"/>
        <v>7.3226544622425616E-2</v>
      </c>
      <c r="AZ23" s="12">
        <f t="shared" si="25"/>
        <v>0.49287749287749283</v>
      </c>
      <c r="BA23" s="12">
        <f t="shared" si="26"/>
        <v>0.1010752688172043</v>
      </c>
      <c r="BB23" s="12">
        <f t="shared" si="27"/>
        <v>0.13968957871396892</v>
      </c>
      <c r="BC23" s="12">
        <f t="shared" si="28"/>
        <v>0.10660980810234544</v>
      </c>
      <c r="BD23" s="12">
        <f t="shared" si="29"/>
        <v>3.2442748091602969E-2</v>
      </c>
      <c r="BE23" s="12">
        <f t="shared" si="30"/>
        <v>1.3671875E-2</v>
      </c>
      <c r="BF23" s="12">
        <f t="shared" si="31"/>
        <v>1.3618677042801508E-2</v>
      </c>
      <c r="BG23" s="12">
        <f t="shared" si="32"/>
        <v>5.5876685934489467E-2</v>
      </c>
      <c r="BH23" s="12">
        <f t="shared" si="33"/>
        <v>4.621072088724576E-2</v>
      </c>
      <c r="BI23" s="12">
        <f t="shared" si="34"/>
        <v>6.3583815028901647E-2</v>
      </c>
      <c r="BJ23" s="12">
        <f t="shared" si="35"/>
        <v>5.950095969289837E-2</v>
      </c>
      <c r="BK23" s="12">
        <f t="shared" si="36"/>
        <v>4.9270072992700698E-2</v>
      </c>
      <c r="BL23" s="12">
        <f t="shared" si="37"/>
        <v>1.7667844522968101E-2</v>
      </c>
      <c r="BM23" s="12">
        <f t="shared" si="38"/>
        <v>1.6304347826086918E-2</v>
      </c>
      <c r="BN23" s="12">
        <f t="shared" si="39"/>
        <v>2.7173913043478271E-2</v>
      </c>
      <c r="BO23" s="12">
        <f t="shared" si="40"/>
        <v>5.2173913043478404E-3</v>
      </c>
      <c r="BP23" s="12">
        <f t="shared" si="41"/>
        <v>2.430555555555558E-2</v>
      </c>
      <c r="BQ23" s="12">
        <f t="shared" si="42"/>
        <v>3.0303030303030276E-2</v>
      </c>
      <c r="BR23" s="11">
        <f t="shared" si="43"/>
        <v>7.0546737213403876E-2</v>
      </c>
      <c r="BS23" s="11">
        <f t="shared" si="44"/>
        <v>0.56747404844290661</v>
      </c>
      <c r="BT23" s="11">
        <f t="shared" si="44"/>
        <v>-8.4745762711864181E-3</v>
      </c>
      <c r="BU23" s="60"/>
      <c r="BV23" s="60"/>
      <c r="CL23" s="11">
        <f t="shared" si="45"/>
        <v>-0.12119649303764823</v>
      </c>
      <c r="CM23" s="11">
        <f t="shared" si="45"/>
        <v>0.1848591549295775</v>
      </c>
      <c r="CN23" s="11">
        <f t="shared" si="45"/>
        <v>4.0118870728083289E-2</v>
      </c>
      <c r="CO23" s="11">
        <f t="shared" si="45"/>
        <v>5.6190476190476124E-2</v>
      </c>
      <c r="CP23" s="11">
        <f t="shared" si="45"/>
        <v>2.7502254283138017E-2</v>
      </c>
      <c r="CQ23" s="11">
        <f t="shared" si="45"/>
        <v>3.2470381746380061E-2</v>
      </c>
      <c r="CR23" s="60">
        <v>0.35</v>
      </c>
      <c r="CS23" s="60">
        <v>0.2</v>
      </c>
      <c r="CT23" s="60">
        <v>0.03</v>
      </c>
      <c r="CU23" s="60">
        <v>2.5000000000000001E-2</v>
      </c>
      <c r="CV23" s="60">
        <v>2.2499999999999999E-2</v>
      </c>
      <c r="CW23" s="60">
        <v>0.02</v>
      </c>
      <c r="CX23" s="60">
        <v>1.7500000000000002E-2</v>
      </c>
      <c r="CY23" s="60">
        <v>1.4999999999999999E-2</v>
      </c>
      <c r="CZ23" s="60">
        <v>1.2500000000000001E-2</v>
      </c>
      <c r="DA23" s="60">
        <v>0.01</v>
      </c>
      <c r="DB23" s="60"/>
      <c r="DC23" s="60"/>
      <c r="DD23" s="60"/>
      <c r="DE23" s="60"/>
      <c r="DF23" s="60"/>
      <c r="DG23" s="60"/>
      <c r="DH23" s="60"/>
      <c r="DI23" s="60"/>
      <c r="DJ23" s="60"/>
      <c r="DK23" s="60"/>
      <c r="DL23" s="60"/>
      <c r="DM23" s="60"/>
      <c r="DN23" s="60"/>
      <c r="DO23" s="60"/>
      <c r="DP23" s="60"/>
      <c r="DQ23" s="60"/>
      <c r="DR23" s="60"/>
      <c r="DS23" s="60"/>
      <c r="DT23" s="60"/>
      <c r="DU23" s="60"/>
      <c r="DV23" s="60"/>
      <c r="DW23" s="60"/>
      <c r="DX23" s="60"/>
      <c r="DY23" s="60"/>
      <c r="DZ23" s="60"/>
      <c r="EA23" s="60"/>
      <c r="EB23" s="60"/>
      <c r="EC23" s="60"/>
      <c r="ED23" s="60"/>
      <c r="EE23" s="60"/>
      <c r="EF23" s="60"/>
      <c r="EG23" s="60"/>
      <c r="EH23" s="60"/>
      <c r="EI23" s="60"/>
      <c r="EJ23" s="60"/>
      <c r="EK23" s="60"/>
      <c r="EL23" s="60"/>
      <c r="EM23" s="60"/>
      <c r="EN23" s="60"/>
      <c r="EO23" s="60"/>
      <c r="EP23" s="60"/>
    </row>
    <row r="24" spans="2:146" s="11" customFormat="1">
      <c r="B24" s="68" t="s">
        <v>2230</v>
      </c>
      <c r="AY24" s="11">
        <f t="shared" si="24"/>
        <v>0.12162162162162171</v>
      </c>
      <c r="AZ24" s="11">
        <f t="shared" si="25"/>
        <v>0.86274509803921573</v>
      </c>
      <c r="BA24" s="11">
        <f t="shared" si="26"/>
        <v>0.13157894736842102</v>
      </c>
      <c r="BB24" s="11">
        <f t="shared" si="27"/>
        <v>0.17441860465116288</v>
      </c>
      <c r="BC24" s="11">
        <f t="shared" si="28"/>
        <v>0.42168674698795172</v>
      </c>
      <c r="BD24" s="11">
        <f t="shared" si="29"/>
        <v>0.60000000000000009</v>
      </c>
      <c r="BE24" s="11">
        <f t="shared" si="30"/>
        <v>0.72093023255813948</v>
      </c>
      <c r="BF24" s="11">
        <f t="shared" si="31"/>
        <v>0.65346534653465338</v>
      </c>
      <c r="BG24" s="11">
        <f t="shared" si="32"/>
        <v>0.5</v>
      </c>
      <c r="BH24" s="11">
        <f t="shared" si="33"/>
        <v>0.26973684210526305</v>
      </c>
      <c r="BI24" s="11">
        <f t="shared" si="34"/>
        <v>0.28378378378378377</v>
      </c>
      <c r="BJ24" s="11">
        <f t="shared" si="35"/>
        <v>0.43712574850299402</v>
      </c>
      <c r="BK24" s="11">
        <f t="shared" si="36"/>
        <v>0.69491525423728806</v>
      </c>
      <c r="BL24" s="11">
        <f t="shared" si="37"/>
        <v>1.2176165803108807</v>
      </c>
      <c r="BM24" s="11">
        <f t="shared" si="38"/>
        <v>1.7736842105263158</v>
      </c>
      <c r="BN24" s="11">
        <f t="shared" si="39"/>
        <v>1.7041666666666666</v>
      </c>
      <c r="BO24" s="11">
        <f t="shared" si="40"/>
        <v>1.4300000000000002</v>
      </c>
      <c r="BP24" s="11">
        <f t="shared" si="41"/>
        <v>0.96261682242990654</v>
      </c>
      <c r="BQ24" s="11">
        <f t="shared" si="42"/>
        <v>0.6413662239089184</v>
      </c>
      <c r="BR24" s="11">
        <f t="shared" si="43"/>
        <v>0.36979969183359018</v>
      </c>
      <c r="BS24" s="11">
        <f t="shared" si="44"/>
        <v>-0.20713305898491086</v>
      </c>
      <c r="BT24" s="11">
        <f t="shared" si="44"/>
        <v>9.0476190476190377E-2</v>
      </c>
      <c r="BU24" s="60"/>
      <c r="BV24" s="60"/>
      <c r="CL24" s="11">
        <f t="shared" si="45"/>
        <v>-0.12765957446808507</v>
      </c>
      <c r="CM24" s="11">
        <f t="shared" si="45"/>
        <v>0.27177700348432055</v>
      </c>
      <c r="CN24" s="11">
        <f t="shared" si="45"/>
        <v>0.60273972602739723</v>
      </c>
      <c r="CO24" s="11">
        <f t="shared" si="45"/>
        <v>0.36752136752136755</v>
      </c>
      <c r="CP24" s="11">
        <f t="shared" si="45"/>
        <v>1.38</v>
      </c>
      <c r="CQ24" s="11">
        <f t="shared" si="45"/>
        <v>0.7452731092436975</v>
      </c>
      <c r="CR24" s="60">
        <v>-0.22</v>
      </c>
      <c r="CS24" s="60">
        <v>-0.1</v>
      </c>
      <c r="CT24" s="60">
        <v>0.14000000000000001</v>
      </c>
      <c r="CU24" s="60">
        <v>0.11</v>
      </c>
      <c r="CV24" s="60">
        <v>0.09</v>
      </c>
      <c r="CW24" s="60">
        <v>0.08</v>
      </c>
      <c r="CX24" s="60">
        <v>7.0000000000000007E-2</v>
      </c>
      <c r="CY24" s="60">
        <v>0.06</v>
      </c>
      <c r="CZ24" s="60">
        <v>0.05</v>
      </c>
      <c r="DA24" s="60">
        <v>0.04</v>
      </c>
      <c r="DB24" s="60"/>
      <c r="DC24" s="60"/>
      <c r="DD24" s="60"/>
      <c r="DE24" s="60"/>
      <c r="DF24" s="60"/>
      <c r="DG24" s="60"/>
      <c r="DH24" s="60"/>
      <c r="DI24" s="60"/>
      <c r="DJ24" s="60"/>
      <c r="DK24" s="60"/>
      <c r="DL24" s="60"/>
      <c r="DM24" s="60"/>
      <c r="DN24" s="60"/>
      <c r="DO24" s="60"/>
      <c r="DP24" s="60"/>
      <c r="DQ24" s="60"/>
      <c r="DR24" s="60"/>
      <c r="DS24" s="60"/>
      <c r="DT24" s="60"/>
      <c r="DU24" s="60"/>
      <c r="DV24" s="60"/>
      <c r="DW24" s="60"/>
      <c r="DX24" s="60"/>
      <c r="DY24" s="60"/>
      <c r="DZ24" s="60"/>
      <c r="EA24" s="60"/>
      <c r="EB24" s="60"/>
      <c r="EC24" s="60"/>
      <c r="ED24" s="60"/>
      <c r="EE24" s="60"/>
      <c r="EF24" s="60"/>
      <c r="EG24" s="60"/>
      <c r="EH24" s="60"/>
      <c r="EI24" s="60"/>
      <c r="EJ24" s="60"/>
      <c r="EK24" s="60"/>
      <c r="EL24" s="60"/>
      <c r="EM24" s="60"/>
      <c r="EN24" s="60"/>
      <c r="EO24" s="60"/>
      <c r="EP24" s="60"/>
    </row>
    <row r="25" spans="2:146" s="33" customFormat="1" ht="15">
      <c r="B25" s="33" t="s">
        <v>2258</v>
      </c>
      <c r="AY25" s="33">
        <f t="shared" si="24"/>
        <v>5.3164556962025378E-2</v>
      </c>
      <c r="AZ25" s="33">
        <f t="shared" si="25"/>
        <v>0.46010362694300522</v>
      </c>
      <c r="BA25" s="33">
        <f t="shared" si="26"/>
        <v>0.11740216486261446</v>
      </c>
      <c r="BB25" s="33">
        <f t="shared" si="27"/>
        <v>0.22884283246977555</v>
      </c>
      <c r="BC25" s="33">
        <f t="shared" si="28"/>
        <v>0.12740384615384626</v>
      </c>
      <c r="BD25" s="33">
        <f t="shared" si="29"/>
        <v>7.6650106458481249E-2</v>
      </c>
      <c r="BE25" s="33">
        <f t="shared" si="30"/>
        <v>0.10134128166915057</v>
      </c>
      <c r="BF25" s="33">
        <f t="shared" si="31"/>
        <v>7.5193253689388673E-2</v>
      </c>
      <c r="BG25" s="33">
        <f t="shared" si="32"/>
        <v>0.14214641080312718</v>
      </c>
      <c r="BH25" s="33">
        <f t="shared" si="33"/>
        <v>0.12392880685563612</v>
      </c>
      <c r="BI25" s="33">
        <f t="shared" si="34"/>
        <v>0.11502029769959399</v>
      </c>
      <c r="BJ25" s="33">
        <f t="shared" si="35"/>
        <v>0.14313725490196072</v>
      </c>
      <c r="BK25" s="33">
        <f t="shared" si="36"/>
        <v>0.16428126944617305</v>
      </c>
      <c r="BL25" s="33">
        <f t="shared" si="37"/>
        <v>0.20117302052785924</v>
      </c>
      <c r="BM25" s="33">
        <f t="shared" si="38"/>
        <v>0.29186893203883502</v>
      </c>
      <c r="BN25" s="33">
        <f t="shared" si="39"/>
        <v>0.3127501429388222</v>
      </c>
      <c r="BO25" s="33">
        <f t="shared" si="40"/>
        <v>0.29823623730625326</v>
      </c>
      <c r="BP25" s="33">
        <f t="shared" si="41"/>
        <v>0.29248046875</v>
      </c>
      <c r="BQ25" s="33">
        <f t="shared" si="42"/>
        <v>0.24048849224988267</v>
      </c>
      <c r="BR25" s="33">
        <f t="shared" si="43"/>
        <v>0.20601045296167242</v>
      </c>
      <c r="BS25" s="33">
        <f t="shared" si="44"/>
        <v>0.13379991766158916</v>
      </c>
      <c r="BT25" s="33">
        <f t="shared" si="44"/>
        <v>7.3290517567057067E-2</v>
      </c>
      <c r="BU25" s="61"/>
      <c r="BV25" s="61"/>
      <c r="CL25" s="33">
        <f t="shared" si="45"/>
        <v>-0.12700871248789936</v>
      </c>
      <c r="CM25" s="33">
        <f t="shared" si="45"/>
        <v>0.20248392104679525</v>
      </c>
      <c r="CN25" s="33">
        <f t="shared" si="45"/>
        <v>9.4061232017705665E-2</v>
      </c>
      <c r="CO25" s="33">
        <f t="shared" si="45"/>
        <v>0.13098449089683073</v>
      </c>
      <c r="CP25" s="33">
        <f t="shared" si="45"/>
        <v>0.24370248919362059</v>
      </c>
      <c r="CQ25" s="33">
        <f t="shared" si="45"/>
        <v>0.25671140939597326</v>
      </c>
      <c r="CR25" s="61">
        <f t="shared" ref="CR25:DA25" si="46">CR13/CQ13-1</f>
        <v>0.13500000000000001</v>
      </c>
      <c r="CS25" s="61">
        <f t="shared" si="46"/>
        <v>0.12000000000000011</v>
      </c>
      <c r="CT25" s="61">
        <f t="shared" si="46"/>
        <v>0.11499999999999999</v>
      </c>
      <c r="CU25" s="61">
        <f t="shared" si="46"/>
        <v>0.1100000000000001</v>
      </c>
      <c r="CV25" s="61">
        <f t="shared" si="46"/>
        <v>0.10000000000000009</v>
      </c>
      <c r="CW25" s="61">
        <f t="shared" si="46"/>
        <v>9.000000000000008E-2</v>
      </c>
      <c r="CX25" s="61">
        <f t="shared" si="46"/>
        <v>8.0000000000000071E-2</v>
      </c>
      <c r="CY25" s="61">
        <f t="shared" si="46"/>
        <v>7.0000000000000062E-2</v>
      </c>
      <c r="CZ25" s="61">
        <f t="shared" si="46"/>
        <v>6.0000000000000053E-2</v>
      </c>
      <c r="DA25" s="61">
        <f t="shared" si="46"/>
        <v>4.0000000000000036E-2</v>
      </c>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row>
    <row r="26" spans="2:146" s="11" customFormat="1">
      <c r="B26" s="68" t="s">
        <v>2231</v>
      </c>
      <c r="AY26" s="11">
        <f t="shared" si="24"/>
        <v>0.10178117048346058</v>
      </c>
      <c r="AZ26" s="11">
        <f t="shared" si="25"/>
        <v>0.39117647058823524</v>
      </c>
      <c r="BA26" s="11">
        <f t="shared" si="26"/>
        <v>8.3932853717026301E-2</v>
      </c>
      <c r="BB26" s="11">
        <f t="shared" si="27"/>
        <v>8.1967213114754189E-2</v>
      </c>
      <c r="BC26" s="11">
        <f t="shared" si="28"/>
        <v>7.390300230946889E-2</v>
      </c>
      <c r="BD26" s="11">
        <f t="shared" si="29"/>
        <v>1.0570824524312794E-2</v>
      </c>
      <c r="BE26" s="11">
        <f t="shared" si="30"/>
        <v>5.9734513274336321E-2</v>
      </c>
      <c r="BF26" s="11">
        <f t="shared" si="31"/>
        <v>3.2467532467532534E-2</v>
      </c>
      <c r="BG26" s="11">
        <f t="shared" si="32"/>
        <v>7.9569892473118298E-2</v>
      </c>
      <c r="BH26" s="11">
        <f t="shared" si="33"/>
        <v>0.11924686192468625</v>
      </c>
      <c r="BI26" s="11">
        <f t="shared" si="34"/>
        <v>0.12317327766179531</v>
      </c>
      <c r="BJ26" s="11">
        <f t="shared" si="35"/>
        <v>0.11949685534591192</v>
      </c>
      <c r="BK26" s="11">
        <f t="shared" si="36"/>
        <v>0.14541832669322718</v>
      </c>
      <c r="BL26" s="11">
        <f t="shared" si="37"/>
        <v>0.10280373831775691</v>
      </c>
      <c r="BM26" s="11">
        <f t="shared" si="38"/>
        <v>0.11895910780669139</v>
      </c>
      <c r="BN26" s="11">
        <f t="shared" si="39"/>
        <v>0.20411985018726586</v>
      </c>
      <c r="BO26" s="11">
        <f t="shared" si="40"/>
        <v>0.14260869565217393</v>
      </c>
      <c r="BP26" s="11">
        <f t="shared" si="41"/>
        <v>0.18305084745762712</v>
      </c>
      <c r="BQ26" s="11">
        <f t="shared" si="42"/>
        <v>0.16611295681063121</v>
      </c>
      <c r="BR26" s="11">
        <f t="shared" si="43"/>
        <v>0.10108864696734066</v>
      </c>
      <c r="BS26" s="11">
        <f t="shared" si="44"/>
        <v>0.14003044140030441</v>
      </c>
      <c r="BT26" s="11">
        <f t="shared" si="44"/>
        <v>0.12177650429799436</v>
      </c>
      <c r="BU26" s="60"/>
      <c r="BV26" s="60"/>
      <c r="CL26" s="11">
        <f t="shared" si="45"/>
        <v>0.13453237410071939</v>
      </c>
      <c r="CM26" s="11">
        <f t="shared" si="45"/>
        <v>0.15409004438807861</v>
      </c>
      <c r="CN26" s="11">
        <f t="shared" si="45"/>
        <v>4.3406593406593474E-2</v>
      </c>
      <c r="CO26" s="11">
        <f t="shared" si="45"/>
        <v>0.11058451816745651</v>
      </c>
      <c r="CP26" s="11">
        <f t="shared" si="45"/>
        <v>0.14272166903745842</v>
      </c>
      <c r="CQ26" s="11">
        <f t="shared" si="45"/>
        <v>0.14730290456431527</v>
      </c>
      <c r="CR26" s="60">
        <v>0.13500000000000001</v>
      </c>
      <c r="CS26" s="60">
        <v>0.12</v>
      </c>
      <c r="CT26" s="60">
        <v>0.115</v>
      </c>
      <c r="CU26" s="60">
        <v>0.11</v>
      </c>
      <c r="CV26" s="60">
        <v>0.1</v>
      </c>
      <c r="CW26" s="60">
        <v>0.09</v>
      </c>
      <c r="CX26" s="60">
        <v>0.08</v>
      </c>
      <c r="CY26" s="60">
        <v>7.0000000000000007E-2</v>
      </c>
      <c r="CZ26" s="60">
        <v>0.06</v>
      </c>
      <c r="DA26" s="60">
        <v>0.04</v>
      </c>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row>
    <row r="27" spans="2:146" s="33" customFormat="1" ht="15">
      <c r="B27" s="33" t="s">
        <v>2259</v>
      </c>
      <c r="AY27" s="33">
        <f t="shared" si="24"/>
        <v>6.5272496831432214E-2</v>
      </c>
      <c r="AZ27" s="33">
        <f t="shared" si="25"/>
        <v>0.44214559386973185</v>
      </c>
      <c r="BA27" s="33">
        <f t="shared" si="26"/>
        <v>0.10877626699629173</v>
      </c>
      <c r="BB27" s="33">
        <f t="shared" si="27"/>
        <v>0.18927444794952675</v>
      </c>
      <c r="BC27" s="33">
        <f t="shared" si="28"/>
        <v>0.11362284354550867</v>
      </c>
      <c r="BD27" s="33">
        <f t="shared" si="29"/>
        <v>6.0042507970244463E-2</v>
      </c>
      <c r="BE27" s="33">
        <f t="shared" si="30"/>
        <v>9.0858416945373444E-2</v>
      </c>
      <c r="BF27" s="33">
        <f t="shared" si="31"/>
        <v>6.4721485411140645E-2</v>
      </c>
      <c r="BG27" s="33">
        <f t="shared" si="32"/>
        <v>0.1266025641025641</v>
      </c>
      <c r="BH27" s="33">
        <f t="shared" si="33"/>
        <v>0.12280701754385959</v>
      </c>
      <c r="BI27" s="33">
        <f t="shared" si="34"/>
        <v>0.11701584057230452</v>
      </c>
      <c r="BJ27" s="33">
        <f t="shared" si="35"/>
        <v>0.1375186846038865</v>
      </c>
      <c r="BK27" s="33">
        <f t="shared" si="36"/>
        <v>0.15979137031768609</v>
      </c>
      <c r="BL27" s="33">
        <f t="shared" si="37"/>
        <v>0.17767857142857135</v>
      </c>
      <c r="BM27" s="33">
        <f t="shared" si="38"/>
        <v>0.24931381518755713</v>
      </c>
      <c r="BN27" s="33">
        <f t="shared" si="39"/>
        <v>0.28734121769601395</v>
      </c>
      <c r="BO27" s="33">
        <f t="shared" si="40"/>
        <v>0.26165167620605079</v>
      </c>
      <c r="BP27" s="33">
        <f t="shared" si="41"/>
        <v>0.26800606520090975</v>
      </c>
      <c r="BQ27" s="33">
        <f t="shared" si="42"/>
        <v>0.22409373855730497</v>
      </c>
      <c r="BR27" s="33">
        <f t="shared" si="43"/>
        <v>0.18305546104117054</v>
      </c>
      <c r="BS27" s="33">
        <f t="shared" si="44"/>
        <v>0.13512637718729748</v>
      </c>
      <c r="BT27" s="33">
        <f t="shared" si="44"/>
        <v>8.3408071748878987E-2</v>
      </c>
      <c r="BU27" s="61"/>
      <c r="BV27" s="61"/>
      <c r="CL27" s="33">
        <f t="shared" si="45"/>
        <v>-7.1548436308161656E-2</v>
      </c>
      <c r="CM27" s="33">
        <f t="shared" si="45"/>
        <v>0.1899441340782122</v>
      </c>
      <c r="CN27" s="33">
        <f t="shared" si="45"/>
        <v>8.1331123998895416E-2</v>
      </c>
      <c r="CO27" s="33">
        <f t="shared" si="45"/>
        <v>0.12603754309794413</v>
      </c>
      <c r="CP27" s="33">
        <f t="shared" si="45"/>
        <v>0.2195509185756408</v>
      </c>
      <c r="CQ27" s="33">
        <f t="shared" si="45"/>
        <v>0.23219267249395581</v>
      </c>
      <c r="CR27" s="61">
        <f t="shared" si="45"/>
        <v>7.9267602445098451E-2</v>
      </c>
      <c r="CS27" s="61">
        <f t="shared" si="45"/>
        <v>9.8107496656789861E-2</v>
      </c>
      <c r="CT27" s="61">
        <f t="shared" si="45"/>
        <v>9.3932779651949794E-2</v>
      </c>
      <c r="CU27" s="61">
        <f t="shared" si="45"/>
        <v>7.9378211111883479E-2</v>
      </c>
      <c r="CV27" s="61">
        <f t="shared" si="45"/>
        <v>7.2755629048029125E-2</v>
      </c>
      <c r="CW27" s="61">
        <f t="shared" si="45"/>
        <v>6.5561167658162889E-2</v>
      </c>
      <c r="CX27" s="61">
        <f t="shared" si="45"/>
        <v>5.7981454062386639E-2</v>
      </c>
      <c r="CY27" s="61">
        <f t="shared" si="45"/>
        <v>5.1058709422385995E-2</v>
      </c>
      <c r="CZ27" s="61">
        <f t="shared" si="45"/>
        <v>4.4927786998204988E-2</v>
      </c>
      <c r="DA27" s="61">
        <f t="shared" si="45"/>
        <v>3.6549510805342633E-2</v>
      </c>
      <c r="DB27" s="61"/>
      <c r="DC27" s="61"/>
      <c r="DD27" s="61"/>
      <c r="DE27" s="61"/>
      <c r="DF27" s="61"/>
      <c r="DG27" s="61"/>
      <c r="DH27" s="61"/>
      <c r="DI27" s="61"/>
      <c r="DJ27" s="61"/>
      <c r="DK27" s="61"/>
      <c r="DL27" s="61"/>
      <c r="DM27" s="61"/>
      <c r="DN27" s="61"/>
      <c r="DO27" s="61"/>
      <c r="DP27" s="61"/>
      <c r="DQ27" s="61"/>
      <c r="DR27" s="61"/>
      <c r="DS27" s="61"/>
      <c r="DT27" s="61"/>
      <c r="DU27" s="61"/>
      <c r="DV27" s="61"/>
      <c r="DW27" s="61"/>
      <c r="DX27" s="61"/>
      <c r="DY27" s="61"/>
      <c r="DZ27" s="61"/>
      <c r="EA27" s="61"/>
      <c r="EB27" s="61"/>
      <c r="EC27" s="61"/>
      <c r="ED27" s="61"/>
      <c r="EE27" s="61"/>
      <c r="EF27" s="61"/>
      <c r="EG27" s="61"/>
      <c r="EH27" s="61"/>
      <c r="EI27" s="61"/>
      <c r="EJ27" s="61"/>
      <c r="EK27" s="61"/>
      <c r="EL27" s="61"/>
      <c r="EM27" s="61"/>
      <c r="EN27" s="61"/>
      <c r="EO27" s="61"/>
      <c r="EP27" s="61"/>
    </row>
    <row r="28" spans="2:146" s="33" customFormat="1" ht="15">
      <c r="B28" s="34" t="s">
        <v>122</v>
      </c>
      <c r="AY28" s="33">
        <f t="shared" si="24"/>
        <v>8.2186394022807807E-2</v>
      </c>
      <c r="AZ28" s="33">
        <f t="shared" si="25"/>
        <v>0.53619570644033954</v>
      </c>
      <c r="BA28" s="33">
        <f t="shared" si="26"/>
        <v>0.10267017675817969</v>
      </c>
      <c r="BB28" s="33">
        <f t="shared" si="27"/>
        <v>0.15472673559822758</v>
      </c>
      <c r="BC28" s="33">
        <f t="shared" si="28"/>
        <v>9.9563953488372103E-2</v>
      </c>
      <c r="BD28" s="33">
        <f t="shared" si="29"/>
        <v>5.4273643158921026E-2</v>
      </c>
      <c r="BE28" s="33">
        <f t="shared" si="30"/>
        <v>8.1173260572987793E-2</v>
      </c>
      <c r="BF28" s="33">
        <f t="shared" si="31"/>
        <v>3.6776463063639353E-2</v>
      </c>
      <c r="BG28" s="33">
        <f t="shared" si="32"/>
        <v>0.11996034368803699</v>
      </c>
      <c r="BH28" s="33">
        <f t="shared" si="33"/>
        <v>0.10943279901356351</v>
      </c>
      <c r="BI28" s="33">
        <f t="shared" si="34"/>
        <v>0.11261829652996846</v>
      </c>
      <c r="BJ28" s="33">
        <f t="shared" si="35"/>
        <v>0.14898210980876003</v>
      </c>
      <c r="BK28" s="33">
        <f t="shared" si="36"/>
        <v>0.1380938329890824</v>
      </c>
      <c r="BL28" s="33">
        <f t="shared" si="37"/>
        <v>0.14476243400944711</v>
      </c>
      <c r="BM28" s="33">
        <f t="shared" si="38"/>
        <v>0.19336546640204144</v>
      </c>
      <c r="BN28" s="33">
        <f t="shared" si="39"/>
        <v>0.22442953020134238</v>
      </c>
      <c r="BO28" s="33">
        <f t="shared" si="40"/>
        <v>0.20897070261861561</v>
      </c>
      <c r="BP28" s="33">
        <f t="shared" si="41"/>
        <v>0.22839805825242721</v>
      </c>
      <c r="BQ28" s="33">
        <f t="shared" si="42"/>
        <v>0.20337372297457823</v>
      </c>
      <c r="BR28" s="33">
        <f t="shared" si="43"/>
        <v>0.15895636921727685</v>
      </c>
      <c r="BS28" s="33">
        <f t="shared" si="44"/>
        <v>0.11601972978769037</v>
      </c>
      <c r="BT28" s="33">
        <f t="shared" si="44"/>
        <v>7.5281564908120879E-2</v>
      </c>
      <c r="BU28" s="61"/>
      <c r="BV28" s="61"/>
      <c r="CL28" s="33">
        <f t="shared" si="45"/>
        <v>-7.6571960875640444E-2</v>
      </c>
      <c r="CM28" s="33">
        <f t="shared" si="45"/>
        <v>0.19923332997074539</v>
      </c>
      <c r="CN28" s="33">
        <f t="shared" si="45"/>
        <v>6.6790040376850657E-2</v>
      </c>
      <c r="CO28" s="33">
        <f t="shared" si="45"/>
        <v>0.12285128528623246</v>
      </c>
      <c r="CP28" s="33">
        <f t="shared" si="45"/>
        <v>0.17605337078651684</v>
      </c>
      <c r="CQ28" s="33">
        <f t="shared" si="45"/>
        <v>0.19872215919269132</v>
      </c>
      <c r="CR28" s="61">
        <f t="shared" si="45"/>
        <v>8.1855292652553091E-2</v>
      </c>
      <c r="CS28" s="61">
        <f t="shared" si="45"/>
        <v>8.6958405248674486E-2</v>
      </c>
      <c r="CT28" s="61">
        <f t="shared" si="45"/>
        <v>8.593330517608555E-2</v>
      </c>
      <c r="CU28" s="61">
        <f t="shared" si="45"/>
        <v>7.5628583529906201E-2</v>
      </c>
      <c r="CV28" s="61">
        <f t="shared" si="45"/>
        <v>6.7919344710958507E-2</v>
      </c>
      <c r="CW28" s="61">
        <f t="shared" si="45"/>
        <v>6.0883527228895895E-2</v>
      </c>
      <c r="CX28" s="61">
        <f t="shared" si="45"/>
        <v>5.4287532580735931E-2</v>
      </c>
      <c r="CY28" s="61">
        <f t="shared" si="45"/>
        <v>4.7953073878710839E-2</v>
      </c>
      <c r="CZ28" s="61">
        <f t="shared" si="45"/>
        <v>4.2368829111994799E-2</v>
      </c>
      <c r="DA28" s="61">
        <f t="shared" si="45"/>
        <v>3.5512171907784218E-2</v>
      </c>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c r="EE28" s="61"/>
      <c r="EF28" s="61"/>
      <c r="EG28" s="61"/>
      <c r="EH28" s="61"/>
      <c r="EI28" s="61"/>
      <c r="EJ28" s="61"/>
      <c r="EK28" s="61"/>
      <c r="EL28" s="61"/>
      <c r="EM28" s="61"/>
      <c r="EN28" s="61"/>
      <c r="EO28" s="61"/>
      <c r="EP28" s="61"/>
    </row>
    <row r="29" spans="2:146" s="4" customFormat="1">
      <c r="BR29" s="1"/>
      <c r="BS29" s="1"/>
      <c r="BT29" s="1"/>
      <c r="BU29" s="57"/>
      <c r="BV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row>
    <row r="30" spans="2:146">
      <c r="B30" s="1" t="s">
        <v>107</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11">
        <f t="shared" ref="AU30:BT30" si="47">AU7/AU15</f>
        <v>0.37947306331104996</v>
      </c>
      <c r="AV30" s="11">
        <f t="shared" si="47"/>
        <v>0.34847728407388917</v>
      </c>
      <c r="AW30" s="11">
        <f t="shared" si="47"/>
        <v>0.3915005641218503</v>
      </c>
      <c r="AX30" s="11">
        <f t="shared" si="47"/>
        <v>0.41469719350073853</v>
      </c>
      <c r="AY30" s="11">
        <f t="shared" si="47"/>
        <v>0.38444767441860467</v>
      </c>
      <c r="AZ30" s="11">
        <f t="shared" si="47"/>
        <v>0.38836529086772831</v>
      </c>
      <c r="BA30" s="11">
        <f t="shared" si="47"/>
        <v>0.38813096862210095</v>
      </c>
      <c r="BB30" s="11">
        <f t="shared" si="47"/>
        <v>0.39718580108730411</v>
      </c>
      <c r="BC30" s="11">
        <f t="shared" si="47"/>
        <v>0.38136153337739592</v>
      </c>
      <c r="BD30" s="11">
        <f t="shared" si="47"/>
        <v>0.38501849568434032</v>
      </c>
      <c r="BE30" s="11">
        <f t="shared" si="47"/>
        <v>0.38264984227129339</v>
      </c>
      <c r="BF30" s="11">
        <f t="shared" si="47"/>
        <v>0.39944478716841458</v>
      </c>
      <c r="BG30" s="11">
        <f t="shared" si="47"/>
        <v>0.3776925346709944</v>
      </c>
      <c r="BH30" s="11">
        <f t="shared" si="47"/>
        <v>0.37760489024729094</v>
      </c>
      <c r="BI30" s="11">
        <f t="shared" si="47"/>
        <v>0.3802098100368585</v>
      </c>
      <c r="BJ30" s="11">
        <f t="shared" si="47"/>
        <v>0.38711409395973156</v>
      </c>
      <c r="BK30" s="11">
        <f t="shared" si="47"/>
        <v>0.36582836401348195</v>
      </c>
      <c r="BL30" s="11">
        <f t="shared" si="47"/>
        <v>0.35970873786407764</v>
      </c>
      <c r="BM30" s="11">
        <f t="shared" si="47"/>
        <v>0.35115229270610598</v>
      </c>
      <c r="BN30" s="11">
        <f t="shared" si="47"/>
        <v>0.35562376671782503</v>
      </c>
      <c r="BO30" s="11">
        <f t="shared" si="47"/>
        <v>0.33819429551790692</v>
      </c>
      <c r="BP30" s="11">
        <f t="shared" si="47"/>
        <v>0.33906342620035568</v>
      </c>
      <c r="BQ30" s="11">
        <f t="shared" si="47"/>
        <v>0.33998025666337611</v>
      </c>
      <c r="BR30" s="11">
        <f t="shared" si="47"/>
        <v>0.34222474460839952</v>
      </c>
      <c r="BS30" s="11">
        <f t="shared" si="47"/>
        <v>0.32686395080707148</v>
      </c>
      <c r="BT30" s="11">
        <f t="shared" si="47"/>
        <v>0.33406835722160971</v>
      </c>
      <c r="CK30" s="11">
        <f t="shared" ref="CK30:DA30" si="48">CK7/CK15</f>
        <v>0.38938053097345132</v>
      </c>
      <c r="CL30" s="11">
        <f t="shared" si="48"/>
        <v>0.3860587107838192</v>
      </c>
      <c r="CM30" s="11">
        <f t="shared" si="48"/>
        <v>0.38972072678331088</v>
      </c>
      <c r="CN30" s="11">
        <f t="shared" si="48"/>
        <v>0.3872417599747674</v>
      </c>
      <c r="CO30" s="11">
        <f t="shared" si="48"/>
        <v>0.38075842696629214</v>
      </c>
      <c r="CP30" s="11">
        <f t="shared" si="48"/>
        <v>0.35785513823371351</v>
      </c>
      <c r="CQ30" s="11">
        <f t="shared" si="48"/>
        <v>0.33992528019925278</v>
      </c>
      <c r="CR30" s="60">
        <f t="shared" si="48"/>
        <v>0.34150411324671953</v>
      </c>
      <c r="CS30" s="60">
        <f t="shared" si="48"/>
        <v>0.33474982458412739</v>
      </c>
      <c r="CT30" s="60">
        <f t="shared" si="48"/>
        <v>0.32984929176785044</v>
      </c>
      <c r="CU30" s="60">
        <f t="shared" si="48"/>
        <v>0.32751315490969568</v>
      </c>
      <c r="CV30" s="60">
        <f t="shared" si="48"/>
        <v>0.32446766499334201</v>
      </c>
      <c r="CW30" s="60">
        <f t="shared" si="48"/>
        <v>0.32148911241862349</v>
      </c>
      <c r="CX30" s="60">
        <f t="shared" si="48"/>
        <v>0.31911180464847894</v>
      </c>
      <c r="CY30" s="60">
        <f t="shared" si="48"/>
        <v>0.31709397519269433</v>
      </c>
      <c r="CZ30" s="60">
        <f t="shared" si="48"/>
        <v>0.31541747863129016</v>
      </c>
      <c r="DA30" s="60">
        <f t="shared" si="48"/>
        <v>0.31473168845202443</v>
      </c>
    </row>
    <row r="31" spans="2:146">
      <c r="B31" s="1" t="s">
        <v>108</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11">
        <f t="shared" ref="AU31:BT31" si="49">AU14/AU15</f>
        <v>0.62052693668895009</v>
      </c>
      <c r="AV31" s="11">
        <f t="shared" si="49"/>
        <v>0.65152271592611088</v>
      </c>
      <c r="AW31" s="11">
        <f t="shared" si="49"/>
        <v>0.6084994358781497</v>
      </c>
      <c r="AX31" s="11">
        <f t="shared" si="49"/>
        <v>0.58530280649926147</v>
      </c>
      <c r="AY31" s="11">
        <f t="shared" si="49"/>
        <v>0.61082848837209303</v>
      </c>
      <c r="AZ31" s="11">
        <f t="shared" si="49"/>
        <v>0.61163470913227169</v>
      </c>
      <c r="BA31" s="11">
        <f t="shared" si="49"/>
        <v>0.61186903137789905</v>
      </c>
      <c r="BB31" s="11">
        <f t="shared" si="49"/>
        <v>0.60281419891269583</v>
      </c>
      <c r="BC31" s="11">
        <f t="shared" si="49"/>
        <v>0.61863846662260413</v>
      </c>
      <c r="BD31" s="11">
        <f t="shared" si="49"/>
        <v>0.61498150431565968</v>
      </c>
      <c r="BE31" s="11">
        <f t="shared" si="49"/>
        <v>0.61735015772870661</v>
      </c>
      <c r="BF31" s="11">
        <f t="shared" si="49"/>
        <v>0.61906230721776678</v>
      </c>
      <c r="BG31" s="11">
        <f t="shared" si="49"/>
        <v>0.6223074653290056</v>
      </c>
      <c r="BH31" s="11">
        <f t="shared" si="49"/>
        <v>0.62239510975270906</v>
      </c>
      <c r="BI31" s="11">
        <f t="shared" si="49"/>
        <v>0.6197901899631415</v>
      </c>
      <c r="BJ31" s="11">
        <f t="shared" si="49"/>
        <v>0.61288590604026849</v>
      </c>
      <c r="BK31" s="11">
        <f t="shared" si="49"/>
        <v>0.63417163598651805</v>
      </c>
      <c r="BL31" s="11">
        <f t="shared" si="49"/>
        <v>0.64029126213592236</v>
      </c>
      <c r="BM31" s="11">
        <f t="shared" si="49"/>
        <v>0.64884770729389407</v>
      </c>
      <c r="BN31" s="11">
        <f t="shared" si="49"/>
        <v>0.64437623328217497</v>
      </c>
      <c r="BO31" s="11">
        <f t="shared" si="49"/>
        <v>0.66180570448209308</v>
      </c>
      <c r="BP31" s="11">
        <f t="shared" si="49"/>
        <v>0.66093657379964432</v>
      </c>
      <c r="BQ31" s="11">
        <f t="shared" si="49"/>
        <v>0.66001974333662394</v>
      </c>
      <c r="BR31" s="11">
        <f t="shared" si="49"/>
        <v>0.65777525539160042</v>
      </c>
      <c r="BS31" s="11">
        <f t="shared" si="49"/>
        <v>0.67313604919292847</v>
      </c>
      <c r="BT31" s="11">
        <f t="shared" si="49"/>
        <v>0.66593164277839034</v>
      </c>
      <c r="CK31" s="11">
        <f t="shared" ref="CK31:DA31" si="50">CK14/CK15</f>
        <v>0.61061946902654862</v>
      </c>
      <c r="CL31" s="11">
        <f t="shared" si="50"/>
        <v>0.61394128921618074</v>
      </c>
      <c r="CM31" s="11">
        <f t="shared" si="50"/>
        <v>0.60918573351278604</v>
      </c>
      <c r="CN31" s="11">
        <f t="shared" si="50"/>
        <v>0.61748935499132629</v>
      </c>
      <c r="CO31" s="11">
        <f t="shared" si="50"/>
        <v>0.61924157303370786</v>
      </c>
      <c r="CP31" s="11">
        <f t="shared" si="50"/>
        <v>0.64214486176628649</v>
      </c>
      <c r="CQ31" s="11">
        <f t="shared" si="50"/>
        <v>0.66007471980074717</v>
      </c>
      <c r="CR31" s="60">
        <f t="shared" si="50"/>
        <v>0.65849588675328041</v>
      </c>
      <c r="CS31" s="60">
        <f t="shared" si="50"/>
        <v>0.66525017541587261</v>
      </c>
      <c r="CT31" s="60">
        <f t="shared" si="50"/>
        <v>0.67015070823214951</v>
      </c>
      <c r="CU31" s="60">
        <f t="shared" si="50"/>
        <v>0.67248684509030432</v>
      </c>
      <c r="CV31" s="60">
        <f t="shared" si="50"/>
        <v>0.67553233500665788</v>
      </c>
      <c r="CW31" s="60">
        <f t="shared" si="50"/>
        <v>0.67851088758137645</v>
      </c>
      <c r="CX31" s="60">
        <f t="shared" si="50"/>
        <v>0.68088819535152112</v>
      </c>
      <c r="CY31" s="60">
        <f t="shared" si="50"/>
        <v>0.68290602480730567</v>
      </c>
      <c r="CZ31" s="60">
        <f t="shared" si="50"/>
        <v>0.68458252136870978</v>
      </c>
      <c r="DA31" s="60">
        <f t="shared" si="50"/>
        <v>0.68526831154797552</v>
      </c>
    </row>
    <row r="32" spans="2:146" s="3" customFormat="1" ht="15">
      <c r="BU32" s="58"/>
      <c r="BV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row>
    <row r="33" spans="2:146" s="4" customFormat="1">
      <c r="B33" s="32" t="s">
        <v>110</v>
      </c>
      <c r="AT33" s="1"/>
      <c r="AU33" s="4">
        <v>1452</v>
      </c>
      <c r="AV33" s="4">
        <v>1058</v>
      </c>
      <c r="AW33" s="4">
        <v>1496</v>
      </c>
      <c r="AX33" s="1">
        <f>5508-SUM(AU33:AW33)</f>
        <v>1502</v>
      </c>
      <c r="AY33" s="4">
        <v>1577</v>
      </c>
      <c r="AZ33" s="4">
        <v>1800</v>
      </c>
      <c r="BA33" s="4">
        <v>1726</v>
      </c>
      <c r="BB33" s="1">
        <f>6901-SUM(AY33:BA33)</f>
        <v>1798</v>
      </c>
      <c r="BC33" s="4">
        <v>1778</v>
      </c>
      <c r="BD33" s="4">
        <v>1934</v>
      </c>
      <c r="BE33" s="4">
        <v>1934</v>
      </c>
      <c r="BF33" s="1">
        <f>7632-SUM(BC33:BE33)</f>
        <v>1986</v>
      </c>
      <c r="BG33" s="4">
        <v>2003</v>
      </c>
      <c r="BH33" s="4">
        <v>2110</v>
      </c>
      <c r="BI33" s="4">
        <v>2099</v>
      </c>
      <c r="BJ33" s="1">
        <f>8425-SUM(BG33:BI33)</f>
        <v>2213</v>
      </c>
      <c r="BK33" s="4">
        <v>2258</v>
      </c>
      <c r="BL33" s="4">
        <v>2466</v>
      </c>
      <c r="BM33" s="4">
        <v>2593</v>
      </c>
      <c r="BN33" s="1">
        <f>10210-SUM(BK33:BM33)</f>
        <v>2893</v>
      </c>
      <c r="BO33" s="4">
        <v>2960</v>
      </c>
      <c r="BP33" s="4">
        <v>3224</v>
      </c>
      <c r="BQ33" s="4">
        <v>3294</v>
      </c>
      <c r="BR33" s="1">
        <v>3385</v>
      </c>
      <c r="BS33" s="1">
        <v>3284</v>
      </c>
      <c r="BT33" s="1">
        <v>3426</v>
      </c>
      <c r="BU33" s="57"/>
      <c r="BV33" s="57"/>
      <c r="CK33" s="4">
        <v>6097</v>
      </c>
      <c r="CL33" s="4">
        <f>SUM(AU33:AX33)</f>
        <v>5508</v>
      </c>
      <c r="CM33" s="4">
        <f>SUM(AY33:BB33)</f>
        <v>6901</v>
      </c>
      <c r="CN33" s="4">
        <f>SUM(BC33:BF33)</f>
        <v>7632</v>
      </c>
      <c r="CO33" s="4">
        <f>SUM(BG33:BJ33)</f>
        <v>8425</v>
      </c>
      <c r="CP33" s="4">
        <f>SUM(BK33:BN33)</f>
        <v>10210</v>
      </c>
      <c r="CQ33" s="4">
        <f>SUM(BO33:BR33)</f>
        <v>12863</v>
      </c>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row>
    <row r="34" spans="2:146" s="4" customFormat="1">
      <c r="B34" s="32" t="s">
        <v>111</v>
      </c>
      <c r="AT34" s="1"/>
      <c r="AU34" s="4">
        <v>552</v>
      </c>
      <c r="AV34" s="4">
        <v>416</v>
      </c>
      <c r="AW34" s="4">
        <v>540</v>
      </c>
      <c r="AX34" s="1">
        <f>2097-SUM(AU34:AW34)</f>
        <v>589</v>
      </c>
      <c r="AY34" s="4">
        <v>604</v>
      </c>
      <c r="AZ34" s="4">
        <v>662</v>
      </c>
      <c r="BA34" s="4">
        <v>590</v>
      </c>
      <c r="BB34" s="1">
        <f>2518-SUM(AY34:BA34)</f>
        <v>662</v>
      </c>
      <c r="BC34" s="4">
        <v>624</v>
      </c>
      <c r="BD34" s="4">
        <v>660</v>
      </c>
      <c r="BE34" s="4">
        <v>585</v>
      </c>
      <c r="BF34" s="1">
        <f>2526-SUM(BC34:BE34)</f>
        <v>657</v>
      </c>
      <c r="BG34" s="4">
        <v>712</v>
      </c>
      <c r="BH34" s="4">
        <v>723</v>
      </c>
      <c r="BI34" s="4">
        <v>671</v>
      </c>
      <c r="BJ34" s="1">
        <f>2856-SUM(BG34:BI34)</f>
        <v>750</v>
      </c>
      <c r="BK34" s="4">
        <v>803</v>
      </c>
      <c r="BL34" s="4">
        <v>822</v>
      </c>
      <c r="BM34" s="4">
        <v>773</v>
      </c>
      <c r="BN34" s="1">
        <f>3228-SUM(BK34:BM34)</f>
        <v>830</v>
      </c>
      <c r="BO34" s="4">
        <v>846</v>
      </c>
      <c r="BP34" s="4">
        <v>878</v>
      </c>
      <c r="BQ34" s="4">
        <v>793</v>
      </c>
      <c r="BR34" s="1">
        <v>933</v>
      </c>
      <c r="BS34" s="1">
        <v>932</v>
      </c>
      <c r="BT34" s="1">
        <v>932</v>
      </c>
      <c r="BU34" s="57"/>
      <c r="BV34" s="57"/>
      <c r="CK34" s="4">
        <v>2264</v>
      </c>
      <c r="CL34" s="4">
        <f>SUM(AU34:AX34)</f>
        <v>2097</v>
      </c>
      <c r="CM34" s="4">
        <f>SUM(AY34:BB34)</f>
        <v>2518</v>
      </c>
      <c r="CN34" s="4">
        <f>SUM(BC34:BF34)</f>
        <v>2526</v>
      </c>
      <c r="CO34" s="4">
        <f>SUM(BG34:BJ34)</f>
        <v>2856</v>
      </c>
      <c r="CP34" s="4">
        <f>SUM(BK34:BN34)</f>
        <v>3228</v>
      </c>
      <c r="CQ34" s="4">
        <f>SUM(BO34:BR34)</f>
        <v>3450</v>
      </c>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row>
    <row r="35" spans="2:146" s="4" customFormat="1">
      <c r="B35" s="32" t="s">
        <v>112</v>
      </c>
      <c r="AT35" s="1"/>
      <c r="AU35" s="4">
        <v>409</v>
      </c>
      <c r="AV35" s="4">
        <v>410</v>
      </c>
      <c r="AW35" s="4">
        <v>472</v>
      </c>
      <c r="AX35" s="1">
        <f>1781-SUM(AU35:AW35)</f>
        <v>490</v>
      </c>
      <c r="AY35" s="4">
        <v>473</v>
      </c>
      <c r="AZ35" s="4">
        <v>520</v>
      </c>
      <c r="BA35" s="4">
        <v>517</v>
      </c>
      <c r="BB35" s="1">
        <f>2070-SUM(AY35:BA35)</f>
        <v>560</v>
      </c>
      <c r="BC35" s="4">
        <v>517</v>
      </c>
      <c r="BD35" s="4">
        <v>530</v>
      </c>
      <c r="BE35" s="4">
        <v>532</v>
      </c>
      <c r="BF35" s="1">
        <f>2116-SUM(BC35:BE35)</f>
        <v>537</v>
      </c>
      <c r="BG35" s="4">
        <v>548</v>
      </c>
      <c r="BH35" s="4">
        <v>626</v>
      </c>
      <c r="BI35" s="4">
        <v>611</v>
      </c>
      <c r="BJ35" s="1">
        <f>2400-SUM(BG35:BI35)</f>
        <v>615</v>
      </c>
      <c r="BK35" s="4">
        <v>647</v>
      </c>
      <c r="BL35" s="4">
        <v>670</v>
      </c>
      <c r="BM35" s="4">
        <v>684</v>
      </c>
      <c r="BN35" s="1">
        <f>2686-SUM(BK35:BM35)</f>
        <v>685</v>
      </c>
      <c r="BO35" s="4">
        <v>701</v>
      </c>
      <c r="BP35" s="4">
        <v>790</v>
      </c>
      <c r="BQ35" s="4">
        <v>803</v>
      </c>
      <c r="BR35" s="1">
        <v>789</v>
      </c>
      <c r="BS35" s="1">
        <v>803</v>
      </c>
      <c r="BT35" s="1">
        <v>878</v>
      </c>
      <c r="BU35" s="57"/>
      <c r="BV35" s="57"/>
      <c r="CK35" s="4">
        <v>1898</v>
      </c>
      <c r="CL35" s="4">
        <f>SUM(AU35:AX35)</f>
        <v>1781</v>
      </c>
      <c r="CM35" s="4">
        <f>SUM(AY35:BB35)</f>
        <v>2070</v>
      </c>
      <c r="CN35" s="4">
        <f>SUM(BC35:BF35)</f>
        <v>2116</v>
      </c>
      <c r="CO35" s="4">
        <f>SUM(BG35:BJ35)</f>
        <v>2400</v>
      </c>
      <c r="CP35" s="4">
        <f>SUM(BK35:BN35)</f>
        <v>2686</v>
      </c>
      <c r="CQ35" s="4">
        <f>SUM(BO35:BR35)</f>
        <v>3083</v>
      </c>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row>
    <row r="36" spans="2:146" s="4" customFormat="1">
      <c r="B36" s="32" t="s">
        <v>113</v>
      </c>
      <c r="AT36" s="1"/>
      <c r="AU36" s="4">
        <v>89</v>
      </c>
      <c r="AV36" s="4">
        <v>51</v>
      </c>
      <c r="AW36" s="4">
        <v>77</v>
      </c>
      <c r="AX36" s="1">
        <f>307-SUM(AU36:AW36)</f>
        <v>90</v>
      </c>
      <c r="AY36" s="4">
        <v>85</v>
      </c>
      <c r="AZ36" s="4">
        <v>95</v>
      </c>
      <c r="BA36" s="4">
        <v>99</v>
      </c>
      <c r="BB36" s="1">
        <f>386-SUM(AY36:BA36)</f>
        <v>107</v>
      </c>
      <c r="BC36" s="4">
        <v>107</v>
      </c>
      <c r="BD36" s="4">
        <v>120</v>
      </c>
      <c r="BE36" s="4">
        <v>119</v>
      </c>
      <c r="BF36" s="1">
        <f>469-SUM(BC36:BE36)</f>
        <v>123</v>
      </c>
      <c r="BG36" s="4">
        <v>126</v>
      </c>
      <c r="BH36" s="4">
        <v>140</v>
      </c>
      <c r="BI36" s="4">
        <v>146</v>
      </c>
      <c r="BJ36" s="1">
        <f>559-SUM(BG36:BI36)</f>
        <v>147</v>
      </c>
      <c r="BK36" s="4">
        <v>149</v>
      </c>
      <c r="BL36" s="4">
        <v>162</v>
      </c>
      <c r="BM36" s="4">
        <v>159</v>
      </c>
      <c r="BN36" s="1">
        <f>623-SUM(BK36:BM36)</f>
        <v>153</v>
      </c>
      <c r="BO36" s="4">
        <v>156</v>
      </c>
      <c r="BP36" s="4">
        <v>169</v>
      </c>
      <c r="BQ36" s="4">
        <v>175</v>
      </c>
      <c r="BR36" s="1">
        <v>179</v>
      </c>
      <c r="BS36" s="1">
        <v>185</v>
      </c>
      <c r="BT36" s="1">
        <v>206</v>
      </c>
      <c r="BU36" s="57"/>
      <c r="BV36" s="57"/>
      <c r="CK36" s="4">
        <v>395</v>
      </c>
      <c r="CL36" s="4">
        <f>SUM(AU36:AX36)</f>
        <v>307</v>
      </c>
      <c r="CM36" s="4">
        <f>SUM(AY36:BB36)</f>
        <v>386</v>
      </c>
      <c r="CN36" s="4">
        <f>SUM(BC36:BF36)</f>
        <v>469</v>
      </c>
      <c r="CO36" s="4">
        <f>SUM(BG36:BJ36)</f>
        <v>559</v>
      </c>
      <c r="CP36" s="4">
        <f>SUM(BK36:BN36)</f>
        <v>623</v>
      </c>
      <c r="CQ36" s="4">
        <f>SUM(BO36:BR36)</f>
        <v>679</v>
      </c>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row>
    <row r="37" spans="2:146" s="5" customFormat="1" ht="15">
      <c r="B37" s="5" t="s">
        <v>106</v>
      </c>
      <c r="AU37" s="5">
        <f>SUM(AU33:AU36)+41</f>
        <v>2543</v>
      </c>
      <c r="AV37" s="5">
        <f>SUM(AV33:AV36)+68</f>
        <v>2003</v>
      </c>
      <c r="AW37" s="5">
        <f>SUM(AW33:AW36)+74</f>
        <v>2659</v>
      </c>
      <c r="AX37" s="5">
        <f>SUM(AX33:AX36)+220-41-68-74</f>
        <v>2708</v>
      </c>
      <c r="AY37" s="5">
        <f>SUM(AY33:AY36)+13</f>
        <v>2752</v>
      </c>
      <c r="AZ37" s="5">
        <f t="shared" ref="AZ37:BE37" si="51">SUM(AZ33:AZ36)</f>
        <v>3077</v>
      </c>
      <c r="BA37" s="5">
        <f t="shared" si="51"/>
        <v>2932</v>
      </c>
      <c r="BB37" s="5">
        <f t="shared" si="51"/>
        <v>3127</v>
      </c>
      <c r="BC37" s="5">
        <f t="shared" si="51"/>
        <v>3026</v>
      </c>
      <c r="BD37" s="5">
        <f t="shared" si="51"/>
        <v>3244</v>
      </c>
      <c r="BE37" s="5">
        <f t="shared" si="51"/>
        <v>3170</v>
      </c>
      <c r="BF37" s="5">
        <f>SUM(BF33:BF36)-61</f>
        <v>3242</v>
      </c>
      <c r="BG37" s="5">
        <f t="shared" ref="BG37:BT37" si="52">SUM(BG33:BG36)</f>
        <v>3389</v>
      </c>
      <c r="BH37" s="5">
        <f t="shared" si="52"/>
        <v>3599</v>
      </c>
      <c r="BI37" s="5">
        <f t="shared" si="52"/>
        <v>3527</v>
      </c>
      <c r="BJ37" s="5">
        <f t="shared" si="52"/>
        <v>3725</v>
      </c>
      <c r="BK37" s="5">
        <f t="shared" si="52"/>
        <v>3857</v>
      </c>
      <c r="BL37" s="5">
        <f t="shared" si="52"/>
        <v>4120</v>
      </c>
      <c r="BM37" s="5">
        <f t="shared" si="52"/>
        <v>4209</v>
      </c>
      <c r="BN37" s="5">
        <f t="shared" si="52"/>
        <v>4561</v>
      </c>
      <c r="BO37" s="5">
        <f t="shared" si="52"/>
        <v>4663</v>
      </c>
      <c r="BP37" s="5">
        <f t="shared" si="52"/>
        <v>5061</v>
      </c>
      <c r="BQ37" s="5">
        <f t="shared" si="52"/>
        <v>5065</v>
      </c>
      <c r="BR37" s="3">
        <f t="shared" si="52"/>
        <v>5286</v>
      </c>
      <c r="BS37" s="3">
        <f t="shared" si="52"/>
        <v>5204</v>
      </c>
      <c r="BT37" s="3">
        <f t="shared" si="52"/>
        <v>5442</v>
      </c>
      <c r="BU37" s="58"/>
      <c r="BV37" s="58"/>
      <c r="CK37" s="5">
        <f>SUM(CK33:CK36)+81</f>
        <v>10735</v>
      </c>
      <c r="CL37" s="5">
        <f>SUM(CL33:CL36)+220</f>
        <v>9913</v>
      </c>
      <c r="CM37" s="5">
        <f>SUM(CM33:CM36)+13</f>
        <v>11888</v>
      </c>
      <c r="CN37" s="5">
        <f>SUM(CN33:CN36)-61</f>
        <v>12682</v>
      </c>
      <c r="CO37" s="5">
        <f>SUM(CO33:CO36)</f>
        <v>14240</v>
      </c>
      <c r="CP37" s="5">
        <f>SUM(CP33:CP36)</f>
        <v>16747</v>
      </c>
      <c r="CQ37" s="5">
        <f>SUM(BO37:BR37)</f>
        <v>20075</v>
      </c>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row>
    <row r="38" spans="2:146" s="4" customFormat="1">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9"/>
      <c r="BS38" s="9"/>
      <c r="BT38" s="9"/>
      <c r="BU38" s="57"/>
      <c r="BV38" s="57"/>
      <c r="CR38" s="57"/>
      <c r="CS38" s="57"/>
      <c r="CT38" s="57"/>
      <c r="CU38" s="57"/>
      <c r="CV38" s="57"/>
      <c r="CW38" s="57"/>
      <c r="CX38" s="57"/>
      <c r="CY38" s="57"/>
      <c r="CZ38" s="57"/>
      <c r="DA38" s="57"/>
      <c r="DB38" s="57"/>
      <c r="DC38" s="57"/>
      <c r="DD38" s="57"/>
      <c r="DE38" s="57"/>
      <c r="DF38" s="57"/>
      <c r="DG38" s="57"/>
      <c r="DH38" s="57"/>
      <c r="DI38" s="57"/>
      <c r="DJ38" s="57"/>
      <c r="DK38" s="57"/>
      <c r="DL38" s="57"/>
      <c r="DM38" s="57"/>
      <c r="DN38" s="57"/>
      <c r="DO38" s="57"/>
      <c r="DP38" s="57"/>
      <c r="DQ38" s="57"/>
      <c r="DR38" s="57"/>
      <c r="DS38" s="57"/>
      <c r="DT38" s="57"/>
      <c r="DU38" s="57"/>
      <c r="DV38" s="57"/>
      <c r="DW38" s="57"/>
      <c r="DX38" s="57"/>
      <c r="DY38" s="57"/>
      <c r="DZ38" s="57"/>
      <c r="EA38" s="57"/>
      <c r="EB38" s="57"/>
      <c r="EC38" s="57"/>
      <c r="ED38" s="57"/>
      <c r="EE38" s="57"/>
      <c r="EF38" s="57"/>
      <c r="EG38" s="57"/>
      <c r="EH38" s="57"/>
      <c r="EI38" s="57"/>
      <c r="EJ38" s="57"/>
      <c r="EK38" s="57"/>
      <c r="EL38" s="57"/>
      <c r="EM38" s="57"/>
      <c r="EN38" s="57"/>
      <c r="EO38" s="57"/>
      <c r="EP38" s="57"/>
    </row>
    <row r="39" spans="2:146" s="4" customFormat="1">
      <c r="B39" s="32" t="s">
        <v>118</v>
      </c>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12"/>
      <c r="AV39" s="12"/>
      <c r="AW39" s="12"/>
      <c r="AX39" s="12"/>
      <c r="AY39" s="12">
        <f t="shared" ref="AY39:BH43" si="53">AY33/AU33-1</f>
        <v>8.6088154269972517E-2</v>
      </c>
      <c r="AZ39" s="12">
        <f t="shared" si="53"/>
        <v>0.70132325141776941</v>
      </c>
      <c r="BA39" s="12">
        <f t="shared" si="53"/>
        <v>0.15374331550802145</v>
      </c>
      <c r="BB39" s="12">
        <f t="shared" si="53"/>
        <v>0.1970705725699069</v>
      </c>
      <c r="BC39" s="12">
        <f t="shared" si="53"/>
        <v>0.12745719720989213</v>
      </c>
      <c r="BD39" s="12">
        <f t="shared" si="53"/>
        <v>7.4444444444444535E-2</v>
      </c>
      <c r="BE39" s="12">
        <f t="shared" si="53"/>
        <v>0.12050984936268838</v>
      </c>
      <c r="BF39" s="12">
        <f t="shared" si="53"/>
        <v>0.1045606229143492</v>
      </c>
      <c r="BG39" s="12">
        <f t="shared" si="53"/>
        <v>0.12654668166479199</v>
      </c>
      <c r="BH39" s="12">
        <f t="shared" si="53"/>
        <v>9.1003102378490075E-2</v>
      </c>
      <c r="BI39" s="12">
        <f t="shared" ref="BI39:BR43" si="54">BI33/BE33-1</f>
        <v>8.5315408479834431E-2</v>
      </c>
      <c r="BJ39" s="12">
        <f t="shared" si="54"/>
        <v>0.11430010070493446</v>
      </c>
      <c r="BK39" s="12">
        <f t="shared" si="54"/>
        <v>0.12730903644533198</v>
      </c>
      <c r="BL39" s="12">
        <f t="shared" si="54"/>
        <v>0.1687203791469194</v>
      </c>
      <c r="BM39" s="12">
        <f t="shared" si="54"/>
        <v>0.23535016674606957</v>
      </c>
      <c r="BN39" s="12">
        <f t="shared" si="54"/>
        <v>0.30727519204699494</v>
      </c>
      <c r="BO39" s="12">
        <f t="shared" si="54"/>
        <v>0.31089459698848532</v>
      </c>
      <c r="BP39" s="12">
        <f t="shared" si="54"/>
        <v>0.30738037307380384</v>
      </c>
      <c r="BQ39" s="12">
        <f t="shared" si="54"/>
        <v>0.27034323177786357</v>
      </c>
      <c r="BR39" s="11">
        <f t="shared" si="54"/>
        <v>0.17006567576909792</v>
      </c>
      <c r="BS39" s="11">
        <f t="shared" ref="BS39:BT43" si="55">BS33/BO33-1</f>
        <v>0.10945945945945956</v>
      </c>
      <c r="BT39" s="11">
        <f t="shared" si="55"/>
        <v>6.26550868486353E-2</v>
      </c>
      <c r="BU39" s="57"/>
      <c r="BV39" s="57"/>
      <c r="CL39" s="12">
        <f t="shared" ref="CL39:CQ43" si="56">CL33/CK33-1</f>
        <v>-9.6604887649663795E-2</v>
      </c>
      <c r="CM39" s="12">
        <f t="shared" si="56"/>
        <v>0.25290486564996373</v>
      </c>
      <c r="CN39" s="12">
        <f t="shared" si="56"/>
        <v>0.10592667729314598</v>
      </c>
      <c r="CO39" s="12">
        <f t="shared" si="56"/>
        <v>0.10390461215932922</v>
      </c>
      <c r="CP39" s="12">
        <f t="shared" si="56"/>
        <v>0.21186943620178034</v>
      </c>
      <c r="CQ39" s="12">
        <f t="shared" si="56"/>
        <v>0.25984329089128311</v>
      </c>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row>
    <row r="40" spans="2:146" s="4" customFormat="1">
      <c r="B40" s="32" t="s">
        <v>119</v>
      </c>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12"/>
      <c r="AV40" s="12"/>
      <c r="AW40" s="12"/>
      <c r="AX40" s="12"/>
      <c r="AY40" s="12">
        <f t="shared" si="53"/>
        <v>9.4202898550724612E-2</v>
      </c>
      <c r="AZ40" s="12">
        <f t="shared" si="53"/>
        <v>0.59134615384615374</v>
      </c>
      <c r="BA40" s="12">
        <f t="shared" si="53"/>
        <v>9.259259259259256E-2</v>
      </c>
      <c r="BB40" s="12">
        <f t="shared" si="53"/>
        <v>0.12393887945670623</v>
      </c>
      <c r="BC40" s="12">
        <f t="shared" si="53"/>
        <v>3.3112582781456901E-2</v>
      </c>
      <c r="BD40" s="12">
        <f t="shared" si="53"/>
        <v>-3.0211480362537513E-3</v>
      </c>
      <c r="BE40" s="12">
        <f t="shared" si="53"/>
        <v>-8.4745762711864181E-3</v>
      </c>
      <c r="BF40" s="12">
        <f t="shared" si="53"/>
        <v>-7.5528700906344337E-3</v>
      </c>
      <c r="BG40" s="12">
        <f t="shared" si="53"/>
        <v>0.14102564102564097</v>
      </c>
      <c r="BH40" s="12">
        <f t="shared" si="53"/>
        <v>9.5454545454545459E-2</v>
      </c>
      <c r="BI40" s="12">
        <f t="shared" si="54"/>
        <v>0.14700854700854693</v>
      </c>
      <c r="BJ40" s="12">
        <f t="shared" si="54"/>
        <v>0.14155251141552516</v>
      </c>
      <c r="BK40" s="12">
        <f t="shared" si="54"/>
        <v>0.12780898876404501</v>
      </c>
      <c r="BL40" s="12">
        <f t="shared" si="54"/>
        <v>0.13692946058091282</v>
      </c>
      <c r="BM40" s="12">
        <f t="shared" si="54"/>
        <v>0.15201192250372575</v>
      </c>
      <c r="BN40" s="12">
        <f t="shared" si="54"/>
        <v>0.10666666666666669</v>
      </c>
      <c r="BO40" s="12">
        <f t="shared" si="54"/>
        <v>5.3549190535491897E-2</v>
      </c>
      <c r="BP40" s="12">
        <f t="shared" si="54"/>
        <v>6.8126520681265124E-2</v>
      </c>
      <c r="BQ40" s="12">
        <f t="shared" si="54"/>
        <v>2.5873221216041298E-2</v>
      </c>
      <c r="BR40" s="11">
        <f t="shared" si="54"/>
        <v>0.12409638554216862</v>
      </c>
      <c r="BS40" s="11">
        <f t="shared" si="55"/>
        <v>0.10165484633569744</v>
      </c>
      <c r="BT40" s="11">
        <f t="shared" si="55"/>
        <v>6.1503416856492077E-2</v>
      </c>
      <c r="BU40" s="57"/>
      <c r="BV40" s="57"/>
      <c r="CL40" s="12">
        <f t="shared" si="56"/>
        <v>-7.3763250883392195E-2</v>
      </c>
      <c r="CM40" s="12">
        <f t="shared" si="56"/>
        <v>0.20076299475441117</v>
      </c>
      <c r="CN40" s="12">
        <f t="shared" si="56"/>
        <v>3.1771247021445959E-3</v>
      </c>
      <c r="CO40" s="12">
        <f t="shared" si="56"/>
        <v>0.13064133016627077</v>
      </c>
      <c r="CP40" s="12">
        <f t="shared" si="56"/>
        <v>0.13025210084033612</v>
      </c>
      <c r="CQ40" s="12">
        <f t="shared" si="56"/>
        <v>6.8773234200743438E-2</v>
      </c>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row>
    <row r="41" spans="2:146" s="4" customFormat="1">
      <c r="B41" s="32" t="s">
        <v>120</v>
      </c>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12"/>
      <c r="AV41" s="12"/>
      <c r="AW41" s="12"/>
      <c r="AX41" s="12"/>
      <c r="AY41" s="12">
        <f t="shared" si="53"/>
        <v>0.15647921760391204</v>
      </c>
      <c r="AZ41" s="12">
        <f t="shared" si="53"/>
        <v>0.26829268292682928</v>
      </c>
      <c r="BA41" s="12">
        <f t="shared" si="53"/>
        <v>9.5338983050847537E-2</v>
      </c>
      <c r="BB41" s="12">
        <f t="shared" si="53"/>
        <v>0.14285714285714279</v>
      </c>
      <c r="BC41" s="12">
        <f t="shared" si="53"/>
        <v>9.3023255813953432E-2</v>
      </c>
      <c r="BD41" s="12">
        <f t="shared" si="53"/>
        <v>1.9230769230769162E-2</v>
      </c>
      <c r="BE41" s="12">
        <f t="shared" si="53"/>
        <v>2.9013539651837617E-2</v>
      </c>
      <c r="BF41" s="12">
        <f t="shared" si="53"/>
        <v>-4.1071428571428537E-2</v>
      </c>
      <c r="BG41" s="12">
        <f t="shared" si="53"/>
        <v>5.9961315280464111E-2</v>
      </c>
      <c r="BH41" s="12">
        <f t="shared" si="53"/>
        <v>0.18113207547169807</v>
      </c>
      <c r="BI41" s="12">
        <f t="shared" si="54"/>
        <v>0.14849624060150379</v>
      </c>
      <c r="BJ41" s="12">
        <f t="shared" si="54"/>
        <v>0.14525139664804465</v>
      </c>
      <c r="BK41" s="12">
        <f t="shared" si="54"/>
        <v>0.18065693430656937</v>
      </c>
      <c r="BL41" s="12">
        <f t="shared" si="54"/>
        <v>7.0287539936102261E-2</v>
      </c>
      <c r="BM41" s="12">
        <f t="shared" si="54"/>
        <v>0.11947626841243864</v>
      </c>
      <c r="BN41" s="12">
        <f t="shared" si="54"/>
        <v>0.11382113821138207</v>
      </c>
      <c r="BO41" s="12">
        <f t="shared" si="54"/>
        <v>8.3462132921174659E-2</v>
      </c>
      <c r="BP41" s="12">
        <f t="shared" si="54"/>
        <v>0.17910447761194037</v>
      </c>
      <c r="BQ41" s="12">
        <f t="shared" si="54"/>
        <v>0.17397660818713456</v>
      </c>
      <c r="BR41" s="11">
        <f t="shared" si="54"/>
        <v>0.15182481751824817</v>
      </c>
      <c r="BS41" s="11">
        <f t="shared" si="55"/>
        <v>0.14550641940085596</v>
      </c>
      <c r="BT41" s="11">
        <f t="shared" si="55"/>
        <v>0.11139240506329107</v>
      </c>
      <c r="BU41" s="57"/>
      <c r="BV41" s="57"/>
      <c r="CL41" s="12">
        <f t="shared" si="56"/>
        <v>-6.164383561643838E-2</v>
      </c>
      <c r="CM41" s="12">
        <f t="shared" si="56"/>
        <v>0.16226838854576076</v>
      </c>
      <c r="CN41" s="12">
        <f t="shared" si="56"/>
        <v>2.2222222222222143E-2</v>
      </c>
      <c r="CO41" s="12">
        <f t="shared" si="56"/>
        <v>0.13421550094517953</v>
      </c>
      <c r="CP41" s="12">
        <f t="shared" si="56"/>
        <v>0.11916666666666664</v>
      </c>
      <c r="CQ41" s="12">
        <f t="shared" si="56"/>
        <v>0.14780342516753531</v>
      </c>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row>
    <row r="42" spans="2:146" s="4" customFormat="1">
      <c r="B42" s="32" t="s">
        <v>121</v>
      </c>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12"/>
      <c r="AV42" s="12"/>
      <c r="AW42" s="12"/>
      <c r="AX42" s="12"/>
      <c r="AY42" s="12">
        <f t="shared" si="53"/>
        <v>-4.49438202247191E-2</v>
      </c>
      <c r="AZ42" s="12">
        <f t="shared" si="53"/>
        <v>0.86274509803921573</v>
      </c>
      <c r="BA42" s="12">
        <f t="shared" si="53"/>
        <v>0.28571428571428581</v>
      </c>
      <c r="BB42" s="12">
        <f t="shared" si="53"/>
        <v>0.18888888888888888</v>
      </c>
      <c r="BC42" s="12">
        <f t="shared" si="53"/>
        <v>0.25882352941176467</v>
      </c>
      <c r="BD42" s="12">
        <f t="shared" si="53"/>
        <v>0.26315789473684204</v>
      </c>
      <c r="BE42" s="12">
        <f t="shared" si="53"/>
        <v>0.20202020202020199</v>
      </c>
      <c r="BF42" s="12">
        <f t="shared" si="53"/>
        <v>0.14953271028037385</v>
      </c>
      <c r="BG42" s="12">
        <f t="shared" si="53"/>
        <v>0.17757009345794383</v>
      </c>
      <c r="BH42" s="12">
        <f t="shared" si="53"/>
        <v>0.16666666666666674</v>
      </c>
      <c r="BI42" s="12">
        <f t="shared" si="54"/>
        <v>0.22689075630252109</v>
      </c>
      <c r="BJ42" s="12">
        <f t="shared" si="54"/>
        <v>0.19512195121951215</v>
      </c>
      <c r="BK42" s="12">
        <f t="shared" si="54"/>
        <v>0.18253968253968256</v>
      </c>
      <c r="BL42" s="12">
        <f t="shared" si="54"/>
        <v>0.15714285714285725</v>
      </c>
      <c r="BM42" s="12">
        <f t="shared" si="54"/>
        <v>8.9041095890410871E-2</v>
      </c>
      <c r="BN42" s="12">
        <f t="shared" si="54"/>
        <v>4.081632653061229E-2</v>
      </c>
      <c r="BO42" s="12">
        <f t="shared" si="54"/>
        <v>4.6979865771812124E-2</v>
      </c>
      <c r="BP42" s="12">
        <f t="shared" si="54"/>
        <v>4.3209876543209846E-2</v>
      </c>
      <c r="BQ42" s="12">
        <f t="shared" si="54"/>
        <v>0.10062893081761004</v>
      </c>
      <c r="BR42" s="11">
        <f t="shared" si="54"/>
        <v>0.16993464052287588</v>
      </c>
      <c r="BS42" s="11">
        <f t="shared" si="55"/>
        <v>0.1858974358974359</v>
      </c>
      <c r="BT42" s="11">
        <f t="shared" si="55"/>
        <v>0.21893491124260356</v>
      </c>
      <c r="BU42" s="57"/>
      <c r="BV42" s="57"/>
      <c r="CL42" s="12">
        <f t="shared" si="56"/>
        <v>-0.22278481012658224</v>
      </c>
      <c r="CM42" s="12">
        <f t="shared" si="56"/>
        <v>0.25732899022801292</v>
      </c>
      <c r="CN42" s="12">
        <f t="shared" si="56"/>
        <v>0.21502590673575139</v>
      </c>
      <c r="CO42" s="12">
        <f t="shared" si="56"/>
        <v>0.1918976545842217</v>
      </c>
      <c r="CP42" s="12">
        <f t="shared" si="56"/>
        <v>0.11449016100178899</v>
      </c>
      <c r="CQ42" s="12">
        <f t="shared" si="56"/>
        <v>8.98876404494382E-2</v>
      </c>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row>
    <row r="43" spans="2:146" s="5" customFormat="1" ht="15">
      <c r="B43" s="5" t="s">
        <v>122</v>
      </c>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34"/>
      <c r="AV43" s="34"/>
      <c r="AW43" s="34"/>
      <c r="AX43" s="34"/>
      <c r="AY43" s="34">
        <f t="shared" si="53"/>
        <v>8.2186394022807807E-2</v>
      </c>
      <c r="AZ43" s="34">
        <f t="shared" si="53"/>
        <v>0.53619570644033954</v>
      </c>
      <c r="BA43" s="34">
        <f t="shared" si="53"/>
        <v>0.10267017675817969</v>
      </c>
      <c r="BB43" s="34">
        <f t="shared" si="53"/>
        <v>0.15472673559822758</v>
      </c>
      <c r="BC43" s="34">
        <f t="shared" si="53"/>
        <v>9.9563953488372103E-2</v>
      </c>
      <c r="BD43" s="34">
        <f t="shared" si="53"/>
        <v>5.4273643158921026E-2</v>
      </c>
      <c r="BE43" s="34">
        <f t="shared" si="53"/>
        <v>8.1173260572987793E-2</v>
      </c>
      <c r="BF43" s="34">
        <f t="shared" si="53"/>
        <v>3.6776463063639353E-2</v>
      </c>
      <c r="BG43" s="34">
        <f t="shared" si="53"/>
        <v>0.11996034368803699</v>
      </c>
      <c r="BH43" s="34">
        <f t="shared" si="53"/>
        <v>0.10943279901356351</v>
      </c>
      <c r="BI43" s="34">
        <f t="shared" si="54"/>
        <v>0.11261829652996846</v>
      </c>
      <c r="BJ43" s="34">
        <f t="shared" si="54"/>
        <v>0.14898210980876003</v>
      </c>
      <c r="BK43" s="34">
        <f t="shared" si="54"/>
        <v>0.1380938329890824</v>
      </c>
      <c r="BL43" s="34">
        <f t="shared" si="54"/>
        <v>0.14476243400944711</v>
      </c>
      <c r="BM43" s="34">
        <f t="shared" si="54"/>
        <v>0.19336546640204144</v>
      </c>
      <c r="BN43" s="34">
        <f t="shared" si="54"/>
        <v>0.22442953020134238</v>
      </c>
      <c r="BO43" s="34">
        <f t="shared" si="54"/>
        <v>0.20897070261861561</v>
      </c>
      <c r="BP43" s="34">
        <f t="shared" si="54"/>
        <v>0.22839805825242721</v>
      </c>
      <c r="BQ43" s="34">
        <f t="shared" si="54"/>
        <v>0.20337372297457823</v>
      </c>
      <c r="BR43" s="33">
        <f t="shared" si="54"/>
        <v>0.15895636921727685</v>
      </c>
      <c r="BS43" s="33">
        <f t="shared" si="55"/>
        <v>0.11601972978769037</v>
      </c>
      <c r="BT43" s="33">
        <f t="shared" si="55"/>
        <v>7.5281564908120879E-2</v>
      </c>
      <c r="BU43" s="58"/>
      <c r="BV43" s="58"/>
      <c r="CL43" s="34">
        <f t="shared" si="56"/>
        <v>-7.6571960875640444E-2</v>
      </c>
      <c r="CM43" s="34">
        <f t="shared" si="56"/>
        <v>0.19923332997074539</v>
      </c>
      <c r="CN43" s="34">
        <f t="shared" si="56"/>
        <v>6.6790040376850657E-2</v>
      </c>
      <c r="CO43" s="34">
        <f t="shared" si="56"/>
        <v>0.12285128528623246</v>
      </c>
      <c r="CP43" s="34">
        <f t="shared" si="56"/>
        <v>0.17605337078651684</v>
      </c>
      <c r="CQ43" s="34">
        <f t="shared" si="56"/>
        <v>0.19872215919269132</v>
      </c>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58"/>
      <c r="EN43" s="58"/>
      <c r="EO43" s="58"/>
      <c r="EP43" s="58"/>
    </row>
    <row r="44" spans="2:146" s="4" customFormat="1">
      <c r="BR44" s="1"/>
      <c r="BS44" s="1"/>
      <c r="BT44" s="1"/>
      <c r="BU44" s="57"/>
      <c r="BV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row>
    <row r="45" spans="2:146" s="4" customFormat="1">
      <c r="B45" s="4" t="s">
        <v>114</v>
      </c>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12">
        <f t="shared" ref="AU45:BT45" si="57">AU33/AU37</f>
        <v>0.57097915847424296</v>
      </c>
      <c r="AV45" s="12">
        <f t="shared" si="57"/>
        <v>0.52820768846729904</v>
      </c>
      <c r="AW45" s="12">
        <f t="shared" si="57"/>
        <v>0.56261752538548326</v>
      </c>
      <c r="AX45" s="12">
        <f t="shared" si="57"/>
        <v>0.55465288035450522</v>
      </c>
      <c r="AY45" s="12">
        <f t="shared" si="57"/>
        <v>0.57303779069767447</v>
      </c>
      <c r="AZ45" s="12">
        <f t="shared" si="57"/>
        <v>0.5849853753656159</v>
      </c>
      <c r="BA45" s="12">
        <f t="shared" si="57"/>
        <v>0.58867667121418832</v>
      </c>
      <c r="BB45" s="12">
        <f t="shared" si="57"/>
        <v>0.57499200511672532</v>
      </c>
      <c r="BC45" s="12">
        <f t="shared" si="57"/>
        <v>0.58757435558493065</v>
      </c>
      <c r="BD45" s="12">
        <f t="shared" si="57"/>
        <v>0.59617755856966703</v>
      </c>
      <c r="BE45" s="12">
        <f t="shared" si="57"/>
        <v>0.61009463722397472</v>
      </c>
      <c r="BF45" s="12">
        <f t="shared" si="57"/>
        <v>0.61258482418260329</v>
      </c>
      <c r="BG45" s="12">
        <f t="shared" si="57"/>
        <v>0.59102980230156388</v>
      </c>
      <c r="BH45" s="12">
        <f t="shared" si="57"/>
        <v>0.58627396499027506</v>
      </c>
      <c r="BI45" s="12">
        <f t="shared" si="57"/>
        <v>0.59512333427842357</v>
      </c>
      <c r="BJ45" s="12">
        <f t="shared" si="57"/>
        <v>0.59409395973154366</v>
      </c>
      <c r="BK45" s="12">
        <f t="shared" si="57"/>
        <v>0.58542908996629506</v>
      </c>
      <c r="BL45" s="12">
        <f t="shared" si="57"/>
        <v>0.59854368932038837</v>
      </c>
      <c r="BM45" s="12">
        <f t="shared" si="57"/>
        <v>0.6160608220479924</v>
      </c>
      <c r="BN45" s="12">
        <f t="shared" si="57"/>
        <v>0.63429072571804423</v>
      </c>
      <c r="BO45" s="12">
        <f t="shared" si="57"/>
        <v>0.63478447351490452</v>
      </c>
      <c r="BP45" s="12">
        <f t="shared" si="57"/>
        <v>0.63702825528551665</v>
      </c>
      <c r="BQ45" s="12">
        <f t="shared" si="57"/>
        <v>0.65034550839091809</v>
      </c>
      <c r="BR45" s="11">
        <f t="shared" si="57"/>
        <v>0.64037079076806658</v>
      </c>
      <c r="BS45" s="11">
        <f t="shared" si="57"/>
        <v>0.6310530361260569</v>
      </c>
      <c r="BT45" s="11">
        <f t="shared" si="57"/>
        <v>0.62954796030871008</v>
      </c>
      <c r="BU45" s="57"/>
      <c r="BV45" s="57"/>
      <c r="CK45" s="12">
        <f t="shared" ref="CK45:CQ45" si="58">CK33/CK37</f>
        <v>0.56795528644620397</v>
      </c>
      <c r="CL45" s="12">
        <f t="shared" si="58"/>
        <v>0.55563401593866635</v>
      </c>
      <c r="CM45" s="12">
        <f t="shared" si="58"/>
        <v>0.58050134589502023</v>
      </c>
      <c r="CN45" s="12">
        <f t="shared" si="58"/>
        <v>0.60179782368711565</v>
      </c>
      <c r="CO45" s="12">
        <f t="shared" si="58"/>
        <v>0.5916432584269663</v>
      </c>
      <c r="CP45" s="12">
        <f t="shared" si="58"/>
        <v>0.60966143189825039</v>
      </c>
      <c r="CQ45" s="12">
        <f t="shared" si="58"/>
        <v>0.64074719800747193</v>
      </c>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row>
    <row r="46" spans="2:146" s="4" customFormat="1">
      <c r="B46" s="4" t="s">
        <v>115</v>
      </c>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12">
        <f t="shared" ref="AU46:BT46" si="59">AU34/AU37</f>
        <v>0.21706645694062132</v>
      </c>
      <c r="AV46" s="12">
        <f t="shared" si="59"/>
        <v>0.20768846729905141</v>
      </c>
      <c r="AW46" s="12">
        <f t="shared" si="59"/>
        <v>0.20308386611508086</v>
      </c>
      <c r="AX46" s="12">
        <f t="shared" si="59"/>
        <v>0.21750369276218612</v>
      </c>
      <c r="AY46" s="12">
        <f t="shared" si="59"/>
        <v>0.21947674418604651</v>
      </c>
      <c r="AZ46" s="12">
        <f t="shared" si="59"/>
        <v>0.21514462138446538</v>
      </c>
      <c r="BA46" s="12">
        <f t="shared" si="59"/>
        <v>0.20122783083219645</v>
      </c>
      <c r="BB46" s="12">
        <f t="shared" si="59"/>
        <v>0.21170450911416694</v>
      </c>
      <c r="BC46" s="12">
        <f t="shared" si="59"/>
        <v>0.2062128222075347</v>
      </c>
      <c r="BD46" s="12">
        <f t="shared" si="59"/>
        <v>0.20345252774352651</v>
      </c>
      <c r="BE46" s="12">
        <f t="shared" si="59"/>
        <v>0.18454258675078863</v>
      </c>
      <c r="BF46" s="12">
        <f t="shared" si="59"/>
        <v>0.20265268352868598</v>
      </c>
      <c r="BG46" s="12">
        <f t="shared" si="59"/>
        <v>0.21009147241074064</v>
      </c>
      <c r="BH46" s="12">
        <f t="shared" si="59"/>
        <v>0.20088913587107529</v>
      </c>
      <c r="BI46" s="12">
        <f t="shared" si="59"/>
        <v>0.19024666855684719</v>
      </c>
      <c r="BJ46" s="12">
        <f t="shared" si="59"/>
        <v>0.20134228187919462</v>
      </c>
      <c r="BK46" s="12">
        <f t="shared" si="59"/>
        <v>0.20819289603318641</v>
      </c>
      <c r="BL46" s="12">
        <f t="shared" si="59"/>
        <v>0.19951456310679611</v>
      </c>
      <c r="BM46" s="12">
        <f t="shared" si="59"/>
        <v>0.18365407460204325</v>
      </c>
      <c r="BN46" s="12">
        <f t="shared" si="59"/>
        <v>0.18197763648322737</v>
      </c>
      <c r="BO46" s="12">
        <f t="shared" si="59"/>
        <v>0.18142826506540854</v>
      </c>
      <c r="BP46" s="12">
        <f t="shared" si="59"/>
        <v>0.17348350128433115</v>
      </c>
      <c r="BQ46" s="12">
        <f t="shared" si="59"/>
        <v>0.15656465942744324</v>
      </c>
      <c r="BR46" s="11">
        <f t="shared" si="59"/>
        <v>0.17650397275822929</v>
      </c>
      <c r="BS46" s="11">
        <f t="shared" si="59"/>
        <v>0.17909300538047657</v>
      </c>
      <c r="BT46" s="11">
        <f t="shared" si="59"/>
        <v>0.17126056596839398</v>
      </c>
      <c r="BU46" s="57"/>
      <c r="BV46" s="57"/>
      <c r="CK46" s="12">
        <f t="shared" ref="CK46:CQ46" si="60">CK34/CK37</f>
        <v>0.21089892873777363</v>
      </c>
      <c r="CL46" s="12">
        <f t="shared" si="60"/>
        <v>0.211540401492989</v>
      </c>
      <c r="CM46" s="12">
        <f t="shared" si="60"/>
        <v>0.21181022880215344</v>
      </c>
      <c r="CN46" s="12">
        <f t="shared" si="60"/>
        <v>0.19917994007254378</v>
      </c>
      <c r="CO46" s="12">
        <f t="shared" si="60"/>
        <v>0.200561797752809</v>
      </c>
      <c r="CP46" s="12">
        <f t="shared" si="60"/>
        <v>0.19275094046694929</v>
      </c>
      <c r="CQ46" s="12">
        <f t="shared" si="60"/>
        <v>0.17185554171855541</v>
      </c>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row>
    <row r="47" spans="2:146" s="4" customFormat="1">
      <c r="B47" s="4" t="s">
        <v>116</v>
      </c>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12">
        <f t="shared" ref="AU47:BT47" si="61">AU35/AU37</f>
        <v>0.16083366103027918</v>
      </c>
      <c r="AV47" s="12">
        <f t="shared" si="61"/>
        <v>0.20469296055916125</v>
      </c>
      <c r="AW47" s="12">
        <f t="shared" si="61"/>
        <v>0.17751034223392254</v>
      </c>
      <c r="AX47" s="12">
        <f t="shared" si="61"/>
        <v>0.18094534711964549</v>
      </c>
      <c r="AY47" s="12">
        <f t="shared" si="61"/>
        <v>0.171875</v>
      </c>
      <c r="AZ47" s="12">
        <f t="shared" si="61"/>
        <v>0.16899577510562236</v>
      </c>
      <c r="BA47" s="12">
        <f t="shared" si="61"/>
        <v>0.17633015006821282</v>
      </c>
      <c r="BB47" s="12">
        <f t="shared" si="61"/>
        <v>0.17908538535337384</v>
      </c>
      <c r="BC47" s="12">
        <f t="shared" si="61"/>
        <v>0.17085261070720423</v>
      </c>
      <c r="BD47" s="12">
        <f t="shared" si="61"/>
        <v>0.16337854500616522</v>
      </c>
      <c r="BE47" s="12">
        <f t="shared" si="61"/>
        <v>0.16782334384858044</v>
      </c>
      <c r="BF47" s="12">
        <f t="shared" si="61"/>
        <v>0.16563849475632325</v>
      </c>
      <c r="BG47" s="12">
        <f t="shared" si="61"/>
        <v>0.16169961640601949</v>
      </c>
      <c r="BH47" s="12">
        <f t="shared" si="61"/>
        <v>0.17393720477910532</v>
      </c>
      <c r="BI47" s="12">
        <f t="shared" si="61"/>
        <v>0.17323504394669692</v>
      </c>
      <c r="BJ47" s="12">
        <f t="shared" si="61"/>
        <v>0.1651006711409396</v>
      </c>
      <c r="BK47" s="12">
        <f t="shared" si="61"/>
        <v>0.16774695359087374</v>
      </c>
      <c r="BL47" s="12">
        <f t="shared" si="61"/>
        <v>0.16262135922330098</v>
      </c>
      <c r="BM47" s="12">
        <f t="shared" si="61"/>
        <v>0.16250890947968638</v>
      </c>
      <c r="BN47" s="12">
        <f t="shared" si="61"/>
        <v>0.15018636263977198</v>
      </c>
      <c r="BO47" s="12">
        <f t="shared" si="61"/>
        <v>0.15033240403173923</v>
      </c>
      <c r="BP47" s="12">
        <f t="shared" si="61"/>
        <v>0.15609563327405651</v>
      </c>
      <c r="BQ47" s="12">
        <f t="shared" si="61"/>
        <v>0.15853899308983219</v>
      </c>
      <c r="BR47" s="11">
        <f t="shared" si="61"/>
        <v>0.14926220204313281</v>
      </c>
      <c r="BS47" s="11">
        <f t="shared" si="61"/>
        <v>0.15430438124519599</v>
      </c>
      <c r="BT47" s="11">
        <f t="shared" si="61"/>
        <v>0.16133774347666299</v>
      </c>
      <c r="BU47" s="57"/>
      <c r="BV47" s="57"/>
      <c r="CK47" s="12">
        <f t="shared" ref="CK47:CQ47" si="62">CK35/CK37</f>
        <v>0.17680484396832791</v>
      </c>
      <c r="CL47" s="12">
        <f t="shared" si="62"/>
        <v>0.17966306869766974</v>
      </c>
      <c r="CM47" s="12">
        <f t="shared" si="62"/>
        <v>0.17412516823687751</v>
      </c>
      <c r="CN47" s="12">
        <f t="shared" si="62"/>
        <v>0.16685065447090364</v>
      </c>
      <c r="CO47" s="12">
        <f t="shared" si="62"/>
        <v>0.16853932584269662</v>
      </c>
      <c r="CP47" s="12">
        <f t="shared" si="62"/>
        <v>0.16038693497342807</v>
      </c>
      <c r="CQ47" s="12">
        <f t="shared" si="62"/>
        <v>0.15357409713574097</v>
      </c>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row>
    <row r="48" spans="2:146" s="4" customFormat="1">
      <c r="B48" s="4" t="s">
        <v>117</v>
      </c>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12">
        <f t="shared" ref="AU48:BT48" si="63">AU36/AU37</f>
        <v>3.4998033818324815E-2</v>
      </c>
      <c r="AV48" s="12">
        <f t="shared" si="63"/>
        <v>2.5461807289066399E-2</v>
      </c>
      <c r="AW48" s="12">
        <f t="shared" si="63"/>
        <v>2.8958254983076345E-2</v>
      </c>
      <c r="AX48" s="12">
        <f t="shared" si="63"/>
        <v>3.3234859675036928E-2</v>
      </c>
      <c r="AY48" s="12">
        <f t="shared" si="63"/>
        <v>3.0886627906976744E-2</v>
      </c>
      <c r="AZ48" s="12">
        <f t="shared" si="63"/>
        <v>3.0874228144296391E-2</v>
      </c>
      <c r="BA48" s="12">
        <f t="shared" si="63"/>
        <v>3.3765347885402454E-2</v>
      </c>
      <c r="BB48" s="12">
        <f t="shared" si="63"/>
        <v>3.4218100415733928E-2</v>
      </c>
      <c r="BC48" s="12">
        <f t="shared" si="63"/>
        <v>3.5360211500330467E-2</v>
      </c>
      <c r="BD48" s="12">
        <f t="shared" si="63"/>
        <v>3.6991368680641186E-2</v>
      </c>
      <c r="BE48" s="12">
        <f t="shared" si="63"/>
        <v>3.7539432176656153E-2</v>
      </c>
      <c r="BF48" s="12">
        <f t="shared" si="63"/>
        <v>3.7939543491671807E-2</v>
      </c>
      <c r="BG48" s="12">
        <f t="shared" si="63"/>
        <v>3.7179108881676012E-2</v>
      </c>
      <c r="BH48" s="12">
        <f t="shared" si="63"/>
        <v>3.8899694359544316E-2</v>
      </c>
      <c r="BI48" s="12">
        <f t="shared" si="63"/>
        <v>4.139495321803232E-2</v>
      </c>
      <c r="BJ48" s="12">
        <f t="shared" si="63"/>
        <v>3.9463087248322148E-2</v>
      </c>
      <c r="BK48" s="12">
        <f t="shared" si="63"/>
        <v>3.8631060409644799E-2</v>
      </c>
      <c r="BL48" s="12">
        <f t="shared" si="63"/>
        <v>3.9320388349514561E-2</v>
      </c>
      <c r="BM48" s="12">
        <f t="shared" si="63"/>
        <v>3.7776193870277974E-2</v>
      </c>
      <c r="BN48" s="12">
        <f t="shared" si="63"/>
        <v>3.3545275158956368E-2</v>
      </c>
      <c r="BO48" s="12">
        <f t="shared" si="63"/>
        <v>3.3454857387947672E-2</v>
      </c>
      <c r="BP48" s="12">
        <f t="shared" si="63"/>
        <v>3.3392610156095633E-2</v>
      </c>
      <c r="BQ48" s="12">
        <f t="shared" si="63"/>
        <v>3.4550839091806514E-2</v>
      </c>
      <c r="BR48" s="11">
        <f t="shared" si="63"/>
        <v>3.3863034430571322E-2</v>
      </c>
      <c r="BS48" s="11">
        <f t="shared" si="63"/>
        <v>3.5549577248270563E-2</v>
      </c>
      <c r="BT48" s="11">
        <f t="shared" si="63"/>
        <v>3.7853730246233001E-2</v>
      </c>
      <c r="BU48" s="57"/>
      <c r="BV48" s="57"/>
      <c r="CK48" s="12">
        <f t="shared" ref="CK48:CQ48" si="64">CK36/CK37</f>
        <v>3.67955286446204E-2</v>
      </c>
      <c r="CL48" s="12">
        <f t="shared" si="64"/>
        <v>3.0969434076465248E-2</v>
      </c>
      <c r="CM48" s="12">
        <f t="shared" si="64"/>
        <v>3.2469717362045764E-2</v>
      </c>
      <c r="CN48" s="12">
        <f t="shared" si="64"/>
        <v>3.6981548651632237E-2</v>
      </c>
      <c r="CO48" s="12">
        <f t="shared" si="64"/>
        <v>3.9255617977528093E-2</v>
      </c>
      <c r="CP48" s="12">
        <f t="shared" si="64"/>
        <v>3.7200692661372187E-2</v>
      </c>
      <c r="CQ48" s="12">
        <f t="shared" si="64"/>
        <v>3.3823163138231631E-2</v>
      </c>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row>
    <row r="49" spans="2:146" s="4" customFormat="1">
      <c r="B49" s="4" t="s">
        <v>7</v>
      </c>
      <c r="BR49" s="1"/>
      <c r="BS49" s="1"/>
      <c r="BT49" s="1"/>
      <c r="BU49" s="57"/>
      <c r="BV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row>
    <row r="50" spans="2:146" s="5" customFormat="1" ht="15">
      <c r="B50" s="5" t="s">
        <v>81</v>
      </c>
      <c r="C50" s="5">
        <v>2010</v>
      </c>
      <c r="D50" s="5">
        <v>2074</v>
      </c>
      <c r="E50" s="5">
        <v>2025</v>
      </c>
      <c r="F50" s="5">
        <v>2079</v>
      </c>
      <c r="G50" s="5">
        <v>1960</v>
      </c>
      <c r="H50" s="5">
        <v>1928</v>
      </c>
      <c r="I50" s="5">
        <v>1916</v>
      </c>
      <c r="J50" s="5">
        <v>2002</v>
      </c>
      <c r="K50" s="5">
        <v>1925</v>
      </c>
      <c r="L50" s="5">
        <v>1975</v>
      </c>
      <c r="M50" s="5">
        <v>1874</v>
      </c>
      <c r="N50" s="5">
        <v>1848</v>
      </c>
      <c r="O50" s="5">
        <v>1866</v>
      </c>
      <c r="P50" s="5">
        <v>1828</v>
      </c>
      <c r="Q50" s="5">
        <v>1735</v>
      </c>
      <c r="R50" s="5">
        <v>1820</v>
      </c>
      <c r="S50" s="5">
        <v>1761</v>
      </c>
      <c r="T50" s="5">
        <v>1809</v>
      </c>
      <c r="U50" s="5">
        <v>1735</v>
      </c>
      <c r="V50" s="5">
        <v>1838</v>
      </c>
      <c r="W50" s="5">
        <v>1774</v>
      </c>
      <c r="X50" s="5">
        <v>1873</v>
      </c>
      <c r="Y50" s="5">
        <v>1846</v>
      </c>
      <c r="Z50" s="5">
        <v>1887</v>
      </c>
      <c r="AA50" s="5">
        <v>1768</v>
      </c>
      <c r="AB50" s="5">
        <v>1843</v>
      </c>
      <c r="AC50" s="5">
        <v>1888</v>
      </c>
      <c r="AD50" s="5">
        <v>1978</v>
      </c>
      <c r="AE50" s="5">
        <v>1964</v>
      </c>
      <c r="AF50" s="5">
        <v>2126</v>
      </c>
      <c r="AG50" s="5">
        <v>2105</v>
      </c>
      <c r="AH50" s="5">
        <v>2191</v>
      </c>
      <c r="AI50" s="5">
        <v>2160</v>
      </c>
      <c r="AJ50" s="5">
        <v>2257</v>
      </c>
      <c r="AK50" s="5">
        <v>2222</v>
      </c>
      <c r="AL50" s="5">
        <v>2409</v>
      </c>
      <c r="AM50" s="5">
        <v>2379</v>
      </c>
      <c r="AN50" s="5">
        <v>2490</v>
      </c>
      <c r="AO50" s="5">
        <v>2393</v>
      </c>
      <c r="AP50" s="5">
        <v>2561</v>
      </c>
      <c r="AQ50" s="5">
        <v>2493</v>
      </c>
      <c r="AR50" s="5">
        <v>2631</v>
      </c>
      <c r="AS50" s="5">
        <v>2707</v>
      </c>
      <c r="AT50" s="5">
        <v>2904</v>
      </c>
      <c r="AU50" s="5">
        <f t="shared" ref="AU50:BT50" si="65">AU37</f>
        <v>2543</v>
      </c>
      <c r="AV50" s="5">
        <f t="shared" si="65"/>
        <v>2003</v>
      </c>
      <c r="AW50" s="5">
        <f t="shared" si="65"/>
        <v>2659</v>
      </c>
      <c r="AX50" s="5">
        <f t="shared" si="65"/>
        <v>2708</v>
      </c>
      <c r="AY50" s="5">
        <f t="shared" si="65"/>
        <v>2752</v>
      </c>
      <c r="AZ50" s="5">
        <f t="shared" si="65"/>
        <v>3077</v>
      </c>
      <c r="BA50" s="5">
        <f t="shared" si="65"/>
        <v>2932</v>
      </c>
      <c r="BB50" s="5">
        <f t="shared" si="65"/>
        <v>3127</v>
      </c>
      <c r="BC50" s="5">
        <f t="shared" si="65"/>
        <v>3026</v>
      </c>
      <c r="BD50" s="5">
        <f t="shared" si="65"/>
        <v>3244</v>
      </c>
      <c r="BE50" s="5">
        <f t="shared" si="65"/>
        <v>3170</v>
      </c>
      <c r="BF50" s="5">
        <f t="shared" si="65"/>
        <v>3242</v>
      </c>
      <c r="BG50" s="5">
        <f t="shared" si="65"/>
        <v>3389</v>
      </c>
      <c r="BH50" s="5">
        <f t="shared" si="65"/>
        <v>3599</v>
      </c>
      <c r="BI50" s="5">
        <f t="shared" si="65"/>
        <v>3527</v>
      </c>
      <c r="BJ50" s="5">
        <f t="shared" si="65"/>
        <v>3725</v>
      </c>
      <c r="BK50" s="5">
        <f t="shared" si="65"/>
        <v>3857</v>
      </c>
      <c r="BL50" s="5">
        <f t="shared" si="65"/>
        <v>4120</v>
      </c>
      <c r="BM50" s="5">
        <f t="shared" si="65"/>
        <v>4209</v>
      </c>
      <c r="BN50" s="5">
        <f t="shared" si="65"/>
        <v>4561</v>
      </c>
      <c r="BO50" s="5">
        <f t="shared" si="65"/>
        <v>4663</v>
      </c>
      <c r="BP50" s="5">
        <f t="shared" si="65"/>
        <v>5061</v>
      </c>
      <c r="BQ50" s="5">
        <f t="shared" si="65"/>
        <v>5065</v>
      </c>
      <c r="BR50" s="3">
        <f t="shared" si="65"/>
        <v>5286</v>
      </c>
      <c r="BS50" s="3">
        <f t="shared" si="65"/>
        <v>5204</v>
      </c>
      <c r="BT50" s="3">
        <f t="shared" si="65"/>
        <v>5442</v>
      </c>
      <c r="BU50" s="58"/>
      <c r="BV50" s="58"/>
      <c r="CA50" s="5">
        <f>SUM(C50:F50)</f>
        <v>8188</v>
      </c>
      <c r="CB50" s="5">
        <f>SUM(G50:J50)</f>
        <v>7806</v>
      </c>
      <c r="CC50" s="5">
        <f>SUM(K50:N50)</f>
        <v>7622</v>
      </c>
      <c r="CD50" s="5">
        <f>SUM(O50:R50)</f>
        <v>7249</v>
      </c>
      <c r="CE50" s="5">
        <f>SUM(S50:V50)</f>
        <v>7143</v>
      </c>
      <c r="CF50" s="5">
        <f>SUM(W50:Z50)</f>
        <v>7380</v>
      </c>
      <c r="CG50" s="5">
        <f>SUM(AA50:AD50)</f>
        <v>7477</v>
      </c>
      <c r="CH50" s="5">
        <f>SUM(AE50:AH50)</f>
        <v>8386</v>
      </c>
      <c r="CI50" s="5">
        <f>SUM(AI50:AL50)</f>
        <v>9048</v>
      </c>
      <c r="CJ50" s="5">
        <f>SUM(AM50:AP50)</f>
        <v>9823</v>
      </c>
      <c r="CK50" s="5">
        <f>SUM(AQ50:AT50)</f>
        <v>10735</v>
      </c>
      <c r="CL50" s="5">
        <f t="shared" ref="CL50:CL70" si="66">SUM(AU50:AX50)</f>
        <v>9913</v>
      </c>
      <c r="CM50" s="5">
        <f t="shared" ref="CM50:CM70" si="67">SUM(AY50:BB50)</f>
        <v>11888</v>
      </c>
      <c r="CN50" s="5">
        <f t="shared" ref="CN50:CN70" si="68">SUM(BC50:BF50)</f>
        <v>12682</v>
      </c>
      <c r="CO50" s="5">
        <f t="shared" ref="CO50:CO70" si="69">SUM(BG50:BJ50)</f>
        <v>14240</v>
      </c>
      <c r="CP50" s="5">
        <f t="shared" ref="CP50:CP70" si="70">SUM(BK50:BN50)</f>
        <v>16747</v>
      </c>
      <c r="CQ50" s="5">
        <f t="shared" ref="CQ50:CQ70" si="71">SUM(BO50:BR50)</f>
        <v>20075</v>
      </c>
      <c r="CR50" s="59">
        <f t="shared" ref="CR50:DA50" si="72">CR15</f>
        <v>21718.245000000003</v>
      </c>
      <c r="CS50" s="59">
        <f t="shared" si="72"/>
        <v>23606.828949999999</v>
      </c>
      <c r="CT50" s="59">
        <f t="shared" si="72"/>
        <v>25635.441786400002</v>
      </c>
      <c r="CU50" s="59">
        <f t="shared" si="72"/>
        <v>27574.2139368688</v>
      </c>
      <c r="CV50" s="59">
        <f t="shared" si="72"/>
        <v>29447.036478380709</v>
      </c>
      <c r="CW50" s="59">
        <f t="shared" si="72"/>
        <v>31239.875925622495</v>
      </c>
      <c r="CX50" s="59">
        <f t="shared" si="72"/>
        <v>32935.811707752873</v>
      </c>
      <c r="CY50" s="59">
        <f t="shared" si="72"/>
        <v>34515.185119830057</v>
      </c>
      <c r="CZ50" s="59">
        <f t="shared" si="72"/>
        <v>35977.553099941004</v>
      </c>
      <c r="DA50" s="59">
        <f t="shared" si="72"/>
        <v>37255.19415044754</v>
      </c>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row>
    <row r="51" spans="2:146" s="4" customFormat="1">
      <c r="B51" s="4" t="s">
        <v>22</v>
      </c>
      <c r="C51" s="4">
        <v>607</v>
      </c>
      <c r="D51" s="4">
        <v>630</v>
      </c>
      <c r="E51" s="4">
        <v>629</v>
      </c>
      <c r="F51" s="4">
        <v>710</v>
      </c>
      <c r="G51" s="4">
        <v>663</v>
      </c>
      <c r="H51" s="4">
        <v>654</v>
      </c>
      <c r="I51" s="4">
        <v>623</v>
      </c>
      <c r="J51" s="4">
        <v>659</v>
      </c>
      <c r="K51" s="4">
        <v>631</v>
      </c>
      <c r="L51" s="4">
        <v>688</v>
      </c>
      <c r="M51" s="4">
        <v>680</v>
      </c>
      <c r="N51" s="4">
        <v>660</v>
      </c>
      <c r="O51" s="4">
        <v>631</v>
      </c>
      <c r="P51" s="4">
        <v>578</v>
      </c>
      <c r="Q51" s="4">
        <v>558</v>
      </c>
      <c r="R51" s="4">
        <v>582</v>
      </c>
      <c r="S51" s="4">
        <v>578</v>
      </c>
      <c r="T51" s="4">
        <v>530</v>
      </c>
      <c r="U51" s="4">
        <v>510</v>
      </c>
      <c r="V51" s="4">
        <v>556</v>
      </c>
      <c r="W51" s="4">
        <v>537</v>
      </c>
      <c r="X51" s="4">
        <v>563</v>
      </c>
      <c r="Y51" s="4">
        <v>550</v>
      </c>
      <c r="Z51" s="4">
        <v>560</v>
      </c>
      <c r="AA51" s="4">
        <v>520</v>
      </c>
      <c r="AB51" s="4">
        <v>540</v>
      </c>
      <c r="AC51" s="4">
        <v>539</v>
      </c>
      <c r="AD51" s="4">
        <v>574</v>
      </c>
      <c r="AE51" s="4">
        <v>573</v>
      </c>
      <c r="AF51" s="4">
        <v>639</v>
      </c>
      <c r="AG51" s="4">
        <v>594</v>
      </c>
      <c r="AH51" s="4">
        <v>618</v>
      </c>
      <c r="AI51" s="4">
        <v>650</v>
      </c>
      <c r="AJ51" s="4">
        <v>632</v>
      </c>
      <c r="AK51" s="4">
        <v>637</v>
      </c>
      <c r="AL51" s="4">
        <v>674</v>
      </c>
      <c r="AM51" s="4">
        <v>672</v>
      </c>
      <c r="AN51" s="4">
        <v>739</v>
      </c>
      <c r="AO51" s="4">
        <v>672</v>
      </c>
      <c r="AP51" s="4">
        <v>730</v>
      </c>
      <c r="AQ51" s="4">
        <v>730</v>
      </c>
      <c r="AR51" s="4">
        <v>758</v>
      </c>
      <c r="AS51" s="4">
        <v>777</v>
      </c>
      <c r="AT51" s="4">
        <v>851</v>
      </c>
      <c r="AU51" s="4">
        <v>806</v>
      </c>
      <c r="AV51" s="4">
        <v>791</v>
      </c>
      <c r="AW51" s="4">
        <v>869</v>
      </c>
      <c r="AX51" s="1">
        <f>3465-SUM(AU51:AW51)</f>
        <v>999</v>
      </c>
      <c r="AY51" s="4">
        <v>894</v>
      </c>
      <c r="AZ51" s="4">
        <v>945</v>
      </c>
      <c r="BA51" s="4">
        <v>900</v>
      </c>
      <c r="BB51" s="1">
        <f>3711-SUM(AY51:BA51)</f>
        <v>972</v>
      </c>
      <c r="BC51" s="4">
        <v>955</v>
      </c>
      <c r="BD51" s="4">
        <v>1011</v>
      </c>
      <c r="BE51" s="4">
        <v>979</v>
      </c>
      <c r="BF51" s="1">
        <f>3956-SUM(BC51:BE51)</f>
        <v>1011</v>
      </c>
      <c r="BG51" s="4">
        <v>1040</v>
      </c>
      <c r="BH51" s="4">
        <v>1058</v>
      </c>
      <c r="BI51" s="4">
        <v>1101</v>
      </c>
      <c r="BJ51" s="1">
        <f>4345-SUM(BG51:BI51)</f>
        <v>1146</v>
      </c>
      <c r="BK51" s="4">
        <v>1209</v>
      </c>
      <c r="BL51" s="4">
        <v>1270</v>
      </c>
      <c r="BM51" s="4">
        <v>1312</v>
      </c>
      <c r="BN51" s="1">
        <f>5257-SUM(BK51:BM51)</f>
        <v>1466</v>
      </c>
      <c r="BO51" s="4">
        <v>1453</v>
      </c>
      <c r="BP51" s="4">
        <v>1637</v>
      </c>
      <c r="BQ51" s="4">
        <v>1523</v>
      </c>
      <c r="BR51" s="1">
        <v>1608</v>
      </c>
      <c r="BS51" s="1">
        <v>1590</v>
      </c>
      <c r="BT51" s="1">
        <v>1594</v>
      </c>
      <c r="BU51" s="57"/>
      <c r="BV51" s="57"/>
      <c r="CA51" s="4">
        <f>SUM(C51:F51)</f>
        <v>2576</v>
      </c>
      <c r="CB51" s="4">
        <f>SUM(G51:J51)</f>
        <v>2599</v>
      </c>
      <c r="CC51" s="4">
        <f>SUM(K51:N51)</f>
        <v>2659</v>
      </c>
      <c r="CD51" s="4">
        <f>SUM(O51:R51)</f>
        <v>2349</v>
      </c>
      <c r="CE51" s="4">
        <f>SUM(S51:V51)</f>
        <v>2174</v>
      </c>
      <c r="CF51" s="4">
        <f>SUM(W51:Z51)</f>
        <v>2210</v>
      </c>
      <c r="CG51" s="4">
        <f>SUM(AA51:AD51)</f>
        <v>2173</v>
      </c>
      <c r="CH51" s="4">
        <f>SUM(AE51:AH51)</f>
        <v>2424</v>
      </c>
      <c r="CI51" s="4">
        <f>SUM(AI51:AL51)</f>
        <v>2593</v>
      </c>
      <c r="CJ51" s="4">
        <f>SUM(AM51:AP51)</f>
        <v>2813</v>
      </c>
      <c r="CK51" s="4">
        <f>SUM(AQ51:AT51)</f>
        <v>3116</v>
      </c>
      <c r="CL51" s="4">
        <f t="shared" si="66"/>
        <v>3465</v>
      </c>
      <c r="CM51" s="4">
        <f t="shared" si="67"/>
        <v>3711</v>
      </c>
      <c r="CN51" s="4">
        <f t="shared" si="68"/>
        <v>3956</v>
      </c>
      <c r="CO51" s="4">
        <f t="shared" si="69"/>
        <v>4345</v>
      </c>
      <c r="CP51" s="4">
        <f t="shared" si="70"/>
        <v>5257</v>
      </c>
      <c r="CQ51" s="4">
        <f t="shared" si="71"/>
        <v>6221</v>
      </c>
      <c r="CR51" s="37">
        <f t="shared" ref="CR51:DA51" si="73">CR50*(1-CR74)</f>
        <v>6906.4019099999996</v>
      </c>
      <c r="CS51" s="37">
        <f t="shared" si="73"/>
        <v>7200.0828297500011</v>
      </c>
      <c r="CT51" s="37">
        <f t="shared" si="73"/>
        <v>7741.9034194928017</v>
      </c>
      <c r="CU51" s="37">
        <f t="shared" si="73"/>
        <v>8272.2641810606419</v>
      </c>
      <c r="CV51" s="37">
        <f t="shared" si="73"/>
        <v>8760.4933523182608</v>
      </c>
      <c r="CW51" s="37">
        <f t="shared" si="73"/>
        <v>9215.7633980586379</v>
      </c>
      <c r="CX51" s="37">
        <f t="shared" si="73"/>
        <v>9633.7249245177154</v>
      </c>
      <c r="CY51" s="37">
        <f t="shared" si="73"/>
        <v>10009.403684750718</v>
      </c>
      <c r="CZ51" s="37">
        <f t="shared" si="73"/>
        <v>10433.490398982893</v>
      </c>
      <c r="DA51" s="37">
        <f t="shared" si="73"/>
        <v>10804.006303629787</v>
      </c>
      <c r="DB51" s="57"/>
      <c r="DC51" s="57"/>
      <c r="DD51" s="57"/>
      <c r="DE51" s="57"/>
      <c r="DF51" s="57"/>
      <c r="DG51" s="57"/>
      <c r="DH51" s="57"/>
      <c r="DI51" s="57"/>
      <c r="DJ51" s="57"/>
      <c r="DK51" s="57"/>
      <c r="DL51" s="57"/>
      <c r="DM51" s="57"/>
      <c r="DN51" s="57"/>
      <c r="DO51" s="57"/>
      <c r="DP51" s="57"/>
      <c r="DQ51" s="57"/>
      <c r="DR51" s="57"/>
      <c r="DS51" s="57"/>
      <c r="DT51" s="57"/>
      <c r="DU51" s="57"/>
      <c r="DV51" s="57"/>
      <c r="DW51" s="57"/>
      <c r="DX51" s="57"/>
      <c r="DY51" s="57"/>
      <c r="DZ51" s="57"/>
      <c r="EA51" s="57"/>
      <c r="EB51" s="57"/>
      <c r="EC51" s="57"/>
      <c r="ED51" s="57"/>
      <c r="EE51" s="57"/>
      <c r="EF51" s="57"/>
      <c r="EG51" s="57"/>
      <c r="EH51" s="57"/>
      <c r="EI51" s="57"/>
      <c r="EJ51" s="57"/>
      <c r="EK51" s="57"/>
      <c r="EL51" s="57"/>
      <c r="EM51" s="57"/>
      <c r="EN51" s="57"/>
      <c r="EO51" s="57"/>
      <c r="EP51" s="57"/>
    </row>
    <row r="52" spans="2:146" s="4" customFormat="1">
      <c r="B52" s="4" t="s">
        <v>96</v>
      </c>
      <c r="C52" s="4">
        <f t="shared" ref="C52:AH52" si="74">C50-C51</f>
        <v>1403</v>
      </c>
      <c r="D52" s="4">
        <f t="shared" si="74"/>
        <v>1444</v>
      </c>
      <c r="E52" s="4">
        <f t="shared" si="74"/>
        <v>1396</v>
      </c>
      <c r="F52" s="4">
        <f t="shared" si="74"/>
        <v>1369</v>
      </c>
      <c r="G52" s="4">
        <f t="shared" si="74"/>
        <v>1297</v>
      </c>
      <c r="H52" s="4">
        <f t="shared" si="74"/>
        <v>1274</v>
      </c>
      <c r="I52" s="4">
        <f t="shared" si="74"/>
        <v>1293</v>
      </c>
      <c r="J52" s="4">
        <f t="shared" si="74"/>
        <v>1343</v>
      </c>
      <c r="K52" s="4">
        <f t="shared" si="74"/>
        <v>1294</v>
      </c>
      <c r="L52" s="4">
        <f t="shared" si="74"/>
        <v>1287</v>
      </c>
      <c r="M52" s="4">
        <f t="shared" si="74"/>
        <v>1194</v>
      </c>
      <c r="N52" s="4">
        <f t="shared" si="74"/>
        <v>1188</v>
      </c>
      <c r="O52" s="4">
        <f t="shared" si="74"/>
        <v>1235</v>
      </c>
      <c r="P52" s="4">
        <f t="shared" si="74"/>
        <v>1250</v>
      </c>
      <c r="Q52" s="4">
        <f t="shared" si="74"/>
        <v>1177</v>
      </c>
      <c r="R52" s="4">
        <f t="shared" si="74"/>
        <v>1238</v>
      </c>
      <c r="S52" s="4">
        <f t="shared" si="74"/>
        <v>1183</v>
      </c>
      <c r="T52" s="4">
        <f t="shared" si="74"/>
        <v>1279</v>
      </c>
      <c r="U52" s="4">
        <f t="shared" si="74"/>
        <v>1225</v>
      </c>
      <c r="V52" s="4">
        <f t="shared" si="74"/>
        <v>1282</v>
      </c>
      <c r="W52" s="4">
        <f t="shared" si="74"/>
        <v>1237</v>
      </c>
      <c r="X52" s="4">
        <f t="shared" si="74"/>
        <v>1310</v>
      </c>
      <c r="Y52" s="4">
        <f t="shared" si="74"/>
        <v>1296</v>
      </c>
      <c r="Z52" s="4">
        <f t="shared" si="74"/>
        <v>1327</v>
      </c>
      <c r="AA52" s="4">
        <f t="shared" si="74"/>
        <v>1248</v>
      </c>
      <c r="AB52" s="4">
        <f t="shared" si="74"/>
        <v>1303</v>
      </c>
      <c r="AC52" s="4">
        <f t="shared" si="74"/>
        <v>1349</v>
      </c>
      <c r="AD52" s="4">
        <f t="shared" si="74"/>
        <v>1404</v>
      </c>
      <c r="AE52" s="4">
        <f t="shared" si="74"/>
        <v>1391</v>
      </c>
      <c r="AF52" s="4">
        <f t="shared" si="74"/>
        <v>1487</v>
      </c>
      <c r="AG52" s="4">
        <f t="shared" si="74"/>
        <v>1511</v>
      </c>
      <c r="AH52" s="4">
        <f t="shared" si="74"/>
        <v>1573</v>
      </c>
      <c r="AI52" s="4">
        <f t="shared" ref="AI52:BN52" si="75">AI50-AI51</f>
        <v>1510</v>
      </c>
      <c r="AJ52" s="4">
        <f t="shared" si="75"/>
        <v>1625</v>
      </c>
      <c r="AK52" s="4">
        <f t="shared" si="75"/>
        <v>1585</v>
      </c>
      <c r="AL52" s="4">
        <f t="shared" si="75"/>
        <v>1735</v>
      </c>
      <c r="AM52" s="4">
        <f t="shared" si="75"/>
        <v>1707</v>
      </c>
      <c r="AN52" s="4">
        <f t="shared" si="75"/>
        <v>1751</v>
      </c>
      <c r="AO52" s="4">
        <f t="shared" si="75"/>
        <v>1721</v>
      </c>
      <c r="AP52" s="4">
        <f t="shared" si="75"/>
        <v>1831</v>
      </c>
      <c r="AQ52" s="4">
        <f t="shared" si="75"/>
        <v>1763</v>
      </c>
      <c r="AR52" s="4">
        <f t="shared" si="75"/>
        <v>1873</v>
      </c>
      <c r="AS52" s="4">
        <f t="shared" si="75"/>
        <v>1930</v>
      </c>
      <c r="AT52" s="4">
        <f t="shared" si="75"/>
        <v>2053</v>
      </c>
      <c r="AU52" s="4">
        <f t="shared" si="75"/>
        <v>1737</v>
      </c>
      <c r="AV52" s="4">
        <f t="shared" si="75"/>
        <v>1212</v>
      </c>
      <c r="AW52" s="4">
        <f t="shared" si="75"/>
        <v>1790</v>
      </c>
      <c r="AX52" s="4">
        <f t="shared" si="75"/>
        <v>1709</v>
      </c>
      <c r="AY52" s="4">
        <f t="shared" si="75"/>
        <v>1858</v>
      </c>
      <c r="AZ52" s="4">
        <f t="shared" si="75"/>
        <v>2132</v>
      </c>
      <c r="BA52" s="4">
        <f t="shared" si="75"/>
        <v>2032</v>
      </c>
      <c r="BB52" s="4">
        <f t="shared" si="75"/>
        <v>2155</v>
      </c>
      <c r="BC52" s="4">
        <f t="shared" si="75"/>
        <v>2071</v>
      </c>
      <c r="BD52" s="4">
        <f t="shared" si="75"/>
        <v>2233</v>
      </c>
      <c r="BE52" s="4">
        <f t="shared" si="75"/>
        <v>2191</v>
      </c>
      <c r="BF52" s="4">
        <f t="shared" si="75"/>
        <v>2231</v>
      </c>
      <c r="BG52" s="4">
        <f t="shared" si="75"/>
        <v>2349</v>
      </c>
      <c r="BH52" s="4">
        <f t="shared" si="75"/>
        <v>2541</v>
      </c>
      <c r="BI52" s="4">
        <f t="shared" si="75"/>
        <v>2426</v>
      </c>
      <c r="BJ52" s="4">
        <f t="shared" si="75"/>
        <v>2579</v>
      </c>
      <c r="BK52" s="4">
        <f t="shared" si="75"/>
        <v>2648</v>
      </c>
      <c r="BL52" s="4">
        <f t="shared" si="75"/>
        <v>2850</v>
      </c>
      <c r="BM52" s="4">
        <f t="shared" si="75"/>
        <v>2897</v>
      </c>
      <c r="BN52" s="4">
        <f t="shared" si="75"/>
        <v>3095</v>
      </c>
      <c r="BO52" s="4">
        <f t="shared" ref="BO52:BT52" si="76">BO50-BO51</f>
        <v>3210</v>
      </c>
      <c r="BP52" s="4">
        <f t="shared" si="76"/>
        <v>3424</v>
      </c>
      <c r="BQ52" s="4">
        <f t="shared" si="76"/>
        <v>3542</v>
      </c>
      <c r="BR52" s="1">
        <f t="shared" si="76"/>
        <v>3678</v>
      </c>
      <c r="BS52" s="1">
        <f t="shared" si="76"/>
        <v>3614</v>
      </c>
      <c r="BT52" s="1">
        <f t="shared" si="76"/>
        <v>3848</v>
      </c>
      <c r="BU52" s="57"/>
      <c r="BV52" s="57"/>
      <c r="CA52" s="4">
        <f>SUM(C52:F52)</f>
        <v>5612</v>
      </c>
      <c r="CB52" s="4">
        <f>SUM(G52:J52)</f>
        <v>5207</v>
      </c>
      <c r="CC52" s="4">
        <f>SUM(K52:N52)</f>
        <v>4963</v>
      </c>
      <c r="CD52" s="4">
        <f>SUM(O52:R52)</f>
        <v>4900</v>
      </c>
      <c r="CE52" s="4">
        <f>SUM(S52:V52)</f>
        <v>4969</v>
      </c>
      <c r="CF52" s="4">
        <f>SUM(W52:Z52)</f>
        <v>5170</v>
      </c>
      <c r="CG52" s="4">
        <f>SUM(AA52:AD52)</f>
        <v>5304</v>
      </c>
      <c r="CH52" s="4">
        <f>SUM(AE52:AH52)</f>
        <v>5962</v>
      </c>
      <c r="CI52" s="4">
        <f>SUM(AI52:AL52)</f>
        <v>6455</v>
      </c>
      <c r="CJ52" s="4">
        <f>SUM(AM52:AP52)</f>
        <v>7010</v>
      </c>
      <c r="CK52" s="4">
        <f>SUM(AQ52:AT52)</f>
        <v>7619</v>
      </c>
      <c r="CL52" s="4">
        <f t="shared" si="66"/>
        <v>6448</v>
      </c>
      <c r="CM52" s="4">
        <f t="shared" si="67"/>
        <v>8177</v>
      </c>
      <c r="CN52" s="4">
        <f t="shared" si="68"/>
        <v>8726</v>
      </c>
      <c r="CO52" s="4">
        <f t="shared" si="69"/>
        <v>9895</v>
      </c>
      <c r="CP52" s="4">
        <f t="shared" si="70"/>
        <v>11490</v>
      </c>
      <c r="CQ52" s="4">
        <f t="shared" si="71"/>
        <v>13854</v>
      </c>
      <c r="CR52" s="37">
        <f t="shared" ref="CR52:DA52" si="77">CR50-CR51</f>
        <v>14811.843090000002</v>
      </c>
      <c r="CS52" s="37">
        <f t="shared" si="77"/>
        <v>16406.746120249998</v>
      </c>
      <c r="CT52" s="37">
        <f t="shared" si="77"/>
        <v>17893.5383669072</v>
      </c>
      <c r="CU52" s="37">
        <f t="shared" si="77"/>
        <v>19301.949755808157</v>
      </c>
      <c r="CV52" s="37">
        <f t="shared" si="77"/>
        <v>20686.543126062446</v>
      </c>
      <c r="CW52" s="37">
        <f t="shared" si="77"/>
        <v>22024.112527563855</v>
      </c>
      <c r="CX52" s="37">
        <f t="shared" si="77"/>
        <v>23302.086783235158</v>
      </c>
      <c r="CY52" s="37">
        <f t="shared" si="77"/>
        <v>24505.781435079341</v>
      </c>
      <c r="CZ52" s="37">
        <f t="shared" si="77"/>
        <v>25544.062700958111</v>
      </c>
      <c r="DA52" s="37">
        <f t="shared" si="77"/>
        <v>26451.187846817753</v>
      </c>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row>
    <row r="53" spans="2:146" s="4" customFormat="1">
      <c r="B53" s="4" t="s">
        <v>95</v>
      </c>
      <c r="C53" s="4">
        <v>651</v>
      </c>
      <c r="D53" s="4">
        <v>671</v>
      </c>
      <c r="E53" s="4">
        <v>665</v>
      </c>
      <c r="F53" s="4">
        <v>648</v>
      </c>
      <c r="G53" s="4">
        <v>628</v>
      </c>
      <c r="H53" s="4">
        <v>634</v>
      </c>
      <c r="I53" s="4">
        <v>634</v>
      </c>
      <c r="J53" s="4">
        <v>686</v>
      </c>
      <c r="K53" s="4">
        <v>602</v>
      </c>
      <c r="L53" s="4">
        <v>649</v>
      </c>
      <c r="M53" s="4">
        <v>635</v>
      </c>
      <c r="N53" s="4">
        <v>608</v>
      </c>
      <c r="O53" s="4">
        <v>669</v>
      </c>
      <c r="P53" s="4">
        <v>649</v>
      </c>
      <c r="Q53" s="4">
        <v>569</v>
      </c>
      <c r="R53" s="4">
        <v>642</v>
      </c>
      <c r="S53" s="4">
        <v>608</v>
      </c>
      <c r="T53" s="4">
        <v>661</v>
      </c>
      <c r="U53" s="4">
        <v>658</v>
      </c>
      <c r="V53" s="4">
        <v>751</v>
      </c>
      <c r="W53" s="4">
        <v>666</v>
      </c>
      <c r="X53" s="4">
        <v>743</v>
      </c>
      <c r="Y53" s="4">
        <v>741</v>
      </c>
      <c r="Z53" s="4">
        <v>752</v>
      </c>
      <c r="AA53" s="4">
        <v>668</v>
      </c>
      <c r="AB53" s="4">
        <v>700</v>
      </c>
      <c r="AC53" s="4">
        <v>729</v>
      </c>
      <c r="AD53" s="4">
        <v>776</v>
      </c>
      <c r="AE53" s="4">
        <v>716</v>
      </c>
      <c r="AF53" s="4">
        <v>779</v>
      </c>
      <c r="AG53" s="4">
        <v>772</v>
      </c>
      <c r="AH53" s="4">
        <v>832</v>
      </c>
      <c r="AI53" s="4">
        <v>794</v>
      </c>
      <c r="AJ53" s="4">
        <v>815</v>
      </c>
      <c r="AK53" s="4">
        <v>800</v>
      </c>
      <c r="AL53" s="4">
        <v>885</v>
      </c>
      <c r="AM53" s="4">
        <v>860</v>
      </c>
      <c r="AN53" s="4">
        <v>886</v>
      </c>
      <c r="AO53" s="4">
        <v>870</v>
      </c>
      <c r="AP53" s="4">
        <v>953</v>
      </c>
      <c r="AQ53" s="4">
        <v>869</v>
      </c>
      <c r="AR53" s="4">
        <v>968</v>
      </c>
      <c r="AS53" s="4">
        <v>1012</v>
      </c>
      <c r="AT53" s="4">
        <v>1092</v>
      </c>
      <c r="AU53" s="4">
        <v>978</v>
      </c>
      <c r="AV53" s="4">
        <v>798</v>
      </c>
      <c r="AW53" s="4">
        <v>984</v>
      </c>
      <c r="AX53" s="1">
        <f>3787-SUM(AU53:AW53)</f>
        <v>1027</v>
      </c>
      <c r="AY53" s="4">
        <v>1019</v>
      </c>
      <c r="AZ53" s="4">
        <v>1121</v>
      </c>
      <c r="BA53" s="4">
        <v>1066</v>
      </c>
      <c r="BB53" s="1">
        <f>4359-SUM(AY53:BA53)</f>
        <v>1153</v>
      </c>
      <c r="BC53" s="4">
        <v>1060</v>
      </c>
      <c r="BD53" s="4">
        <v>1165</v>
      </c>
      <c r="BE53" s="4">
        <v>1132</v>
      </c>
      <c r="BF53" s="1">
        <f>4520-SUM(BC53:BE53)</f>
        <v>1163</v>
      </c>
      <c r="BG53" s="4">
        <v>1215</v>
      </c>
      <c r="BH53" s="4">
        <v>1354</v>
      </c>
      <c r="BI53" s="4">
        <v>1242</v>
      </c>
      <c r="BJ53" s="1">
        <f>5190-SUM(BG53:BI53)</f>
        <v>1379</v>
      </c>
      <c r="BK53" s="4">
        <v>1364</v>
      </c>
      <c r="BL53" s="4">
        <v>1446</v>
      </c>
      <c r="BM53" s="4">
        <v>1562</v>
      </c>
      <c r="BN53" s="1">
        <f>5984-SUM(BK53:BM53)</f>
        <v>1612</v>
      </c>
      <c r="BO53" s="4">
        <v>1597</v>
      </c>
      <c r="BP53" s="4">
        <v>1716</v>
      </c>
      <c r="BQ53" s="4">
        <v>1741</v>
      </c>
      <c r="BR53" s="1">
        <v>1834</v>
      </c>
      <c r="BS53" s="1">
        <v>1781</v>
      </c>
      <c r="BT53" s="1">
        <v>1803</v>
      </c>
      <c r="BU53" s="57"/>
      <c r="BV53" s="57"/>
      <c r="CA53" s="4">
        <f>SUM(C53:F53)</f>
        <v>2635</v>
      </c>
      <c r="CB53" s="4">
        <f>SUM(G53:J53)</f>
        <v>2582</v>
      </c>
      <c r="CC53" s="4">
        <f>SUM(K53:N53)</f>
        <v>2494</v>
      </c>
      <c r="CD53" s="4">
        <f>SUM(O53:R53)</f>
        <v>2529</v>
      </c>
      <c r="CE53" s="4">
        <f>SUM(S53:V53)</f>
        <v>2678</v>
      </c>
      <c r="CF53" s="4">
        <f>SUM(W53:Z53)</f>
        <v>2902</v>
      </c>
      <c r="CG53" s="4">
        <f>SUM(AA53:AD53)</f>
        <v>2873</v>
      </c>
      <c r="CH53" s="4">
        <f>SUM(AE53:AH53)</f>
        <v>3099</v>
      </c>
      <c r="CI53" s="4">
        <f>SUM(AI53:AL53)</f>
        <v>3294</v>
      </c>
      <c r="CJ53" s="4">
        <f>SUM(AM53:AP53)</f>
        <v>3569</v>
      </c>
      <c r="CK53" s="4">
        <f>SUM(AQ53:AT53)</f>
        <v>3941</v>
      </c>
      <c r="CL53" s="4">
        <f t="shared" si="66"/>
        <v>3787</v>
      </c>
      <c r="CM53" s="4">
        <f t="shared" si="67"/>
        <v>4359</v>
      </c>
      <c r="CN53" s="4">
        <f t="shared" si="68"/>
        <v>4520</v>
      </c>
      <c r="CO53" s="4">
        <f t="shared" si="69"/>
        <v>5190</v>
      </c>
      <c r="CP53" s="4">
        <f t="shared" si="70"/>
        <v>5984</v>
      </c>
      <c r="CQ53" s="4">
        <f t="shared" si="71"/>
        <v>6888</v>
      </c>
      <c r="CR53" s="37">
        <f t="shared" ref="CR53:DA53" si="78">CR50*CR75</f>
        <v>7623.1039950000004</v>
      </c>
      <c r="CS53" s="37">
        <f t="shared" si="78"/>
        <v>8238.7833035499989</v>
      </c>
      <c r="CT53" s="37">
        <f t="shared" si="78"/>
        <v>8895.4982998808009</v>
      </c>
      <c r="CU53" s="37">
        <f t="shared" si="78"/>
        <v>9540.6780221566041</v>
      </c>
      <c r="CV53" s="37">
        <f t="shared" si="78"/>
        <v>10159.227585041344</v>
      </c>
      <c r="CW53" s="37">
        <f t="shared" si="78"/>
        <v>10746.517318414137</v>
      </c>
      <c r="CX53" s="37">
        <f t="shared" si="78"/>
        <v>11296.983415759236</v>
      </c>
      <c r="CY53" s="37">
        <f t="shared" si="78"/>
        <v>11804.19331098188</v>
      </c>
      <c r="CZ53" s="37">
        <f t="shared" si="78"/>
        <v>12268.345607079884</v>
      </c>
      <c r="DA53" s="37">
        <f t="shared" si="78"/>
        <v>12666.766011152164</v>
      </c>
      <c r="DB53" s="57"/>
      <c r="DC53" s="57"/>
      <c r="DD53" s="57"/>
      <c r="DE53" s="57"/>
      <c r="DF53" s="57"/>
      <c r="DG53" s="57"/>
      <c r="DH53" s="57"/>
      <c r="DI53" s="57"/>
      <c r="DJ53" s="57"/>
      <c r="DK53" s="57"/>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row>
    <row r="54" spans="2:146" s="4" customFormat="1">
      <c r="B54" s="4" t="s">
        <v>92</v>
      </c>
      <c r="C54" s="4">
        <v>257</v>
      </c>
      <c r="D54" s="4">
        <v>280</v>
      </c>
      <c r="E54" s="4">
        <v>258</v>
      </c>
      <c r="F54" s="4">
        <v>261</v>
      </c>
      <c r="G54" s="4">
        <v>253</v>
      </c>
      <c r="H54" s="4">
        <v>232</v>
      </c>
      <c r="I54" s="4">
        <v>230</v>
      </c>
      <c r="J54" s="4">
        <v>224</v>
      </c>
      <c r="K54" s="4">
        <v>212</v>
      </c>
      <c r="L54" s="4">
        <v>223</v>
      </c>
      <c r="M54" s="4">
        <v>229</v>
      </c>
      <c r="N54" s="4">
        <v>231</v>
      </c>
      <c r="O54" s="4">
        <v>215</v>
      </c>
      <c r="P54" s="4">
        <v>213</v>
      </c>
      <c r="Q54" s="4">
        <v>220</v>
      </c>
      <c r="R54" s="4">
        <v>238</v>
      </c>
      <c r="S54" s="4">
        <v>204</v>
      </c>
      <c r="T54" s="4">
        <v>223</v>
      </c>
      <c r="U54" s="4">
        <v>217</v>
      </c>
      <c r="V54" s="4">
        <v>217</v>
      </c>
      <c r="W54" s="4">
        <v>191</v>
      </c>
      <c r="X54" s="4">
        <v>206</v>
      </c>
      <c r="Y54" s="4">
        <v>212</v>
      </c>
      <c r="Z54" s="4">
        <v>208</v>
      </c>
      <c r="AA54" s="4">
        <v>192</v>
      </c>
      <c r="AB54" s="4">
        <v>220</v>
      </c>
      <c r="AC54" s="4">
        <v>221</v>
      </c>
      <c r="AD54" s="4">
        <v>243</v>
      </c>
      <c r="AE54" s="4">
        <v>210</v>
      </c>
      <c r="AF54" s="4">
        <v>222</v>
      </c>
      <c r="AG54" s="4">
        <v>232</v>
      </c>
      <c r="AH54" s="4">
        <v>256</v>
      </c>
      <c r="AI54" s="4">
        <v>235</v>
      </c>
      <c r="AJ54" s="4">
        <v>244</v>
      </c>
      <c r="AK54" s="4">
        <v>254</v>
      </c>
      <c r="AL54" s="4">
        <v>264</v>
      </c>
      <c r="AM54" s="4">
        <v>261</v>
      </c>
      <c r="AN54" s="4">
        <v>275</v>
      </c>
      <c r="AO54" s="4">
        <v>289</v>
      </c>
      <c r="AP54" s="4">
        <v>288</v>
      </c>
      <c r="AQ54" s="4">
        <v>280</v>
      </c>
      <c r="AR54" s="4">
        <v>280</v>
      </c>
      <c r="AS54" s="4">
        <v>306</v>
      </c>
      <c r="AT54" s="4">
        <v>308</v>
      </c>
      <c r="AU54" s="4">
        <v>300</v>
      </c>
      <c r="AV54" s="4">
        <v>242</v>
      </c>
      <c r="AW54" s="4">
        <v>315</v>
      </c>
      <c r="AX54" s="1">
        <f>1143-SUM(AU54:AW54)</f>
        <v>286</v>
      </c>
      <c r="AY54" s="4">
        <v>276</v>
      </c>
      <c r="AZ54" s="4">
        <v>298</v>
      </c>
      <c r="BA54" s="4">
        <v>310</v>
      </c>
      <c r="BB54" s="1">
        <f>1204-SUM(AY54:BA54)</f>
        <v>320</v>
      </c>
      <c r="BC54" s="4">
        <v>319</v>
      </c>
      <c r="BD54" s="4">
        <v>335</v>
      </c>
      <c r="BE54" s="4">
        <v>339</v>
      </c>
      <c r="BF54" s="1">
        <f>1323-SUM(BC54:BE54)</f>
        <v>330</v>
      </c>
      <c r="BG54" s="4">
        <v>337</v>
      </c>
      <c r="BH54" s="4">
        <v>359</v>
      </c>
      <c r="BI54" s="4">
        <v>356</v>
      </c>
      <c r="BJ54" s="1">
        <f>1414-SUM(BG54:BI54)</f>
        <v>362</v>
      </c>
      <c r="BK54" s="4">
        <v>366</v>
      </c>
      <c r="BL54" s="4">
        <v>383</v>
      </c>
      <c r="BM54" s="4">
        <v>407</v>
      </c>
      <c r="BN54" s="1">
        <f>1615-SUM(BK54:BM54)</f>
        <v>459</v>
      </c>
      <c r="BO54" s="4">
        <v>443</v>
      </c>
      <c r="BP54" s="4">
        <v>526</v>
      </c>
      <c r="BQ54" s="4">
        <v>514</v>
      </c>
      <c r="BR54" s="1">
        <v>569</v>
      </c>
      <c r="BS54" s="1">
        <v>516</v>
      </c>
      <c r="BT54" s="1">
        <v>554</v>
      </c>
      <c r="BU54" s="57"/>
      <c r="BV54" s="57"/>
      <c r="CA54" s="4">
        <f>SUM(C54:F54)</f>
        <v>1056</v>
      </c>
      <c r="CB54" s="4">
        <f>SUM(G54:J54)</f>
        <v>939</v>
      </c>
      <c r="CC54" s="4">
        <f>SUM(K54:N54)</f>
        <v>895</v>
      </c>
      <c r="CD54" s="4">
        <f>SUM(O54:R54)</f>
        <v>886</v>
      </c>
      <c r="CE54" s="4">
        <f>SUM(S54:V54)</f>
        <v>861</v>
      </c>
      <c r="CF54" s="4">
        <f>SUM(W54:Z54)</f>
        <v>817</v>
      </c>
      <c r="CG54" s="4">
        <f>SUM(AA54:AD54)</f>
        <v>876</v>
      </c>
      <c r="CH54" s="4">
        <f>SUM(AE54:AH54)</f>
        <v>920</v>
      </c>
      <c r="CI54" s="4">
        <f>SUM(AI54:AL54)</f>
        <v>997</v>
      </c>
      <c r="CJ54" s="4">
        <f>SUM(AM54:AP54)</f>
        <v>1113</v>
      </c>
      <c r="CK54" s="4">
        <f>SUM(AQ54:AT54)</f>
        <v>1174</v>
      </c>
      <c r="CL54" s="4">
        <f t="shared" si="66"/>
        <v>1143</v>
      </c>
      <c r="CM54" s="4">
        <f t="shared" si="67"/>
        <v>1204</v>
      </c>
      <c r="CN54" s="4">
        <f t="shared" si="68"/>
        <v>1323</v>
      </c>
      <c r="CO54" s="4">
        <f t="shared" si="69"/>
        <v>1414</v>
      </c>
      <c r="CP54" s="4">
        <f t="shared" si="70"/>
        <v>1615</v>
      </c>
      <c r="CQ54" s="4">
        <f t="shared" si="71"/>
        <v>2052</v>
      </c>
      <c r="CR54" s="37">
        <f t="shared" ref="CR54:DA54" si="79">CR50*(CR76)</f>
        <v>2258.6974800000003</v>
      </c>
      <c r="CS54" s="37">
        <f t="shared" si="79"/>
        <v>2549.5375266000001</v>
      </c>
      <c r="CT54" s="37">
        <f t="shared" si="79"/>
        <v>2819.8985965040001</v>
      </c>
      <c r="CU54" s="37">
        <f t="shared" si="79"/>
        <v>3088.3119609293058</v>
      </c>
      <c r="CV54" s="37">
        <f t="shared" si="79"/>
        <v>3356.9621585354012</v>
      </c>
      <c r="CW54" s="37">
        <f t="shared" si="79"/>
        <v>3530.105979595342</v>
      </c>
      <c r="CX54" s="37">
        <f t="shared" si="79"/>
        <v>3688.8109112683219</v>
      </c>
      <c r="CY54" s="37">
        <f t="shared" si="79"/>
        <v>3831.1855483011364</v>
      </c>
      <c r="CZ54" s="37">
        <f t="shared" si="79"/>
        <v>3957.5308409935105</v>
      </c>
      <c r="DA54" s="37">
        <f t="shared" si="79"/>
        <v>4060.8161623987817</v>
      </c>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row>
    <row r="55" spans="2:146" s="4" customFormat="1">
      <c r="B55" s="4" t="s">
        <v>93</v>
      </c>
      <c r="AU55" s="4">
        <v>12</v>
      </c>
      <c r="AV55" s="4">
        <v>8</v>
      </c>
      <c r="AW55" s="4">
        <v>12</v>
      </c>
      <c r="AX55" s="1">
        <f>45-SUM(AU55:AW55)</f>
        <v>13</v>
      </c>
      <c r="AY55" s="4">
        <v>12</v>
      </c>
      <c r="AZ55" s="4">
        <v>12</v>
      </c>
      <c r="BA55" s="4">
        <v>14</v>
      </c>
      <c r="BB55" s="1">
        <f>49-SUM(AY55:BA55)</f>
        <v>11</v>
      </c>
      <c r="BC55" s="4">
        <v>12</v>
      </c>
      <c r="BD55" s="4">
        <v>11</v>
      </c>
      <c r="BE55" s="4">
        <v>11</v>
      </c>
      <c r="BF55" s="1">
        <f>47-SUM(BC55:BE55)</f>
        <v>13</v>
      </c>
      <c r="BG55" s="4">
        <v>11</v>
      </c>
      <c r="BH55" s="4">
        <v>12</v>
      </c>
      <c r="BI55" s="4">
        <v>11</v>
      </c>
      <c r="BJ55" s="1">
        <f>46-SUM(BG55:BI55)</f>
        <v>12</v>
      </c>
      <c r="BK55" s="4">
        <v>10</v>
      </c>
      <c r="BL55" s="4">
        <v>9</v>
      </c>
      <c r="BM55" s="4">
        <v>5</v>
      </c>
      <c r="BN55" s="1">
        <f>33-SUM(BK55:BM55)</f>
        <v>9</v>
      </c>
      <c r="BO55" s="4">
        <v>14</v>
      </c>
      <c r="BP55" s="4">
        <v>14</v>
      </c>
      <c r="BQ55" s="4">
        <v>12</v>
      </c>
      <c r="BR55" s="1">
        <v>6</v>
      </c>
      <c r="BS55" s="1">
        <v>12</v>
      </c>
      <c r="BT55" s="1">
        <v>12</v>
      </c>
      <c r="BU55" s="57"/>
      <c r="BV55" s="57"/>
      <c r="CA55" s="4">
        <v>0</v>
      </c>
      <c r="CB55" s="4">
        <v>0</v>
      </c>
      <c r="CC55" s="4">
        <v>0</v>
      </c>
      <c r="CD55" s="4">
        <v>0</v>
      </c>
      <c r="CE55" s="4">
        <v>0</v>
      </c>
      <c r="CF55" s="4">
        <v>0</v>
      </c>
      <c r="CG55" s="4">
        <v>0</v>
      </c>
      <c r="CH55" s="4">
        <v>0</v>
      </c>
      <c r="CI55" s="4">
        <v>0</v>
      </c>
      <c r="CJ55" s="4">
        <v>0</v>
      </c>
      <c r="CK55" s="4">
        <v>0</v>
      </c>
      <c r="CL55" s="4">
        <f t="shared" si="66"/>
        <v>45</v>
      </c>
      <c r="CM55" s="4">
        <f t="shared" si="67"/>
        <v>49</v>
      </c>
      <c r="CN55" s="4">
        <f t="shared" si="68"/>
        <v>47</v>
      </c>
      <c r="CO55" s="4">
        <f t="shared" si="69"/>
        <v>46</v>
      </c>
      <c r="CP55" s="4">
        <f t="shared" si="70"/>
        <v>33</v>
      </c>
      <c r="CQ55" s="4">
        <f t="shared" si="71"/>
        <v>46</v>
      </c>
      <c r="CR55" s="37">
        <f t="shared" ref="CR55:DA55" si="80">CQ55*1.035</f>
        <v>47.61</v>
      </c>
      <c r="CS55" s="37">
        <f t="shared" si="80"/>
        <v>49.276349999999994</v>
      </c>
      <c r="CT55" s="37">
        <f t="shared" si="80"/>
        <v>51.001022249999991</v>
      </c>
      <c r="CU55" s="37">
        <f t="shared" si="80"/>
        <v>52.786058028749984</v>
      </c>
      <c r="CV55" s="37">
        <f t="shared" si="80"/>
        <v>54.633570059756231</v>
      </c>
      <c r="CW55" s="37">
        <f t="shared" si="80"/>
        <v>56.545745011847693</v>
      </c>
      <c r="CX55" s="37">
        <f t="shared" si="80"/>
        <v>58.524846087262354</v>
      </c>
      <c r="CY55" s="37">
        <f t="shared" si="80"/>
        <v>60.573215700316531</v>
      </c>
      <c r="CZ55" s="37">
        <f t="shared" si="80"/>
        <v>62.693278249827607</v>
      </c>
      <c r="DA55" s="37">
        <f t="shared" si="80"/>
        <v>64.887542988571568</v>
      </c>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row>
    <row r="56" spans="2:146" s="4" customFormat="1">
      <c r="B56" s="4" t="s">
        <v>94</v>
      </c>
      <c r="AU56" s="4">
        <v>201</v>
      </c>
      <c r="AV56" s="4">
        <v>197</v>
      </c>
      <c r="AW56" s="4">
        <v>197</v>
      </c>
      <c r="AX56" s="1">
        <f>789-SUM(AU56:AW56)</f>
        <v>194</v>
      </c>
      <c r="AY56" s="4">
        <v>185</v>
      </c>
      <c r="AZ56" s="4">
        <v>180</v>
      </c>
      <c r="BA56" s="4">
        <v>184</v>
      </c>
      <c r="BB56" s="1">
        <f>741-SUM(AY56:BA56)</f>
        <v>192</v>
      </c>
      <c r="BC56" s="4">
        <v>198</v>
      </c>
      <c r="BD56" s="4">
        <v>204</v>
      </c>
      <c r="BE56" s="4">
        <v>202</v>
      </c>
      <c r="BF56" s="1">
        <f>803-SUM(BC56:BE56)</f>
        <v>199</v>
      </c>
      <c r="BG56" s="4">
        <v>203</v>
      </c>
      <c r="BH56" s="4">
        <v>210</v>
      </c>
      <c r="BI56" s="4">
        <v>208</v>
      </c>
      <c r="BJ56" s="1">
        <f>828-SUM(BG56:BI56)</f>
        <v>207</v>
      </c>
      <c r="BK56" s="4">
        <v>214</v>
      </c>
      <c r="BL56" s="4">
        <v>213</v>
      </c>
      <c r="BM56" s="4">
        <v>205</v>
      </c>
      <c r="BN56" s="1">
        <f>856-SUM(BK56:BM56)</f>
        <v>224</v>
      </c>
      <c r="BO56" s="4">
        <v>219</v>
      </c>
      <c r="BP56" s="4">
        <v>225</v>
      </c>
      <c r="BQ56" s="4">
        <v>225</v>
      </c>
      <c r="BR56" s="1">
        <v>228</v>
      </c>
      <c r="BS56" s="1">
        <v>232</v>
      </c>
      <c r="BT56" s="1">
        <v>233</v>
      </c>
      <c r="BU56" s="57"/>
      <c r="BV56" s="57"/>
      <c r="CA56" s="4">
        <v>0</v>
      </c>
      <c r="CB56" s="4">
        <v>0</v>
      </c>
      <c r="CC56" s="4">
        <v>0</v>
      </c>
      <c r="CD56" s="4">
        <v>0</v>
      </c>
      <c r="CE56" s="4">
        <v>0</v>
      </c>
      <c r="CF56" s="4">
        <v>0</v>
      </c>
      <c r="CG56" s="4">
        <v>0</v>
      </c>
      <c r="CH56" s="4">
        <v>0</v>
      </c>
      <c r="CI56" s="4">
        <v>0</v>
      </c>
      <c r="CJ56" s="4">
        <v>0</v>
      </c>
      <c r="CK56" s="4">
        <v>0</v>
      </c>
      <c r="CL56" s="4">
        <f t="shared" si="66"/>
        <v>789</v>
      </c>
      <c r="CM56" s="4">
        <f t="shared" si="67"/>
        <v>741</v>
      </c>
      <c r="CN56" s="4">
        <f t="shared" si="68"/>
        <v>803</v>
      </c>
      <c r="CO56" s="4">
        <f t="shared" si="69"/>
        <v>828</v>
      </c>
      <c r="CP56" s="4">
        <f t="shared" si="70"/>
        <v>856</v>
      </c>
      <c r="CQ56" s="4">
        <f t="shared" si="71"/>
        <v>897</v>
      </c>
      <c r="CR56" s="37">
        <f t="shared" ref="CR56:DA56" si="81">CQ56*1.025</f>
        <v>919.42499999999995</v>
      </c>
      <c r="CS56" s="37">
        <f t="shared" si="81"/>
        <v>942.41062499999987</v>
      </c>
      <c r="CT56" s="37">
        <f t="shared" si="81"/>
        <v>965.97089062499981</v>
      </c>
      <c r="CU56" s="37">
        <f t="shared" si="81"/>
        <v>990.12016289062467</v>
      </c>
      <c r="CV56" s="37">
        <f t="shared" si="81"/>
        <v>1014.8731669628902</v>
      </c>
      <c r="CW56" s="37">
        <f t="shared" si="81"/>
        <v>1040.2449961369623</v>
      </c>
      <c r="CX56" s="37">
        <f t="shared" si="81"/>
        <v>1066.2511210403864</v>
      </c>
      <c r="CY56" s="37">
        <f t="shared" si="81"/>
        <v>1092.907399066396</v>
      </c>
      <c r="CZ56" s="37">
        <f t="shared" si="81"/>
        <v>1120.2300840430557</v>
      </c>
      <c r="DA56" s="37">
        <f t="shared" si="81"/>
        <v>1148.235836144132</v>
      </c>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row>
    <row r="57" spans="2:146" s="4" customFormat="1">
      <c r="B57" s="4" t="s">
        <v>82</v>
      </c>
      <c r="AU57" s="4">
        <v>198</v>
      </c>
      <c r="AV57" s="4">
        <v>34</v>
      </c>
      <c r="AW57" s="4">
        <v>219</v>
      </c>
      <c r="AX57" s="1">
        <f>460-SUM(AU57:AW57)</f>
        <v>9</v>
      </c>
      <c r="AY57" s="4">
        <v>-6</v>
      </c>
      <c r="AZ57" s="4">
        <v>45</v>
      </c>
      <c r="BA57" s="4">
        <v>128</v>
      </c>
      <c r="BB57" s="1">
        <f>370-SUM(AY57:BA57)</f>
        <v>203</v>
      </c>
      <c r="BC57" s="4">
        <v>12</v>
      </c>
      <c r="BD57" s="4">
        <v>7</v>
      </c>
      <c r="BE57" s="4">
        <v>125</v>
      </c>
      <c r="BF57" s="1">
        <f>132-SUM(BC57:BE57)</f>
        <v>-12</v>
      </c>
      <c r="BG57" s="4">
        <v>0</v>
      </c>
      <c r="BH57" s="4">
        <v>57</v>
      </c>
      <c r="BI57" s="4">
        <v>1</v>
      </c>
      <c r="BJ57" s="1">
        <f>58-SUM(BG57:BI57)</f>
        <v>0</v>
      </c>
      <c r="BK57" s="4">
        <v>17</v>
      </c>
      <c r="BL57" s="4">
        <v>276</v>
      </c>
      <c r="BM57" s="4">
        <v>0</v>
      </c>
      <c r="BN57" s="1">
        <f>386-SUM(BK57:BM57)</f>
        <v>93</v>
      </c>
      <c r="BO57" s="4">
        <v>0</v>
      </c>
      <c r="BP57" s="4">
        <v>46</v>
      </c>
      <c r="BQ57" s="4">
        <v>0</v>
      </c>
      <c r="BR57" s="1">
        <v>0</v>
      </c>
      <c r="BS57" s="1">
        <v>0</v>
      </c>
      <c r="BT57" s="1">
        <v>0</v>
      </c>
      <c r="BU57" s="57"/>
      <c r="BV57" s="57"/>
      <c r="CA57" s="4">
        <v>0</v>
      </c>
      <c r="CB57" s="4">
        <v>0</v>
      </c>
      <c r="CC57" s="4">
        <v>0</v>
      </c>
      <c r="CD57" s="4">
        <v>0</v>
      </c>
      <c r="CE57" s="4">
        <v>0</v>
      </c>
      <c r="CF57" s="4">
        <v>0</v>
      </c>
      <c r="CG57" s="4">
        <v>0</v>
      </c>
      <c r="CH57" s="4">
        <v>0</v>
      </c>
      <c r="CI57" s="4">
        <v>0</v>
      </c>
      <c r="CJ57" s="4">
        <v>0</v>
      </c>
      <c r="CK57" s="4">
        <v>0</v>
      </c>
      <c r="CL57" s="4">
        <f t="shared" si="66"/>
        <v>460</v>
      </c>
      <c r="CM57" s="4">
        <f t="shared" si="67"/>
        <v>370</v>
      </c>
      <c r="CN57" s="4">
        <f t="shared" si="68"/>
        <v>132</v>
      </c>
      <c r="CO57" s="4">
        <f t="shared" si="69"/>
        <v>58</v>
      </c>
      <c r="CP57" s="4">
        <f t="shared" si="70"/>
        <v>386</v>
      </c>
      <c r="CQ57" s="4">
        <f t="shared" si="71"/>
        <v>46</v>
      </c>
      <c r="CR57" s="37">
        <f t="shared" ref="CR57:DA57" si="82">CQ57*1.03</f>
        <v>47.38</v>
      </c>
      <c r="CS57" s="37">
        <f t="shared" si="82"/>
        <v>48.801400000000001</v>
      </c>
      <c r="CT57" s="37">
        <f t="shared" si="82"/>
        <v>50.265442</v>
      </c>
      <c r="CU57" s="37">
        <f t="shared" si="82"/>
        <v>51.773405260000004</v>
      </c>
      <c r="CV57" s="37">
        <f t="shared" si="82"/>
        <v>53.326607417800005</v>
      </c>
      <c r="CW57" s="37">
        <f t="shared" si="82"/>
        <v>54.926405640334004</v>
      </c>
      <c r="CX57" s="37">
        <f t="shared" si="82"/>
        <v>56.574197809544025</v>
      </c>
      <c r="CY57" s="37">
        <f t="shared" si="82"/>
        <v>58.271423743830347</v>
      </c>
      <c r="CZ57" s="37">
        <f t="shared" si="82"/>
        <v>60.019566456145256</v>
      </c>
      <c r="DA57" s="37">
        <f t="shared" si="82"/>
        <v>61.820153449829618</v>
      </c>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row>
    <row r="58" spans="2:146" s="4" customFormat="1">
      <c r="B58" s="4" t="s">
        <v>83</v>
      </c>
      <c r="AU58" s="4">
        <v>-108</v>
      </c>
      <c r="AV58" s="4">
        <v>0</v>
      </c>
      <c r="AW58" s="4">
        <v>6</v>
      </c>
      <c r="AX58" s="1">
        <f>-100-SUM(AU58:AW58)</f>
        <v>2</v>
      </c>
      <c r="AY58" s="4">
        <v>5</v>
      </c>
      <c r="AZ58" s="4">
        <v>-85</v>
      </c>
      <c r="BA58" s="4">
        <v>-26</v>
      </c>
      <c r="BB58" s="1">
        <f>-136-SUM(AY58:BA58)</f>
        <v>-30</v>
      </c>
      <c r="BC58" s="4">
        <v>4</v>
      </c>
      <c r="BD58" s="4">
        <v>36</v>
      </c>
      <c r="BE58" s="4">
        <v>20</v>
      </c>
      <c r="BF58" s="1">
        <f>35-SUM(BC58:BE58)</f>
        <v>-25</v>
      </c>
      <c r="BG58" s="4">
        <v>0</v>
      </c>
      <c r="BH58" s="4">
        <v>19</v>
      </c>
      <c r="BI58" s="4">
        <v>11</v>
      </c>
      <c r="BJ58" s="1">
        <f>58-SUM(BG58:BI58)</f>
        <v>28</v>
      </c>
      <c r="BK58" s="4">
        <v>0</v>
      </c>
      <c r="BL58" s="4">
        <v>2</v>
      </c>
      <c r="BM58" s="4">
        <v>-23</v>
      </c>
      <c r="BN58" s="1">
        <f>-5-SUM(BK58:BM58)</f>
        <v>16</v>
      </c>
      <c r="BO58" s="4">
        <v>6</v>
      </c>
      <c r="BP58" s="4">
        <v>-5</v>
      </c>
      <c r="BQ58" s="4">
        <v>11</v>
      </c>
      <c r="BR58" s="1">
        <v>6</v>
      </c>
      <c r="BS58" s="1">
        <v>-30</v>
      </c>
      <c r="BT58" s="1">
        <v>-16</v>
      </c>
      <c r="BU58" s="57"/>
      <c r="BV58" s="57"/>
      <c r="CA58" s="4">
        <v>0</v>
      </c>
      <c r="CB58" s="4">
        <v>0</v>
      </c>
      <c r="CC58" s="4">
        <v>0</v>
      </c>
      <c r="CD58" s="4">
        <v>0</v>
      </c>
      <c r="CE58" s="4">
        <v>0</v>
      </c>
      <c r="CF58" s="4">
        <v>0</v>
      </c>
      <c r="CG58" s="4">
        <v>0</v>
      </c>
      <c r="CH58" s="4">
        <v>0</v>
      </c>
      <c r="CI58" s="4">
        <v>0</v>
      </c>
      <c r="CJ58" s="4">
        <v>0</v>
      </c>
      <c r="CK58" s="4">
        <v>0</v>
      </c>
      <c r="CL58" s="4">
        <f t="shared" si="66"/>
        <v>-100</v>
      </c>
      <c r="CM58" s="4">
        <f t="shared" si="67"/>
        <v>-136</v>
      </c>
      <c r="CN58" s="4">
        <f t="shared" si="68"/>
        <v>35</v>
      </c>
      <c r="CO58" s="4">
        <f t="shared" si="69"/>
        <v>58</v>
      </c>
      <c r="CP58" s="4">
        <f t="shared" si="70"/>
        <v>-5</v>
      </c>
      <c r="CQ58" s="4">
        <f t="shared" si="71"/>
        <v>18</v>
      </c>
      <c r="CR58" s="37">
        <v>0</v>
      </c>
      <c r="CS58" s="37">
        <v>0</v>
      </c>
      <c r="CT58" s="37">
        <v>0</v>
      </c>
      <c r="CU58" s="37">
        <v>0</v>
      </c>
      <c r="CV58" s="37">
        <v>0</v>
      </c>
      <c r="CW58" s="37">
        <v>0</v>
      </c>
      <c r="CX58" s="37">
        <v>0</v>
      </c>
      <c r="CY58" s="37">
        <v>0</v>
      </c>
      <c r="CZ58" s="37">
        <v>0</v>
      </c>
      <c r="DA58" s="37">
        <v>0</v>
      </c>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row>
    <row r="59" spans="2:146" s="4" customFormat="1">
      <c r="B59" s="4" t="s">
        <v>84</v>
      </c>
      <c r="AU59" s="4">
        <v>10</v>
      </c>
      <c r="AV59" s="4">
        <v>4</v>
      </c>
      <c r="AW59" s="4">
        <v>2</v>
      </c>
      <c r="AX59" s="1">
        <f>52-SUM(AU59:AW59)</f>
        <v>36</v>
      </c>
      <c r="AY59" s="4">
        <v>3</v>
      </c>
      <c r="AZ59" s="4">
        <v>3</v>
      </c>
      <c r="BA59" s="4">
        <v>9</v>
      </c>
      <c r="BB59" s="1">
        <f>40-SUM(AY59:BA59)</f>
        <v>25</v>
      </c>
      <c r="BC59" s="4">
        <v>0</v>
      </c>
      <c r="BD59" s="4">
        <v>10</v>
      </c>
      <c r="BE59" s="4">
        <v>4</v>
      </c>
      <c r="BF59" s="1">
        <f>24-SUM(BC59:BE59)</f>
        <v>10</v>
      </c>
      <c r="BG59" s="4">
        <v>11</v>
      </c>
      <c r="BH59" s="4">
        <v>16</v>
      </c>
      <c r="BI59" s="4">
        <v>15</v>
      </c>
      <c r="BJ59" s="1">
        <f>69-SUM(BG59:BI59)</f>
        <v>27</v>
      </c>
      <c r="BK59" s="4">
        <v>2</v>
      </c>
      <c r="BL59" s="4">
        <v>1</v>
      </c>
      <c r="BM59" s="4">
        <v>8</v>
      </c>
      <c r="BN59" s="1">
        <f>16-SUM(BK59:BM59)</f>
        <v>5</v>
      </c>
      <c r="BO59" s="4">
        <v>10</v>
      </c>
      <c r="BP59" s="4">
        <v>83</v>
      </c>
      <c r="BQ59" s="4">
        <v>-9</v>
      </c>
      <c r="BR59" s="1">
        <v>16</v>
      </c>
      <c r="BS59" s="1">
        <v>2</v>
      </c>
      <c r="BT59" s="1">
        <v>8</v>
      </c>
      <c r="BU59" s="57"/>
      <c r="BV59" s="57"/>
      <c r="CA59" s="4">
        <v>0</v>
      </c>
      <c r="CB59" s="4">
        <v>0</v>
      </c>
      <c r="CC59" s="4">
        <v>0</v>
      </c>
      <c r="CD59" s="4">
        <v>0</v>
      </c>
      <c r="CE59" s="4">
        <v>0</v>
      </c>
      <c r="CF59" s="4">
        <v>0</v>
      </c>
      <c r="CG59" s="4">
        <v>0</v>
      </c>
      <c r="CH59" s="4">
        <v>0</v>
      </c>
      <c r="CI59" s="4">
        <v>0</v>
      </c>
      <c r="CJ59" s="4">
        <v>0</v>
      </c>
      <c r="CK59" s="4">
        <v>0</v>
      </c>
      <c r="CL59" s="4">
        <f t="shared" si="66"/>
        <v>52</v>
      </c>
      <c r="CM59" s="4">
        <f t="shared" si="67"/>
        <v>40</v>
      </c>
      <c r="CN59" s="4">
        <f t="shared" si="68"/>
        <v>24</v>
      </c>
      <c r="CO59" s="4">
        <f t="shared" si="69"/>
        <v>69</v>
      </c>
      <c r="CP59" s="4">
        <f t="shared" si="70"/>
        <v>16</v>
      </c>
      <c r="CQ59" s="4">
        <f t="shared" si="71"/>
        <v>100</v>
      </c>
      <c r="CR59" s="37">
        <v>0</v>
      </c>
      <c r="CS59" s="37">
        <v>0</v>
      </c>
      <c r="CT59" s="37">
        <v>0</v>
      </c>
      <c r="CU59" s="37">
        <v>0</v>
      </c>
      <c r="CV59" s="37">
        <v>0</v>
      </c>
      <c r="CW59" s="37">
        <v>0</v>
      </c>
      <c r="CX59" s="37">
        <v>0</v>
      </c>
      <c r="CY59" s="37">
        <v>0</v>
      </c>
      <c r="CZ59" s="37">
        <v>0</v>
      </c>
      <c r="DA59" s="37">
        <v>0</v>
      </c>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row>
    <row r="60" spans="2:146" s="4" customFormat="1">
      <c r="B60" s="4" t="s">
        <v>109</v>
      </c>
      <c r="AU60" s="4">
        <v>0</v>
      </c>
      <c r="AV60" s="4">
        <v>0</v>
      </c>
      <c r="AW60" s="4">
        <v>260</v>
      </c>
      <c r="AX60" s="1">
        <f>278-SUM(AU60:AW60)</f>
        <v>18</v>
      </c>
      <c r="AY60" s="4">
        <v>-6</v>
      </c>
      <c r="AZ60" s="4">
        <v>298</v>
      </c>
      <c r="BA60" s="4">
        <v>0</v>
      </c>
      <c r="BB60" s="1">
        <f>430-SUM(AY60:BA60)</f>
        <v>138</v>
      </c>
      <c r="BC60" s="4">
        <v>0</v>
      </c>
      <c r="BD60" s="4">
        <v>42</v>
      </c>
      <c r="BE60" s="4">
        <v>0</v>
      </c>
      <c r="BF60" s="1">
        <f>173-SUM(BC60:BE60)</f>
        <v>131</v>
      </c>
      <c r="BG60" s="4">
        <v>20</v>
      </c>
      <c r="BH60" s="4">
        <v>0</v>
      </c>
      <c r="BI60" s="4">
        <v>-111</v>
      </c>
      <c r="BJ60" s="1">
        <f>-111-SUM(BG60:BI60)</f>
        <v>-20</v>
      </c>
      <c r="BK60" s="4">
        <v>0</v>
      </c>
      <c r="BL60" s="4">
        <v>0</v>
      </c>
      <c r="BM60" s="4">
        <v>0</v>
      </c>
      <c r="BN60" s="1">
        <f>0-SUM(BK60:BM60)</f>
        <v>0</v>
      </c>
      <c r="BO60" s="4">
        <v>0</v>
      </c>
      <c r="BP60" s="4">
        <v>0</v>
      </c>
      <c r="BQ60" s="4">
        <v>0</v>
      </c>
      <c r="BR60" s="1">
        <v>194</v>
      </c>
      <c r="BS60" s="1">
        <v>0</v>
      </c>
      <c r="BT60" s="1">
        <v>76</v>
      </c>
      <c r="BU60" s="57"/>
      <c r="BV60" s="57"/>
      <c r="CA60" s="4">
        <v>0</v>
      </c>
      <c r="CB60" s="4">
        <v>0</v>
      </c>
      <c r="CC60" s="4">
        <v>0</v>
      </c>
      <c r="CD60" s="4">
        <v>0</v>
      </c>
      <c r="CE60" s="4">
        <v>0</v>
      </c>
      <c r="CF60" s="4">
        <v>0</v>
      </c>
      <c r="CG60" s="4">
        <v>0</v>
      </c>
      <c r="CH60" s="4">
        <v>0</v>
      </c>
      <c r="CI60" s="4">
        <v>0</v>
      </c>
      <c r="CJ60" s="4">
        <v>0</v>
      </c>
      <c r="CK60" s="4">
        <v>0</v>
      </c>
      <c r="CL60" s="4">
        <f t="shared" si="66"/>
        <v>278</v>
      </c>
      <c r="CM60" s="4">
        <f t="shared" si="67"/>
        <v>430</v>
      </c>
      <c r="CN60" s="4">
        <f t="shared" si="68"/>
        <v>173</v>
      </c>
      <c r="CO60" s="4">
        <f t="shared" si="69"/>
        <v>-111</v>
      </c>
      <c r="CP60" s="4">
        <f t="shared" si="70"/>
        <v>0</v>
      </c>
      <c r="CQ60" s="4">
        <f t="shared" si="71"/>
        <v>194</v>
      </c>
      <c r="CR60" s="37">
        <v>0</v>
      </c>
      <c r="CS60" s="37">
        <v>0</v>
      </c>
      <c r="CT60" s="37">
        <v>0</v>
      </c>
      <c r="CU60" s="37">
        <v>0</v>
      </c>
      <c r="CV60" s="37">
        <v>0</v>
      </c>
      <c r="CW60" s="37">
        <v>0</v>
      </c>
      <c r="CX60" s="37">
        <v>0</v>
      </c>
      <c r="CY60" s="37">
        <v>0</v>
      </c>
      <c r="CZ60" s="37">
        <v>0</v>
      </c>
      <c r="DA60" s="37">
        <v>0</v>
      </c>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row>
    <row r="61" spans="2:146" s="4" customFormat="1">
      <c r="B61" s="4" t="s">
        <v>85</v>
      </c>
      <c r="AU61" s="4">
        <v>0</v>
      </c>
      <c r="AV61" s="4">
        <v>0</v>
      </c>
      <c r="AW61" s="4">
        <v>0</v>
      </c>
      <c r="AX61" s="1">
        <f>74-SUM(AU61:AW61)</f>
        <v>74</v>
      </c>
      <c r="AY61" s="4">
        <v>0</v>
      </c>
      <c r="AZ61" s="4">
        <v>-2</v>
      </c>
      <c r="BA61" s="4">
        <v>-40</v>
      </c>
      <c r="BB61" s="1">
        <f>-78-SUM(AY61:BA61)</f>
        <v>-36</v>
      </c>
      <c r="BC61" s="4">
        <v>0</v>
      </c>
      <c r="BD61" s="4">
        <v>0</v>
      </c>
      <c r="BE61" s="4">
        <v>0</v>
      </c>
      <c r="BF61" s="1">
        <f>22-SUM(BC61:BE61)</f>
        <v>22</v>
      </c>
      <c r="BG61" s="4">
        <v>0</v>
      </c>
      <c r="BH61" s="4">
        <v>0</v>
      </c>
      <c r="BI61" s="4">
        <v>0</v>
      </c>
      <c r="BJ61" s="1">
        <f>0-SUM(BG61:BI61)</f>
        <v>0</v>
      </c>
      <c r="BK61" s="4">
        <v>0</v>
      </c>
      <c r="BL61" s="4">
        <v>0</v>
      </c>
      <c r="BM61" s="4">
        <v>0</v>
      </c>
      <c r="BN61" s="1">
        <f>0-SUM(BK61:BM61)</f>
        <v>0</v>
      </c>
      <c r="BO61" s="4">
        <v>0</v>
      </c>
      <c r="BP61" s="4">
        <v>0</v>
      </c>
      <c r="BQ61" s="4">
        <v>0</v>
      </c>
      <c r="BR61" s="1">
        <v>0</v>
      </c>
      <c r="BS61" s="1">
        <v>0</v>
      </c>
      <c r="BT61" s="1">
        <v>0</v>
      </c>
      <c r="BU61" s="57"/>
      <c r="BV61" s="57"/>
      <c r="CA61" s="4">
        <v>0</v>
      </c>
      <c r="CB61" s="4">
        <v>0</v>
      </c>
      <c r="CC61" s="4">
        <v>0</v>
      </c>
      <c r="CD61" s="4">
        <v>0</v>
      </c>
      <c r="CE61" s="4">
        <v>0</v>
      </c>
      <c r="CF61" s="4">
        <v>0</v>
      </c>
      <c r="CG61" s="4">
        <v>0</v>
      </c>
      <c r="CH61" s="4">
        <v>0</v>
      </c>
      <c r="CI61" s="4">
        <v>0</v>
      </c>
      <c r="CJ61" s="4">
        <v>0</v>
      </c>
      <c r="CK61" s="4">
        <v>0</v>
      </c>
      <c r="CL61" s="4">
        <f t="shared" si="66"/>
        <v>74</v>
      </c>
      <c r="CM61" s="4">
        <f t="shared" si="67"/>
        <v>-78</v>
      </c>
      <c r="CN61" s="4">
        <f t="shared" si="68"/>
        <v>22</v>
      </c>
      <c r="CO61" s="4">
        <f t="shared" si="69"/>
        <v>0</v>
      </c>
      <c r="CP61" s="4">
        <f t="shared" si="70"/>
        <v>0</v>
      </c>
      <c r="CQ61" s="4">
        <f t="shared" si="71"/>
        <v>0</v>
      </c>
      <c r="CR61" s="37">
        <v>0</v>
      </c>
      <c r="CS61" s="37">
        <v>0</v>
      </c>
      <c r="CT61" s="37">
        <v>0</v>
      </c>
      <c r="CU61" s="37">
        <v>0</v>
      </c>
      <c r="CV61" s="37">
        <v>0</v>
      </c>
      <c r="CW61" s="37">
        <v>0</v>
      </c>
      <c r="CX61" s="37">
        <v>0</v>
      </c>
      <c r="CY61" s="37">
        <v>0</v>
      </c>
      <c r="CZ61" s="37">
        <v>0</v>
      </c>
      <c r="DA61" s="37">
        <v>0</v>
      </c>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c r="EN61" s="57"/>
      <c r="EO61" s="57"/>
      <c r="EP61" s="57"/>
    </row>
    <row r="62" spans="2:146" s="4" customFormat="1">
      <c r="B62" s="4" t="s">
        <v>21</v>
      </c>
      <c r="C62" s="4">
        <v>11</v>
      </c>
      <c r="D62" s="4">
        <v>275</v>
      </c>
      <c r="E62" s="4">
        <v>51</v>
      </c>
      <c r="F62" s="4">
        <v>-1231</v>
      </c>
      <c r="G62" s="4">
        <v>-1486</v>
      </c>
      <c r="H62" s="4">
        <v>231</v>
      </c>
      <c r="I62" s="4">
        <v>251</v>
      </c>
      <c r="J62" s="4">
        <v>348</v>
      </c>
      <c r="K62" s="4">
        <v>322</v>
      </c>
      <c r="L62" s="4">
        <v>237</v>
      </c>
      <c r="M62" s="4">
        <v>174</v>
      </c>
      <c r="N62" s="4">
        <v>171</v>
      </c>
      <c r="O62" s="4">
        <v>196</v>
      </c>
      <c r="P62" s="4">
        <v>-3587</v>
      </c>
      <c r="Q62" s="4">
        <v>-594</v>
      </c>
      <c r="R62" s="4">
        <v>117</v>
      </c>
      <c r="S62" s="4">
        <v>-330</v>
      </c>
      <c r="T62" s="4">
        <v>220</v>
      </c>
      <c r="U62" s="4">
        <v>103</v>
      </c>
      <c r="V62" s="4">
        <v>127</v>
      </c>
      <c r="W62" s="4">
        <v>197</v>
      </c>
      <c r="X62" s="4">
        <v>-69</v>
      </c>
      <c r="Y62" s="4">
        <v>64</v>
      </c>
      <c r="Z62" s="4">
        <v>-493</v>
      </c>
      <c r="AA62" s="4">
        <v>24</v>
      </c>
      <c r="AB62" s="4">
        <v>219</v>
      </c>
      <c r="AC62" s="4">
        <v>-299</v>
      </c>
      <c r="AD62" s="4">
        <v>-227</v>
      </c>
      <c r="AE62" s="4">
        <v>293</v>
      </c>
      <c r="AF62" s="4">
        <v>-334</v>
      </c>
      <c r="AG62" s="4">
        <v>348</v>
      </c>
      <c r="AH62" s="4">
        <v>140</v>
      </c>
      <c r="AI62" s="4">
        <v>364</v>
      </c>
      <c r="AJ62" s="4">
        <v>225</v>
      </c>
      <c r="AK62" s="4">
        <v>377</v>
      </c>
      <c r="AL62" s="4">
        <v>319</v>
      </c>
      <c r="AM62" s="4">
        <v>407</v>
      </c>
      <c r="AN62" s="4">
        <v>392</v>
      </c>
      <c r="AO62" s="4">
        <v>388</v>
      </c>
      <c r="AP62" s="4">
        <v>319</v>
      </c>
      <c r="AQ62" s="4">
        <v>541</v>
      </c>
      <c r="AR62" s="4">
        <v>384</v>
      </c>
      <c r="AS62" s="4">
        <v>383</v>
      </c>
      <c r="AT62" s="4">
        <v>210</v>
      </c>
      <c r="AU62" s="4">
        <f t="shared" ref="AU62:BT62" si="83">AU52-SUM(AU53:AU61)</f>
        <v>146</v>
      </c>
      <c r="AV62" s="4">
        <f t="shared" si="83"/>
        <v>-71</v>
      </c>
      <c r="AW62" s="4">
        <f t="shared" si="83"/>
        <v>-205</v>
      </c>
      <c r="AX62" s="4">
        <f t="shared" si="83"/>
        <v>50</v>
      </c>
      <c r="AY62" s="4">
        <f t="shared" si="83"/>
        <v>370</v>
      </c>
      <c r="AZ62" s="4">
        <f t="shared" si="83"/>
        <v>262</v>
      </c>
      <c r="BA62" s="4">
        <f t="shared" si="83"/>
        <v>387</v>
      </c>
      <c r="BB62" s="4">
        <f t="shared" si="83"/>
        <v>179</v>
      </c>
      <c r="BC62" s="4">
        <f t="shared" si="83"/>
        <v>466</v>
      </c>
      <c r="BD62" s="4">
        <f t="shared" si="83"/>
        <v>423</v>
      </c>
      <c r="BE62" s="4">
        <f t="shared" si="83"/>
        <v>358</v>
      </c>
      <c r="BF62" s="4">
        <f t="shared" si="83"/>
        <v>400</v>
      </c>
      <c r="BG62" s="4">
        <f t="shared" si="83"/>
        <v>552</v>
      </c>
      <c r="BH62" s="4">
        <f t="shared" si="83"/>
        <v>514</v>
      </c>
      <c r="BI62" s="4">
        <f t="shared" si="83"/>
        <v>693</v>
      </c>
      <c r="BJ62" s="4">
        <f t="shared" si="83"/>
        <v>584</v>
      </c>
      <c r="BK62" s="4">
        <f t="shared" si="83"/>
        <v>675</v>
      </c>
      <c r="BL62" s="4">
        <f t="shared" si="83"/>
        <v>520</v>
      </c>
      <c r="BM62" s="4">
        <f t="shared" si="83"/>
        <v>733</v>
      </c>
      <c r="BN62" s="4">
        <f t="shared" si="83"/>
        <v>677</v>
      </c>
      <c r="BO62" s="4">
        <f t="shared" si="83"/>
        <v>921</v>
      </c>
      <c r="BP62" s="4">
        <f t="shared" si="83"/>
        <v>819</v>
      </c>
      <c r="BQ62" s="4">
        <f t="shared" si="83"/>
        <v>1048</v>
      </c>
      <c r="BR62" s="1">
        <f t="shared" si="83"/>
        <v>825</v>
      </c>
      <c r="BS62" s="1">
        <f t="shared" si="83"/>
        <v>1101</v>
      </c>
      <c r="BT62" s="1">
        <f t="shared" si="83"/>
        <v>1178</v>
      </c>
      <c r="BU62" s="57"/>
      <c r="BV62" s="57"/>
      <c r="CA62" s="4">
        <f>SUM(C62:F62)</f>
        <v>-894</v>
      </c>
      <c r="CB62" s="4">
        <f>SUM(G62:J62)</f>
        <v>-656</v>
      </c>
      <c r="CC62" s="4">
        <f>SUM(K62:N62)</f>
        <v>904</v>
      </c>
      <c r="CD62" s="4">
        <f>SUM(O62:R62)</f>
        <v>-3868</v>
      </c>
      <c r="CE62" s="4">
        <f>SUM(S62:V62)</f>
        <v>120</v>
      </c>
      <c r="CF62" s="4">
        <f>SUM(W62:Z62)</f>
        <v>-301</v>
      </c>
      <c r="CG62" s="4">
        <f>SUM(AA62:AD62)</f>
        <v>-283</v>
      </c>
      <c r="CH62" s="4">
        <f>SUM(AE62:AH62)</f>
        <v>447</v>
      </c>
      <c r="CI62" s="4">
        <f>SUM(AI62:AL62)</f>
        <v>1285</v>
      </c>
      <c r="CJ62" s="4">
        <f>SUM(AM62:AP62)</f>
        <v>1506</v>
      </c>
      <c r="CK62" s="4">
        <f>SUM(AQ62:AT62)</f>
        <v>1518</v>
      </c>
      <c r="CL62" s="4">
        <f t="shared" si="66"/>
        <v>-80</v>
      </c>
      <c r="CM62" s="4">
        <f t="shared" si="67"/>
        <v>1198</v>
      </c>
      <c r="CN62" s="4">
        <f t="shared" si="68"/>
        <v>1647</v>
      </c>
      <c r="CO62" s="4">
        <f t="shared" si="69"/>
        <v>2343</v>
      </c>
      <c r="CP62" s="4">
        <f t="shared" si="70"/>
        <v>2605</v>
      </c>
      <c r="CQ62" s="4">
        <f t="shared" si="71"/>
        <v>3613</v>
      </c>
      <c r="CR62" s="37">
        <f t="shared" ref="CR62:DA62" si="84">CR52-SUM(CR53:CR61)</f>
        <v>3915.6266150000029</v>
      </c>
      <c r="CS62" s="37">
        <f t="shared" si="84"/>
        <v>4577.9369150999992</v>
      </c>
      <c r="CT62" s="37">
        <f t="shared" si="84"/>
        <v>5110.9041156473977</v>
      </c>
      <c r="CU62" s="37">
        <f t="shared" si="84"/>
        <v>5578.2801465428693</v>
      </c>
      <c r="CV62" s="37">
        <f t="shared" si="84"/>
        <v>6047.5200380452552</v>
      </c>
      <c r="CW62" s="37">
        <f t="shared" si="84"/>
        <v>6595.772082765232</v>
      </c>
      <c r="CX62" s="37">
        <f t="shared" si="84"/>
        <v>7134.9422912704067</v>
      </c>
      <c r="CY62" s="37">
        <f t="shared" si="84"/>
        <v>7658.6505372857828</v>
      </c>
      <c r="CZ62" s="37">
        <f t="shared" si="84"/>
        <v>8075.2433241356848</v>
      </c>
      <c r="DA62" s="37">
        <f t="shared" si="84"/>
        <v>8448.6621406842751</v>
      </c>
      <c r="DB62" s="57"/>
      <c r="DC62" s="57"/>
      <c r="DD62" s="57"/>
      <c r="DE62" s="57"/>
      <c r="DF62" s="57"/>
      <c r="DG62" s="57"/>
      <c r="DH62" s="57"/>
      <c r="DI62" s="57"/>
      <c r="DJ62" s="57"/>
      <c r="DK62" s="57"/>
      <c r="DL62" s="57"/>
      <c r="DM62" s="57"/>
      <c r="DN62" s="57"/>
      <c r="DO62" s="57"/>
      <c r="DP62" s="57"/>
      <c r="DQ62" s="57"/>
      <c r="DR62" s="57"/>
      <c r="DS62" s="57"/>
      <c r="DT62" s="57"/>
      <c r="DU62" s="57"/>
      <c r="DV62" s="57"/>
      <c r="DW62" s="57"/>
      <c r="DX62" s="57"/>
      <c r="DY62" s="57"/>
      <c r="DZ62" s="57"/>
      <c r="EA62" s="57"/>
      <c r="EB62" s="57"/>
      <c r="EC62" s="57"/>
      <c r="ED62" s="57"/>
      <c r="EE62" s="57"/>
      <c r="EF62" s="57"/>
      <c r="EG62" s="57"/>
      <c r="EH62" s="57"/>
      <c r="EI62" s="57"/>
      <c r="EJ62" s="57"/>
      <c r="EK62" s="57"/>
      <c r="EL62" s="57"/>
      <c r="EM62" s="57"/>
      <c r="EN62" s="57"/>
      <c r="EO62" s="57"/>
      <c r="EP62" s="57"/>
    </row>
    <row r="63" spans="2:146" s="4" customFormat="1" ht="13.9" customHeight="1">
      <c r="B63" s="4" t="s">
        <v>86</v>
      </c>
      <c r="AU63" s="4">
        <v>-88</v>
      </c>
      <c r="AV63" s="4">
        <v>-91</v>
      </c>
      <c r="AW63" s="4">
        <v>-86</v>
      </c>
      <c r="AX63" s="1">
        <f>-361-SUM(AU63:AW63)</f>
        <v>-96</v>
      </c>
      <c r="AY63" s="4">
        <v>-82</v>
      </c>
      <c r="AZ63" s="4">
        <v>-86</v>
      </c>
      <c r="BA63" s="4">
        <v>-86</v>
      </c>
      <c r="BB63" s="1">
        <f>-341-SUM(AY63:BA63)</f>
        <v>-87</v>
      </c>
      <c r="BC63" s="4">
        <v>-279</v>
      </c>
      <c r="BD63" s="4">
        <v>-64</v>
      </c>
      <c r="BE63" s="4">
        <v>-63</v>
      </c>
      <c r="BF63" s="1">
        <f>-470-SUM(BC63:BE63)</f>
        <v>-64</v>
      </c>
      <c r="BG63" s="4">
        <v>-65</v>
      </c>
      <c r="BH63" s="4">
        <v>-70</v>
      </c>
      <c r="BI63" s="4">
        <v>-66</v>
      </c>
      <c r="BJ63" s="1">
        <f>-265-SUM(BG63:BI63)</f>
        <v>-64</v>
      </c>
      <c r="BK63" s="4">
        <v>-69</v>
      </c>
      <c r="BL63" s="4">
        <v>-77</v>
      </c>
      <c r="BM63" s="4">
        <v>-79</v>
      </c>
      <c r="BN63" s="1">
        <f>-305-SUM(BK63:BM63)</f>
        <v>-80</v>
      </c>
      <c r="BO63" s="4">
        <v>-82</v>
      </c>
      <c r="BP63" s="4">
        <v>-90</v>
      </c>
      <c r="BQ63" s="4">
        <v>-87</v>
      </c>
      <c r="BR63" s="1">
        <v>-90</v>
      </c>
      <c r="BS63" s="1">
        <v>-90</v>
      </c>
      <c r="BT63" s="1">
        <v>-96</v>
      </c>
      <c r="BU63" s="57"/>
      <c r="BV63" s="57"/>
      <c r="CA63" s="4">
        <v>0</v>
      </c>
      <c r="CB63" s="4">
        <v>0</v>
      </c>
      <c r="CC63" s="4">
        <v>0</v>
      </c>
      <c r="CD63" s="4">
        <v>0</v>
      </c>
      <c r="CE63" s="4">
        <v>0</v>
      </c>
      <c r="CF63" s="4">
        <v>0</v>
      </c>
      <c r="CG63" s="4">
        <v>0</v>
      </c>
      <c r="CH63" s="4">
        <v>0</v>
      </c>
      <c r="CI63" s="4">
        <v>0</v>
      </c>
      <c r="CJ63" s="4">
        <v>0</v>
      </c>
      <c r="CK63" s="4">
        <v>0</v>
      </c>
      <c r="CL63" s="4">
        <f t="shared" si="66"/>
        <v>-361</v>
      </c>
      <c r="CM63" s="4">
        <f t="shared" si="67"/>
        <v>-341</v>
      </c>
      <c r="CN63" s="4">
        <f t="shared" si="68"/>
        <v>-470</v>
      </c>
      <c r="CO63" s="4">
        <f t="shared" si="69"/>
        <v>-265</v>
      </c>
      <c r="CP63" s="4">
        <f t="shared" si="70"/>
        <v>-305</v>
      </c>
      <c r="CQ63" s="4">
        <f t="shared" si="71"/>
        <v>-349</v>
      </c>
      <c r="CR63" s="37">
        <f t="shared" ref="CR63:DA63" si="85">-CQ98*($DF$98)</f>
        <v>-861.5675</v>
      </c>
      <c r="CS63" s="37">
        <f t="shared" si="85"/>
        <v>-794.79601875000003</v>
      </c>
      <c r="CT63" s="37">
        <f t="shared" si="85"/>
        <v>-733.19932729687514</v>
      </c>
      <c r="CU63" s="37">
        <f t="shared" si="85"/>
        <v>-676.37637943136724</v>
      </c>
      <c r="CV63" s="37">
        <f t="shared" si="85"/>
        <v>-623.95721002543632</v>
      </c>
      <c r="CW63" s="37">
        <f t="shared" si="85"/>
        <v>-575.60052624846492</v>
      </c>
      <c r="CX63" s="37">
        <f t="shared" si="85"/>
        <v>-530.99148546420895</v>
      </c>
      <c r="CY63" s="37">
        <f t="shared" si="85"/>
        <v>-489.83964534073272</v>
      </c>
      <c r="CZ63" s="37">
        <f t="shared" si="85"/>
        <v>-451.87707282682589</v>
      </c>
      <c r="DA63" s="37">
        <f t="shared" si="85"/>
        <v>-416.85659968274689</v>
      </c>
      <c r="DB63" s="57"/>
      <c r="DC63" s="57"/>
      <c r="DD63" s="57"/>
      <c r="DE63" s="57"/>
      <c r="DF63" s="57"/>
      <c r="DG63" s="57"/>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row>
    <row r="64" spans="2:146" s="4" customFormat="1">
      <c r="B64" s="4" t="s">
        <v>20</v>
      </c>
      <c r="C64" s="4">
        <v>-108</v>
      </c>
      <c r="D64" s="4">
        <v>-95</v>
      </c>
      <c r="E64" s="4">
        <v>-95</v>
      </c>
      <c r="F64" s="4">
        <v>-116</v>
      </c>
      <c r="G64" s="4">
        <v>-89</v>
      </c>
      <c r="H64" s="4">
        <v>-112</v>
      </c>
      <c r="I64" s="4">
        <v>-88</v>
      </c>
      <c r="J64" s="4">
        <v>-118</v>
      </c>
      <c r="K64" s="4">
        <v>-49</v>
      </c>
      <c r="L64" s="4">
        <v>-79</v>
      </c>
      <c r="M64" s="4">
        <v>-63</v>
      </c>
      <c r="N64" s="4">
        <v>-71</v>
      </c>
      <c r="O64" s="4">
        <v>-73</v>
      </c>
      <c r="P64" s="4">
        <v>-31</v>
      </c>
      <c r="Q64" s="4">
        <v>-69</v>
      </c>
      <c r="R64" s="4">
        <v>-66</v>
      </c>
      <c r="S64" s="4">
        <v>-64</v>
      </c>
      <c r="T64" s="4">
        <v>-68</v>
      </c>
      <c r="U64" s="4">
        <v>-143</v>
      </c>
      <c r="V64" s="4">
        <v>-68</v>
      </c>
      <c r="W64" s="4">
        <v>-51</v>
      </c>
      <c r="X64" s="4">
        <v>-35</v>
      </c>
      <c r="Y64" s="4">
        <v>-61</v>
      </c>
      <c r="Z64" s="4">
        <v>-61</v>
      </c>
      <c r="AA64" s="4">
        <v>-75</v>
      </c>
      <c r="AB64" s="4">
        <v>-114</v>
      </c>
      <c r="AC64" s="4">
        <v>-68</v>
      </c>
      <c r="AD64" s="4">
        <v>-110</v>
      </c>
      <c r="AE64" s="4">
        <v>-65</v>
      </c>
      <c r="AF64" s="4">
        <v>-63</v>
      </c>
      <c r="AG64" s="4">
        <v>-91</v>
      </c>
      <c r="AH64" s="4">
        <v>-51</v>
      </c>
      <c r="AI64" s="4">
        <v>-59</v>
      </c>
      <c r="AJ64" s="4">
        <v>-134</v>
      </c>
      <c r="AK64" s="4">
        <v>-68</v>
      </c>
      <c r="AL64" s="4">
        <v>-92</v>
      </c>
      <c r="AM64" s="4">
        <v>-84</v>
      </c>
      <c r="AN64" s="4">
        <v>-45</v>
      </c>
      <c r="AO64" s="4">
        <v>68</v>
      </c>
      <c r="AP64" s="4">
        <v>-24</v>
      </c>
      <c r="AQ64" s="4">
        <v>-84</v>
      </c>
      <c r="AR64" s="4">
        <v>-239</v>
      </c>
      <c r="AS64" s="4">
        <v>-292</v>
      </c>
      <c r="AT64" s="4">
        <v>-216</v>
      </c>
      <c r="AU64" s="4">
        <v>-36</v>
      </c>
      <c r="AV64" s="4">
        <v>-18</v>
      </c>
      <c r="AW64" s="4">
        <v>64</v>
      </c>
      <c r="AX64" s="1">
        <f>362-SUM(AU64:AW64)</f>
        <v>352</v>
      </c>
      <c r="AY64" s="4">
        <v>37</v>
      </c>
      <c r="AZ64" s="4">
        <v>-27</v>
      </c>
      <c r="BA64" s="4">
        <v>181</v>
      </c>
      <c r="BB64" s="1">
        <f>218-SUM(AY64:BA64)</f>
        <v>27</v>
      </c>
      <c r="BC64" s="4">
        <v>-31</v>
      </c>
      <c r="BD64" s="4">
        <v>-14</v>
      </c>
      <c r="BE64" s="4">
        <v>-50</v>
      </c>
      <c r="BF64" s="1">
        <f>-38-SUM(BC64:BE64)</f>
        <v>57</v>
      </c>
      <c r="BG64" s="4">
        <v>-43</v>
      </c>
      <c r="BH64" s="4">
        <v>-18</v>
      </c>
      <c r="BI64" s="4">
        <v>-17</v>
      </c>
      <c r="BJ64" s="1">
        <f>-93-SUM(BG64:BI64)</f>
        <v>-15</v>
      </c>
      <c r="BK64" s="4">
        <v>2</v>
      </c>
      <c r="BL64" s="4">
        <v>-23</v>
      </c>
      <c r="BM64" s="4">
        <v>14</v>
      </c>
      <c r="BN64" s="1">
        <f>-16-SUM(BK64:BM64)</f>
        <v>-9</v>
      </c>
      <c r="BO64" s="4">
        <v>-34</v>
      </c>
      <c r="BP64" s="4">
        <v>213</v>
      </c>
      <c r="BQ64" s="4">
        <v>-22</v>
      </c>
      <c r="BR64" s="1">
        <v>-35</v>
      </c>
      <c r="BS64" s="1">
        <v>151</v>
      </c>
      <c r="BT64" s="1">
        <v>-22</v>
      </c>
      <c r="BU64" s="57"/>
      <c r="BV64" s="57"/>
      <c r="CA64" s="4">
        <f>SUM(C64:F64)</f>
        <v>-414</v>
      </c>
      <c r="CB64" s="4">
        <f>SUM(G64:J64)</f>
        <v>-407</v>
      </c>
      <c r="CC64" s="4">
        <f>SUM(K64:N64)</f>
        <v>-262</v>
      </c>
      <c r="CD64" s="4">
        <f>SUM(O64:R64)</f>
        <v>-239</v>
      </c>
      <c r="CE64" s="4">
        <f>SUM(S64:V64)</f>
        <v>-343</v>
      </c>
      <c r="CF64" s="4">
        <f>SUM(W64:Z64)</f>
        <v>-208</v>
      </c>
      <c r="CG64" s="4">
        <f>SUM(AA64:AD64)</f>
        <v>-367</v>
      </c>
      <c r="CH64" s="4">
        <f>SUM(AE64:AH64)</f>
        <v>-270</v>
      </c>
      <c r="CI64" s="4">
        <f>SUM(AI64:AL64)</f>
        <v>-353</v>
      </c>
      <c r="CJ64" s="4">
        <f>SUM(AM64:AP64)</f>
        <v>-85</v>
      </c>
      <c r="CK64" s="4">
        <f>SUM(AQ64:AT64)</f>
        <v>-831</v>
      </c>
      <c r="CL64" s="4">
        <f t="shared" si="66"/>
        <v>362</v>
      </c>
      <c r="CM64" s="4">
        <f t="shared" si="67"/>
        <v>218</v>
      </c>
      <c r="CN64" s="4">
        <f t="shared" si="68"/>
        <v>-38</v>
      </c>
      <c r="CO64" s="4">
        <f t="shared" si="69"/>
        <v>-93</v>
      </c>
      <c r="CP64" s="4">
        <f t="shared" si="70"/>
        <v>-16</v>
      </c>
      <c r="CQ64" s="4">
        <f t="shared" si="71"/>
        <v>122</v>
      </c>
      <c r="CR64" s="37">
        <f t="shared" ref="CR64:DA64" si="86">CQ81*($DK$81)</f>
        <v>121.125</v>
      </c>
      <c r="CS64" s="37">
        <f t="shared" si="86"/>
        <v>369.9800550131252</v>
      </c>
      <c r="CT64" s="37">
        <f t="shared" si="86"/>
        <v>693.50817712431274</v>
      </c>
      <c r="CU64" s="37">
        <f t="shared" si="86"/>
        <v>1087.3512540555021</v>
      </c>
      <c r="CV64" s="37">
        <f t="shared" si="86"/>
        <v>1551.0693240693574</v>
      </c>
      <c r="CW64" s="37">
        <f t="shared" si="86"/>
        <v>2089.423743308741</v>
      </c>
      <c r="CX64" s="37">
        <f t="shared" si="86"/>
        <v>2715.383130514022</v>
      </c>
      <c r="CY64" s="37">
        <f t="shared" si="86"/>
        <v>3434.7192187237392</v>
      </c>
      <c r="CZ64" s="37">
        <f t="shared" si="86"/>
        <v>4253.1791991409864</v>
      </c>
      <c r="DA64" s="37">
        <f t="shared" si="86"/>
        <v>5169.9000510975839</v>
      </c>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row>
    <row r="65" spans="2:146" s="4" customFormat="1">
      <c r="B65" s="4" t="s">
        <v>19</v>
      </c>
      <c r="C65" s="4">
        <f t="shared" ref="C65:AH65" si="87">C62+C63+C64</f>
        <v>-97</v>
      </c>
      <c r="D65" s="4">
        <f t="shared" si="87"/>
        <v>180</v>
      </c>
      <c r="E65" s="4">
        <f t="shared" si="87"/>
        <v>-44</v>
      </c>
      <c r="F65" s="4">
        <f t="shared" si="87"/>
        <v>-1347</v>
      </c>
      <c r="G65" s="4">
        <f t="shared" si="87"/>
        <v>-1575</v>
      </c>
      <c r="H65" s="4">
        <f t="shared" si="87"/>
        <v>119</v>
      </c>
      <c r="I65" s="4">
        <f t="shared" si="87"/>
        <v>163</v>
      </c>
      <c r="J65" s="4">
        <f t="shared" si="87"/>
        <v>230</v>
      </c>
      <c r="K65" s="4">
        <f t="shared" si="87"/>
        <v>273</v>
      </c>
      <c r="L65" s="4">
        <f t="shared" si="87"/>
        <v>158</v>
      </c>
      <c r="M65" s="4">
        <f t="shared" si="87"/>
        <v>111</v>
      </c>
      <c r="N65" s="4">
        <f t="shared" si="87"/>
        <v>100</v>
      </c>
      <c r="O65" s="4">
        <f t="shared" si="87"/>
        <v>123</v>
      </c>
      <c r="P65" s="4">
        <f t="shared" si="87"/>
        <v>-3618</v>
      </c>
      <c r="Q65" s="4">
        <f t="shared" si="87"/>
        <v>-663</v>
      </c>
      <c r="R65" s="4">
        <f t="shared" si="87"/>
        <v>51</v>
      </c>
      <c r="S65" s="4">
        <f t="shared" si="87"/>
        <v>-394</v>
      </c>
      <c r="T65" s="4">
        <f t="shared" si="87"/>
        <v>152</v>
      </c>
      <c r="U65" s="4">
        <f t="shared" si="87"/>
        <v>-40</v>
      </c>
      <c r="V65" s="4">
        <f t="shared" si="87"/>
        <v>59</v>
      </c>
      <c r="W65" s="4">
        <f t="shared" si="87"/>
        <v>146</v>
      </c>
      <c r="X65" s="4">
        <f t="shared" si="87"/>
        <v>-104</v>
      </c>
      <c r="Y65" s="4">
        <f t="shared" si="87"/>
        <v>3</v>
      </c>
      <c r="Z65" s="4">
        <f t="shared" si="87"/>
        <v>-554</v>
      </c>
      <c r="AA65" s="4">
        <f t="shared" si="87"/>
        <v>-51</v>
      </c>
      <c r="AB65" s="4">
        <f t="shared" si="87"/>
        <v>105</v>
      </c>
      <c r="AC65" s="4">
        <f t="shared" si="87"/>
        <v>-367</v>
      </c>
      <c r="AD65" s="4">
        <f t="shared" si="87"/>
        <v>-337</v>
      </c>
      <c r="AE65" s="4">
        <f t="shared" si="87"/>
        <v>228</v>
      </c>
      <c r="AF65" s="4">
        <f t="shared" si="87"/>
        <v>-397</v>
      </c>
      <c r="AG65" s="4">
        <f t="shared" si="87"/>
        <v>257</v>
      </c>
      <c r="AH65" s="4">
        <f t="shared" si="87"/>
        <v>89</v>
      </c>
      <c r="AI65" s="4">
        <f t="shared" ref="AI65:BN65" si="88">AI62+AI63+AI64</f>
        <v>305</v>
      </c>
      <c r="AJ65" s="4">
        <f t="shared" si="88"/>
        <v>91</v>
      </c>
      <c r="AK65" s="4">
        <f t="shared" si="88"/>
        <v>309</v>
      </c>
      <c r="AL65" s="4">
        <f t="shared" si="88"/>
        <v>227</v>
      </c>
      <c r="AM65" s="4">
        <f t="shared" si="88"/>
        <v>323</v>
      </c>
      <c r="AN65" s="4">
        <f t="shared" si="88"/>
        <v>347</v>
      </c>
      <c r="AO65" s="4">
        <f t="shared" si="88"/>
        <v>456</v>
      </c>
      <c r="AP65" s="4">
        <f t="shared" si="88"/>
        <v>295</v>
      </c>
      <c r="AQ65" s="4">
        <f t="shared" si="88"/>
        <v>457</v>
      </c>
      <c r="AR65" s="4">
        <f t="shared" si="88"/>
        <v>145</v>
      </c>
      <c r="AS65" s="4">
        <f t="shared" si="88"/>
        <v>91</v>
      </c>
      <c r="AT65" s="4">
        <f t="shared" si="88"/>
        <v>-6</v>
      </c>
      <c r="AU65" s="4">
        <f t="shared" si="88"/>
        <v>22</v>
      </c>
      <c r="AV65" s="4">
        <f t="shared" si="88"/>
        <v>-180</v>
      </c>
      <c r="AW65" s="4">
        <f t="shared" si="88"/>
        <v>-227</v>
      </c>
      <c r="AX65" s="4">
        <f t="shared" si="88"/>
        <v>306</v>
      </c>
      <c r="AY65" s="4">
        <f t="shared" si="88"/>
        <v>325</v>
      </c>
      <c r="AZ65" s="4">
        <f t="shared" si="88"/>
        <v>149</v>
      </c>
      <c r="BA65" s="4">
        <f t="shared" si="88"/>
        <v>482</v>
      </c>
      <c r="BB65" s="4">
        <f t="shared" si="88"/>
        <v>119</v>
      </c>
      <c r="BC65" s="4">
        <f t="shared" si="88"/>
        <v>156</v>
      </c>
      <c r="BD65" s="4">
        <f t="shared" si="88"/>
        <v>345</v>
      </c>
      <c r="BE65" s="4">
        <f t="shared" si="88"/>
        <v>245</v>
      </c>
      <c r="BF65" s="4">
        <f t="shared" si="88"/>
        <v>393</v>
      </c>
      <c r="BG65" s="4">
        <f t="shared" si="88"/>
        <v>444</v>
      </c>
      <c r="BH65" s="4">
        <f t="shared" si="88"/>
        <v>426</v>
      </c>
      <c r="BI65" s="4">
        <f t="shared" si="88"/>
        <v>610</v>
      </c>
      <c r="BJ65" s="4">
        <f t="shared" si="88"/>
        <v>505</v>
      </c>
      <c r="BK65" s="4">
        <f t="shared" si="88"/>
        <v>608</v>
      </c>
      <c r="BL65" s="4">
        <f t="shared" si="88"/>
        <v>420</v>
      </c>
      <c r="BM65" s="4">
        <f t="shared" si="88"/>
        <v>668</v>
      </c>
      <c r="BN65" s="4">
        <f t="shared" si="88"/>
        <v>588</v>
      </c>
      <c r="BO65" s="4">
        <f t="shared" ref="BO65:BT65" si="89">BO62+BO63+BO64</f>
        <v>805</v>
      </c>
      <c r="BP65" s="4">
        <f t="shared" si="89"/>
        <v>942</v>
      </c>
      <c r="BQ65" s="4">
        <f t="shared" si="89"/>
        <v>939</v>
      </c>
      <c r="BR65" s="1">
        <f t="shared" si="89"/>
        <v>700</v>
      </c>
      <c r="BS65" s="1">
        <f t="shared" si="89"/>
        <v>1162</v>
      </c>
      <c r="BT65" s="1">
        <f t="shared" si="89"/>
        <v>1060</v>
      </c>
      <c r="BU65" s="57"/>
      <c r="BV65" s="57"/>
      <c r="CA65" s="4">
        <f>SUM(C65:F65)</f>
        <v>-1308</v>
      </c>
      <c r="CB65" s="4">
        <f>SUM(G65:J65)</f>
        <v>-1063</v>
      </c>
      <c r="CC65" s="4">
        <f>SUM(K65:N65)</f>
        <v>642</v>
      </c>
      <c r="CD65" s="4">
        <f>SUM(O65:R65)</f>
        <v>-4107</v>
      </c>
      <c r="CE65" s="4">
        <f>SUM(S65:V65)</f>
        <v>-223</v>
      </c>
      <c r="CF65" s="4">
        <f>SUM(W65:Z65)</f>
        <v>-509</v>
      </c>
      <c r="CG65" s="4">
        <f>SUM(AA65:AD65)</f>
        <v>-650</v>
      </c>
      <c r="CH65" s="4">
        <f>SUM(AE65:AH65)</f>
        <v>177</v>
      </c>
      <c r="CI65" s="4">
        <f>SUM(AI65:AL65)</f>
        <v>932</v>
      </c>
      <c r="CJ65" s="4">
        <f>SUM(AM65:AP65)</f>
        <v>1421</v>
      </c>
      <c r="CK65" s="4">
        <f>SUM(AQ65:AT65)</f>
        <v>687</v>
      </c>
      <c r="CL65" s="4">
        <f t="shared" si="66"/>
        <v>-79</v>
      </c>
      <c r="CM65" s="4">
        <f t="shared" si="67"/>
        <v>1075</v>
      </c>
      <c r="CN65" s="4">
        <f t="shared" si="68"/>
        <v>1139</v>
      </c>
      <c r="CO65" s="4">
        <f t="shared" si="69"/>
        <v>1985</v>
      </c>
      <c r="CP65" s="4">
        <f t="shared" si="70"/>
        <v>2284</v>
      </c>
      <c r="CQ65" s="4">
        <f t="shared" si="71"/>
        <v>3386</v>
      </c>
      <c r="CR65" s="37">
        <f t="shared" ref="CR65:DA65" si="90">CR62+SUM(CR63:CR64)</f>
        <v>3175.1841150000027</v>
      </c>
      <c r="CS65" s="37">
        <f t="shared" si="90"/>
        <v>4153.1209513631247</v>
      </c>
      <c r="CT65" s="37">
        <f t="shared" si="90"/>
        <v>5071.2129654748351</v>
      </c>
      <c r="CU65" s="37">
        <f t="shared" si="90"/>
        <v>5989.2550211670041</v>
      </c>
      <c r="CV65" s="37">
        <f t="shared" si="90"/>
        <v>6974.6321520891761</v>
      </c>
      <c r="CW65" s="37">
        <f t="shared" si="90"/>
        <v>8109.5952998255079</v>
      </c>
      <c r="CX65" s="37">
        <f t="shared" si="90"/>
        <v>9319.3339363202194</v>
      </c>
      <c r="CY65" s="37">
        <f t="shared" si="90"/>
        <v>10603.530110668789</v>
      </c>
      <c r="CZ65" s="37">
        <f t="shared" si="90"/>
        <v>11876.545450449845</v>
      </c>
      <c r="DA65" s="37">
        <f t="shared" si="90"/>
        <v>13201.705592099112</v>
      </c>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row>
    <row r="66" spans="2:146" s="4" customFormat="1">
      <c r="B66" s="4" t="s">
        <v>91</v>
      </c>
      <c r="C66" s="4">
        <v>-84</v>
      </c>
      <c r="D66" s="4">
        <v>22</v>
      </c>
      <c r="E66" s="4">
        <v>50</v>
      </c>
      <c r="F66" s="4">
        <v>-271</v>
      </c>
      <c r="G66" s="4">
        <v>14</v>
      </c>
      <c r="H66" s="4">
        <v>21</v>
      </c>
      <c r="I66" s="4">
        <v>-27</v>
      </c>
      <c r="J66" s="4">
        <v>-6</v>
      </c>
      <c r="K66" s="4">
        <v>227</v>
      </c>
      <c r="L66" s="4">
        <v>12</v>
      </c>
      <c r="M66" s="4">
        <v>-31</v>
      </c>
      <c r="N66" s="4">
        <v>-7</v>
      </c>
      <c r="O66" s="4">
        <v>10</v>
      </c>
      <c r="P66" s="4">
        <v>-40</v>
      </c>
      <c r="Q66" s="4">
        <v>1</v>
      </c>
      <c r="R66" s="4">
        <v>-10</v>
      </c>
      <c r="S66" s="4">
        <v>-40</v>
      </c>
      <c r="T66" s="4">
        <v>22</v>
      </c>
      <c r="U66" s="4">
        <v>-35</v>
      </c>
      <c r="V66" s="4">
        <v>-49</v>
      </c>
      <c r="W66" s="4">
        <v>13</v>
      </c>
      <c r="X66" s="4">
        <v>-108</v>
      </c>
      <c r="Y66" s="4">
        <v>-40</v>
      </c>
      <c r="Z66" s="4">
        <v>-255</v>
      </c>
      <c r="AA66" s="4">
        <v>-50</v>
      </c>
      <c r="AB66" s="4">
        <v>3</v>
      </c>
      <c r="AC66" s="4">
        <v>-169</v>
      </c>
      <c r="AD66" s="4">
        <v>-195</v>
      </c>
      <c r="AE66" s="4">
        <v>26</v>
      </c>
      <c r="AF66" s="4">
        <v>-190</v>
      </c>
      <c r="AG66" s="4">
        <v>29</v>
      </c>
      <c r="AH66" s="4">
        <v>-35</v>
      </c>
      <c r="AI66" s="4">
        <v>15</v>
      </c>
      <c r="AJ66" s="4">
        <v>-55</v>
      </c>
      <c r="AK66" s="4">
        <v>26</v>
      </c>
      <c r="AL66" s="4">
        <v>842</v>
      </c>
      <c r="AM66" s="4">
        <v>26</v>
      </c>
      <c r="AN66" s="4">
        <v>-209</v>
      </c>
      <c r="AO66" s="4">
        <v>24</v>
      </c>
      <c r="AP66" s="4">
        <v>-90</v>
      </c>
      <c r="AQ66" s="4">
        <v>33</v>
      </c>
      <c r="AR66" s="4">
        <v>-9</v>
      </c>
      <c r="AS66" s="4">
        <v>-35</v>
      </c>
      <c r="AT66" s="4">
        <v>-4002</v>
      </c>
      <c r="AU66" s="4">
        <v>11</v>
      </c>
      <c r="AV66" s="4">
        <v>-33</v>
      </c>
      <c r="AW66" s="4">
        <v>-72</v>
      </c>
      <c r="AX66" s="1">
        <f>2-SUM(AU66:AW66)</f>
        <v>96</v>
      </c>
      <c r="AY66" s="4">
        <v>-16</v>
      </c>
      <c r="AZ66" s="4">
        <v>-37</v>
      </c>
      <c r="BA66" s="4">
        <v>63</v>
      </c>
      <c r="BB66" s="1">
        <f>36-SUM(AY66:BA66)</f>
        <v>26</v>
      </c>
      <c r="BC66" s="4">
        <v>45</v>
      </c>
      <c r="BD66" s="4">
        <v>85</v>
      </c>
      <c r="BE66" s="4">
        <v>57</v>
      </c>
      <c r="BF66" s="1">
        <f>443-SUM(BC66:BE66)</f>
        <v>256</v>
      </c>
      <c r="BG66" s="4">
        <v>130</v>
      </c>
      <c r="BH66" s="4">
        <v>156</v>
      </c>
      <c r="BI66" s="4">
        <v>106</v>
      </c>
      <c r="BJ66" s="1">
        <f>393-SUM(BG66:BI66)</f>
        <v>1</v>
      </c>
      <c r="BK66" s="4">
        <v>115</v>
      </c>
      <c r="BL66" s="4">
        <v>98</v>
      </c>
      <c r="BM66" s="4">
        <v>200</v>
      </c>
      <c r="BN66" s="1">
        <f>436-SUM(BK66:BM66)</f>
        <v>23</v>
      </c>
      <c r="BO66" s="4">
        <v>133</v>
      </c>
      <c r="BP66" s="4">
        <v>146</v>
      </c>
      <c r="BQ66" s="4">
        <v>184</v>
      </c>
      <c r="BR66" s="1">
        <v>30</v>
      </c>
      <c r="BS66" s="1">
        <v>-177</v>
      </c>
      <c r="BT66" s="1">
        <v>155</v>
      </c>
      <c r="BU66" s="57"/>
      <c r="BV66" s="57"/>
      <c r="CA66" s="4">
        <f>SUM(C66:F66)</f>
        <v>-283</v>
      </c>
      <c r="CB66" s="4">
        <f>SUM(G66:J66)</f>
        <v>2</v>
      </c>
      <c r="CC66" s="4">
        <f>SUM(K66:N66)</f>
        <v>201</v>
      </c>
      <c r="CD66" s="4">
        <f>SUM(O66:R66)</f>
        <v>-39</v>
      </c>
      <c r="CE66" s="4">
        <f>SUM(S66:V66)</f>
        <v>-102</v>
      </c>
      <c r="CF66" s="4">
        <f>SUM(W66:Z66)</f>
        <v>-390</v>
      </c>
      <c r="CG66" s="4">
        <f>SUM(AA66:AD66)</f>
        <v>-411</v>
      </c>
      <c r="CH66" s="4">
        <f>SUM(AE66:AH66)</f>
        <v>-170</v>
      </c>
      <c r="CI66" s="4">
        <f>SUM(AI66:AL66)</f>
        <v>828</v>
      </c>
      <c r="CJ66" s="4">
        <f>SUM(AM66:AP66)</f>
        <v>-249</v>
      </c>
      <c r="CK66" s="4">
        <f>SUM(AQ66:AT66)</f>
        <v>-4013</v>
      </c>
      <c r="CL66" s="4">
        <f t="shared" si="66"/>
        <v>2</v>
      </c>
      <c r="CM66" s="4">
        <f t="shared" si="67"/>
        <v>36</v>
      </c>
      <c r="CN66" s="4">
        <f t="shared" si="68"/>
        <v>443</v>
      </c>
      <c r="CO66" s="4">
        <f t="shared" si="69"/>
        <v>393</v>
      </c>
      <c r="CP66" s="4">
        <f t="shared" si="70"/>
        <v>436</v>
      </c>
      <c r="CQ66" s="4">
        <f t="shared" si="71"/>
        <v>493</v>
      </c>
      <c r="CR66" s="37">
        <f t="shared" ref="CR66:DA66" si="91">CR65*CR78</f>
        <v>555.65722012500044</v>
      </c>
      <c r="CS66" s="37">
        <f t="shared" si="91"/>
        <v>747.56177124536248</v>
      </c>
      <c r="CT66" s="37">
        <f t="shared" si="91"/>
        <v>925.49636619915736</v>
      </c>
      <c r="CU66" s="37">
        <f t="shared" si="91"/>
        <v>1108.0121789158957</v>
      </c>
      <c r="CV66" s="37">
        <f t="shared" si="91"/>
        <v>1307.7435285167205</v>
      </c>
      <c r="CW66" s="37">
        <f t="shared" si="91"/>
        <v>1520.5491187172827</v>
      </c>
      <c r="CX66" s="37">
        <f t="shared" si="91"/>
        <v>1747.3751130600413</v>
      </c>
      <c r="CY66" s="37">
        <f t="shared" si="91"/>
        <v>1988.1618957503979</v>
      </c>
      <c r="CZ66" s="37">
        <f t="shared" si="91"/>
        <v>2226.8522719593457</v>
      </c>
      <c r="DA66" s="37">
        <f t="shared" si="91"/>
        <v>2475.3197985185834</v>
      </c>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row>
    <row r="67" spans="2:146" s="4" customFormat="1">
      <c r="B67" s="4" t="s">
        <v>18</v>
      </c>
      <c r="C67" s="4">
        <f t="shared" ref="C67:AH67" si="92">C65-C66</f>
        <v>-13</v>
      </c>
      <c r="D67" s="4">
        <f t="shared" si="92"/>
        <v>158</v>
      </c>
      <c r="E67" s="4">
        <f t="shared" si="92"/>
        <v>-94</v>
      </c>
      <c r="F67" s="4">
        <f t="shared" si="92"/>
        <v>-1076</v>
      </c>
      <c r="G67" s="4">
        <f t="shared" si="92"/>
        <v>-1589</v>
      </c>
      <c r="H67" s="4">
        <f t="shared" si="92"/>
        <v>98</v>
      </c>
      <c r="I67" s="4">
        <f t="shared" si="92"/>
        <v>190</v>
      </c>
      <c r="J67" s="4">
        <f t="shared" si="92"/>
        <v>236</v>
      </c>
      <c r="K67" s="4">
        <f t="shared" si="92"/>
        <v>46</v>
      </c>
      <c r="L67" s="4">
        <f t="shared" si="92"/>
        <v>146</v>
      </c>
      <c r="M67" s="4">
        <f t="shared" si="92"/>
        <v>142</v>
      </c>
      <c r="N67" s="4">
        <f t="shared" si="92"/>
        <v>107</v>
      </c>
      <c r="O67" s="4">
        <f t="shared" si="92"/>
        <v>113</v>
      </c>
      <c r="P67" s="4">
        <f t="shared" si="92"/>
        <v>-3578</v>
      </c>
      <c r="Q67" s="4">
        <f t="shared" si="92"/>
        <v>-664</v>
      </c>
      <c r="R67" s="4">
        <f t="shared" si="92"/>
        <v>61</v>
      </c>
      <c r="S67" s="4">
        <f t="shared" si="92"/>
        <v>-354</v>
      </c>
      <c r="T67" s="4">
        <f t="shared" si="92"/>
        <v>130</v>
      </c>
      <c r="U67" s="4">
        <f t="shared" si="92"/>
        <v>-5</v>
      </c>
      <c r="V67" s="4">
        <f t="shared" si="92"/>
        <v>108</v>
      </c>
      <c r="W67" s="4">
        <f t="shared" si="92"/>
        <v>133</v>
      </c>
      <c r="X67" s="4">
        <f t="shared" si="92"/>
        <v>4</v>
      </c>
      <c r="Y67" s="4">
        <f t="shared" si="92"/>
        <v>43</v>
      </c>
      <c r="Z67" s="4">
        <f t="shared" si="92"/>
        <v>-299</v>
      </c>
      <c r="AA67" s="4">
        <f t="shared" si="92"/>
        <v>-1</v>
      </c>
      <c r="AB67" s="4">
        <f t="shared" si="92"/>
        <v>102</v>
      </c>
      <c r="AC67" s="4">
        <f t="shared" si="92"/>
        <v>-198</v>
      </c>
      <c r="AD67" s="4">
        <f t="shared" si="92"/>
        <v>-142</v>
      </c>
      <c r="AE67" s="4">
        <f t="shared" si="92"/>
        <v>202</v>
      </c>
      <c r="AF67" s="4">
        <f t="shared" si="92"/>
        <v>-207</v>
      </c>
      <c r="AG67" s="4">
        <f t="shared" si="92"/>
        <v>228</v>
      </c>
      <c r="AH67" s="4">
        <f t="shared" si="92"/>
        <v>124</v>
      </c>
      <c r="AI67" s="4">
        <f t="shared" ref="AI67:BN67" si="93">AI65-AI66</f>
        <v>290</v>
      </c>
      <c r="AJ67" s="4">
        <f t="shared" si="93"/>
        <v>146</v>
      </c>
      <c r="AK67" s="4">
        <f t="shared" si="93"/>
        <v>283</v>
      </c>
      <c r="AL67" s="4">
        <f t="shared" si="93"/>
        <v>-615</v>
      </c>
      <c r="AM67" s="4">
        <f t="shared" si="93"/>
        <v>297</v>
      </c>
      <c r="AN67" s="4">
        <f t="shared" si="93"/>
        <v>556</v>
      </c>
      <c r="AO67" s="4">
        <f t="shared" si="93"/>
        <v>432</v>
      </c>
      <c r="AP67" s="4">
        <f t="shared" si="93"/>
        <v>385</v>
      </c>
      <c r="AQ67" s="4">
        <f t="shared" si="93"/>
        <v>424</v>
      </c>
      <c r="AR67" s="4">
        <f t="shared" si="93"/>
        <v>154</v>
      </c>
      <c r="AS67" s="4">
        <f t="shared" si="93"/>
        <v>126</v>
      </c>
      <c r="AT67" s="4">
        <f t="shared" si="93"/>
        <v>3996</v>
      </c>
      <c r="AU67" s="4">
        <f t="shared" si="93"/>
        <v>11</v>
      </c>
      <c r="AV67" s="4">
        <f t="shared" si="93"/>
        <v>-147</v>
      </c>
      <c r="AW67" s="4">
        <f t="shared" si="93"/>
        <v>-155</v>
      </c>
      <c r="AX67" s="4">
        <f t="shared" si="93"/>
        <v>210</v>
      </c>
      <c r="AY67" s="4">
        <f t="shared" si="93"/>
        <v>341</v>
      </c>
      <c r="AZ67" s="4">
        <f t="shared" si="93"/>
        <v>186</v>
      </c>
      <c r="BA67" s="4">
        <f t="shared" si="93"/>
        <v>419</v>
      </c>
      <c r="BB67" s="4">
        <f t="shared" si="93"/>
        <v>93</v>
      </c>
      <c r="BC67" s="4">
        <f t="shared" si="93"/>
        <v>111</v>
      </c>
      <c r="BD67" s="4">
        <f t="shared" si="93"/>
        <v>260</v>
      </c>
      <c r="BE67" s="4">
        <f t="shared" si="93"/>
        <v>188</v>
      </c>
      <c r="BF67" s="4">
        <f t="shared" si="93"/>
        <v>137</v>
      </c>
      <c r="BG67" s="4">
        <f t="shared" si="93"/>
        <v>314</v>
      </c>
      <c r="BH67" s="4">
        <f t="shared" si="93"/>
        <v>270</v>
      </c>
      <c r="BI67" s="4">
        <f t="shared" si="93"/>
        <v>504</v>
      </c>
      <c r="BJ67" s="4">
        <f t="shared" si="93"/>
        <v>504</v>
      </c>
      <c r="BK67" s="4">
        <f t="shared" si="93"/>
        <v>493</v>
      </c>
      <c r="BL67" s="4">
        <f t="shared" si="93"/>
        <v>322</v>
      </c>
      <c r="BM67" s="4">
        <f t="shared" si="93"/>
        <v>468</v>
      </c>
      <c r="BN67" s="4">
        <f t="shared" si="93"/>
        <v>565</v>
      </c>
      <c r="BO67" s="4">
        <f t="shared" ref="BO67:BT67" si="94">BO65-BO66</f>
        <v>672</v>
      </c>
      <c r="BP67" s="4">
        <f t="shared" si="94"/>
        <v>796</v>
      </c>
      <c r="BQ67" s="4">
        <f t="shared" si="94"/>
        <v>755</v>
      </c>
      <c r="BR67" s="1">
        <f t="shared" si="94"/>
        <v>670</v>
      </c>
      <c r="BS67" s="1">
        <f t="shared" si="94"/>
        <v>1339</v>
      </c>
      <c r="BT67" s="1">
        <f t="shared" si="94"/>
        <v>905</v>
      </c>
      <c r="BU67" s="57"/>
      <c r="BV67" s="57"/>
      <c r="CA67" s="4">
        <f>SUM(C67:F67)</f>
        <v>-1025</v>
      </c>
      <c r="CB67" s="4">
        <f>SUM(G67:J67)</f>
        <v>-1065</v>
      </c>
      <c r="CC67" s="4">
        <f>SUM(K67:N67)</f>
        <v>441</v>
      </c>
      <c r="CD67" s="4">
        <f>SUM(O67:R67)</f>
        <v>-4068</v>
      </c>
      <c r="CE67" s="4">
        <f>SUM(S67:V67)</f>
        <v>-121</v>
      </c>
      <c r="CF67" s="4">
        <f>SUM(W67:Z67)</f>
        <v>-119</v>
      </c>
      <c r="CG67" s="4">
        <f>SUM(AA67:AD67)</f>
        <v>-239</v>
      </c>
      <c r="CH67" s="4">
        <f>SUM(AE67:AH67)</f>
        <v>347</v>
      </c>
      <c r="CI67" s="4">
        <f>SUM(AI67:AL67)</f>
        <v>104</v>
      </c>
      <c r="CJ67" s="4">
        <f>SUM(AM67:AP67)</f>
        <v>1670</v>
      </c>
      <c r="CK67" s="4">
        <f>SUM(AQ67:AT67)</f>
        <v>4700</v>
      </c>
      <c r="CL67" s="4">
        <f t="shared" si="66"/>
        <v>-81</v>
      </c>
      <c r="CM67" s="4">
        <f t="shared" si="67"/>
        <v>1039</v>
      </c>
      <c r="CN67" s="4">
        <f t="shared" si="68"/>
        <v>696</v>
      </c>
      <c r="CO67" s="4">
        <f t="shared" si="69"/>
        <v>1592</v>
      </c>
      <c r="CP67" s="4">
        <f t="shared" si="70"/>
        <v>1848</v>
      </c>
      <c r="CQ67" s="4">
        <f t="shared" si="71"/>
        <v>2893</v>
      </c>
      <c r="CR67" s="37">
        <f t="shared" ref="CR67:DA67" si="95">CR65-CR66</f>
        <v>2619.5268948750022</v>
      </c>
      <c r="CS67" s="37">
        <f t="shared" si="95"/>
        <v>3405.5591801177625</v>
      </c>
      <c r="CT67" s="37">
        <f t="shared" si="95"/>
        <v>4145.7165992756782</v>
      </c>
      <c r="CU67" s="37">
        <f t="shared" si="95"/>
        <v>4881.2428422511084</v>
      </c>
      <c r="CV67" s="37">
        <f t="shared" si="95"/>
        <v>5666.8886235724558</v>
      </c>
      <c r="CW67" s="37">
        <f t="shared" si="95"/>
        <v>6589.046181108225</v>
      </c>
      <c r="CX67" s="37">
        <f t="shared" si="95"/>
        <v>7571.9588232601782</v>
      </c>
      <c r="CY67" s="37">
        <f t="shared" si="95"/>
        <v>8615.3682149183915</v>
      </c>
      <c r="CZ67" s="37">
        <f t="shared" si="95"/>
        <v>9649.6931784904991</v>
      </c>
      <c r="DA67" s="37">
        <f t="shared" si="95"/>
        <v>10726.385793580528</v>
      </c>
      <c r="DB67" s="57"/>
      <c r="DC67" s="57"/>
      <c r="DD67" s="57"/>
      <c r="DE67" s="57"/>
      <c r="DF67" s="57"/>
      <c r="DG67" s="57"/>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row>
    <row r="68" spans="2:146" s="4" customFormat="1">
      <c r="B68" s="4" t="s">
        <v>87</v>
      </c>
      <c r="C68" s="4">
        <v>0</v>
      </c>
      <c r="D68" s="4">
        <v>0</v>
      </c>
      <c r="E68" s="4">
        <v>0</v>
      </c>
      <c r="F68" s="4">
        <v>0</v>
      </c>
      <c r="G68" s="4">
        <v>0</v>
      </c>
      <c r="H68" s="4">
        <v>0</v>
      </c>
      <c r="I68" s="4">
        <v>0</v>
      </c>
      <c r="J68" s="4">
        <v>0</v>
      </c>
      <c r="K68" s="4">
        <v>0</v>
      </c>
      <c r="L68" s="4">
        <v>0</v>
      </c>
      <c r="M68" s="4">
        <v>0</v>
      </c>
      <c r="N68" s="4">
        <v>0</v>
      </c>
      <c r="O68" s="4">
        <v>0</v>
      </c>
      <c r="P68" s="4">
        <v>0</v>
      </c>
      <c r="Q68" s="4">
        <v>0</v>
      </c>
      <c r="R68" s="4">
        <v>0</v>
      </c>
      <c r="S68" s="4">
        <v>0</v>
      </c>
      <c r="T68" s="4">
        <v>0</v>
      </c>
      <c r="U68" s="4">
        <v>0</v>
      </c>
      <c r="V68" s="4">
        <v>0</v>
      </c>
      <c r="W68" s="4">
        <v>0</v>
      </c>
      <c r="X68" s="4">
        <v>0</v>
      </c>
      <c r="Y68" s="4">
        <v>0</v>
      </c>
      <c r="Z68" s="4">
        <v>0</v>
      </c>
      <c r="AA68" s="4">
        <v>0</v>
      </c>
      <c r="AB68" s="4">
        <v>0</v>
      </c>
      <c r="AC68" s="4">
        <v>0</v>
      </c>
      <c r="AD68" s="4">
        <v>0</v>
      </c>
      <c r="AE68" s="4">
        <v>0</v>
      </c>
      <c r="AF68" s="4">
        <v>0</v>
      </c>
      <c r="AG68" s="4">
        <v>0</v>
      </c>
      <c r="AH68" s="4">
        <v>0</v>
      </c>
      <c r="AI68" s="4">
        <v>0</v>
      </c>
      <c r="AJ68" s="4">
        <v>0</v>
      </c>
      <c r="AK68" s="4">
        <v>0</v>
      </c>
      <c r="AL68" s="4">
        <v>0</v>
      </c>
      <c r="AM68" s="4">
        <v>0</v>
      </c>
      <c r="AN68" s="4">
        <v>0</v>
      </c>
      <c r="AO68" s="4">
        <v>0</v>
      </c>
      <c r="AP68" s="4">
        <v>0</v>
      </c>
      <c r="AQ68" s="4">
        <v>0</v>
      </c>
      <c r="AR68" s="4">
        <v>0</v>
      </c>
      <c r="AS68" s="4">
        <v>0</v>
      </c>
      <c r="AT68" s="4">
        <v>0</v>
      </c>
      <c r="AU68" s="4">
        <v>0</v>
      </c>
      <c r="AV68" s="4">
        <v>-5</v>
      </c>
      <c r="AW68" s="4">
        <v>-14</v>
      </c>
      <c r="AX68" s="1">
        <f>-33-SUM(AU68:AW68)</f>
        <v>-14</v>
      </c>
      <c r="AY68" s="4">
        <v>-14</v>
      </c>
      <c r="AZ68" s="4">
        <v>-14</v>
      </c>
      <c r="BA68" s="4">
        <v>-14</v>
      </c>
      <c r="BB68" s="1">
        <f>-55-SUM(AY68:BA68)</f>
        <v>-13</v>
      </c>
      <c r="BC68" s="4">
        <v>-14</v>
      </c>
      <c r="BD68" s="4">
        <v>-14</v>
      </c>
      <c r="BE68" s="4">
        <v>-14</v>
      </c>
      <c r="BF68" s="1">
        <f>-55-SUM(BC68:BE68)</f>
        <v>-13</v>
      </c>
      <c r="BG68" s="4">
        <v>-14</v>
      </c>
      <c r="BH68" s="4">
        <v>-9</v>
      </c>
      <c r="BI68" s="4">
        <v>0</v>
      </c>
      <c r="BJ68" s="1">
        <f>-23-SUM(BG68:BI68)</f>
        <v>0</v>
      </c>
      <c r="BK68" s="4">
        <v>0</v>
      </c>
      <c r="BL68" s="4">
        <v>0</v>
      </c>
      <c r="BM68" s="4">
        <v>0</v>
      </c>
      <c r="BN68" s="1">
        <f>0-SUM(BK68:BM68)</f>
        <v>0</v>
      </c>
      <c r="BO68" s="4">
        <v>0</v>
      </c>
      <c r="BP68" s="4">
        <v>0</v>
      </c>
      <c r="BQ68" s="4">
        <v>0</v>
      </c>
      <c r="BR68" s="1">
        <v>0</v>
      </c>
      <c r="BS68" s="1">
        <v>0</v>
      </c>
      <c r="BT68" s="1">
        <v>0</v>
      </c>
      <c r="BU68" s="57"/>
      <c r="BV68" s="57"/>
      <c r="CA68" s="4">
        <v>0</v>
      </c>
      <c r="CB68" s="4">
        <v>0</v>
      </c>
      <c r="CC68" s="4">
        <v>0</v>
      </c>
      <c r="CD68" s="4">
        <v>0</v>
      </c>
      <c r="CE68" s="4">
        <v>0</v>
      </c>
      <c r="CF68" s="4">
        <v>0</v>
      </c>
      <c r="CG68" s="4">
        <v>0</v>
      </c>
      <c r="CH68" s="4">
        <v>0</v>
      </c>
      <c r="CI68" s="4">
        <v>0</v>
      </c>
      <c r="CJ68" s="4">
        <v>0</v>
      </c>
      <c r="CK68" s="4">
        <v>0</v>
      </c>
      <c r="CL68" s="4">
        <f t="shared" si="66"/>
        <v>-33</v>
      </c>
      <c r="CM68" s="4">
        <f t="shared" si="67"/>
        <v>-55</v>
      </c>
      <c r="CN68" s="4">
        <f t="shared" si="68"/>
        <v>-55</v>
      </c>
      <c r="CO68" s="4">
        <f t="shared" si="69"/>
        <v>-23</v>
      </c>
      <c r="CP68" s="4">
        <f t="shared" si="70"/>
        <v>0</v>
      </c>
      <c r="CQ68" s="4">
        <f t="shared" si="71"/>
        <v>0</v>
      </c>
      <c r="CR68" s="37">
        <v>0</v>
      </c>
      <c r="CS68" s="37">
        <v>0</v>
      </c>
      <c r="CT68" s="37">
        <v>0</v>
      </c>
      <c r="CU68" s="37">
        <v>0</v>
      </c>
      <c r="CV68" s="37">
        <v>0</v>
      </c>
      <c r="CW68" s="37">
        <v>0</v>
      </c>
      <c r="CX68" s="37">
        <v>0</v>
      </c>
      <c r="CY68" s="37">
        <v>0</v>
      </c>
      <c r="CZ68" s="37">
        <v>0</v>
      </c>
      <c r="DA68" s="37">
        <v>0</v>
      </c>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row>
    <row r="69" spans="2:146" s="4" customFormat="1">
      <c r="B69" s="4" t="s">
        <v>89</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0</v>
      </c>
      <c r="AE69" s="4">
        <v>0</v>
      </c>
      <c r="AF69" s="4">
        <v>0</v>
      </c>
      <c r="AG69" s="4">
        <v>0</v>
      </c>
      <c r="AH69" s="4">
        <v>0</v>
      </c>
      <c r="AI69" s="4">
        <v>0</v>
      </c>
      <c r="AJ69" s="4">
        <v>0</v>
      </c>
      <c r="AK69" s="4">
        <v>0</v>
      </c>
      <c r="AL69" s="4">
        <v>0</v>
      </c>
      <c r="AM69" s="4">
        <v>0</v>
      </c>
      <c r="AN69" s="4">
        <v>0</v>
      </c>
      <c r="AO69" s="4">
        <v>0</v>
      </c>
      <c r="AP69" s="4">
        <v>0</v>
      </c>
      <c r="AQ69" s="4">
        <v>0</v>
      </c>
      <c r="AR69" s="4">
        <v>0</v>
      </c>
      <c r="AS69" s="4">
        <v>0</v>
      </c>
      <c r="AT69" s="4">
        <v>0</v>
      </c>
      <c r="AU69" s="4">
        <v>0</v>
      </c>
      <c r="AV69" s="4">
        <v>0</v>
      </c>
      <c r="AW69" s="4">
        <v>0</v>
      </c>
      <c r="AX69" s="1">
        <v>0</v>
      </c>
      <c r="AY69" s="4">
        <v>0</v>
      </c>
      <c r="AZ69" s="4">
        <v>0</v>
      </c>
      <c r="BA69" s="4">
        <v>0</v>
      </c>
      <c r="BB69" s="1">
        <v>0</v>
      </c>
      <c r="BC69" s="4">
        <v>0</v>
      </c>
      <c r="BD69" s="4">
        <v>0</v>
      </c>
      <c r="BE69" s="4">
        <v>0</v>
      </c>
      <c r="BF69" s="1">
        <v>0</v>
      </c>
      <c r="BG69" s="4">
        <v>0</v>
      </c>
      <c r="BH69" s="4">
        <v>0</v>
      </c>
      <c r="BI69" s="4">
        <v>0</v>
      </c>
      <c r="BJ69" s="1">
        <v>0</v>
      </c>
      <c r="BK69" s="4">
        <v>-2</v>
      </c>
      <c r="BL69" s="4">
        <v>-2</v>
      </c>
      <c r="BM69" s="4">
        <v>0</v>
      </c>
      <c r="BN69" s="1">
        <f>-4-SUM(BK69:BM69)</f>
        <v>0</v>
      </c>
      <c r="BO69" s="4">
        <v>-2</v>
      </c>
      <c r="BP69" s="4">
        <v>-1</v>
      </c>
      <c r="BQ69" s="4">
        <v>0</v>
      </c>
      <c r="BR69" s="1">
        <v>-2</v>
      </c>
      <c r="BS69" s="1">
        <v>-2</v>
      </c>
      <c r="BT69" s="1">
        <v>-2</v>
      </c>
      <c r="BU69" s="57"/>
      <c r="BV69" s="57"/>
      <c r="CA69" s="4">
        <v>0</v>
      </c>
      <c r="CB69" s="4">
        <v>0</v>
      </c>
      <c r="CC69" s="4">
        <v>0</v>
      </c>
      <c r="CD69" s="4">
        <v>0</v>
      </c>
      <c r="CE69" s="4">
        <v>0</v>
      </c>
      <c r="CF69" s="4">
        <v>0</v>
      </c>
      <c r="CG69" s="4">
        <v>0</v>
      </c>
      <c r="CH69" s="4">
        <v>0</v>
      </c>
      <c r="CI69" s="4">
        <v>0</v>
      </c>
      <c r="CJ69" s="4">
        <v>0</v>
      </c>
      <c r="CK69" s="4">
        <v>0</v>
      </c>
      <c r="CL69" s="4">
        <f t="shared" si="66"/>
        <v>0</v>
      </c>
      <c r="CM69" s="4">
        <f t="shared" si="67"/>
        <v>0</v>
      </c>
      <c r="CN69" s="4">
        <f t="shared" si="68"/>
        <v>0</v>
      </c>
      <c r="CO69" s="4">
        <f t="shared" si="69"/>
        <v>0</v>
      </c>
      <c r="CP69" s="4">
        <f t="shared" si="70"/>
        <v>-4</v>
      </c>
      <c r="CQ69" s="4">
        <f t="shared" si="71"/>
        <v>-5</v>
      </c>
      <c r="CR69" s="37">
        <v>0</v>
      </c>
      <c r="CS69" s="37">
        <v>0</v>
      </c>
      <c r="CT69" s="37">
        <v>0</v>
      </c>
      <c r="CU69" s="37">
        <v>0</v>
      </c>
      <c r="CV69" s="37">
        <v>0</v>
      </c>
      <c r="CW69" s="37">
        <v>0</v>
      </c>
      <c r="CX69" s="37">
        <v>0</v>
      </c>
      <c r="CY69" s="37">
        <v>0</v>
      </c>
      <c r="CZ69" s="37">
        <v>0</v>
      </c>
      <c r="DA69" s="37">
        <v>0</v>
      </c>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row>
    <row r="70" spans="2:146" s="5" customFormat="1" ht="15">
      <c r="B70" s="5" t="s">
        <v>88</v>
      </c>
      <c r="C70" s="5">
        <f t="shared" ref="C70:BK70" si="96">C67+C68-C69</f>
        <v>-13</v>
      </c>
      <c r="D70" s="5">
        <f t="shared" si="96"/>
        <v>158</v>
      </c>
      <c r="E70" s="5">
        <f t="shared" si="96"/>
        <v>-94</v>
      </c>
      <c r="F70" s="5">
        <f t="shared" si="96"/>
        <v>-1076</v>
      </c>
      <c r="G70" s="5">
        <f t="shared" si="96"/>
        <v>-1589</v>
      </c>
      <c r="H70" s="5">
        <f t="shared" si="96"/>
        <v>98</v>
      </c>
      <c r="I70" s="5">
        <f t="shared" si="96"/>
        <v>190</v>
      </c>
      <c r="J70" s="5">
        <f t="shared" si="96"/>
        <v>236</v>
      </c>
      <c r="K70" s="5">
        <f t="shared" si="96"/>
        <v>46</v>
      </c>
      <c r="L70" s="5">
        <f t="shared" si="96"/>
        <v>146</v>
      </c>
      <c r="M70" s="5">
        <f t="shared" si="96"/>
        <v>142</v>
      </c>
      <c r="N70" s="5">
        <f t="shared" si="96"/>
        <v>107</v>
      </c>
      <c r="O70" s="5">
        <f t="shared" si="96"/>
        <v>113</v>
      </c>
      <c r="P70" s="5">
        <f t="shared" si="96"/>
        <v>-3578</v>
      </c>
      <c r="Q70" s="5">
        <f t="shared" si="96"/>
        <v>-664</v>
      </c>
      <c r="R70" s="5">
        <f t="shared" si="96"/>
        <v>61</v>
      </c>
      <c r="S70" s="5">
        <f t="shared" si="96"/>
        <v>-354</v>
      </c>
      <c r="T70" s="5">
        <f t="shared" si="96"/>
        <v>130</v>
      </c>
      <c r="U70" s="5">
        <f t="shared" si="96"/>
        <v>-5</v>
      </c>
      <c r="V70" s="5">
        <f t="shared" si="96"/>
        <v>108</v>
      </c>
      <c r="W70" s="5">
        <f t="shared" si="96"/>
        <v>133</v>
      </c>
      <c r="X70" s="5">
        <f t="shared" si="96"/>
        <v>4</v>
      </c>
      <c r="Y70" s="5">
        <f t="shared" si="96"/>
        <v>43</v>
      </c>
      <c r="Z70" s="5">
        <f t="shared" si="96"/>
        <v>-299</v>
      </c>
      <c r="AA70" s="5">
        <f t="shared" si="96"/>
        <v>-1</v>
      </c>
      <c r="AB70" s="5">
        <f t="shared" si="96"/>
        <v>102</v>
      </c>
      <c r="AC70" s="5">
        <f t="shared" si="96"/>
        <v>-198</v>
      </c>
      <c r="AD70" s="5">
        <f t="shared" si="96"/>
        <v>-142</v>
      </c>
      <c r="AE70" s="5">
        <f t="shared" si="96"/>
        <v>202</v>
      </c>
      <c r="AF70" s="5">
        <f t="shared" si="96"/>
        <v>-207</v>
      </c>
      <c r="AG70" s="5">
        <f t="shared" si="96"/>
        <v>228</v>
      </c>
      <c r="AH70" s="5">
        <f t="shared" si="96"/>
        <v>124</v>
      </c>
      <c r="AI70" s="5">
        <f t="shared" si="96"/>
        <v>290</v>
      </c>
      <c r="AJ70" s="5">
        <f t="shared" si="96"/>
        <v>146</v>
      </c>
      <c r="AK70" s="5">
        <f t="shared" si="96"/>
        <v>283</v>
      </c>
      <c r="AL70" s="5">
        <f t="shared" si="96"/>
        <v>-615</v>
      </c>
      <c r="AM70" s="5">
        <f t="shared" si="96"/>
        <v>297</v>
      </c>
      <c r="AN70" s="5">
        <f t="shared" si="96"/>
        <v>556</v>
      </c>
      <c r="AO70" s="5">
        <f t="shared" si="96"/>
        <v>432</v>
      </c>
      <c r="AP70" s="5">
        <f t="shared" si="96"/>
        <v>385</v>
      </c>
      <c r="AQ70" s="5">
        <f t="shared" si="96"/>
        <v>424</v>
      </c>
      <c r="AR70" s="5">
        <f t="shared" si="96"/>
        <v>154</v>
      </c>
      <c r="AS70" s="5">
        <f t="shared" si="96"/>
        <v>126</v>
      </c>
      <c r="AT70" s="5">
        <f t="shared" si="96"/>
        <v>3996</v>
      </c>
      <c r="AU70" s="5">
        <f t="shared" si="96"/>
        <v>11</v>
      </c>
      <c r="AV70" s="5">
        <f t="shared" si="96"/>
        <v>-152</v>
      </c>
      <c r="AW70" s="5">
        <f t="shared" si="96"/>
        <v>-169</v>
      </c>
      <c r="AX70" s="5">
        <f t="shared" si="96"/>
        <v>196</v>
      </c>
      <c r="AY70" s="5">
        <f t="shared" si="96"/>
        <v>327</v>
      </c>
      <c r="AZ70" s="5">
        <f t="shared" si="96"/>
        <v>172</v>
      </c>
      <c r="BA70" s="5">
        <f t="shared" si="96"/>
        <v>405</v>
      </c>
      <c r="BB70" s="5">
        <f t="shared" si="96"/>
        <v>80</v>
      </c>
      <c r="BC70" s="5">
        <f t="shared" si="96"/>
        <v>97</v>
      </c>
      <c r="BD70" s="5">
        <f t="shared" si="96"/>
        <v>246</v>
      </c>
      <c r="BE70" s="5">
        <f t="shared" si="96"/>
        <v>174</v>
      </c>
      <c r="BF70" s="5">
        <f t="shared" si="96"/>
        <v>124</v>
      </c>
      <c r="BG70" s="5">
        <f t="shared" si="96"/>
        <v>300</v>
      </c>
      <c r="BH70" s="5">
        <f t="shared" si="96"/>
        <v>261</v>
      </c>
      <c r="BI70" s="5">
        <f t="shared" si="96"/>
        <v>504</v>
      </c>
      <c r="BJ70" s="5">
        <f t="shared" si="96"/>
        <v>504</v>
      </c>
      <c r="BK70" s="5">
        <f t="shared" si="96"/>
        <v>495</v>
      </c>
      <c r="BL70" s="5">
        <f>BL67+BL68-BL69</f>
        <v>324</v>
      </c>
      <c r="BM70" s="5">
        <f t="shared" ref="BM70:BP70" si="97">BM67+BM68-BM69</f>
        <v>468</v>
      </c>
      <c r="BN70" s="5">
        <f t="shared" si="97"/>
        <v>565</v>
      </c>
      <c r="BO70" s="5">
        <f t="shared" si="97"/>
        <v>674</v>
      </c>
      <c r="BP70" s="5">
        <f t="shared" si="97"/>
        <v>797</v>
      </c>
      <c r="BQ70" s="5">
        <f t="shared" ref="BQ70:BR70" si="98">BQ67+BQ68-BQ69</f>
        <v>755</v>
      </c>
      <c r="BR70" s="3">
        <f t="shared" si="98"/>
        <v>672</v>
      </c>
      <c r="BS70" s="3">
        <f t="shared" ref="BS70:BT70" si="99">BS67+BS68-BS69</f>
        <v>1341</v>
      </c>
      <c r="BT70" s="3">
        <f t="shared" si="99"/>
        <v>907</v>
      </c>
      <c r="BU70" s="58"/>
      <c r="BV70" s="58"/>
      <c r="CA70" s="5">
        <f t="shared" ref="CA70" si="100">SUM(AJ70:AM70)</f>
        <v>111</v>
      </c>
      <c r="CB70" s="5">
        <f t="shared" ref="CB70" si="101">SUM(AK70:AN70)</f>
        <v>521</v>
      </c>
      <c r="CC70" s="5">
        <f t="shared" ref="CC70" si="102">SUM(AL70:AO70)</f>
        <v>670</v>
      </c>
      <c r="CD70" s="5">
        <f t="shared" ref="CD70" si="103">SUM(AM70:AP70)</f>
        <v>1670</v>
      </c>
      <c r="CE70" s="5">
        <f t="shared" ref="CE70" si="104">SUM(AN70:AQ70)</f>
        <v>1797</v>
      </c>
      <c r="CF70" s="5">
        <f t="shared" ref="CF70" si="105">SUM(AO70:AR70)</f>
        <v>1395</v>
      </c>
      <c r="CG70" s="5">
        <f t="shared" ref="CG70" si="106">SUM(AP70:AS70)</f>
        <v>1089</v>
      </c>
      <c r="CH70" s="5">
        <f t="shared" ref="CH70" si="107">SUM(AQ70:AT70)</f>
        <v>4700</v>
      </c>
      <c r="CI70" s="5">
        <f t="shared" ref="CI70" si="108">SUM(AR70:AU70)</f>
        <v>4287</v>
      </c>
      <c r="CJ70" s="5">
        <f t="shared" ref="CJ70" si="109">SUM(AS70:AV70)</f>
        <v>3981</v>
      </c>
      <c r="CK70" s="5">
        <f t="shared" ref="CK70" si="110">SUM(AT70:AW70)</f>
        <v>3686</v>
      </c>
      <c r="CL70" s="5">
        <f t="shared" si="66"/>
        <v>-114</v>
      </c>
      <c r="CM70" s="5">
        <f t="shared" si="67"/>
        <v>984</v>
      </c>
      <c r="CN70" s="5">
        <f t="shared" si="68"/>
        <v>641</v>
      </c>
      <c r="CO70" s="5">
        <f t="shared" si="69"/>
        <v>1569</v>
      </c>
      <c r="CP70" s="5">
        <f t="shared" si="70"/>
        <v>1852</v>
      </c>
      <c r="CQ70" s="5">
        <f t="shared" si="71"/>
        <v>2898</v>
      </c>
      <c r="CR70" s="59">
        <f t="shared" ref="CR70:CV70" si="111">CR67-SUM(CR68:CR69)</f>
        <v>2619.5268948750022</v>
      </c>
      <c r="CS70" s="59">
        <f t="shared" si="111"/>
        <v>3405.5591801177625</v>
      </c>
      <c r="CT70" s="59">
        <f t="shared" si="111"/>
        <v>4145.7165992756782</v>
      </c>
      <c r="CU70" s="59">
        <f t="shared" si="111"/>
        <v>4881.2428422511084</v>
      </c>
      <c r="CV70" s="59">
        <f t="shared" si="111"/>
        <v>5666.8886235724558</v>
      </c>
      <c r="CW70" s="59">
        <f t="shared" ref="CW70" si="112">CW67-SUM(CW68:CW69)</f>
        <v>6589.046181108225</v>
      </c>
      <c r="CX70" s="59">
        <f t="shared" ref="CX70:DA70" si="113">CX67-SUM(CX68:CX69)</f>
        <v>7571.9588232601782</v>
      </c>
      <c r="CY70" s="59">
        <f t="shared" si="113"/>
        <v>8615.3682149183915</v>
      </c>
      <c r="CZ70" s="59">
        <f t="shared" si="113"/>
        <v>9649.6931784904991</v>
      </c>
      <c r="DA70" s="59">
        <f t="shared" si="113"/>
        <v>10726.385793580528</v>
      </c>
      <c r="DB70" s="59">
        <f t="shared" ref="DB70:EO70" si="114">DA70*(1+$DK$82)</f>
        <v>10914.097544968188</v>
      </c>
      <c r="DC70" s="59">
        <f t="shared" si="114"/>
        <v>11105.094252005132</v>
      </c>
      <c r="DD70" s="59">
        <f t="shared" si="114"/>
        <v>11299.433401415223</v>
      </c>
      <c r="DE70" s="59">
        <f t="shared" si="114"/>
        <v>11497.173485939989</v>
      </c>
      <c r="DF70" s="59">
        <f t="shared" si="114"/>
        <v>11698.374021943941</v>
      </c>
      <c r="DG70" s="59">
        <f t="shared" si="114"/>
        <v>11903.09556732796</v>
      </c>
      <c r="DH70" s="59">
        <f t="shared" si="114"/>
        <v>12111.3997397562</v>
      </c>
      <c r="DI70" s="59">
        <f t="shared" si="114"/>
        <v>12323.349235201935</v>
      </c>
      <c r="DJ70" s="59">
        <f t="shared" si="114"/>
        <v>12539.007846817969</v>
      </c>
      <c r="DK70" s="59">
        <f t="shared" si="114"/>
        <v>12758.440484137285</v>
      </c>
      <c r="DL70" s="59">
        <f t="shared" si="114"/>
        <v>12981.713192609688</v>
      </c>
      <c r="DM70" s="59">
        <f t="shared" si="114"/>
        <v>13208.893173480359</v>
      </c>
      <c r="DN70" s="59">
        <f t="shared" si="114"/>
        <v>13440.048804016267</v>
      </c>
      <c r="DO70" s="59">
        <f t="shared" si="114"/>
        <v>13675.249658086554</v>
      </c>
      <c r="DP70" s="59">
        <f t="shared" si="114"/>
        <v>13914.566527103068</v>
      </c>
      <c r="DQ70" s="59">
        <f t="shared" si="114"/>
        <v>14158.071441327373</v>
      </c>
      <c r="DR70" s="59">
        <f t="shared" si="114"/>
        <v>14405.837691550603</v>
      </c>
      <c r="DS70" s="59">
        <f t="shared" si="114"/>
        <v>14657.93985115274</v>
      </c>
      <c r="DT70" s="59">
        <f t="shared" si="114"/>
        <v>14914.453798547913</v>
      </c>
      <c r="DU70" s="59">
        <f t="shared" si="114"/>
        <v>15175.456740022502</v>
      </c>
      <c r="DV70" s="59">
        <f t="shared" si="114"/>
        <v>15441.027232972898</v>
      </c>
      <c r="DW70" s="59">
        <f t="shared" si="114"/>
        <v>15711.245209549925</v>
      </c>
      <c r="DX70" s="59">
        <f t="shared" si="114"/>
        <v>15986.19200071705</v>
      </c>
      <c r="DY70" s="59">
        <f t="shared" si="114"/>
        <v>16265.950360729599</v>
      </c>
      <c r="DZ70" s="59">
        <f t="shared" si="114"/>
        <v>16550.60449204237</v>
      </c>
      <c r="EA70" s="59">
        <f t="shared" si="114"/>
        <v>16840.240070653112</v>
      </c>
      <c r="EB70" s="59">
        <f t="shared" si="114"/>
        <v>17134.944271889541</v>
      </c>
      <c r="EC70" s="59">
        <f t="shared" si="114"/>
        <v>17434.805796647608</v>
      </c>
      <c r="ED70" s="59">
        <f t="shared" si="114"/>
        <v>17739.914898088944</v>
      </c>
      <c r="EE70" s="59">
        <f t="shared" si="114"/>
        <v>18050.363408805501</v>
      </c>
      <c r="EF70" s="59">
        <f t="shared" si="114"/>
        <v>18366.244768459597</v>
      </c>
      <c r="EG70" s="59">
        <f t="shared" si="114"/>
        <v>18687.654051907641</v>
      </c>
      <c r="EH70" s="59">
        <f t="shared" si="114"/>
        <v>19014.687997816025</v>
      </c>
      <c r="EI70" s="59">
        <f t="shared" si="114"/>
        <v>19347.445037777808</v>
      </c>
      <c r="EJ70" s="59">
        <f t="shared" si="114"/>
        <v>19686.025325938921</v>
      </c>
      <c r="EK70" s="59">
        <f t="shared" si="114"/>
        <v>20030.530769142853</v>
      </c>
      <c r="EL70" s="59">
        <f t="shared" si="114"/>
        <v>20381.065057602857</v>
      </c>
      <c r="EM70" s="59">
        <f t="shared" si="114"/>
        <v>20737.733696110907</v>
      </c>
      <c r="EN70" s="59">
        <f t="shared" si="114"/>
        <v>21100.644035792848</v>
      </c>
      <c r="EO70" s="59">
        <f t="shared" si="114"/>
        <v>21469.905306419223</v>
      </c>
      <c r="EP70" s="59"/>
    </row>
    <row r="71" spans="2:146" s="4" customFormat="1">
      <c r="B71" s="4" t="s">
        <v>1</v>
      </c>
      <c r="C71" s="4">
        <v>1504</v>
      </c>
      <c r="D71" s="4">
        <v>1507</v>
      </c>
      <c r="E71" s="4">
        <v>1509</v>
      </c>
      <c r="F71" s="4">
        <v>1507</v>
      </c>
      <c r="G71" s="4">
        <v>1515</v>
      </c>
      <c r="H71" s="4">
        <v>1516</v>
      </c>
      <c r="I71" s="4">
        <v>1519</v>
      </c>
      <c r="J71" s="4">
        <v>1517</v>
      </c>
      <c r="K71" s="4">
        <v>1527</v>
      </c>
      <c r="L71" s="4">
        <v>1529</v>
      </c>
      <c r="M71" s="4">
        <v>1514</v>
      </c>
      <c r="N71" s="4">
        <v>1509</v>
      </c>
      <c r="O71" s="4">
        <v>1445</v>
      </c>
      <c r="P71" s="4">
        <v>1423</v>
      </c>
      <c r="Q71" s="4">
        <v>1393</v>
      </c>
      <c r="R71" s="4">
        <v>1407</v>
      </c>
      <c r="S71" s="4">
        <v>1352</v>
      </c>
      <c r="T71" s="4">
        <v>1344</v>
      </c>
      <c r="U71" s="4">
        <v>1340</v>
      </c>
      <c r="V71" s="4">
        <v>1341</v>
      </c>
      <c r="W71" s="4">
        <v>1322</v>
      </c>
      <c r="X71" s="4">
        <v>1323</v>
      </c>
      <c r="Y71" s="4">
        <v>1326</v>
      </c>
      <c r="Z71" s="4">
        <v>1324</v>
      </c>
      <c r="AA71" s="4">
        <v>1334</v>
      </c>
      <c r="AB71" s="4">
        <v>1341</v>
      </c>
      <c r="AC71" s="4">
        <v>1344</v>
      </c>
      <c r="AD71" s="4">
        <v>1341</v>
      </c>
      <c r="AE71" s="4">
        <v>1350</v>
      </c>
      <c r="AF71" s="4">
        <v>1357</v>
      </c>
      <c r="AG71" s="4">
        <v>1361</v>
      </c>
      <c r="AH71" s="4">
        <v>1358</v>
      </c>
      <c r="AI71" s="4">
        <v>1365</v>
      </c>
      <c r="AJ71" s="4">
        <v>1370</v>
      </c>
      <c r="AK71" s="4">
        <v>1372</v>
      </c>
      <c r="AL71" s="4">
        <v>1370</v>
      </c>
      <c r="AM71" s="4">
        <v>1377</v>
      </c>
      <c r="AN71" s="4">
        <v>1381</v>
      </c>
      <c r="AO71" s="4">
        <v>1383</v>
      </c>
      <c r="AP71" s="4">
        <v>1381</v>
      </c>
      <c r="AQ71" s="4">
        <v>1388</v>
      </c>
      <c r="AR71" s="4">
        <v>1391</v>
      </c>
      <c r="AS71" s="4">
        <v>1393</v>
      </c>
      <c r="AT71" s="4">
        <v>1392</v>
      </c>
      <c r="AU71" s="45">
        <v>1397.4</v>
      </c>
      <c r="AV71" s="45">
        <v>1410.9</v>
      </c>
      <c r="AW71" s="45">
        <v>1430.9</v>
      </c>
      <c r="AX71" s="45">
        <v>1416.7</v>
      </c>
      <c r="AY71" s="45">
        <v>1418.7</v>
      </c>
      <c r="AZ71" s="45">
        <v>1421.3</v>
      </c>
      <c r="BA71" s="45">
        <v>1423.8</v>
      </c>
      <c r="BB71" s="45">
        <v>1422.3</v>
      </c>
      <c r="BC71" s="45">
        <v>1427.8</v>
      </c>
      <c r="BD71" s="45">
        <v>1429.7</v>
      </c>
      <c r="BE71" s="45">
        <v>1431.6</v>
      </c>
      <c r="BF71" s="45">
        <v>1430.5</v>
      </c>
      <c r="BG71" s="45">
        <v>1435.8</v>
      </c>
      <c r="BH71" s="45">
        <v>1446.2</v>
      </c>
      <c r="BI71" s="45">
        <v>1464.5</v>
      </c>
      <c r="BJ71" s="45">
        <v>1453</v>
      </c>
      <c r="BK71" s="45">
        <v>1468.4</v>
      </c>
      <c r="BL71" s="45">
        <v>1470.6</v>
      </c>
      <c r="BM71" s="45">
        <v>1472.7</v>
      </c>
      <c r="BN71" s="45">
        <v>1471.5</v>
      </c>
      <c r="BO71" s="45">
        <v>1477.2</v>
      </c>
      <c r="BP71" s="45">
        <v>1479.9</v>
      </c>
      <c r="BQ71" s="45">
        <v>1481.7</v>
      </c>
      <c r="BR71" s="46">
        <v>1482.7</v>
      </c>
      <c r="BS71" s="46">
        <v>1484.9</v>
      </c>
      <c r="BT71" s="46">
        <v>1470.2</v>
      </c>
      <c r="BU71" s="57"/>
      <c r="BV71" s="57"/>
      <c r="CA71" s="45">
        <f>F71</f>
        <v>1507</v>
      </c>
      <c r="CB71" s="45">
        <f>J71</f>
        <v>1517</v>
      </c>
      <c r="CC71" s="45">
        <f>N71</f>
        <v>1509</v>
      </c>
      <c r="CD71" s="45">
        <f>R71</f>
        <v>1407</v>
      </c>
      <c r="CE71" s="45">
        <f>V71</f>
        <v>1341</v>
      </c>
      <c r="CF71" s="45">
        <f>Z71</f>
        <v>1324</v>
      </c>
      <c r="CG71" s="45">
        <f>AD71</f>
        <v>1341</v>
      </c>
      <c r="CH71" s="45">
        <f>AH71</f>
        <v>1358</v>
      </c>
      <c r="CI71" s="45">
        <f>AL71</f>
        <v>1370</v>
      </c>
      <c r="CJ71" s="45">
        <f>AP71</f>
        <v>1381</v>
      </c>
      <c r="CK71" s="45">
        <f>AT71</f>
        <v>1392</v>
      </c>
      <c r="CL71" s="45">
        <f>AX71</f>
        <v>1416.7</v>
      </c>
      <c r="CM71" s="45">
        <f>BB71</f>
        <v>1422.3</v>
      </c>
      <c r="CN71" s="45">
        <f>BF71</f>
        <v>1430.5</v>
      </c>
      <c r="CO71" s="45">
        <f>BJ71</f>
        <v>1453</v>
      </c>
      <c r="CP71" s="45">
        <f>BN71</f>
        <v>1471.5</v>
      </c>
      <c r="CQ71" s="45">
        <f>AVERAGE(BO71:BR71)</f>
        <v>1480.375</v>
      </c>
      <c r="CR71" s="62"/>
      <c r="CS71" s="62"/>
      <c r="CT71" s="62"/>
      <c r="CU71" s="62"/>
      <c r="CV71" s="62"/>
      <c r="CW71" s="62"/>
      <c r="CX71" s="62"/>
      <c r="CY71" s="62"/>
      <c r="CZ71" s="62"/>
      <c r="DA71" s="62"/>
      <c r="DB71" s="57"/>
      <c r="DC71" s="57"/>
      <c r="DD71" s="57"/>
      <c r="DE71" s="57"/>
      <c r="DF71" s="57"/>
      <c r="DG71" s="57"/>
      <c r="DH71" s="57"/>
      <c r="DI71" s="57"/>
      <c r="DJ71" s="57"/>
      <c r="DK71" s="57"/>
      <c r="DL71" s="57"/>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row>
    <row r="72" spans="2:146" s="4" customFormat="1">
      <c r="B72" s="4" t="s">
        <v>90</v>
      </c>
      <c r="C72" s="7">
        <f t="shared" ref="C72:AT72" si="115">C70/C71</f>
        <v>-8.6436170212765961E-3</v>
      </c>
      <c r="D72" s="7">
        <f t="shared" si="115"/>
        <v>0.10484406104844061</v>
      </c>
      <c r="E72" s="7">
        <f t="shared" si="115"/>
        <v>-6.2292909211398274E-2</v>
      </c>
      <c r="F72" s="7">
        <f t="shared" si="115"/>
        <v>-0.7140013271400133</v>
      </c>
      <c r="G72" s="7">
        <f t="shared" si="115"/>
        <v>-1.0488448844884488</v>
      </c>
      <c r="H72" s="7">
        <f t="shared" si="115"/>
        <v>6.464379947229551E-2</v>
      </c>
      <c r="I72" s="7">
        <f t="shared" si="115"/>
        <v>0.12508229098090851</v>
      </c>
      <c r="J72" s="7">
        <f t="shared" si="115"/>
        <v>0.15557020435069216</v>
      </c>
      <c r="K72" s="7">
        <f t="shared" si="115"/>
        <v>3.0124426981008513E-2</v>
      </c>
      <c r="L72" s="7">
        <f t="shared" si="115"/>
        <v>9.5487246566383258E-2</v>
      </c>
      <c r="M72" s="7">
        <f t="shared" si="115"/>
        <v>9.3791281373844126E-2</v>
      </c>
      <c r="N72" s="7">
        <f t="shared" si="115"/>
        <v>7.0907886017229957E-2</v>
      </c>
      <c r="O72" s="7">
        <f t="shared" si="115"/>
        <v>7.8200692041522496E-2</v>
      </c>
      <c r="P72" s="7">
        <f t="shared" si="115"/>
        <v>-2.5144061841180605</v>
      </c>
      <c r="Q72" s="7">
        <f t="shared" si="115"/>
        <v>-0.47666905958363243</v>
      </c>
      <c r="R72" s="7">
        <f t="shared" si="115"/>
        <v>4.3354655294953803E-2</v>
      </c>
      <c r="S72" s="7">
        <f t="shared" si="115"/>
        <v>-0.26183431952662722</v>
      </c>
      <c r="T72" s="7">
        <f t="shared" si="115"/>
        <v>9.6726190476190479E-2</v>
      </c>
      <c r="U72" s="7">
        <f t="shared" si="115"/>
        <v>-3.7313432835820895E-3</v>
      </c>
      <c r="V72" s="7">
        <f t="shared" si="115"/>
        <v>8.0536912751677847E-2</v>
      </c>
      <c r="W72" s="7">
        <f t="shared" si="115"/>
        <v>0.10060514372163389</v>
      </c>
      <c r="X72" s="7">
        <f t="shared" si="115"/>
        <v>3.0234315948601664E-3</v>
      </c>
      <c r="Y72" s="7">
        <f t="shared" si="115"/>
        <v>3.2428355957767725E-2</v>
      </c>
      <c r="Z72" s="7">
        <f t="shared" si="115"/>
        <v>-0.2258308157099698</v>
      </c>
      <c r="AA72" s="7">
        <f t="shared" si="115"/>
        <v>-7.4962518740629683E-4</v>
      </c>
      <c r="AB72" s="7">
        <f t="shared" si="115"/>
        <v>7.6062639821029079E-2</v>
      </c>
      <c r="AC72" s="7">
        <f t="shared" si="115"/>
        <v>-0.14732142857142858</v>
      </c>
      <c r="AD72" s="7">
        <f t="shared" si="115"/>
        <v>-0.10589112602535421</v>
      </c>
      <c r="AE72" s="7">
        <f t="shared" si="115"/>
        <v>0.14962962962962964</v>
      </c>
      <c r="AF72" s="7">
        <f t="shared" si="115"/>
        <v>-0.15254237288135594</v>
      </c>
      <c r="AG72" s="7">
        <f t="shared" si="115"/>
        <v>0.16752387950036737</v>
      </c>
      <c r="AH72" s="7">
        <f t="shared" si="115"/>
        <v>9.1310751104565532E-2</v>
      </c>
      <c r="AI72" s="7">
        <f t="shared" si="115"/>
        <v>0.21245421245421245</v>
      </c>
      <c r="AJ72" s="7">
        <f t="shared" si="115"/>
        <v>0.10656934306569343</v>
      </c>
      <c r="AK72" s="7">
        <f t="shared" si="115"/>
        <v>0.20626822157434402</v>
      </c>
      <c r="AL72" s="7">
        <f t="shared" si="115"/>
        <v>-0.4489051094890511</v>
      </c>
      <c r="AM72" s="7">
        <f t="shared" si="115"/>
        <v>0.21568627450980393</v>
      </c>
      <c r="AN72" s="7">
        <f t="shared" si="115"/>
        <v>0.40260680666183923</v>
      </c>
      <c r="AO72" s="7">
        <f t="shared" si="115"/>
        <v>0.31236442516268981</v>
      </c>
      <c r="AP72" s="7">
        <f t="shared" si="115"/>
        <v>0.27878349022447502</v>
      </c>
      <c r="AQ72" s="7">
        <f t="shared" si="115"/>
        <v>0.30547550432276654</v>
      </c>
      <c r="AR72" s="7">
        <f t="shared" si="115"/>
        <v>0.11071171818835371</v>
      </c>
      <c r="AS72" s="7">
        <f t="shared" si="115"/>
        <v>9.0452261306532666E-2</v>
      </c>
      <c r="AT72" s="7">
        <f t="shared" si="115"/>
        <v>2.8706896551724137</v>
      </c>
      <c r="AU72" s="7">
        <f t="shared" ref="AU72:BP72" si="116">AU70/AU71</f>
        <v>7.8717618434235009E-3</v>
      </c>
      <c r="AV72" s="7">
        <f t="shared" si="116"/>
        <v>-0.10773265291657806</v>
      </c>
      <c r="AW72" s="7">
        <f t="shared" si="116"/>
        <v>-0.11810748479977635</v>
      </c>
      <c r="AX72" s="7">
        <f t="shared" si="116"/>
        <v>0.13834968588974378</v>
      </c>
      <c r="AY72" s="7">
        <f t="shared" si="116"/>
        <v>0.23049270458870796</v>
      </c>
      <c r="AZ72" s="7">
        <f t="shared" si="116"/>
        <v>0.12101597129388589</v>
      </c>
      <c r="BA72" s="7">
        <f t="shared" si="116"/>
        <v>0.28445006321112515</v>
      </c>
      <c r="BB72" s="7">
        <f t="shared" si="116"/>
        <v>5.6246923996343949E-2</v>
      </c>
      <c r="BC72" s="7">
        <f t="shared" si="116"/>
        <v>6.7936685810337585E-2</v>
      </c>
      <c r="BD72" s="7">
        <f t="shared" si="116"/>
        <v>0.1720640693851857</v>
      </c>
      <c r="BE72" s="7">
        <f t="shared" si="116"/>
        <v>0.12154233025984913</v>
      </c>
      <c r="BF72" s="7">
        <f t="shared" si="116"/>
        <v>8.6682977979727363E-2</v>
      </c>
      <c r="BG72" s="7">
        <f t="shared" si="116"/>
        <v>0.20894274968658588</v>
      </c>
      <c r="BH72" s="7">
        <f t="shared" si="116"/>
        <v>0.18047296362882034</v>
      </c>
      <c r="BI72" s="7">
        <f t="shared" si="116"/>
        <v>0.34414475930351657</v>
      </c>
      <c r="BJ72" s="7">
        <f t="shared" si="116"/>
        <v>0.34686854783207155</v>
      </c>
      <c r="BK72" s="7">
        <f t="shared" si="116"/>
        <v>0.33710160719150095</v>
      </c>
      <c r="BL72" s="7">
        <f t="shared" si="116"/>
        <v>0.22031823745410037</v>
      </c>
      <c r="BM72" s="7">
        <f t="shared" si="116"/>
        <v>0.31778366266041963</v>
      </c>
      <c r="BN72" s="7">
        <f t="shared" si="116"/>
        <v>0.3839619435949711</v>
      </c>
      <c r="BO72" s="7">
        <f t="shared" si="116"/>
        <v>0.45626861630111021</v>
      </c>
      <c r="BP72" s="7">
        <f t="shared" si="116"/>
        <v>0.53854990202040676</v>
      </c>
      <c r="BQ72" s="7">
        <f t="shared" ref="BQ72:BR72" si="117">BQ70/BQ71</f>
        <v>0.50954984139839377</v>
      </c>
      <c r="BR72" s="10">
        <f t="shared" si="117"/>
        <v>0.45322722061104742</v>
      </c>
      <c r="BS72" s="10">
        <f t="shared" ref="BS72:BT72" si="118">BS70/BS71</f>
        <v>0.90309111724695257</v>
      </c>
      <c r="BT72" s="10">
        <f t="shared" si="118"/>
        <v>0.61692286763705617</v>
      </c>
      <c r="BU72" s="57"/>
      <c r="BV72" s="57"/>
      <c r="CA72" s="7">
        <f>SUM(C72:F72)</f>
        <v>-0.6800937923242476</v>
      </c>
      <c r="CB72" s="7">
        <f>SUM(G72:J72)</f>
        <v>-0.70354858968455269</v>
      </c>
      <c r="CC72" s="7">
        <f>SUM(K72:N72)</f>
        <v>0.29031084093846588</v>
      </c>
      <c r="CD72" s="7">
        <f>SUM(O72:R72)</f>
        <v>-2.8695198963652166</v>
      </c>
      <c r="CE72" s="7">
        <f>SUM(S72:V72)</f>
        <v>-8.8302559582341011E-2</v>
      </c>
      <c r="CF72" s="7">
        <f>SUM(W72:Z72)</f>
        <v>-8.9773884435708023E-2</v>
      </c>
      <c r="CG72" s="7">
        <f>SUM(AA72:AD72)</f>
        <v>-0.17789953996315999</v>
      </c>
      <c r="CH72" s="7">
        <f>SUM(AE72:AH72)</f>
        <v>0.25592188735320659</v>
      </c>
      <c r="CI72" s="7">
        <f>SUM(AI72:AL72)</f>
        <v>7.6386667605198799E-2</v>
      </c>
      <c r="CJ72" s="7">
        <f>SUM(AM72:AP72)</f>
        <v>1.209440996558808</v>
      </c>
      <c r="CK72" s="7">
        <f>SUM(AQ72:AT72)</f>
        <v>3.3773291389900666</v>
      </c>
      <c r="CL72" s="7">
        <f>SUM(AU72:AX72)</f>
        <v>-7.9618689983187135E-2</v>
      </c>
      <c r="CM72" s="7">
        <f>SUM(AY72:BB72)</f>
        <v>0.69220566309006282</v>
      </c>
      <c r="CN72" s="7">
        <f>SUM(BC72:BF72)</f>
        <v>0.44822606343509974</v>
      </c>
      <c r="CO72" s="7">
        <f>SUM(BG72:BJ72)</f>
        <v>1.0804290204509943</v>
      </c>
      <c r="CP72" s="7">
        <f>SUM(BK72:BN72)</f>
        <v>1.259165450900992</v>
      </c>
      <c r="CQ72" s="7">
        <f>SUM(BO72:BR72)</f>
        <v>1.9575955803309582</v>
      </c>
      <c r="CR72" s="38"/>
      <c r="CS72" s="38"/>
      <c r="CT72" s="57"/>
      <c r="CU72" s="57"/>
      <c r="CV72" s="57"/>
      <c r="CW72" s="57"/>
      <c r="CX72" s="57"/>
      <c r="CY72" s="57"/>
      <c r="CZ72" s="57"/>
      <c r="DA72" s="57"/>
      <c r="DB72" s="57"/>
      <c r="DC72" s="57"/>
      <c r="DD72" s="57"/>
      <c r="DE72" s="57"/>
      <c r="DF72" s="57"/>
      <c r="DG72" s="57"/>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c r="EJ72" s="57"/>
      <c r="EK72" s="57"/>
      <c r="EL72" s="57"/>
      <c r="EM72" s="57"/>
      <c r="EN72" s="57"/>
      <c r="EO72" s="57"/>
      <c r="EP72" s="57"/>
    </row>
    <row r="73" spans="2:146" s="4" customFormat="1" ht="1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3"/>
      <c r="BS73" s="3"/>
      <c r="BT73" s="3"/>
      <c r="BU73" s="57"/>
      <c r="BV73" s="57"/>
      <c r="CR73" s="57"/>
      <c r="CS73" s="57"/>
      <c r="CT73" s="57"/>
      <c r="CU73" s="57"/>
      <c r="CV73" s="57"/>
      <c r="CW73" s="57"/>
      <c r="CX73" s="57"/>
      <c r="CY73" s="57"/>
      <c r="CZ73" s="57"/>
      <c r="DA73" s="57"/>
      <c r="DB73" s="57"/>
      <c r="DC73" s="57"/>
      <c r="DD73" s="57"/>
      <c r="DE73" s="57"/>
      <c r="DF73" s="57"/>
      <c r="DG73" s="57"/>
      <c r="DH73" s="57"/>
      <c r="DI73" s="57"/>
      <c r="DJ73" s="57"/>
      <c r="DK73" s="57"/>
      <c r="DL73" s="57"/>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row>
    <row r="74" spans="2:146" s="4" customFormat="1">
      <c r="B74" s="4" t="s">
        <v>17</v>
      </c>
      <c r="C74" s="12">
        <f t="shared" ref="C74:AH74" si="119">C52/C50</f>
        <v>0.69800995024875623</v>
      </c>
      <c r="D74" s="12">
        <f t="shared" si="119"/>
        <v>0.6962391513982642</v>
      </c>
      <c r="E74" s="12">
        <f t="shared" si="119"/>
        <v>0.68938271604938273</v>
      </c>
      <c r="F74" s="12">
        <f t="shared" si="119"/>
        <v>0.65848965848965846</v>
      </c>
      <c r="G74" s="12">
        <f t="shared" si="119"/>
        <v>0.66173469387755102</v>
      </c>
      <c r="H74" s="12">
        <f t="shared" si="119"/>
        <v>0.66078838174273857</v>
      </c>
      <c r="I74" s="12">
        <f t="shared" si="119"/>
        <v>0.67484342379958251</v>
      </c>
      <c r="J74" s="12">
        <f t="shared" si="119"/>
        <v>0.67082917082917082</v>
      </c>
      <c r="K74" s="12">
        <f t="shared" si="119"/>
        <v>0.67220779220779225</v>
      </c>
      <c r="L74" s="12">
        <f t="shared" si="119"/>
        <v>0.65164556962025322</v>
      </c>
      <c r="M74" s="12">
        <f t="shared" si="119"/>
        <v>0.63713980789754532</v>
      </c>
      <c r="N74" s="12">
        <f t="shared" si="119"/>
        <v>0.6428571428571429</v>
      </c>
      <c r="O74" s="12">
        <f t="shared" si="119"/>
        <v>0.66184351554126475</v>
      </c>
      <c r="P74" s="12">
        <f t="shared" si="119"/>
        <v>0.6838074398249453</v>
      </c>
      <c r="Q74" s="12">
        <f t="shared" si="119"/>
        <v>0.67838616714697408</v>
      </c>
      <c r="R74" s="12">
        <f t="shared" si="119"/>
        <v>0.68021978021978025</v>
      </c>
      <c r="S74" s="12">
        <f t="shared" si="119"/>
        <v>0.67177739920499713</v>
      </c>
      <c r="T74" s="12">
        <f t="shared" si="119"/>
        <v>0.70702045328911001</v>
      </c>
      <c r="U74" s="12">
        <f t="shared" si="119"/>
        <v>0.70605187319884721</v>
      </c>
      <c r="V74" s="12">
        <f t="shared" si="119"/>
        <v>0.69749727965179542</v>
      </c>
      <c r="W74" s="12">
        <f t="shared" si="119"/>
        <v>0.69729425028184888</v>
      </c>
      <c r="X74" s="12">
        <f t="shared" si="119"/>
        <v>0.69941270688734647</v>
      </c>
      <c r="Y74" s="12">
        <f t="shared" si="119"/>
        <v>0.70205850487540633</v>
      </c>
      <c r="Z74" s="12">
        <f t="shared" si="119"/>
        <v>0.70323264440911504</v>
      </c>
      <c r="AA74" s="12">
        <f t="shared" si="119"/>
        <v>0.70588235294117652</v>
      </c>
      <c r="AB74" s="12">
        <f t="shared" si="119"/>
        <v>0.70699945740640258</v>
      </c>
      <c r="AC74" s="12">
        <f t="shared" si="119"/>
        <v>0.71451271186440679</v>
      </c>
      <c r="AD74" s="12">
        <f t="shared" si="119"/>
        <v>0.70980788675429729</v>
      </c>
      <c r="AE74" s="12">
        <f t="shared" si="119"/>
        <v>0.7082484725050916</v>
      </c>
      <c r="AF74" s="12">
        <f t="shared" si="119"/>
        <v>0.69943555973659455</v>
      </c>
      <c r="AG74" s="12">
        <f t="shared" si="119"/>
        <v>0.71781472684085512</v>
      </c>
      <c r="AH74" s="12">
        <f t="shared" si="119"/>
        <v>0.71793701506161567</v>
      </c>
      <c r="AI74" s="12">
        <f t="shared" ref="AI74:BT74" si="120">AI52/AI50</f>
        <v>0.69907407407407407</v>
      </c>
      <c r="AJ74" s="12">
        <f t="shared" si="120"/>
        <v>0.71998227735932652</v>
      </c>
      <c r="AK74" s="12">
        <f t="shared" si="120"/>
        <v>0.71332133213321336</v>
      </c>
      <c r="AL74" s="12">
        <f t="shared" si="120"/>
        <v>0.72021585720215853</v>
      </c>
      <c r="AM74" s="12">
        <f t="shared" si="120"/>
        <v>0.71752837326607821</v>
      </c>
      <c r="AN74" s="12">
        <f t="shared" si="120"/>
        <v>0.70321285140562251</v>
      </c>
      <c r="AO74" s="12">
        <f t="shared" si="120"/>
        <v>0.7191809444212286</v>
      </c>
      <c r="AP74" s="12">
        <f t="shared" si="120"/>
        <v>0.71495509566575555</v>
      </c>
      <c r="AQ74" s="12">
        <f t="shared" si="120"/>
        <v>0.70718010429201761</v>
      </c>
      <c r="AR74" s="12">
        <f t="shared" si="120"/>
        <v>0.71189661725579623</v>
      </c>
      <c r="AS74" s="12">
        <f t="shared" si="120"/>
        <v>0.71296638345031405</v>
      </c>
      <c r="AT74" s="12">
        <f t="shared" si="120"/>
        <v>0.70695592286501374</v>
      </c>
      <c r="AU74" s="12">
        <f t="shared" si="120"/>
        <v>0.68305151395988994</v>
      </c>
      <c r="AV74" s="12">
        <f t="shared" si="120"/>
        <v>0.60509236145781331</v>
      </c>
      <c r="AW74" s="12">
        <f t="shared" si="120"/>
        <v>0.67318540804813842</v>
      </c>
      <c r="AX74" s="12">
        <f t="shared" si="120"/>
        <v>0.63109305760709011</v>
      </c>
      <c r="AY74" s="12">
        <f t="shared" si="120"/>
        <v>0.67514534883720934</v>
      </c>
      <c r="AZ74" s="12">
        <f t="shared" si="120"/>
        <v>0.69288267793305169</v>
      </c>
      <c r="BA74" s="12">
        <f t="shared" si="120"/>
        <v>0.69304229195088674</v>
      </c>
      <c r="BB74" s="12">
        <f t="shared" si="120"/>
        <v>0.68915893827950114</v>
      </c>
      <c r="BC74" s="12">
        <f t="shared" si="120"/>
        <v>0.68440185062789161</v>
      </c>
      <c r="BD74" s="12">
        <f t="shared" si="120"/>
        <v>0.68834771886559798</v>
      </c>
      <c r="BE74" s="12">
        <f t="shared" si="120"/>
        <v>0.69116719242902214</v>
      </c>
      <c r="BF74" s="12">
        <f t="shared" si="120"/>
        <v>0.68815545959284397</v>
      </c>
      <c r="BG74" s="12">
        <f t="shared" si="120"/>
        <v>0.69312481557981709</v>
      </c>
      <c r="BH74" s="12">
        <f t="shared" si="120"/>
        <v>0.70602945262572936</v>
      </c>
      <c r="BI74" s="12">
        <f t="shared" si="120"/>
        <v>0.68783668840374257</v>
      </c>
      <c r="BJ74" s="12">
        <f t="shared" si="120"/>
        <v>0.69234899328859056</v>
      </c>
      <c r="BK74" s="12">
        <f t="shared" si="120"/>
        <v>0.68654394607207669</v>
      </c>
      <c r="BL74" s="12">
        <f t="shared" si="120"/>
        <v>0.69174757281553401</v>
      </c>
      <c r="BM74" s="12">
        <f t="shared" si="120"/>
        <v>0.68828700403896415</v>
      </c>
      <c r="BN74" s="12">
        <f t="shared" si="120"/>
        <v>0.67857925893444415</v>
      </c>
      <c r="BO74" s="12">
        <f t="shared" si="120"/>
        <v>0.68839802702123098</v>
      </c>
      <c r="BP74" s="12">
        <f t="shared" si="120"/>
        <v>0.67654613712705003</v>
      </c>
      <c r="BQ74" s="12">
        <f t="shared" si="120"/>
        <v>0.69930898321816382</v>
      </c>
      <c r="BR74" s="11">
        <f t="shared" si="120"/>
        <v>0.69580022701475597</v>
      </c>
      <c r="BS74" s="11">
        <f t="shared" si="120"/>
        <v>0.69446579554189081</v>
      </c>
      <c r="BT74" s="11">
        <f t="shared" si="120"/>
        <v>0.70709298052186698</v>
      </c>
      <c r="BU74" s="57"/>
      <c r="BV74" s="57"/>
      <c r="CA74" s="12">
        <f t="shared" ref="CA74:CQ74" si="121">CA52/CA50</f>
        <v>0.6853932584269663</v>
      </c>
      <c r="CB74" s="12">
        <f t="shared" si="121"/>
        <v>0.66705098642070204</v>
      </c>
      <c r="CC74" s="12">
        <f t="shared" si="121"/>
        <v>0.65114143269483071</v>
      </c>
      <c r="CD74" s="12">
        <f t="shared" si="121"/>
        <v>0.67595530417988692</v>
      </c>
      <c r="CE74" s="12">
        <f t="shared" si="121"/>
        <v>0.69564608707825848</v>
      </c>
      <c r="CF74" s="12">
        <f t="shared" si="121"/>
        <v>0.70054200542005418</v>
      </c>
      <c r="CG74" s="12">
        <f t="shared" si="121"/>
        <v>0.709375417948375</v>
      </c>
      <c r="CH74" s="12">
        <f t="shared" si="121"/>
        <v>0.7109468161221083</v>
      </c>
      <c r="CI74" s="12">
        <f t="shared" si="121"/>
        <v>0.71341732979664019</v>
      </c>
      <c r="CJ74" s="12">
        <f t="shared" si="121"/>
        <v>0.71363127354168787</v>
      </c>
      <c r="CK74" s="12">
        <f t="shared" si="121"/>
        <v>0.70973451327433623</v>
      </c>
      <c r="CL74" s="12">
        <f t="shared" si="121"/>
        <v>0.65045899324119838</v>
      </c>
      <c r="CM74" s="12">
        <f t="shared" si="121"/>
        <v>0.68783647375504708</v>
      </c>
      <c r="CN74" s="12">
        <f t="shared" si="121"/>
        <v>0.68806181990222359</v>
      </c>
      <c r="CO74" s="12">
        <f t="shared" si="121"/>
        <v>0.694873595505618</v>
      </c>
      <c r="CP74" s="12">
        <f t="shared" si="121"/>
        <v>0.68609303158774704</v>
      </c>
      <c r="CQ74" s="12">
        <f t="shared" si="121"/>
        <v>0.69011207970112076</v>
      </c>
      <c r="CR74" s="63">
        <v>0.68200000000000005</v>
      </c>
      <c r="CS74" s="63">
        <v>0.69499999999999995</v>
      </c>
      <c r="CT74" s="63">
        <v>0.69799999999999995</v>
      </c>
      <c r="CU74" s="63">
        <v>0.7</v>
      </c>
      <c r="CV74" s="63">
        <v>0.70250000000000001</v>
      </c>
      <c r="CW74" s="63">
        <v>0.70499999999999996</v>
      </c>
      <c r="CX74" s="63">
        <v>0.70750000000000002</v>
      </c>
      <c r="CY74" s="63">
        <v>0.71</v>
      </c>
      <c r="CZ74" s="63">
        <v>0.71</v>
      </c>
      <c r="DA74" s="63">
        <v>0.71</v>
      </c>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row>
    <row r="75" spans="2:146" s="4" customFormat="1">
      <c r="B75" s="4" t="s">
        <v>13</v>
      </c>
      <c r="C75" s="12">
        <f t="shared" ref="C75:AH75" si="122">C53/C50</f>
        <v>0.32388059701492539</v>
      </c>
      <c r="D75" s="12">
        <f t="shared" si="122"/>
        <v>0.3235294117647059</v>
      </c>
      <c r="E75" s="12">
        <f t="shared" si="122"/>
        <v>0.32839506172839505</v>
      </c>
      <c r="F75" s="12">
        <f t="shared" si="122"/>
        <v>0.31168831168831168</v>
      </c>
      <c r="G75" s="12">
        <f t="shared" si="122"/>
        <v>0.32040816326530613</v>
      </c>
      <c r="H75" s="12">
        <f t="shared" si="122"/>
        <v>0.32883817427385892</v>
      </c>
      <c r="I75" s="12">
        <f t="shared" si="122"/>
        <v>0.33089770354906056</v>
      </c>
      <c r="J75" s="12">
        <f t="shared" si="122"/>
        <v>0.34265734265734266</v>
      </c>
      <c r="K75" s="12">
        <f t="shared" si="122"/>
        <v>0.31272727272727274</v>
      </c>
      <c r="L75" s="12">
        <f t="shared" si="122"/>
        <v>0.32860759493670888</v>
      </c>
      <c r="M75" s="12">
        <f t="shared" si="122"/>
        <v>0.33884738527214514</v>
      </c>
      <c r="N75" s="12">
        <f t="shared" si="122"/>
        <v>0.32900432900432902</v>
      </c>
      <c r="O75" s="12">
        <f t="shared" si="122"/>
        <v>0.35852090032154343</v>
      </c>
      <c r="P75" s="12">
        <f t="shared" si="122"/>
        <v>0.35503282275711162</v>
      </c>
      <c r="Q75" s="12">
        <f t="shared" si="122"/>
        <v>0.32795389048991352</v>
      </c>
      <c r="R75" s="12">
        <f t="shared" si="122"/>
        <v>0.35274725274725277</v>
      </c>
      <c r="S75" s="12">
        <f t="shared" si="122"/>
        <v>0.34525837592277114</v>
      </c>
      <c r="T75" s="12">
        <f t="shared" si="122"/>
        <v>0.36539524599226092</v>
      </c>
      <c r="U75" s="12">
        <f t="shared" si="122"/>
        <v>0.37925072046109509</v>
      </c>
      <c r="V75" s="12">
        <f t="shared" si="122"/>
        <v>0.40859630032644179</v>
      </c>
      <c r="W75" s="12">
        <f t="shared" si="122"/>
        <v>0.37542277339346108</v>
      </c>
      <c r="X75" s="12">
        <f t="shared" si="122"/>
        <v>0.39668980245595303</v>
      </c>
      <c r="Y75" s="12">
        <f t="shared" si="122"/>
        <v>0.40140845070422537</v>
      </c>
      <c r="Z75" s="12">
        <f t="shared" si="122"/>
        <v>0.39851616322204558</v>
      </c>
      <c r="AA75" s="12">
        <f t="shared" si="122"/>
        <v>0.37782805429864252</v>
      </c>
      <c r="AB75" s="12">
        <f t="shared" si="122"/>
        <v>0.37981551817688552</v>
      </c>
      <c r="AC75" s="12">
        <f t="shared" si="122"/>
        <v>0.3861228813559322</v>
      </c>
      <c r="AD75" s="12">
        <f t="shared" si="122"/>
        <v>0.39231547017189078</v>
      </c>
      <c r="AE75" s="12">
        <f t="shared" si="122"/>
        <v>0.36456211812627293</v>
      </c>
      <c r="AF75" s="12">
        <f t="shared" si="122"/>
        <v>0.36641580432737536</v>
      </c>
      <c r="AG75" s="12">
        <f t="shared" si="122"/>
        <v>0.36674584323040382</v>
      </c>
      <c r="AH75" s="12">
        <f t="shared" si="122"/>
        <v>0.37973528069374712</v>
      </c>
      <c r="AI75" s="12">
        <f t="shared" ref="AI75:BT75" si="123">AI53/AI50</f>
        <v>0.36759259259259258</v>
      </c>
      <c r="AJ75" s="12">
        <f t="shared" si="123"/>
        <v>0.36109880372175457</v>
      </c>
      <c r="AK75" s="12">
        <f t="shared" si="123"/>
        <v>0.36003600360036003</v>
      </c>
      <c r="AL75" s="12">
        <f t="shared" si="123"/>
        <v>0.36737235367372356</v>
      </c>
      <c r="AM75" s="12">
        <f t="shared" si="123"/>
        <v>0.36149642707019758</v>
      </c>
      <c r="AN75" s="12">
        <f t="shared" si="123"/>
        <v>0.35582329317269074</v>
      </c>
      <c r="AO75" s="12">
        <f t="shared" si="123"/>
        <v>0.36356038445465944</v>
      </c>
      <c r="AP75" s="12">
        <f t="shared" si="123"/>
        <v>0.37212026552128075</v>
      </c>
      <c r="AQ75" s="12">
        <f t="shared" si="123"/>
        <v>0.34857601283594064</v>
      </c>
      <c r="AR75" s="12">
        <f t="shared" si="123"/>
        <v>0.36792094260737362</v>
      </c>
      <c r="AS75" s="12">
        <f t="shared" si="123"/>
        <v>0.37384558551902475</v>
      </c>
      <c r="AT75" s="12">
        <f t="shared" si="123"/>
        <v>0.37603305785123969</v>
      </c>
      <c r="AU75" s="12">
        <f t="shared" si="123"/>
        <v>0.38458513566653557</v>
      </c>
      <c r="AV75" s="12">
        <f t="shared" si="123"/>
        <v>0.39840239640539193</v>
      </c>
      <c r="AW75" s="12">
        <f t="shared" si="123"/>
        <v>0.37006393380970287</v>
      </c>
      <c r="AX75" s="12">
        <f t="shared" si="123"/>
        <v>0.37924667651403249</v>
      </c>
      <c r="AY75" s="12">
        <f t="shared" si="123"/>
        <v>0.37027616279069769</v>
      </c>
      <c r="AZ75" s="12">
        <f t="shared" si="123"/>
        <v>0.36431589210269744</v>
      </c>
      <c r="BA75" s="12">
        <f t="shared" si="123"/>
        <v>0.36357435197817189</v>
      </c>
      <c r="BB75" s="12">
        <f t="shared" si="123"/>
        <v>0.36872401662935722</v>
      </c>
      <c r="BC75" s="12">
        <f t="shared" si="123"/>
        <v>0.35029742233972239</v>
      </c>
      <c r="BD75" s="12">
        <f t="shared" si="123"/>
        <v>0.35912453760789148</v>
      </c>
      <c r="BE75" s="12">
        <f t="shared" si="123"/>
        <v>0.35709779179810724</v>
      </c>
      <c r="BF75" s="12">
        <f t="shared" si="123"/>
        <v>0.35872917951881556</v>
      </c>
      <c r="BG75" s="12">
        <f t="shared" si="123"/>
        <v>0.35851283564473296</v>
      </c>
      <c r="BH75" s="12">
        <f t="shared" si="123"/>
        <v>0.37621561544873577</v>
      </c>
      <c r="BI75" s="12">
        <f t="shared" si="123"/>
        <v>0.3521406294301106</v>
      </c>
      <c r="BJ75" s="12">
        <f t="shared" si="123"/>
        <v>0.37020134228187918</v>
      </c>
      <c r="BK75" s="12">
        <f t="shared" si="123"/>
        <v>0.35364272750842624</v>
      </c>
      <c r="BL75" s="12">
        <f t="shared" si="123"/>
        <v>0.35097087378640779</v>
      </c>
      <c r="BM75" s="12">
        <f t="shared" si="123"/>
        <v>0.37110952720361129</v>
      </c>
      <c r="BN75" s="12">
        <f t="shared" si="123"/>
        <v>0.3534312650734488</v>
      </c>
      <c r="BO75" s="12">
        <f t="shared" si="123"/>
        <v>0.34248337979841303</v>
      </c>
      <c r="BP75" s="12">
        <f t="shared" si="123"/>
        <v>0.33906342620035568</v>
      </c>
      <c r="BQ75" s="12">
        <f t="shared" si="123"/>
        <v>0.3437314906219151</v>
      </c>
      <c r="BR75" s="11">
        <f t="shared" si="123"/>
        <v>0.34695421869088156</v>
      </c>
      <c r="BS75" s="11">
        <f t="shared" si="123"/>
        <v>0.34223674096848578</v>
      </c>
      <c r="BT75" s="11">
        <f t="shared" si="123"/>
        <v>0.33131201764057333</v>
      </c>
      <c r="BU75" s="57"/>
      <c r="BV75" s="57"/>
      <c r="CA75" s="12">
        <f t="shared" ref="CA75:CQ75" si="124">CA53/CA50</f>
        <v>0.32181240840254033</v>
      </c>
      <c r="CB75" s="12">
        <f t="shared" si="124"/>
        <v>0.33077120163976426</v>
      </c>
      <c r="CC75" s="12">
        <f t="shared" si="124"/>
        <v>0.32721070585148254</v>
      </c>
      <c r="CD75" s="12">
        <f t="shared" si="124"/>
        <v>0.34887570699406817</v>
      </c>
      <c r="CE75" s="12">
        <f t="shared" si="124"/>
        <v>0.37491250174996499</v>
      </c>
      <c r="CF75" s="12">
        <f t="shared" si="124"/>
        <v>0.39322493224932248</v>
      </c>
      <c r="CG75" s="12">
        <f t="shared" si="124"/>
        <v>0.38424501805536981</v>
      </c>
      <c r="CH75" s="12">
        <f t="shared" si="124"/>
        <v>0.36954447889339376</v>
      </c>
      <c r="CI75" s="12">
        <f t="shared" si="124"/>
        <v>0.36405835543766579</v>
      </c>
      <c r="CJ75" s="12">
        <f t="shared" si="124"/>
        <v>0.36333095795581799</v>
      </c>
      <c r="CK75" s="12">
        <f t="shared" si="124"/>
        <v>0.36711690731252911</v>
      </c>
      <c r="CL75" s="12">
        <f t="shared" si="124"/>
        <v>0.38202360536669022</v>
      </c>
      <c r="CM75" s="12">
        <f t="shared" si="124"/>
        <v>0.36667227456258411</v>
      </c>
      <c r="CN75" s="12">
        <f t="shared" si="124"/>
        <v>0.35641066077905692</v>
      </c>
      <c r="CO75" s="12">
        <f t="shared" si="124"/>
        <v>0.36446629213483145</v>
      </c>
      <c r="CP75" s="12">
        <f t="shared" si="124"/>
        <v>0.35731772854839672</v>
      </c>
      <c r="CQ75" s="12">
        <f t="shared" si="124"/>
        <v>0.34311332503113323</v>
      </c>
      <c r="CR75" s="63">
        <v>0.35099999999999998</v>
      </c>
      <c r="CS75" s="63">
        <v>0.34899999999999998</v>
      </c>
      <c r="CT75" s="63">
        <v>0.34699999999999998</v>
      </c>
      <c r="CU75" s="63">
        <v>0.34599999999999997</v>
      </c>
      <c r="CV75" s="63">
        <v>0.34499999999999997</v>
      </c>
      <c r="CW75" s="63">
        <v>0.34399999999999997</v>
      </c>
      <c r="CX75" s="63">
        <v>0.34300000000000003</v>
      </c>
      <c r="CY75" s="63">
        <v>0.34200000000000003</v>
      </c>
      <c r="CZ75" s="63">
        <v>0.34100000000000003</v>
      </c>
      <c r="DA75" s="63">
        <v>0.34</v>
      </c>
      <c r="DB75" s="57"/>
      <c r="DC75" s="57"/>
      <c r="DD75" s="57"/>
      <c r="DE75" s="57"/>
      <c r="DF75" s="57"/>
      <c r="DG75" s="57"/>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row>
    <row r="76" spans="2:146" s="4" customFormat="1">
      <c r="B76" s="4" t="s">
        <v>14</v>
      </c>
      <c r="C76" s="12">
        <f t="shared" ref="C76:AH76" si="125">C54/C50</f>
        <v>0.12786069651741294</v>
      </c>
      <c r="D76" s="12">
        <f t="shared" si="125"/>
        <v>0.13500482160077146</v>
      </c>
      <c r="E76" s="12">
        <f t="shared" si="125"/>
        <v>0.12740740740740741</v>
      </c>
      <c r="F76" s="12">
        <f t="shared" si="125"/>
        <v>0.12554112554112554</v>
      </c>
      <c r="G76" s="12">
        <f t="shared" si="125"/>
        <v>0.12908163265306122</v>
      </c>
      <c r="H76" s="12">
        <f t="shared" si="125"/>
        <v>0.12033195020746888</v>
      </c>
      <c r="I76" s="12">
        <f t="shared" si="125"/>
        <v>0.12004175365344467</v>
      </c>
      <c r="J76" s="12">
        <f t="shared" si="125"/>
        <v>0.11188811188811189</v>
      </c>
      <c r="K76" s="12">
        <f t="shared" si="125"/>
        <v>0.11012987012987013</v>
      </c>
      <c r="L76" s="12">
        <f t="shared" si="125"/>
        <v>0.11291139240506329</v>
      </c>
      <c r="M76" s="12">
        <f t="shared" si="125"/>
        <v>0.12219850586979722</v>
      </c>
      <c r="N76" s="12">
        <f t="shared" si="125"/>
        <v>0.125</v>
      </c>
      <c r="O76" s="12">
        <f t="shared" si="125"/>
        <v>0.11521972132904609</v>
      </c>
      <c r="P76" s="12">
        <f t="shared" si="125"/>
        <v>0.11652078774617068</v>
      </c>
      <c r="Q76" s="12">
        <f t="shared" si="125"/>
        <v>0.12680115273775217</v>
      </c>
      <c r="R76" s="12">
        <f t="shared" si="125"/>
        <v>0.13076923076923078</v>
      </c>
      <c r="S76" s="12">
        <f t="shared" si="125"/>
        <v>0.11584327086882454</v>
      </c>
      <c r="T76" s="12">
        <f t="shared" si="125"/>
        <v>0.12327252625760088</v>
      </c>
      <c r="U76" s="12">
        <f t="shared" si="125"/>
        <v>0.12507204610951009</v>
      </c>
      <c r="V76" s="12">
        <f t="shared" si="125"/>
        <v>0.11806311207834602</v>
      </c>
      <c r="W76" s="12">
        <f t="shared" si="125"/>
        <v>0.10766629086809471</v>
      </c>
      <c r="X76" s="12">
        <f t="shared" si="125"/>
        <v>0.10998398291510945</v>
      </c>
      <c r="Y76" s="12">
        <f t="shared" si="125"/>
        <v>0.11484290357529794</v>
      </c>
      <c r="Z76" s="12">
        <f t="shared" si="125"/>
        <v>0.11022787493375728</v>
      </c>
      <c r="AA76" s="12">
        <f t="shared" si="125"/>
        <v>0.10859728506787331</v>
      </c>
      <c r="AB76" s="12">
        <f t="shared" si="125"/>
        <v>0.11937059142702117</v>
      </c>
      <c r="AC76" s="12">
        <f t="shared" si="125"/>
        <v>0.11705508474576271</v>
      </c>
      <c r="AD76" s="12">
        <f t="shared" si="125"/>
        <v>0.12285136501516683</v>
      </c>
      <c r="AE76" s="12">
        <f t="shared" si="125"/>
        <v>0.10692464358452139</v>
      </c>
      <c r="AF76" s="12">
        <f t="shared" si="125"/>
        <v>0.10442144873000941</v>
      </c>
      <c r="AG76" s="12">
        <f t="shared" si="125"/>
        <v>0.11021377672209026</v>
      </c>
      <c r="AH76" s="12">
        <f t="shared" si="125"/>
        <v>0.11684162482884528</v>
      </c>
      <c r="AI76" s="12">
        <f t="shared" ref="AI76:BT76" si="126">AI54/AI50</f>
        <v>0.10879629629629629</v>
      </c>
      <c r="AJ76" s="12">
        <f t="shared" si="126"/>
        <v>0.10810810810810811</v>
      </c>
      <c r="AK76" s="12">
        <f t="shared" si="126"/>
        <v>0.11431143114311432</v>
      </c>
      <c r="AL76" s="12">
        <f t="shared" si="126"/>
        <v>0.1095890410958904</v>
      </c>
      <c r="AM76" s="12">
        <f t="shared" si="126"/>
        <v>0.10970996216897856</v>
      </c>
      <c r="AN76" s="12">
        <f t="shared" si="126"/>
        <v>0.11044176706827309</v>
      </c>
      <c r="AO76" s="12">
        <f t="shared" si="126"/>
        <v>0.12076890931884664</v>
      </c>
      <c r="AP76" s="12">
        <f t="shared" si="126"/>
        <v>0.11245607184693479</v>
      </c>
      <c r="AQ76" s="12">
        <f t="shared" si="126"/>
        <v>0.11231448054552748</v>
      </c>
      <c r="AR76" s="12">
        <f t="shared" si="126"/>
        <v>0.1064234131508932</v>
      </c>
      <c r="AS76" s="12">
        <f t="shared" si="126"/>
        <v>0.11304026597709642</v>
      </c>
      <c r="AT76" s="12">
        <f t="shared" si="126"/>
        <v>0.10606060606060606</v>
      </c>
      <c r="AU76" s="12">
        <f t="shared" si="126"/>
        <v>0.11797090051120723</v>
      </c>
      <c r="AV76" s="12">
        <f t="shared" si="126"/>
        <v>0.12081877184223665</v>
      </c>
      <c r="AW76" s="12">
        <f t="shared" si="126"/>
        <v>0.11846558856713051</v>
      </c>
      <c r="AX76" s="12">
        <f t="shared" si="126"/>
        <v>0.10561299852289513</v>
      </c>
      <c r="AY76" s="12">
        <f t="shared" si="126"/>
        <v>0.1002906976744186</v>
      </c>
      <c r="AZ76" s="12">
        <f t="shared" si="126"/>
        <v>9.684757881052973E-2</v>
      </c>
      <c r="BA76" s="12">
        <f t="shared" si="126"/>
        <v>0.10572987721691678</v>
      </c>
      <c r="BB76" s="12">
        <f t="shared" si="126"/>
        <v>0.10233450591621363</v>
      </c>
      <c r="BC76" s="12">
        <f t="shared" si="126"/>
        <v>0.10541969596827495</v>
      </c>
      <c r="BD76" s="12">
        <f t="shared" si="126"/>
        <v>0.1032675709001233</v>
      </c>
      <c r="BE76" s="12">
        <f t="shared" si="126"/>
        <v>0.10694006309148266</v>
      </c>
      <c r="BF76" s="12">
        <f t="shared" si="126"/>
        <v>0.10178901912399753</v>
      </c>
      <c r="BG76" s="12">
        <f t="shared" si="126"/>
        <v>9.9439362643847742E-2</v>
      </c>
      <c r="BH76" s="12">
        <f t="shared" si="126"/>
        <v>9.9749930536260079E-2</v>
      </c>
      <c r="BI76" s="12">
        <f t="shared" si="126"/>
        <v>0.10093563935355826</v>
      </c>
      <c r="BJ76" s="12">
        <f t="shared" si="126"/>
        <v>9.7181208053691279E-2</v>
      </c>
      <c r="BK76" s="12">
        <f t="shared" si="126"/>
        <v>9.4892403422348975E-2</v>
      </c>
      <c r="BL76" s="12">
        <f t="shared" si="126"/>
        <v>9.2961165048543695E-2</v>
      </c>
      <c r="BM76" s="12">
        <f t="shared" si="126"/>
        <v>9.6697552862912803E-2</v>
      </c>
      <c r="BN76" s="12">
        <f t="shared" si="126"/>
        <v>0.10063582547686911</v>
      </c>
      <c r="BO76" s="12">
        <f t="shared" si="126"/>
        <v>9.5003216813210375E-2</v>
      </c>
      <c r="BP76" s="12">
        <f t="shared" si="126"/>
        <v>0.10393202924323257</v>
      </c>
      <c r="BQ76" s="12">
        <f t="shared" si="126"/>
        <v>0.10148075024679171</v>
      </c>
      <c r="BR76" s="11">
        <f t="shared" si="126"/>
        <v>0.10764283011729096</v>
      </c>
      <c r="BS76" s="11">
        <f t="shared" si="126"/>
        <v>9.9154496541122211E-2</v>
      </c>
      <c r="BT76" s="11">
        <f t="shared" si="126"/>
        <v>0.1018008085262771</v>
      </c>
      <c r="BU76" s="57"/>
      <c r="BV76" s="57"/>
      <c r="CA76" s="12">
        <f t="shared" ref="CA76:CQ76" si="127">CA54/CA50</f>
        <v>0.12896922325354176</v>
      </c>
      <c r="CB76" s="12">
        <f t="shared" si="127"/>
        <v>0.12029208301306688</v>
      </c>
      <c r="CC76" s="12">
        <f t="shared" si="127"/>
        <v>0.11742324849120965</v>
      </c>
      <c r="CD76" s="12">
        <f t="shared" si="127"/>
        <v>0.12222375500068976</v>
      </c>
      <c r="CE76" s="12">
        <f t="shared" si="127"/>
        <v>0.12053758924821503</v>
      </c>
      <c r="CF76" s="12">
        <f t="shared" si="127"/>
        <v>0.11070460704607046</v>
      </c>
      <c r="CG76" s="12">
        <f t="shared" si="127"/>
        <v>0.11715928848468637</v>
      </c>
      <c r="CH76" s="12">
        <f t="shared" si="127"/>
        <v>0.10970665394705462</v>
      </c>
      <c r="CI76" s="12">
        <f t="shared" si="127"/>
        <v>0.11019009725906277</v>
      </c>
      <c r="CJ76" s="12">
        <f t="shared" si="127"/>
        <v>0.11330550748243917</v>
      </c>
      <c r="CK76" s="12">
        <f t="shared" si="127"/>
        <v>0.10936190032603633</v>
      </c>
      <c r="CL76" s="12">
        <f t="shared" si="127"/>
        <v>0.11530313729446182</v>
      </c>
      <c r="CM76" s="12">
        <f t="shared" si="127"/>
        <v>0.10127860026917901</v>
      </c>
      <c r="CN76" s="12">
        <f t="shared" si="127"/>
        <v>0.10432108500236556</v>
      </c>
      <c r="CO76" s="12">
        <f t="shared" si="127"/>
        <v>9.9297752808988768E-2</v>
      </c>
      <c r="CP76" s="12">
        <f t="shared" si="127"/>
        <v>9.6435182420732068E-2</v>
      </c>
      <c r="CQ76" s="12">
        <f t="shared" si="127"/>
        <v>0.10221668742216687</v>
      </c>
      <c r="CR76" s="60">
        <v>0.104</v>
      </c>
      <c r="CS76" s="60">
        <v>0.108</v>
      </c>
      <c r="CT76" s="60">
        <v>0.11</v>
      </c>
      <c r="CU76" s="60">
        <v>0.112</v>
      </c>
      <c r="CV76" s="60">
        <v>0.114</v>
      </c>
      <c r="CW76" s="60">
        <v>0.113</v>
      </c>
      <c r="CX76" s="60">
        <v>0.112</v>
      </c>
      <c r="CY76" s="60">
        <v>0.111</v>
      </c>
      <c r="CZ76" s="60">
        <v>0.11</v>
      </c>
      <c r="DA76" s="60">
        <v>0.109</v>
      </c>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row>
    <row r="77" spans="2:146" s="4" customFormat="1">
      <c r="B77" s="4" t="s">
        <v>16</v>
      </c>
      <c r="C77" s="12">
        <f t="shared" ref="C77:AH77" si="128">C62/C50</f>
        <v>5.4726368159203984E-3</v>
      </c>
      <c r="D77" s="12">
        <f t="shared" si="128"/>
        <v>0.13259402121504341</v>
      </c>
      <c r="E77" s="12">
        <f t="shared" si="128"/>
        <v>2.5185185185185185E-2</v>
      </c>
      <c r="F77" s="12">
        <f t="shared" si="128"/>
        <v>-0.59211159211159214</v>
      </c>
      <c r="G77" s="12">
        <f t="shared" si="128"/>
        <v>-0.75816326530612244</v>
      </c>
      <c r="H77" s="12">
        <f t="shared" si="128"/>
        <v>0.11981327800829876</v>
      </c>
      <c r="I77" s="12">
        <f t="shared" si="128"/>
        <v>0.13100208768267224</v>
      </c>
      <c r="J77" s="12">
        <f t="shared" si="128"/>
        <v>0.17382617382617382</v>
      </c>
      <c r="K77" s="12">
        <f t="shared" si="128"/>
        <v>0.16727272727272727</v>
      </c>
      <c r="L77" s="12">
        <f t="shared" si="128"/>
        <v>0.12</v>
      </c>
      <c r="M77" s="12">
        <f t="shared" si="128"/>
        <v>9.2849519743863393E-2</v>
      </c>
      <c r="N77" s="12">
        <f t="shared" si="128"/>
        <v>9.2532467532467536E-2</v>
      </c>
      <c r="O77" s="12">
        <f t="shared" si="128"/>
        <v>0.10503751339764202</v>
      </c>
      <c r="P77" s="12">
        <f t="shared" si="128"/>
        <v>-1.9622538293216629</v>
      </c>
      <c r="Q77" s="12">
        <f t="shared" si="128"/>
        <v>-0.34236311239193085</v>
      </c>
      <c r="R77" s="12">
        <f t="shared" si="128"/>
        <v>6.4285714285714279E-2</v>
      </c>
      <c r="S77" s="12">
        <f t="shared" si="128"/>
        <v>-0.18739352640545145</v>
      </c>
      <c r="T77" s="12">
        <f t="shared" si="128"/>
        <v>0.12161415146489774</v>
      </c>
      <c r="U77" s="12">
        <f t="shared" si="128"/>
        <v>5.936599423631124E-2</v>
      </c>
      <c r="V77" s="12">
        <f t="shared" si="128"/>
        <v>6.9096844396082699E-2</v>
      </c>
      <c r="W77" s="12">
        <f t="shared" si="128"/>
        <v>0.11104847801578353</v>
      </c>
      <c r="X77" s="12">
        <f t="shared" si="128"/>
        <v>-3.6839295248264813E-2</v>
      </c>
      <c r="Y77" s="12">
        <f t="shared" si="128"/>
        <v>3.4669555796316358E-2</v>
      </c>
      <c r="Z77" s="12">
        <f t="shared" si="128"/>
        <v>-0.26126126126126126</v>
      </c>
      <c r="AA77" s="12">
        <f t="shared" si="128"/>
        <v>1.3574660633484163E-2</v>
      </c>
      <c r="AB77" s="12">
        <f t="shared" si="128"/>
        <v>0.11882799782962561</v>
      </c>
      <c r="AC77" s="12">
        <f t="shared" si="128"/>
        <v>-0.1583686440677966</v>
      </c>
      <c r="AD77" s="12">
        <f t="shared" si="128"/>
        <v>-0.1147623862487361</v>
      </c>
      <c r="AE77" s="12">
        <f t="shared" si="128"/>
        <v>0.14918533604887985</v>
      </c>
      <c r="AF77" s="12">
        <f t="shared" si="128"/>
        <v>-0.15710253998118531</v>
      </c>
      <c r="AG77" s="12">
        <f t="shared" si="128"/>
        <v>0.16532066508313539</v>
      </c>
      <c r="AH77" s="12">
        <f t="shared" si="128"/>
        <v>6.3897763578274758E-2</v>
      </c>
      <c r="AI77" s="12">
        <f t="shared" ref="AI77:BT77" si="129">AI62/AI50</f>
        <v>0.16851851851851851</v>
      </c>
      <c r="AJ77" s="12">
        <f t="shared" si="129"/>
        <v>9.9689853788214447E-2</v>
      </c>
      <c r="AK77" s="12">
        <f t="shared" si="129"/>
        <v>0.16966696669666967</v>
      </c>
      <c r="AL77" s="12">
        <f t="shared" si="129"/>
        <v>0.13242009132420091</v>
      </c>
      <c r="AM77" s="12">
        <f t="shared" si="129"/>
        <v>0.1710802858343842</v>
      </c>
      <c r="AN77" s="12">
        <f t="shared" si="129"/>
        <v>0.157429718875502</v>
      </c>
      <c r="AO77" s="12">
        <f t="shared" si="129"/>
        <v>0.16213957375679064</v>
      </c>
      <c r="AP77" s="12">
        <f t="shared" si="129"/>
        <v>0.12456071846934791</v>
      </c>
      <c r="AQ77" s="12">
        <f t="shared" si="129"/>
        <v>0.21700762133975129</v>
      </c>
      <c r="AR77" s="12">
        <f t="shared" si="129"/>
        <v>0.1459521094640821</v>
      </c>
      <c r="AS77" s="12">
        <f t="shared" si="129"/>
        <v>0.14148503878832655</v>
      </c>
      <c r="AT77" s="12">
        <f t="shared" si="129"/>
        <v>7.2314049586776855E-2</v>
      </c>
      <c r="AU77" s="12">
        <f t="shared" si="129"/>
        <v>5.7412504915454188E-2</v>
      </c>
      <c r="AV77" s="12">
        <f t="shared" si="129"/>
        <v>-3.5446829755366949E-2</v>
      </c>
      <c r="AW77" s="12">
        <f t="shared" si="129"/>
        <v>-7.7096652877021443E-2</v>
      </c>
      <c r="AX77" s="12">
        <f t="shared" si="129"/>
        <v>1.8463810930576072E-2</v>
      </c>
      <c r="AY77" s="12">
        <f t="shared" si="129"/>
        <v>0.13444767441860464</v>
      </c>
      <c r="AZ77" s="12">
        <f t="shared" si="129"/>
        <v>8.5147871303217423E-2</v>
      </c>
      <c r="BA77" s="12">
        <f t="shared" si="129"/>
        <v>0.13199181446111868</v>
      </c>
      <c r="BB77" s="12">
        <f t="shared" si="129"/>
        <v>5.7243364246881999E-2</v>
      </c>
      <c r="BC77" s="12">
        <f t="shared" si="129"/>
        <v>0.15399867812293458</v>
      </c>
      <c r="BD77" s="12">
        <f t="shared" si="129"/>
        <v>0.13039457459926018</v>
      </c>
      <c r="BE77" s="12">
        <f t="shared" si="129"/>
        <v>0.11293375394321767</v>
      </c>
      <c r="BF77" s="12">
        <f t="shared" si="129"/>
        <v>0.12338062924120913</v>
      </c>
      <c r="BG77" s="12">
        <f t="shared" si="129"/>
        <v>0.16287990557686632</v>
      </c>
      <c r="BH77" s="12">
        <f t="shared" si="129"/>
        <v>0.14281744929146986</v>
      </c>
      <c r="BI77" s="12">
        <f t="shared" si="129"/>
        <v>0.19648426424723561</v>
      </c>
      <c r="BJ77" s="12">
        <f t="shared" si="129"/>
        <v>0.15677852348993288</v>
      </c>
      <c r="BK77" s="12">
        <f t="shared" si="129"/>
        <v>0.17500648172154523</v>
      </c>
      <c r="BL77" s="12">
        <f t="shared" si="129"/>
        <v>0.12621359223300971</v>
      </c>
      <c r="BM77" s="12">
        <f t="shared" si="129"/>
        <v>0.17415062960323116</v>
      </c>
      <c r="BN77" s="12">
        <f t="shared" si="129"/>
        <v>0.14843236132427098</v>
      </c>
      <c r="BO77" s="12">
        <f t="shared" si="129"/>
        <v>0.19751233111730646</v>
      </c>
      <c r="BP77" s="12">
        <f t="shared" si="129"/>
        <v>0.16182572614107885</v>
      </c>
      <c r="BQ77" s="12">
        <f t="shared" si="129"/>
        <v>0.2069101678183613</v>
      </c>
      <c r="BR77" s="11">
        <f t="shared" si="129"/>
        <v>0.15607264472190693</v>
      </c>
      <c r="BS77" s="11">
        <f t="shared" si="129"/>
        <v>0.21156802459646426</v>
      </c>
      <c r="BT77" s="11">
        <f t="shared" si="129"/>
        <v>0.21646453509739066</v>
      </c>
      <c r="BU77" s="57"/>
      <c r="BV77" s="57"/>
      <c r="CA77" s="12">
        <f t="shared" ref="CA77:DA77" si="130">CA62/CA50</f>
        <v>-0.10918417195896434</v>
      </c>
      <c r="CB77" s="12">
        <f t="shared" si="130"/>
        <v>-8.4037919549064824E-2</v>
      </c>
      <c r="CC77" s="12">
        <f t="shared" si="130"/>
        <v>0.11860404093413802</v>
      </c>
      <c r="CD77" s="12">
        <f t="shared" si="130"/>
        <v>-0.5335908401158781</v>
      </c>
      <c r="CE77" s="12">
        <f t="shared" si="130"/>
        <v>1.6799664006719867E-2</v>
      </c>
      <c r="CF77" s="12">
        <f t="shared" si="130"/>
        <v>-4.0785907859078589E-2</v>
      </c>
      <c r="CG77" s="12">
        <f t="shared" si="130"/>
        <v>-3.7849404841513973E-2</v>
      </c>
      <c r="CH77" s="12">
        <f t="shared" si="130"/>
        <v>5.3303124254710232E-2</v>
      </c>
      <c r="CI77" s="12">
        <f t="shared" si="130"/>
        <v>0.14202033598585323</v>
      </c>
      <c r="CJ77" s="12">
        <f t="shared" si="130"/>
        <v>0.15331365163392038</v>
      </c>
      <c r="CK77" s="12">
        <f t="shared" si="130"/>
        <v>0.14140661387983233</v>
      </c>
      <c r="CL77" s="12">
        <f t="shared" si="130"/>
        <v>-8.0702108342580441E-3</v>
      </c>
      <c r="CM77" s="12">
        <f t="shared" si="130"/>
        <v>0.10077388963660834</v>
      </c>
      <c r="CN77" s="12">
        <f t="shared" si="130"/>
        <v>0.12986910581927141</v>
      </c>
      <c r="CO77" s="12">
        <f t="shared" si="130"/>
        <v>0.16453651685393259</v>
      </c>
      <c r="CP77" s="12">
        <f t="shared" si="130"/>
        <v>0.15555024780557711</v>
      </c>
      <c r="CQ77" s="12">
        <f t="shared" si="130"/>
        <v>0.17997509339975093</v>
      </c>
      <c r="CR77" s="60">
        <f t="shared" si="130"/>
        <v>0.18029203625799425</v>
      </c>
      <c r="CS77" s="60">
        <f t="shared" si="130"/>
        <v>0.19392426338989505</v>
      </c>
      <c r="CT77" s="60">
        <f t="shared" si="130"/>
        <v>0.19936867709293044</v>
      </c>
      <c r="CU77" s="60">
        <f t="shared" si="130"/>
        <v>0.20230060444567338</v>
      </c>
      <c r="CV77" s="60">
        <f t="shared" si="130"/>
        <v>0.20536939404701032</v>
      </c>
      <c r="CW77" s="60">
        <f t="shared" si="130"/>
        <v>0.21113310752157868</v>
      </c>
      <c r="CX77" s="60">
        <f t="shared" si="130"/>
        <v>0.21663174281479416</v>
      </c>
      <c r="CY77" s="60">
        <f t="shared" si="130"/>
        <v>0.2218922051467036</v>
      </c>
      <c r="CZ77" s="60">
        <f t="shared" si="130"/>
        <v>0.22445226615894917</v>
      </c>
      <c r="DA77" s="60">
        <f t="shared" si="130"/>
        <v>0.22677809989571032</v>
      </c>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c r="EE77" s="57"/>
      <c r="EF77" s="57"/>
      <c r="EG77" s="57"/>
      <c r="EH77" s="57"/>
      <c r="EI77" s="57"/>
      <c r="EJ77" s="57"/>
      <c r="EK77" s="57"/>
      <c r="EL77" s="57"/>
      <c r="EM77" s="57"/>
      <c r="EN77" s="57"/>
      <c r="EO77" s="57"/>
      <c r="EP77" s="57"/>
    </row>
    <row r="78" spans="2:146" s="4" customFormat="1">
      <c r="B78" s="4" t="s">
        <v>2220</v>
      </c>
      <c r="C78" s="12">
        <f t="shared" ref="C78:AH78" si="131">C66/C65</f>
        <v>0.865979381443299</v>
      </c>
      <c r="D78" s="12">
        <f t="shared" si="131"/>
        <v>0.12222222222222222</v>
      </c>
      <c r="E78" s="12">
        <f t="shared" si="131"/>
        <v>-1.1363636363636365</v>
      </c>
      <c r="F78" s="12">
        <f t="shared" si="131"/>
        <v>0.2011878247958426</v>
      </c>
      <c r="G78" s="12">
        <f t="shared" si="131"/>
        <v>-8.8888888888888889E-3</v>
      </c>
      <c r="H78" s="12">
        <f t="shared" si="131"/>
        <v>0.17647058823529413</v>
      </c>
      <c r="I78" s="12">
        <f t="shared" si="131"/>
        <v>-0.16564417177914109</v>
      </c>
      <c r="J78" s="12">
        <f t="shared" si="131"/>
        <v>-2.6086956521739129E-2</v>
      </c>
      <c r="K78" s="12">
        <f t="shared" si="131"/>
        <v>0.83150183150183155</v>
      </c>
      <c r="L78" s="12">
        <f t="shared" si="131"/>
        <v>7.5949367088607597E-2</v>
      </c>
      <c r="M78" s="12">
        <f t="shared" si="131"/>
        <v>-0.27927927927927926</v>
      </c>
      <c r="N78" s="12">
        <f t="shared" si="131"/>
        <v>-7.0000000000000007E-2</v>
      </c>
      <c r="O78" s="12">
        <f t="shared" si="131"/>
        <v>8.1300813008130079E-2</v>
      </c>
      <c r="P78" s="12">
        <f t="shared" si="131"/>
        <v>1.1055831951354339E-2</v>
      </c>
      <c r="Q78" s="12">
        <f t="shared" si="131"/>
        <v>-1.5082956259426848E-3</v>
      </c>
      <c r="R78" s="12">
        <f t="shared" si="131"/>
        <v>-0.19607843137254902</v>
      </c>
      <c r="S78" s="12">
        <f t="shared" si="131"/>
        <v>0.10152284263959391</v>
      </c>
      <c r="T78" s="12">
        <f t="shared" si="131"/>
        <v>0.14473684210526316</v>
      </c>
      <c r="U78" s="12">
        <f t="shared" si="131"/>
        <v>0.875</v>
      </c>
      <c r="V78" s="12">
        <f t="shared" si="131"/>
        <v>-0.83050847457627119</v>
      </c>
      <c r="W78" s="12">
        <f t="shared" si="131"/>
        <v>8.9041095890410954E-2</v>
      </c>
      <c r="X78" s="12">
        <f t="shared" si="131"/>
        <v>1.0384615384615385</v>
      </c>
      <c r="Y78" s="39">
        <f t="shared" si="131"/>
        <v>-13.333333333333334</v>
      </c>
      <c r="Z78" s="12">
        <f t="shared" si="131"/>
        <v>0.46028880866425992</v>
      </c>
      <c r="AA78" s="12">
        <f t="shared" si="131"/>
        <v>0.98039215686274506</v>
      </c>
      <c r="AB78" s="12">
        <f t="shared" si="131"/>
        <v>2.8571428571428571E-2</v>
      </c>
      <c r="AC78" s="12">
        <f t="shared" si="131"/>
        <v>0.46049046321525888</v>
      </c>
      <c r="AD78" s="12">
        <f t="shared" si="131"/>
        <v>0.57863501483679525</v>
      </c>
      <c r="AE78" s="12">
        <f t="shared" si="131"/>
        <v>0.11403508771929824</v>
      </c>
      <c r="AF78" s="12">
        <f t="shared" si="131"/>
        <v>0.47858942065491183</v>
      </c>
      <c r="AG78" s="12">
        <f t="shared" si="131"/>
        <v>0.11284046692607004</v>
      </c>
      <c r="AH78" s="12">
        <f t="shared" si="131"/>
        <v>-0.39325842696629215</v>
      </c>
      <c r="AI78" s="12">
        <f t="shared" ref="AI78:BT78" si="132">AI66/AI65</f>
        <v>4.9180327868852458E-2</v>
      </c>
      <c r="AJ78" s="12">
        <f t="shared" si="132"/>
        <v>-0.60439560439560436</v>
      </c>
      <c r="AK78" s="12">
        <f t="shared" si="132"/>
        <v>8.4142394822006472E-2</v>
      </c>
      <c r="AL78" s="12">
        <f t="shared" si="132"/>
        <v>3.7092511013215859</v>
      </c>
      <c r="AM78" s="12">
        <f t="shared" si="132"/>
        <v>8.0495356037151702E-2</v>
      </c>
      <c r="AN78" s="12">
        <f t="shared" si="132"/>
        <v>-0.60230547550432278</v>
      </c>
      <c r="AO78" s="12">
        <f t="shared" si="132"/>
        <v>5.2631578947368418E-2</v>
      </c>
      <c r="AP78" s="12">
        <f t="shared" si="132"/>
        <v>-0.30508474576271188</v>
      </c>
      <c r="AQ78" s="12">
        <f t="shared" si="132"/>
        <v>7.2210065645514229E-2</v>
      </c>
      <c r="AR78" s="12">
        <f t="shared" si="132"/>
        <v>-6.2068965517241378E-2</v>
      </c>
      <c r="AS78" s="12">
        <f t="shared" si="132"/>
        <v>-0.38461538461538464</v>
      </c>
      <c r="AT78" s="39">
        <f t="shared" si="132"/>
        <v>667</v>
      </c>
      <c r="AU78" s="12">
        <f t="shared" si="132"/>
        <v>0.5</v>
      </c>
      <c r="AV78" s="12">
        <f t="shared" si="132"/>
        <v>0.18333333333333332</v>
      </c>
      <c r="AW78" s="12">
        <f t="shared" si="132"/>
        <v>0.31718061674008813</v>
      </c>
      <c r="AX78" s="12">
        <f t="shared" si="132"/>
        <v>0.31372549019607843</v>
      </c>
      <c r="AY78" s="12">
        <f t="shared" si="132"/>
        <v>-4.9230769230769231E-2</v>
      </c>
      <c r="AZ78" s="12">
        <f t="shared" si="132"/>
        <v>-0.24832214765100671</v>
      </c>
      <c r="BA78" s="12">
        <f t="shared" si="132"/>
        <v>0.13070539419087138</v>
      </c>
      <c r="BB78" s="12">
        <f t="shared" si="132"/>
        <v>0.21848739495798319</v>
      </c>
      <c r="BC78" s="12">
        <f t="shared" si="132"/>
        <v>0.28846153846153844</v>
      </c>
      <c r="BD78" s="12">
        <f t="shared" si="132"/>
        <v>0.24637681159420291</v>
      </c>
      <c r="BE78" s="12">
        <f t="shared" si="132"/>
        <v>0.23265306122448978</v>
      </c>
      <c r="BF78" s="12">
        <f t="shared" si="132"/>
        <v>0.65139949109414763</v>
      </c>
      <c r="BG78" s="12">
        <f t="shared" si="132"/>
        <v>0.2927927927927928</v>
      </c>
      <c r="BH78" s="12">
        <f t="shared" si="132"/>
        <v>0.36619718309859156</v>
      </c>
      <c r="BI78" s="12">
        <f t="shared" si="132"/>
        <v>0.17377049180327869</v>
      </c>
      <c r="BJ78" s="12">
        <f t="shared" si="132"/>
        <v>1.9801980198019802E-3</v>
      </c>
      <c r="BK78" s="12">
        <f t="shared" si="132"/>
        <v>0.18914473684210525</v>
      </c>
      <c r="BL78" s="12">
        <f t="shared" si="132"/>
        <v>0.23333333333333334</v>
      </c>
      <c r="BM78" s="12">
        <f t="shared" si="132"/>
        <v>0.29940119760479039</v>
      </c>
      <c r="BN78" s="12">
        <f t="shared" si="132"/>
        <v>3.9115646258503403E-2</v>
      </c>
      <c r="BO78" s="12">
        <f t="shared" si="132"/>
        <v>0.16521739130434782</v>
      </c>
      <c r="BP78" s="12">
        <f t="shared" si="132"/>
        <v>0.15498938428874734</v>
      </c>
      <c r="BQ78" s="12">
        <f t="shared" si="132"/>
        <v>0.1959531416400426</v>
      </c>
      <c r="BR78" s="11">
        <f t="shared" si="132"/>
        <v>4.2857142857142858E-2</v>
      </c>
      <c r="BS78" s="11">
        <f t="shared" si="132"/>
        <v>-0.15232358003442339</v>
      </c>
      <c r="BT78" s="11">
        <f t="shared" si="132"/>
        <v>0.14622641509433962</v>
      </c>
      <c r="BU78" s="57"/>
      <c r="BV78" s="57"/>
      <c r="CA78" s="12">
        <f t="shared" ref="CA78:CQ78" si="133">CA66/CA65</f>
        <v>0.21636085626911314</v>
      </c>
      <c r="CB78" s="12">
        <f t="shared" si="133"/>
        <v>-1.8814675446848542E-3</v>
      </c>
      <c r="CC78" s="12">
        <f t="shared" si="133"/>
        <v>0.31308411214953269</v>
      </c>
      <c r="CD78" s="12">
        <f t="shared" si="133"/>
        <v>9.4959824689554422E-3</v>
      </c>
      <c r="CE78" s="12">
        <f t="shared" si="133"/>
        <v>0.45739910313901344</v>
      </c>
      <c r="CF78" s="12">
        <f t="shared" si="133"/>
        <v>0.76620825147347738</v>
      </c>
      <c r="CG78" s="12">
        <f t="shared" si="133"/>
        <v>0.63230769230769235</v>
      </c>
      <c r="CH78" s="12">
        <f t="shared" si="133"/>
        <v>-0.96045197740112997</v>
      </c>
      <c r="CI78" s="12">
        <f t="shared" si="133"/>
        <v>0.88841201716738194</v>
      </c>
      <c r="CJ78" s="12">
        <f t="shared" si="133"/>
        <v>-0.17522871217452499</v>
      </c>
      <c r="CK78" s="12">
        <f t="shared" si="133"/>
        <v>-5.8413391557496359</v>
      </c>
      <c r="CL78" s="12">
        <f t="shared" si="133"/>
        <v>-2.5316455696202531E-2</v>
      </c>
      <c r="CM78" s="12">
        <f t="shared" si="133"/>
        <v>3.3488372093023258E-2</v>
      </c>
      <c r="CN78" s="12">
        <f t="shared" si="133"/>
        <v>0.38893766461808604</v>
      </c>
      <c r="CO78" s="12">
        <f t="shared" si="133"/>
        <v>0.19798488664987404</v>
      </c>
      <c r="CP78" s="12">
        <f t="shared" si="133"/>
        <v>0.19089316987740806</v>
      </c>
      <c r="CQ78" s="12">
        <f t="shared" si="133"/>
        <v>0.14559952746603663</v>
      </c>
      <c r="CR78" s="60">
        <v>0.17499999999999999</v>
      </c>
      <c r="CS78" s="60">
        <v>0.18</v>
      </c>
      <c r="CT78" s="60">
        <v>0.1825</v>
      </c>
      <c r="CU78" s="60">
        <v>0.185</v>
      </c>
      <c r="CV78" s="60">
        <v>0.1875</v>
      </c>
      <c r="CW78" s="60">
        <v>0.1875</v>
      </c>
      <c r="CX78" s="60">
        <v>0.1875</v>
      </c>
      <c r="CY78" s="60">
        <v>0.1875</v>
      </c>
      <c r="CZ78" s="60">
        <v>0.1875</v>
      </c>
      <c r="DA78" s="60">
        <v>0.1875</v>
      </c>
      <c r="DB78" s="57"/>
      <c r="DC78" s="57"/>
      <c r="DD78" s="57"/>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row>
    <row r="79" spans="2:146" s="4" customFormat="1">
      <c r="B79" s="4" t="s">
        <v>15</v>
      </c>
      <c r="C79" s="12">
        <f t="shared" ref="C79:AH79" si="134">C67/C50</f>
        <v>-6.4676616915422883E-3</v>
      </c>
      <c r="D79" s="12">
        <f t="shared" si="134"/>
        <v>7.6181292189006752E-2</v>
      </c>
      <c r="E79" s="12">
        <f t="shared" si="134"/>
        <v>-4.6419753086419754E-2</v>
      </c>
      <c r="F79" s="12">
        <f t="shared" si="134"/>
        <v>-0.51755651755651755</v>
      </c>
      <c r="G79" s="12">
        <f t="shared" si="134"/>
        <v>-0.81071428571428572</v>
      </c>
      <c r="H79" s="12">
        <f t="shared" si="134"/>
        <v>5.0829875518672199E-2</v>
      </c>
      <c r="I79" s="12">
        <f t="shared" si="134"/>
        <v>9.916492693110647E-2</v>
      </c>
      <c r="J79" s="12">
        <f t="shared" si="134"/>
        <v>0.11788211788211789</v>
      </c>
      <c r="K79" s="12">
        <f t="shared" si="134"/>
        <v>2.3896103896103898E-2</v>
      </c>
      <c r="L79" s="12">
        <f t="shared" si="134"/>
        <v>7.3924050632911395E-2</v>
      </c>
      <c r="M79" s="12">
        <f t="shared" si="134"/>
        <v>7.577374599786553E-2</v>
      </c>
      <c r="N79" s="12">
        <f t="shared" si="134"/>
        <v>5.7900432900432904E-2</v>
      </c>
      <c r="O79" s="12">
        <f t="shared" si="134"/>
        <v>6.0557341907824226E-2</v>
      </c>
      <c r="P79" s="12">
        <f t="shared" si="134"/>
        <v>-1.9573304157549234</v>
      </c>
      <c r="Q79" s="12">
        <f t="shared" si="134"/>
        <v>-0.38270893371757925</v>
      </c>
      <c r="R79" s="12">
        <f t="shared" si="134"/>
        <v>3.3516483516483515E-2</v>
      </c>
      <c r="S79" s="12">
        <f t="shared" si="134"/>
        <v>-0.20102214650766609</v>
      </c>
      <c r="T79" s="12">
        <f t="shared" si="134"/>
        <v>7.1862907683803212E-2</v>
      </c>
      <c r="U79" s="12">
        <f t="shared" si="134"/>
        <v>-2.881844380403458E-3</v>
      </c>
      <c r="V79" s="12">
        <f t="shared" si="134"/>
        <v>5.8759521218715999E-2</v>
      </c>
      <c r="W79" s="12">
        <f t="shared" si="134"/>
        <v>7.4971815107102588E-2</v>
      </c>
      <c r="X79" s="12">
        <f t="shared" si="134"/>
        <v>2.1356113187399892E-3</v>
      </c>
      <c r="Y79" s="12">
        <f t="shared" si="134"/>
        <v>2.3293607800650054E-2</v>
      </c>
      <c r="Z79" s="12">
        <f t="shared" si="134"/>
        <v>-0.1584525702172761</v>
      </c>
      <c r="AA79" s="12">
        <f t="shared" si="134"/>
        <v>-5.6561085972850684E-4</v>
      </c>
      <c r="AB79" s="12">
        <f t="shared" si="134"/>
        <v>5.5344546934346171E-2</v>
      </c>
      <c r="AC79" s="12">
        <f t="shared" si="134"/>
        <v>-0.1048728813559322</v>
      </c>
      <c r="AD79" s="12">
        <f t="shared" si="134"/>
        <v>-7.1789686552072796E-2</v>
      </c>
      <c r="AE79" s="12">
        <f t="shared" si="134"/>
        <v>0.10285132382892057</v>
      </c>
      <c r="AF79" s="12">
        <f t="shared" si="134"/>
        <v>-9.7365945437441204E-2</v>
      </c>
      <c r="AG79" s="12">
        <f t="shared" si="134"/>
        <v>0.10831353919239906</v>
      </c>
      <c r="AH79" s="12">
        <f t="shared" si="134"/>
        <v>5.6595162026471933E-2</v>
      </c>
      <c r="AI79" s="12">
        <f t="shared" ref="AI79:BT79" si="135">AI67/AI50</f>
        <v>0.13425925925925927</v>
      </c>
      <c r="AJ79" s="12">
        <f t="shared" si="135"/>
        <v>6.4687638458130262E-2</v>
      </c>
      <c r="AK79" s="12">
        <f t="shared" si="135"/>
        <v>0.12736273627362737</v>
      </c>
      <c r="AL79" s="12">
        <f t="shared" si="135"/>
        <v>-0.25529265255292655</v>
      </c>
      <c r="AM79" s="12">
        <f t="shared" si="135"/>
        <v>0.12484237074401008</v>
      </c>
      <c r="AN79" s="12">
        <f t="shared" si="135"/>
        <v>0.22329317269076304</v>
      </c>
      <c r="AO79" s="12">
        <f t="shared" si="135"/>
        <v>0.18052653572921021</v>
      </c>
      <c r="AP79" s="12">
        <f t="shared" si="135"/>
        <v>0.15033190160093712</v>
      </c>
      <c r="AQ79" s="12">
        <f t="shared" si="135"/>
        <v>0.17007621339751303</v>
      </c>
      <c r="AR79" s="12">
        <f t="shared" si="135"/>
        <v>5.8532877232991255E-2</v>
      </c>
      <c r="AS79" s="12">
        <f t="shared" si="135"/>
        <v>4.6545991872922056E-2</v>
      </c>
      <c r="AT79" s="12">
        <f t="shared" si="135"/>
        <v>1.3760330578512396</v>
      </c>
      <c r="AU79" s="12">
        <f t="shared" si="135"/>
        <v>4.3255996854109323E-3</v>
      </c>
      <c r="AV79" s="12">
        <f t="shared" si="135"/>
        <v>-7.3389915127309038E-2</v>
      </c>
      <c r="AW79" s="12">
        <f t="shared" si="135"/>
        <v>-5.8292591199699137E-2</v>
      </c>
      <c r="AX79" s="12">
        <f t="shared" si="135"/>
        <v>7.7548005908419496E-2</v>
      </c>
      <c r="AY79" s="12">
        <f t="shared" si="135"/>
        <v>0.12390988372093023</v>
      </c>
      <c r="AZ79" s="12">
        <f t="shared" si="135"/>
        <v>6.0448488787780308E-2</v>
      </c>
      <c r="BA79" s="12">
        <f t="shared" si="135"/>
        <v>0.14290586630286495</v>
      </c>
      <c r="BB79" s="12">
        <f t="shared" si="135"/>
        <v>2.9740965781899584E-2</v>
      </c>
      <c r="BC79" s="12">
        <f t="shared" si="135"/>
        <v>3.6682088565763382E-2</v>
      </c>
      <c r="BD79" s="12">
        <f t="shared" si="135"/>
        <v>8.0147965474722568E-2</v>
      </c>
      <c r="BE79" s="12">
        <f t="shared" si="135"/>
        <v>5.9305993690851738E-2</v>
      </c>
      <c r="BF79" s="12">
        <f t="shared" si="135"/>
        <v>4.2257865515114131E-2</v>
      </c>
      <c r="BG79" s="12">
        <f t="shared" si="135"/>
        <v>9.2652699911478315E-2</v>
      </c>
      <c r="BH79" s="12">
        <f t="shared" si="135"/>
        <v>7.5020839121978322E-2</v>
      </c>
      <c r="BI79" s="12">
        <f t="shared" si="135"/>
        <v>0.14289764672526226</v>
      </c>
      <c r="BJ79" s="12">
        <f t="shared" si="135"/>
        <v>0.13530201342281878</v>
      </c>
      <c r="BK79" s="12">
        <f t="shared" si="135"/>
        <v>0.12781954887218044</v>
      </c>
      <c r="BL79" s="12">
        <f t="shared" si="135"/>
        <v>7.8155339805825244E-2</v>
      </c>
      <c r="BM79" s="12">
        <f t="shared" si="135"/>
        <v>0.11119030648610122</v>
      </c>
      <c r="BN79" s="12">
        <f t="shared" si="135"/>
        <v>0.12387634290725719</v>
      </c>
      <c r="BO79" s="12">
        <f t="shared" si="135"/>
        <v>0.14411323182500535</v>
      </c>
      <c r="BP79" s="12">
        <f t="shared" si="135"/>
        <v>0.15728116972930251</v>
      </c>
      <c r="BQ79" s="12">
        <f t="shared" si="135"/>
        <v>0.14906219151036526</v>
      </c>
      <c r="BR79" s="11">
        <f t="shared" si="135"/>
        <v>0.12674990541051834</v>
      </c>
      <c r="BS79" s="11">
        <f t="shared" si="135"/>
        <v>0.25730207532667176</v>
      </c>
      <c r="BT79" s="11">
        <f t="shared" si="135"/>
        <v>0.16629915472252849</v>
      </c>
      <c r="BU79" s="57"/>
      <c r="BV79" s="57"/>
      <c r="CA79" s="12">
        <f t="shared" ref="CA79:DA79" si="136">CA67/CA50</f>
        <v>-0.12518319491939423</v>
      </c>
      <c r="CB79" s="12">
        <f t="shared" si="136"/>
        <v>-0.13643351268255188</v>
      </c>
      <c r="CC79" s="12">
        <f t="shared" si="136"/>
        <v>5.7858829703489899E-2</v>
      </c>
      <c r="CD79" s="12">
        <f t="shared" si="136"/>
        <v>-0.56118085253138361</v>
      </c>
      <c r="CE79" s="12">
        <f t="shared" si="136"/>
        <v>-1.6939661206775865E-2</v>
      </c>
      <c r="CF79" s="12">
        <f t="shared" si="136"/>
        <v>-1.6124661246612465E-2</v>
      </c>
      <c r="CG79" s="12">
        <f t="shared" si="136"/>
        <v>-3.1964691721278589E-2</v>
      </c>
      <c r="CH79" s="12">
        <f t="shared" si="136"/>
        <v>4.1378487956117337E-2</v>
      </c>
      <c r="CI79" s="12">
        <f t="shared" si="136"/>
        <v>1.1494252873563218E-2</v>
      </c>
      <c r="CJ79" s="12">
        <f t="shared" si="136"/>
        <v>0.17000916217041637</v>
      </c>
      <c r="CK79" s="12">
        <f t="shared" si="136"/>
        <v>0.43782021425244527</v>
      </c>
      <c r="CL79" s="12">
        <f t="shared" si="136"/>
        <v>-8.1710884696862707E-3</v>
      </c>
      <c r="CM79" s="12">
        <f t="shared" si="136"/>
        <v>8.7399057873485869E-2</v>
      </c>
      <c r="CN79" s="12">
        <f t="shared" si="136"/>
        <v>5.4880933606686645E-2</v>
      </c>
      <c r="CO79" s="12">
        <f t="shared" si="136"/>
        <v>0.11179775280898877</v>
      </c>
      <c r="CP79" s="12">
        <f t="shared" si="136"/>
        <v>0.11034812205171075</v>
      </c>
      <c r="CQ79" s="12">
        <f t="shared" si="136"/>
        <v>0.14410958904109589</v>
      </c>
      <c r="CR79" s="60">
        <f t="shared" si="136"/>
        <v>0.12061411476272609</v>
      </c>
      <c r="CS79" s="60">
        <f t="shared" si="136"/>
        <v>0.144261611219823</v>
      </c>
      <c r="CT79" s="60">
        <f t="shared" si="136"/>
        <v>0.16171816478992943</v>
      </c>
      <c r="CU79" s="60">
        <f t="shared" si="136"/>
        <v>0.17702201242895702</v>
      </c>
      <c r="CV79" s="60">
        <f t="shared" si="136"/>
        <v>0.19244342729472783</v>
      </c>
      <c r="CW79" s="60">
        <f t="shared" si="136"/>
        <v>0.2109178089181841</v>
      </c>
      <c r="CX79" s="60">
        <f t="shared" si="136"/>
        <v>0.2299004770384265</v>
      </c>
      <c r="CY79" s="60">
        <f t="shared" si="136"/>
        <v>0.24961095196237532</v>
      </c>
      <c r="CZ79" s="60">
        <f t="shared" si="136"/>
        <v>0.26821427103963674</v>
      </c>
      <c r="DA79" s="60">
        <f t="shared" si="136"/>
        <v>0.28791651843939386</v>
      </c>
      <c r="DB79" s="57"/>
      <c r="DC79" s="57"/>
      <c r="DD79" s="57"/>
      <c r="DE79" s="57"/>
      <c r="DF79" s="57"/>
      <c r="DG79" s="57"/>
      <c r="DH79" s="57"/>
      <c r="DI79" s="57"/>
      <c r="DJ79" s="57"/>
      <c r="DK79" s="57"/>
      <c r="DL79" s="57"/>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row>
    <row r="80" spans="2:146">
      <c r="BO80" s="1"/>
      <c r="BP80" s="1"/>
    </row>
    <row r="81" spans="2:146" ht="15">
      <c r="B81" s="1" t="s">
        <v>124</v>
      </c>
      <c r="AX81" s="1">
        <v>1734</v>
      </c>
      <c r="AY81" s="1">
        <v>2016</v>
      </c>
      <c r="AZ81" s="1">
        <v>2675</v>
      </c>
      <c r="BA81" s="1">
        <v>1947</v>
      </c>
      <c r="BB81" s="1">
        <v>1925</v>
      </c>
      <c r="BC81" s="1">
        <v>325</v>
      </c>
      <c r="BD81" s="1">
        <v>276</v>
      </c>
      <c r="BE81" s="1">
        <v>339</v>
      </c>
      <c r="BF81" s="1">
        <v>928</v>
      </c>
      <c r="BG81" s="1">
        <v>570</v>
      </c>
      <c r="BH81" s="1">
        <v>426</v>
      </c>
      <c r="BI81" s="1">
        <v>952</v>
      </c>
      <c r="BJ81" s="1">
        <v>866</v>
      </c>
      <c r="BK81" s="1">
        <v>2329</v>
      </c>
      <c r="BL81" s="1">
        <v>2913</v>
      </c>
      <c r="BM81" s="1">
        <v>2502</v>
      </c>
      <c r="BN81" s="1">
        <v>414</v>
      </c>
      <c r="BO81" s="1">
        <v>725</v>
      </c>
      <c r="BP81" s="1">
        <v>534</v>
      </c>
      <c r="BQ81" s="1">
        <v>1275</v>
      </c>
      <c r="BR81" s="1">
        <v>1965</v>
      </c>
      <c r="BS81" s="1">
        <v>1453</v>
      </c>
      <c r="BT81" s="1">
        <v>539</v>
      </c>
      <c r="CL81" s="1">
        <f t="shared" ref="CL81:CL92" si="137">AX81</f>
        <v>1734</v>
      </c>
      <c r="CM81" s="1">
        <f>BB81</f>
        <v>1925</v>
      </c>
      <c r="CN81" s="1">
        <f>BF81</f>
        <v>928</v>
      </c>
      <c r="CO81" s="1">
        <f>BJ81</f>
        <v>866</v>
      </c>
      <c r="CP81" s="1">
        <f>BN81</f>
        <v>414</v>
      </c>
      <c r="CQ81" s="1">
        <f>BQ81</f>
        <v>1275</v>
      </c>
      <c r="CR81" s="37">
        <f>CQ81+CR70</f>
        <v>3894.5268948750022</v>
      </c>
      <c r="CS81" s="37">
        <f t="shared" ref="CS81:DA81" si="138">CR81+CS70</f>
        <v>7300.0860749927651</v>
      </c>
      <c r="CT81" s="37">
        <f t="shared" si="138"/>
        <v>11445.802674268443</v>
      </c>
      <c r="CU81" s="37">
        <f t="shared" si="138"/>
        <v>16327.045516519553</v>
      </c>
      <c r="CV81" s="37">
        <f t="shared" si="138"/>
        <v>21993.934140092009</v>
      </c>
      <c r="CW81" s="37">
        <f t="shared" si="138"/>
        <v>28582.980321200233</v>
      </c>
      <c r="CX81" s="37">
        <f t="shared" si="138"/>
        <v>36154.939144460412</v>
      </c>
      <c r="CY81" s="37">
        <f t="shared" si="138"/>
        <v>44770.307359378799</v>
      </c>
      <c r="CZ81" s="37">
        <f t="shared" si="138"/>
        <v>54420.000537869302</v>
      </c>
      <c r="DA81" s="37">
        <f t="shared" si="138"/>
        <v>65146.38633144983</v>
      </c>
      <c r="DC81" s="78" t="s">
        <v>2337</v>
      </c>
      <c r="DF81" s="49" t="s">
        <v>2413</v>
      </c>
      <c r="DG81" s="48"/>
      <c r="DH81" s="79" t="s">
        <v>2339</v>
      </c>
      <c r="DI81" s="48"/>
      <c r="DJ81" s="35" t="s">
        <v>2260</v>
      </c>
      <c r="DK81" s="50">
        <v>9.5000000000000001E-2</v>
      </c>
      <c r="DL81" s="48"/>
    </row>
    <row r="82" spans="2:146">
      <c r="B82" s="1" t="s">
        <v>125</v>
      </c>
      <c r="AX82" s="1">
        <v>1531</v>
      </c>
      <c r="AY82" s="1">
        <v>1631</v>
      </c>
      <c r="AZ82" s="1">
        <v>1675</v>
      </c>
      <c r="BA82" s="1">
        <v>1669</v>
      </c>
      <c r="BB82" s="1">
        <v>1778</v>
      </c>
      <c r="BC82" s="1">
        <v>1866</v>
      </c>
      <c r="BD82" s="1">
        <v>1917</v>
      </c>
      <c r="BE82" s="1">
        <v>1871</v>
      </c>
      <c r="BF82" s="1">
        <v>1970</v>
      </c>
      <c r="BG82" s="1">
        <v>2076</v>
      </c>
      <c r="BH82" s="1">
        <v>2134</v>
      </c>
      <c r="BI82" s="1">
        <v>2101</v>
      </c>
      <c r="BJ82" s="1">
        <v>2229</v>
      </c>
      <c r="BK82" s="1">
        <v>2304</v>
      </c>
      <c r="BL82" s="1">
        <v>2400</v>
      </c>
      <c r="BM82" s="1">
        <v>2501</v>
      </c>
      <c r="BN82" s="1">
        <v>2558</v>
      </c>
      <c r="BO82" s="1">
        <v>2693</v>
      </c>
      <c r="BP82" s="1">
        <v>2815</v>
      </c>
      <c r="BQ82" s="1">
        <v>2828</v>
      </c>
      <c r="BR82" s="1">
        <v>2926</v>
      </c>
      <c r="BS82" s="1">
        <v>3027</v>
      </c>
      <c r="BT82" s="1">
        <v>3049</v>
      </c>
      <c r="CL82" s="1">
        <f t="shared" si="137"/>
        <v>1531</v>
      </c>
      <c r="CM82" s="1">
        <f>BB82</f>
        <v>1778</v>
      </c>
      <c r="CN82" s="1">
        <f>BF82</f>
        <v>1970</v>
      </c>
      <c r="CO82" s="1">
        <f>BJ82</f>
        <v>2229</v>
      </c>
      <c r="CP82" s="1">
        <f>BN82</f>
        <v>2558</v>
      </c>
      <c r="CQ82" s="1">
        <f t="shared" ref="CQ82:CQ92" si="139">BQ82</f>
        <v>2828</v>
      </c>
      <c r="CR82" s="48"/>
      <c r="CS82" s="48"/>
      <c r="CT82" s="48"/>
      <c r="CU82" s="48"/>
      <c r="CV82" s="48"/>
      <c r="CW82" s="48"/>
      <c r="CX82" s="48"/>
      <c r="CY82" s="48"/>
      <c r="CZ82" s="48"/>
      <c r="DA82" s="48"/>
      <c r="DB82" s="48"/>
      <c r="DC82" s="48">
        <v>2024</v>
      </c>
      <c r="DD82" s="48">
        <v>2025</v>
      </c>
      <c r="DF82" s="49" t="s">
        <v>2338</v>
      </c>
      <c r="DG82" s="48"/>
      <c r="DH82" s="48">
        <v>2025</v>
      </c>
      <c r="DI82" s="48"/>
      <c r="DJ82" s="35" t="s">
        <v>2261</v>
      </c>
      <c r="DK82" s="50">
        <v>1.7500000000000002E-2</v>
      </c>
      <c r="DL82" s="48"/>
    </row>
    <row r="83" spans="2:146" ht="15" customHeight="1">
      <c r="B83" s="1" t="s">
        <v>126</v>
      </c>
      <c r="AX83" s="1">
        <v>1351</v>
      </c>
      <c r="AY83" s="1">
        <v>1407</v>
      </c>
      <c r="AZ83" s="1">
        <v>1430</v>
      </c>
      <c r="BA83" s="1">
        <v>1603</v>
      </c>
      <c r="BB83" s="1">
        <v>1610</v>
      </c>
      <c r="BC83" s="1">
        <v>1736</v>
      </c>
      <c r="BD83" s="1">
        <v>1752</v>
      </c>
      <c r="BE83" s="1">
        <v>1788</v>
      </c>
      <c r="BF83" s="1">
        <v>1867</v>
      </c>
      <c r="BG83" s="1">
        <v>2050</v>
      </c>
      <c r="BH83" s="1">
        <v>2250</v>
      </c>
      <c r="BI83" s="1">
        <v>2404</v>
      </c>
      <c r="BJ83" s="1">
        <v>2484</v>
      </c>
      <c r="BK83" s="1">
        <v>2561</v>
      </c>
      <c r="BL83" s="1">
        <v>2608</v>
      </c>
      <c r="BM83" s="1">
        <v>2753</v>
      </c>
      <c r="BN83" s="1">
        <v>2810</v>
      </c>
      <c r="BO83" s="1">
        <v>2867</v>
      </c>
      <c r="BP83" s="1">
        <v>2861</v>
      </c>
      <c r="BQ83" s="1">
        <v>2921</v>
      </c>
      <c r="BR83" s="1">
        <v>2943</v>
      </c>
      <c r="BS83" s="1">
        <v>3117</v>
      </c>
      <c r="BT83" s="1">
        <v>3235</v>
      </c>
      <c r="CL83" s="1">
        <f t="shared" si="137"/>
        <v>1351</v>
      </c>
      <c r="CM83" s="1">
        <f>BB83</f>
        <v>1610</v>
      </c>
      <c r="CN83" s="1">
        <f>BF83</f>
        <v>1867</v>
      </c>
      <c r="CO83" s="1">
        <f>BJ83</f>
        <v>2484</v>
      </c>
      <c r="CP83" s="1">
        <f>BN83</f>
        <v>2810</v>
      </c>
      <c r="CQ83" s="1">
        <f t="shared" si="139"/>
        <v>2921</v>
      </c>
      <c r="CR83" s="48"/>
      <c r="DC83" s="52">
        <f>SUM(CP81:CP84)-CP95+CP87+CP89+CP88</f>
        <v>32196</v>
      </c>
      <c r="DD83" s="52">
        <f>SUM(CQ81:CQ84)-CQ95+CQ87+CQ89+CQ88</f>
        <v>35503</v>
      </c>
      <c r="DF83" s="52">
        <f>AVERAGE(DC83:DD83)</f>
        <v>33849.5</v>
      </c>
      <c r="DG83" s="48"/>
      <c r="DH83" s="51">
        <f>AVERAGE(CR62)*(1-CR78)</f>
        <v>3230.3919573750022</v>
      </c>
      <c r="DI83" s="48"/>
      <c r="DJ83" s="35" t="s">
        <v>2262</v>
      </c>
      <c r="DK83" s="50">
        <v>4.99E-2</v>
      </c>
      <c r="DL83" s="48"/>
    </row>
    <row r="84" spans="2:146" ht="15" customHeight="1">
      <c r="B84" s="1" t="s">
        <v>127</v>
      </c>
      <c r="AX84" s="1">
        <v>194</v>
      </c>
      <c r="AY84" s="1">
        <v>192</v>
      </c>
      <c r="AZ84" s="1">
        <v>202</v>
      </c>
      <c r="BA84" s="1">
        <v>217</v>
      </c>
      <c r="BB84" s="1">
        <v>205</v>
      </c>
      <c r="BC84" s="1">
        <v>249</v>
      </c>
      <c r="BD84" s="1">
        <v>264</v>
      </c>
      <c r="BE84" s="1">
        <v>262</v>
      </c>
      <c r="BF84" s="1">
        <v>264</v>
      </c>
      <c r="BG84" s="1">
        <v>296</v>
      </c>
      <c r="BH84" s="1">
        <v>303</v>
      </c>
      <c r="BI84" s="1">
        <v>307</v>
      </c>
      <c r="BJ84" s="1">
        <v>315</v>
      </c>
      <c r="BK84" s="1">
        <v>319</v>
      </c>
      <c r="BL84" s="1">
        <v>315</v>
      </c>
      <c r="BM84" s="1">
        <v>332</v>
      </c>
      <c r="BN84" s="1">
        <v>307</v>
      </c>
      <c r="BO84" s="1">
        <v>294</v>
      </c>
      <c r="BP84" s="1">
        <v>298</v>
      </c>
      <c r="BQ84" s="1">
        <v>310</v>
      </c>
      <c r="BR84" s="1">
        <v>299</v>
      </c>
      <c r="BS84" s="1">
        <v>358</v>
      </c>
      <c r="BT84" s="1">
        <v>390</v>
      </c>
      <c r="CL84" s="1">
        <f t="shared" si="137"/>
        <v>194</v>
      </c>
      <c r="CM84" s="1">
        <f>BB84</f>
        <v>205</v>
      </c>
      <c r="CN84" s="1">
        <f>BF84</f>
        <v>264</v>
      </c>
      <c r="CO84" s="1">
        <f>BJ84</f>
        <v>315</v>
      </c>
      <c r="CP84" s="1">
        <f>BN84</f>
        <v>307</v>
      </c>
      <c r="CQ84" s="1">
        <f t="shared" si="139"/>
        <v>310</v>
      </c>
      <c r="DD84" s="48"/>
      <c r="DE84" s="48"/>
      <c r="DF84" s="48"/>
      <c r="DG84" s="48"/>
      <c r="DH84" s="53">
        <f>DH83/DF83</f>
        <v>9.5433963791932003E-2</v>
      </c>
      <c r="DI84" s="48"/>
      <c r="DJ84" s="35" t="s">
        <v>2263</v>
      </c>
      <c r="DK84" s="50">
        <f>10.35%-DK83</f>
        <v>5.3599999999999995E-2</v>
      </c>
      <c r="DL84" s="48"/>
    </row>
    <row r="85" spans="2:146" ht="15" customHeight="1">
      <c r="B85" s="1" t="s">
        <v>161</v>
      </c>
      <c r="AX85" s="1">
        <v>1133</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CL85" s="1">
        <f t="shared" si="137"/>
        <v>1133</v>
      </c>
      <c r="CM85" s="1">
        <v>0</v>
      </c>
      <c r="CN85" s="1">
        <v>0</v>
      </c>
      <c r="CO85" s="1">
        <v>0</v>
      </c>
      <c r="CP85" s="1">
        <v>0</v>
      </c>
      <c r="CQ85" s="1">
        <f t="shared" si="139"/>
        <v>0</v>
      </c>
      <c r="CR85" s="48"/>
      <c r="DC85" s="64" t="s">
        <v>2405</v>
      </c>
      <c r="DD85" s="48"/>
      <c r="DE85" s="48"/>
      <c r="DG85" s="48"/>
      <c r="DH85" s="48"/>
      <c r="DI85" s="48"/>
      <c r="DJ85" s="35" t="s">
        <v>2264</v>
      </c>
      <c r="DK85" s="48">
        <f>'Notes | Analysis'!K269</f>
        <v>0.73</v>
      </c>
      <c r="DL85" s="48"/>
    </row>
    <row r="86" spans="2:146" ht="15" customHeight="1">
      <c r="B86" s="1" t="s">
        <v>128</v>
      </c>
      <c r="AX86" s="1">
        <v>751</v>
      </c>
      <c r="AY86" s="1">
        <v>855</v>
      </c>
      <c r="AZ86" s="1">
        <v>777</v>
      </c>
      <c r="BA86" s="1">
        <v>792</v>
      </c>
      <c r="BB86" s="1">
        <v>799</v>
      </c>
      <c r="BC86" s="1">
        <v>889</v>
      </c>
      <c r="BD86" s="1">
        <v>874</v>
      </c>
      <c r="BE86" s="1">
        <v>884</v>
      </c>
      <c r="BF86" s="1">
        <v>731</v>
      </c>
      <c r="BG86" s="1">
        <v>711</v>
      </c>
      <c r="BH86" s="1">
        <v>773</v>
      </c>
      <c r="BI86" s="1">
        <v>741</v>
      </c>
      <c r="BJ86" s="1">
        <v>621</v>
      </c>
      <c r="BK86" s="1">
        <v>671</v>
      </c>
      <c r="BL86" s="1">
        <v>756</v>
      </c>
      <c r="BM86" s="1">
        <v>674</v>
      </c>
      <c r="BN86" s="1">
        <v>831</v>
      </c>
      <c r="BO86" s="1">
        <v>756</v>
      </c>
      <c r="BP86" s="1">
        <v>613</v>
      </c>
      <c r="BQ86" s="1">
        <v>701</v>
      </c>
      <c r="BR86" s="1">
        <v>660</v>
      </c>
      <c r="BS86" s="1">
        <v>729</v>
      </c>
      <c r="BT86" s="1">
        <v>760</v>
      </c>
      <c r="CL86" s="1">
        <f t="shared" si="137"/>
        <v>751</v>
      </c>
      <c r="CM86" s="1">
        <f t="shared" ref="CM86:CM92" si="140">BB86</f>
        <v>799</v>
      </c>
      <c r="CN86" s="1">
        <f t="shared" ref="CN86:CN92" si="141">BF86</f>
        <v>731</v>
      </c>
      <c r="CO86" s="1">
        <f t="shared" ref="CO86:CO92" si="142">BJ86</f>
        <v>621</v>
      </c>
      <c r="CP86" s="1">
        <f t="shared" ref="CP86:CP92" si="143">BN86</f>
        <v>831</v>
      </c>
      <c r="CQ86" s="1">
        <f t="shared" si="139"/>
        <v>701</v>
      </c>
      <c r="CR86" s="48"/>
      <c r="DC86" s="71" t="s">
        <v>2407</v>
      </c>
      <c r="DF86" s="51">
        <f>Main!C5</f>
        <v>64380.057999999997</v>
      </c>
      <c r="DG86" s="48"/>
      <c r="DI86" s="48"/>
      <c r="DJ86" s="35" t="s">
        <v>2265</v>
      </c>
      <c r="DK86" s="50">
        <f>+DK83+(DK84*DK85)</f>
        <v>8.9027999999999996E-2</v>
      </c>
      <c r="DL86" s="48"/>
    </row>
    <row r="87" spans="2:146" ht="15" customHeight="1">
      <c r="B87" s="1" t="s">
        <v>129</v>
      </c>
      <c r="AX87" s="1">
        <v>2084</v>
      </c>
      <c r="AY87" s="1">
        <v>2053</v>
      </c>
      <c r="AZ87" s="1">
        <v>2082</v>
      </c>
      <c r="BA87" s="1">
        <v>2109</v>
      </c>
      <c r="BB87" s="1">
        <v>2252</v>
      </c>
      <c r="BC87" s="1">
        <v>2265</v>
      </c>
      <c r="BD87" s="1">
        <v>2246</v>
      </c>
      <c r="BE87" s="1">
        <v>2273</v>
      </c>
      <c r="BF87" s="1">
        <v>2446</v>
      </c>
      <c r="BG87" s="1">
        <v>2478</v>
      </c>
      <c r="BH87" s="1">
        <v>2534</v>
      </c>
      <c r="BI87" s="1">
        <v>2635</v>
      </c>
      <c r="BJ87" s="1">
        <v>2859</v>
      </c>
      <c r="BK87" s="1">
        <v>2897</v>
      </c>
      <c r="BL87" s="1">
        <v>2951</v>
      </c>
      <c r="BM87" s="1">
        <v>3072</v>
      </c>
      <c r="BN87" s="1">
        <v>3294</v>
      </c>
      <c r="BO87" s="1">
        <v>3389</v>
      </c>
      <c r="BP87" s="1">
        <v>3461</v>
      </c>
      <c r="BQ87" s="1">
        <v>3795</v>
      </c>
      <c r="BR87" s="1">
        <v>4036</v>
      </c>
      <c r="BS87" s="1">
        <v>4063</v>
      </c>
      <c r="BT87" s="1">
        <v>4126</v>
      </c>
      <c r="CL87" s="1">
        <f t="shared" si="137"/>
        <v>2084</v>
      </c>
      <c r="CM87" s="1">
        <f t="shared" si="140"/>
        <v>2252</v>
      </c>
      <c r="CN87" s="1">
        <f t="shared" si="141"/>
        <v>2446</v>
      </c>
      <c r="CO87" s="1">
        <f t="shared" si="142"/>
        <v>2859</v>
      </c>
      <c r="CP87" s="1">
        <f t="shared" si="143"/>
        <v>3294</v>
      </c>
      <c r="CQ87" s="1">
        <f t="shared" si="139"/>
        <v>3795</v>
      </c>
      <c r="CR87" s="48"/>
      <c r="DC87" s="71" t="s">
        <v>2406</v>
      </c>
      <c r="DF87" s="67">
        <f>Main!C7/(Main!C7+DF86)</f>
        <v>0.1457912050752323</v>
      </c>
      <c r="DG87" s="64"/>
      <c r="DI87" s="48"/>
      <c r="DJ87" s="35"/>
      <c r="DK87" s="48"/>
      <c r="DL87" s="48"/>
    </row>
    <row r="88" spans="2:146" ht="15" customHeight="1">
      <c r="B88" s="1" t="s">
        <v>130</v>
      </c>
      <c r="AX88" s="1">
        <v>9951</v>
      </c>
      <c r="AY88" s="1">
        <v>10868</v>
      </c>
      <c r="AZ88" s="1">
        <v>10874</v>
      </c>
      <c r="BA88" s="1">
        <v>11820</v>
      </c>
      <c r="BB88" s="1">
        <v>11988</v>
      </c>
      <c r="BC88" s="1">
        <v>12949</v>
      </c>
      <c r="BD88" s="1">
        <v>12883</v>
      </c>
      <c r="BE88" s="1">
        <v>12852</v>
      </c>
      <c r="BF88" s="1">
        <v>12920</v>
      </c>
      <c r="BG88" s="1">
        <v>13269</v>
      </c>
      <c r="BH88" s="1">
        <v>13659</v>
      </c>
      <c r="BI88" s="1">
        <v>13608</v>
      </c>
      <c r="BJ88" s="1">
        <v>14387</v>
      </c>
      <c r="BK88" s="1">
        <v>14361</v>
      </c>
      <c r="BL88" s="1">
        <v>14397</v>
      </c>
      <c r="BM88" s="1">
        <v>15033</v>
      </c>
      <c r="BN88" s="1">
        <v>17089</v>
      </c>
      <c r="BO88" s="1">
        <v>17340</v>
      </c>
      <c r="BP88" s="1">
        <v>18076</v>
      </c>
      <c r="BQ88" s="1">
        <v>18214</v>
      </c>
      <c r="BR88" s="1">
        <v>18282</v>
      </c>
      <c r="BS88" s="1">
        <v>18536</v>
      </c>
      <c r="BT88" s="1">
        <v>18640</v>
      </c>
      <c r="CL88" s="1">
        <f t="shared" si="137"/>
        <v>9951</v>
      </c>
      <c r="CM88" s="1">
        <f t="shared" si="140"/>
        <v>11988</v>
      </c>
      <c r="CN88" s="1">
        <f t="shared" si="141"/>
        <v>12920</v>
      </c>
      <c r="CO88" s="1">
        <f t="shared" si="142"/>
        <v>14387</v>
      </c>
      <c r="CP88" s="1">
        <f t="shared" si="143"/>
        <v>17089</v>
      </c>
      <c r="CQ88" s="1">
        <f t="shared" si="139"/>
        <v>18214</v>
      </c>
      <c r="CR88" s="48"/>
      <c r="DC88" s="71" t="s">
        <v>2412</v>
      </c>
      <c r="DF88" s="67">
        <f>DF86/(DF86+Main!C7)</f>
        <v>0.85420879492476776</v>
      </c>
      <c r="DG88" s="48"/>
      <c r="DI88" s="48"/>
      <c r="DJ88" s="35" t="s">
        <v>2266</v>
      </c>
      <c r="DK88" s="51">
        <f>NPV(DK86,CR70:EO70)</f>
        <v>97916.101775516247</v>
      </c>
      <c r="DL88" s="48"/>
    </row>
    <row r="89" spans="2:146" ht="15" customHeight="1">
      <c r="B89" s="1" t="s">
        <v>131</v>
      </c>
      <c r="AX89" s="1">
        <v>5917</v>
      </c>
      <c r="AY89" s="1">
        <v>5991</v>
      </c>
      <c r="AZ89" s="1">
        <v>5788</v>
      </c>
      <c r="BA89" s="1">
        <v>6227</v>
      </c>
      <c r="BB89" s="1">
        <v>6121</v>
      </c>
      <c r="BC89" s="1">
        <v>6581</v>
      </c>
      <c r="BD89" s="1">
        <v>6349</v>
      </c>
      <c r="BE89" s="1">
        <v>6058</v>
      </c>
      <c r="BF89" s="1">
        <v>5902</v>
      </c>
      <c r="BG89" s="1">
        <v>6060</v>
      </c>
      <c r="BH89" s="1">
        <v>6063</v>
      </c>
      <c r="BI89" s="1">
        <v>5849</v>
      </c>
      <c r="BJ89" s="1">
        <v>6003</v>
      </c>
      <c r="BK89" s="1">
        <v>5839</v>
      </c>
      <c r="BL89" s="1">
        <v>5417</v>
      </c>
      <c r="BM89" s="1">
        <v>5754</v>
      </c>
      <c r="BN89" s="1">
        <v>6684</v>
      </c>
      <c r="BO89" s="1">
        <v>6566</v>
      </c>
      <c r="BP89" s="1">
        <v>7260</v>
      </c>
      <c r="BQ89" s="1">
        <v>7162</v>
      </c>
      <c r="BR89" s="1">
        <v>7019</v>
      </c>
      <c r="BS89" s="1">
        <v>7060</v>
      </c>
      <c r="BT89" s="1">
        <v>6918</v>
      </c>
      <c r="CL89" s="1">
        <f t="shared" si="137"/>
        <v>5917</v>
      </c>
      <c r="CM89" s="1">
        <f t="shared" si="140"/>
        <v>6121</v>
      </c>
      <c r="CN89" s="1">
        <f t="shared" si="141"/>
        <v>5902</v>
      </c>
      <c r="CO89" s="1">
        <f t="shared" si="142"/>
        <v>6003</v>
      </c>
      <c r="CP89" s="1">
        <f t="shared" si="143"/>
        <v>6684</v>
      </c>
      <c r="CQ89" s="1">
        <f t="shared" si="139"/>
        <v>7162</v>
      </c>
      <c r="CR89" s="48"/>
      <c r="DC89" s="74" t="s">
        <v>2414</v>
      </c>
      <c r="DD89" s="58"/>
      <c r="DE89" s="58"/>
      <c r="DF89" s="75">
        <f>CQ98/CQ102</f>
        <v>0.47046127803639443</v>
      </c>
      <c r="DG89" s="48"/>
      <c r="DH89" s="48"/>
      <c r="DI89" s="48"/>
      <c r="DJ89" s="35" t="s">
        <v>1</v>
      </c>
      <c r="DK89" s="52">
        <f>Main!C4</f>
        <v>1470.2</v>
      </c>
      <c r="DL89" s="54"/>
    </row>
    <row r="90" spans="2:146" ht="15" customHeight="1">
      <c r="B90" s="1" t="s">
        <v>132</v>
      </c>
      <c r="AX90" s="1">
        <v>4210</v>
      </c>
      <c r="AY90" s="1">
        <v>4173</v>
      </c>
      <c r="AZ90" s="1">
        <v>4036</v>
      </c>
      <c r="BA90" s="1">
        <v>4049</v>
      </c>
      <c r="BB90" s="1">
        <v>4142</v>
      </c>
      <c r="BC90" s="1">
        <v>4102</v>
      </c>
      <c r="BD90" s="1">
        <v>4059</v>
      </c>
      <c r="BE90" s="1">
        <v>4018</v>
      </c>
      <c r="BF90" s="1">
        <v>3942</v>
      </c>
      <c r="BG90" s="1">
        <v>3900</v>
      </c>
      <c r="BH90" s="1">
        <v>3865</v>
      </c>
      <c r="BI90" s="1">
        <v>3840</v>
      </c>
      <c r="BJ90" s="1">
        <v>3841</v>
      </c>
      <c r="BK90" s="1">
        <v>3792</v>
      </c>
      <c r="BL90" s="1">
        <v>3801</v>
      </c>
      <c r="BM90" s="1">
        <v>3816</v>
      </c>
      <c r="BN90" s="1">
        <v>3655</v>
      </c>
      <c r="BO90" s="1">
        <v>3676</v>
      </c>
      <c r="BP90" s="1">
        <v>3778</v>
      </c>
      <c r="BQ90" s="1">
        <v>3669</v>
      </c>
      <c r="BR90" s="1">
        <v>3675</v>
      </c>
      <c r="BS90" s="1">
        <v>3953</v>
      </c>
      <c r="BT90" s="1">
        <v>3909</v>
      </c>
      <c r="CL90" s="1">
        <f t="shared" si="137"/>
        <v>4210</v>
      </c>
      <c r="CM90" s="1">
        <f t="shared" si="140"/>
        <v>4142</v>
      </c>
      <c r="CN90" s="1">
        <f t="shared" si="141"/>
        <v>3942</v>
      </c>
      <c r="CO90" s="1">
        <f t="shared" si="142"/>
        <v>3841</v>
      </c>
      <c r="CP90" s="1">
        <f t="shared" si="143"/>
        <v>3655</v>
      </c>
      <c r="CQ90" s="1">
        <f t="shared" si="139"/>
        <v>3669</v>
      </c>
      <c r="CR90" s="48"/>
      <c r="DG90" s="48"/>
      <c r="DH90" s="48"/>
      <c r="DI90" s="48"/>
      <c r="DJ90" s="35" t="s">
        <v>2267</v>
      </c>
      <c r="DK90" s="55">
        <f>DK88/DK89</f>
        <v>66.600531747732447</v>
      </c>
      <c r="DL90" s="49"/>
    </row>
    <row r="91" spans="2:146" ht="15" customHeight="1">
      <c r="B91" s="1" t="s">
        <v>133</v>
      </c>
      <c r="AX91" s="1">
        <v>1921</v>
      </c>
      <c r="AY91" s="1">
        <v>1714</v>
      </c>
      <c r="AZ91" s="1">
        <v>1629</v>
      </c>
      <c r="BA91" s="1">
        <v>1444</v>
      </c>
      <c r="BB91" s="1">
        <v>1409</v>
      </c>
      <c r="BC91" s="1">
        <v>1375</v>
      </c>
      <c r="BD91" s="1">
        <v>1569</v>
      </c>
      <c r="BE91" s="1">
        <v>1602</v>
      </c>
      <c r="BF91" s="1">
        <v>1500</v>
      </c>
      <c r="BG91" s="1">
        <v>1482</v>
      </c>
      <c r="BH91" s="1">
        <v>1595</v>
      </c>
      <c r="BI91" s="1">
        <v>1605</v>
      </c>
      <c r="BJ91" s="1">
        <v>1531</v>
      </c>
      <c r="BK91" s="1">
        <v>1596</v>
      </c>
      <c r="BL91" s="1">
        <v>1550</v>
      </c>
      <c r="BM91" s="1">
        <v>1642</v>
      </c>
      <c r="BN91" s="1">
        <v>1753</v>
      </c>
      <c r="BO91" s="1">
        <v>1834</v>
      </c>
      <c r="BP91" s="1">
        <v>1864</v>
      </c>
      <c r="BQ91" s="1">
        <v>1832</v>
      </c>
      <c r="BR91" s="1">
        <v>1866</v>
      </c>
      <c r="BS91" s="1">
        <v>2055</v>
      </c>
      <c r="BT91" s="1">
        <f>2245+1405</f>
        <v>3650</v>
      </c>
      <c r="CL91" s="1">
        <f t="shared" si="137"/>
        <v>1921</v>
      </c>
      <c r="CM91" s="1">
        <f t="shared" si="140"/>
        <v>1409</v>
      </c>
      <c r="CN91" s="1">
        <f t="shared" si="141"/>
        <v>1500</v>
      </c>
      <c r="CO91" s="1">
        <f t="shared" si="142"/>
        <v>1531</v>
      </c>
      <c r="CP91" s="1">
        <f t="shared" si="143"/>
        <v>1753</v>
      </c>
      <c r="CQ91" s="1">
        <f t="shared" si="139"/>
        <v>1832</v>
      </c>
      <c r="CR91" s="48"/>
      <c r="DC91" s="58" t="s">
        <v>2402</v>
      </c>
      <c r="DF91" s="48"/>
      <c r="DG91" s="64"/>
      <c r="DH91" s="64"/>
      <c r="DI91" s="64"/>
      <c r="DJ91" s="35" t="s">
        <v>2268</v>
      </c>
      <c r="DK91" s="55">
        <f>Main!C3</f>
        <v>43.79</v>
      </c>
      <c r="DL91" s="56"/>
    </row>
    <row r="92" spans="2:146" s="3" customFormat="1" ht="15" customHeight="1">
      <c r="B92" s="3" t="s">
        <v>134</v>
      </c>
      <c r="AX92" s="3">
        <f t="shared" ref="AX92:BO92" si="144">SUM(AX81:AX91)</f>
        <v>30777</v>
      </c>
      <c r="AY92" s="3">
        <f t="shared" si="144"/>
        <v>30900</v>
      </c>
      <c r="AZ92" s="3">
        <f t="shared" si="144"/>
        <v>31168</v>
      </c>
      <c r="BA92" s="3">
        <f t="shared" si="144"/>
        <v>31877</v>
      </c>
      <c r="BB92" s="3">
        <f t="shared" si="144"/>
        <v>32229</v>
      </c>
      <c r="BC92" s="3">
        <f t="shared" si="144"/>
        <v>32337</v>
      </c>
      <c r="BD92" s="3">
        <f t="shared" si="144"/>
        <v>32189</v>
      </c>
      <c r="BE92" s="3">
        <f t="shared" si="144"/>
        <v>31947</v>
      </c>
      <c r="BF92" s="3">
        <f t="shared" si="144"/>
        <v>32470</v>
      </c>
      <c r="BG92" s="3">
        <f t="shared" si="144"/>
        <v>32892</v>
      </c>
      <c r="BH92" s="3">
        <f t="shared" si="144"/>
        <v>33602</v>
      </c>
      <c r="BI92" s="3">
        <f t="shared" si="144"/>
        <v>34042</v>
      </c>
      <c r="BJ92" s="3">
        <f t="shared" si="144"/>
        <v>35136</v>
      </c>
      <c r="BK92" s="3">
        <f t="shared" si="144"/>
        <v>36669</v>
      </c>
      <c r="BL92" s="3">
        <f t="shared" si="144"/>
        <v>37108</v>
      </c>
      <c r="BM92" s="3">
        <f t="shared" si="144"/>
        <v>38079</v>
      </c>
      <c r="BN92" s="3">
        <f>SUM(BN81:BN91)</f>
        <v>39395</v>
      </c>
      <c r="BO92" s="3">
        <f t="shared" si="144"/>
        <v>40140</v>
      </c>
      <c r="BP92" s="3">
        <f t="shared" ref="BP92" si="145">SUM(BP81:BP91)</f>
        <v>41560</v>
      </c>
      <c r="BQ92" s="3">
        <f>SUM(BQ81:BQ91)</f>
        <v>42707</v>
      </c>
      <c r="BR92" s="3">
        <f>SUM(BR81:BR91)</f>
        <v>43671</v>
      </c>
      <c r="BS92" s="3">
        <f>SUM(BS81:BS91)</f>
        <v>44351</v>
      </c>
      <c r="BT92" s="3">
        <f>SUM(BT81:BT91)</f>
        <v>45216</v>
      </c>
      <c r="BU92" s="58"/>
      <c r="BV92" s="58"/>
      <c r="CL92" s="3">
        <f t="shared" si="137"/>
        <v>30777</v>
      </c>
      <c r="CM92" s="3">
        <f t="shared" si="140"/>
        <v>32229</v>
      </c>
      <c r="CN92" s="3">
        <f t="shared" si="141"/>
        <v>32470</v>
      </c>
      <c r="CO92" s="3">
        <f t="shared" si="142"/>
        <v>35136</v>
      </c>
      <c r="CP92" s="3">
        <f t="shared" si="143"/>
        <v>39395</v>
      </c>
      <c r="CQ92" s="3">
        <f t="shared" si="139"/>
        <v>42707</v>
      </c>
      <c r="CR92" s="48"/>
      <c r="DC92" s="72" t="s">
        <v>2262</v>
      </c>
      <c r="DD92" s="57"/>
      <c r="DE92" s="57"/>
      <c r="DF92" s="67">
        <f>DK83</f>
        <v>4.99E-2</v>
      </c>
      <c r="DG92" s="48"/>
      <c r="DH92" s="48"/>
      <c r="DI92" s="48"/>
      <c r="DJ92" s="35" t="s">
        <v>2340</v>
      </c>
      <c r="DK92" s="50">
        <f>DK90/DK91-1</f>
        <v>0.52090732467989143</v>
      </c>
      <c r="DL92" s="49" t="str">
        <f>IF(DK92&gt;0,"Upside","Downside")</f>
        <v>Upside</v>
      </c>
      <c r="DM92" s="58"/>
      <c r="DN92" s="58"/>
      <c r="DO92" s="58"/>
      <c r="DP92" s="58"/>
      <c r="DQ92" s="58"/>
      <c r="DR92" s="58"/>
      <c r="DS92" s="58"/>
      <c r="DT92" s="58"/>
      <c r="DU92" s="58"/>
      <c r="DV92" s="58"/>
      <c r="DW92" s="58"/>
      <c r="DX92" s="58"/>
      <c r="DY92" s="58"/>
      <c r="DZ92" s="58"/>
      <c r="EA92" s="58"/>
      <c r="EB92" s="58"/>
      <c r="EC92" s="58"/>
      <c r="ED92" s="58"/>
      <c r="EE92" s="58"/>
      <c r="EF92" s="58"/>
      <c r="EG92" s="58"/>
      <c r="EH92" s="58"/>
      <c r="EI92" s="58"/>
      <c r="EJ92" s="58"/>
      <c r="EK92" s="58"/>
      <c r="EL92" s="58"/>
      <c r="EM92" s="58"/>
      <c r="EN92" s="58"/>
      <c r="EO92" s="58"/>
      <c r="EP92" s="58"/>
    </row>
    <row r="93" spans="2:146" ht="15" customHeight="1">
      <c r="BO93" s="1"/>
      <c r="BP93" s="1"/>
      <c r="CR93" s="48"/>
      <c r="DC93" s="72" t="s">
        <v>2264</v>
      </c>
      <c r="DF93" s="55">
        <f>'Notes | Analysis'!K269</f>
        <v>0.73</v>
      </c>
      <c r="DJ93" s="116" t="str" cm="1">
        <f t="array" ref="DJ93">_xlfn.IFS(DK92&gt;=25%,"Strong Buy",DK92&gt;=10.00001%,"Buy",AND(DK92&lt;=10%,DK92&gt;=-4.9999%),"Hold",AND(DK92&lt;=-5%,DK92&gt;=-14.999999%),"Sell",DK92&lt;=-15%,"Strong Sell")</f>
        <v>Strong Buy</v>
      </c>
      <c r="DK93" s="116"/>
    </row>
    <row r="94" spans="2:146" ht="15" customHeight="1">
      <c r="B94" s="1" t="s">
        <v>135</v>
      </c>
      <c r="AX94" s="1">
        <v>13</v>
      </c>
      <c r="AY94" s="1">
        <v>13</v>
      </c>
      <c r="AZ94" s="1">
        <v>262</v>
      </c>
      <c r="BA94" s="1">
        <v>261</v>
      </c>
      <c r="BB94" s="1">
        <v>260</v>
      </c>
      <c r="BC94" s="1">
        <v>238</v>
      </c>
      <c r="BD94" s="1">
        <v>170</v>
      </c>
      <c r="BE94" s="1">
        <v>20</v>
      </c>
      <c r="BF94" s="1">
        <v>20</v>
      </c>
      <c r="BG94" s="1">
        <v>510</v>
      </c>
      <c r="BH94" s="1">
        <v>559</v>
      </c>
      <c r="BI94" s="1">
        <v>513</v>
      </c>
      <c r="BJ94" s="1">
        <v>531</v>
      </c>
      <c r="BK94" s="1">
        <v>1085</v>
      </c>
      <c r="BL94" s="1">
        <v>1580</v>
      </c>
      <c r="BM94" s="1">
        <v>1652</v>
      </c>
      <c r="BN94" s="1">
        <v>1779</v>
      </c>
      <c r="BO94" s="1">
        <v>777</v>
      </c>
      <c r="BP94" s="1">
        <v>480</v>
      </c>
      <c r="BQ94" s="1">
        <v>483</v>
      </c>
      <c r="BR94" s="1">
        <v>299</v>
      </c>
      <c r="BS94" s="1">
        <v>41</v>
      </c>
      <c r="BT94" s="1">
        <v>1709</v>
      </c>
      <c r="CL94" s="1">
        <f t="shared" ref="CL94:CL100" si="146">AX94</f>
        <v>13</v>
      </c>
      <c r="CM94" s="1">
        <f t="shared" ref="CM94:CM100" si="147">BB94</f>
        <v>260</v>
      </c>
      <c r="CN94" s="1">
        <f t="shared" ref="CN94:CN100" si="148">BF94</f>
        <v>20</v>
      </c>
      <c r="CO94" s="1">
        <f t="shared" ref="CO94:CO100" si="149">BJ94</f>
        <v>531</v>
      </c>
      <c r="CP94" s="1">
        <f t="shared" ref="CP94:CP100" si="150">BN94</f>
        <v>1779</v>
      </c>
      <c r="CQ94" s="1">
        <f t="shared" ref="CQ94:CQ102" si="151">BQ94</f>
        <v>483</v>
      </c>
      <c r="CR94" s="48"/>
      <c r="DC94" s="71" t="s">
        <v>2403</v>
      </c>
      <c r="DF94" s="67">
        <v>0.14000000000000001</v>
      </c>
    </row>
    <row r="95" spans="2:146" ht="15" customHeight="1">
      <c r="B95" s="1" t="s">
        <v>136</v>
      </c>
      <c r="AX95" s="1">
        <v>513</v>
      </c>
      <c r="AY95" s="1">
        <v>615</v>
      </c>
      <c r="AZ95" s="1">
        <v>689</v>
      </c>
      <c r="BA95" s="1">
        <v>674</v>
      </c>
      <c r="BB95" s="1">
        <v>794</v>
      </c>
      <c r="BC95" s="1">
        <v>696</v>
      </c>
      <c r="BD95" s="1">
        <v>732</v>
      </c>
      <c r="BE95" s="1">
        <v>803</v>
      </c>
      <c r="BF95" s="1">
        <v>862</v>
      </c>
      <c r="BG95" s="1">
        <v>868</v>
      </c>
      <c r="BH95" s="1">
        <v>899</v>
      </c>
      <c r="BI95" s="1">
        <v>929</v>
      </c>
      <c r="BJ95" s="1">
        <v>943</v>
      </c>
      <c r="BK95" s="1">
        <v>921</v>
      </c>
      <c r="BL95" s="1">
        <v>906</v>
      </c>
      <c r="BM95" s="1">
        <v>908</v>
      </c>
      <c r="BN95" s="1">
        <v>960</v>
      </c>
      <c r="BO95" s="1">
        <v>1004</v>
      </c>
      <c r="BP95" s="1">
        <v>962</v>
      </c>
      <c r="BQ95" s="1">
        <v>1002</v>
      </c>
      <c r="BR95" s="1">
        <v>1144</v>
      </c>
      <c r="BS95" s="1">
        <v>1141</v>
      </c>
      <c r="BT95" s="1">
        <v>1231</v>
      </c>
      <c r="CL95" s="1">
        <f t="shared" si="146"/>
        <v>513</v>
      </c>
      <c r="CM95" s="1">
        <f t="shared" si="147"/>
        <v>794</v>
      </c>
      <c r="CN95" s="1">
        <f t="shared" si="148"/>
        <v>862</v>
      </c>
      <c r="CO95" s="1">
        <f t="shared" si="149"/>
        <v>943</v>
      </c>
      <c r="CP95" s="1">
        <f t="shared" si="150"/>
        <v>960</v>
      </c>
      <c r="CQ95" s="1">
        <f t="shared" si="151"/>
        <v>1002</v>
      </c>
      <c r="DC95" s="74" t="s">
        <v>2411</v>
      </c>
      <c r="DD95" s="48"/>
      <c r="DE95" s="3"/>
      <c r="DF95" s="75">
        <f>(DF92+DF93)*(DF94-DF92)</f>
        <v>7.0268990000000017E-2</v>
      </c>
    </row>
    <row r="96" spans="2:146">
      <c r="B96" s="1" t="s">
        <v>137</v>
      </c>
      <c r="AX96" s="1">
        <v>2197</v>
      </c>
      <c r="AY96" s="1">
        <v>2060</v>
      </c>
      <c r="AZ96" s="1">
        <v>2442</v>
      </c>
      <c r="BA96" s="1">
        <v>2418</v>
      </c>
      <c r="BB96" s="1">
        <v>2436</v>
      </c>
      <c r="BC96" s="1">
        <v>2306</v>
      </c>
      <c r="BD96" s="1">
        <v>2197</v>
      </c>
      <c r="BE96" s="1">
        <v>1974</v>
      </c>
      <c r="BF96" s="1">
        <v>2160</v>
      </c>
      <c r="BG96" s="1">
        <v>1918</v>
      </c>
      <c r="BH96" s="1">
        <v>2164</v>
      </c>
      <c r="BI96" s="1">
        <v>2255</v>
      </c>
      <c r="BJ96" s="1">
        <v>2646</v>
      </c>
      <c r="BK96" s="1">
        <v>2083</v>
      </c>
      <c r="BL96" s="1">
        <v>2320</v>
      </c>
      <c r="BM96" s="1">
        <v>2460</v>
      </c>
      <c r="BN96" s="1">
        <v>2773</v>
      </c>
      <c r="BO96" s="1">
        <v>2354</v>
      </c>
      <c r="BP96" s="1">
        <v>2797</v>
      </c>
      <c r="BQ96" s="1">
        <v>2981</v>
      </c>
      <c r="BR96" s="1">
        <v>3201</v>
      </c>
      <c r="BS96" s="1">
        <v>2514</v>
      </c>
      <c r="BT96" s="1">
        <v>2756</v>
      </c>
      <c r="CL96" s="1">
        <f t="shared" si="146"/>
        <v>2197</v>
      </c>
      <c r="CM96" s="1">
        <f t="shared" si="147"/>
        <v>2436</v>
      </c>
      <c r="CN96" s="1">
        <f t="shared" si="148"/>
        <v>2160</v>
      </c>
      <c r="CO96" s="1">
        <f t="shared" si="149"/>
        <v>2646</v>
      </c>
      <c r="CP96" s="1">
        <f t="shared" si="150"/>
        <v>2773</v>
      </c>
      <c r="CQ96" s="1">
        <f t="shared" si="151"/>
        <v>2981</v>
      </c>
      <c r="DC96" s="37"/>
    </row>
    <row r="97" spans="2:146" ht="15">
      <c r="B97" s="1" t="s">
        <v>138</v>
      </c>
      <c r="AX97" s="1">
        <v>958</v>
      </c>
      <c r="AY97" s="1">
        <v>705</v>
      </c>
      <c r="AZ97" s="1">
        <v>680</v>
      </c>
      <c r="BA97" s="1">
        <v>669</v>
      </c>
      <c r="BB97" s="1">
        <v>783</v>
      </c>
      <c r="BC97" s="1">
        <v>1034</v>
      </c>
      <c r="BD97" s="1">
        <v>784</v>
      </c>
      <c r="BE97" s="1">
        <v>752</v>
      </c>
      <c r="BF97" s="1">
        <v>761</v>
      </c>
      <c r="BG97" s="1">
        <v>787</v>
      </c>
      <c r="BH97" s="1">
        <v>940</v>
      </c>
      <c r="BI97" s="1">
        <v>882</v>
      </c>
      <c r="BJ97" s="1">
        <v>814</v>
      </c>
      <c r="BK97" s="1">
        <v>827</v>
      </c>
      <c r="BL97" s="1">
        <v>770</v>
      </c>
      <c r="BM97" s="1">
        <v>891</v>
      </c>
      <c r="BN97" s="1">
        <v>887</v>
      </c>
      <c r="BO97" s="1">
        <v>923</v>
      </c>
      <c r="BP97" s="1">
        <v>952</v>
      </c>
      <c r="BQ97" s="1">
        <v>862</v>
      </c>
      <c r="BR97" s="1">
        <v>795</v>
      </c>
      <c r="BS97" s="1">
        <v>875</v>
      </c>
      <c r="BT97" s="1">
        <v>732</v>
      </c>
      <c r="CL97" s="1">
        <f t="shared" si="146"/>
        <v>958</v>
      </c>
      <c r="CM97" s="1">
        <f t="shared" si="147"/>
        <v>783</v>
      </c>
      <c r="CN97" s="1">
        <f t="shared" si="148"/>
        <v>761</v>
      </c>
      <c r="CO97" s="1">
        <f t="shared" si="149"/>
        <v>814</v>
      </c>
      <c r="CP97" s="1">
        <f t="shared" si="150"/>
        <v>887</v>
      </c>
      <c r="CQ97" s="1">
        <f t="shared" si="151"/>
        <v>862</v>
      </c>
      <c r="DC97" s="58" t="s">
        <v>2404</v>
      </c>
      <c r="DD97" s="38"/>
      <c r="DF97" s="69"/>
    </row>
    <row r="98" spans="2:146" ht="15" customHeight="1">
      <c r="B98" s="1" t="s">
        <v>141</v>
      </c>
      <c r="AX98" s="1">
        <v>9130</v>
      </c>
      <c r="AY98" s="1">
        <v>9082</v>
      </c>
      <c r="AZ98" s="1">
        <v>8847</v>
      </c>
      <c r="BA98" s="1">
        <v>8824</v>
      </c>
      <c r="BB98" s="1">
        <v>8804</v>
      </c>
      <c r="BC98" s="1">
        <v>9067</v>
      </c>
      <c r="BD98" s="1">
        <v>8802</v>
      </c>
      <c r="BE98" s="1">
        <v>8564</v>
      </c>
      <c r="BF98" s="1">
        <v>8915</v>
      </c>
      <c r="BG98" s="1">
        <v>8495</v>
      </c>
      <c r="BH98" s="1">
        <v>8494</v>
      </c>
      <c r="BI98" s="1">
        <v>8386</v>
      </c>
      <c r="BJ98" s="1">
        <v>8571</v>
      </c>
      <c r="BK98" s="1">
        <v>9534</v>
      </c>
      <c r="BL98" s="1">
        <v>8991</v>
      </c>
      <c r="BM98" s="1">
        <v>9233</v>
      </c>
      <c r="BN98" s="1">
        <v>8968</v>
      </c>
      <c r="BO98" s="1">
        <v>10532</v>
      </c>
      <c r="BP98" s="1">
        <v>11107</v>
      </c>
      <c r="BQ98" s="1">
        <v>11117</v>
      </c>
      <c r="BR98" s="1">
        <v>11137</v>
      </c>
      <c r="BS98" s="1">
        <v>10988</v>
      </c>
      <c r="BT98" s="1">
        <v>10915</v>
      </c>
      <c r="CL98" s="1">
        <f t="shared" si="146"/>
        <v>9130</v>
      </c>
      <c r="CM98" s="1">
        <f t="shared" si="147"/>
        <v>8804</v>
      </c>
      <c r="CN98" s="1">
        <f t="shared" si="148"/>
        <v>8915</v>
      </c>
      <c r="CO98" s="1">
        <f t="shared" si="149"/>
        <v>8571</v>
      </c>
      <c r="CP98" s="1">
        <f t="shared" si="150"/>
        <v>8968</v>
      </c>
      <c r="CQ98" s="1">
        <f t="shared" si="151"/>
        <v>11117</v>
      </c>
      <c r="CR98" s="37">
        <f t="shared" ref="CR98:DA98" si="152">CQ98+CR63</f>
        <v>10255.432500000001</v>
      </c>
      <c r="CS98" s="37">
        <f t="shared" si="152"/>
        <v>9460.6364812500015</v>
      </c>
      <c r="CT98" s="37">
        <f t="shared" si="152"/>
        <v>8727.4371539531257</v>
      </c>
      <c r="CU98" s="37">
        <f t="shared" si="152"/>
        <v>8051.0607745217585</v>
      </c>
      <c r="CV98" s="37">
        <f t="shared" si="152"/>
        <v>7427.1035644963222</v>
      </c>
      <c r="CW98" s="37">
        <f t="shared" si="152"/>
        <v>6851.5030382478571</v>
      </c>
      <c r="CX98" s="37">
        <f t="shared" si="152"/>
        <v>6320.5115527836479</v>
      </c>
      <c r="CY98" s="37">
        <f t="shared" si="152"/>
        <v>5830.6719074429147</v>
      </c>
      <c r="CZ98" s="37">
        <f t="shared" si="152"/>
        <v>5378.7948346160892</v>
      </c>
      <c r="DA98" s="37">
        <f t="shared" si="152"/>
        <v>4961.9382349333428</v>
      </c>
      <c r="DC98" s="73" t="s">
        <v>2404</v>
      </c>
      <c r="DF98" s="70">
        <v>7.7499999999999999E-2</v>
      </c>
      <c r="DH98" s="65"/>
      <c r="DJ98" s="35"/>
    </row>
    <row r="99" spans="2:146" ht="15">
      <c r="B99" s="1" t="s">
        <v>139</v>
      </c>
      <c r="AX99" s="1">
        <v>330</v>
      </c>
      <c r="AY99" s="1">
        <v>336</v>
      </c>
      <c r="AZ99" s="1">
        <v>115</v>
      </c>
      <c r="BA99" s="1">
        <v>274</v>
      </c>
      <c r="BB99" s="1">
        <v>310</v>
      </c>
      <c r="BC99" s="1">
        <v>261</v>
      </c>
      <c r="BD99" s="1">
        <v>265</v>
      </c>
      <c r="BE99" s="1">
        <v>278</v>
      </c>
      <c r="BF99" s="1">
        <v>144</v>
      </c>
      <c r="BG99" s="1">
        <v>210</v>
      </c>
      <c r="BH99" s="1">
        <v>135</v>
      </c>
      <c r="BI99" s="1">
        <v>91</v>
      </c>
      <c r="BJ99" s="1">
        <v>134</v>
      </c>
      <c r="BK99" s="1">
        <v>132</v>
      </c>
      <c r="BL99" s="1">
        <v>132</v>
      </c>
      <c r="BM99" s="1">
        <v>138</v>
      </c>
      <c r="BN99" s="1">
        <v>155</v>
      </c>
      <c r="BO99" s="1">
        <v>158</v>
      </c>
      <c r="BP99" s="1">
        <v>226</v>
      </c>
      <c r="BQ99" s="1">
        <v>242</v>
      </c>
      <c r="BR99" s="1">
        <v>220</v>
      </c>
      <c r="BS99" s="1">
        <v>219</v>
      </c>
      <c r="BT99" s="1">
        <v>221</v>
      </c>
      <c r="CL99" s="1">
        <f t="shared" si="146"/>
        <v>330</v>
      </c>
      <c r="CM99" s="1">
        <f t="shared" si="147"/>
        <v>310</v>
      </c>
      <c r="CN99" s="1">
        <f t="shared" si="148"/>
        <v>144</v>
      </c>
      <c r="CO99" s="1">
        <f t="shared" si="149"/>
        <v>134</v>
      </c>
      <c r="CP99" s="1">
        <f t="shared" si="150"/>
        <v>155</v>
      </c>
      <c r="CQ99" s="1">
        <f t="shared" si="151"/>
        <v>242</v>
      </c>
      <c r="DC99" s="71" t="s">
        <v>2408</v>
      </c>
      <c r="DF99" s="67">
        <v>0.04</v>
      </c>
      <c r="DH99" s="65"/>
      <c r="DI99" s="67"/>
      <c r="DJ99" s="35"/>
      <c r="DK99" s="3"/>
      <c r="DL99" s="3"/>
    </row>
    <row r="100" spans="2:146" ht="15">
      <c r="B100" s="1" t="s">
        <v>140</v>
      </c>
      <c r="AX100" s="1">
        <v>2309</v>
      </c>
      <c r="AY100" s="1">
        <v>2370</v>
      </c>
      <c r="AZ100" s="1">
        <v>2190</v>
      </c>
      <c r="BA100" s="1">
        <v>2296</v>
      </c>
      <c r="BB100" s="1">
        <v>2220</v>
      </c>
      <c r="BC100" s="1">
        <v>2000</v>
      </c>
      <c r="BD100" s="1">
        <v>1988</v>
      </c>
      <c r="BE100" s="1">
        <v>1916</v>
      </c>
      <c r="BF100" s="1">
        <v>2035</v>
      </c>
      <c r="BG100" s="1">
        <v>1995</v>
      </c>
      <c r="BH100" s="1">
        <v>1926</v>
      </c>
      <c r="BI100" s="1">
        <v>1858</v>
      </c>
      <c r="BJ100" s="1">
        <v>1967</v>
      </c>
      <c r="BK100" s="1">
        <v>1919</v>
      </c>
      <c r="BL100" s="1">
        <v>1800</v>
      </c>
      <c r="BM100" s="1">
        <v>1841</v>
      </c>
      <c r="BN100" s="1">
        <v>1870</v>
      </c>
      <c r="BO100" s="1">
        <v>1946</v>
      </c>
      <c r="BP100" s="1">
        <v>2383</v>
      </c>
      <c r="BQ100" s="1">
        <v>2390</v>
      </c>
      <c r="BR100" s="1">
        <v>2405</v>
      </c>
      <c r="BS100" s="1">
        <v>2469</v>
      </c>
      <c r="BT100" s="1">
        <v>2480</v>
      </c>
      <c r="CL100" s="1">
        <f t="shared" si="146"/>
        <v>2309</v>
      </c>
      <c r="CM100" s="1">
        <f t="shared" si="147"/>
        <v>2220</v>
      </c>
      <c r="CN100" s="1">
        <f t="shared" si="148"/>
        <v>2035</v>
      </c>
      <c r="CO100" s="1">
        <f t="shared" si="149"/>
        <v>1967</v>
      </c>
      <c r="CP100" s="1">
        <f t="shared" si="150"/>
        <v>1870</v>
      </c>
      <c r="CQ100" s="1">
        <f t="shared" si="151"/>
        <v>2390</v>
      </c>
      <c r="DC100" s="76" t="s">
        <v>2409</v>
      </c>
      <c r="DF100" s="75">
        <f>DF98*(1-DF99)</f>
        <v>7.4399999999999994E-2</v>
      </c>
      <c r="DJ100" s="35"/>
    </row>
    <row r="101" spans="2:146" s="3" customFormat="1" ht="15">
      <c r="B101" s="3" t="s">
        <v>2334</v>
      </c>
      <c r="AX101" s="3">
        <f t="shared" ref="AX101:BN101" si="153">SUM(AX94:AX100)</f>
        <v>15450</v>
      </c>
      <c r="AY101" s="3">
        <f t="shared" si="153"/>
        <v>15181</v>
      </c>
      <c r="AZ101" s="3">
        <f t="shared" si="153"/>
        <v>15225</v>
      </c>
      <c r="BA101" s="3">
        <f t="shared" si="153"/>
        <v>15416</v>
      </c>
      <c r="BB101" s="3">
        <f t="shared" si="153"/>
        <v>15607</v>
      </c>
      <c r="BC101" s="3">
        <f t="shared" si="153"/>
        <v>15602</v>
      </c>
      <c r="BD101" s="3">
        <f t="shared" si="153"/>
        <v>14938</v>
      </c>
      <c r="BE101" s="3">
        <f t="shared" si="153"/>
        <v>14307</v>
      </c>
      <c r="BF101" s="3">
        <f t="shared" si="153"/>
        <v>14897</v>
      </c>
      <c r="BG101" s="3">
        <f t="shared" si="153"/>
        <v>14783</v>
      </c>
      <c r="BH101" s="3">
        <f t="shared" si="153"/>
        <v>15117</v>
      </c>
      <c r="BI101" s="3">
        <f t="shared" si="153"/>
        <v>14914</v>
      </c>
      <c r="BJ101" s="3">
        <f t="shared" si="153"/>
        <v>15606</v>
      </c>
      <c r="BK101" s="3">
        <f t="shared" si="153"/>
        <v>16501</v>
      </c>
      <c r="BL101" s="3">
        <f t="shared" si="153"/>
        <v>16499</v>
      </c>
      <c r="BM101" s="3">
        <f t="shared" si="153"/>
        <v>17123</v>
      </c>
      <c r="BN101" s="3">
        <f t="shared" si="153"/>
        <v>17392</v>
      </c>
      <c r="BO101" s="3">
        <f t="shared" ref="BO101:BT101" si="154">SUM(BO94:BO100)</f>
        <v>17694</v>
      </c>
      <c r="BP101" s="3">
        <f t="shared" si="154"/>
        <v>18907</v>
      </c>
      <c r="BQ101" s="3">
        <f t="shared" si="154"/>
        <v>19077</v>
      </c>
      <c r="BR101" s="3">
        <f t="shared" si="154"/>
        <v>19201</v>
      </c>
      <c r="BS101" s="3">
        <f t="shared" si="154"/>
        <v>18247</v>
      </c>
      <c r="BT101" s="3">
        <f t="shared" si="154"/>
        <v>20044</v>
      </c>
      <c r="BU101" s="58"/>
      <c r="BV101" s="58"/>
      <c r="CL101" s="3">
        <f t="shared" ref="CL101:CP101" si="155">SUM(CL94:CL100)</f>
        <v>15450</v>
      </c>
      <c r="CM101" s="3">
        <f t="shared" si="155"/>
        <v>15607</v>
      </c>
      <c r="CN101" s="3">
        <f t="shared" si="155"/>
        <v>14897</v>
      </c>
      <c r="CO101" s="3">
        <f t="shared" si="155"/>
        <v>15606</v>
      </c>
      <c r="CP101" s="3">
        <f t="shared" si="155"/>
        <v>17392</v>
      </c>
      <c r="CQ101" s="3">
        <f t="shared" si="151"/>
        <v>19077</v>
      </c>
      <c r="CR101" s="58"/>
      <c r="DC101" s="57"/>
      <c r="DD101" s="57"/>
      <c r="DE101" s="57"/>
      <c r="DF101" s="57"/>
      <c r="DG101" s="57"/>
      <c r="DH101" s="57"/>
      <c r="DI101" s="57"/>
      <c r="DJ101" s="35"/>
      <c r="DK101" s="57"/>
      <c r="DL101" s="57"/>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58"/>
      <c r="EN101" s="58"/>
      <c r="EO101" s="58"/>
      <c r="EP101" s="58"/>
    </row>
    <row r="102" spans="2:146">
      <c r="B102" s="1" t="s">
        <v>142</v>
      </c>
      <c r="AX102" s="1">
        <v>15327</v>
      </c>
      <c r="AY102" s="1">
        <v>15719</v>
      </c>
      <c r="AZ102" s="1">
        <v>15943</v>
      </c>
      <c r="BA102" s="1">
        <v>16461</v>
      </c>
      <c r="BB102" s="1">
        <v>16622</v>
      </c>
      <c r="BC102" s="1">
        <v>16735</v>
      </c>
      <c r="BD102" s="1">
        <v>17251</v>
      </c>
      <c r="BE102" s="1">
        <v>17640</v>
      </c>
      <c r="BF102" s="1">
        <v>17573</v>
      </c>
      <c r="BG102" s="1">
        <v>18109</v>
      </c>
      <c r="BH102" s="1">
        <v>18485</v>
      </c>
      <c r="BI102" s="1">
        <v>19129</v>
      </c>
      <c r="BJ102" s="1">
        <v>19530</v>
      </c>
      <c r="BK102" s="1">
        <v>20168</v>
      </c>
      <c r="BL102" s="1">
        <v>20609</v>
      </c>
      <c r="BM102" s="1">
        <v>20956</v>
      </c>
      <c r="BN102" s="1">
        <v>22003</v>
      </c>
      <c r="BO102" s="1">
        <v>22446</v>
      </c>
      <c r="BP102" s="1">
        <v>22653</v>
      </c>
      <c r="BQ102" s="1">
        <v>23630</v>
      </c>
      <c r="BR102" s="1">
        <v>24472</v>
      </c>
      <c r="BS102" s="1">
        <v>26104</v>
      </c>
      <c r="BT102" s="1">
        <v>25172</v>
      </c>
      <c r="CL102" s="1">
        <f>AX102</f>
        <v>15327</v>
      </c>
      <c r="CM102" s="1">
        <f>BB102</f>
        <v>16622</v>
      </c>
      <c r="CN102" s="1">
        <f>BF102</f>
        <v>17573</v>
      </c>
      <c r="CO102" s="1">
        <f>BJ102</f>
        <v>19530</v>
      </c>
      <c r="CP102" s="1">
        <f>BN102</f>
        <v>22003</v>
      </c>
      <c r="CQ102" s="1">
        <f t="shared" si="151"/>
        <v>23630</v>
      </c>
      <c r="DJ102" s="35"/>
      <c r="DK102" s="36"/>
    </row>
    <row r="103" spans="2:146" s="3" customFormat="1" ht="15">
      <c r="B103" s="3" t="s">
        <v>143</v>
      </c>
      <c r="AX103" s="3">
        <f t="shared" ref="AX103:BN103" si="156">AX101+AX102</f>
        <v>30777</v>
      </c>
      <c r="AY103" s="3">
        <f t="shared" si="156"/>
        <v>30900</v>
      </c>
      <c r="AZ103" s="3">
        <f t="shared" si="156"/>
        <v>31168</v>
      </c>
      <c r="BA103" s="3">
        <f t="shared" si="156"/>
        <v>31877</v>
      </c>
      <c r="BB103" s="3">
        <f t="shared" si="156"/>
        <v>32229</v>
      </c>
      <c r="BC103" s="3">
        <f t="shared" si="156"/>
        <v>32337</v>
      </c>
      <c r="BD103" s="3">
        <f t="shared" si="156"/>
        <v>32189</v>
      </c>
      <c r="BE103" s="3">
        <f t="shared" si="156"/>
        <v>31947</v>
      </c>
      <c r="BF103" s="3">
        <f t="shared" si="156"/>
        <v>32470</v>
      </c>
      <c r="BG103" s="3">
        <f t="shared" si="156"/>
        <v>32892</v>
      </c>
      <c r="BH103" s="3">
        <f t="shared" si="156"/>
        <v>33602</v>
      </c>
      <c r="BI103" s="3">
        <f t="shared" si="156"/>
        <v>34043</v>
      </c>
      <c r="BJ103" s="3">
        <f t="shared" si="156"/>
        <v>35136</v>
      </c>
      <c r="BK103" s="3">
        <f t="shared" si="156"/>
        <v>36669</v>
      </c>
      <c r="BL103" s="3">
        <f t="shared" si="156"/>
        <v>37108</v>
      </c>
      <c r="BM103" s="3">
        <f t="shared" si="156"/>
        <v>38079</v>
      </c>
      <c r="BN103" s="3">
        <f t="shared" si="156"/>
        <v>39395</v>
      </c>
      <c r="BO103" s="3">
        <f t="shared" ref="BO103:BT103" si="157">BO101+BO102</f>
        <v>40140</v>
      </c>
      <c r="BP103" s="3">
        <f t="shared" si="157"/>
        <v>41560</v>
      </c>
      <c r="BQ103" s="3">
        <f t="shared" si="157"/>
        <v>42707</v>
      </c>
      <c r="BR103" s="3">
        <f t="shared" si="157"/>
        <v>43673</v>
      </c>
      <c r="BS103" s="3">
        <f t="shared" si="157"/>
        <v>44351</v>
      </c>
      <c r="BT103" s="3">
        <f t="shared" si="157"/>
        <v>45216</v>
      </c>
      <c r="BU103" s="58"/>
      <c r="BV103" s="58"/>
      <c r="CL103" s="3">
        <f t="shared" ref="CL103:CP103" si="158">CL101+CL102</f>
        <v>30777</v>
      </c>
      <c r="CM103" s="3">
        <f t="shared" si="158"/>
        <v>32229</v>
      </c>
      <c r="CN103" s="3">
        <f t="shared" si="158"/>
        <v>32470</v>
      </c>
      <c r="CO103" s="3">
        <f t="shared" si="158"/>
        <v>35136</v>
      </c>
      <c r="CP103" s="3">
        <f t="shared" si="158"/>
        <v>39395</v>
      </c>
      <c r="CQ103" s="3">
        <f>BQ103</f>
        <v>42707</v>
      </c>
      <c r="CR103" s="58"/>
      <c r="DC103" s="57"/>
      <c r="DD103" s="57"/>
      <c r="DE103" s="57"/>
      <c r="DF103" s="57"/>
      <c r="DG103" s="57"/>
      <c r="DH103" s="57"/>
      <c r="DI103" s="57"/>
      <c r="DJ103" s="35"/>
      <c r="DK103" s="57"/>
      <c r="DL103" s="57"/>
      <c r="DN103" s="58"/>
      <c r="DO103" s="58"/>
      <c r="DP103" s="58"/>
      <c r="DQ103" s="58"/>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58"/>
      <c r="EN103" s="58"/>
      <c r="EO103" s="58"/>
      <c r="EP103" s="58"/>
    </row>
    <row r="104" spans="2:146">
      <c r="BO104" s="1"/>
      <c r="BP104" s="1"/>
      <c r="DJ104" s="35"/>
      <c r="DK104" s="37"/>
    </row>
    <row r="105" spans="2:146" ht="14.25" hidden="1" customHeight="1">
      <c r="B105" s="1" t="s">
        <v>144</v>
      </c>
      <c r="BO105" s="1"/>
      <c r="BP105" s="1"/>
      <c r="DJ105" s="35"/>
      <c r="DK105" s="37"/>
    </row>
    <row r="106" spans="2:146" ht="14.25" hidden="1" customHeight="1">
      <c r="B106" s="1" t="s">
        <v>145</v>
      </c>
      <c r="BO106" s="1"/>
      <c r="BP106" s="1"/>
      <c r="DJ106" s="35"/>
      <c r="DK106" s="38"/>
    </row>
    <row r="107" spans="2:146" ht="14.25" hidden="1" customHeight="1">
      <c r="B107" s="1" t="s">
        <v>146</v>
      </c>
      <c r="BO107" s="1"/>
      <c r="BP107" s="1"/>
      <c r="DJ107" s="35"/>
      <c r="DK107" s="38"/>
    </row>
    <row r="108" spans="2:146" ht="14.25" hidden="1" customHeight="1">
      <c r="B108" s="1" t="s">
        <v>147</v>
      </c>
      <c r="BO108" s="1"/>
      <c r="BP108" s="1"/>
      <c r="DC108" s="58"/>
      <c r="DD108" s="58"/>
      <c r="DE108" s="58"/>
      <c r="DF108" s="58"/>
      <c r="DG108" s="58"/>
      <c r="DH108" s="58"/>
      <c r="DI108" s="58"/>
      <c r="DJ108" s="35"/>
      <c r="DK108" s="36"/>
      <c r="DL108" s="66"/>
    </row>
    <row r="109" spans="2:146" ht="14.25" hidden="1" customHeight="1">
      <c r="B109" s="1" t="s">
        <v>148</v>
      </c>
      <c r="BO109" s="1"/>
      <c r="BP109" s="1"/>
    </row>
    <row r="110" spans="2:146" ht="14.25" hidden="1" customHeight="1">
      <c r="B110" s="1" t="s">
        <v>149</v>
      </c>
      <c r="BO110" s="1"/>
      <c r="BP110" s="1"/>
      <c r="DC110" s="58" t="s">
        <v>2410</v>
      </c>
      <c r="DF110" s="75">
        <f>(DF88*DF95)+(DF87*DF100*(1-DF99))</f>
        <v>7.0437380299773963E-2</v>
      </c>
      <c r="DI110" s="67"/>
      <c r="DK110" s="67"/>
    </row>
    <row r="111" spans="2:146" ht="14.25" hidden="1" customHeight="1">
      <c r="B111" s="1" t="s">
        <v>150</v>
      </c>
      <c r="BO111" s="1"/>
      <c r="BP111" s="1"/>
    </row>
    <row r="112" spans="2:146" ht="14.25" hidden="1" customHeight="1">
      <c r="BO112" s="1"/>
      <c r="BP112" s="1"/>
    </row>
    <row r="113" spans="2:146">
      <c r="B113" s="1" t="s">
        <v>144</v>
      </c>
      <c r="AX113" s="7">
        <f t="shared" ref="AX113:BN113" si="159">SUM(AX81:AX86)/SUM(AX94:AX97)</f>
        <v>1.8185275740287965</v>
      </c>
      <c r="AY113" s="7">
        <f t="shared" si="159"/>
        <v>1.7981137636310049</v>
      </c>
      <c r="AZ113" s="7">
        <f t="shared" si="159"/>
        <v>1.6594647679842867</v>
      </c>
      <c r="BA113" s="7">
        <f t="shared" si="159"/>
        <v>1.5484833416210841</v>
      </c>
      <c r="BB113" s="7">
        <f t="shared" si="159"/>
        <v>1.4783524455885795</v>
      </c>
      <c r="BC113" s="7">
        <f t="shared" si="159"/>
        <v>1.185072531586336</v>
      </c>
      <c r="BD113" s="7">
        <f t="shared" si="159"/>
        <v>1.3090394025238219</v>
      </c>
      <c r="BE113" s="7">
        <f t="shared" si="159"/>
        <v>1.4494223724992956</v>
      </c>
      <c r="BF113" s="7">
        <f t="shared" si="159"/>
        <v>1.514593741782803</v>
      </c>
      <c r="BG113" s="7">
        <f t="shared" si="159"/>
        <v>1.3967670830271859</v>
      </c>
      <c r="BH113" s="7">
        <f t="shared" si="159"/>
        <v>1.2902235861464271</v>
      </c>
      <c r="BI113" s="7">
        <f t="shared" si="159"/>
        <v>1.4206158549901726</v>
      </c>
      <c r="BJ113" s="7">
        <f t="shared" si="159"/>
        <v>1.3204296716659911</v>
      </c>
      <c r="BK113" s="7">
        <f t="shared" si="159"/>
        <v>1.6647681041497153</v>
      </c>
      <c r="BL113" s="7">
        <f t="shared" si="159"/>
        <v>1.612625538020086</v>
      </c>
      <c r="BM113" s="7">
        <f t="shared" si="159"/>
        <v>1.4823210962612079</v>
      </c>
      <c r="BN113" s="7">
        <f t="shared" si="159"/>
        <v>1.0814189717143303</v>
      </c>
      <c r="BO113" s="7">
        <f t="shared" ref="BO113:BT113" si="160">SUM(BO81:BO86)/SUM(BO94:BO97)</f>
        <v>1.4501779359430604</v>
      </c>
      <c r="BP113" s="7">
        <f t="shared" si="160"/>
        <v>1.3717973415526874</v>
      </c>
      <c r="BQ113" s="7">
        <f t="shared" si="160"/>
        <v>1.5080705705705706</v>
      </c>
      <c r="BR113" s="10">
        <f t="shared" si="160"/>
        <v>1.616657473800331</v>
      </c>
      <c r="BS113" s="10">
        <f t="shared" si="160"/>
        <v>1.8998031065412382</v>
      </c>
      <c r="BT113" s="10">
        <f t="shared" si="160"/>
        <v>1.2403546981953952</v>
      </c>
      <c r="CL113" s="7">
        <f t="shared" ref="CL113:CO113" si="161">SUM(CL81:CL86)/SUM(CL94:CL97)</f>
        <v>1.8185275740287965</v>
      </c>
      <c r="CM113" s="7">
        <f t="shared" si="161"/>
        <v>1.4783524455885795</v>
      </c>
      <c r="CN113" s="7">
        <f t="shared" si="161"/>
        <v>1.514593741782803</v>
      </c>
      <c r="CO113" s="7">
        <f t="shared" si="161"/>
        <v>1.3204296716659911</v>
      </c>
      <c r="CP113" s="7">
        <f>SUM(CP81:CP86)/SUM(CP94:CP97)</f>
        <v>1.0814189717143303</v>
      </c>
      <c r="CQ113" s="7">
        <f>SUM(CQ81:CQ86)/SUM(CQ94:CQ97)</f>
        <v>1.5080705705705706</v>
      </c>
      <c r="DM113" s="63"/>
    </row>
    <row r="114" spans="2:146">
      <c r="B114" s="1" t="s">
        <v>145</v>
      </c>
      <c r="AX114" s="7">
        <f t="shared" ref="AX114:BN114" si="162">(SUM(AX81:AX86)-(AX83))/SUM(AX94:AX97)</f>
        <v>1.4515077424612877</v>
      </c>
      <c r="AY114" s="7">
        <f t="shared" si="162"/>
        <v>1.3834364868847628</v>
      </c>
      <c r="AZ114" s="7">
        <f t="shared" si="162"/>
        <v>1.3083722072182666</v>
      </c>
      <c r="BA114" s="7">
        <f t="shared" si="162"/>
        <v>1.1499254102436598</v>
      </c>
      <c r="BB114" s="7">
        <f t="shared" si="162"/>
        <v>1.1015679850222326</v>
      </c>
      <c r="BC114" s="7">
        <f t="shared" si="162"/>
        <v>0.77889564810481982</v>
      </c>
      <c r="BD114" s="7">
        <f t="shared" si="162"/>
        <v>0.85784187483904195</v>
      </c>
      <c r="BE114" s="7">
        <f t="shared" si="162"/>
        <v>0.94561848408002258</v>
      </c>
      <c r="BF114" s="7">
        <f t="shared" si="162"/>
        <v>1.0236655272153563</v>
      </c>
      <c r="BG114" s="7">
        <f t="shared" si="162"/>
        <v>0.89468528043105555</v>
      </c>
      <c r="BH114" s="7">
        <f t="shared" si="162"/>
        <v>0.79701885138097328</v>
      </c>
      <c r="BI114" s="7">
        <f t="shared" si="162"/>
        <v>0.89561039528281283</v>
      </c>
      <c r="BJ114" s="7">
        <f t="shared" si="162"/>
        <v>0.8169841913254966</v>
      </c>
      <c r="BK114" s="7">
        <f t="shared" si="162"/>
        <v>1.1438161106590725</v>
      </c>
      <c r="BL114" s="7">
        <f t="shared" si="162"/>
        <v>1.144906743185079</v>
      </c>
      <c r="BM114" s="7">
        <f t="shared" si="162"/>
        <v>1.016579259008628</v>
      </c>
      <c r="BN114" s="7">
        <f t="shared" si="162"/>
        <v>0.64228785747773087</v>
      </c>
      <c r="BO114" s="7">
        <f t="shared" ref="BO114:BT114" si="163">(SUM(BO81:BO86)-(BO83))/SUM(BO94:BO97)</f>
        <v>0.88335310399367339</v>
      </c>
      <c r="BP114" s="7">
        <f t="shared" si="163"/>
        <v>0.82065112695049125</v>
      </c>
      <c r="BQ114" s="7">
        <f t="shared" si="163"/>
        <v>0.95983483483483478</v>
      </c>
      <c r="BR114" s="10">
        <f t="shared" si="163"/>
        <v>1.075565361279647</v>
      </c>
      <c r="BS114" s="10">
        <f t="shared" si="163"/>
        <v>1.2178954276963465</v>
      </c>
      <c r="BT114" s="10">
        <f t="shared" si="163"/>
        <v>0.73708774113254516</v>
      </c>
      <c r="CL114" s="7">
        <f t="shared" ref="CL114:CO114" si="164">(SUM(CL81:CL86)-(CL83))/SUM(CL94:CL97)</f>
        <v>1.4515077424612877</v>
      </c>
      <c r="CM114" s="7">
        <f t="shared" si="164"/>
        <v>1.1015679850222326</v>
      </c>
      <c r="CN114" s="7">
        <f t="shared" si="164"/>
        <v>1.0236655272153563</v>
      </c>
      <c r="CO114" s="7">
        <f t="shared" si="164"/>
        <v>0.8169841913254966</v>
      </c>
      <c r="CP114" s="7">
        <f>(SUM(CP81:CP86)-(CP83))/SUM(CP94:CP97)</f>
        <v>0.64228785747773087</v>
      </c>
      <c r="CQ114" s="7">
        <f>(SUM(CQ81:CQ86)-(CQ83))/SUM(CQ94:CQ97)</f>
        <v>0.95983483483483478</v>
      </c>
    </row>
    <row r="115" spans="2:146">
      <c r="B115" s="1" t="s">
        <v>146</v>
      </c>
      <c r="AX115" s="7">
        <f t="shared" ref="AX115:BN115" si="165">AX81/SUM(AX94:AX97)</f>
        <v>0.4710676446617767</v>
      </c>
      <c r="AY115" s="7">
        <f t="shared" si="165"/>
        <v>0.59416445623342173</v>
      </c>
      <c r="AZ115" s="7">
        <f t="shared" si="165"/>
        <v>0.65676405597839427</v>
      </c>
      <c r="BA115" s="7">
        <f t="shared" si="165"/>
        <v>0.4840875186474391</v>
      </c>
      <c r="BB115" s="7">
        <f t="shared" si="165"/>
        <v>0.45050315937280599</v>
      </c>
      <c r="BC115" s="7">
        <f t="shared" si="165"/>
        <v>7.6041179223210104E-2</v>
      </c>
      <c r="BD115" s="7">
        <f t="shared" si="165"/>
        <v>7.107906258047901E-2</v>
      </c>
      <c r="BE115" s="7">
        <f t="shared" si="165"/>
        <v>9.5519864750633982E-2</v>
      </c>
      <c r="BF115" s="7">
        <f t="shared" si="165"/>
        <v>0.2440178806205627</v>
      </c>
      <c r="BG115" s="7">
        <f t="shared" si="165"/>
        <v>0.13960323291697282</v>
      </c>
      <c r="BH115" s="7">
        <f t="shared" si="165"/>
        <v>9.3380096448925906E-2</v>
      </c>
      <c r="BI115" s="7">
        <f t="shared" si="165"/>
        <v>0.20790565625682464</v>
      </c>
      <c r="BJ115" s="7">
        <f t="shared" si="165"/>
        <v>0.17551682205107419</v>
      </c>
      <c r="BK115" s="7">
        <f t="shared" si="165"/>
        <v>0.47375915378356387</v>
      </c>
      <c r="BL115" s="7">
        <f t="shared" si="165"/>
        <v>0.52241750358680061</v>
      </c>
      <c r="BM115" s="7">
        <f t="shared" si="165"/>
        <v>0.42327863305701235</v>
      </c>
      <c r="BN115" s="7">
        <f t="shared" si="165"/>
        <v>6.4697609001406475E-2</v>
      </c>
      <c r="BO115" s="7">
        <f t="shared" ref="BO115:BT115" si="166">BO81/SUM(BO94:BO97)</f>
        <v>0.14333728746540134</v>
      </c>
      <c r="BP115" s="7">
        <f t="shared" si="166"/>
        <v>0.1028703525332306</v>
      </c>
      <c r="BQ115" s="7">
        <f t="shared" si="166"/>
        <v>0.2393018018018018</v>
      </c>
      <c r="BR115" s="10">
        <f t="shared" si="166"/>
        <v>0.36127964699393272</v>
      </c>
      <c r="BS115" s="10">
        <f t="shared" si="166"/>
        <v>0.31787355064537298</v>
      </c>
      <c r="BT115" s="10">
        <f t="shared" si="166"/>
        <v>8.3851897946484136E-2</v>
      </c>
      <c r="CL115" s="7">
        <f t="shared" ref="CL115:CO115" si="167">CL81/SUM(CL94:CL97)</f>
        <v>0.4710676446617767</v>
      </c>
      <c r="CM115" s="7">
        <f t="shared" si="167"/>
        <v>0.45050315937280599</v>
      </c>
      <c r="CN115" s="7">
        <f t="shared" si="167"/>
        <v>0.2440178806205627</v>
      </c>
      <c r="CO115" s="7">
        <f t="shared" si="167"/>
        <v>0.17551682205107419</v>
      </c>
      <c r="CP115" s="7">
        <f>CP81/SUM(CP94:CP97)</f>
        <v>6.4697609001406475E-2</v>
      </c>
      <c r="CQ115" s="7">
        <f>CQ81/SUM(CQ94:CQ97)</f>
        <v>0.2393018018018018</v>
      </c>
    </row>
    <row r="116" spans="2:146">
      <c r="B116" s="1" t="s">
        <v>2307</v>
      </c>
      <c r="AX116" s="7">
        <f t="shared" ref="AX116:BT116" si="168">AX50/AX87</f>
        <v>1.2994241842610366</v>
      </c>
      <c r="AY116" s="7">
        <f t="shared" si="168"/>
        <v>1.3404773502191913</v>
      </c>
      <c r="AZ116" s="7">
        <f t="shared" si="168"/>
        <v>1.4779058597502401</v>
      </c>
      <c r="BA116" s="7">
        <f t="shared" si="168"/>
        <v>1.3902323376007586</v>
      </c>
      <c r="BB116" s="7">
        <f t="shared" si="168"/>
        <v>1.3885435168738898</v>
      </c>
      <c r="BC116" s="7">
        <f t="shared" si="168"/>
        <v>1.3359823399558499</v>
      </c>
      <c r="BD116" s="7">
        <f t="shared" si="168"/>
        <v>1.4443455031166519</v>
      </c>
      <c r="BE116" s="7">
        <f t="shared" si="168"/>
        <v>1.3946326440827101</v>
      </c>
      <c r="BF116" s="7">
        <f t="shared" si="168"/>
        <v>1.3254292722812755</v>
      </c>
      <c r="BG116" s="7">
        <f t="shared" si="168"/>
        <v>1.3676351896690879</v>
      </c>
      <c r="BH116" s="7">
        <f t="shared" si="168"/>
        <v>1.420284135753749</v>
      </c>
      <c r="BI116" s="7">
        <f t="shared" si="168"/>
        <v>1.3385199240986718</v>
      </c>
      <c r="BJ116" s="7">
        <f t="shared" si="168"/>
        <v>1.3029031129765651</v>
      </c>
      <c r="BK116" s="7">
        <f t="shared" si="168"/>
        <v>1.3313772868484639</v>
      </c>
      <c r="BL116" s="7">
        <f t="shared" si="168"/>
        <v>1.3961369027448323</v>
      </c>
      <c r="BM116" s="7">
        <f t="shared" si="168"/>
        <v>1.3701171875</v>
      </c>
      <c r="BN116" s="7">
        <f t="shared" si="168"/>
        <v>1.3846387370977535</v>
      </c>
      <c r="BO116" s="7">
        <f t="shared" si="168"/>
        <v>1.375922100914724</v>
      </c>
      <c r="BP116" s="7">
        <f t="shared" si="168"/>
        <v>1.4622941346431668</v>
      </c>
      <c r="BQ116" s="7">
        <f t="shared" si="168"/>
        <v>1.3346508563899868</v>
      </c>
      <c r="BR116" s="10">
        <f t="shared" si="168"/>
        <v>1.3097125867195243</v>
      </c>
      <c r="BS116" s="10">
        <f t="shared" si="168"/>
        <v>1.2808269751415211</v>
      </c>
      <c r="BT116" s="10">
        <f t="shared" si="168"/>
        <v>1.3189529810954921</v>
      </c>
      <c r="CL116" s="7">
        <f t="shared" ref="CL116:CQ116" si="169">CL50/CL87</f>
        <v>4.7567178502879077</v>
      </c>
      <c r="CM116" s="7">
        <f t="shared" si="169"/>
        <v>5.2788632326820606</v>
      </c>
      <c r="CN116" s="7">
        <f t="shared" si="169"/>
        <v>5.1847914963205231</v>
      </c>
      <c r="CO116" s="7">
        <f t="shared" si="169"/>
        <v>4.9807625043721577</v>
      </c>
      <c r="CP116" s="7">
        <f t="shared" si="169"/>
        <v>5.0840922890103215</v>
      </c>
      <c r="CQ116" s="7">
        <f t="shared" si="169"/>
        <v>5.2898550724637685</v>
      </c>
      <c r="CY116" s="67"/>
    </row>
    <row r="117" spans="2:146">
      <c r="B117" s="1" t="s">
        <v>149</v>
      </c>
      <c r="AX117" s="7">
        <f t="shared" ref="AX117:BT117" si="170">AX50/AX92</f>
        <v>8.7987783084771093E-2</v>
      </c>
      <c r="AY117" s="7">
        <f t="shared" si="170"/>
        <v>8.9061488673139164E-2</v>
      </c>
      <c r="AZ117" s="7">
        <f t="shared" si="170"/>
        <v>9.8723049281314174E-2</v>
      </c>
      <c r="BA117" s="7">
        <f t="shared" si="170"/>
        <v>9.1978542522822102E-2</v>
      </c>
      <c r="BB117" s="7">
        <f t="shared" si="170"/>
        <v>9.7024419001520368E-2</v>
      </c>
      <c r="BC117" s="7">
        <f t="shared" si="170"/>
        <v>9.3577017039304822E-2</v>
      </c>
      <c r="BD117" s="7">
        <f t="shared" si="170"/>
        <v>0.10077976948647054</v>
      </c>
      <c r="BE117" s="7">
        <f t="shared" si="170"/>
        <v>9.9226844461138761E-2</v>
      </c>
      <c r="BF117" s="7">
        <f t="shared" si="170"/>
        <v>9.9846011703110568E-2</v>
      </c>
      <c r="BG117" s="7">
        <f t="shared" si="170"/>
        <v>0.10303417244314728</v>
      </c>
      <c r="BH117" s="7">
        <f t="shared" si="170"/>
        <v>0.10710671983810488</v>
      </c>
      <c r="BI117" s="7">
        <f t="shared" si="170"/>
        <v>0.10360730861876505</v>
      </c>
      <c r="BJ117" s="7">
        <f t="shared" si="170"/>
        <v>0.10601662112932604</v>
      </c>
      <c r="BK117" s="7">
        <f t="shared" si="170"/>
        <v>0.10518421554991955</v>
      </c>
      <c r="BL117" s="7">
        <f t="shared" si="170"/>
        <v>0.11102727174733211</v>
      </c>
      <c r="BM117" s="7">
        <f t="shared" si="170"/>
        <v>0.11053336484676593</v>
      </c>
      <c r="BN117" s="7">
        <f t="shared" si="170"/>
        <v>0.11577611372001523</v>
      </c>
      <c r="BO117" s="7">
        <f t="shared" si="170"/>
        <v>0.1161684105630294</v>
      </c>
      <c r="BP117" s="7">
        <f t="shared" si="170"/>
        <v>0.12177574590952839</v>
      </c>
      <c r="BQ117" s="7">
        <f t="shared" si="170"/>
        <v>0.11859882454866884</v>
      </c>
      <c r="BR117" s="10">
        <f t="shared" si="170"/>
        <v>0.12104142337019991</v>
      </c>
      <c r="BS117" s="10">
        <f t="shared" si="170"/>
        <v>0.11733670041261753</v>
      </c>
      <c r="BT117" s="10">
        <f t="shared" si="170"/>
        <v>0.12035562632696391</v>
      </c>
      <c r="CL117" s="7">
        <f t="shared" ref="CL117:CQ117" si="171">CL50/CL92</f>
        <v>0.32209117197907527</v>
      </c>
      <c r="CM117" s="7">
        <f t="shared" si="171"/>
        <v>0.36886034316919547</v>
      </c>
      <c r="CN117" s="7">
        <f t="shared" si="171"/>
        <v>0.39057591623036647</v>
      </c>
      <c r="CO117" s="7">
        <f t="shared" si="171"/>
        <v>0.40528233151183973</v>
      </c>
      <c r="CP117" s="7">
        <f t="shared" si="171"/>
        <v>0.42510470871938061</v>
      </c>
      <c r="CQ117" s="7">
        <f t="shared" si="171"/>
        <v>0.47006345563959068</v>
      </c>
    </row>
    <row r="118" spans="2:146">
      <c r="B118" s="1" t="s">
        <v>150</v>
      </c>
      <c r="AX118" s="7">
        <f t="shared" ref="AX118:BT118" si="172">AX51/AVERAGE(AU83:AX83)</f>
        <v>0.73945225758697264</v>
      </c>
      <c r="AY118" s="7">
        <f t="shared" si="172"/>
        <v>0.64829586656997829</v>
      </c>
      <c r="AZ118" s="7">
        <f t="shared" si="172"/>
        <v>0.67693409742120347</v>
      </c>
      <c r="BA118" s="7">
        <f t="shared" si="172"/>
        <v>0.62165429114142634</v>
      </c>
      <c r="BB118" s="7">
        <f t="shared" si="172"/>
        <v>0.64264462809917355</v>
      </c>
      <c r="BC118" s="7">
        <f t="shared" si="172"/>
        <v>0.59883994356482206</v>
      </c>
      <c r="BD118" s="7">
        <f t="shared" si="172"/>
        <v>0.60349201611699743</v>
      </c>
      <c r="BE118" s="7">
        <f t="shared" si="172"/>
        <v>0.56869009584664532</v>
      </c>
      <c r="BF118" s="7">
        <f t="shared" si="172"/>
        <v>0.56614867702645943</v>
      </c>
      <c r="BG118" s="7">
        <f t="shared" si="172"/>
        <v>0.55786509320101918</v>
      </c>
      <c r="BH118" s="7">
        <f t="shared" si="172"/>
        <v>0.53199245757385294</v>
      </c>
      <c r="BI118" s="7">
        <f t="shared" si="172"/>
        <v>0.51382569128456423</v>
      </c>
      <c r="BJ118" s="7">
        <f t="shared" si="172"/>
        <v>0.49891162385720506</v>
      </c>
      <c r="BK118" s="7">
        <f t="shared" si="172"/>
        <v>0.49860810392824001</v>
      </c>
      <c r="BL118" s="7">
        <f t="shared" si="172"/>
        <v>0.50512081137516163</v>
      </c>
      <c r="BM118" s="7">
        <f t="shared" si="172"/>
        <v>0.50432442821449164</v>
      </c>
      <c r="BN118" s="7">
        <f t="shared" si="172"/>
        <v>0.54640327991054793</v>
      </c>
      <c r="BO118" s="7">
        <f t="shared" si="172"/>
        <v>0.52654466388838561</v>
      </c>
      <c r="BP118" s="7">
        <f t="shared" si="172"/>
        <v>0.5799309184306084</v>
      </c>
      <c r="BQ118" s="7">
        <f t="shared" si="172"/>
        <v>0.53163452308229342</v>
      </c>
      <c r="BR118" s="10">
        <f t="shared" si="172"/>
        <v>0.5548654244306418</v>
      </c>
      <c r="BS118" s="10">
        <f t="shared" si="172"/>
        <v>0.53707144063502787</v>
      </c>
      <c r="BT118" s="10">
        <f t="shared" si="172"/>
        <v>0.52193844138834311</v>
      </c>
      <c r="CL118" s="7">
        <f t="shared" ref="CL118:CQ118" si="173">CL51/AVERAGE(CI83:CL83)</f>
        <v>2.5647668393782381</v>
      </c>
      <c r="CM118" s="7">
        <f t="shared" si="173"/>
        <v>2.5065856129685917</v>
      </c>
      <c r="CN118" s="7">
        <f t="shared" si="173"/>
        <v>2.4581607290803649</v>
      </c>
      <c r="CO118" s="7">
        <f t="shared" si="173"/>
        <v>2.3769146608315097</v>
      </c>
      <c r="CP118" s="7">
        <f t="shared" si="173"/>
        <v>2.3974461292897047</v>
      </c>
      <c r="CQ118" s="7">
        <f t="shared" si="173"/>
        <v>2.4681610791509621</v>
      </c>
    </row>
    <row r="119" spans="2:146">
      <c r="B119" s="1" t="s">
        <v>147</v>
      </c>
      <c r="AX119" s="42">
        <f t="shared" ref="AX119:BP119" si="174">AX70/AX92</f>
        <v>6.3683919810247911E-3</v>
      </c>
      <c r="AY119" s="42">
        <f t="shared" si="174"/>
        <v>1.0582524271844661E-2</v>
      </c>
      <c r="AZ119" s="42">
        <f t="shared" si="174"/>
        <v>5.5184804928131419E-3</v>
      </c>
      <c r="BA119" s="42">
        <f t="shared" si="174"/>
        <v>1.2705085171126517E-2</v>
      </c>
      <c r="BB119" s="42">
        <f t="shared" si="174"/>
        <v>2.4822364950820687E-3</v>
      </c>
      <c r="BC119" s="42">
        <f t="shared" si="174"/>
        <v>2.9996598323901412E-3</v>
      </c>
      <c r="BD119" s="42">
        <f t="shared" si="174"/>
        <v>7.6423622976793315E-3</v>
      </c>
      <c r="BE119" s="42">
        <f t="shared" si="174"/>
        <v>5.446520800075124E-3</v>
      </c>
      <c r="BF119" s="42">
        <f t="shared" si="174"/>
        <v>3.818909762858023E-3</v>
      </c>
      <c r="BG119" s="42">
        <f t="shared" si="174"/>
        <v>9.1207588471360814E-3</v>
      </c>
      <c r="BH119" s="42">
        <f t="shared" si="174"/>
        <v>7.7673947979286949E-3</v>
      </c>
      <c r="BI119" s="42">
        <f t="shared" si="174"/>
        <v>1.4805240585159508E-2</v>
      </c>
      <c r="BJ119" s="42">
        <f t="shared" si="174"/>
        <v>1.4344262295081968E-2</v>
      </c>
      <c r="BK119" s="42">
        <f t="shared" si="174"/>
        <v>1.3499140963756852E-2</v>
      </c>
      <c r="BL119" s="42">
        <f t="shared" si="174"/>
        <v>8.7312708849843698E-3</v>
      </c>
      <c r="BM119" s="42">
        <f t="shared" si="174"/>
        <v>1.2290238714251949E-2</v>
      </c>
      <c r="BN119" s="42">
        <f t="shared" si="174"/>
        <v>1.4341921563650209E-2</v>
      </c>
      <c r="BO119" s="42">
        <f t="shared" si="174"/>
        <v>1.6791230692575983E-2</v>
      </c>
      <c r="BP119" s="42">
        <f t="shared" si="174"/>
        <v>1.9177093358999038E-2</v>
      </c>
      <c r="BQ119" s="42">
        <f t="shared" ref="BQ119:BR119" si="175">BQ70/BQ92</f>
        <v>1.7678600697777883E-2</v>
      </c>
      <c r="BR119" s="112">
        <f t="shared" si="175"/>
        <v>1.5387785944906231E-2</v>
      </c>
      <c r="BS119" s="112">
        <f t="shared" ref="BS119:BT119" si="176">BS70/BS92</f>
        <v>3.0236071339992333E-2</v>
      </c>
      <c r="BT119" s="112">
        <f t="shared" si="176"/>
        <v>2.0059271054493986E-2</v>
      </c>
      <c r="CL119" s="42">
        <f t="shared" ref="CL119:CQ119" si="177">CL70/CL92</f>
        <v>-3.7040647236572764E-3</v>
      </c>
      <c r="CM119" s="42">
        <f t="shared" si="177"/>
        <v>3.0531508889509448E-2</v>
      </c>
      <c r="CN119" s="42">
        <f t="shared" si="177"/>
        <v>1.9741299661225748E-2</v>
      </c>
      <c r="CO119" s="42">
        <f t="shared" si="177"/>
        <v>4.4655054644808741E-2</v>
      </c>
      <c r="CP119" s="42">
        <f t="shared" si="177"/>
        <v>4.7011042010407414E-2</v>
      </c>
      <c r="CQ119" s="42">
        <f t="shared" si="177"/>
        <v>6.7857728241271925E-2</v>
      </c>
    </row>
    <row r="120" spans="2:146">
      <c r="B120" s="1" t="s">
        <v>148</v>
      </c>
      <c r="AX120" s="42">
        <f t="shared" ref="AX120:BP120" si="178">AX70/AX102</f>
        <v>1.2787890650486071E-2</v>
      </c>
      <c r="AY120" s="42">
        <f t="shared" si="178"/>
        <v>2.0802850054074687E-2</v>
      </c>
      <c r="AZ120" s="42">
        <f t="shared" si="178"/>
        <v>1.0788433795396098E-2</v>
      </c>
      <c r="BA120" s="42">
        <f t="shared" si="178"/>
        <v>2.4603608529250958E-2</v>
      </c>
      <c r="BB120" s="42">
        <f t="shared" si="178"/>
        <v>4.8128985681626761E-3</v>
      </c>
      <c r="BC120" s="42">
        <f t="shared" si="178"/>
        <v>5.796235434717658E-3</v>
      </c>
      <c r="BD120" s="42">
        <f t="shared" si="178"/>
        <v>1.4260042896063996E-2</v>
      </c>
      <c r="BE120" s="42">
        <f t="shared" si="178"/>
        <v>9.8639455782312917E-3</v>
      </c>
      <c r="BF120" s="42">
        <f t="shared" si="178"/>
        <v>7.0562795197177492E-3</v>
      </c>
      <c r="BG120" s="42">
        <f t="shared" si="178"/>
        <v>1.6566348224639683E-2</v>
      </c>
      <c r="BH120" s="42">
        <f t="shared" si="178"/>
        <v>1.4119556397078712E-2</v>
      </c>
      <c r="BI120" s="42">
        <f t="shared" si="178"/>
        <v>2.6347430602749751E-2</v>
      </c>
      <c r="BJ120" s="42">
        <f t="shared" si="178"/>
        <v>2.5806451612903226E-2</v>
      </c>
      <c r="BK120" s="42">
        <f t="shared" si="178"/>
        <v>2.4543831812772709E-2</v>
      </c>
      <c r="BL120" s="42">
        <f t="shared" si="178"/>
        <v>1.5721286816439421E-2</v>
      </c>
      <c r="BM120" s="42">
        <f t="shared" si="178"/>
        <v>2.2332506203473945E-2</v>
      </c>
      <c r="BN120" s="42">
        <f t="shared" si="178"/>
        <v>2.5678316593191839E-2</v>
      </c>
      <c r="BO120" s="42">
        <f t="shared" si="178"/>
        <v>3.0027621847990734E-2</v>
      </c>
      <c r="BP120" s="42">
        <f t="shared" si="178"/>
        <v>3.5182977972012537E-2</v>
      </c>
      <c r="BQ120" s="42">
        <f t="shared" ref="BQ120:BR120" si="179">BQ70/BQ102</f>
        <v>3.1950909860347015E-2</v>
      </c>
      <c r="BR120" s="112">
        <f t="shared" si="179"/>
        <v>2.7459954233409609E-2</v>
      </c>
      <c r="BS120" s="112">
        <f t="shared" ref="BS120:BT120" si="180">BS70/BS102</f>
        <v>5.1371437327612623E-2</v>
      </c>
      <c r="BT120" s="112">
        <f t="shared" si="180"/>
        <v>3.6032099157794373E-2</v>
      </c>
      <c r="CL120" s="42">
        <f t="shared" ref="CL120:CQ120" si="181">CL70/CL102</f>
        <v>-7.4378547660990408E-3</v>
      </c>
      <c r="CM120" s="42">
        <f t="shared" si="181"/>
        <v>5.9198652388400913E-2</v>
      </c>
      <c r="CN120" s="42">
        <f t="shared" si="181"/>
        <v>3.6476412678540945E-2</v>
      </c>
      <c r="CO120" s="42">
        <f t="shared" si="181"/>
        <v>8.0337941628264214E-2</v>
      </c>
      <c r="CP120" s="42">
        <f t="shared" si="181"/>
        <v>8.4170340408126168E-2</v>
      </c>
      <c r="CQ120" s="42">
        <f t="shared" si="181"/>
        <v>0.12264071096064325</v>
      </c>
    </row>
    <row r="121" spans="2:146">
      <c r="BQ121" s="4"/>
    </row>
    <row r="122" spans="2:146">
      <c r="B122" s="1" t="s">
        <v>18</v>
      </c>
      <c r="AU122" s="1">
        <f t="shared" ref="AU122:BP122" si="182">AU70</f>
        <v>11</v>
      </c>
      <c r="AV122" s="1">
        <f t="shared" si="182"/>
        <v>-152</v>
      </c>
      <c r="AW122" s="1">
        <f t="shared" si="182"/>
        <v>-169</v>
      </c>
      <c r="AX122" s="1">
        <f t="shared" si="182"/>
        <v>196</v>
      </c>
      <c r="AY122" s="1">
        <f t="shared" si="182"/>
        <v>327</v>
      </c>
      <c r="AZ122" s="1">
        <f t="shared" si="182"/>
        <v>172</v>
      </c>
      <c r="BA122" s="1">
        <f t="shared" si="182"/>
        <v>405</v>
      </c>
      <c r="BB122" s="1">
        <f t="shared" si="182"/>
        <v>80</v>
      </c>
      <c r="BC122" s="1">
        <f t="shared" si="182"/>
        <v>97</v>
      </c>
      <c r="BD122" s="1">
        <f t="shared" si="182"/>
        <v>246</v>
      </c>
      <c r="BE122" s="1">
        <f t="shared" si="182"/>
        <v>174</v>
      </c>
      <c r="BF122" s="1">
        <f t="shared" si="182"/>
        <v>124</v>
      </c>
      <c r="BG122" s="1">
        <f t="shared" si="182"/>
        <v>300</v>
      </c>
      <c r="BH122" s="1">
        <f t="shared" si="182"/>
        <v>261</v>
      </c>
      <c r="BI122" s="1">
        <f t="shared" si="182"/>
        <v>504</v>
      </c>
      <c r="BJ122" s="1">
        <f t="shared" si="182"/>
        <v>504</v>
      </c>
      <c r="BK122" s="1">
        <f t="shared" si="182"/>
        <v>495</v>
      </c>
      <c r="BL122" s="1">
        <f t="shared" si="182"/>
        <v>324</v>
      </c>
      <c r="BM122" s="1">
        <f t="shared" si="182"/>
        <v>468</v>
      </c>
      <c r="BN122" s="1">
        <f t="shared" si="182"/>
        <v>565</v>
      </c>
      <c r="BO122" s="1">
        <f t="shared" si="182"/>
        <v>674</v>
      </c>
      <c r="BP122" s="1">
        <f t="shared" si="182"/>
        <v>797</v>
      </c>
      <c r="BQ122" s="1">
        <f t="shared" ref="BQ122:BR122" si="183">BQ70</f>
        <v>755</v>
      </c>
      <c r="BR122" s="1">
        <f t="shared" si="183"/>
        <v>672</v>
      </c>
      <c r="BS122" s="1">
        <f t="shared" ref="BS122:BT122" si="184">BS70</f>
        <v>1341</v>
      </c>
      <c r="BT122" s="1">
        <f t="shared" si="184"/>
        <v>907</v>
      </c>
      <c r="CA122" s="4"/>
      <c r="CB122" s="4"/>
      <c r="CC122" s="4"/>
      <c r="CD122" s="4"/>
      <c r="CE122" s="4"/>
      <c r="CF122" s="4"/>
      <c r="CG122" s="4"/>
      <c r="CH122" s="4"/>
      <c r="CI122" s="4"/>
      <c r="CJ122" s="4"/>
      <c r="CL122" s="1">
        <f>CL70</f>
        <v>-114</v>
      </c>
      <c r="CM122" s="1">
        <f>CM70</f>
        <v>984</v>
      </c>
      <c r="CN122" s="1">
        <f>CN70</f>
        <v>641</v>
      </c>
      <c r="CO122" s="1">
        <f>CO70</f>
        <v>1569</v>
      </c>
      <c r="CP122" s="1">
        <f>CP70</f>
        <v>1852</v>
      </c>
      <c r="CQ122" s="4">
        <f t="shared" ref="CQ122:CQ127" si="185">SUM(BO122:BR122)</f>
        <v>2898</v>
      </c>
    </row>
    <row r="123" spans="2:146" s="3" customFormat="1" ht="15">
      <c r="B123" s="3" t="s">
        <v>151</v>
      </c>
      <c r="AU123" s="3">
        <v>-77</v>
      </c>
      <c r="AV123" s="3">
        <f>192-AU123</f>
        <v>269</v>
      </c>
      <c r="AW123" s="3">
        <f>835-SUM(AU123:AV123)</f>
        <v>643</v>
      </c>
      <c r="AX123" s="3">
        <f>1508-SUM(AU123:AW123)</f>
        <v>673</v>
      </c>
      <c r="AY123" s="3">
        <v>284</v>
      </c>
      <c r="AZ123" s="3">
        <f>927-AY123</f>
        <v>643</v>
      </c>
      <c r="BA123" s="3">
        <f>1392-SUM(AY123:AZ123)</f>
        <v>465</v>
      </c>
      <c r="BB123" s="3">
        <f>1870-SUM(AY123:BA123)</f>
        <v>478</v>
      </c>
      <c r="BC123" s="3">
        <v>190</v>
      </c>
      <c r="BD123" s="3">
        <f>249-BC123</f>
        <v>59</v>
      </c>
      <c r="BE123" s="3">
        <f>719-SUM(BC123:BD123)</f>
        <v>470</v>
      </c>
      <c r="BF123" s="3">
        <f>1526-SUM(BC123:BE123)</f>
        <v>807</v>
      </c>
      <c r="BG123" s="3">
        <v>190</v>
      </c>
      <c r="BH123" s="3">
        <f>848-BG123</f>
        <v>658</v>
      </c>
      <c r="BI123" s="3">
        <f>1546-SUM(BG123:BH123)</f>
        <v>698</v>
      </c>
      <c r="BJ123" s="3">
        <f>2503-SUM(BG123:BI123)</f>
        <v>957</v>
      </c>
      <c r="BK123" s="3">
        <v>164</v>
      </c>
      <c r="BL123" s="3">
        <f>977-BK123</f>
        <v>813</v>
      </c>
      <c r="BM123" s="3">
        <f>1979-SUM(BK123:BL123)</f>
        <v>1002</v>
      </c>
      <c r="BN123" s="3">
        <f>3435-SUM(BK123:BM123)</f>
        <v>1456</v>
      </c>
      <c r="BO123" s="3">
        <v>541</v>
      </c>
      <c r="BP123" s="3">
        <f>1827-BO123</f>
        <v>1286</v>
      </c>
      <c r="BQ123" s="3">
        <v>1344</v>
      </c>
      <c r="BR123" s="3">
        <v>1364</v>
      </c>
      <c r="BS123" s="3">
        <v>348</v>
      </c>
      <c r="BT123" s="3">
        <v>1474</v>
      </c>
      <c r="BU123" s="58"/>
      <c r="BV123" s="58"/>
      <c r="CK123" s="5"/>
      <c r="CL123" s="5">
        <f t="shared" ref="CL123:CL127" si="186">SUM(AU123:AX123)</f>
        <v>1508</v>
      </c>
      <c r="CM123" s="5">
        <f t="shared" ref="CM123:CM127" si="187">SUM(AY123:BB123)</f>
        <v>1870</v>
      </c>
      <c r="CN123" s="5">
        <f t="shared" ref="CN123:CN127" si="188">SUM(BC123:BF123)</f>
        <v>1526</v>
      </c>
      <c r="CO123" s="5">
        <f>SUM(BG123:BI123)</f>
        <v>1546</v>
      </c>
      <c r="CP123" s="5">
        <f t="shared" ref="CP123:CP127" si="189">SUM(BK123:BN123)</f>
        <v>3435</v>
      </c>
      <c r="CQ123" s="5">
        <f t="shared" si="185"/>
        <v>4535</v>
      </c>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c r="DU123" s="58"/>
      <c r="DV123" s="58"/>
      <c r="DW123" s="58"/>
      <c r="DX123" s="58"/>
      <c r="DY123" s="58"/>
      <c r="DZ123" s="58"/>
      <c r="EA123" s="58"/>
      <c r="EB123" s="58"/>
      <c r="EC123" s="58"/>
      <c r="ED123" s="58"/>
      <c r="EE123" s="58"/>
      <c r="EF123" s="58"/>
      <c r="EG123" s="58"/>
      <c r="EH123" s="58"/>
      <c r="EI123" s="58"/>
      <c r="EJ123" s="58"/>
      <c r="EK123" s="58"/>
      <c r="EL123" s="58"/>
      <c r="EM123" s="58"/>
      <c r="EN123" s="58"/>
      <c r="EO123" s="58"/>
      <c r="EP123" s="58"/>
    </row>
    <row r="124" spans="2:146">
      <c r="B124" s="1" t="s">
        <v>158</v>
      </c>
      <c r="AU124" s="1">
        <f>-100+3</f>
        <v>-97</v>
      </c>
      <c r="AV124" s="1">
        <f>-168+4-AU124</f>
        <v>-67</v>
      </c>
      <c r="AW124" s="1">
        <f>-217+6-SUM(AU124:AV124)</f>
        <v>-47</v>
      </c>
      <c r="AX124" s="1">
        <f>-376+12-SUM(AU124:AW124)</f>
        <v>-153</v>
      </c>
      <c r="AY124" s="1">
        <f>-75+4</f>
        <v>-71</v>
      </c>
      <c r="AZ124" s="1">
        <f>-181+7-AY124</f>
        <v>-103</v>
      </c>
      <c r="BA124" s="1">
        <f>-288+10-SUM(AY124:AZ124)</f>
        <v>-104</v>
      </c>
      <c r="BB124" s="1">
        <f>-554+14-SUM(AY124:BA124)</f>
        <v>-262</v>
      </c>
      <c r="BC124" s="1">
        <f>-111+3</f>
        <v>-108</v>
      </c>
      <c r="BD124" s="1">
        <f>-226+9-BC124</f>
        <v>-109</v>
      </c>
      <c r="BE124" s="1">
        <f>-376+10-SUM(BC124:BD124)</f>
        <v>-149</v>
      </c>
      <c r="BF124" s="1">
        <f>-588+12-SUM(BC124:BE124)</f>
        <v>-210</v>
      </c>
      <c r="BG124" s="1">
        <f>-111+3</f>
        <v>-108</v>
      </c>
      <c r="BH124" s="1">
        <f>-254+3-BG124</f>
        <v>-143</v>
      </c>
      <c r="BI124" s="1">
        <f>-444+4-SUM(BG124:BH124)</f>
        <v>-189</v>
      </c>
      <c r="BJ124" s="1">
        <f>-711+4-SUM(BG124:BI124)</f>
        <v>-267</v>
      </c>
      <c r="BK124" s="1">
        <f>-179+1</f>
        <v>-178</v>
      </c>
      <c r="BL124" s="1">
        <f>-334+1-BK124</f>
        <v>-155</v>
      </c>
      <c r="BM124" s="1">
        <f>-513+1-SUM(BK124:BL124)</f>
        <v>-179</v>
      </c>
      <c r="BN124" s="1">
        <f>-790+3-SUM(BK124:BM124)</f>
        <v>-275</v>
      </c>
      <c r="BO124" s="1">
        <f>-187</f>
        <v>-187</v>
      </c>
      <c r="BP124" s="1">
        <f>-344-BO124</f>
        <v>-157</v>
      </c>
      <c r="BQ124" s="1">
        <v>-181</v>
      </c>
      <c r="BR124" s="1">
        <v>-351</v>
      </c>
      <c r="BS124" s="1">
        <v>-177</v>
      </c>
      <c r="BT124" s="1">
        <v>-195</v>
      </c>
      <c r="CK124" s="4"/>
      <c r="CL124" s="4">
        <f t="shared" si="186"/>
        <v>-364</v>
      </c>
      <c r="CM124" s="4">
        <f t="shared" si="187"/>
        <v>-540</v>
      </c>
      <c r="CN124" s="4">
        <f t="shared" si="188"/>
        <v>-576</v>
      </c>
      <c r="CO124" s="4">
        <f>SUM(BG124:BI124)</f>
        <v>-440</v>
      </c>
      <c r="CP124" s="4">
        <f t="shared" si="189"/>
        <v>-787</v>
      </c>
      <c r="CQ124" s="4">
        <f t="shared" si="185"/>
        <v>-876</v>
      </c>
    </row>
    <row r="125" spans="2:146" s="3" customFormat="1" ht="15">
      <c r="B125" s="3" t="s">
        <v>152</v>
      </c>
      <c r="AU125" s="3">
        <f t="shared" ref="AU125:AV125" si="190">AU123+AU124</f>
        <v>-174</v>
      </c>
      <c r="AV125" s="3">
        <f t="shared" si="190"/>
        <v>202</v>
      </c>
      <c r="AW125" s="3">
        <f>AW123+AW124</f>
        <v>596</v>
      </c>
      <c r="AX125" s="3">
        <f t="shared" ref="AX125:AZ125" si="191">AX123+AX124</f>
        <v>520</v>
      </c>
      <c r="AY125" s="3">
        <f t="shared" si="191"/>
        <v>213</v>
      </c>
      <c r="AZ125" s="3">
        <f t="shared" si="191"/>
        <v>540</v>
      </c>
      <c r="BA125" s="3">
        <f>BA123+BA124</f>
        <v>361</v>
      </c>
      <c r="BB125" s="3">
        <f t="shared" ref="BB125:BD125" si="192">BB123+BB124</f>
        <v>216</v>
      </c>
      <c r="BC125" s="3">
        <f t="shared" si="192"/>
        <v>82</v>
      </c>
      <c r="BD125" s="3">
        <f t="shared" si="192"/>
        <v>-50</v>
      </c>
      <c r="BE125" s="3">
        <f>BE123+BE124</f>
        <v>321</v>
      </c>
      <c r="BF125" s="3">
        <f t="shared" ref="BF125:BL125" si="193">BF123+BF124</f>
        <v>597</v>
      </c>
      <c r="BG125" s="3">
        <f t="shared" si="193"/>
        <v>82</v>
      </c>
      <c r="BH125" s="3">
        <f t="shared" si="193"/>
        <v>515</v>
      </c>
      <c r="BI125" s="3">
        <f>BI123+BI124</f>
        <v>509</v>
      </c>
      <c r="BJ125" s="3">
        <f t="shared" si="193"/>
        <v>690</v>
      </c>
      <c r="BK125" s="3">
        <f t="shared" si="193"/>
        <v>-14</v>
      </c>
      <c r="BL125" s="3">
        <f t="shared" si="193"/>
        <v>658</v>
      </c>
      <c r="BM125" s="3">
        <f t="shared" ref="BM125:BR125" si="194">BM123+BM124</f>
        <v>823</v>
      </c>
      <c r="BN125" s="3">
        <f t="shared" si="194"/>
        <v>1181</v>
      </c>
      <c r="BO125" s="3">
        <f t="shared" si="194"/>
        <v>354</v>
      </c>
      <c r="BP125" s="3">
        <f t="shared" si="194"/>
        <v>1129</v>
      </c>
      <c r="BQ125" s="3">
        <f t="shared" si="194"/>
        <v>1163</v>
      </c>
      <c r="BR125" s="3">
        <f t="shared" si="194"/>
        <v>1013</v>
      </c>
      <c r="BS125" s="3">
        <f t="shared" ref="BS125:BT125" si="195">BS123+BS124</f>
        <v>171</v>
      </c>
      <c r="BT125" s="3">
        <f t="shared" si="195"/>
        <v>1279</v>
      </c>
      <c r="BU125" s="58"/>
      <c r="BV125" s="58"/>
      <c r="CK125" s="5"/>
      <c r="CL125" s="5">
        <f t="shared" si="186"/>
        <v>1144</v>
      </c>
      <c r="CM125" s="5">
        <f t="shared" si="187"/>
        <v>1330</v>
      </c>
      <c r="CN125" s="5">
        <f t="shared" si="188"/>
        <v>950</v>
      </c>
      <c r="CO125" s="5">
        <f>SUM(BG125:BI125)</f>
        <v>1106</v>
      </c>
      <c r="CP125" s="5">
        <f t="shared" si="189"/>
        <v>2648</v>
      </c>
      <c r="CQ125" s="5">
        <f t="shared" si="185"/>
        <v>3659</v>
      </c>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E125" s="58"/>
      <c r="EF125" s="58"/>
      <c r="EG125" s="58"/>
      <c r="EH125" s="58"/>
      <c r="EI125" s="58"/>
      <c r="EJ125" s="58"/>
      <c r="EK125" s="58"/>
      <c r="EL125" s="58"/>
      <c r="EM125" s="58"/>
      <c r="EN125" s="58"/>
      <c r="EO125" s="58"/>
      <c r="EP125" s="58"/>
    </row>
    <row r="126" spans="2:146">
      <c r="B126" s="1" t="s">
        <v>1</v>
      </c>
      <c r="AU126" s="46">
        <f t="shared" ref="AU126:BP126" si="196">AU71</f>
        <v>1397.4</v>
      </c>
      <c r="AV126" s="46">
        <f t="shared" si="196"/>
        <v>1410.9</v>
      </c>
      <c r="AW126" s="46">
        <f t="shared" si="196"/>
        <v>1430.9</v>
      </c>
      <c r="AX126" s="46">
        <f t="shared" si="196"/>
        <v>1416.7</v>
      </c>
      <c r="AY126" s="46">
        <f t="shared" si="196"/>
        <v>1418.7</v>
      </c>
      <c r="AZ126" s="46">
        <f t="shared" si="196"/>
        <v>1421.3</v>
      </c>
      <c r="BA126" s="46">
        <f t="shared" si="196"/>
        <v>1423.8</v>
      </c>
      <c r="BB126" s="46">
        <f t="shared" si="196"/>
        <v>1422.3</v>
      </c>
      <c r="BC126" s="46">
        <f t="shared" si="196"/>
        <v>1427.8</v>
      </c>
      <c r="BD126" s="46">
        <f t="shared" si="196"/>
        <v>1429.7</v>
      </c>
      <c r="BE126" s="46">
        <f t="shared" si="196"/>
        <v>1431.6</v>
      </c>
      <c r="BF126" s="46">
        <f t="shared" si="196"/>
        <v>1430.5</v>
      </c>
      <c r="BG126" s="46">
        <f t="shared" si="196"/>
        <v>1435.8</v>
      </c>
      <c r="BH126" s="46">
        <f t="shared" si="196"/>
        <v>1446.2</v>
      </c>
      <c r="BI126" s="46">
        <f t="shared" si="196"/>
        <v>1464.5</v>
      </c>
      <c r="BJ126" s="46">
        <f t="shared" si="196"/>
        <v>1453</v>
      </c>
      <c r="BK126" s="46">
        <f t="shared" si="196"/>
        <v>1468.4</v>
      </c>
      <c r="BL126" s="46">
        <f t="shared" si="196"/>
        <v>1470.6</v>
      </c>
      <c r="BM126" s="46">
        <f t="shared" si="196"/>
        <v>1472.7</v>
      </c>
      <c r="BN126" s="46">
        <f t="shared" si="196"/>
        <v>1471.5</v>
      </c>
      <c r="BO126" s="46">
        <f t="shared" si="196"/>
        <v>1477.2</v>
      </c>
      <c r="BP126" s="46">
        <f t="shared" si="196"/>
        <v>1479.9</v>
      </c>
      <c r="BQ126" s="46">
        <f t="shared" ref="BQ126:BR126" si="197">BQ71</f>
        <v>1481.7</v>
      </c>
      <c r="BR126" s="46">
        <f t="shared" si="197"/>
        <v>1482.7</v>
      </c>
      <c r="BS126" s="46">
        <f t="shared" ref="BS126:BT126" si="198">BS71</f>
        <v>1484.9</v>
      </c>
      <c r="BT126" s="46">
        <f t="shared" si="198"/>
        <v>1470.2</v>
      </c>
      <c r="CK126" s="4"/>
      <c r="CL126" s="45">
        <f t="shared" si="186"/>
        <v>5655.9000000000005</v>
      </c>
      <c r="CM126" s="45">
        <f t="shared" si="187"/>
        <v>5686.1</v>
      </c>
      <c r="CN126" s="45">
        <f t="shared" si="188"/>
        <v>5719.6</v>
      </c>
      <c r="CO126" s="45">
        <f>SUM(BG126:BI126)</f>
        <v>4346.5</v>
      </c>
      <c r="CP126" s="45">
        <f t="shared" si="189"/>
        <v>5883.2</v>
      </c>
      <c r="CQ126" s="45">
        <f t="shared" si="185"/>
        <v>5921.5</v>
      </c>
    </row>
    <row r="127" spans="2:146">
      <c r="B127" s="1" t="s">
        <v>153</v>
      </c>
      <c r="AU127" s="10">
        <f t="shared" ref="AU127:BP127" si="199">AU125/AU126</f>
        <v>-0.124516960068699</v>
      </c>
      <c r="AV127" s="10">
        <f t="shared" si="199"/>
        <v>0.14317102558650505</v>
      </c>
      <c r="AW127" s="10">
        <f t="shared" si="199"/>
        <v>0.41652107065483257</v>
      </c>
      <c r="AX127" s="10">
        <f t="shared" si="199"/>
        <v>0.36705018705442222</v>
      </c>
      <c r="AY127" s="10">
        <f t="shared" si="199"/>
        <v>0.15013744977796573</v>
      </c>
      <c r="AZ127" s="10">
        <f t="shared" si="199"/>
        <v>0.37993386336452545</v>
      </c>
      <c r="BA127" s="10">
        <f t="shared" si="199"/>
        <v>0.25354684646720044</v>
      </c>
      <c r="BB127" s="10">
        <f t="shared" si="199"/>
        <v>0.15186669479012868</v>
      </c>
      <c r="BC127" s="10">
        <f t="shared" si="199"/>
        <v>5.7431012746883316E-2</v>
      </c>
      <c r="BD127" s="10">
        <f t="shared" si="199"/>
        <v>-3.4972371826257252E-2</v>
      </c>
      <c r="BE127" s="10">
        <f t="shared" si="199"/>
        <v>0.2242246437552389</v>
      </c>
      <c r="BF127" s="10">
        <f t="shared" si="199"/>
        <v>0.41733659559594549</v>
      </c>
      <c r="BG127" s="10">
        <f t="shared" si="199"/>
        <v>5.711101824766681E-2</v>
      </c>
      <c r="BH127" s="10">
        <f t="shared" si="199"/>
        <v>0.3561056562024616</v>
      </c>
      <c r="BI127" s="10">
        <f t="shared" si="199"/>
        <v>0.34755889382041655</v>
      </c>
      <c r="BJ127" s="10">
        <f t="shared" si="199"/>
        <v>0.47487955953200273</v>
      </c>
      <c r="BK127" s="10">
        <f t="shared" si="199"/>
        <v>-9.5341868700626522E-3</v>
      </c>
      <c r="BL127" s="10">
        <f t="shared" si="199"/>
        <v>0.44743642050863597</v>
      </c>
      <c r="BM127" s="10">
        <f t="shared" si="199"/>
        <v>0.5588375093365926</v>
      </c>
      <c r="BN127" s="10">
        <f t="shared" si="199"/>
        <v>0.80258239891267413</v>
      </c>
      <c r="BO127" s="10">
        <f t="shared" si="199"/>
        <v>0.239642567018684</v>
      </c>
      <c r="BP127" s="10">
        <f t="shared" si="199"/>
        <v>0.76288938441786602</v>
      </c>
      <c r="BQ127" s="10">
        <f t="shared" ref="BQ127:BR127" si="200">BQ125/BQ126</f>
        <v>0.78490922588918133</v>
      </c>
      <c r="BR127" s="10">
        <f t="shared" si="200"/>
        <v>0.68321305726040327</v>
      </c>
      <c r="BS127" s="10">
        <f t="shared" ref="BS127:BT127" si="201">BS125/BS126</f>
        <v>0.11515926998451073</v>
      </c>
      <c r="BT127" s="10">
        <f t="shared" si="201"/>
        <v>0.8699496667120119</v>
      </c>
      <c r="CK127" s="7"/>
      <c r="CL127" s="7">
        <f t="shared" si="186"/>
        <v>0.80222532322706086</v>
      </c>
      <c r="CM127" s="7">
        <f t="shared" si="187"/>
        <v>0.93548485439982032</v>
      </c>
      <c r="CN127" s="7">
        <f t="shared" si="188"/>
        <v>0.66401988027181047</v>
      </c>
      <c r="CO127" s="7">
        <f>SUM(BG127:BJ127)</f>
        <v>1.2356551278025476</v>
      </c>
      <c r="CP127" s="7">
        <f t="shared" si="189"/>
        <v>1.79932214188784</v>
      </c>
      <c r="CQ127" s="7">
        <f t="shared" si="185"/>
        <v>2.4706542345861346</v>
      </c>
    </row>
    <row r="128" spans="2:146">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CK128" s="7"/>
      <c r="CL128" s="7"/>
      <c r="CM128" s="7"/>
      <c r="CN128" s="7"/>
      <c r="CO128" s="7"/>
      <c r="CP128" s="7"/>
      <c r="CQ128" s="7"/>
    </row>
    <row r="137" spans="72:72" ht="15">
      <c r="BT137" s="85"/>
    </row>
    <row r="138" spans="72:72" ht="15">
      <c r="BT138" s="85"/>
    </row>
    <row r="139" spans="72:72" ht="15">
      <c r="BT139" s="85"/>
    </row>
    <row r="140" spans="72:72" ht="15">
      <c r="BT140" s="85"/>
    </row>
    <row r="141" spans="72:72" ht="15">
      <c r="BT141" s="85"/>
    </row>
    <row r="142" spans="72:72" ht="15">
      <c r="BT142" s="85"/>
    </row>
    <row r="143" spans="72:72" ht="15">
      <c r="BT143" s="85"/>
    </row>
    <row r="144" spans="72:72" ht="15">
      <c r="BT144" s="85"/>
    </row>
    <row r="145" spans="72:72" ht="15">
      <c r="BT145" s="85"/>
    </row>
    <row r="146" spans="72:72" ht="15">
      <c r="BT146" s="85"/>
    </row>
    <row r="147" spans="72:72" ht="15">
      <c r="BT147" s="85"/>
    </row>
    <row r="148" spans="72:72" ht="15">
      <c r="BT148" s="85"/>
    </row>
    <row r="149" spans="72:72" ht="15">
      <c r="BT149" s="85"/>
    </row>
    <row r="150" spans="72:72" ht="15">
      <c r="BT150" s="85"/>
    </row>
    <row r="151" spans="72:72" ht="15">
      <c r="BT151" s="85"/>
    </row>
    <row r="152" spans="72:72" ht="15">
      <c r="BT152" s="85"/>
    </row>
    <row r="153" spans="72:72" ht="15">
      <c r="BT153" s="85"/>
    </row>
    <row r="154" spans="72:72" ht="15">
      <c r="BT154" s="85"/>
    </row>
    <row r="155" spans="72:72" ht="15">
      <c r="BT155" s="85"/>
    </row>
    <row r="156" spans="72:72" ht="15">
      <c r="BT156" s="85"/>
    </row>
    <row r="157" spans="72:72" ht="15">
      <c r="BT157" s="85"/>
    </row>
    <row r="158" spans="72:72" ht="15">
      <c r="BT158" s="85"/>
    </row>
    <row r="159" spans="72:72" ht="15">
      <c r="BT159" s="85"/>
    </row>
    <row r="160" spans="72:72" ht="15">
      <c r="BT160" s="85"/>
    </row>
    <row r="161" spans="72:72">
      <c r="BT161" s="90"/>
    </row>
    <row r="162" spans="72:72">
      <c r="BT162" s="90"/>
    </row>
    <row r="163" spans="72:72">
      <c r="BT163" s="90"/>
    </row>
    <row r="164" spans="72:72">
      <c r="BT164" s="90"/>
    </row>
    <row r="165" spans="72:72">
      <c r="BT165" s="90"/>
    </row>
    <row r="166" spans="72:72">
      <c r="BT166" s="90"/>
    </row>
    <row r="167" spans="72:72">
      <c r="BT167" s="90"/>
    </row>
    <row r="168" spans="72:72">
      <c r="BT168" s="90"/>
    </row>
    <row r="169" spans="72:72">
      <c r="BT169" s="90"/>
    </row>
    <row r="170" spans="72:72">
      <c r="BT170" s="90"/>
    </row>
    <row r="171" spans="72:72">
      <c r="BT171" s="90"/>
    </row>
    <row r="172" spans="72:72">
      <c r="BT172" s="90"/>
    </row>
    <row r="173" spans="72:72" ht="15">
      <c r="BT173" s="86"/>
    </row>
    <row r="174" spans="72:72">
      <c r="BT174" s="83"/>
    </row>
    <row r="175" spans="72:72" ht="15">
      <c r="BT175" s="85"/>
    </row>
    <row r="176" spans="72:72" ht="15">
      <c r="BT176" s="85"/>
    </row>
    <row r="177" spans="72:72" ht="15">
      <c r="BT177" s="85"/>
    </row>
    <row r="178" spans="72:72" ht="15">
      <c r="BT178" s="85"/>
    </row>
    <row r="179" spans="72:72" ht="15">
      <c r="BT179" s="85"/>
    </row>
    <row r="180" spans="72:72" ht="15">
      <c r="BT180" s="85"/>
    </row>
    <row r="181" spans="72:72" ht="15">
      <c r="BT181" s="85"/>
    </row>
    <row r="182" spans="72:72" ht="15">
      <c r="BT182" s="85"/>
    </row>
    <row r="183" spans="72:72" ht="15">
      <c r="BT183" s="85"/>
    </row>
    <row r="184" spans="72:72">
      <c r="BT184" s="83"/>
    </row>
    <row r="185" spans="72:72" ht="15">
      <c r="BT185" s="85"/>
    </row>
    <row r="186" spans="72:72" ht="15">
      <c r="BT186" s="85"/>
    </row>
    <row r="187" spans="72:72" ht="15">
      <c r="BT187" s="85"/>
    </row>
    <row r="188" spans="72:72" ht="15">
      <c r="BT188" s="85"/>
    </row>
    <row r="189" spans="72:72" ht="15">
      <c r="BT189" s="85"/>
    </row>
    <row r="190" spans="72:72" ht="15">
      <c r="BT190" s="85"/>
    </row>
    <row r="191" spans="72:72" ht="15">
      <c r="BT191" s="85"/>
    </row>
    <row r="192" spans="72:72" ht="15">
      <c r="BT192" s="85"/>
    </row>
    <row r="193" spans="72:72" ht="15">
      <c r="BT193" s="85"/>
    </row>
    <row r="194" spans="72:72" ht="15">
      <c r="BT194" s="85"/>
    </row>
    <row r="195" spans="72:72" ht="15">
      <c r="BT195" s="85"/>
    </row>
    <row r="196" spans="72:72" ht="15">
      <c r="BT196" s="85"/>
    </row>
    <row r="197" spans="72:72" ht="15">
      <c r="BT197" s="85"/>
    </row>
    <row r="198" spans="72:72" ht="15">
      <c r="BT198" s="85"/>
    </row>
    <row r="199" spans="72:72" ht="15">
      <c r="BT199" s="85"/>
    </row>
    <row r="200" spans="72:72" ht="15">
      <c r="BT200" s="85"/>
    </row>
    <row r="201" spans="72:72" ht="15">
      <c r="BT201" s="85"/>
    </row>
    <row r="202" spans="72:72" ht="15">
      <c r="BT202" s="85"/>
    </row>
    <row r="203" spans="72:72" ht="15">
      <c r="BT203" s="85"/>
    </row>
    <row r="204" spans="72:72" ht="15">
      <c r="BT204" s="85"/>
    </row>
    <row r="205" spans="72:72" ht="15">
      <c r="BT205" s="85"/>
    </row>
    <row r="206" spans="72:72" ht="15">
      <c r="BT206" s="85"/>
    </row>
    <row r="207" spans="72:72" ht="15">
      <c r="BT207" s="85"/>
    </row>
    <row r="208" spans="72:72" ht="15">
      <c r="BT208" s="85"/>
    </row>
    <row r="209" spans="72:72" ht="15">
      <c r="BT209" s="86"/>
    </row>
    <row r="210" spans="72:72" ht="15">
      <c r="BT210" s="86"/>
    </row>
    <row r="211" spans="72:72" ht="15">
      <c r="BT211" s="86"/>
    </row>
    <row r="212" spans="72:72" ht="15">
      <c r="BT212" s="86"/>
    </row>
    <row r="213" spans="72:72" ht="15">
      <c r="BT213" s="86"/>
    </row>
    <row r="214" spans="72:72" ht="15">
      <c r="BT214" s="86"/>
    </row>
    <row r="215" spans="72:72" ht="15">
      <c r="BT215" s="115"/>
    </row>
    <row r="216" spans="72:72" ht="15">
      <c r="BT216" s="115"/>
    </row>
    <row r="217" spans="72:72" ht="15">
      <c r="BT217" s="85"/>
    </row>
    <row r="218" spans="72:72" ht="15">
      <c r="BT218" s="85"/>
    </row>
    <row r="219" spans="72:72" ht="15">
      <c r="BT219" s="85"/>
    </row>
    <row r="220" spans="72:72" ht="15">
      <c r="BT220" s="85"/>
    </row>
    <row r="221" spans="72:72" ht="15">
      <c r="BT221" s="85"/>
    </row>
    <row r="222" spans="72:72" ht="15">
      <c r="BT222" s="85"/>
    </row>
    <row r="223" spans="72:72" ht="15">
      <c r="BT223" s="85"/>
    </row>
  </sheetData>
  <mergeCells count="1">
    <mergeCell ref="DJ93:DK93"/>
  </mergeCells>
  <conditionalFormatting sqref="DJ93">
    <cfRule type="colorScale" priority="7">
      <colorScale>
        <cfvo type="min"/>
        <cfvo type="percentile" val="50"/>
        <cfvo type="max"/>
        <color rgb="FFF8696B"/>
        <color rgb="FFFCFCFF"/>
        <color rgb="FF63BE7B"/>
      </colorScale>
    </cfRule>
    <cfRule type="containsText" dxfId="14" priority="8" operator="containsText" text="Strong Sell">
      <formula>NOT(ISERROR(SEARCH("Strong Sell",DJ93)))</formula>
    </cfRule>
    <cfRule type="containsText" dxfId="13" priority="9" operator="containsText" text="Sell">
      <formula>NOT(ISERROR(SEARCH("Sell",DJ93)))</formula>
    </cfRule>
    <cfRule type="containsText" dxfId="12" priority="10" operator="containsText" text="Hold">
      <formula>NOT(ISERROR(SEARCH("Hold",DJ93)))</formula>
    </cfRule>
    <cfRule type="beginsWith" dxfId="11" priority="11" operator="beginsWith" text="Buy">
      <formula>LEFT(DJ93,LEN("Buy"))="Buy"</formula>
    </cfRule>
    <cfRule type="beginsWith" dxfId="10" priority="12" operator="beginsWith" text="Strong">
      <formula>LEFT(DJ93,LEN("Strong"))="Strong"</formula>
    </cfRule>
  </conditionalFormatting>
  <pageMargins left="0.7" right="0.7" top="0.75" bottom="0.75" header="0.3" footer="0.3"/>
  <ignoredErrors>
    <ignoredError sqref="CA62:CK62 AX51:AX70 BO14:BQ14 CL63:CP63 BN69 AX113:BQ120 CR71:CR72 CL68:CP70 CL55:CP61 CM62:CP62 CA64:CP67 CL72:CP72 CA50:CP54 BR118:BS118 BS113:BS117 CQ4:CQ6 CQ33:CQ36 CQ51:CQ70 CQ72" formulaRange="1"/>
    <ignoredError sqref="AY15:BF16 CR16:DC16 CL71:CP71 CL101:CP101 CL62 BP92 BF37 CL7:CP16 CQ15 CS7:DC15 CR7 CR12" formula="1"/>
    <ignoredError sqref="C72:J72 BR119:BR120" evalError="1"/>
    <ignoredError sqref="BR113:BR117" evalError="1" formulaRange="1"/>
    <ignoredError sqref="CQ7:CQ14 CQ71" formula="1" formulaRange="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BA6C-B902-446D-AEA3-459406FB638A}">
  <dimension ref="B1:ET225"/>
  <sheetViews>
    <sheetView zoomScale="85" zoomScaleNormal="85" workbookViewId="0">
      <pane xSplit="2" ySplit="3" topLeftCell="BJ99" activePane="bottomRight" state="frozen"/>
      <selection pane="topRight" activeCell="C1" sqref="C1"/>
      <selection pane="bottomLeft" activeCell="A4" sqref="A4"/>
      <selection pane="bottomRight" activeCell="BT1" sqref="BT1:BT1048576"/>
    </sheetView>
  </sheetViews>
  <sheetFormatPr defaultColWidth="9.140625" defaultRowHeight="14.25"/>
  <cols>
    <col min="1" max="1" width="3" style="1" customWidth="1"/>
    <col min="2" max="2" width="39.42578125" style="1" bestFit="1" customWidth="1"/>
    <col min="3" max="15" width="9.28515625" style="1" bestFit="1" customWidth="1"/>
    <col min="16" max="16" width="9.85546875" style="1" bestFit="1" customWidth="1"/>
    <col min="17" max="24" width="9.28515625" style="1" bestFit="1" customWidth="1"/>
    <col min="25" max="25" width="9.28515625" style="1" customWidth="1"/>
    <col min="26" max="45" width="9.28515625" style="1" bestFit="1" customWidth="1"/>
    <col min="46" max="46" width="9.28515625" style="1" customWidth="1"/>
    <col min="47" max="47" width="9.28515625" style="1" bestFit="1" customWidth="1"/>
    <col min="48" max="48" width="10" style="1" bestFit="1" customWidth="1"/>
    <col min="49" max="66" width="9.28515625" style="1" bestFit="1" customWidth="1"/>
    <col min="67" max="68" width="9.28515625" style="4" customWidth="1"/>
    <col min="69" max="70" width="9.28515625" style="1" customWidth="1"/>
    <col min="71" max="72" width="9.140625" style="1"/>
    <col min="73" max="74" width="9.140625" style="57"/>
    <col min="75" max="78" width="9.140625" style="1"/>
    <col min="79" max="94" width="9.28515625" style="1" bestFit="1" customWidth="1"/>
    <col min="95" max="95" width="9.28515625" style="1" customWidth="1"/>
    <col min="96" max="99" width="9.28515625" style="57" customWidth="1"/>
    <col min="100" max="100" width="9.140625" style="57"/>
    <col min="101" max="105" width="9.28515625" style="57" customWidth="1"/>
    <col min="106" max="146" width="9.28515625" style="57" bestFit="1" customWidth="1"/>
    <col min="147" max="16384" width="9.140625" style="1"/>
  </cols>
  <sheetData>
    <row r="1" spans="2:146" ht="15">
      <c r="AU1" s="5" t="s">
        <v>12</v>
      </c>
      <c r="AY1" s="5" t="s">
        <v>11</v>
      </c>
      <c r="BC1" s="5" t="s">
        <v>10</v>
      </c>
      <c r="BG1" s="5" t="s">
        <v>9</v>
      </c>
      <c r="BK1" s="5" t="s">
        <v>8</v>
      </c>
      <c r="BO1" s="5" t="s">
        <v>162</v>
      </c>
      <c r="BP1" s="5"/>
      <c r="BS1" s="3" t="s">
        <v>163</v>
      </c>
    </row>
    <row r="2" spans="2:146">
      <c r="B2" s="1" t="s">
        <v>23</v>
      </c>
      <c r="C2" s="1" t="s">
        <v>154</v>
      </c>
      <c r="D2" s="1" t="s">
        <v>155</v>
      </c>
      <c r="E2" s="1" t="s">
        <v>156</v>
      </c>
      <c r="F2" s="1" t="s">
        <v>157</v>
      </c>
      <c r="G2" s="1" t="s">
        <v>154</v>
      </c>
      <c r="H2" s="1" t="s">
        <v>155</v>
      </c>
      <c r="I2" s="1" t="s">
        <v>156</v>
      </c>
      <c r="J2" s="1" t="s">
        <v>157</v>
      </c>
      <c r="K2" s="1" t="s">
        <v>154</v>
      </c>
      <c r="L2" s="1" t="s">
        <v>155</v>
      </c>
      <c r="M2" s="1" t="s">
        <v>156</v>
      </c>
      <c r="N2" s="1" t="s">
        <v>157</v>
      </c>
      <c r="O2" s="1" t="s">
        <v>154</v>
      </c>
      <c r="P2" s="1" t="s">
        <v>155</v>
      </c>
      <c r="Q2" s="1" t="s">
        <v>156</v>
      </c>
      <c r="R2" s="1" t="s">
        <v>157</v>
      </c>
      <c r="S2" s="1" t="s">
        <v>154</v>
      </c>
      <c r="T2" s="1" t="s">
        <v>155</v>
      </c>
      <c r="U2" s="1" t="s">
        <v>156</v>
      </c>
      <c r="V2" s="1" t="s">
        <v>157</v>
      </c>
      <c r="W2" s="1" t="s">
        <v>154</v>
      </c>
      <c r="X2" s="1" t="s">
        <v>155</v>
      </c>
      <c r="Y2" s="1" t="s">
        <v>156</v>
      </c>
      <c r="Z2" s="1" t="s">
        <v>157</v>
      </c>
      <c r="AA2" s="1" t="s">
        <v>154</v>
      </c>
      <c r="AB2" s="1" t="s">
        <v>155</v>
      </c>
      <c r="AC2" s="1" t="s">
        <v>156</v>
      </c>
      <c r="AD2" s="1" t="s">
        <v>157</v>
      </c>
      <c r="AE2" s="1" t="s">
        <v>154</v>
      </c>
      <c r="AF2" s="1" t="s">
        <v>155</v>
      </c>
      <c r="AG2" s="1" t="s">
        <v>156</v>
      </c>
      <c r="AH2" s="1" t="s">
        <v>157</v>
      </c>
      <c r="AI2" s="1" t="s">
        <v>154</v>
      </c>
      <c r="AJ2" s="1" t="s">
        <v>155</v>
      </c>
      <c r="AK2" s="1" t="s">
        <v>156</v>
      </c>
      <c r="AL2" s="1" t="s">
        <v>157</v>
      </c>
      <c r="AM2" s="1" t="s">
        <v>154</v>
      </c>
      <c r="AN2" s="1" t="s">
        <v>155</v>
      </c>
      <c r="AO2" s="1" t="s">
        <v>156</v>
      </c>
      <c r="AP2" s="1" t="s">
        <v>157</v>
      </c>
      <c r="AQ2" s="1" t="s">
        <v>154</v>
      </c>
      <c r="AR2" s="1" t="s">
        <v>155</v>
      </c>
      <c r="AS2" s="1" t="s">
        <v>156</v>
      </c>
      <c r="AT2" s="1" t="s">
        <v>157</v>
      </c>
      <c r="AU2" s="1" t="s">
        <v>154</v>
      </c>
      <c r="AV2" s="1" t="s">
        <v>155</v>
      </c>
      <c r="AW2" s="1" t="s">
        <v>156</v>
      </c>
      <c r="AX2" s="1" t="s">
        <v>157</v>
      </c>
      <c r="AY2" s="1" t="s">
        <v>154</v>
      </c>
      <c r="AZ2" s="1" t="s">
        <v>155</v>
      </c>
      <c r="BA2" s="1" t="s">
        <v>156</v>
      </c>
      <c r="BB2" s="1" t="s">
        <v>157</v>
      </c>
      <c r="BC2" s="1" t="s">
        <v>154</v>
      </c>
      <c r="BD2" s="1" t="s">
        <v>155</v>
      </c>
      <c r="BE2" s="1" t="s">
        <v>156</v>
      </c>
      <c r="BF2" s="1" t="s">
        <v>157</v>
      </c>
      <c r="BG2" s="1" t="s">
        <v>154</v>
      </c>
      <c r="BH2" s="1" t="s">
        <v>155</v>
      </c>
      <c r="BI2" s="1" t="s">
        <v>156</v>
      </c>
      <c r="BJ2" s="1" t="s">
        <v>157</v>
      </c>
      <c r="BK2" s="1" t="s">
        <v>154</v>
      </c>
      <c r="BL2" s="1" t="s">
        <v>155</v>
      </c>
      <c r="BM2" s="1" t="s">
        <v>156</v>
      </c>
      <c r="BN2" s="1" t="s">
        <v>157</v>
      </c>
      <c r="BO2" s="1" t="s">
        <v>154</v>
      </c>
      <c r="BP2" s="1" t="s">
        <v>155</v>
      </c>
      <c r="BQ2" s="1" t="s">
        <v>156</v>
      </c>
      <c r="BR2" s="1" t="s">
        <v>157</v>
      </c>
      <c r="BS2" s="1" t="s">
        <v>154</v>
      </c>
      <c r="BT2" s="1" t="s">
        <v>155</v>
      </c>
      <c r="BU2" s="57" t="s">
        <v>156</v>
      </c>
      <c r="BV2" s="57" t="s">
        <v>157</v>
      </c>
    </row>
    <row r="3" spans="2:146" s="3" customFormat="1" ht="15">
      <c r="B3" s="3" t="s">
        <v>81</v>
      </c>
      <c r="C3" s="3" t="str" cm="1">
        <f t="array" ref="C3:BV3">"Q"&amp;MOD(_xlfn.SEQUENCE(1,72)-1,4)+1&amp;" "&amp;(2009+INT((_xlfn.SEQUENCE(1,72)-1)/4))</f>
        <v>Q1 2009</v>
      </c>
      <c r="D3" s="5" t="str">
        <v>Q2 2009</v>
      </c>
      <c r="E3" s="5" t="str">
        <v>Q3 2009</v>
      </c>
      <c r="F3" s="5" t="str">
        <v>Q4 2009</v>
      </c>
      <c r="G3" s="5" t="str">
        <v>Q1 2010</v>
      </c>
      <c r="H3" s="5" t="str">
        <v>Q2 2010</v>
      </c>
      <c r="I3" s="5" t="str">
        <v>Q3 2010</v>
      </c>
      <c r="J3" s="5" t="str">
        <v>Q4 2010</v>
      </c>
      <c r="K3" s="5" t="str">
        <v>Q1 2011</v>
      </c>
      <c r="L3" s="5" t="str">
        <v>Q2 2011</v>
      </c>
      <c r="M3" s="5" t="str">
        <v>Q3 2011</v>
      </c>
      <c r="N3" s="5" t="str">
        <v>Q4 2011</v>
      </c>
      <c r="O3" s="5" t="str">
        <v>Q1 2012</v>
      </c>
      <c r="P3" s="5" t="str">
        <v>Q2 2012</v>
      </c>
      <c r="Q3" s="5" t="str">
        <v>Q3 2012</v>
      </c>
      <c r="R3" s="5" t="str">
        <v>Q4 2012</v>
      </c>
      <c r="S3" s="5" t="str">
        <v>Q1 2013</v>
      </c>
      <c r="T3" s="5" t="str">
        <v>Q2 2013</v>
      </c>
      <c r="U3" s="5" t="str">
        <v>Q3 2013</v>
      </c>
      <c r="V3" s="5" t="str">
        <v>Q4 2013</v>
      </c>
      <c r="W3" s="5" t="str">
        <v>Q1 2014</v>
      </c>
      <c r="X3" s="5" t="str">
        <v>Q2 2014</v>
      </c>
      <c r="Y3" s="5" t="str">
        <v>Q3 2014</v>
      </c>
      <c r="Z3" s="5" t="str">
        <v>Q4 2014</v>
      </c>
      <c r="AA3" s="5" t="str">
        <v>Q1 2015</v>
      </c>
      <c r="AB3" s="5" t="str">
        <v>Q2 2015</v>
      </c>
      <c r="AC3" s="5" t="str">
        <v>Q3 2015</v>
      </c>
      <c r="AD3" s="5" t="str">
        <v>Q4 2015</v>
      </c>
      <c r="AE3" s="5" t="str">
        <v>Q1 2016</v>
      </c>
      <c r="AF3" s="5" t="str">
        <v>Q2 2016</v>
      </c>
      <c r="AG3" s="5" t="str">
        <v>Q3 2016</v>
      </c>
      <c r="AH3" s="5" t="str">
        <v>Q4 2016</v>
      </c>
      <c r="AI3" s="5" t="str">
        <v>Q1 2017</v>
      </c>
      <c r="AJ3" s="5" t="str">
        <v>Q2 2017</v>
      </c>
      <c r="AK3" s="5" t="str">
        <v>Q3 2017</v>
      </c>
      <c r="AL3" s="5" t="str">
        <v>Q4 2017</v>
      </c>
      <c r="AM3" s="5" t="str">
        <v>Q1 2018</v>
      </c>
      <c r="AN3" s="5" t="str">
        <v>Q2 2018</v>
      </c>
      <c r="AO3" s="5" t="str">
        <v>Q3 2018</v>
      </c>
      <c r="AP3" s="5" t="str">
        <v>Q4 2018</v>
      </c>
      <c r="AQ3" s="5" t="str">
        <v>Q1 2019</v>
      </c>
      <c r="AR3" s="5" t="str">
        <v>Q2 2019</v>
      </c>
      <c r="AS3" s="5" t="str">
        <v>Q3 2019</v>
      </c>
      <c r="AT3" s="5" t="str">
        <v>Q4 2019</v>
      </c>
      <c r="AU3" s="5" t="str">
        <v>Q1 2020</v>
      </c>
      <c r="AV3" s="5" t="str">
        <v>Q2 2020</v>
      </c>
      <c r="AW3" s="5" t="str">
        <v>Q3 2020</v>
      </c>
      <c r="AX3" s="5" t="str">
        <v>Q4 2020</v>
      </c>
      <c r="AY3" s="5" t="str">
        <v>Q1 2021</v>
      </c>
      <c r="AZ3" s="5" t="str">
        <v>Q2 2021</v>
      </c>
      <c r="BA3" s="5" t="str">
        <v>Q3 2021</v>
      </c>
      <c r="BB3" s="5" t="str">
        <v>Q4 2021</v>
      </c>
      <c r="BC3" s="5" t="str">
        <v>Q1 2022</v>
      </c>
      <c r="BD3" s="5" t="str">
        <v>Q2 2022</v>
      </c>
      <c r="BE3" s="5" t="str">
        <v>Q3 2022</v>
      </c>
      <c r="BF3" s="5" t="str">
        <v>Q4 2022</v>
      </c>
      <c r="BG3" s="5" t="str">
        <v>Q1 2023</v>
      </c>
      <c r="BH3" s="5" t="str">
        <v>Q2 2023</v>
      </c>
      <c r="BI3" s="5" t="str">
        <v>Q3 2023</v>
      </c>
      <c r="BJ3" s="5" t="str">
        <v>Q4 2023</v>
      </c>
      <c r="BK3" s="5" t="str">
        <v>Q1 2024</v>
      </c>
      <c r="BL3" s="5" t="str">
        <v>Q2 2024</v>
      </c>
      <c r="BM3" s="5" t="str">
        <v>Q3 2024</v>
      </c>
      <c r="BN3" s="5" t="str">
        <v>Q4 2024</v>
      </c>
      <c r="BO3" s="5" t="str">
        <v>Q1 2025</v>
      </c>
      <c r="BP3" s="5" t="str">
        <v>Q2 2025</v>
      </c>
      <c r="BQ3" s="3" t="str">
        <v>Q3 2025</v>
      </c>
      <c r="BR3" s="3" t="str">
        <v>Q4 2025</v>
      </c>
      <c r="BS3" s="3" t="str">
        <v>Q1 2026</v>
      </c>
      <c r="BT3" s="3" t="str">
        <v>Q2 2026</v>
      </c>
      <c r="BU3" s="58" t="str">
        <v>Q3 2026</v>
      </c>
      <c r="BV3" s="58" t="str">
        <v>Q4 2026</v>
      </c>
      <c r="CA3" s="3">
        <v>2009</v>
      </c>
      <c r="CB3" s="3">
        <f t="shared" ref="CB3:EM3" si="0">CA3+1</f>
        <v>2010</v>
      </c>
      <c r="CC3" s="3">
        <f t="shared" si="0"/>
        <v>2011</v>
      </c>
      <c r="CD3" s="3">
        <f t="shared" si="0"/>
        <v>2012</v>
      </c>
      <c r="CE3" s="3">
        <f t="shared" si="0"/>
        <v>2013</v>
      </c>
      <c r="CF3" s="3">
        <f t="shared" si="0"/>
        <v>2014</v>
      </c>
      <c r="CG3" s="3">
        <f t="shared" si="0"/>
        <v>2015</v>
      </c>
      <c r="CH3" s="3">
        <f t="shared" si="0"/>
        <v>2016</v>
      </c>
      <c r="CI3" s="3">
        <f t="shared" si="0"/>
        <v>2017</v>
      </c>
      <c r="CJ3" s="3">
        <f t="shared" si="0"/>
        <v>2018</v>
      </c>
      <c r="CK3" s="3">
        <f t="shared" si="0"/>
        <v>2019</v>
      </c>
      <c r="CL3" s="3">
        <f t="shared" si="0"/>
        <v>2020</v>
      </c>
      <c r="CM3" s="3">
        <f t="shared" si="0"/>
        <v>2021</v>
      </c>
      <c r="CN3" s="3">
        <f t="shared" si="0"/>
        <v>2022</v>
      </c>
      <c r="CO3" s="3">
        <f t="shared" si="0"/>
        <v>2023</v>
      </c>
      <c r="CP3" s="3">
        <f t="shared" si="0"/>
        <v>2024</v>
      </c>
      <c r="CQ3" s="3">
        <f t="shared" si="0"/>
        <v>2025</v>
      </c>
      <c r="CR3" s="58">
        <f>CQ3+1</f>
        <v>2026</v>
      </c>
      <c r="CS3" s="58">
        <f t="shared" si="0"/>
        <v>2027</v>
      </c>
      <c r="CT3" s="58">
        <f t="shared" si="0"/>
        <v>2028</v>
      </c>
      <c r="CU3" s="58">
        <f t="shared" si="0"/>
        <v>2029</v>
      </c>
      <c r="CV3" s="58">
        <f t="shared" si="0"/>
        <v>2030</v>
      </c>
      <c r="CW3" s="58">
        <f t="shared" si="0"/>
        <v>2031</v>
      </c>
      <c r="CX3" s="58">
        <f t="shared" si="0"/>
        <v>2032</v>
      </c>
      <c r="CY3" s="58">
        <f t="shared" si="0"/>
        <v>2033</v>
      </c>
      <c r="CZ3" s="58">
        <f t="shared" si="0"/>
        <v>2034</v>
      </c>
      <c r="DA3" s="58">
        <f t="shared" si="0"/>
        <v>2035</v>
      </c>
      <c r="DB3" s="58">
        <f t="shared" si="0"/>
        <v>2036</v>
      </c>
      <c r="DC3" s="58">
        <f t="shared" si="0"/>
        <v>2037</v>
      </c>
      <c r="DD3" s="58">
        <f t="shared" si="0"/>
        <v>2038</v>
      </c>
      <c r="DE3" s="58">
        <f t="shared" si="0"/>
        <v>2039</v>
      </c>
      <c r="DF3" s="58">
        <f t="shared" si="0"/>
        <v>2040</v>
      </c>
      <c r="DG3" s="58">
        <f t="shared" si="0"/>
        <v>2041</v>
      </c>
      <c r="DH3" s="58">
        <f t="shared" si="0"/>
        <v>2042</v>
      </c>
      <c r="DI3" s="58">
        <f t="shared" si="0"/>
        <v>2043</v>
      </c>
      <c r="DJ3" s="58">
        <f t="shared" si="0"/>
        <v>2044</v>
      </c>
      <c r="DK3" s="58">
        <f t="shared" si="0"/>
        <v>2045</v>
      </c>
      <c r="DL3" s="58">
        <f t="shared" si="0"/>
        <v>2046</v>
      </c>
      <c r="DM3" s="58">
        <f t="shared" si="0"/>
        <v>2047</v>
      </c>
      <c r="DN3" s="58">
        <f t="shared" si="0"/>
        <v>2048</v>
      </c>
      <c r="DO3" s="58">
        <f t="shared" si="0"/>
        <v>2049</v>
      </c>
      <c r="DP3" s="58">
        <f t="shared" si="0"/>
        <v>2050</v>
      </c>
      <c r="DQ3" s="58">
        <f t="shared" si="0"/>
        <v>2051</v>
      </c>
      <c r="DR3" s="58">
        <f t="shared" si="0"/>
        <v>2052</v>
      </c>
      <c r="DS3" s="58">
        <f t="shared" si="0"/>
        <v>2053</v>
      </c>
      <c r="DT3" s="58">
        <f t="shared" si="0"/>
        <v>2054</v>
      </c>
      <c r="DU3" s="58">
        <f t="shared" si="0"/>
        <v>2055</v>
      </c>
      <c r="DV3" s="58">
        <f t="shared" si="0"/>
        <v>2056</v>
      </c>
      <c r="DW3" s="58">
        <f t="shared" si="0"/>
        <v>2057</v>
      </c>
      <c r="DX3" s="58">
        <f t="shared" si="0"/>
        <v>2058</v>
      </c>
      <c r="DY3" s="58">
        <f t="shared" si="0"/>
        <v>2059</v>
      </c>
      <c r="DZ3" s="58">
        <f t="shared" si="0"/>
        <v>2060</v>
      </c>
      <c r="EA3" s="58">
        <f t="shared" si="0"/>
        <v>2061</v>
      </c>
      <c r="EB3" s="58">
        <f t="shared" si="0"/>
        <v>2062</v>
      </c>
      <c r="EC3" s="58">
        <f t="shared" si="0"/>
        <v>2063</v>
      </c>
      <c r="ED3" s="58">
        <f t="shared" si="0"/>
        <v>2064</v>
      </c>
      <c r="EE3" s="58">
        <f t="shared" si="0"/>
        <v>2065</v>
      </c>
      <c r="EF3" s="58">
        <f t="shared" si="0"/>
        <v>2066</v>
      </c>
      <c r="EG3" s="58">
        <f t="shared" si="0"/>
        <v>2067</v>
      </c>
      <c r="EH3" s="58">
        <f t="shared" si="0"/>
        <v>2068</v>
      </c>
      <c r="EI3" s="58">
        <f t="shared" si="0"/>
        <v>2069</v>
      </c>
      <c r="EJ3" s="58">
        <f t="shared" si="0"/>
        <v>2070</v>
      </c>
      <c r="EK3" s="58">
        <f t="shared" si="0"/>
        <v>2071</v>
      </c>
      <c r="EL3" s="58">
        <f t="shared" si="0"/>
        <v>2072</v>
      </c>
      <c r="EM3" s="58">
        <f t="shared" si="0"/>
        <v>2073</v>
      </c>
      <c r="EN3" s="58">
        <f t="shared" ref="EN3:EO3" si="1">EM3+1</f>
        <v>2074</v>
      </c>
      <c r="EO3" s="58">
        <f t="shared" si="1"/>
        <v>2075</v>
      </c>
      <c r="EP3" s="58"/>
    </row>
    <row r="4" spans="2:146">
      <c r="B4" s="31" t="s">
        <v>97</v>
      </c>
      <c r="AU4" s="1">
        <v>442</v>
      </c>
      <c r="AV4" s="1">
        <v>348</v>
      </c>
      <c r="AW4" s="1">
        <v>475</v>
      </c>
      <c r="AX4" s="1">
        <f>1780-SUM(AU4:AW4)</f>
        <v>515</v>
      </c>
      <c r="AY4" s="1">
        <v>499</v>
      </c>
      <c r="AZ4" s="1">
        <v>551</v>
      </c>
      <c r="BA4" s="1">
        <v>533</v>
      </c>
      <c r="BB4" s="1">
        <f>2141-SUM(AY4:BA4)</f>
        <v>558</v>
      </c>
      <c r="BC4" s="1">
        <v>532</v>
      </c>
      <c r="BD4" s="1">
        <v>561</v>
      </c>
      <c r="BE4" s="1">
        <v>559</v>
      </c>
      <c r="BF4" s="1">
        <f>2221-SUM(BC4:BE4)</f>
        <v>569</v>
      </c>
      <c r="BG4" s="1">
        <v>577</v>
      </c>
      <c r="BH4" s="1">
        <v>630</v>
      </c>
      <c r="BI4" s="1">
        <v>629</v>
      </c>
      <c r="BJ4" s="1">
        <f>2482-SUM(BG4:BI4)</f>
        <v>646</v>
      </c>
      <c r="BK4" s="1">
        <v>642</v>
      </c>
      <c r="BL4" s="1">
        <v>675</v>
      </c>
      <c r="BM4" s="1">
        <v>678</v>
      </c>
      <c r="BN4" s="1">
        <f>2687-SUM(BK4:BM4)</f>
        <v>692</v>
      </c>
      <c r="BO4" s="1">
        <v>673</v>
      </c>
      <c r="BP4" s="1">
        <v>737</v>
      </c>
      <c r="BQ4" s="1">
        <v>747</v>
      </c>
      <c r="BR4" s="1">
        <v>760</v>
      </c>
      <c r="BS4" s="1">
        <v>736</v>
      </c>
      <c r="BT4" s="1">
        <v>793</v>
      </c>
      <c r="CK4" s="4">
        <v>1894</v>
      </c>
      <c r="CL4" s="4">
        <f>SUM(AU4:AX4)</f>
        <v>1780</v>
      </c>
      <c r="CM4" s="4">
        <f>SUM(AY4:BB4)</f>
        <v>2141</v>
      </c>
      <c r="CN4" s="4">
        <f>SUM(BC4:BF4)</f>
        <v>2221</v>
      </c>
      <c r="CO4" s="4">
        <f>SUM(BG4:BJ4)</f>
        <v>2482</v>
      </c>
      <c r="CP4" s="4">
        <f>SUM(BK4:BN4)</f>
        <v>2687</v>
      </c>
      <c r="CQ4" s="4">
        <f>SUM(BO4:BR4)</f>
        <v>2917</v>
      </c>
      <c r="CR4" s="37">
        <f t="shared" ref="CR4:DA4" si="2">CQ4*(1+CR17)</f>
        <v>3194.1149999999998</v>
      </c>
      <c r="CS4" s="37">
        <f t="shared" si="2"/>
        <v>3401.7324749999998</v>
      </c>
      <c r="CT4" s="37">
        <f t="shared" si="2"/>
        <v>3578.6225636999998</v>
      </c>
      <c r="CU4" s="37">
        <f t="shared" si="2"/>
        <v>3728.9247113754</v>
      </c>
      <c r="CV4" s="37">
        <f t="shared" si="2"/>
        <v>3878.0816998304163</v>
      </c>
      <c r="CW4" s="37">
        <f t="shared" si="2"/>
        <v>4021.5707227241414</v>
      </c>
      <c r="CX4" s="37">
        <f t="shared" si="2"/>
        <v>4162.3256980194865</v>
      </c>
      <c r="CY4" s="37">
        <f t="shared" si="2"/>
        <v>4295.5201203561101</v>
      </c>
      <c r="CZ4" s="37">
        <f t="shared" si="2"/>
        <v>4428.681244087149</v>
      </c>
      <c r="DA4" s="37">
        <f t="shared" si="2"/>
        <v>4561.5416814097634</v>
      </c>
      <c r="DB4" s="37"/>
      <c r="DC4" s="37"/>
      <c r="DD4" s="37"/>
      <c r="DE4" s="37"/>
      <c r="DF4" s="37"/>
      <c r="DG4" s="37"/>
      <c r="DH4" s="37"/>
      <c r="DI4" s="37"/>
      <c r="DJ4" s="37"/>
      <c r="DK4" s="37"/>
      <c r="DL4" s="37"/>
      <c r="DM4" s="37"/>
      <c r="DN4" s="37"/>
      <c r="DO4" s="37"/>
      <c r="DP4" s="37"/>
      <c r="DQ4" s="37"/>
      <c r="DR4" s="37"/>
      <c r="DS4" s="37"/>
      <c r="DT4" s="37"/>
      <c r="DU4" s="37"/>
      <c r="DV4" s="37"/>
      <c r="DW4" s="37"/>
      <c r="DX4" s="37"/>
      <c r="DY4" s="37"/>
      <c r="DZ4" s="37"/>
      <c r="EA4" s="37"/>
      <c r="EB4" s="37"/>
      <c r="EC4" s="37"/>
      <c r="ED4" s="37"/>
      <c r="EE4" s="37"/>
      <c r="EF4" s="37"/>
      <c r="EG4" s="37"/>
      <c r="EH4" s="37"/>
      <c r="EI4" s="37"/>
      <c r="EJ4" s="37"/>
      <c r="EK4" s="37"/>
      <c r="EL4" s="37"/>
      <c r="EM4" s="37"/>
      <c r="EN4" s="37"/>
      <c r="EO4" s="37"/>
      <c r="EP4" s="37"/>
    </row>
    <row r="5" spans="2:146">
      <c r="B5" s="31" t="s">
        <v>98</v>
      </c>
      <c r="AU5" s="1">
        <v>332</v>
      </c>
      <c r="AV5" s="1">
        <v>228</v>
      </c>
      <c r="AW5" s="1">
        <v>350</v>
      </c>
      <c r="AX5" s="1">
        <f>1286-SUM(AU5:AW5)</f>
        <v>376</v>
      </c>
      <c r="AY5" s="1">
        <v>361</v>
      </c>
      <c r="AZ5" s="1">
        <v>397</v>
      </c>
      <c r="BA5" s="1">
        <v>384</v>
      </c>
      <c r="BB5" s="1">
        <f>1583-SUM(AY5:BA5)</f>
        <v>441</v>
      </c>
      <c r="BC5" s="1">
        <v>413</v>
      </c>
      <c r="BD5" s="1">
        <v>450</v>
      </c>
      <c r="BE5" s="1">
        <v>433</v>
      </c>
      <c r="BF5" s="1">
        <f>1773-SUM(BC5:BE5)</f>
        <v>477</v>
      </c>
      <c r="BG5" s="1">
        <v>469</v>
      </c>
      <c r="BH5" s="1">
        <v>485</v>
      </c>
      <c r="BI5" s="1">
        <v>483</v>
      </c>
      <c r="BJ5" s="1">
        <f>1964-SUM(BG5:BI5)</f>
        <v>527</v>
      </c>
      <c r="BK5" s="1">
        <v>513</v>
      </c>
      <c r="BL5" s="1">
        <v>525</v>
      </c>
      <c r="BM5" s="1">
        <v>532</v>
      </c>
      <c r="BN5" s="1">
        <f>2200-SUM(BK5:BM5)</f>
        <v>630</v>
      </c>
      <c r="BO5" s="1">
        <v>633</v>
      </c>
      <c r="BP5" s="1">
        <v>676</v>
      </c>
      <c r="BQ5" s="1">
        <v>682</v>
      </c>
      <c r="BR5" s="1">
        <v>717</v>
      </c>
      <c r="BS5" s="1">
        <v>646</v>
      </c>
      <c r="BT5" s="1">
        <v>684</v>
      </c>
      <c r="CK5" s="4">
        <v>1413</v>
      </c>
      <c r="CL5" s="4">
        <f>SUM(AU5:AX5)</f>
        <v>1286</v>
      </c>
      <c r="CM5" s="4">
        <f>SUM(AY5:BB5)</f>
        <v>1583</v>
      </c>
      <c r="CN5" s="4">
        <f>SUM(BC5:BF5)</f>
        <v>1773</v>
      </c>
      <c r="CO5" s="4">
        <f>SUM(BG5:BJ5)</f>
        <v>1964</v>
      </c>
      <c r="CP5" s="4">
        <f>SUM(BK5:BN5)</f>
        <v>2200</v>
      </c>
      <c r="CQ5" s="4">
        <f t="shared" ref="CQ5:CQ15" si="3">SUM(BO5:BR5)</f>
        <v>2708</v>
      </c>
      <c r="CR5" s="37">
        <f t="shared" ref="CR5:DA5" si="4">CQ5*(1+CR18)</f>
        <v>2789.2400000000002</v>
      </c>
      <c r="CS5" s="37">
        <f t="shared" si="4"/>
        <v>2900.8096000000005</v>
      </c>
      <c r="CT5" s="37">
        <f t="shared" si="4"/>
        <v>3103.8662720000007</v>
      </c>
      <c r="CU5" s="37">
        <f t="shared" si="4"/>
        <v>3352.175573760001</v>
      </c>
      <c r="CV5" s="37">
        <f t="shared" si="4"/>
        <v>3553.3061081856013</v>
      </c>
      <c r="CW5" s="37">
        <f t="shared" si="4"/>
        <v>3730.9714135948816</v>
      </c>
      <c r="CX5" s="37">
        <f t="shared" si="4"/>
        <v>3898.8651272066509</v>
      </c>
      <c r="CY5" s="37">
        <f t="shared" si="4"/>
        <v>4054.8197322949172</v>
      </c>
      <c r="CZ5" s="37">
        <f t="shared" si="4"/>
        <v>4196.7384229252393</v>
      </c>
      <c r="DA5" s="37">
        <f t="shared" si="4"/>
        <v>4333.1324216703097</v>
      </c>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7"/>
      <c r="EO5" s="37"/>
      <c r="EP5" s="37"/>
    </row>
    <row r="6" spans="2:146">
      <c r="B6" s="31" t="s">
        <v>99</v>
      </c>
      <c r="AU6" s="1">
        <v>191</v>
      </c>
      <c r="AV6" s="1">
        <v>122</v>
      </c>
      <c r="AW6" s="1">
        <v>216</v>
      </c>
      <c r="AX6" s="1">
        <f>761-SUM(AU6:AW6)</f>
        <v>232</v>
      </c>
      <c r="AY6" s="1">
        <v>198</v>
      </c>
      <c r="AZ6" s="1">
        <v>247</v>
      </c>
      <c r="BA6" s="1">
        <v>221</v>
      </c>
      <c r="BB6" s="1">
        <f>909-SUM(AY6:BA6)</f>
        <v>243</v>
      </c>
      <c r="BC6" s="1">
        <v>209</v>
      </c>
      <c r="BD6" s="1">
        <v>238</v>
      </c>
      <c r="BE6" s="1">
        <v>221</v>
      </c>
      <c r="BF6" s="1">
        <f>917-SUM(BC6:BE6)</f>
        <v>249</v>
      </c>
      <c r="BG6" s="1">
        <v>234</v>
      </c>
      <c r="BH6" s="1">
        <v>244</v>
      </c>
      <c r="BI6" s="1">
        <v>229</v>
      </c>
      <c r="BJ6" s="1">
        <f>976-SUM(BG6:BI6)</f>
        <v>269</v>
      </c>
      <c r="BK6" s="1">
        <v>256</v>
      </c>
      <c r="BL6" s="1">
        <v>282</v>
      </c>
      <c r="BM6" s="1">
        <v>268</v>
      </c>
      <c r="BN6" s="1">
        <f>1106-SUM(BK6:BM6)</f>
        <v>300</v>
      </c>
      <c r="BO6" s="1">
        <v>271</v>
      </c>
      <c r="BP6" s="1">
        <v>303</v>
      </c>
      <c r="BQ6" s="1">
        <v>293</v>
      </c>
      <c r="BR6" s="1">
        <v>332</v>
      </c>
      <c r="BS6" s="1">
        <v>319</v>
      </c>
      <c r="BT6" s="1">
        <v>341</v>
      </c>
      <c r="CK6" s="4">
        <v>873</v>
      </c>
      <c r="CL6" s="4">
        <f>SUM(AU6:AX6)</f>
        <v>761</v>
      </c>
      <c r="CM6" s="4">
        <f>SUM(AY6:BB6)</f>
        <v>909</v>
      </c>
      <c r="CN6" s="4">
        <f>SUM(BC6:BF6)</f>
        <v>917</v>
      </c>
      <c r="CO6" s="4">
        <f>SUM(BG6:BJ6)</f>
        <v>976</v>
      </c>
      <c r="CP6" s="4">
        <f>SUM(BK6:BN6)</f>
        <v>1106</v>
      </c>
      <c r="CQ6" s="4">
        <f t="shared" si="3"/>
        <v>1199</v>
      </c>
      <c r="CR6" s="37">
        <f t="shared" ref="CR6:DA6" si="5">CQ6*(1+CR19)</f>
        <v>1366.8600000000001</v>
      </c>
      <c r="CS6" s="37">
        <f t="shared" si="5"/>
        <v>1530.8832000000002</v>
      </c>
      <c r="CT6" s="37">
        <f t="shared" si="5"/>
        <v>1699.2803520000004</v>
      </c>
      <c r="CU6" s="37">
        <f t="shared" si="5"/>
        <v>1869.2083872000007</v>
      </c>
      <c r="CV6" s="37">
        <f t="shared" si="5"/>
        <v>2037.4371420480009</v>
      </c>
      <c r="CW6" s="37">
        <f t="shared" si="5"/>
        <v>2200.4321134118409</v>
      </c>
      <c r="CX6" s="37">
        <f t="shared" si="5"/>
        <v>2354.4623613506697</v>
      </c>
      <c r="CY6" s="37">
        <f t="shared" si="5"/>
        <v>2495.7301030317099</v>
      </c>
      <c r="CZ6" s="37">
        <f t="shared" si="5"/>
        <v>2620.5166081832954</v>
      </c>
      <c r="DA6" s="37">
        <f t="shared" si="5"/>
        <v>2725.3372725106274</v>
      </c>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row>
    <row r="7" spans="2:146" s="3" customFormat="1" ht="15">
      <c r="B7" s="3" t="s">
        <v>100</v>
      </c>
      <c r="AU7" s="3">
        <f t="shared" ref="AU7:AW7" si="6">SUM(AU4:AU6)</f>
        <v>965</v>
      </c>
      <c r="AV7" s="3">
        <f t="shared" si="6"/>
        <v>698</v>
      </c>
      <c r="AW7" s="3">
        <f t="shared" si="6"/>
        <v>1041</v>
      </c>
      <c r="AX7" s="3">
        <f>SUM(AX4:AX6)</f>
        <v>1123</v>
      </c>
      <c r="AY7" s="3">
        <f t="shared" ref="AY7:BS7" si="7">SUM(AY4:AY6)</f>
        <v>1058</v>
      </c>
      <c r="AZ7" s="3">
        <f t="shared" si="7"/>
        <v>1195</v>
      </c>
      <c r="BA7" s="3">
        <f t="shared" si="7"/>
        <v>1138</v>
      </c>
      <c r="BB7" s="3">
        <f>SUM(BB4:BB6)</f>
        <v>1242</v>
      </c>
      <c r="BC7" s="3">
        <f t="shared" si="7"/>
        <v>1154</v>
      </c>
      <c r="BD7" s="3">
        <f t="shared" si="7"/>
        <v>1249</v>
      </c>
      <c r="BE7" s="3">
        <f t="shared" si="7"/>
        <v>1213</v>
      </c>
      <c r="BF7" s="3">
        <f t="shared" si="7"/>
        <v>1295</v>
      </c>
      <c r="BG7" s="3">
        <f t="shared" si="7"/>
        <v>1280</v>
      </c>
      <c r="BH7" s="3">
        <f t="shared" si="7"/>
        <v>1359</v>
      </c>
      <c r="BI7" s="3">
        <f t="shared" si="7"/>
        <v>1341</v>
      </c>
      <c r="BJ7" s="3">
        <f t="shared" si="7"/>
        <v>1442</v>
      </c>
      <c r="BK7" s="3">
        <f t="shared" si="7"/>
        <v>1411</v>
      </c>
      <c r="BL7" s="3">
        <f t="shared" si="7"/>
        <v>1482</v>
      </c>
      <c r="BM7" s="3">
        <f t="shared" si="7"/>
        <v>1478</v>
      </c>
      <c r="BN7" s="3">
        <f t="shared" si="7"/>
        <v>1622</v>
      </c>
      <c r="BO7" s="3">
        <f t="shared" si="7"/>
        <v>1577</v>
      </c>
      <c r="BP7" s="3">
        <f t="shared" si="7"/>
        <v>1716</v>
      </c>
      <c r="BQ7" s="3">
        <f t="shared" si="7"/>
        <v>1722</v>
      </c>
      <c r="BR7" s="3">
        <f t="shared" si="7"/>
        <v>1809</v>
      </c>
      <c r="BS7" s="3">
        <f t="shared" si="7"/>
        <v>1701</v>
      </c>
      <c r="BT7" s="3">
        <f t="shared" ref="BT7" si="8">SUM(BT4:BT6)</f>
        <v>1818</v>
      </c>
      <c r="BU7" s="58"/>
      <c r="BV7" s="58"/>
      <c r="CK7" s="3">
        <f t="shared" ref="CK7:CP7" si="9">SUM(CK4:CK6)</f>
        <v>4180</v>
      </c>
      <c r="CL7" s="3">
        <f t="shared" si="9"/>
        <v>3827</v>
      </c>
      <c r="CM7" s="3">
        <f t="shared" si="9"/>
        <v>4633</v>
      </c>
      <c r="CN7" s="3">
        <f t="shared" si="9"/>
        <v>4911</v>
      </c>
      <c r="CO7" s="3">
        <f t="shared" si="9"/>
        <v>5422</v>
      </c>
      <c r="CP7" s="3">
        <f t="shared" si="9"/>
        <v>5993</v>
      </c>
      <c r="CQ7" s="5">
        <f t="shared" si="3"/>
        <v>6824</v>
      </c>
      <c r="CR7" s="59">
        <f>SUM(CR4:CR6)</f>
        <v>7350.2150000000001</v>
      </c>
      <c r="CS7" s="59">
        <f>SUM(CS4:CS6)</f>
        <v>7833.4252750000005</v>
      </c>
      <c r="CT7" s="59">
        <f>SUM(CT4:CT6)</f>
        <v>8381.7691876999997</v>
      </c>
      <c r="CU7" s="59">
        <f>SUM(CU4:CU6)</f>
        <v>8950.3086723354008</v>
      </c>
      <c r="CV7" s="59">
        <f>SUM(CV4:CV6)</f>
        <v>9468.8249500640177</v>
      </c>
      <c r="CW7" s="59">
        <f t="shared" ref="CW7:DA7" si="10">SUM(CW4:CW6)</f>
        <v>9952.9742497308653</v>
      </c>
      <c r="CX7" s="59">
        <f t="shared" si="10"/>
        <v>10415.653186576807</v>
      </c>
      <c r="CY7" s="59">
        <f t="shared" si="10"/>
        <v>10846.069955682739</v>
      </c>
      <c r="CZ7" s="59">
        <f t="shared" si="10"/>
        <v>11245.936275195685</v>
      </c>
      <c r="DA7" s="59">
        <f t="shared" si="10"/>
        <v>11620.0113755907</v>
      </c>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row>
    <row r="8" spans="2:146">
      <c r="B8" s="31" t="s">
        <v>174</v>
      </c>
      <c r="AU8" s="1">
        <v>633</v>
      </c>
      <c r="AV8" s="1">
        <v>495</v>
      </c>
      <c r="AW8" s="1">
        <v>586</v>
      </c>
      <c r="AX8" s="1">
        <f>2299-SUM(AU8:AW8)</f>
        <v>585</v>
      </c>
      <c r="AY8" s="1">
        <v>526</v>
      </c>
      <c r="AZ8" s="1">
        <v>574</v>
      </c>
      <c r="BA8" s="1">
        <v>534</v>
      </c>
      <c r="BB8" s="1">
        <f>2209-SUM(AY8:BA8)</f>
        <v>575</v>
      </c>
      <c r="BC8" s="1">
        <v>544</v>
      </c>
      <c r="BD8" s="1">
        <v>574</v>
      </c>
      <c r="BE8" s="1">
        <v>549</v>
      </c>
      <c r="BF8" s="1">
        <f>2228-SUM(BC8:BE8)</f>
        <v>561</v>
      </c>
      <c r="BG8" s="1">
        <v>591</v>
      </c>
      <c r="BH8" s="1">
        <v>629</v>
      </c>
      <c r="BI8" s="1">
        <v>583</v>
      </c>
      <c r="BJ8" s="1">
        <f>2417-SUM(BG8:BI8)</f>
        <v>614</v>
      </c>
      <c r="BK8" s="1">
        <v>652</v>
      </c>
      <c r="BL8" s="1">
        <v>665</v>
      </c>
      <c r="BM8" s="1">
        <v>661</v>
      </c>
      <c r="BN8" s="1">
        <f>2645-SUM(BK8:BM8)</f>
        <v>667</v>
      </c>
      <c r="BO8" s="1">
        <v>697</v>
      </c>
      <c r="BP8" s="1">
        <v>731</v>
      </c>
      <c r="BQ8" s="1">
        <v>686</v>
      </c>
      <c r="BR8" s="1">
        <v>732</v>
      </c>
      <c r="BS8" s="1">
        <v>764</v>
      </c>
      <c r="BT8" s="1">
        <v>833</v>
      </c>
      <c r="CK8" s="4">
        <v>2816</v>
      </c>
      <c r="CL8" s="4">
        <f>SUM(AU8:AX8)</f>
        <v>2299</v>
      </c>
      <c r="CM8" s="4">
        <f>SUM(AY8:BB8)</f>
        <v>2209</v>
      </c>
      <c r="CN8" s="4">
        <f>SUM(BC8:BF8)</f>
        <v>2228</v>
      </c>
      <c r="CO8" s="4">
        <f>SUM(BG8:BJ8)</f>
        <v>2417</v>
      </c>
      <c r="CP8" s="4">
        <f>SUM(BK8:BN8)</f>
        <v>2645</v>
      </c>
      <c r="CQ8" s="4">
        <f t="shared" si="3"/>
        <v>2846</v>
      </c>
      <c r="CR8" s="37">
        <f t="shared" ref="CR8:DA8" si="11">CQ8*(1+CR21)</f>
        <v>3201.75</v>
      </c>
      <c r="CS8" s="37">
        <f t="shared" si="11"/>
        <v>3457.8900000000003</v>
      </c>
      <c r="CT8" s="37">
        <f t="shared" si="11"/>
        <v>3699.9423000000006</v>
      </c>
      <c r="CU8" s="37">
        <f t="shared" si="11"/>
        <v>3884.9394150000007</v>
      </c>
      <c r="CV8" s="37">
        <f t="shared" si="11"/>
        <v>4059.7616886750006</v>
      </c>
      <c r="CW8" s="37">
        <f t="shared" si="11"/>
        <v>4222.1521562220005</v>
      </c>
      <c r="CX8" s="37">
        <f t="shared" si="11"/>
        <v>4369.9274816897705</v>
      </c>
      <c r="CY8" s="37">
        <f t="shared" si="11"/>
        <v>4501.0253061404637</v>
      </c>
      <c r="CZ8" s="37">
        <f t="shared" si="11"/>
        <v>4613.5509387939746</v>
      </c>
      <c r="DA8" s="37">
        <f t="shared" si="11"/>
        <v>4717.3558349168388</v>
      </c>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row>
    <row r="9" spans="2:146">
      <c r="B9" s="31" t="s">
        <v>101</v>
      </c>
      <c r="AU9" s="1">
        <v>41</v>
      </c>
      <c r="AV9" s="1">
        <v>68</v>
      </c>
      <c r="AW9" s="1">
        <v>74</v>
      </c>
      <c r="AX9" s="1">
        <f>219-SUM(AU9:AW9)</f>
        <v>36</v>
      </c>
      <c r="AY9" s="1">
        <v>170</v>
      </c>
      <c r="AZ9" s="1">
        <v>216</v>
      </c>
      <c r="BA9" s="1">
        <v>210</v>
      </c>
      <c r="BB9" s="1">
        <f>829-SUM(AY9:BA9)</f>
        <v>233</v>
      </c>
      <c r="BC9" s="1">
        <v>226</v>
      </c>
      <c r="BD9" s="1">
        <v>250</v>
      </c>
      <c r="BE9" s="1">
        <v>262</v>
      </c>
      <c r="BF9" s="1">
        <f>1019-SUM(BC9:BE9)</f>
        <v>281</v>
      </c>
      <c r="BG9" s="1">
        <v>291</v>
      </c>
      <c r="BH9" s="1">
        <v>317</v>
      </c>
      <c r="BI9" s="1">
        <v>323</v>
      </c>
      <c r="BJ9" s="1">
        <f>1274-SUM(BG9:BI9)</f>
        <v>343</v>
      </c>
      <c r="BK9" s="1">
        <v>344</v>
      </c>
      <c r="BL9" s="1">
        <v>379</v>
      </c>
      <c r="BM9" s="1">
        <v>380</v>
      </c>
      <c r="BN9" s="1">
        <f>1516-SUM(BK9:BM9)</f>
        <v>413</v>
      </c>
      <c r="BO9" s="1">
        <v>425</v>
      </c>
      <c r="BP9" s="1">
        <v>486</v>
      </c>
      <c r="BQ9" s="1">
        <v>512</v>
      </c>
      <c r="BR9" s="1">
        <v>541</v>
      </c>
      <c r="BS9" s="1">
        <v>506</v>
      </c>
      <c r="BT9" s="1">
        <v>507</v>
      </c>
      <c r="CK9" s="4">
        <v>81</v>
      </c>
      <c r="CL9" s="4">
        <f>SUM(AU9:AX9)</f>
        <v>219</v>
      </c>
      <c r="CM9" s="4">
        <f>SUM(AY9:BB9)</f>
        <v>829</v>
      </c>
      <c r="CN9" s="4">
        <f>SUM(BC9:BF9)</f>
        <v>1019</v>
      </c>
      <c r="CO9" s="4">
        <f>SUM(BG9:BJ9)</f>
        <v>1274</v>
      </c>
      <c r="CP9" s="4">
        <f>SUM(BK9:BN9)</f>
        <v>1516</v>
      </c>
      <c r="CQ9" s="4">
        <f t="shared" si="3"/>
        <v>1964</v>
      </c>
      <c r="CR9" s="37">
        <f t="shared" ref="CR9:DA9" si="12">CQ9*(1+CR22)</f>
        <v>2238.96</v>
      </c>
      <c r="CS9" s="37">
        <f t="shared" si="12"/>
        <v>2440.4664000000002</v>
      </c>
      <c r="CT9" s="37">
        <f t="shared" si="12"/>
        <v>2806.5363600000001</v>
      </c>
      <c r="CU9" s="37">
        <f t="shared" si="12"/>
        <v>3143.3207232000004</v>
      </c>
      <c r="CV9" s="37">
        <f t="shared" si="12"/>
        <v>3504.8026063680004</v>
      </c>
      <c r="CW9" s="37">
        <f t="shared" si="12"/>
        <v>3855.2828670048007</v>
      </c>
      <c r="CX9" s="37">
        <f t="shared" si="12"/>
        <v>4182.9819107002086</v>
      </c>
      <c r="CY9" s="37">
        <f t="shared" si="12"/>
        <v>4496.7055540027241</v>
      </c>
      <c r="CZ9" s="37">
        <f t="shared" si="12"/>
        <v>4811.4749427829147</v>
      </c>
      <c r="DA9" s="37">
        <f t="shared" si="12"/>
        <v>5124.220814063804</v>
      </c>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row>
    <row r="10" spans="2:146">
      <c r="B10" s="31" t="s">
        <v>102</v>
      </c>
      <c r="AU10" s="1">
        <v>437</v>
      </c>
      <c r="AV10" s="1">
        <v>351</v>
      </c>
      <c r="AW10" s="1">
        <v>465</v>
      </c>
      <c r="AX10" s="1">
        <f>1704-SUM(AU10:AW10)</f>
        <v>451</v>
      </c>
      <c r="AY10" s="1">
        <v>469</v>
      </c>
      <c r="AZ10" s="1">
        <v>524</v>
      </c>
      <c r="BA10" s="1">
        <v>512</v>
      </c>
      <c r="BB10" s="1">
        <f>2019-SUM(AY10:BA10)</f>
        <v>514</v>
      </c>
      <c r="BC10" s="1">
        <v>519</v>
      </c>
      <c r="BD10" s="1">
        <v>541</v>
      </c>
      <c r="BE10" s="1">
        <v>519</v>
      </c>
      <c r="BF10" s="1">
        <f>2100-SUM(BC10:BE10)</f>
        <v>521</v>
      </c>
      <c r="BG10" s="1">
        <v>548</v>
      </c>
      <c r="BH10" s="1">
        <v>566</v>
      </c>
      <c r="BI10" s="1">
        <v>552</v>
      </c>
      <c r="BJ10" s="1">
        <f>2218-SUM(BG10:BI10)</f>
        <v>552</v>
      </c>
      <c r="BK10" s="1">
        <v>575</v>
      </c>
      <c r="BL10" s="1">
        <v>576</v>
      </c>
      <c r="BM10" s="1">
        <v>561</v>
      </c>
      <c r="BN10" s="1">
        <f>2279-SUM(BK10:BM10)</f>
        <v>567</v>
      </c>
      <c r="BO10" s="1">
        <v>578</v>
      </c>
      <c r="BP10" s="1">
        <v>590</v>
      </c>
      <c r="BQ10" s="1">
        <v>578</v>
      </c>
      <c r="BR10" s="1">
        <v>607</v>
      </c>
      <c r="BS10" s="1">
        <v>906</v>
      </c>
      <c r="BT10" s="1">
        <v>585</v>
      </c>
      <c r="CK10" s="4">
        <v>1939</v>
      </c>
      <c r="CL10" s="4">
        <f>SUM(AU10:AX10)</f>
        <v>1704</v>
      </c>
      <c r="CM10" s="4">
        <f>SUM(AY10:BB10)</f>
        <v>2019</v>
      </c>
      <c r="CN10" s="4">
        <f>SUM(BC10:BF10)</f>
        <v>2100</v>
      </c>
      <c r="CO10" s="4">
        <f>SUM(BG10:BJ10)</f>
        <v>2218</v>
      </c>
      <c r="CP10" s="4">
        <f>SUM(BK10:BN10)</f>
        <v>2279</v>
      </c>
      <c r="CQ10" s="4">
        <f t="shared" si="3"/>
        <v>2353</v>
      </c>
      <c r="CR10" s="37">
        <f t="shared" ref="CR10:DA10" si="13">CQ10*(1+CR23)</f>
        <v>3176.55</v>
      </c>
      <c r="CS10" s="37">
        <f t="shared" si="13"/>
        <v>3430.6740000000004</v>
      </c>
      <c r="CT10" s="37">
        <f t="shared" si="13"/>
        <v>3533.5942200000004</v>
      </c>
      <c r="CU10" s="37">
        <f t="shared" si="13"/>
        <v>3621.9340755000003</v>
      </c>
      <c r="CV10" s="37">
        <f t="shared" si="13"/>
        <v>3703.4275921987501</v>
      </c>
      <c r="CW10" s="37">
        <f t="shared" si="13"/>
        <v>3777.4961440427251</v>
      </c>
      <c r="CX10" s="37">
        <f t="shared" si="13"/>
        <v>3843.6023265634731</v>
      </c>
      <c r="CY10" s="37">
        <f t="shared" si="13"/>
        <v>3901.2563614619248</v>
      </c>
      <c r="CZ10" s="37">
        <f t="shared" si="13"/>
        <v>3950.0220659801989</v>
      </c>
      <c r="DA10" s="37">
        <f t="shared" si="13"/>
        <v>3989.5222866400009</v>
      </c>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row>
    <row r="11" spans="2:146">
      <c r="B11" s="31" t="s">
        <v>103</v>
      </c>
      <c r="AU11" s="1">
        <v>74</v>
      </c>
      <c r="AV11" s="1">
        <v>51</v>
      </c>
      <c r="AW11" s="1">
        <v>76</v>
      </c>
      <c r="AX11" s="1">
        <f>287-SUM(AU11:AW11)</f>
        <v>86</v>
      </c>
      <c r="AY11" s="1">
        <v>83</v>
      </c>
      <c r="AZ11" s="1">
        <v>95</v>
      </c>
      <c r="BA11" s="1">
        <v>86</v>
      </c>
      <c r="BB11" s="1">
        <f>365-SUM(AY11:BA11)</f>
        <v>101</v>
      </c>
      <c r="BC11" s="1">
        <v>118</v>
      </c>
      <c r="BD11" s="1">
        <v>152</v>
      </c>
      <c r="BE11" s="1">
        <v>148</v>
      </c>
      <c r="BF11" s="1">
        <f>585-SUM(BC11:BE11)</f>
        <v>167</v>
      </c>
      <c r="BG11" s="1">
        <v>177</v>
      </c>
      <c r="BH11" s="1">
        <v>193</v>
      </c>
      <c r="BI11" s="1">
        <v>190</v>
      </c>
      <c r="BJ11" s="1">
        <f>800-SUM(BG11:BI11)</f>
        <v>240</v>
      </c>
      <c r="BK11" s="1">
        <v>300</v>
      </c>
      <c r="BL11" s="1">
        <v>428</v>
      </c>
      <c r="BM11" s="1">
        <v>527</v>
      </c>
      <c r="BN11" s="1">
        <f>1904-SUM(BK11:BM11)</f>
        <v>649</v>
      </c>
      <c r="BO11" s="1">
        <v>729</v>
      </c>
      <c r="BP11" s="1">
        <v>840</v>
      </c>
      <c r="BQ11" s="1">
        <v>865</v>
      </c>
      <c r="BR11" s="1">
        <v>889</v>
      </c>
      <c r="BS11" s="1">
        <v>578</v>
      </c>
      <c r="BT11" s="1">
        <v>916</v>
      </c>
      <c r="CK11" s="4">
        <v>329</v>
      </c>
      <c r="CL11" s="4">
        <f>SUM(AU11:AX11)</f>
        <v>287</v>
      </c>
      <c r="CM11" s="4">
        <f>SUM(AY11:BB11)</f>
        <v>365</v>
      </c>
      <c r="CN11" s="4">
        <f>SUM(BC11:BF11)</f>
        <v>585</v>
      </c>
      <c r="CO11" s="4">
        <f>SUM(BG11:BJ11)</f>
        <v>800</v>
      </c>
      <c r="CP11" s="4">
        <f>SUM(BK11:BN11)</f>
        <v>1904</v>
      </c>
      <c r="CQ11" s="4">
        <f t="shared" si="3"/>
        <v>3323</v>
      </c>
      <c r="CR11" s="37">
        <f t="shared" ref="CR11:DA11" si="14">CQ11*(1+CR24)</f>
        <v>2591.94</v>
      </c>
      <c r="CS11" s="37">
        <f t="shared" si="14"/>
        <v>2332.7460000000001</v>
      </c>
      <c r="CT11" s="37">
        <f t="shared" si="14"/>
        <v>2659.3304400000002</v>
      </c>
      <c r="CU11" s="37">
        <f t="shared" si="14"/>
        <v>2951.8567884000004</v>
      </c>
      <c r="CV11" s="37">
        <f t="shared" si="14"/>
        <v>3217.5238993560006</v>
      </c>
      <c r="CW11" s="37">
        <f t="shared" si="14"/>
        <v>3474.9258113044807</v>
      </c>
      <c r="CX11" s="37">
        <f t="shared" si="14"/>
        <v>3718.1706180957945</v>
      </c>
      <c r="CY11" s="37">
        <f t="shared" si="14"/>
        <v>3941.2608551815424</v>
      </c>
      <c r="CZ11" s="37">
        <f t="shared" si="14"/>
        <v>4138.3238979406196</v>
      </c>
      <c r="DA11" s="37">
        <f t="shared" si="14"/>
        <v>4303.8568538582449</v>
      </c>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row>
    <row r="12" spans="2:146" s="3" customFormat="1" ht="15">
      <c r="B12" s="3" t="s">
        <v>123</v>
      </c>
      <c r="AU12" s="3">
        <f t="shared" ref="AU12:BM12" si="15">SUM(AU8:AU11)</f>
        <v>1185</v>
      </c>
      <c r="AV12" s="3">
        <f t="shared" si="15"/>
        <v>965</v>
      </c>
      <c r="AW12" s="3">
        <f t="shared" si="15"/>
        <v>1201</v>
      </c>
      <c r="AX12" s="3">
        <f t="shared" si="15"/>
        <v>1158</v>
      </c>
      <c r="AY12" s="3">
        <f t="shared" si="15"/>
        <v>1248</v>
      </c>
      <c r="AZ12" s="3">
        <f t="shared" si="15"/>
        <v>1409</v>
      </c>
      <c r="BA12" s="3">
        <f t="shared" si="15"/>
        <v>1342</v>
      </c>
      <c r="BB12" s="3">
        <f t="shared" si="15"/>
        <v>1423</v>
      </c>
      <c r="BC12" s="3">
        <f t="shared" si="15"/>
        <v>1407</v>
      </c>
      <c r="BD12" s="3">
        <f t="shared" si="15"/>
        <v>1517</v>
      </c>
      <c r="BE12" s="3">
        <f t="shared" si="15"/>
        <v>1478</v>
      </c>
      <c r="BF12" s="3">
        <f t="shared" si="15"/>
        <v>1530</v>
      </c>
      <c r="BG12" s="3">
        <f t="shared" si="15"/>
        <v>1607</v>
      </c>
      <c r="BH12" s="3">
        <f t="shared" si="15"/>
        <v>1705</v>
      </c>
      <c r="BI12" s="3">
        <f t="shared" si="15"/>
        <v>1648</v>
      </c>
      <c r="BJ12" s="3">
        <f t="shared" si="15"/>
        <v>1749</v>
      </c>
      <c r="BK12" s="3">
        <f t="shared" si="15"/>
        <v>1871</v>
      </c>
      <c r="BL12" s="3">
        <f t="shared" si="15"/>
        <v>2048</v>
      </c>
      <c r="BM12" s="3">
        <f t="shared" si="15"/>
        <v>2129</v>
      </c>
      <c r="BN12" s="3">
        <f>SUM(BN8:BN11)</f>
        <v>2296</v>
      </c>
      <c r="BO12" s="3">
        <f>SUM(BO8:BO11)</f>
        <v>2429</v>
      </c>
      <c r="BP12" s="3">
        <f t="shared" ref="BP12:BS12" si="16">SUM(BP8:BP11)</f>
        <v>2647</v>
      </c>
      <c r="BQ12" s="3">
        <f t="shared" si="16"/>
        <v>2641</v>
      </c>
      <c r="BR12" s="3">
        <f t="shared" si="16"/>
        <v>2769</v>
      </c>
      <c r="BS12" s="3">
        <f t="shared" si="16"/>
        <v>2754</v>
      </c>
      <c r="BT12" s="3">
        <f t="shared" ref="BT12" si="17">SUM(BT8:BT11)</f>
        <v>2841</v>
      </c>
      <c r="BU12" s="58"/>
      <c r="BV12" s="58"/>
      <c r="CK12" s="5">
        <f t="shared" ref="CK12:DA12" si="18">SUM(CK8:CK11)</f>
        <v>5165</v>
      </c>
      <c r="CL12" s="5">
        <f t="shared" si="18"/>
        <v>4509</v>
      </c>
      <c r="CM12" s="5">
        <f t="shared" si="18"/>
        <v>5422</v>
      </c>
      <c r="CN12" s="5">
        <f t="shared" si="18"/>
        <v>5932</v>
      </c>
      <c r="CO12" s="5">
        <f t="shared" si="18"/>
        <v>6709</v>
      </c>
      <c r="CP12" s="5">
        <f t="shared" si="18"/>
        <v>8344</v>
      </c>
      <c r="CQ12" s="5">
        <f t="shared" si="3"/>
        <v>10486</v>
      </c>
      <c r="CR12" s="59">
        <f t="shared" ref="CR12" si="19">SUM(CR8:CR11)</f>
        <v>11209.2</v>
      </c>
      <c r="CS12" s="59">
        <f t="shared" si="18"/>
        <v>11661.776400000002</v>
      </c>
      <c r="CT12" s="59">
        <f t="shared" si="18"/>
        <v>12699.403320000001</v>
      </c>
      <c r="CU12" s="59">
        <f t="shared" si="18"/>
        <v>13602.051002100001</v>
      </c>
      <c r="CV12" s="59">
        <f t="shared" si="18"/>
        <v>14485.515786597753</v>
      </c>
      <c r="CW12" s="59">
        <f t="shared" si="18"/>
        <v>15329.856978574007</v>
      </c>
      <c r="CX12" s="59">
        <f t="shared" si="18"/>
        <v>16114.682337049246</v>
      </c>
      <c r="CY12" s="59">
        <f t="shared" si="18"/>
        <v>16840.248076786655</v>
      </c>
      <c r="CZ12" s="59">
        <f t="shared" si="18"/>
        <v>17513.37184549771</v>
      </c>
      <c r="DA12" s="59">
        <f t="shared" si="18"/>
        <v>18134.955789478889</v>
      </c>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row>
    <row r="13" spans="2:146">
      <c r="B13" s="31" t="s">
        <v>104</v>
      </c>
      <c r="AU13" s="1">
        <v>393</v>
      </c>
      <c r="AV13" s="1">
        <v>340</v>
      </c>
      <c r="AW13" s="1">
        <v>417</v>
      </c>
      <c r="AX13" s="1">
        <f>1577-SUM(AU13:AW13)</f>
        <v>427</v>
      </c>
      <c r="AY13" s="1">
        <f>433</f>
        <v>433</v>
      </c>
      <c r="AZ13" s="1">
        <v>473</v>
      </c>
      <c r="BA13" s="1">
        <v>452</v>
      </c>
      <c r="BB13" s="1">
        <f>1820-SUM(AY13:BA13)</f>
        <v>462</v>
      </c>
      <c r="BC13" s="1">
        <v>465</v>
      </c>
      <c r="BD13" s="1">
        <v>478</v>
      </c>
      <c r="BE13" s="1">
        <v>479</v>
      </c>
      <c r="BF13" s="1">
        <f>1899-SUM(BC13:BE13)</f>
        <v>477</v>
      </c>
      <c r="BG13" s="1">
        <v>502</v>
      </c>
      <c r="BH13" s="1">
        <v>535</v>
      </c>
      <c r="BI13" s="1">
        <v>538</v>
      </c>
      <c r="BJ13" s="1">
        <f>2109-SUM(BG13:BI13)</f>
        <v>534</v>
      </c>
      <c r="BK13" s="1">
        <v>575</v>
      </c>
      <c r="BL13" s="1">
        <v>590</v>
      </c>
      <c r="BM13" s="1">
        <v>602</v>
      </c>
      <c r="BN13" s="1">
        <f>2410-SUM(BK13:BM13)</f>
        <v>643</v>
      </c>
      <c r="BO13" s="1">
        <v>657</v>
      </c>
      <c r="BP13" s="1">
        <v>698</v>
      </c>
      <c r="BQ13" s="1">
        <v>702</v>
      </c>
      <c r="BR13" s="1">
        <v>708</v>
      </c>
      <c r="BS13" s="1">
        <v>749</v>
      </c>
      <c r="BT13" s="1">
        <v>783</v>
      </c>
      <c r="CK13" s="4">
        <v>1390</v>
      </c>
      <c r="CL13" s="4">
        <f>SUM(AU13:AX13)</f>
        <v>1577</v>
      </c>
      <c r="CM13" s="4">
        <f>SUM(AY13:BB13)</f>
        <v>1820</v>
      </c>
      <c r="CN13" s="4">
        <f>SUM(BC13:BF13)</f>
        <v>1899</v>
      </c>
      <c r="CO13" s="4">
        <f>SUM(BG13:BJ13)</f>
        <v>2109</v>
      </c>
      <c r="CP13" s="4">
        <f>SUM(BK13:BN13)</f>
        <v>2410</v>
      </c>
      <c r="CQ13" s="4">
        <f t="shared" si="3"/>
        <v>2765</v>
      </c>
      <c r="CR13" s="37">
        <f t="shared" ref="CR13:DA13" si="20">CQ13*(1+CR26)</f>
        <v>3138.2750000000001</v>
      </c>
      <c r="CS13" s="37">
        <f t="shared" si="20"/>
        <v>3514.8680000000004</v>
      </c>
      <c r="CT13" s="37">
        <f t="shared" si="20"/>
        <v>3919.0778200000004</v>
      </c>
      <c r="CU13" s="37">
        <f t="shared" si="20"/>
        <v>4350.1763802000005</v>
      </c>
      <c r="CV13" s="37">
        <f t="shared" si="20"/>
        <v>4785.1940182200005</v>
      </c>
      <c r="CW13" s="37">
        <f t="shared" si="20"/>
        <v>5215.861479859801</v>
      </c>
      <c r="CX13" s="37">
        <f t="shared" si="20"/>
        <v>5633.1303982485852</v>
      </c>
      <c r="CY13" s="37">
        <f t="shared" si="20"/>
        <v>6027.4495261259863</v>
      </c>
      <c r="CZ13" s="37">
        <f t="shared" si="20"/>
        <v>6389.0964976935456</v>
      </c>
      <c r="DA13" s="37">
        <f t="shared" si="20"/>
        <v>6644.6603576012876</v>
      </c>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row>
    <row r="14" spans="2:146" s="3" customFormat="1" ht="15">
      <c r="B14" s="3" t="s">
        <v>105</v>
      </c>
      <c r="AU14" s="3">
        <f t="shared" ref="AU14:BS14" si="21">SUM(AU12:AU13)</f>
        <v>1578</v>
      </c>
      <c r="AV14" s="3">
        <f t="shared" si="21"/>
        <v>1305</v>
      </c>
      <c r="AW14" s="3">
        <f t="shared" si="21"/>
        <v>1618</v>
      </c>
      <c r="AX14" s="3">
        <f t="shared" si="21"/>
        <v>1585</v>
      </c>
      <c r="AY14" s="3">
        <f t="shared" si="21"/>
        <v>1681</v>
      </c>
      <c r="AZ14" s="3">
        <f t="shared" si="21"/>
        <v>1882</v>
      </c>
      <c r="BA14" s="3">
        <f t="shared" si="21"/>
        <v>1794</v>
      </c>
      <c r="BB14" s="3">
        <f t="shared" si="21"/>
        <v>1885</v>
      </c>
      <c r="BC14" s="3">
        <f t="shared" si="21"/>
        <v>1872</v>
      </c>
      <c r="BD14" s="3">
        <f t="shared" si="21"/>
        <v>1995</v>
      </c>
      <c r="BE14" s="3">
        <f t="shared" si="21"/>
        <v>1957</v>
      </c>
      <c r="BF14" s="3">
        <f t="shared" si="21"/>
        <v>2007</v>
      </c>
      <c r="BG14" s="3">
        <f t="shared" si="21"/>
        <v>2109</v>
      </c>
      <c r="BH14" s="3">
        <f t="shared" si="21"/>
        <v>2240</v>
      </c>
      <c r="BI14" s="3">
        <f t="shared" si="21"/>
        <v>2186</v>
      </c>
      <c r="BJ14" s="3">
        <f t="shared" si="21"/>
        <v>2283</v>
      </c>
      <c r="BK14" s="3">
        <f t="shared" si="21"/>
        <v>2446</v>
      </c>
      <c r="BL14" s="3">
        <f t="shared" si="21"/>
        <v>2638</v>
      </c>
      <c r="BM14" s="3">
        <f t="shared" si="21"/>
        <v>2731</v>
      </c>
      <c r="BN14" s="3">
        <f t="shared" si="21"/>
        <v>2939</v>
      </c>
      <c r="BO14" s="3">
        <f t="shared" si="21"/>
        <v>3086</v>
      </c>
      <c r="BP14" s="3">
        <f t="shared" si="21"/>
        <v>3345</v>
      </c>
      <c r="BQ14" s="3">
        <f t="shared" si="21"/>
        <v>3343</v>
      </c>
      <c r="BR14" s="3">
        <f t="shared" si="21"/>
        <v>3477</v>
      </c>
      <c r="BS14" s="3">
        <f t="shared" si="21"/>
        <v>3503</v>
      </c>
      <c r="BT14" s="3">
        <f t="shared" ref="BT14" si="22">SUM(BT12:BT13)</f>
        <v>3624</v>
      </c>
      <c r="BU14" s="58"/>
      <c r="BV14" s="58"/>
      <c r="CK14" s="3">
        <f t="shared" ref="CK14:CP14" si="23">CK12+CK13</f>
        <v>6555</v>
      </c>
      <c r="CL14" s="3">
        <f t="shared" si="23"/>
        <v>6086</v>
      </c>
      <c r="CM14" s="3">
        <f t="shared" si="23"/>
        <v>7242</v>
      </c>
      <c r="CN14" s="3">
        <f t="shared" si="23"/>
        <v>7831</v>
      </c>
      <c r="CO14" s="3">
        <f t="shared" si="23"/>
        <v>8818</v>
      </c>
      <c r="CP14" s="3">
        <f t="shared" si="23"/>
        <v>10754</v>
      </c>
      <c r="CQ14" s="5">
        <f t="shared" si="3"/>
        <v>13251</v>
      </c>
      <c r="CR14" s="59">
        <f t="shared" ref="CR14:DA14" si="24">CR12+SUM(CR13:CR13)</f>
        <v>14347.475</v>
      </c>
      <c r="CS14" s="59">
        <f t="shared" si="24"/>
        <v>15176.644400000003</v>
      </c>
      <c r="CT14" s="59">
        <f t="shared" si="24"/>
        <v>16618.481140000004</v>
      </c>
      <c r="CU14" s="59">
        <f t="shared" si="24"/>
        <v>17952.2273823</v>
      </c>
      <c r="CV14" s="59">
        <f t="shared" si="24"/>
        <v>19270.709804817754</v>
      </c>
      <c r="CW14" s="59">
        <f t="shared" si="24"/>
        <v>20545.71845843381</v>
      </c>
      <c r="CX14" s="59">
        <f t="shared" si="24"/>
        <v>21747.81273529783</v>
      </c>
      <c r="CY14" s="59">
        <f t="shared" si="24"/>
        <v>22867.697602912642</v>
      </c>
      <c r="CZ14" s="59">
        <f t="shared" si="24"/>
        <v>23902.468343191256</v>
      </c>
      <c r="DA14" s="59">
        <f t="shared" si="24"/>
        <v>24779.616147080174</v>
      </c>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row>
    <row r="15" spans="2:146" s="3" customFormat="1" ht="15">
      <c r="B15" s="3" t="s">
        <v>106</v>
      </c>
      <c r="AU15" s="3">
        <f>AU7+AU14</f>
        <v>2543</v>
      </c>
      <c r="AV15" s="3">
        <f>AV7+AV14</f>
        <v>2003</v>
      </c>
      <c r="AW15" s="3">
        <f>AW7+AW14</f>
        <v>2659</v>
      </c>
      <c r="AX15" s="3">
        <f>AX7+AX14</f>
        <v>2708</v>
      </c>
      <c r="AY15" s="3">
        <f>AY7+AY14+13</f>
        <v>2752</v>
      </c>
      <c r="AZ15" s="3">
        <f t="shared" ref="AZ15:BE15" si="25">AZ7+AZ14</f>
        <v>3077</v>
      </c>
      <c r="BA15" s="3">
        <f t="shared" si="25"/>
        <v>2932</v>
      </c>
      <c r="BB15" s="3">
        <f t="shared" si="25"/>
        <v>3127</v>
      </c>
      <c r="BC15" s="3">
        <f t="shared" si="25"/>
        <v>3026</v>
      </c>
      <c r="BD15" s="3">
        <f t="shared" si="25"/>
        <v>3244</v>
      </c>
      <c r="BE15" s="3">
        <f t="shared" si="25"/>
        <v>3170</v>
      </c>
      <c r="BF15" s="3">
        <f>BF7+BF14-60</f>
        <v>3242</v>
      </c>
      <c r="BG15" s="3">
        <f t="shared" ref="BG15:BS15" si="26">BG7+BG14</f>
        <v>3389</v>
      </c>
      <c r="BH15" s="3">
        <f t="shared" si="26"/>
        <v>3599</v>
      </c>
      <c r="BI15" s="3">
        <f t="shared" si="26"/>
        <v>3527</v>
      </c>
      <c r="BJ15" s="3">
        <f t="shared" si="26"/>
        <v>3725</v>
      </c>
      <c r="BK15" s="3">
        <f t="shared" si="26"/>
        <v>3857</v>
      </c>
      <c r="BL15" s="3">
        <f t="shared" si="26"/>
        <v>4120</v>
      </c>
      <c r="BM15" s="3">
        <f t="shared" si="26"/>
        <v>4209</v>
      </c>
      <c r="BN15" s="3">
        <f t="shared" si="26"/>
        <v>4561</v>
      </c>
      <c r="BO15" s="3">
        <f t="shared" si="26"/>
        <v>4663</v>
      </c>
      <c r="BP15" s="3">
        <f t="shared" si="26"/>
        <v>5061</v>
      </c>
      <c r="BQ15" s="3">
        <f t="shared" si="26"/>
        <v>5065</v>
      </c>
      <c r="BR15" s="3">
        <f t="shared" si="26"/>
        <v>5286</v>
      </c>
      <c r="BS15" s="3">
        <f t="shared" si="26"/>
        <v>5204</v>
      </c>
      <c r="BT15" s="3">
        <f t="shared" ref="BT15" si="27">BT7+BT14</f>
        <v>5442</v>
      </c>
      <c r="BU15" s="58"/>
      <c r="BV15" s="58"/>
      <c r="CK15" s="3">
        <f>CK7+CK14</f>
        <v>10735</v>
      </c>
      <c r="CL15" s="3">
        <f>CL7+CL14</f>
        <v>9913</v>
      </c>
      <c r="CM15" s="3">
        <f>CM7+CM14+13</f>
        <v>11888</v>
      </c>
      <c r="CN15" s="3">
        <f>CN7+CN14-60</f>
        <v>12682</v>
      </c>
      <c r="CO15" s="3">
        <f>CO7+CO14</f>
        <v>14240</v>
      </c>
      <c r="CP15" s="3">
        <f>CP7+CP14</f>
        <v>16747</v>
      </c>
      <c r="CQ15" s="5">
        <f t="shared" si="3"/>
        <v>20075</v>
      </c>
      <c r="CR15" s="59">
        <f t="shared" ref="CR15:DA15" si="28">CR7+CR14</f>
        <v>21697.690000000002</v>
      </c>
      <c r="CS15" s="59">
        <f t="shared" si="28"/>
        <v>23010.069675000002</v>
      </c>
      <c r="CT15" s="59">
        <f t="shared" si="28"/>
        <v>25000.250327700003</v>
      </c>
      <c r="CU15" s="59">
        <f t="shared" si="28"/>
        <v>26902.536054635399</v>
      </c>
      <c r="CV15" s="59">
        <f t="shared" si="28"/>
        <v>28739.534754881774</v>
      </c>
      <c r="CW15" s="59">
        <f t="shared" si="28"/>
        <v>30498.692708164675</v>
      </c>
      <c r="CX15" s="59">
        <f t="shared" si="28"/>
        <v>32163.465921874638</v>
      </c>
      <c r="CY15" s="59">
        <f t="shared" si="28"/>
        <v>33713.767558595384</v>
      </c>
      <c r="CZ15" s="59">
        <f t="shared" si="28"/>
        <v>35148.404618386943</v>
      </c>
      <c r="DA15" s="59">
        <f t="shared" si="28"/>
        <v>36399.627522670875</v>
      </c>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row>
    <row r="16" spans="2:146" s="3" customFormat="1" ht="15">
      <c r="BU16" s="58"/>
      <c r="BV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row>
    <row r="17" spans="2:146" s="11" customFormat="1">
      <c r="B17" s="68" t="s">
        <v>172</v>
      </c>
      <c r="AU17" s="12"/>
      <c r="AV17" s="12"/>
      <c r="AW17" s="12"/>
      <c r="AX17" s="12"/>
      <c r="AY17" s="12">
        <f t="shared" ref="AY17:AY28" si="29">AY4/AU4-1</f>
        <v>0.12895927601809953</v>
      </c>
      <c r="AZ17" s="12">
        <f t="shared" ref="AZ17:AZ28" si="30">AZ4/AV4-1</f>
        <v>0.58333333333333326</v>
      </c>
      <c r="BA17" s="12">
        <f t="shared" ref="BA17:BA28" si="31">BA4/AW4-1</f>
        <v>0.12210526315789472</v>
      </c>
      <c r="BB17" s="12">
        <f t="shared" ref="BB17:BB28" si="32">BB4/AX4-1</f>
        <v>8.3495145631067968E-2</v>
      </c>
      <c r="BC17" s="12">
        <f t="shared" ref="BC17:BC28" si="33">BC4/AY4-1</f>
        <v>6.6132264529058071E-2</v>
      </c>
      <c r="BD17" s="12">
        <f t="shared" ref="BD17:BD28" si="34">BD4/AZ4-1</f>
        <v>1.8148820326678861E-2</v>
      </c>
      <c r="BE17" s="12">
        <f t="shared" ref="BE17:BE28" si="35">BE4/BA4-1</f>
        <v>4.8780487804878092E-2</v>
      </c>
      <c r="BF17" s="12">
        <f t="shared" ref="BF17:BF28" si="36">BF4/BB4-1</f>
        <v>1.9713261648745428E-2</v>
      </c>
      <c r="BG17" s="12">
        <f t="shared" ref="BG17:BG28" si="37">BG4/BC4-1</f>
        <v>8.4586466165413432E-2</v>
      </c>
      <c r="BH17" s="12">
        <f t="shared" ref="BH17:BH28" si="38">BH4/BD4-1</f>
        <v>0.12299465240641716</v>
      </c>
      <c r="BI17" s="12">
        <f t="shared" ref="BI17:BI28" si="39">BI4/BE4-1</f>
        <v>0.12522361359570655</v>
      </c>
      <c r="BJ17" s="12">
        <f t="shared" ref="BJ17:BJ28" si="40">BJ4/BF4-1</f>
        <v>0.13532513181019334</v>
      </c>
      <c r="BK17" s="12">
        <f t="shared" ref="BK17:BK28" si="41">BK4/BG4-1</f>
        <v>0.11265164644714032</v>
      </c>
      <c r="BL17" s="12">
        <f t="shared" ref="BL17:BL28" si="42">BL4/BH4-1</f>
        <v>7.1428571428571397E-2</v>
      </c>
      <c r="BM17" s="12">
        <f t="shared" ref="BM17:BM28" si="43">BM4/BI4-1</f>
        <v>7.7901430842607367E-2</v>
      </c>
      <c r="BN17" s="12">
        <f t="shared" ref="BN17:BN28" si="44">BN4/BJ4-1</f>
        <v>7.120743034055721E-2</v>
      </c>
      <c r="BO17" s="12">
        <f t="shared" ref="BO17:BO28" si="45">BO4/BK4-1</f>
        <v>4.8286604361370777E-2</v>
      </c>
      <c r="BP17" s="12">
        <f t="shared" ref="BP17:BP28" si="46">BP4/BL4-1</f>
        <v>9.1851851851851851E-2</v>
      </c>
      <c r="BQ17" s="12">
        <f t="shared" ref="BQ17:BQ28" si="47">BQ4/BM4-1</f>
        <v>0.10176991150442483</v>
      </c>
      <c r="BR17" s="11">
        <f t="shared" ref="BR17:BR28" si="48">BR4/BN4-1</f>
        <v>9.8265895953757232E-2</v>
      </c>
      <c r="BS17" s="11">
        <f t="shared" ref="BS17:BT28" si="49">BS4/BO4-1</f>
        <v>9.3610698365527378E-2</v>
      </c>
      <c r="BT17" s="11">
        <f t="shared" si="49"/>
        <v>7.5983717774762649E-2</v>
      </c>
      <c r="BU17" s="60"/>
      <c r="BV17" s="60"/>
      <c r="CL17" s="11">
        <f t="shared" ref="CL17:CQ28" si="50">CL4/CK4-1</f>
        <v>-6.0190073917634646E-2</v>
      </c>
      <c r="CM17" s="11">
        <f t="shared" si="50"/>
        <v>0.20280898876404496</v>
      </c>
      <c r="CN17" s="11">
        <f t="shared" si="50"/>
        <v>3.736571695469415E-2</v>
      </c>
      <c r="CO17" s="11">
        <f t="shared" si="50"/>
        <v>0.11751463304817644</v>
      </c>
      <c r="CP17" s="11">
        <f t="shared" si="50"/>
        <v>8.2594681708299866E-2</v>
      </c>
      <c r="CQ17" s="11">
        <f t="shared" si="50"/>
        <v>8.5597320431708201E-2</v>
      </c>
      <c r="CR17" s="60">
        <v>9.5000000000000001E-2</v>
      </c>
      <c r="CS17" s="60">
        <v>6.5000000000000002E-2</v>
      </c>
      <c r="CT17" s="60">
        <v>5.1999999999999998E-2</v>
      </c>
      <c r="CU17" s="60">
        <v>4.2000000000000003E-2</v>
      </c>
      <c r="CV17" s="60">
        <v>0.04</v>
      </c>
      <c r="CW17" s="60">
        <v>3.6999999999999998E-2</v>
      </c>
      <c r="CX17" s="60">
        <v>3.5000000000000003E-2</v>
      </c>
      <c r="CY17" s="60">
        <v>3.2000000000000001E-2</v>
      </c>
      <c r="CZ17" s="60">
        <v>3.1E-2</v>
      </c>
      <c r="DA17" s="60">
        <v>0.03</v>
      </c>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row>
    <row r="18" spans="2:146" s="11" customFormat="1">
      <c r="B18" s="68" t="s">
        <v>173</v>
      </c>
      <c r="AU18" s="12"/>
      <c r="AV18" s="12"/>
      <c r="AW18" s="12"/>
      <c r="AX18" s="12"/>
      <c r="AY18" s="12">
        <f t="shared" si="29"/>
        <v>8.7349397590361422E-2</v>
      </c>
      <c r="AZ18" s="12">
        <f t="shared" si="30"/>
        <v>0.74122807017543857</v>
      </c>
      <c r="BA18" s="12">
        <f t="shared" si="31"/>
        <v>9.7142857142857197E-2</v>
      </c>
      <c r="BB18" s="12">
        <f t="shared" si="32"/>
        <v>0.1728723404255319</v>
      </c>
      <c r="BC18" s="12">
        <f t="shared" si="33"/>
        <v>0.14404432132963985</v>
      </c>
      <c r="BD18" s="12">
        <f t="shared" si="34"/>
        <v>0.13350125944584379</v>
      </c>
      <c r="BE18" s="12">
        <f t="shared" si="35"/>
        <v>0.12760416666666674</v>
      </c>
      <c r="BF18" s="12">
        <f t="shared" si="36"/>
        <v>8.163265306122458E-2</v>
      </c>
      <c r="BG18" s="12">
        <f t="shared" si="37"/>
        <v>0.13559322033898313</v>
      </c>
      <c r="BH18" s="12">
        <f t="shared" si="38"/>
        <v>7.7777777777777724E-2</v>
      </c>
      <c r="BI18" s="12">
        <f t="shared" si="39"/>
        <v>0.11547344110854496</v>
      </c>
      <c r="BJ18" s="12">
        <f t="shared" si="40"/>
        <v>0.10482180293501053</v>
      </c>
      <c r="BK18" s="12">
        <f t="shared" si="41"/>
        <v>9.3816631130063888E-2</v>
      </c>
      <c r="BL18" s="12">
        <f t="shared" si="42"/>
        <v>8.247422680412364E-2</v>
      </c>
      <c r="BM18" s="12">
        <f t="shared" si="43"/>
        <v>0.10144927536231885</v>
      </c>
      <c r="BN18" s="12">
        <f t="shared" si="44"/>
        <v>0.19544592030360541</v>
      </c>
      <c r="BO18" s="12">
        <f t="shared" si="45"/>
        <v>0.23391812865497075</v>
      </c>
      <c r="BP18" s="12">
        <f t="shared" si="46"/>
        <v>0.28761904761904766</v>
      </c>
      <c r="BQ18" s="12">
        <f t="shared" si="47"/>
        <v>0.28195488721804507</v>
      </c>
      <c r="BR18" s="11">
        <f t="shared" si="48"/>
        <v>0.13809523809523805</v>
      </c>
      <c r="BS18" s="11">
        <f t="shared" si="49"/>
        <v>2.0537124802527673E-2</v>
      </c>
      <c r="BT18" s="11">
        <f t="shared" si="49"/>
        <v>1.1834319526627279E-2</v>
      </c>
      <c r="BU18" s="60"/>
      <c r="BV18" s="60"/>
      <c r="CL18" s="11">
        <f t="shared" si="50"/>
        <v>-8.987968860580331E-2</v>
      </c>
      <c r="CM18" s="11">
        <f t="shared" si="50"/>
        <v>0.23094867807153974</v>
      </c>
      <c r="CN18" s="11">
        <f t="shared" si="50"/>
        <v>0.12002526847757422</v>
      </c>
      <c r="CO18" s="11">
        <f t="shared" si="50"/>
        <v>0.10772701635645787</v>
      </c>
      <c r="CP18" s="11">
        <f t="shared" si="50"/>
        <v>0.12016293279022405</v>
      </c>
      <c r="CQ18" s="11">
        <f t="shared" si="50"/>
        <v>0.23090909090909095</v>
      </c>
      <c r="CR18" s="60">
        <v>0.03</v>
      </c>
      <c r="CS18" s="60">
        <v>0.04</v>
      </c>
      <c r="CT18" s="60">
        <v>7.0000000000000007E-2</v>
      </c>
      <c r="CU18" s="60">
        <v>0.08</v>
      </c>
      <c r="CV18" s="60">
        <v>0.06</v>
      </c>
      <c r="CW18" s="60">
        <v>0.05</v>
      </c>
      <c r="CX18" s="60">
        <v>4.4999999999999998E-2</v>
      </c>
      <c r="CY18" s="60">
        <v>0.04</v>
      </c>
      <c r="CZ18" s="60">
        <v>3.5000000000000003E-2</v>
      </c>
      <c r="DA18" s="60">
        <v>3.2500000000000001E-2</v>
      </c>
      <c r="DB18" s="60"/>
      <c r="DC18" s="60"/>
      <c r="DD18" s="60"/>
      <c r="DE18" s="60"/>
      <c r="DF18" s="60"/>
      <c r="DG18" s="60"/>
      <c r="DH18" s="60"/>
      <c r="DI18" s="60"/>
      <c r="DJ18" s="60"/>
      <c r="DK18" s="60"/>
      <c r="DL18" s="60"/>
      <c r="DM18" s="60"/>
      <c r="DN18" s="60"/>
      <c r="DO18" s="60"/>
      <c r="DP18" s="60"/>
      <c r="DQ18" s="60"/>
      <c r="DR18" s="60"/>
      <c r="DS18" s="60"/>
      <c r="DT18" s="60"/>
      <c r="DU18" s="60"/>
      <c r="DV18" s="60"/>
      <c r="DW18" s="60"/>
      <c r="DX18" s="60"/>
      <c r="DY18" s="60"/>
      <c r="DZ18" s="60"/>
      <c r="EA18" s="60"/>
      <c r="EB18" s="60"/>
      <c r="EC18" s="60"/>
      <c r="ED18" s="60"/>
      <c r="EE18" s="60"/>
      <c r="EF18" s="60"/>
      <c r="EG18" s="60"/>
      <c r="EH18" s="60"/>
      <c r="EI18" s="60"/>
      <c r="EJ18" s="60"/>
      <c r="EK18" s="60"/>
      <c r="EL18" s="60"/>
      <c r="EM18" s="60"/>
      <c r="EN18" s="60"/>
      <c r="EO18" s="60"/>
      <c r="EP18" s="60"/>
    </row>
    <row r="19" spans="2:146" s="11" customFormat="1">
      <c r="B19" s="68" t="s">
        <v>175</v>
      </c>
      <c r="AU19" s="12"/>
      <c r="AV19" s="12"/>
      <c r="AW19" s="12"/>
      <c r="AX19" s="12"/>
      <c r="AY19" s="12">
        <f t="shared" si="29"/>
        <v>3.6649214659685958E-2</v>
      </c>
      <c r="AZ19" s="12">
        <f t="shared" si="30"/>
        <v>1.0245901639344264</v>
      </c>
      <c r="BA19" s="12">
        <f t="shared" si="31"/>
        <v>2.314814814814814E-2</v>
      </c>
      <c r="BB19" s="12">
        <f t="shared" si="32"/>
        <v>4.7413793103448176E-2</v>
      </c>
      <c r="BC19" s="12">
        <f t="shared" si="33"/>
        <v>5.555555555555558E-2</v>
      </c>
      <c r="BD19" s="12">
        <f t="shared" si="34"/>
        <v>-3.6437246963562764E-2</v>
      </c>
      <c r="BE19" s="12">
        <f t="shared" si="35"/>
        <v>0</v>
      </c>
      <c r="BF19" s="12">
        <f t="shared" si="36"/>
        <v>2.4691358024691468E-2</v>
      </c>
      <c r="BG19" s="12">
        <f t="shared" si="37"/>
        <v>0.11961722488038284</v>
      </c>
      <c r="BH19" s="12">
        <f t="shared" si="38"/>
        <v>2.5210084033613356E-2</v>
      </c>
      <c r="BI19" s="12">
        <f t="shared" si="39"/>
        <v>3.6199095022624528E-2</v>
      </c>
      <c r="BJ19" s="12">
        <f t="shared" si="40"/>
        <v>8.032128514056236E-2</v>
      </c>
      <c r="BK19" s="12">
        <f t="shared" si="41"/>
        <v>9.4017094017094127E-2</v>
      </c>
      <c r="BL19" s="12">
        <f t="shared" si="42"/>
        <v>0.15573770491803285</v>
      </c>
      <c r="BM19" s="12">
        <f t="shared" si="43"/>
        <v>0.17030567685589526</v>
      </c>
      <c r="BN19" s="12">
        <f t="shared" si="44"/>
        <v>0.11524163568773238</v>
      </c>
      <c r="BO19" s="12">
        <f t="shared" si="45"/>
        <v>5.859375E-2</v>
      </c>
      <c r="BP19" s="12">
        <f t="shared" si="46"/>
        <v>7.4468085106383031E-2</v>
      </c>
      <c r="BQ19" s="12">
        <f t="shared" si="47"/>
        <v>9.3283582089552342E-2</v>
      </c>
      <c r="BR19" s="11">
        <f t="shared" si="48"/>
        <v>0.10666666666666669</v>
      </c>
      <c r="BS19" s="11">
        <f t="shared" si="49"/>
        <v>0.17712177121771222</v>
      </c>
      <c r="BT19" s="11">
        <f t="shared" si="49"/>
        <v>0.12541254125412538</v>
      </c>
      <c r="BU19" s="60"/>
      <c r="BV19" s="60"/>
      <c r="CL19" s="11">
        <f t="shared" si="50"/>
        <v>-0.12829324169530354</v>
      </c>
      <c r="CM19" s="11">
        <f t="shared" si="50"/>
        <v>0.19448094612352174</v>
      </c>
      <c r="CN19" s="11">
        <f t="shared" si="50"/>
        <v>8.8008800880088334E-3</v>
      </c>
      <c r="CO19" s="11">
        <f t="shared" si="50"/>
        <v>6.4340239912759056E-2</v>
      </c>
      <c r="CP19" s="11">
        <f t="shared" si="50"/>
        <v>0.13319672131147531</v>
      </c>
      <c r="CQ19" s="11">
        <f t="shared" si="50"/>
        <v>8.408679927667273E-2</v>
      </c>
      <c r="CR19" s="60">
        <v>0.14000000000000001</v>
      </c>
      <c r="CS19" s="60">
        <v>0.12</v>
      </c>
      <c r="CT19" s="60">
        <v>0.11</v>
      </c>
      <c r="CU19" s="60">
        <v>0.1</v>
      </c>
      <c r="CV19" s="60">
        <v>0.09</v>
      </c>
      <c r="CW19" s="60">
        <v>0.08</v>
      </c>
      <c r="CX19" s="60">
        <v>7.0000000000000007E-2</v>
      </c>
      <c r="CY19" s="60">
        <v>0.06</v>
      </c>
      <c r="CZ19" s="60">
        <v>0.05</v>
      </c>
      <c r="DA19" s="60">
        <v>0.04</v>
      </c>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row>
    <row r="20" spans="2:146" s="33" customFormat="1" ht="15">
      <c r="B20" s="33" t="s">
        <v>2257</v>
      </c>
      <c r="AU20" s="34"/>
      <c r="AV20" s="34"/>
      <c r="AW20" s="34"/>
      <c r="AX20" s="34"/>
      <c r="AY20" s="34">
        <f t="shared" si="29"/>
        <v>9.6373056994818684E-2</v>
      </c>
      <c r="AZ20" s="34">
        <f t="shared" si="30"/>
        <v>0.71203438395415475</v>
      </c>
      <c r="BA20" s="34">
        <f t="shared" si="31"/>
        <v>9.3179634966378488E-2</v>
      </c>
      <c r="BB20" s="34">
        <f t="shared" si="32"/>
        <v>0.10596616206589493</v>
      </c>
      <c r="BC20" s="34">
        <f t="shared" si="33"/>
        <v>9.0737240075614345E-2</v>
      </c>
      <c r="BD20" s="34">
        <f t="shared" si="34"/>
        <v>4.5188284518828503E-2</v>
      </c>
      <c r="BE20" s="34">
        <f t="shared" si="35"/>
        <v>6.5905096660808349E-2</v>
      </c>
      <c r="BF20" s="34">
        <f t="shared" si="36"/>
        <v>4.2673107890499162E-2</v>
      </c>
      <c r="BG20" s="34">
        <f t="shared" si="37"/>
        <v>0.10918544194107449</v>
      </c>
      <c r="BH20" s="34">
        <f t="shared" si="38"/>
        <v>8.8070456365092031E-2</v>
      </c>
      <c r="BI20" s="34">
        <f t="shared" si="39"/>
        <v>0.10552349546578732</v>
      </c>
      <c r="BJ20" s="34">
        <f t="shared" si="40"/>
        <v>0.11351351351351346</v>
      </c>
      <c r="BK20" s="34">
        <f t="shared" si="41"/>
        <v>0.10234374999999996</v>
      </c>
      <c r="BL20" s="34">
        <f t="shared" si="42"/>
        <v>9.0507726269315691E-2</v>
      </c>
      <c r="BM20" s="34">
        <f t="shared" si="43"/>
        <v>0.10216256524981349</v>
      </c>
      <c r="BN20" s="34">
        <f t="shared" si="44"/>
        <v>0.12482662968099856</v>
      </c>
      <c r="BO20" s="34">
        <f t="shared" si="45"/>
        <v>0.11764705882352944</v>
      </c>
      <c r="BP20" s="34">
        <f t="shared" si="46"/>
        <v>0.15789473684210531</v>
      </c>
      <c r="BQ20" s="34">
        <f t="shared" si="47"/>
        <v>0.16508795669824083</v>
      </c>
      <c r="BR20" s="33">
        <f t="shared" si="48"/>
        <v>0.11528976572133165</v>
      </c>
      <c r="BS20" s="33">
        <f t="shared" si="49"/>
        <v>7.8630310716550467E-2</v>
      </c>
      <c r="BT20" s="33">
        <f t="shared" si="49"/>
        <v>5.9440559440559371E-2</v>
      </c>
      <c r="BU20" s="61"/>
      <c r="BV20" s="61"/>
      <c r="CL20" s="33">
        <f t="shared" si="50"/>
        <v>-8.4449760765550219E-2</v>
      </c>
      <c r="CM20" s="33">
        <f t="shared" si="50"/>
        <v>0.21060883198327662</v>
      </c>
      <c r="CN20" s="33">
        <f t="shared" si="50"/>
        <v>6.0004316857327877E-2</v>
      </c>
      <c r="CO20" s="33">
        <f t="shared" si="50"/>
        <v>0.10405212787619633</v>
      </c>
      <c r="CP20" s="33">
        <f t="shared" si="50"/>
        <v>0.10531169310217625</v>
      </c>
      <c r="CQ20" s="33">
        <f t="shared" si="50"/>
        <v>0.13866177206741193</v>
      </c>
      <c r="CR20" s="61">
        <f t="shared" ref="CR20:DA20" si="51">CR7/CQ7-1</f>
        <v>7.7112397420867618E-2</v>
      </c>
      <c r="CS20" s="61">
        <f t="shared" si="51"/>
        <v>6.5740971522601832E-2</v>
      </c>
      <c r="CT20" s="61">
        <f t="shared" si="51"/>
        <v>7.0000528944855311E-2</v>
      </c>
      <c r="CU20" s="61">
        <f t="shared" si="51"/>
        <v>6.7830486846347071E-2</v>
      </c>
      <c r="CV20" s="61">
        <f t="shared" si="51"/>
        <v>5.7932781618057927E-2</v>
      </c>
      <c r="CW20" s="61">
        <f t="shared" si="51"/>
        <v>5.113087444536335E-2</v>
      </c>
      <c r="CX20" s="61">
        <f t="shared" si="51"/>
        <v>4.6486499938292569E-2</v>
      </c>
      <c r="CY20" s="61">
        <f t="shared" si="51"/>
        <v>4.1324030418047331E-2</v>
      </c>
      <c r="CZ20" s="61">
        <f t="shared" si="51"/>
        <v>3.6867392626712681E-2</v>
      </c>
      <c r="DA20" s="61">
        <f t="shared" si="51"/>
        <v>3.3263135344282935E-2</v>
      </c>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row>
    <row r="21" spans="2:146" s="11" customFormat="1">
      <c r="B21" s="68" t="s">
        <v>2227</v>
      </c>
      <c r="AU21" s="12"/>
      <c r="AV21" s="12"/>
      <c r="AW21" s="12"/>
      <c r="AX21" s="12"/>
      <c r="AY21" s="12">
        <f t="shared" si="29"/>
        <v>-0.16903633491311221</v>
      </c>
      <c r="AZ21" s="12">
        <f t="shared" si="30"/>
        <v>0.15959595959595951</v>
      </c>
      <c r="BA21" s="12">
        <f t="shared" si="31"/>
        <v>-8.8737201365187701E-2</v>
      </c>
      <c r="BB21" s="12">
        <f t="shared" si="32"/>
        <v>-1.7094017094017144E-2</v>
      </c>
      <c r="BC21" s="12">
        <f t="shared" si="33"/>
        <v>3.4220532319391594E-2</v>
      </c>
      <c r="BD21" s="12">
        <f t="shared" si="34"/>
        <v>0</v>
      </c>
      <c r="BE21" s="12">
        <f t="shared" si="35"/>
        <v>2.8089887640449396E-2</v>
      </c>
      <c r="BF21" s="12">
        <f t="shared" si="36"/>
        <v>-2.4347826086956514E-2</v>
      </c>
      <c r="BG21" s="12">
        <f t="shared" si="37"/>
        <v>8.6397058823529438E-2</v>
      </c>
      <c r="BH21" s="12">
        <f t="shared" si="38"/>
        <v>9.5818815331010443E-2</v>
      </c>
      <c r="BI21" s="12">
        <f t="shared" si="39"/>
        <v>6.1930783242258647E-2</v>
      </c>
      <c r="BJ21" s="12">
        <f t="shared" si="40"/>
        <v>9.4474153297682717E-2</v>
      </c>
      <c r="BK21" s="12">
        <f t="shared" si="41"/>
        <v>0.10321489001692052</v>
      </c>
      <c r="BL21" s="12">
        <f t="shared" si="42"/>
        <v>5.7233704292527721E-2</v>
      </c>
      <c r="BM21" s="12">
        <f t="shared" si="43"/>
        <v>0.13379073756432236</v>
      </c>
      <c r="BN21" s="12">
        <f t="shared" si="44"/>
        <v>8.6319218241042384E-2</v>
      </c>
      <c r="BO21" s="12">
        <f t="shared" si="45"/>
        <v>6.9018404907975395E-2</v>
      </c>
      <c r="BP21" s="12">
        <f t="shared" si="46"/>
        <v>9.9248120300751808E-2</v>
      </c>
      <c r="BQ21" s="12">
        <f t="shared" si="47"/>
        <v>3.7821482602117928E-2</v>
      </c>
      <c r="BR21" s="11">
        <f t="shared" si="48"/>
        <v>9.7451274362818641E-2</v>
      </c>
      <c r="BS21" s="11">
        <f t="shared" si="49"/>
        <v>9.612625538020092E-2</v>
      </c>
      <c r="BT21" s="11">
        <f t="shared" si="49"/>
        <v>0.13953488372093026</v>
      </c>
      <c r="BU21" s="60"/>
      <c r="BV21" s="60"/>
      <c r="CL21" s="11">
        <f t="shared" si="50"/>
        <v>-0.18359375</v>
      </c>
      <c r="CM21" s="11">
        <f t="shared" si="50"/>
        <v>-3.9147455415397991E-2</v>
      </c>
      <c r="CN21" s="11">
        <f t="shared" si="50"/>
        <v>8.6011770031688695E-3</v>
      </c>
      <c r="CO21" s="11">
        <f t="shared" si="50"/>
        <v>8.48294434470378E-2</v>
      </c>
      <c r="CP21" s="11">
        <f t="shared" si="50"/>
        <v>9.4331816301199911E-2</v>
      </c>
      <c r="CQ21" s="11">
        <f t="shared" si="50"/>
        <v>7.5992438563327047E-2</v>
      </c>
      <c r="CR21" s="60">
        <v>0.125</v>
      </c>
      <c r="CS21" s="60">
        <v>0.08</v>
      </c>
      <c r="CT21" s="60">
        <v>7.0000000000000007E-2</v>
      </c>
      <c r="CU21" s="60">
        <v>0.05</v>
      </c>
      <c r="CV21" s="60">
        <v>4.4999999999999998E-2</v>
      </c>
      <c r="CW21" s="60">
        <v>0.04</v>
      </c>
      <c r="CX21" s="60">
        <v>3.5000000000000003E-2</v>
      </c>
      <c r="CY21" s="60">
        <v>0.03</v>
      </c>
      <c r="CZ21" s="60">
        <v>2.5000000000000001E-2</v>
      </c>
      <c r="DA21" s="60">
        <v>2.2499999999999999E-2</v>
      </c>
      <c r="DB21" s="60"/>
      <c r="DC21" s="60"/>
      <c r="DD21" s="60"/>
      <c r="DE21" s="60"/>
      <c r="DF21" s="60"/>
      <c r="DG21" s="60"/>
      <c r="DH21" s="60"/>
      <c r="DI21" s="60"/>
      <c r="DJ21" s="60"/>
      <c r="DK21" s="60"/>
      <c r="DL21" s="60"/>
      <c r="DM21" s="60"/>
      <c r="DN21" s="60"/>
      <c r="DO21" s="60"/>
      <c r="DP21" s="60"/>
      <c r="DQ21" s="60"/>
      <c r="DR21" s="60"/>
      <c r="DS21" s="60"/>
      <c r="DT21" s="60"/>
      <c r="DU21" s="60"/>
      <c r="DV21" s="60"/>
      <c r="DW21" s="60"/>
      <c r="DX21" s="60"/>
      <c r="DY21" s="60"/>
      <c r="DZ21" s="60"/>
      <c r="EA21" s="60"/>
      <c r="EB21" s="60"/>
      <c r="EC21" s="60"/>
      <c r="ED21" s="60"/>
      <c r="EE21" s="60"/>
      <c r="EF21" s="60"/>
      <c r="EG21" s="60"/>
      <c r="EH21" s="60"/>
      <c r="EI21" s="60"/>
      <c r="EJ21" s="60"/>
      <c r="EK21" s="60"/>
      <c r="EL21" s="60"/>
      <c r="EM21" s="60"/>
      <c r="EN21" s="60"/>
      <c r="EO21" s="60"/>
      <c r="EP21" s="60"/>
    </row>
    <row r="22" spans="2:146" s="11" customFormat="1">
      <c r="B22" s="68" t="s">
        <v>2228</v>
      </c>
      <c r="AU22" s="12"/>
      <c r="AV22" s="12"/>
      <c r="AW22" s="12"/>
      <c r="AX22" s="12"/>
      <c r="AY22" s="12">
        <f t="shared" si="29"/>
        <v>3.1463414634146343</v>
      </c>
      <c r="AZ22" s="12">
        <f t="shared" si="30"/>
        <v>2.1764705882352939</v>
      </c>
      <c r="BA22" s="12">
        <f t="shared" si="31"/>
        <v>1.8378378378378377</v>
      </c>
      <c r="BB22" s="12">
        <f t="shared" si="32"/>
        <v>5.4722222222222223</v>
      </c>
      <c r="BC22" s="12">
        <f t="shared" si="33"/>
        <v>0.32941176470588229</v>
      </c>
      <c r="BD22" s="12">
        <f t="shared" si="34"/>
        <v>0.15740740740740744</v>
      </c>
      <c r="BE22" s="12">
        <f t="shared" si="35"/>
        <v>0.24761904761904763</v>
      </c>
      <c r="BF22" s="12">
        <f t="shared" si="36"/>
        <v>0.20600858369098707</v>
      </c>
      <c r="BG22" s="12">
        <f t="shared" si="37"/>
        <v>0.28761061946902644</v>
      </c>
      <c r="BH22" s="12">
        <f t="shared" si="38"/>
        <v>0.26800000000000002</v>
      </c>
      <c r="BI22" s="12">
        <f t="shared" si="39"/>
        <v>0.23282442748091614</v>
      </c>
      <c r="BJ22" s="12">
        <f t="shared" si="40"/>
        <v>0.22064056939501775</v>
      </c>
      <c r="BK22" s="12">
        <f t="shared" si="41"/>
        <v>0.18213058419243988</v>
      </c>
      <c r="BL22" s="12">
        <f t="shared" si="42"/>
        <v>0.19558359621451094</v>
      </c>
      <c r="BM22" s="12">
        <f t="shared" si="43"/>
        <v>0.17647058823529416</v>
      </c>
      <c r="BN22" s="12">
        <f t="shared" si="44"/>
        <v>0.20408163265306123</v>
      </c>
      <c r="BO22" s="12">
        <f t="shared" si="45"/>
        <v>0.23546511627906974</v>
      </c>
      <c r="BP22" s="12">
        <f t="shared" si="46"/>
        <v>0.28232189973614785</v>
      </c>
      <c r="BQ22" s="12">
        <f t="shared" si="47"/>
        <v>0.34736842105263155</v>
      </c>
      <c r="BR22" s="11">
        <f t="shared" si="48"/>
        <v>0.30992736077481831</v>
      </c>
      <c r="BS22" s="11">
        <f t="shared" si="49"/>
        <v>0.19058823529411772</v>
      </c>
      <c r="BT22" s="11">
        <f t="shared" si="49"/>
        <v>4.3209876543209846E-2</v>
      </c>
      <c r="BU22" s="60"/>
      <c r="BV22" s="60"/>
      <c r="CL22" s="11">
        <f t="shared" si="50"/>
        <v>1.7037037037037037</v>
      </c>
      <c r="CM22" s="11">
        <f t="shared" si="50"/>
        <v>2.7853881278538815</v>
      </c>
      <c r="CN22" s="11">
        <f t="shared" si="50"/>
        <v>0.22919179734620032</v>
      </c>
      <c r="CO22" s="11">
        <f t="shared" si="50"/>
        <v>0.25024533856722275</v>
      </c>
      <c r="CP22" s="11">
        <f t="shared" si="50"/>
        <v>0.18995290423861855</v>
      </c>
      <c r="CQ22" s="11">
        <f t="shared" si="50"/>
        <v>0.29551451187335087</v>
      </c>
      <c r="CR22" s="60">
        <v>0.14000000000000001</v>
      </c>
      <c r="CS22" s="60">
        <v>0.09</v>
      </c>
      <c r="CT22" s="60">
        <v>0.15</v>
      </c>
      <c r="CU22" s="60">
        <v>0.12</v>
      </c>
      <c r="CV22" s="60">
        <v>0.115</v>
      </c>
      <c r="CW22" s="60">
        <v>0.1</v>
      </c>
      <c r="CX22" s="60">
        <v>8.5000000000000006E-2</v>
      </c>
      <c r="CY22" s="60">
        <v>7.4999999999999997E-2</v>
      </c>
      <c r="CZ22" s="60">
        <v>7.0000000000000007E-2</v>
      </c>
      <c r="DA22" s="60">
        <v>6.5000000000000002E-2</v>
      </c>
      <c r="DB22" s="60"/>
      <c r="DC22" s="60"/>
      <c r="DD22" s="60"/>
      <c r="DE22" s="60"/>
      <c r="DF22" s="60"/>
      <c r="DG22" s="60"/>
      <c r="DH22" s="60"/>
      <c r="DI22" s="60"/>
      <c r="DJ22" s="60"/>
      <c r="DK22" s="60"/>
      <c r="DL22" s="60"/>
      <c r="DM22" s="60"/>
      <c r="DN22" s="60"/>
      <c r="DO22" s="60"/>
      <c r="DP22" s="60"/>
      <c r="DQ22" s="60"/>
      <c r="DR22" s="60"/>
      <c r="DS22" s="60"/>
      <c r="DT22" s="60"/>
      <c r="DU22" s="60"/>
      <c r="DV22" s="60"/>
      <c r="DW22" s="60"/>
      <c r="DX22" s="60"/>
      <c r="DY22" s="60"/>
      <c r="DZ22" s="60"/>
      <c r="EA22" s="60"/>
      <c r="EB22" s="60"/>
      <c r="EC22" s="60"/>
      <c r="ED22" s="60"/>
      <c r="EE22" s="60"/>
      <c r="EF22" s="60"/>
      <c r="EG22" s="60"/>
      <c r="EH22" s="60"/>
      <c r="EI22" s="60"/>
      <c r="EJ22" s="60"/>
      <c r="EK22" s="60"/>
      <c r="EL22" s="60"/>
      <c r="EM22" s="60"/>
      <c r="EN22" s="60"/>
      <c r="EO22" s="60"/>
      <c r="EP22" s="60"/>
    </row>
    <row r="23" spans="2:146" s="11" customFormat="1">
      <c r="B23" s="68" t="s">
        <v>2229</v>
      </c>
      <c r="AU23" s="12"/>
      <c r="AV23" s="12"/>
      <c r="AW23" s="12"/>
      <c r="AX23" s="12"/>
      <c r="AY23" s="12">
        <f t="shared" si="29"/>
        <v>7.3226544622425616E-2</v>
      </c>
      <c r="AZ23" s="12">
        <f t="shared" si="30"/>
        <v>0.49287749287749283</v>
      </c>
      <c r="BA23" s="12">
        <f t="shared" si="31"/>
        <v>0.1010752688172043</v>
      </c>
      <c r="BB23" s="12">
        <f t="shared" si="32"/>
        <v>0.13968957871396892</v>
      </c>
      <c r="BC23" s="12">
        <f t="shared" si="33"/>
        <v>0.10660980810234544</v>
      </c>
      <c r="BD23" s="12">
        <f t="shared" si="34"/>
        <v>3.2442748091602969E-2</v>
      </c>
      <c r="BE23" s="12">
        <f t="shared" si="35"/>
        <v>1.3671875E-2</v>
      </c>
      <c r="BF23" s="12">
        <f t="shared" si="36"/>
        <v>1.3618677042801508E-2</v>
      </c>
      <c r="BG23" s="12">
        <f t="shared" si="37"/>
        <v>5.5876685934489467E-2</v>
      </c>
      <c r="BH23" s="12">
        <f t="shared" si="38"/>
        <v>4.621072088724576E-2</v>
      </c>
      <c r="BI23" s="12">
        <f t="shared" si="39"/>
        <v>6.3583815028901647E-2</v>
      </c>
      <c r="BJ23" s="12">
        <f t="shared" si="40"/>
        <v>5.950095969289837E-2</v>
      </c>
      <c r="BK23" s="12">
        <f t="shared" si="41"/>
        <v>4.9270072992700698E-2</v>
      </c>
      <c r="BL23" s="12">
        <f t="shared" si="42"/>
        <v>1.7667844522968101E-2</v>
      </c>
      <c r="BM23" s="12">
        <f t="shared" si="43"/>
        <v>1.6304347826086918E-2</v>
      </c>
      <c r="BN23" s="12">
        <f t="shared" si="44"/>
        <v>2.7173913043478271E-2</v>
      </c>
      <c r="BO23" s="12">
        <f t="shared" si="45"/>
        <v>5.2173913043478404E-3</v>
      </c>
      <c r="BP23" s="12">
        <f t="shared" si="46"/>
        <v>2.430555555555558E-2</v>
      </c>
      <c r="BQ23" s="12">
        <f t="shared" si="47"/>
        <v>3.0303030303030276E-2</v>
      </c>
      <c r="BR23" s="11">
        <f t="shared" si="48"/>
        <v>7.0546737213403876E-2</v>
      </c>
      <c r="BS23" s="11">
        <f t="shared" si="49"/>
        <v>0.56747404844290661</v>
      </c>
      <c r="BT23" s="11">
        <f t="shared" si="49"/>
        <v>-8.4745762711864181E-3</v>
      </c>
      <c r="BU23" s="60"/>
      <c r="BV23" s="60"/>
      <c r="CL23" s="11">
        <f t="shared" si="50"/>
        <v>-0.12119649303764823</v>
      </c>
      <c r="CM23" s="11">
        <f t="shared" si="50"/>
        <v>0.1848591549295775</v>
      </c>
      <c r="CN23" s="11">
        <f t="shared" si="50"/>
        <v>4.0118870728083289E-2</v>
      </c>
      <c r="CO23" s="11">
        <f t="shared" si="50"/>
        <v>5.6190476190476124E-2</v>
      </c>
      <c r="CP23" s="11">
        <f t="shared" si="50"/>
        <v>2.7502254283138017E-2</v>
      </c>
      <c r="CQ23" s="11">
        <f t="shared" si="50"/>
        <v>3.2470381746380061E-2</v>
      </c>
      <c r="CR23" s="60">
        <v>0.35</v>
      </c>
      <c r="CS23" s="60">
        <v>0.08</v>
      </c>
      <c r="CT23" s="60">
        <v>0.03</v>
      </c>
      <c r="CU23" s="60">
        <v>2.5000000000000001E-2</v>
      </c>
      <c r="CV23" s="60">
        <v>2.2499999999999999E-2</v>
      </c>
      <c r="CW23" s="60">
        <v>0.02</v>
      </c>
      <c r="CX23" s="60">
        <v>1.7500000000000002E-2</v>
      </c>
      <c r="CY23" s="60">
        <v>1.4999999999999999E-2</v>
      </c>
      <c r="CZ23" s="60">
        <v>1.2500000000000001E-2</v>
      </c>
      <c r="DA23" s="60">
        <v>0.01</v>
      </c>
      <c r="DB23" s="60"/>
      <c r="DC23" s="60"/>
      <c r="DD23" s="60"/>
      <c r="DE23" s="60"/>
      <c r="DF23" s="60"/>
      <c r="DG23" s="60"/>
      <c r="DH23" s="60"/>
      <c r="DI23" s="60"/>
      <c r="DJ23" s="60"/>
      <c r="DK23" s="60"/>
      <c r="DL23" s="60"/>
      <c r="DM23" s="60"/>
      <c r="DN23" s="60"/>
      <c r="DO23" s="60"/>
      <c r="DP23" s="60"/>
      <c r="DQ23" s="60"/>
      <c r="DR23" s="60"/>
      <c r="DS23" s="60"/>
      <c r="DT23" s="60"/>
      <c r="DU23" s="60"/>
      <c r="DV23" s="60"/>
      <c r="DW23" s="60"/>
      <c r="DX23" s="60"/>
      <c r="DY23" s="60"/>
      <c r="DZ23" s="60"/>
      <c r="EA23" s="60"/>
      <c r="EB23" s="60"/>
      <c r="EC23" s="60"/>
      <c r="ED23" s="60"/>
      <c r="EE23" s="60"/>
      <c r="EF23" s="60"/>
      <c r="EG23" s="60"/>
      <c r="EH23" s="60"/>
      <c r="EI23" s="60"/>
      <c r="EJ23" s="60"/>
      <c r="EK23" s="60"/>
      <c r="EL23" s="60"/>
      <c r="EM23" s="60"/>
      <c r="EN23" s="60"/>
      <c r="EO23" s="60"/>
      <c r="EP23" s="60"/>
    </row>
    <row r="24" spans="2:146" s="11" customFormat="1">
      <c r="B24" s="68" t="s">
        <v>2230</v>
      </c>
      <c r="AY24" s="11">
        <f t="shared" si="29"/>
        <v>0.12162162162162171</v>
      </c>
      <c r="AZ24" s="11">
        <f t="shared" si="30"/>
        <v>0.86274509803921573</v>
      </c>
      <c r="BA24" s="11">
        <f t="shared" si="31"/>
        <v>0.13157894736842102</v>
      </c>
      <c r="BB24" s="11">
        <f t="shared" si="32"/>
        <v>0.17441860465116288</v>
      </c>
      <c r="BC24" s="11">
        <f t="shared" si="33"/>
        <v>0.42168674698795172</v>
      </c>
      <c r="BD24" s="11">
        <f t="shared" si="34"/>
        <v>0.60000000000000009</v>
      </c>
      <c r="BE24" s="11">
        <f t="shared" si="35"/>
        <v>0.72093023255813948</v>
      </c>
      <c r="BF24" s="11">
        <f t="shared" si="36"/>
        <v>0.65346534653465338</v>
      </c>
      <c r="BG24" s="11">
        <f t="shared" si="37"/>
        <v>0.5</v>
      </c>
      <c r="BH24" s="11">
        <f t="shared" si="38"/>
        <v>0.26973684210526305</v>
      </c>
      <c r="BI24" s="11">
        <f t="shared" si="39"/>
        <v>0.28378378378378377</v>
      </c>
      <c r="BJ24" s="11">
        <f t="shared" si="40"/>
        <v>0.43712574850299402</v>
      </c>
      <c r="BK24" s="11">
        <f t="shared" si="41"/>
        <v>0.69491525423728806</v>
      </c>
      <c r="BL24" s="11">
        <f t="shared" si="42"/>
        <v>1.2176165803108807</v>
      </c>
      <c r="BM24" s="11">
        <f t="shared" si="43"/>
        <v>1.7736842105263158</v>
      </c>
      <c r="BN24" s="11">
        <f t="shared" si="44"/>
        <v>1.7041666666666666</v>
      </c>
      <c r="BO24" s="11">
        <f t="shared" si="45"/>
        <v>1.4300000000000002</v>
      </c>
      <c r="BP24" s="11">
        <f t="shared" si="46"/>
        <v>0.96261682242990654</v>
      </c>
      <c r="BQ24" s="11">
        <f t="shared" si="47"/>
        <v>0.6413662239089184</v>
      </c>
      <c r="BR24" s="11">
        <f t="shared" si="48"/>
        <v>0.36979969183359018</v>
      </c>
      <c r="BS24" s="11">
        <f t="shared" si="49"/>
        <v>-0.20713305898491086</v>
      </c>
      <c r="BT24" s="11">
        <f t="shared" si="49"/>
        <v>9.0476190476190377E-2</v>
      </c>
      <c r="BU24" s="60"/>
      <c r="BV24" s="60"/>
      <c r="CL24" s="11">
        <f t="shared" si="50"/>
        <v>-0.12765957446808507</v>
      </c>
      <c r="CM24" s="11">
        <f t="shared" si="50"/>
        <v>0.27177700348432055</v>
      </c>
      <c r="CN24" s="11">
        <f t="shared" si="50"/>
        <v>0.60273972602739723</v>
      </c>
      <c r="CO24" s="11">
        <f t="shared" si="50"/>
        <v>0.36752136752136755</v>
      </c>
      <c r="CP24" s="11">
        <f t="shared" si="50"/>
        <v>1.38</v>
      </c>
      <c r="CQ24" s="11">
        <f t="shared" si="50"/>
        <v>0.7452731092436975</v>
      </c>
      <c r="CR24" s="60">
        <v>-0.22</v>
      </c>
      <c r="CS24" s="60">
        <v>-0.1</v>
      </c>
      <c r="CT24" s="60">
        <v>0.14000000000000001</v>
      </c>
      <c r="CU24" s="60">
        <v>0.11</v>
      </c>
      <c r="CV24" s="60">
        <v>0.09</v>
      </c>
      <c r="CW24" s="60">
        <v>0.08</v>
      </c>
      <c r="CX24" s="60">
        <v>7.0000000000000007E-2</v>
      </c>
      <c r="CY24" s="60">
        <v>0.06</v>
      </c>
      <c r="CZ24" s="60">
        <v>0.05</v>
      </c>
      <c r="DA24" s="60">
        <v>0.04</v>
      </c>
      <c r="DB24" s="60"/>
      <c r="DC24" s="60"/>
      <c r="DD24" s="60"/>
      <c r="DE24" s="60"/>
      <c r="DF24" s="60"/>
      <c r="DG24" s="60"/>
      <c r="DH24" s="60"/>
      <c r="DI24" s="60"/>
      <c r="DJ24" s="60"/>
      <c r="DK24" s="60"/>
      <c r="DL24" s="60"/>
      <c r="DM24" s="60"/>
      <c r="DN24" s="60"/>
      <c r="DO24" s="60"/>
      <c r="DP24" s="60"/>
      <c r="DQ24" s="60"/>
      <c r="DR24" s="60"/>
      <c r="DS24" s="60"/>
      <c r="DT24" s="60"/>
      <c r="DU24" s="60"/>
      <c r="DV24" s="60"/>
      <c r="DW24" s="60"/>
      <c r="DX24" s="60"/>
      <c r="DY24" s="60"/>
      <c r="DZ24" s="60"/>
      <c r="EA24" s="60"/>
      <c r="EB24" s="60"/>
      <c r="EC24" s="60"/>
      <c r="ED24" s="60"/>
      <c r="EE24" s="60"/>
      <c r="EF24" s="60"/>
      <c r="EG24" s="60"/>
      <c r="EH24" s="60"/>
      <c r="EI24" s="60"/>
      <c r="EJ24" s="60"/>
      <c r="EK24" s="60"/>
      <c r="EL24" s="60"/>
      <c r="EM24" s="60"/>
      <c r="EN24" s="60"/>
      <c r="EO24" s="60"/>
      <c r="EP24" s="60"/>
    </row>
    <row r="25" spans="2:146" s="33" customFormat="1" ht="15">
      <c r="B25" s="33" t="s">
        <v>2258</v>
      </c>
      <c r="AY25" s="33">
        <f t="shared" si="29"/>
        <v>5.3164556962025378E-2</v>
      </c>
      <c r="AZ25" s="33">
        <f t="shared" si="30"/>
        <v>0.46010362694300522</v>
      </c>
      <c r="BA25" s="33">
        <f t="shared" si="31"/>
        <v>0.11740216486261446</v>
      </c>
      <c r="BB25" s="33">
        <f t="shared" si="32"/>
        <v>0.22884283246977555</v>
      </c>
      <c r="BC25" s="33">
        <f t="shared" si="33"/>
        <v>0.12740384615384626</v>
      </c>
      <c r="BD25" s="33">
        <f t="shared" si="34"/>
        <v>7.6650106458481249E-2</v>
      </c>
      <c r="BE25" s="33">
        <f t="shared" si="35"/>
        <v>0.10134128166915057</v>
      </c>
      <c r="BF25" s="33">
        <f t="shared" si="36"/>
        <v>7.5193253689388673E-2</v>
      </c>
      <c r="BG25" s="33">
        <f t="shared" si="37"/>
        <v>0.14214641080312718</v>
      </c>
      <c r="BH25" s="33">
        <f t="shared" si="38"/>
        <v>0.12392880685563612</v>
      </c>
      <c r="BI25" s="33">
        <f t="shared" si="39"/>
        <v>0.11502029769959399</v>
      </c>
      <c r="BJ25" s="33">
        <f t="shared" si="40"/>
        <v>0.14313725490196072</v>
      </c>
      <c r="BK25" s="33">
        <f t="shared" si="41"/>
        <v>0.16428126944617305</v>
      </c>
      <c r="BL25" s="33">
        <f t="shared" si="42"/>
        <v>0.20117302052785924</v>
      </c>
      <c r="BM25" s="33">
        <f t="shared" si="43"/>
        <v>0.29186893203883502</v>
      </c>
      <c r="BN25" s="33">
        <f t="shared" si="44"/>
        <v>0.3127501429388222</v>
      </c>
      <c r="BO25" s="33">
        <f t="shared" si="45"/>
        <v>0.29823623730625326</v>
      </c>
      <c r="BP25" s="33">
        <f t="shared" si="46"/>
        <v>0.29248046875</v>
      </c>
      <c r="BQ25" s="33">
        <f t="shared" si="47"/>
        <v>0.24048849224988267</v>
      </c>
      <c r="BR25" s="33">
        <f t="shared" si="48"/>
        <v>0.20601045296167242</v>
      </c>
      <c r="BS25" s="33">
        <f t="shared" si="49"/>
        <v>0.13379991766158916</v>
      </c>
      <c r="BT25" s="33">
        <f t="shared" si="49"/>
        <v>7.3290517567057067E-2</v>
      </c>
      <c r="BU25" s="61"/>
      <c r="BV25" s="61"/>
      <c r="CL25" s="33">
        <f t="shared" si="50"/>
        <v>-0.12700871248789936</v>
      </c>
      <c r="CM25" s="33">
        <f t="shared" si="50"/>
        <v>0.20248392104679525</v>
      </c>
      <c r="CN25" s="33">
        <f t="shared" si="50"/>
        <v>9.4061232017705665E-2</v>
      </c>
      <c r="CO25" s="33">
        <f t="shared" si="50"/>
        <v>0.13098449089683073</v>
      </c>
      <c r="CP25" s="33">
        <f t="shared" si="50"/>
        <v>0.24370248919362059</v>
      </c>
      <c r="CQ25" s="33">
        <f t="shared" si="50"/>
        <v>0.25671140939597326</v>
      </c>
      <c r="CR25" s="61">
        <f t="shared" ref="CR25:DA25" si="52">CR13/CQ13-1</f>
        <v>0.13500000000000001</v>
      </c>
      <c r="CS25" s="61">
        <f t="shared" si="52"/>
        <v>0.12000000000000011</v>
      </c>
      <c r="CT25" s="61">
        <f t="shared" si="52"/>
        <v>0.11499999999999999</v>
      </c>
      <c r="CU25" s="61">
        <f t="shared" si="52"/>
        <v>0.1100000000000001</v>
      </c>
      <c r="CV25" s="61">
        <f t="shared" si="52"/>
        <v>0.10000000000000009</v>
      </c>
      <c r="CW25" s="61">
        <f t="shared" si="52"/>
        <v>9.000000000000008E-2</v>
      </c>
      <c r="CX25" s="61">
        <f t="shared" si="52"/>
        <v>8.0000000000000071E-2</v>
      </c>
      <c r="CY25" s="61">
        <f t="shared" si="52"/>
        <v>7.0000000000000062E-2</v>
      </c>
      <c r="CZ25" s="61">
        <f t="shared" si="52"/>
        <v>6.0000000000000053E-2</v>
      </c>
      <c r="DA25" s="61">
        <f t="shared" si="52"/>
        <v>4.0000000000000036E-2</v>
      </c>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row>
    <row r="26" spans="2:146" s="11" customFormat="1">
      <c r="B26" s="68" t="s">
        <v>2231</v>
      </c>
      <c r="AY26" s="11">
        <f t="shared" si="29"/>
        <v>0.10178117048346058</v>
      </c>
      <c r="AZ26" s="11">
        <f t="shared" si="30"/>
        <v>0.39117647058823524</v>
      </c>
      <c r="BA26" s="11">
        <f t="shared" si="31"/>
        <v>8.3932853717026301E-2</v>
      </c>
      <c r="BB26" s="11">
        <f t="shared" si="32"/>
        <v>8.1967213114754189E-2</v>
      </c>
      <c r="BC26" s="11">
        <f t="shared" si="33"/>
        <v>7.390300230946889E-2</v>
      </c>
      <c r="BD26" s="11">
        <f t="shared" si="34"/>
        <v>1.0570824524312794E-2</v>
      </c>
      <c r="BE26" s="11">
        <f t="shared" si="35"/>
        <v>5.9734513274336321E-2</v>
      </c>
      <c r="BF26" s="11">
        <f t="shared" si="36"/>
        <v>3.2467532467532534E-2</v>
      </c>
      <c r="BG26" s="11">
        <f t="shared" si="37"/>
        <v>7.9569892473118298E-2</v>
      </c>
      <c r="BH26" s="11">
        <f t="shared" si="38"/>
        <v>0.11924686192468625</v>
      </c>
      <c r="BI26" s="11">
        <f t="shared" si="39"/>
        <v>0.12317327766179531</v>
      </c>
      <c r="BJ26" s="11">
        <f t="shared" si="40"/>
        <v>0.11949685534591192</v>
      </c>
      <c r="BK26" s="11">
        <f t="shared" si="41"/>
        <v>0.14541832669322718</v>
      </c>
      <c r="BL26" s="11">
        <f t="shared" si="42"/>
        <v>0.10280373831775691</v>
      </c>
      <c r="BM26" s="11">
        <f t="shared" si="43"/>
        <v>0.11895910780669139</v>
      </c>
      <c r="BN26" s="11">
        <f t="shared" si="44"/>
        <v>0.20411985018726586</v>
      </c>
      <c r="BO26" s="11">
        <f t="shared" si="45"/>
        <v>0.14260869565217393</v>
      </c>
      <c r="BP26" s="11">
        <f t="shared" si="46"/>
        <v>0.18305084745762712</v>
      </c>
      <c r="BQ26" s="11">
        <f t="shared" si="47"/>
        <v>0.16611295681063121</v>
      </c>
      <c r="BR26" s="11">
        <f t="shared" si="48"/>
        <v>0.10108864696734066</v>
      </c>
      <c r="BS26" s="11">
        <f t="shared" si="49"/>
        <v>0.14003044140030441</v>
      </c>
      <c r="BT26" s="11">
        <f t="shared" si="49"/>
        <v>0.12177650429799436</v>
      </c>
      <c r="BU26" s="60"/>
      <c r="BV26" s="60"/>
      <c r="CL26" s="11">
        <f t="shared" si="50"/>
        <v>0.13453237410071939</v>
      </c>
      <c r="CM26" s="11">
        <f t="shared" si="50"/>
        <v>0.15409004438807861</v>
      </c>
      <c r="CN26" s="11">
        <f t="shared" si="50"/>
        <v>4.3406593406593474E-2</v>
      </c>
      <c r="CO26" s="11">
        <f t="shared" si="50"/>
        <v>0.11058451816745651</v>
      </c>
      <c r="CP26" s="11">
        <f t="shared" si="50"/>
        <v>0.14272166903745842</v>
      </c>
      <c r="CQ26" s="11">
        <f t="shared" si="50"/>
        <v>0.14730290456431527</v>
      </c>
      <c r="CR26" s="60">
        <v>0.13500000000000001</v>
      </c>
      <c r="CS26" s="60">
        <v>0.12</v>
      </c>
      <c r="CT26" s="60">
        <v>0.115</v>
      </c>
      <c r="CU26" s="60">
        <v>0.11</v>
      </c>
      <c r="CV26" s="60">
        <v>0.1</v>
      </c>
      <c r="CW26" s="60">
        <v>0.09</v>
      </c>
      <c r="CX26" s="60">
        <v>0.08</v>
      </c>
      <c r="CY26" s="60">
        <v>7.0000000000000007E-2</v>
      </c>
      <c r="CZ26" s="60">
        <v>0.06</v>
      </c>
      <c r="DA26" s="60">
        <v>0.04</v>
      </c>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row>
    <row r="27" spans="2:146" s="33" customFormat="1" ht="15">
      <c r="B27" s="33" t="s">
        <v>2259</v>
      </c>
      <c r="AY27" s="33">
        <f t="shared" si="29"/>
        <v>6.5272496831432214E-2</v>
      </c>
      <c r="AZ27" s="33">
        <f t="shared" si="30"/>
        <v>0.44214559386973185</v>
      </c>
      <c r="BA27" s="33">
        <f t="shared" si="31"/>
        <v>0.10877626699629173</v>
      </c>
      <c r="BB27" s="33">
        <f t="shared" si="32"/>
        <v>0.18927444794952675</v>
      </c>
      <c r="BC27" s="33">
        <f t="shared" si="33"/>
        <v>0.11362284354550867</v>
      </c>
      <c r="BD27" s="33">
        <f t="shared" si="34"/>
        <v>6.0042507970244463E-2</v>
      </c>
      <c r="BE27" s="33">
        <f t="shared" si="35"/>
        <v>9.0858416945373444E-2</v>
      </c>
      <c r="BF27" s="33">
        <f t="shared" si="36"/>
        <v>6.4721485411140645E-2</v>
      </c>
      <c r="BG27" s="33">
        <f t="shared" si="37"/>
        <v>0.1266025641025641</v>
      </c>
      <c r="BH27" s="33">
        <f t="shared" si="38"/>
        <v>0.12280701754385959</v>
      </c>
      <c r="BI27" s="33">
        <f t="shared" si="39"/>
        <v>0.11701584057230452</v>
      </c>
      <c r="BJ27" s="33">
        <f t="shared" si="40"/>
        <v>0.1375186846038865</v>
      </c>
      <c r="BK27" s="33">
        <f t="shared" si="41"/>
        <v>0.15979137031768609</v>
      </c>
      <c r="BL27" s="33">
        <f t="shared" si="42"/>
        <v>0.17767857142857135</v>
      </c>
      <c r="BM27" s="33">
        <f t="shared" si="43"/>
        <v>0.24931381518755713</v>
      </c>
      <c r="BN27" s="33">
        <f t="shared" si="44"/>
        <v>0.28734121769601395</v>
      </c>
      <c r="BO27" s="33">
        <f t="shared" si="45"/>
        <v>0.26165167620605079</v>
      </c>
      <c r="BP27" s="33">
        <f t="shared" si="46"/>
        <v>0.26800606520090975</v>
      </c>
      <c r="BQ27" s="33">
        <f t="shared" si="47"/>
        <v>0.22409373855730497</v>
      </c>
      <c r="BR27" s="33">
        <f t="shared" si="48"/>
        <v>0.18305546104117054</v>
      </c>
      <c r="BS27" s="33">
        <f t="shared" si="49"/>
        <v>0.13512637718729748</v>
      </c>
      <c r="BT27" s="33">
        <f t="shared" si="49"/>
        <v>8.3408071748878987E-2</v>
      </c>
      <c r="BU27" s="61"/>
      <c r="BV27" s="61"/>
      <c r="CL27" s="33">
        <f t="shared" si="50"/>
        <v>-7.1548436308161656E-2</v>
      </c>
      <c r="CM27" s="33">
        <f t="shared" si="50"/>
        <v>0.1899441340782122</v>
      </c>
      <c r="CN27" s="33">
        <f t="shared" si="50"/>
        <v>8.1331123998895416E-2</v>
      </c>
      <c r="CO27" s="33">
        <f t="shared" si="50"/>
        <v>0.12603754309794413</v>
      </c>
      <c r="CP27" s="33">
        <f t="shared" si="50"/>
        <v>0.2195509185756408</v>
      </c>
      <c r="CQ27" s="33">
        <f t="shared" si="50"/>
        <v>0.23219267249395581</v>
      </c>
      <c r="CR27" s="61">
        <f t="shared" ref="CR27:DA27" si="53">CR14/CQ14-1</f>
        <v>8.2746585163383957E-2</v>
      </c>
      <c r="CS27" s="61">
        <f t="shared" si="53"/>
        <v>5.7792008698394737E-2</v>
      </c>
      <c r="CT27" s="61">
        <f t="shared" si="53"/>
        <v>9.5003658384458234E-2</v>
      </c>
      <c r="CU27" s="61">
        <f t="shared" si="53"/>
        <v>8.0256807530366014E-2</v>
      </c>
      <c r="CV27" s="61">
        <f t="shared" si="53"/>
        <v>7.3443946226846135E-2</v>
      </c>
      <c r="CW27" s="61">
        <f t="shared" si="53"/>
        <v>6.6163035328221209E-2</v>
      </c>
      <c r="CX27" s="61">
        <f t="shared" si="53"/>
        <v>5.8508261918218452E-2</v>
      </c>
      <c r="CY27" s="61">
        <f t="shared" si="53"/>
        <v>5.1494137881607838E-2</v>
      </c>
      <c r="CZ27" s="61">
        <f t="shared" si="53"/>
        <v>4.5250324639014572E-2</v>
      </c>
      <c r="DA27" s="61">
        <f t="shared" si="53"/>
        <v>3.6696954946026761E-2</v>
      </c>
      <c r="DB27" s="61"/>
      <c r="DC27" s="61"/>
      <c r="DD27" s="61"/>
      <c r="DE27" s="61"/>
      <c r="DF27" s="61"/>
      <c r="DG27" s="61"/>
      <c r="DH27" s="61"/>
      <c r="DI27" s="61"/>
      <c r="DJ27" s="61"/>
      <c r="DK27" s="61"/>
      <c r="DL27" s="61"/>
      <c r="DM27" s="61"/>
      <c r="DN27" s="61"/>
      <c r="DO27" s="61"/>
      <c r="DP27" s="61"/>
      <c r="DQ27" s="61"/>
      <c r="DR27" s="61"/>
      <c r="DS27" s="61"/>
      <c r="DT27" s="61"/>
      <c r="DU27" s="61"/>
      <c r="DV27" s="61"/>
      <c r="DW27" s="61"/>
      <c r="DX27" s="61"/>
      <c r="DY27" s="61"/>
      <c r="DZ27" s="61"/>
      <c r="EA27" s="61"/>
      <c r="EB27" s="61"/>
      <c r="EC27" s="61"/>
      <c r="ED27" s="61"/>
      <c r="EE27" s="61"/>
      <c r="EF27" s="61"/>
      <c r="EG27" s="61"/>
      <c r="EH27" s="61"/>
      <c r="EI27" s="61"/>
      <c r="EJ27" s="61"/>
      <c r="EK27" s="61"/>
      <c r="EL27" s="61"/>
      <c r="EM27" s="61"/>
      <c r="EN27" s="61"/>
      <c r="EO27" s="61"/>
      <c r="EP27" s="61"/>
    </row>
    <row r="28" spans="2:146" s="33" customFormat="1" ht="15">
      <c r="B28" s="34" t="s">
        <v>122</v>
      </c>
      <c r="AY28" s="33">
        <f t="shared" si="29"/>
        <v>8.2186394022807807E-2</v>
      </c>
      <c r="AZ28" s="33">
        <f t="shared" si="30"/>
        <v>0.53619570644033954</v>
      </c>
      <c r="BA28" s="33">
        <f t="shared" si="31"/>
        <v>0.10267017675817969</v>
      </c>
      <c r="BB28" s="33">
        <f t="shared" si="32"/>
        <v>0.15472673559822758</v>
      </c>
      <c r="BC28" s="33">
        <f t="shared" si="33"/>
        <v>9.9563953488372103E-2</v>
      </c>
      <c r="BD28" s="33">
        <f t="shared" si="34"/>
        <v>5.4273643158921026E-2</v>
      </c>
      <c r="BE28" s="33">
        <f t="shared" si="35"/>
        <v>8.1173260572987793E-2</v>
      </c>
      <c r="BF28" s="33">
        <f t="shared" si="36"/>
        <v>3.6776463063639353E-2</v>
      </c>
      <c r="BG28" s="33">
        <f t="shared" si="37"/>
        <v>0.11996034368803699</v>
      </c>
      <c r="BH28" s="33">
        <f t="shared" si="38"/>
        <v>0.10943279901356351</v>
      </c>
      <c r="BI28" s="33">
        <f t="shared" si="39"/>
        <v>0.11261829652996846</v>
      </c>
      <c r="BJ28" s="33">
        <f t="shared" si="40"/>
        <v>0.14898210980876003</v>
      </c>
      <c r="BK28" s="33">
        <f t="shared" si="41"/>
        <v>0.1380938329890824</v>
      </c>
      <c r="BL28" s="33">
        <f t="shared" si="42"/>
        <v>0.14476243400944711</v>
      </c>
      <c r="BM28" s="33">
        <f t="shared" si="43"/>
        <v>0.19336546640204144</v>
      </c>
      <c r="BN28" s="33">
        <f t="shared" si="44"/>
        <v>0.22442953020134238</v>
      </c>
      <c r="BO28" s="33">
        <f t="shared" si="45"/>
        <v>0.20897070261861561</v>
      </c>
      <c r="BP28" s="33">
        <f t="shared" si="46"/>
        <v>0.22839805825242721</v>
      </c>
      <c r="BQ28" s="33">
        <f t="shared" si="47"/>
        <v>0.20337372297457823</v>
      </c>
      <c r="BR28" s="33">
        <f t="shared" si="48"/>
        <v>0.15895636921727685</v>
      </c>
      <c r="BS28" s="33">
        <f t="shared" si="49"/>
        <v>0.11601972978769037</v>
      </c>
      <c r="BT28" s="33">
        <f t="shared" si="49"/>
        <v>7.5281564908120879E-2</v>
      </c>
      <c r="BU28" s="61"/>
      <c r="BV28" s="61"/>
      <c r="CL28" s="33">
        <f t="shared" si="50"/>
        <v>-7.6571960875640444E-2</v>
      </c>
      <c r="CM28" s="33">
        <f t="shared" si="50"/>
        <v>0.19923332997074539</v>
      </c>
      <c r="CN28" s="33">
        <f t="shared" si="50"/>
        <v>6.6790040376850657E-2</v>
      </c>
      <c r="CO28" s="33">
        <f t="shared" si="50"/>
        <v>0.12285128528623246</v>
      </c>
      <c r="CP28" s="33">
        <f t="shared" si="50"/>
        <v>0.17605337078651684</v>
      </c>
      <c r="CQ28" s="33">
        <f t="shared" si="50"/>
        <v>0.19872215919269132</v>
      </c>
      <c r="CR28" s="61">
        <f t="shared" ref="CR28:DA28" si="54">CR15/CQ15-1</f>
        <v>8.0831382316314038E-2</v>
      </c>
      <c r="CS28" s="61">
        <f t="shared" si="54"/>
        <v>6.048476473762876E-2</v>
      </c>
      <c r="CT28" s="61">
        <f t="shared" si="54"/>
        <v>8.6491726483657549E-2</v>
      </c>
      <c r="CU28" s="61">
        <f t="shared" si="54"/>
        <v>7.609066717334767E-2</v>
      </c>
      <c r="CV28" s="61">
        <f t="shared" si="54"/>
        <v>6.8283476937478271E-2</v>
      </c>
      <c r="CW28" s="61">
        <f t="shared" si="54"/>
        <v>6.1210383824466197E-2</v>
      </c>
      <c r="CX28" s="61">
        <f t="shared" si="54"/>
        <v>5.4585067945036592E-2</v>
      </c>
      <c r="CY28" s="61">
        <f t="shared" si="54"/>
        <v>4.8200702016581332E-2</v>
      </c>
      <c r="CZ28" s="61">
        <f t="shared" si="54"/>
        <v>4.2553448151356088E-2</v>
      </c>
      <c r="DA28" s="61">
        <f t="shared" si="54"/>
        <v>3.5598284413437931E-2</v>
      </c>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c r="EE28" s="61"/>
      <c r="EF28" s="61"/>
      <c r="EG28" s="61"/>
      <c r="EH28" s="61"/>
      <c r="EI28" s="61"/>
      <c r="EJ28" s="61"/>
      <c r="EK28" s="61"/>
      <c r="EL28" s="61"/>
      <c r="EM28" s="61"/>
      <c r="EN28" s="61"/>
      <c r="EO28" s="61"/>
      <c r="EP28" s="61"/>
    </row>
    <row r="29" spans="2:146" s="4" customFormat="1">
      <c r="BR29" s="1"/>
      <c r="BS29" s="1"/>
      <c r="BT29" s="1"/>
      <c r="BU29" s="57"/>
      <c r="BV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row>
    <row r="30" spans="2:146">
      <c r="B30" s="1" t="s">
        <v>107</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11">
        <f t="shared" ref="AU30:BS30" si="55">AU7/AU15</f>
        <v>0.37947306331104996</v>
      </c>
      <c r="AV30" s="11">
        <f t="shared" si="55"/>
        <v>0.34847728407388917</v>
      </c>
      <c r="AW30" s="11">
        <f t="shared" si="55"/>
        <v>0.3915005641218503</v>
      </c>
      <c r="AX30" s="11">
        <f t="shared" si="55"/>
        <v>0.41469719350073853</v>
      </c>
      <c r="AY30" s="11">
        <f t="shared" si="55"/>
        <v>0.38444767441860467</v>
      </c>
      <c r="AZ30" s="11">
        <f t="shared" si="55"/>
        <v>0.38836529086772831</v>
      </c>
      <c r="BA30" s="11">
        <f t="shared" si="55"/>
        <v>0.38813096862210095</v>
      </c>
      <c r="BB30" s="11">
        <f t="shared" si="55"/>
        <v>0.39718580108730411</v>
      </c>
      <c r="BC30" s="11">
        <f t="shared" si="55"/>
        <v>0.38136153337739592</v>
      </c>
      <c r="BD30" s="11">
        <f t="shared" si="55"/>
        <v>0.38501849568434032</v>
      </c>
      <c r="BE30" s="11">
        <f t="shared" si="55"/>
        <v>0.38264984227129339</v>
      </c>
      <c r="BF30" s="11">
        <f t="shared" si="55"/>
        <v>0.39944478716841458</v>
      </c>
      <c r="BG30" s="11">
        <f t="shared" si="55"/>
        <v>0.3776925346709944</v>
      </c>
      <c r="BH30" s="11">
        <f t="shared" si="55"/>
        <v>0.37760489024729094</v>
      </c>
      <c r="BI30" s="11">
        <f t="shared" si="55"/>
        <v>0.3802098100368585</v>
      </c>
      <c r="BJ30" s="11">
        <f t="shared" si="55"/>
        <v>0.38711409395973156</v>
      </c>
      <c r="BK30" s="11">
        <f t="shared" si="55"/>
        <v>0.36582836401348195</v>
      </c>
      <c r="BL30" s="11">
        <f t="shared" si="55"/>
        <v>0.35970873786407764</v>
      </c>
      <c r="BM30" s="11">
        <f t="shared" si="55"/>
        <v>0.35115229270610598</v>
      </c>
      <c r="BN30" s="11">
        <f t="shared" si="55"/>
        <v>0.35562376671782503</v>
      </c>
      <c r="BO30" s="11">
        <f t="shared" si="55"/>
        <v>0.33819429551790692</v>
      </c>
      <c r="BP30" s="11">
        <f t="shared" si="55"/>
        <v>0.33906342620035568</v>
      </c>
      <c r="BQ30" s="11">
        <f t="shared" si="55"/>
        <v>0.33998025666337611</v>
      </c>
      <c r="BR30" s="11">
        <f t="shared" si="55"/>
        <v>0.34222474460839952</v>
      </c>
      <c r="BS30" s="11">
        <f t="shared" si="55"/>
        <v>0.32686395080707148</v>
      </c>
      <c r="BT30" s="11">
        <f t="shared" ref="BT30" si="56">BT7/BT15</f>
        <v>0.33406835722160971</v>
      </c>
      <c r="CK30" s="11">
        <f t="shared" ref="CK30:DA30" si="57">CK7/CK15</f>
        <v>0.38938053097345132</v>
      </c>
      <c r="CL30" s="11">
        <f t="shared" si="57"/>
        <v>0.3860587107838192</v>
      </c>
      <c r="CM30" s="11">
        <f t="shared" si="57"/>
        <v>0.38972072678331088</v>
      </c>
      <c r="CN30" s="11">
        <f t="shared" si="57"/>
        <v>0.3872417599747674</v>
      </c>
      <c r="CO30" s="11">
        <f t="shared" si="57"/>
        <v>0.38075842696629214</v>
      </c>
      <c r="CP30" s="11">
        <f t="shared" si="57"/>
        <v>0.35785513823371351</v>
      </c>
      <c r="CQ30" s="11">
        <f t="shared" si="57"/>
        <v>0.33992528019925278</v>
      </c>
      <c r="CR30" s="60">
        <f t="shared" si="57"/>
        <v>0.338755646338389</v>
      </c>
      <c r="CS30" s="60">
        <f t="shared" si="57"/>
        <v>0.34043466124358879</v>
      </c>
      <c r="CT30" s="60">
        <f t="shared" si="57"/>
        <v>0.33526741043921032</v>
      </c>
      <c r="CU30" s="60">
        <f t="shared" si="57"/>
        <v>0.3326938640341765</v>
      </c>
      <c r="CV30" s="60">
        <f t="shared" si="57"/>
        <v>0.32947036306687666</v>
      </c>
      <c r="CW30" s="60">
        <f t="shared" si="57"/>
        <v>0.32634101221874329</v>
      </c>
      <c r="CX30" s="60">
        <f t="shared" si="57"/>
        <v>0.32383491293744665</v>
      </c>
      <c r="CY30" s="60">
        <f t="shared" si="57"/>
        <v>0.32171040916242877</v>
      </c>
      <c r="CZ30" s="60">
        <f t="shared" si="57"/>
        <v>0.31995581015112917</v>
      </c>
      <c r="DA30" s="60">
        <f t="shared" si="57"/>
        <v>0.31923434843813658</v>
      </c>
    </row>
    <row r="31" spans="2:146">
      <c r="B31" s="1" t="s">
        <v>108</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11">
        <f t="shared" ref="AU31:BS31" si="58">AU14/AU15</f>
        <v>0.62052693668895009</v>
      </c>
      <c r="AV31" s="11">
        <f t="shared" si="58"/>
        <v>0.65152271592611088</v>
      </c>
      <c r="AW31" s="11">
        <f t="shared" si="58"/>
        <v>0.6084994358781497</v>
      </c>
      <c r="AX31" s="11">
        <f t="shared" si="58"/>
        <v>0.58530280649926147</v>
      </c>
      <c r="AY31" s="11">
        <f t="shared" si="58"/>
        <v>0.61082848837209303</v>
      </c>
      <c r="AZ31" s="11">
        <f t="shared" si="58"/>
        <v>0.61163470913227169</v>
      </c>
      <c r="BA31" s="11">
        <f t="shared" si="58"/>
        <v>0.61186903137789905</v>
      </c>
      <c r="BB31" s="11">
        <f t="shared" si="58"/>
        <v>0.60281419891269583</v>
      </c>
      <c r="BC31" s="11">
        <f t="shared" si="58"/>
        <v>0.61863846662260413</v>
      </c>
      <c r="BD31" s="11">
        <f t="shared" si="58"/>
        <v>0.61498150431565968</v>
      </c>
      <c r="BE31" s="11">
        <f t="shared" si="58"/>
        <v>0.61735015772870661</v>
      </c>
      <c r="BF31" s="11">
        <f t="shared" si="58"/>
        <v>0.61906230721776678</v>
      </c>
      <c r="BG31" s="11">
        <f t="shared" si="58"/>
        <v>0.6223074653290056</v>
      </c>
      <c r="BH31" s="11">
        <f t="shared" si="58"/>
        <v>0.62239510975270906</v>
      </c>
      <c r="BI31" s="11">
        <f t="shared" si="58"/>
        <v>0.6197901899631415</v>
      </c>
      <c r="BJ31" s="11">
        <f t="shared" si="58"/>
        <v>0.61288590604026849</v>
      </c>
      <c r="BK31" s="11">
        <f t="shared" si="58"/>
        <v>0.63417163598651805</v>
      </c>
      <c r="BL31" s="11">
        <f t="shared" si="58"/>
        <v>0.64029126213592236</v>
      </c>
      <c r="BM31" s="11">
        <f t="shared" si="58"/>
        <v>0.64884770729389407</v>
      </c>
      <c r="BN31" s="11">
        <f t="shared" si="58"/>
        <v>0.64437623328217497</v>
      </c>
      <c r="BO31" s="11">
        <f t="shared" si="58"/>
        <v>0.66180570448209308</v>
      </c>
      <c r="BP31" s="11">
        <f t="shared" si="58"/>
        <v>0.66093657379964432</v>
      </c>
      <c r="BQ31" s="11">
        <f t="shared" si="58"/>
        <v>0.66001974333662394</v>
      </c>
      <c r="BR31" s="11">
        <f t="shared" si="58"/>
        <v>0.65777525539160042</v>
      </c>
      <c r="BS31" s="11">
        <f t="shared" si="58"/>
        <v>0.67313604919292847</v>
      </c>
      <c r="BT31" s="11">
        <f t="shared" ref="BT31" si="59">BT14/BT15</f>
        <v>0.66593164277839034</v>
      </c>
      <c r="CK31" s="11">
        <f t="shared" ref="CK31:DA31" si="60">CK14/CK15</f>
        <v>0.61061946902654862</v>
      </c>
      <c r="CL31" s="11">
        <f t="shared" si="60"/>
        <v>0.61394128921618074</v>
      </c>
      <c r="CM31" s="11">
        <f t="shared" si="60"/>
        <v>0.60918573351278604</v>
      </c>
      <c r="CN31" s="11">
        <f t="shared" si="60"/>
        <v>0.61748935499132629</v>
      </c>
      <c r="CO31" s="11">
        <f t="shared" si="60"/>
        <v>0.61924157303370786</v>
      </c>
      <c r="CP31" s="11">
        <f t="shared" si="60"/>
        <v>0.64214486176628649</v>
      </c>
      <c r="CQ31" s="11">
        <f t="shared" si="60"/>
        <v>0.66007471980074717</v>
      </c>
      <c r="CR31" s="60">
        <f t="shared" si="60"/>
        <v>0.66124435366161094</v>
      </c>
      <c r="CS31" s="60">
        <f t="shared" si="60"/>
        <v>0.65956533875641132</v>
      </c>
      <c r="CT31" s="60">
        <f t="shared" si="60"/>
        <v>0.66473258956078962</v>
      </c>
      <c r="CU31" s="60">
        <f t="shared" si="60"/>
        <v>0.66730613596582355</v>
      </c>
      <c r="CV31" s="60">
        <f t="shared" si="60"/>
        <v>0.67052963693312329</v>
      </c>
      <c r="CW31" s="60">
        <f t="shared" si="60"/>
        <v>0.67365898778125666</v>
      </c>
      <c r="CX31" s="60">
        <f t="shared" si="60"/>
        <v>0.67616508706255329</v>
      </c>
      <c r="CY31" s="60">
        <f t="shared" si="60"/>
        <v>0.67828959083757112</v>
      </c>
      <c r="CZ31" s="60">
        <f t="shared" si="60"/>
        <v>0.68004418984887072</v>
      </c>
      <c r="DA31" s="60">
        <f t="shared" si="60"/>
        <v>0.68076565156186342</v>
      </c>
    </row>
    <row r="32" spans="2:146" s="3" customFormat="1" ht="15">
      <c r="BU32" s="58"/>
      <c r="BV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row>
    <row r="33" spans="2:146" s="4" customFormat="1">
      <c r="B33" s="32" t="s">
        <v>110</v>
      </c>
      <c r="AT33" s="1"/>
      <c r="AU33" s="4">
        <v>1452</v>
      </c>
      <c r="AV33" s="4">
        <v>1058</v>
      </c>
      <c r="AW33" s="4">
        <v>1496</v>
      </c>
      <c r="AX33" s="1">
        <f>5508-SUM(AU33:AW33)</f>
        <v>1502</v>
      </c>
      <c r="AY33" s="4">
        <v>1577</v>
      </c>
      <c r="AZ33" s="4">
        <v>1800</v>
      </c>
      <c r="BA33" s="4">
        <v>1726</v>
      </c>
      <c r="BB33" s="1">
        <f>6901-SUM(AY33:BA33)</f>
        <v>1798</v>
      </c>
      <c r="BC33" s="4">
        <v>1778</v>
      </c>
      <c r="BD33" s="4">
        <v>1934</v>
      </c>
      <c r="BE33" s="4">
        <v>1934</v>
      </c>
      <c r="BF33" s="1">
        <f>7632-SUM(BC33:BE33)</f>
        <v>1986</v>
      </c>
      <c r="BG33" s="4">
        <v>2003</v>
      </c>
      <c r="BH33" s="4">
        <v>2110</v>
      </c>
      <c r="BI33" s="4">
        <v>2099</v>
      </c>
      <c r="BJ33" s="1">
        <f>8425-SUM(BG33:BI33)</f>
        <v>2213</v>
      </c>
      <c r="BK33" s="4">
        <v>2258</v>
      </c>
      <c r="BL33" s="4">
        <v>2466</v>
      </c>
      <c r="BM33" s="4">
        <v>2593</v>
      </c>
      <c r="BN33" s="1">
        <f>10210-SUM(BK33:BM33)</f>
        <v>2893</v>
      </c>
      <c r="BO33" s="4">
        <v>2960</v>
      </c>
      <c r="BP33" s="4">
        <v>3224</v>
      </c>
      <c r="BQ33" s="4">
        <v>3294</v>
      </c>
      <c r="BR33" s="1">
        <v>3385</v>
      </c>
      <c r="BS33" s="1">
        <v>3284</v>
      </c>
      <c r="BT33" s="1">
        <v>3426</v>
      </c>
      <c r="BU33" s="57"/>
      <c r="BV33" s="57"/>
      <c r="CK33" s="4">
        <v>6097</v>
      </c>
      <c r="CL33" s="4">
        <f>SUM(AU33:AX33)</f>
        <v>5508</v>
      </c>
      <c r="CM33" s="4">
        <f>SUM(AY33:BB33)</f>
        <v>6901</v>
      </c>
      <c r="CN33" s="4">
        <f>SUM(BC33:BF33)</f>
        <v>7632</v>
      </c>
      <c r="CO33" s="4">
        <f>SUM(BG33:BJ33)</f>
        <v>8425</v>
      </c>
      <c r="CP33" s="4">
        <f>SUM(BK33:BN33)</f>
        <v>10210</v>
      </c>
      <c r="CQ33" s="4">
        <f t="shared" ref="CQ33:CQ37" si="61">SUM(BO33:BR33)</f>
        <v>12863</v>
      </c>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row>
    <row r="34" spans="2:146" s="4" customFormat="1">
      <c r="B34" s="32" t="s">
        <v>111</v>
      </c>
      <c r="AT34" s="1"/>
      <c r="AU34" s="4">
        <v>552</v>
      </c>
      <c r="AV34" s="4">
        <v>416</v>
      </c>
      <c r="AW34" s="4">
        <v>540</v>
      </c>
      <c r="AX34" s="1">
        <f>2097-SUM(AU34:AW34)</f>
        <v>589</v>
      </c>
      <c r="AY34" s="4">
        <v>604</v>
      </c>
      <c r="AZ34" s="4">
        <v>662</v>
      </c>
      <c r="BA34" s="4">
        <v>590</v>
      </c>
      <c r="BB34" s="1">
        <f>2518-SUM(AY34:BA34)</f>
        <v>662</v>
      </c>
      <c r="BC34" s="4">
        <v>624</v>
      </c>
      <c r="BD34" s="4">
        <v>660</v>
      </c>
      <c r="BE34" s="4">
        <v>585</v>
      </c>
      <c r="BF34" s="1">
        <f>2526-SUM(BC34:BE34)</f>
        <v>657</v>
      </c>
      <c r="BG34" s="4">
        <v>712</v>
      </c>
      <c r="BH34" s="4">
        <v>723</v>
      </c>
      <c r="BI34" s="4">
        <v>671</v>
      </c>
      <c r="BJ34" s="1">
        <f>2856-SUM(BG34:BI34)</f>
        <v>750</v>
      </c>
      <c r="BK34" s="4">
        <v>803</v>
      </c>
      <c r="BL34" s="4">
        <v>822</v>
      </c>
      <c r="BM34" s="4">
        <v>773</v>
      </c>
      <c r="BN34" s="1">
        <f>3228-SUM(BK34:BM34)</f>
        <v>830</v>
      </c>
      <c r="BO34" s="4">
        <v>846</v>
      </c>
      <c r="BP34" s="4">
        <v>878</v>
      </c>
      <c r="BQ34" s="4">
        <v>793</v>
      </c>
      <c r="BR34" s="1">
        <v>933</v>
      </c>
      <c r="BS34" s="1">
        <v>932</v>
      </c>
      <c r="BT34" s="1">
        <v>932</v>
      </c>
      <c r="BU34" s="57"/>
      <c r="BV34" s="57"/>
      <c r="CK34" s="4">
        <v>2264</v>
      </c>
      <c r="CL34" s="4">
        <f>SUM(AU34:AX34)</f>
        <v>2097</v>
      </c>
      <c r="CM34" s="4">
        <f>SUM(AY34:BB34)</f>
        <v>2518</v>
      </c>
      <c r="CN34" s="4">
        <f>SUM(BC34:BF34)</f>
        <v>2526</v>
      </c>
      <c r="CO34" s="4">
        <f>SUM(BG34:BJ34)</f>
        <v>2856</v>
      </c>
      <c r="CP34" s="4">
        <f>SUM(BK34:BN34)</f>
        <v>3228</v>
      </c>
      <c r="CQ34" s="4">
        <f t="shared" si="61"/>
        <v>3450</v>
      </c>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row>
    <row r="35" spans="2:146" s="4" customFormat="1">
      <c r="B35" s="32" t="s">
        <v>112</v>
      </c>
      <c r="AT35" s="1"/>
      <c r="AU35" s="4">
        <v>409</v>
      </c>
      <c r="AV35" s="4">
        <v>410</v>
      </c>
      <c r="AW35" s="4">
        <v>472</v>
      </c>
      <c r="AX35" s="1">
        <f>1781-SUM(AU35:AW35)</f>
        <v>490</v>
      </c>
      <c r="AY35" s="4">
        <v>473</v>
      </c>
      <c r="AZ35" s="4">
        <v>520</v>
      </c>
      <c r="BA35" s="4">
        <v>517</v>
      </c>
      <c r="BB35" s="1">
        <f>2070-SUM(AY35:BA35)</f>
        <v>560</v>
      </c>
      <c r="BC35" s="4">
        <v>517</v>
      </c>
      <c r="BD35" s="4">
        <v>530</v>
      </c>
      <c r="BE35" s="4">
        <v>532</v>
      </c>
      <c r="BF35" s="1">
        <f>2116-SUM(BC35:BE35)</f>
        <v>537</v>
      </c>
      <c r="BG35" s="4">
        <v>548</v>
      </c>
      <c r="BH35" s="4">
        <v>626</v>
      </c>
      <c r="BI35" s="4">
        <v>611</v>
      </c>
      <c r="BJ35" s="1">
        <f>2400-SUM(BG35:BI35)</f>
        <v>615</v>
      </c>
      <c r="BK35" s="4">
        <v>647</v>
      </c>
      <c r="BL35" s="4">
        <v>670</v>
      </c>
      <c r="BM35" s="4">
        <v>684</v>
      </c>
      <c r="BN35" s="1">
        <f>2686-SUM(BK35:BM35)</f>
        <v>685</v>
      </c>
      <c r="BO35" s="4">
        <v>701</v>
      </c>
      <c r="BP35" s="4">
        <v>790</v>
      </c>
      <c r="BQ35" s="4">
        <v>803</v>
      </c>
      <c r="BR35" s="1">
        <v>789</v>
      </c>
      <c r="BS35" s="1">
        <v>803</v>
      </c>
      <c r="BT35" s="1">
        <v>878</v>
      </c>
      <c r="BU35" s="57"/>
      <c r="BV35" s="57"/>
      <c r="CK35" s="4">
        <v>1898</v>
      </c>
      <c r="CL35" s="4">
        <f>SUM(AU35:AX35)</f>
        <v>1781</v>
      </c>
      <c r="CM35" s="4">
        <f>SUM(AY35:BB35)</f>
        <v>2070</v>
      </c>
      <c r="CN35" s="4">
        <f>SUM(BC35:BF35)</f>
        <v>2116</v>
      </c>
      <c r="CO35" s="4">
        <f>SUM(BG35:BJ35)</f>
        <v>2400</v>
      </c>
      <c r="CP35" s="4">
        <f>SUM(BK35:BN35)</f>
        <v>2686</v>
      </c>
      <c r="CQ35" s="4">
        <f t="shared" si="61"/>
        <v>3083</v>
      </c>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row>
    <row r="36" spans="2:146" s="4" customFormat="1">
      <c r="B36" s="32" t="s">
        <v>113</v>
      </c>
      <c r="AT36" s="1"/>
      <c r="AU36" s="4">
        <v>89</v>
      </c>
      <c r="AV36" s="4">
        <v>51</v>
      </c>
      <c r="AW36" s="4">
        <v>77</v>
      </c>
      <c r="AX36" s="1">
        <f>307-SUM(AU36:AW36)</f>
        <v>90</v>
      </c>
      <c r="AY36" s="4">
        <v>85</v>
      </c>
      <c r="AZ36" s="4">
        <v>95</v>
      </c>
      <c r="BA36" s="4">
        <v>99</v>
      </c>
      <c r="BB36" s="1">
        <f>386-SUM(AY36:BA36)</f>
        <v>107</v>
      </c>
      <c r="BC36" s="4">
        <v>107</v>
      </c>
      <c r="BD36" s="4">
        <v>120</v>
      </c>
      <c r="BE36" s="4">
        <v>119</v>
      </c>
      <c r="BF36" s="1">
        <f>469-SUM(BC36:BE36)</f>
        <v>123</v>
      </c>
      <c r="BG36" s="4">
        <v>126</v>
      </c>
      <c r="BH36" s="4">
        <v>140</v>
      </c>
      <c r="BI36" s="4">
        <v>146</v>
      </c>
      <c r="BJ36" s="1">
        <f>559-SUM(BG36:BI36)</f>
        <v>147</v>
      </c>
      <c r="BK36" s="4">
        <v>149</v>
      </c>
      <c r="BL36" s="4">
        <v>162</v>
      </c>
      <c r="BM36" s="4">
        <v>159</v>
      </c>
      <c r="BN36" s="1">
        <f>623-SUM(BK36:BM36)</f>
        <v>153</v>
      </c>
      <c r="BO36" s="4">
        <v>156</v>
      </c>
      <c r="BP36" s="4">
        <v>169</v>
      </c>
      <c r="BQ36" s="4">
        <v>175</v>
      </c>
      <c r="BR36" s="1">
        <v>179</v>
      </c>
      <c r="BS36" s="1">
        <v>185</v>
      </c>
      <c r="BT36" s="1">
        <v>206</v>
      </c>
      <c r="BU36" s="57"/>
      <c r="BV36" s="57"/>
      <c r="CK36" s="4">
        <v>395</v>
      </c>
      <c r="CL36" s="4">
        <f>SUM(AU36:AX36)</f>
        <v>307</v>
      </c>
      <c r="CM36" s="4">
        <f>SUM(AY36:BB36)</f>
        <v>386</v>
      </c>
      <c r="CN36" s="4">
        <f>SUM(BC36:BF36)</f>
        <v>469</v>
      </c>
      <c r="CO36" s="4">
        <f>SUM(BG36:BJ36)</f>
        <v>559</v>
      </c>
      <c r="CP36" s="4">
        <f>SUM(BK36:BN36)</f>
        <v>623</v>
      </c>
      <c r="CQ36" s="4">
        <f t="shared" si="61"/>
        <v>679</v>
      </c>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row>
    <row r="37" spans="2:146" s="5" customFormat="1" ht="15">
      <c r="B37" s="5" t="s">
        <v>106</v>
      </c>
      <c r="AU37" s="5">
        <f>SUM(AU33:AU36)+41</f>
        <v>2543</v>
      </c>
      <c r="AV37" s="5">
        <f>SUM(AV33:AV36)+68</f>
        <v>2003</v>
      </c>
      <c r="AW37" s="5">
        <f>SUM(AW33:AW36)+74</f>
        <v>2659</v>
      </c>
      <c r="AX37" s="5">
        <f>SUM(AX33:AX36)+220-41-68-74</f>
        <v>2708</v>
      </c>
      <c r="AY37" s="5">
        <f>SUM(AY33:AY36)+13</f>
        <v>2752</v>
      </c>
      <c r="AZ37" s="5">
        <f t="shared" ref="AZ37:BS37" si="62">SUM(AZ33:AZ36)</f>
        <v>3077</v>
      </c>
      <c r="BA37" s="5">
        <f t="shared" si="62"/>
        <v>2932</v>
      </c>
      <c r="BB37" s="5">
        <f>SUM(BB33:BB36)</f>
        <v>3127</v>
      </c>
      <c r="BC37" s="5">
        <f t="shared" si="62"/>
        <v>3026</v>
      </c>
      <c r="BD37" s="5">
        <f t="shared" si="62"/>
        <v>3244</v>
      </c>
      <c r="BE37" s="5">
        <f t="shared" si="62"/>
        <v>3170</v>
      </c>
      <c r="BF37" s="5">
        <f>SUM(BF33:BF36)-61</f>
        <v>3242</v>
      </c>
      <c r="BG37" s="5">
        <f t="shared" si="62"/>
        <v>3389</v>
      </c>
      <c r="BH37" s="5">
        <f t="shared" si="62"/>
        <v>3599</v>
      </c>
      <c r="BI37" s="5">
        <f t="shared" si="62"/>
        <v>3527</v>
      </c>
      <c r="BJ37" s="5">
        <f t="shared" si="62"/>
        <v>3725</v>
      </c>
      <c r="BK37" s="5">
        <f t="shared" si="62"/>
        <v>3857</v>
      </c>
      <c r="BL37" s="5">
        <f t="shared" si="62"/>
        <v>4120</v>
      </c>
      <c r="BM37" s="5">
        <f t="shared" si="62"/>
        <v>4209</v>
      </c>
      <c r="BN37" s="5">
        <f>SUM(BN33:BN36)</f>
        <v>4561</v>
      </c>
      <c r="BO37" s="5">
        <f t="shared" si="62"/>
        <v>4663</v>
      </c>
      <c r="BP37" s="5">
        <f t="shared" si="62"/>
        <v>5061</v>
      </c>
      <c r="BQ37" s="5">
        <f t="shared" si="62"/>
        <v>5065</v>
      </c>
      <c r="BR37" s="3">
        <f t="shared" si="62"/>
        <v>5286</v>
      </c>
      <c r="BS37" s="3">
        <f t="shared" si="62"/>
        <v>5204</v>
      </c>
      <c r="BT37" s="3">
        <f t="shared" ref="BT37" si="63">SUM(BT33:BT36)</f>
        <v>5442</v>
      </c>
      <c r="BU37" s="58"/>
      <c r="BV37" s="58"/>
      <c r="CK37" s="5">
        <f>SUM(CK33:CK36)+81</f>
        <v>10735</v>
      </c>
      <c r="CL37" s="5">
        <f>SUM(CL33:CL36)+220</f>
        <v>9913</v>
      </c>
      <c r="CM37" s="5">
        <f>SUM(CM33:CM36)+13</f>
        <v>11888</v>
      </c>
      <c r="CN37" s="5">
        <f>SUM(CN33:CN36)-61</f>
        <v>12682</v>
      </c>
      <c r="CO37" s="5">
        <f t="shared" ref="CO37:CP37" si="64">SUM(CO33:CO36)</f>
        <v>14240</v>
      </c>
      <c r="CP37" s="5">
        <f t="shared" si="64"/>
        <v>16747</v>
      </c>
      <c r="CQ37" s="5">
        <f t="shared" si="61"/>
        <v>20075</v>
      </c>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row>
    <row r="38" spans="2:146" s="4" customFormat="1">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9"/>
      <c r="BS38" s="9"/>
      <c r="BT38" s="9"/>
      <c r="BU38" s="57"/>
      <c r="BV38" s="57"/>
      <c r="CR38" s="57"/>
      <c r="CS38" s="57"/>
      <c r="CT38" s="57"/>
      <c r="CU38" s="57"/>
      <c r="CV38" s="57"/>
      <c r="CW38" s="57"/>
      <c r="CX38" s="57"/>
      <c r="CY38" s="57"/>
      <c r="CZ38" s="57"/>
      <c r="DA38" s="57"/>
      <c r="DB38" s="57"/>
      <c r="DC38" s="57"/>
      <c r="DD38" s="57"/>
      <c r="DE38" s="57"/>
      <c r="DF38" s="57"/>
      <c r="DG38" s="57"/>
      <c r="DH38" s="57"/>
      <c r="DI38" s="57"/>
      <c r="DJ38" s="57"/>
      <c r="DK38" s="57"/>
      <c r="DL38" s="57"/>
      <c r="DM38" s="57"/>
      <c r="DN38" s="57"/>
      <c r="DO38" s="57"/>
      <c r="DP38" s="57"/>
      <c r="DQ38" s="57"/>
      <c r="DR38" s="57"/>
      <c r="DS38" s="57"/>
      <c r="DT38" s="57"/>
      <c r="DU38" s="57"/>
      <c r="DV38" s="57"/>
      <c r="DW38" s="57"/>
      <c r="DX38" s="57"/>
      <c r="DY38" s="57"/>
      <c r="DZ38" s="57"/>
      <c r="EA38" s="57"/>
      <c r="EB38" s="57"/>
      <c r="EC38" s="57"/>
      <c r="ED38" s="57"/>
      <c r="EE38" s="57"/>
      <c r="EF38" s="57"/>
      <c r="EG38" s="57"/>
      <c r="EH38" s="57"/>
      <c r="EI38" s="57"/>
      <c r="EJ38" s="57"/>
      <c r="EK38" s="57"/>
      <c r="EL38" s="57"/>
      <c r="EM38" s="57"/>
      <c r="EN38" s="57"/>
      <c r="EO38" s="57"/>
      <c r="EP38" s="57"/>
    </row>
    <row r="39" spans="2:146" s="4" customFormat="1">
      <c r="B39" s="32" t="s">
        <v>118</v>
      </c>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12"/>
      <c r="AV39" s="12"/>
      <c r="AW39" s="12"/>
      <c r="AX39" s="12"/>
      <c r="AY39" s="12">
        <f t="shared" ref="AY39:BT43" si="65">AY33/AU33-1</f>
        <v>8.6088154269972517E-2</v>
      </c>
      <c r="AZ39" s="12">
        <f t="shared" si="65"/>
        <v>0.70132325141776941</v>
      </c>
      <c r="BA39" s="12">
        <f t="shared" si="65"/>
        <v>0.15374331550802145</v>
      </c>
      <c r="BB39" s="12">
        <f t="shared" si="65"/>
        <v>0.1970705725699069</v>
      </c>
      <c r="BC39" s="12">
        <f t="shared" si="65"/>
        <v>0.12745719720989213</v>
      </c>
      <c r="BD39" s="12">
        <f t="shared" si="65"/>
        <v>7.4444444444444535E-2</v>
      </c>
      <c r="BE39" s="12">
        <f t="shared" si="65"/>
        <v>0.12050984936268838</v>
      </c>
      <c r="BF39" s="12">
        <f t="shared" si="65"/>
        <v>0.1045606229143492</v>
      </c>
      <c r="BG39" s="12">
        <f t="shared" si="65"/>
        <v>0.12654668166479199</v>
      </c>
      <c r="BH39" s="12">
        <f t="shared" si="65"/>
        <v>9.1003102378490075E-2</v>
      </c>
      <c r="BI39" s="12">
        <f t="shared" si="65"/>
        <v>8.5315408479834431E-2</v>
      </c>
      <c r="BJ39" s="12">
        <f t="shared" si="65"/>
        <v>0.11430010070493446</v>
      </c>
      <c r="BK39" s="12">
        <f t="shared" si="65"/>
        <v>0.12730903644533198</v>
      </c>
      <c r="BL39" s="12">
        <f t="shared" si="65"/>
        <v>0.1687203791469194</v>
      </c>
      <c r="BM39" s="12">
        <f t="shared" si="65"/>
        <v>0.23535016674606957</v>
      </c>
      <c r="BN39" s="12">
        <f t="shared" si="65"/>
        <v>0.30727519204699494</v>
      </c>
      <c r="BO39" s="12">
        <f t="shared" si="65"/>
        <v>0.31089459698848532</v>
      </c>
      <c r="BP39" s="12">
        <f t="shared" si="65"/>
        <v>0.30738037307380384</v>
      </c>
      <c r="BQ39" s="12">
        <f t="shared" si="65"/>
        <v>0.27034323177786357</v>
      </c>
      <c r="BR39" s="11">
        <f t="shared" si="65"/>
        <v>0.17006567576909792</v>
      </c>
      <c r="BS39" s="11">
        <f t="shared" si="65"/>
        <v>0.10945945945945956</v>
      </c>
      <c r="BT39" s="11">
        <f t="shared" si="65"/>
        <v>6.26550868486353E-2</v>
      </c>
      <c r="BU39" s="57"/>
      <c r="BV39" s="57"/>
      <c r="CL39" s="12">
        <f t="shared" ref="CL39:CQ43" si="66">CL33/CK33-1</f>
        <v>-9.6604887649663795E-2</v>
      </c>
      <c r="CM39" s="12">
        <f t="shared" si="66"/>
        <v>0.25290486564996373</v>
      </c>
      <c r="CN39" s="12">
        <f t="shared" si="66"/>
        <v>0.10592667729314598</v>
      </c>
      <c r="CO39" s="12">
        <f t="shared" si="66"/>
        <v>0.10390461215932922</v>
      </c>
      <c r="CP39" s="12">
        <f t="shared" si="66"/>
        <v>0.21186943620178034</v>
      </c>
      <c r="CQ39" s="12">
        <f t="shared" si="66"/>
        <v>0.25984329089128311</v>
      </c>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row>
    <row r="40" spans="2:146" s="4" customFormat="1">
      <c r="B40" s="32" t="s">
        <v>119</v>
      </c>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12"/>
      <c r="AV40" s="12"/>
      <c r="AW40" s="12"/>
      <c r="AX40" s="12"/>
      <c r="AY40" s="12">
        <f t="shared" si="65"/>
        <v>9.4202898550724612E-2</v>
      </c>
      <c r="AZ40" s="12">
        <f t="shared" si="65"/>
        <v>0.59134615384615374</v>
      </c>
      <c r="BA40" s="12">
        <f t="shared" si="65"/>
        <v>9.259259259259256E-2</v>
      </c>
      <c r="BB40" s="12">
        <f t="shared" si="65"/>
        <v>0.12393887945670623</v>
      </c>
      <c r="BC40" s="12">
        <f t="shared" si="65"/>
        <v>3.3112582781456901E-2</v>
      </c>
      <c r="BD40" s="12">
        <f t="shared" si="65"/>
        <v>-3.0211480362537513E-3</v>
      </c>
      <c r="BE40" s="12">
        <f t="shared" si="65"/>
        <v>-8.4745762711864181E-3</v>
      </c>
      <c r="BF40" s="12">
        <f t="shared" si="65"/>
        <v>-7.5528700906344337E-3</v>
      </c>
      <c r="BG40" s="12">
        <f t="shared" si="65"/>
        <v>0.14102564102564097</v>
      </c>
      <c r="BH40" s="12">
        <f t="shared" si="65"/>
        <v>9.5454545454545459E-2</v>
      </c>
      <c r="BI40" s="12">
        <f t="shared" si="65"/>
        <v>0.14700854700854693</v>
      </c>
      <c r="BJ40" s="12">
        <f t="shared" si="65"/>
        <v>0.14155251141552516</v>
      </c>
      <c r="BK40" s="12">
        <f t="shared" si="65"/>
        <v>0.12780898876404501</v>
      </c>
      <c r="BL40" s="12">
        <f t="shared" si="65"/>
        <v>0.13692946058091282</v>
      </c>
      <c r="BM40" s="12">
        <f t="shared" si="65"/>
        <v>0.15201192250372575</v>
      </c>
      <c r="BN40" s="12">
        <f t="shared" si="65"/>
        <v>0.10666666666666669</v>
      </c>
      <c r="BO40" s="12">
        <f t="shared" si="65"/>
        <v>5.3549190535491897E-2</v>
      </c>
      <c r="BP40" s="12">
        <f t="shared" si="65"/>
        <v>6.8126520681265124E-2</v>
      </c>
      <c r="BQ40" s="12">
        <f t="shared" si="65"/>
        <v>2.5873221216041298E-2</v>
      </c>
      <c r="BR40" s="11">
        <f t="shared" si="65"/>
        <v>0.12409638554216862</v>
      </c>
      <c r="BS40" s="11">
        <f t="shared" si="65"/>
        <v>0.10165484633569744</v>
      </c>
      <c r="BT40" s="11">
        <f t="shared" si="65"/>
        <v>6.1503416856492077E-2</v>
      </c>
      <c r="BU40" s="57"/>
      <c r="BV40" s="57"/>
      <c r="CL40" s="12">
        <f t="shared" si="66"/>
        <v>-7.3763250883392195E-2</v>
      </c>
      <c r="CM40" s="12">
        <f t="shared" si="66"/>
        <v>0.20076299475441117</v>
      </c>
      <c r="CN40" s="12">
        <f t="shared" si="66"/>
        <v>3.1771247021445959E-3</v>
      </c>
      <c r="CO40" s="12">
        <f t="shared" si="66"/>
        <v>0.13064133016627077</v>
      </c>
      <c r="CP40" s="12">
        <f t="shared" si="66"/>
        <v>0.13025210084033612</v>
      </c>
      <c r="CQ40" s="12">
        <f t="shared" si="66"/>
        <v>6.8773234200743438E-2</v>
      </c>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row>
    <row r="41" spans="2:146" s="4" customFormat="1">
      <c r="B41" s="32" t="s">
        <v>120</v>
      </c>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12"/>
      <c r="AV41" s="12"/>
      <c r="AW41" s="12"/>
      <c r="AX41" s="12"/>
      <c r="AY41" s="12">
        <f t="shared" si="65"/>
        <v>0.15647921760391204</v>
      </c>
      <c r="AZ41" s="12">
        <f t="shared" si="65"/>
        <v>0.26829268292682928</v>
      </c>
      <c r="BA41" s="12">
        <f t="shared" si="65"/>
        <v>9.5338983050847537E-2</v>
      </c>
      <c r="BB41" s="12">
        <f t="shared" si="65"/>
        <v>0.14285714285714279</v>
      </c>
      <c r="BC41" s="12">
        <f t="shared" si="65"/>
        <v>9.3023255813953432E-2</v>
      </c>
      <c r="BD41" s="12">
        <f t="shared" si="65"/>
        <v>1.9230769230769162E-2</v>
      </c>
      <c r="BE41" s="12">
        <f t="shared" si="65"/>
        <v>2.9013539651837617E-2</v>
      </c>
      <c r="BF41" s="12">
        <f t="shared" si="65"/>
        <v>-4.1071428571428537E-2</v>
      </c>
      <c r="BG41" s="12">
        <f t="shared" si="65"/>
        <v>5.9961315280464111E-2</v>
      </c>
      <c r="BH41" s="12">
        <f t="shared" si="65"/>
        <v>0.18113207547169807</v>
      </c>
      <c r="BI41" s="12">
        <f t="shared" si="65"/>
        <v>0.14849624060150379</v>
      </c>
      <c r="BJ41" s="12">
        <f t="shared" si="65"/>
        <v>0.14525139664804465</v>
      </c>
      <c r="BK41" s="12">
        <f t="shared" si="65"/>
        <v>0.18065693430656937</v>
      </c>
      <c r="BL41" s="12">
        <f t="shared" si="65"/>
        <v>7.0287539936102261E-2</v>
      </c>
      <c r="BM41" s="12">
        <f t="shared" si="65"/>
        <v>0.11947626841243864</v>
      </c>
      <c r="BN41" s="12">
        <f t="shared" si="65"/>
        <v>0.11382113821138207</v>
      </c>
      <c r="BO41" s="12">
        <f t="shared" si="65"/>
        <v>8.3462132921174659E-2</v>
      </c>
      <c r="BP41" s="12">
        <f t="shared" si="65"/>
        <v>0.17910447761194037</v>
      </c>
      <c r="BQ41" s="12">
        <f t="shared" si="65"/>
        <v>0.17397660818713456</v>
      </c>
      <c r="BR41" s="11">
        <f t="shared" si="65"/>
        <v>0.15182481751824817</v>
      </c>
      <c r="BS41" s="11">
        <f t="shared" si="65"/>
        <v>0.14550641940085596</v>
      </c>
      <c r="BT41" s="11">
        <f t="shared" si="65"/>
        <v>0.11139240506329107</v>
      </c>
      <c r="BU41" s="57"/>
      <c r="BV41" s="57"/>
      <c r="CL41" s="12">
        <f t="shared" si="66"/>
        <v>-6.164383561643838E-2</v>
      </c>
      <c r="CM41" s="12">
        <f t="shared" si="66"/>
        <v>0.16226838854576076</v>
      </c>
      <c r="CN41" s="12">
        <f t="shared" si="66"/>
        <v>2.2222222222222143E-2</v>
      </c>
      <c r="CO41" s="12">
        <f t="shared" si="66"/>
        <v>0.13421550094517953</v>
      </c>
      <c r="CP41" s="12">
        <f t="shared" si="66"/>
        <v>0.11916666666666664</v>
      </c>
      <c r="CQ41" s="12">
        <f t="shared" si="66"/>
        <v>0.14780342516753531</v>
      </c>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row>
    <row r="42" spans="2:146" s="4" customFormat="1">
      <c r="B42" s="32" t="s">
        <v>121</v>
      </c>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12"/>
      <c r="AV42" s="12"/>
      <c r="AW42" s="12"/>
      <c r="AX42" s="12"/>
      <c r="AY42" s="12">
        <f t="shared" si="65"/>
        <v>-4.49438202247191E-2</v>
      </c>
      <c r="AZ42" s="12">
        <f t="shared" si="65"/>
        <v>0.86274509803921573</v>
      </c>
      <c r="BA42" s="12">
        <f t="shared" si="65"/>
        <v>0.28571428571428581</v>
      </c>
      <c r="BB42" s="12">
        <f t="shared" si="65"/>
        <v>0.18888888888888888</v>
      </c>
      <c r="BC42" s="12">
        <f t="shared" si="65"/>
        <v>0.25882352941176467</v>
      </c>
      <c r="BD42" s="12">
        <f t="shared" si="65"/>
        <v>0.26315789473684204</v>
      </c>
      <c r="BE42" s="12">
        <f t="shared" si="65"/>
        <v>0.20202020202020199</v>
      </c>
      <c r="BF42" s="12">
        <f t="shared" si="65"/>
        <v>0.14953271028037385</v>
      </c>
      <c r="BG42" s="12">
        <f t="shared" si="65"/>
        <v>0.17757009345794383</v>
      </c>
      <c r="BH42" s="12">
        <f t="shared" si="65"/>
        <v>0.16666666666666674</v>
      </c>
      <c r="BI42" s="12">
        <f t="shared" si="65"/>
        <v>0.22689075630252109</v>
      </c>
      <c r="BJ42" s="12">
        <f t="shared" si="65"/>
        <v>0.19512195121951215</v>
      </c>
      <c r="BK42" s="12">
        <f t="shared" si="65"/>
        <v>0.18253968253968256</v>
      </c>
      <c r="BL42" s="12">
        <f t="shared" si="65"/>
        <v>0.15714285714285725</v>
      </c>
      <c r="BM42" s="12">
        <f t="shared" si="65"/>
        <v>8.9041095890410871E-2</v>
      </c>
      <c r="BN42" s="12">
        <f t="shared" si="65"/>
        <v>4.081632653061229E-2</v>
      </c>
      <c r="BO42" s="12">
        <f t="shared" si="65"/>
        <v>4.6979865771812124E-2</v>
      </c>
      <c r="BP42" s="12">
        <f t="shared" si="65"/>
        <v>4.3209876543209846E-2</v>
      </c>
      <c r="BQ42" s="12">
        <f t="shared" si="65"/>
        <v>0.10062893081761004</v>
      </c>
      <c r="BR42" s="11">
        <f t="shared" si="65"/>
        <v>0.16993464052287588</v>
      </c>
      <c r="BS42" s="11">
        <f t="shared" si="65"/>
        <v>0.1858974358974359</v>
      </c>
      <c r="BT42" s="11">
        <f t="shared" si="65"/>
        <v>0.21893491124260356</v>
      </c>
      <c r="BU42" s="57"/>
      <c r="BV42" s="57"/>
      <c r="CL42" s="12">
        <f t="shared" si="66"/>
        <v>-0.22278481012658224</v>
      </c>
      <c r="CM42" s="12">
        <f t="shared" si="66"/>
        <v>0.25732899022801292</v>
      </c>
      <c r="CN42" s="12">
        <f t="shared" si="66"/>
        <v>0.21502590673575139</v>
      </c>
      <c r="CO42" s="12">
        <f t="shared" si="66"/>
        <v>0.1918976545842217</v>
      </c>
      <c r="CP42" s="12">
        <f t="shared" si="66"/>
        <v>0.11449016100178899</v>
      </c>
      <c r="CQ42" s="12">
        <f t="shared" si="66"/>
        <v>8.98876404494382E-2</v>
      </c>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row>
    <row r="43" spans="2:146" s="5" customFormat="1" ht="15">
      <c r="B43" s="5" t="s">
        <v>122</v>
      </c>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34"/>
      <c r="AV43" s="34"/>
      <c r="AW43" s="34"/>
      <c r="AX43" s="34"/>
      <c r="AY43" s="34">
        <f t="shared" si="65"/>
        <v>8.2186394022807807E-2</v>
      </c>
      <c r="AZ43" s="34">
        <f t="shared" si="65"/>
        <v>0.53619570644033954</v>
      </c>
      <c r="BA43" s="34">
        <f t="shared" si="65"/>
        <v>0.10267017675817969</v>
      </c>
      <c r="BB43" s="34">
        <f t="shared" si="65"/>
        <v>0.15472673559822758</v>
      </c>
      <c r="BC43" s="34">
        <f t="shared" si="65"/>
        <v>9.9563953488372103E-2</v>
      </c>
      <c r="BD43" s="34">
        <f t="shared" si="65"/>
        <v>5.4273643158921026E-2</v>
      </c>
      <c r="BE43" s="34">
        <f t="shared" si="65"/>
        <v>8.1173260572987793E-2</v>
      </c>
      <c r="BF43" s="34">
        <f t="shared" si="65"/>
        <v>3.6776463063639353E-2</v>
      </c>
      <c r="BG43" s="34">
        <f t="shared" si="65"/>
        <v>0.11996034368803699</v>
      </c>
      <c r="BH43" s="34">
        <f t="shared" si="65"/>
        <v>0.10943279901356351</v>
      </c>
      <c r="BI43" s="34">
        <f t="shared" si="65"/>
        <v>0.11261829652996846</v>
      </c>
      <c r="BJ43" s="34">
        <f t="shared" si="65"/>
        <v>0.14898210980876003</v>
      </c>
      <c r="BK43" s="34">
        <f t="shared" si="65"/>
        <v>0.1380938329890824</v>
      </c>
      <c r="BL43" s="34">
        <f t="shared" si="65"/>
        <v>0.14476243400944711</v>
      </c>
      <c r="BM43" s="34">
        <f t="shared" si="65"/>
        <v>0.19336546640204144</v>
      </c>
      <c r="BN43" s="34">
        <f t="shared" si="65"/>
        <v>0.22442953020134238</v>
      </c>
      <c r="BO43" s="34">
        <f t="shared" si="65"/>
        <v>0.20897070261861561</v>
      </c>
      <c r="BP43" s="34">
        <f t="shared" si="65"/>
        <v>0.22839805825242721</v>
      </c>
      <c r="BQ43" s="34">
        <f t="shared" si="65"/>
        <v>0.20337372297457823</v>
      </c>
      <c r="BR43" s="33">
        <f t="shared" si="65"/>
        <v>0.15895636921727685</v>
      </c>
      <c r="BS43" s="33">
        <f t="shared" si="65"/>
        <v>0.11601972978769037</v>
      </c>
      <c r="BT43" s="33">
        <f t="shared" si="65"/>
        <v>7.5281564908120879E-2</v>
      </c>
      <c r="BU43" s="58"/>
      <c r="BV43" s="58"/>
      <c r="CL43" s="34">
        <f t="shared" si="66"/>
        <v>-7.6571960875640444E-2</v>
      </c>
      <c r="CM43" s="34">
        <f t="shared" si="66"/>
        <v>0.19923332997074539</v>
      </c>
      <c r="CN43" s="34">
        <f t="shared" si="66"/>
        <v>6.6790040376850657E-2</v>
      </c>
      <c r="CO43" s="34">
        <f t="shared" si="66"/>
        <v>0.12285128528623246</v>
      </c>
      <c r="CP43" s="34">
        <f t="shared" si="66"/>
        <v>0.17605337078651684</v>
      </c>
      <c r="CQ43" s="34">
        <f t="shared" si="66"/>
        <v>0.19872215919269132</v>
      </c>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58"/>
      <c r="EN43" s="58"/>
      <c r="EO43" s="58"/>
      <c r="EP43" s="58"/>
    </row>
    <row r="44" spans="2:146" s="4" customFormat="1">
      <c r="BR44" s="1"/>
      <c r="BS44" s="1"/>
      <c r="BT44" s="1"/>
      <c r="BU44" s="57"/>
      <c r="BV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row>
    <row r="45" spans="2:146" s="4" customFormat="1">
      <c r="B45" s="4" t="s">
        <v>114</v>
      </c>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12">
        <f t="shared" ref="AU45:BS45" si="67">AU33/AU37</f>
        <v>0.57097915847424296</v>
      </c>
      <c r="AV45" s="12">
        <f t="shared" si="67"/>
        <v>0.52820768846729904</v>
      </c>
      <c r="AW45" s="12">
        <f t="shared" si="67"/>
        <v>0.56261752538548326</v>
      </c>
      <c r="AX45" s="12">
        <f t="shared" si="67"/>
        <v>0.55465288035450522</v>
      </c>
      <c r="AY45" s="12">
        <f t="shared" si="67"/>
        <v>0.57303779069767447</v>
      </c>
      <c r="AZ45" s="12">
        <f t="shared" si="67"/>
        <v>0.5849853753656159</v>
      </c>
      <c r="BA45" s="12">
        <f t="shared" si="67"/>
        <v>0.58867667121418832</v>
      </c>
      <c r="BB45" s="12">
        <f t="shared" si="67"/>
        <v>0.57499200511672532</v>
      </c>
      <c r="BC45" s="12">
        <f t="shared" si="67"/>
        <v>0.58757435558493065</v>
      </c>
      <c r="BD45" s="12">
        <f t="shared" si="67"/>
        <v>0.59617755856966703</v>
      </c>
      <c r="BE45" s="12">
        <f t="shared" si="67"/>
        <v>0.61009463722397472</v>
      </c>
      <c r="BF45" s="12">
        <f t="shared" si="67"/>
        <v>0.61258482418260329</v>
      </c>
      <c r="BG45" s="12">
        <f t="shared" si="67"/>
        <v>0.59102980230156388</v>
      </c>
      <c r="BH45" s="12">
        <f t="shared" si="67"/>
        <v>0.58627396499027506</v>
      </c>
      <c r="BI45" s="12">
        <f t="shared" si="67"/>
        <v>0.59512333427842357</v>
      </c>
      <c r="BJ45" s="12">
        <f t="shared" si="67"/>
        <v>0.59409395973154366</v>
      </c>
      <c r="BK45" s="12">
        <f t="shared" si="67"/>
        <v>0.58542908996629506</v>
      </c>
      <c r="BL45" s="12">
        <f t="shared" si="67"/>
        <v>0.59854368932038837</v>
      </c>
      <c r="BM45" s="12">
        <f t="shared" si="67"/>
        <v>0.6160608220479924</v>
      </c>
      <c r="BN45" s="12">
        <f t="shared" si="67"/>
        <v>0.63429072571804423</v>
      </c>
      <c r="BO45" s="12">
        <f t="shared" si="67"/>
        <v>0.63478447351490452</v>
      </c>
      <c r="BP45" s="12">
        <f t="shared" si="67"/>
        <v>0.63702825528551665</v>
      </c>
      <c r="BQ45" s="12">
        <f t="shared" si="67"/>
        <v>0.65034550839091809</v>
      </c>
      <c r="BR45" s="11">
        <f t="shared" si="67"/>
        <v>0.64037079076806658</v>
      </c>
      <c r="BS45" s="11">
        <f t="shared" si="67"/>
        <v>0.6310530361260569</v>
      </c>
      <c r="BT45" s="11">
        <f t="shared" ref="BT45" si="68">BT33/BT37</f>
        <v>0.62954796030871008</v>
      </c>
      <c r="BU45" s="57"/>
      <c r="BV45" s="57"/>
      <c r="CK45" s="12">
        <f t="shared" ref="CK45:CQ45" si="69">CK33/CK37</f>
        <v>0.56795528644620397</v>
      </c>
      <c r="CL45" s="12">
        <f t="shared" si="69"/>
        <v>0.55563401593866635</v>
      </c>
      <c r="CM45" s="12">
        <f t="shared" si="69"/>
        <v>0.58050134589502023</v>
      </c>
      <c r="CN45" s="12">
        <f t="shared" si="69"/>
        <v>0.60179782368711565</v>
      </c>
      <c r="CO45" s="12">
        <f t="shared" si="69"/>
        <v>0.5916432584269663</v>
      </c>
      <c r="CP45" s="12">
        <f t="shared" si="69"/>
        <v>0.60966143189825039</v>
      </c>
      <c r="CQ45" s="12">
        <f t="shared" si="69"/>
        <v>0.64074719800747193</v>
      </c>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row>
    <row r="46" spans="2:146" s="4" customFormat="1">
      <c r="B46" s="4" t="s">
        <v>115</v>
      </c>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12">
        <f t="shared" ref="AU46:BS46" si="70">AU34/AU37</f>
        <v>0.21706645694062132</v>
      </c>
      <c r="AV46" s="12">
        <f t="shared" si="70"/>
        <v>0.20768846729905141</v>
      </c>
      <c r="AW46" s="12">
        <f t="shared" si="70"/>
        <v>0.20308386611508086</v>
      </c>
      <c r="AX46" s="12">
        <f t="shared" si="70"/>
        <v>0.21750369276218612</v>
      </c>
      <c r="AY46" s="12">
        <f t="shared" si="70"/>
        <v>0.21947674418604651</v>
      </c>
      <c r="AZ46" s="12">
        <f t="shared" si="70"/>
        <v>0.21514462138446538</v>
      </c>
      <c r="BA46" s="12">
        <f t="shared" si="70"/>
        <v>0.20122783083219645</v>
      </c>
      <c r="BB46" s="12">
        <f t="shared" si="70"/>
        <v>0.21170450911416694</v>
      </c>
      <c r="BC46" s="12">
        <f t="shared" si="70"/>
        <v>0.2062128222075347</v>
      </c>
      <c r="BD46" s="12">
        <f t="shared" si="70"/>
        <v>0.20345252774352651</v>
      </c>
      <c r="BE46" s="12">
        <f t="shared" si="70"/>
        <v>0.18454258675078863</v>
      </c>
      <c r="BF46" s="12">
        <f t="shared" si="70"/>
        <v>0.20265268352868598</v>
      </c>
      <c r="BG46" s="12">
        <f t="shared" si="70"/>
        <v>0.21009147241074064</v>
      </c>
      <c r="BH46" s="12">
        <f t="shared" si="70"/>
        <v>0.20088913587107529</v>
      </c>
      <c r="BI46" s="12">
        <f t="shared" si="70"/>
        <v>0.19024666855684719</v>
      </c>
      <c r="BJ46" s="12">
        <f t="shared" si="70"/>
        <v>0.20134228187919462</v>
      </c>
      <c r="BK46" s="12">
        <f t="shared" si="70"/>
        <v>0.20819289603318641</v>
      </c>
      <c r="BL46" s="12">
        <f t="shared" si="70"/>
        <v>0.19951456310679611</v>
      </c>
      <c r="BM46" s="12">
        <f t="shared" si="70"/>
        <v>0.18365407460204325</v>
      </c>
      <c r="BN46" s="12">
        <f t="shared" si="70"/>
        <v>0.18197763648322737</v>
      </c>
      <c r="BO46" s="12">
        <f t="shared" si="70"/>
        <v>0.18142826506540854</v>
      </c>
      <c r="BP46" s="12">
        <f t="shared" si="70"/>
        <v>0.17348350128433115</v>
      </c>
      <c r="BQ46" s="12">
        <f t="shared" si="70"/>
        <v>0.15656465942744324</v>
      </c>
      <c r="BR46" s="11">
        <f t="shared" si="70"/>
        <v>0.17650397275822929</v>
      </c>
      <c r="BS46" s="11">
        <f t="shared" si="70"/>
        <v>0.17909300538047657</v>
      </c>
      <c r="BT46" s="11">
        <f t="shared" ref="BT46" si="71">BT34/BT37</f>
        <v>0.17126056596839398</v>
      </c>
      <c r="BU46" s="57"/>
      <c r="BV46" s="57"/>
      <c r="CK46" s="12">
        <f t="shared" ref="CK46:CQ46" si="72">CK34/CK37</f>
        <v>0.21089892873777363</v>
      </c>
      <c r="CL46" s="12">
        <f t="shared" si="72"/>
        <v>0.211540401492989</v>
      </c>
      <c r="CM46" s="12">
        <f t="shared" si="72"/>
        <v>0.21181022880215344</v>
      </c>
      <c r="CN46" s="12">
        <f t="shared" si="72"/>
        <v>0.19917994007254378</v>
      </c>
      <c r="CO46" s="12">
        <f t="shared" si="72"/>
        <v>0.200561797752809</v>
      </c>
      <c r="CP46" s="12">
        <f t="shared" si="72"/>
        <v>0.19275094046694929</v>
      </c>
      <c r="CQ46" s="12">
        <f t="shared" si="72"/>
        <v>0.17185554171855541</v>
      </c>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row>
    <row r="47" spans="2:146" s="4" customFormat="1">
      <c r="B47" s="4" t="s">
        <v>116</v>
      </c>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12">
        <f t="shared" ref="AU47:BS47" si="73">AU35/AU37</f>
        <v>0.16083366103027918</v>
      </c>
      <c r="AV47" s="12">
        <f t="shared" si="73"/>
        <v>0.20469296055916125</v>
      </c>
      <c r="AW47" s="12">
        <f t="shared" si="73"/>
        <v>0.17751034223392254</v>
      </c>
      <c r="AX47" s="12">
        <f t="shared" si="73"/>
        <v>0.18094534711964549</v>
      </c>
      <c r="AY47" s="12">
        <f t="shared" si="73"/>
        <v>0.171875</v>
      </c>
      <c r="AZ47" s="12">
        <f t="shared" si="73"/>
        <v>0.16899577510562236</v>
      </c>
      <c r="BA47" s="12">
        <f t="shared" si="73"/>
        <v>0.17633015006821282</v>
      </c>
      <c r="BB47" s="12">
        <f t="shared" si="73"/>
        <v>0.17908538535337384</v>
      </c>
      <c r="BC47" s="12">
        <f t="shared" si="73"/>
        <v>0.17085261070720423</v>
      </c>
      <c r="BD47" s="12">
        <f t="shared" si="73"/>
        <v>0.16337854500616522</v>
      </c>
      <c r="BE47" s="12">
        <f t="shared" si="73"/>
        <v>0.16782334384858044</v>
      </c>
      <c r="BF47" s="12">
        <f t="shared" si="73"/>
        <v>0.16563849475632325</v>
      </c>
      <c r="BG47" s="12">
        <f t="shared" si="73"/>
        <v>0.16169961640601949</v>
      </c>
      <c r="BH47" s="12">
        <f t="shared" si="73"/>
        <v>0.17393720477910532</v>
      </c>
      <c r="BI47" s="12">
        <f t="shared" si="73"/>
        <v>0.17323504394669692</v>
      </c>
      <c r="BJ47" s="12">
        <f t="shared" si="73"/>
        <v>0.1651006711409396</v>
      </c>
      <c r="BK47" s="12">
        <f t="shared" si="73"/>
        <v>0.16774695359087374</v>
      </c>
      <c r="BL47" s="12">
        <f t="shared" si="73"/>
        <v>0.16262135922330098</v>
      </c>
      <c r="BM47" s="12">
        <f t="shared" si="73"/>
        <v>0.16250890947968638</v>
      </c>
      <c r="BN47" s="12">
        <f t="shared" si="73"/>
        <v>0.15018636263977198</v>
      </c>
      <c r="BO47" s="12">
        <f t="shared" si="73"/>
        <v>0.15033240403173923</v>
      </c>
      <c r="BP47" s="12">
        <f t="shared" si="73"/>
        <v>0.15609563327405651</v>
      </c>
      <c r="BQ47" s="12">
        <f t="shared" si="73"/>
        <v>0.15853899308983219</v>
      </c>
      <c r="BR47" s="11">
        <f t="shared" si="73"/>
        <v>0.14926220204313281</v>
      </c>
      <c r="BS47" s="11">
        <f t="shared" si="73"/>
        <v>0.15430438124519599</v>
      </c>
      <c r="BT47" s="11">
        <f t="shared" ref="BT47" si="74">BT35/BT37</f>
        <v>0.16133774347666299</v>
      </c>
      <c r="BU47" s="57"/>
      <c r="BV47" s="57"/>
      <c r="CK47" s="12">
        <f t="shared" ref="CK47:CQ47" si="75">CK35/CK37</f>
        <v>0.17680484396832791</v>
      </c>
      <c r="CL47" s="12">
        <f t="shared" si="75"/>
        <v>0.17966306869766974</v>
      </c>
      <c r="CM47" s="12">
        <f t="shared" si="75"/>
        <v>0.17412516823687751</v>
      </c>
      <c r="CN47" s="12">
        <f t="shared" si="75"/>
        <v>0.16685065447090364</v>
      </c>
      <c r="CO47" s="12">
        <f t="shared" si="75"/>
        <v>0.16853932584269662</v>
      </c>
      <c r="CP47" s="12">
        <f t="shared" si="75"/>
        <v>0.16038693497342807</v>
      </c>
      <c r="CQ47" s="12">
        <f t="shared" si="75"/>
        <v>0.15357409713574097</v>
      </c>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row>
    <row r="48" spans="2:146" s="4" customFormat="1">
      <c r="B48" s="4" t="s">
        <v>117</v>
      </c>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12">
        <f t="shared" ref="AU48:BS48" si="76">AU36/AU37</f>
        <v>3.4998033818324815E-2</v>
      </c>
      <c r="AV48" s="12">
        <f t="shared" si="76"/>
        <v>2.5461807289066399E-2</v>
      </c>
      <c r="AW48" s="12">
        <f t="shared" si="76"/>
        <v>2.8958254983076345E-2</v>
      </c>
      <c r="AX48" s="12">
        <f t="shared" si="76"/>
        <v>3.3234859675036928E-2</v>
      </c>
      <c r="AY48" s="12">
        <f t="shared" si="76"/>
        <v>3.0886627906976744E-2</v>
      </c>
      <c r="AZ48" s="12">
        <f t="shared" si="76"/>
        <v>3.0874228144296391E-2</v>
      </c>
      <c r="BA48" s="12">
        <f t="shared" si="76"/>
        <v>3.3765347885402454E-2</v>
      </c>
      <c r="BB48" s="12">
        <f t="shared" si="76"/>
        <v>3.4218100415733928E-2</v>
      </c>
      <c r="BC48" s="12">
        <f t="shared" si="76"/>
        <v>3.5360211500330467E-2</v>
      </c>
      <c r="BD48" s="12">
        <f t="shared" si="76"/>
        <v>3.6991368680641186E-2</v>
      </c>
      <c r="BE48" s="12">
        <f t="shared" si="76"/>
        <v>3.7539432176656153E-2</v>
      </c>
      <c r="BF48" s="12">
        <f t="shared" si="76"/>
        <v>3.7939543491671807E-2</v>
      </c>
      <c r="BG48" s="12">
        <f t="shared" si="76"/>
        <v>3.7179108881676012E-2</v>
      </c>
      <c r="BH48" s="12">
        <f t="shared" si="76"/>
        <v>3.8899694359544316E-2</v>
      </c>
      <c r="BI48" s="12">
        <f t="shared" si="76"/>
        <v>4.139495321803232E-2</v>
      </c>
      <c r="BJ48" s="12">
        <f t="shared" si="76"/>
        <v>3.9463087248322148E-2</v>
      </c>
      <c r="BK48" s="12">
        <f t="shared" si="76"/>
        <v>3.8631060409644799E-2</v>
      </c>
      <c r="BL48" s="12">
        <f t="shared" si="76"/>
        <v>3.9320388349514561E-2</v>
      </c>
      <c r="BM48" s="12">
        <f t="shared" si="76"/>
        <v>3.7776193870277974E-2</v>
      </c>
      <c r="BN48" s="12">
        <f t="shared" si="76"/>
        <v>3.3545275158956368E-2</v>
      </c>
      <c r="BO48" s="12">
        <f t="shared" si="76"/>
        <v>3.3454857387947672E-2</v>
      </c>
      <c r="BP48" s="12">
        <f t="shared" si="76"/>
        <v>3.3392610156095633E-2</v>
      </c>
      <c r="BQ48" s="12">
        <f t="shared" si="76"/>
        <v>3.4550839091806514E-2</v>
      </c>
      <c r="BR48" s="11">
        <f t="shared" si="76"/>
        <v>3.3863034430571322E-2</v>
      </c>
      <c r="BS48" s="11">
        <f t="shared" si="76"/>
        <v>3.5549577248270563E-2</v>
      </c>
      <c r="BT48" s="11">
        <f t="shared" ref="BT48" si="77">BT36/BT37</f>
        <v>3.7853730246233001E-2</v>
      </c>
      <c r="BU48" s="57"/>
      <c r="BV48" s="57"/>
      <c r="CK48" s="12">
        <f t="shared" ref="CK48:CQ48" si="78">CK36/CK37</f>
        <v>3.67955286446204E-2</v>
      </c>
      <c r="CL48" s="12">
        <f t="shared" si="78"/>
        <v>3.0969434076465248E-2</v>
      </c>
      <c r="CM48" s="12">
        <f t="shared" si="78"/>
        <v>3.2469717362045764E-2</v>
      </c>
      <c r="CN48" s="12">
        <f t="shared" si="78"/>
        <v>3.6981548651632237E-2</v>
      </c>
      <c r="CO48" s="12">
        <f t="shared" si="78"/>
        <v>3.9255617977528093E-2</v>
      </c>
      <c r="CP48" s="12">
        <f t="shared" si="78"/>
        <v>3.7200692661372187E-2</v>
      </c>
      <c r="CQ48" s="12">
        <f t="shared" si="78"/>
        <v>3.3823163138231631E-2</v>
      </c>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row>
    <row r="49" spans="2:146" s="4" customFormat="1">
      <c r="B49" s="4" t="s">
        <v>7</v>
      </c>
      <c r="BR49" s="1"/>
      <c r="BS49" s="1"/>
      <c r="BT49" s="1"/>
      <c r="BU49" s="57"/>
      <c r="BV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row>
    <row r="50" spans="2:146" s="5" customFormat="1" ht="15">
      <c r="B50" s="5" t="s">
        <v>81</v>
      </c>
      <c r="C50" s="5">
        <v>2010</v>
      </c>
      <c r="D50" s="5">
        <v>2074</v>
      </c>
      <c r="E50" s="5">
        <v>2025</v>
      </c>
      <c r="F50" s="5">
        <v>2079</v>
      </c>
      <c r="G50" s="5">
        <v>1960</v>
      </c>
      <c r="H50" s="5">
        <v>1928</v>
      </c>
      <c r="I50" s="5">
        <v>1916</v>
      </c>
      <c r="J50" s="5">
        <v>2002</v>
      </c>
      <c r="K50" s="5">
        <v>1925</v>
      </c>
      <c r="L50" s="5">
        <v>1975</v>
      </c>
      <c r="M50" s="5">
        <v>1874</v>
      </c>
      <c r="N50" s="5">
        <v>1848</v>
      </c>
      <c r="O50" s="5">
        <v>1866</v>
      </c>
      <c r="P50" s="5">
        <v>1828</v>
      </c>
      <c r="Q50" s="5">
        <v>1735</v>
      </c>
      <c r="R50" s="5">
        <v>1820</v>
      </c>
      <c r="S50" s="5">
        <v>1761</v>
      </c>
      <c r="T50" s="5">
        <v>1809</v>
      </c>
      <c r="U50" s="5">
        <v>1735</v>
      </c>
      <c r="V50" s="5">
        <v>1838</v>
      </c>
      <c r="W50" s="5">
        <v>1774</v>
      </c>
      <c r="X50" s="5">
        <v>1873</v>
      </c>
      <c r="Y50" s="5">
        <v>1846</v>
      </c>
      <c r="Z50" s="5">
        <v>1887</v>
      </c>
      <c r="AA50" s="5">
        <v>1768</v>
      </c>
      <c r="AB50" s="5">
        <v>1843</v>
      </c>
      <c r="AC50" s="5">
        <v>1888</v>
      </c>
      <c r="AD50" s="5">
        <v>1978</v>
      </c>
      <c r="AE50" s="5">
        <v>1964</v>
      </c>
      <c r="AF50" s="5">
        <v>2126</v>
      </c>
      <c r="AG50" s="5">
        <v>2105</v>
      </c>
      <c r="AH50" s="5">
        <v>2191</v>
      </c>
      <c r="AI50" s="5">
        <v>2160</v>
      </c>
      <c r="AJ50" s="5">
        <v>2257</v>
      </c>
      <c r="AK50" s="5">
        <v>2222</v>
      </c>
      <c r="AL50" s="5">
        <v>2409</v>
      </c>
      <c r="AM50" s="5">
        <v>2379</v>
      </c>
      <c r="AN50" s="5">
        <v>2490</v>
      </c>
      <c r="AO50" s="5">
        <v>2393</v>
      </c>
      <c r="AP50" s="5">
        <v>2561</v>
      </c>
      <c r="AQ50" s="5">
        <v>2493</v>
      </c>
      <c r="AR50" s="5">
        <v>2631</v>
      </c>
      <c r="AS50" s="5">
        <v>2707</v>
      </c>
      <c r="AT50" s="5">
        <v>2904</v>
      </c>
      <c r="AU50" s="5">
        <f t="shared" ref="AU50:BS50" si="79">AU37</f>
        <v>2543</v>
      </c>
      <c r="AV50" s="5">
        <f t="shared" si="79"/>
        <v>2003</v>
      </c>
      <c r="AW50" s="5">
        <f t="shared" si="79"/>
        <v>2659</v>
      </c>
      <c r="AX50" s="5">
        <f t="shared" si="79"/>
        <v>2708</v>
      </c>
      <c r="AY50" s="5">
        <f t="shared" si="79"/>
        <v>2752</v>
      </c>
      <c r="AZ50" s="5">
        <f t="shared" si="79"/>
        <v>3077</v>
      </c>
      <c r="BA50" s="5">
        <f t="shared" si="79"/>
        <v>2932</v>
      </c>
      <c r="BB50" s="5">
        <f t="shared" si="79"/>
        <v>3127</v>
      </c>
      <c r="BC50" s="5">
        <f t="shared" si="79"/>
        <v>3026</v>
      </c>
      <c r="BD50" s="5">
        <f t="shared" si="79"/>
        <v>3244</v>
      </c>
      <c r="BE50" s="5">
        <f t="shared" si="79"/>
        <v>3170</v>
      </c>
      <c r="BF50" s="5">
        <f t="shared" si="79"/>
        <v>3242</v>
      </c>
      <c r="BG50" s="5">
        <f t="shared" si="79"/>
        <v>3389</v>
      </c>
      <c r="BH50" s="5">
        <f t="shared" si="79"/>
        <v>3599</v>
      </c>
      <c r="BI50" s="5">
        <f t="shared" si="79"/>
        <v>3527</v>
      </c>
      <c r="BJ50" s="5">
        <f t="shared" si="79"/>
        <v>3725</v>
      </c>
      <c r="BK50" s="5">
        <f t="shared" si="79"/>
        <v>3857</v>
      </c>
      <c r="BL50" s="5">
        <f t="shared" si="79"/>
        <v>4120</v>
      </c>
      <c r="BM50" s="5">
        <f t="shared" si="79"/>
        <v>4209</v>
      </c>
      <c r="BN50" s="5">
        <f t="shared" si="79"/>
        <v>4561</v>
      </c>
      <c r="BO50" s="5">
        <f t="shared" si="79"/>
        <v>4663</v>
      </c>
      <c r="BP50" s="5">
        <f t="shared" si="79"/>
        <v>5061</v>
      </c>
      <c r="BQ50" s="5">
        <f t="shared" si="79"/>
        <v>5065</v>
      </c>
      <c r="BR50" s="3">
        <f t="shared" si="79"/>
        <v>5286</v>
      </c>
      <c r="BS50" s="3">
        <f t="shared" si="79"/>
        <v>5204</v>
      </c>
      <c r="BT50" s="3">
        <f t="shared" ref="BT50" si="80">BT37</f>
        <v>5442</v>
      </c>
      <c r="BU50" s="58"/>
      <c r="BV50" s="58"/>
      <c r="CA50" s="5">
        <f>SUM(C50:F50)</f>
        <v>8188</v>
      </c>
      <c r="CB50" s="5">
        <f>SUM(G50:J50)</f>
        <v>7806</v>
      </c>
      <c r="CC50" s="5">
        <f>SUM(K50:N50)</f>
        <v>7622</v>
      </c>
      <c r="CD50" s="5">
        <f>SUM(O50:R50)</f>
        <v>7249</v>
      </c>
      <c r="CE50" s="5">
        <f>SUM(S50:V50)</f>
        <v>7143</v>
      </c>
      <c r="CF50" s="5">
        <f>SUM(W50:Z50)</f>
        <v>7380</v>
      </c>
      <c r="CG50" s="5">
        <f>SUM(AA50:AD50)</f>
        <v>7477</v>
      </c>
      <c r="CH50" s="5">
        <f>SUM(AE50:AH50)</f>
        <v>8386</v>
      </c>
      <c r="CI50" s="5">
        <f>SUM(AI50:AL50)</f>
        <v>9048</v>
      </c>
      <c r="CJ50" s="5">
        <f>SUM(AM50:AP50)</f>
        <v>9823</v>
      </c>
      <c r="CK50" s="5">
        <f>SUM(AQ50:AT50)</f>
        <v>10735</v>
      </c>
      <c r="CL50" s="5">
        <f t="shared" ref="CL50:CL70" si="81">SUM(AU50:AX50)</f>
        <v>9913</v>
      </c>
      <c r="CM50" s="5">
        <f t="shared" ref="CM50:CM70" si="82">SUM(AY50:BB50)</f>
        <v>11888</v>
      </c>
      <c r="CN50" s="5">
        <f t="shared" ref="CN50:CN70" si="83">SUM(BC50:BF50)</f>
        <v>12682</v>
      </c>
      <c r="CO50" s="5">
        <f t="shared" ref="CO50:CO70" si="84">SUM(BG50:BJ50)</f>
        <v>14240</v>
      </c>
      <c r="CP50" s="5">
        <f t="shared" ref="CP50:CP70" si="85">SUM(BK50:BN50)</f>
        <v>16747</v>
      </c>
      <c r="CQ50" s="5">
        <f t="shared" ref="CQ50:CQ72" si="86">SUM(BO50:BR50)</f>
        <v>20075</v>
      </c>
      <c r="CR50" s="59">
        <f t="shared" ref="CR50:DA50" si="87">CR15</f>
        <v>21697.690000000002</v>
      </c>
      <c r="CS50" s="59">
        <f t="shared" si="87"/>
        <v>23010.069675000002</v>
      </c>
      <c r="CT50" s="59">
        <f t="shared" si="87"/>
        <v>25000.250327700003</v>
      </c>
      <c r="CU50" s="59">
        <f t="shared" si="87"/>
        <v>26902.536054635399</v>
      </c>
      <c r="CV50" s="59">
        <f t="shared" si="87"/>
        <v>28739.534754881774</v>
      </c>
      <c r="CW50" s="59">
        <f t="shared" si="87"/>
        <v>30498.692708164675</v>
      </c>
      <c r="CX50" s="59">
        <f t="shared" si="87"/>
        <v>32163.465921874638</v>
      </c>
      <c r="CY50" s="59">
        <f t="shared" si="87"/>
        <v>33713.767558595384</v>
      </c>
      <c r="CZ50" s="59">
        <f t="shared" si="87"/>
        <v>35148.404618386943</v>
      </c>
      <c r="DA50" s="59">
        <f t="shared" si="87"/>
        <v>36399.627522670875</v>
      </c>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row>
    <row r="51" spans="2:146" s="4" customFormat="1">
      <c r="B51" s="4" t="s">
        <v>22</v>
      </c>
      <c r="C51" s="4">
        <v>607</v>
      </c>
      <c r="D51" s="4">
        <v>630</v>
      </c>
      <c r="E51" s="4">
        <v>629</v>
      </c>
      <c r="F51" s="4">
        <v>710</v>
      </c>
      <c r="G51" s="4">
        <v>663</v>
      </c>
      <c r="H51" s="4">
        <v>654</v>
      </c>
      <c r="I51" s="4">
        <v>623</v>
      </c>
      <c r="J51" s="4">
        <v>659</v>
      </c>
      <c r="K51" s="4">
        <v>631</v>
      </c>
      <c r="L51" s="4">
        <v>688</v>
      </c>
      <c r="M51" s="4">
        <v>680</v>
      </c>
      <c r="N51" s="4">
        <v>660</v>
      </c>
      <c r="O51" s="4">
        <v>631</v>
      </c>
      <c r="P51" s="4">
        <v>578</v>
      </c>
      <c r="Q51" s="4">
        <v>558</v>
      </c>
      <c r="R51" s="4">
        <v>582</v>
      </c>
      <c r="S51" s="4">
        <v>578</v>
      </c>
      <c r="T51" s="4">
        <v>530</v>
      </c>
      <c r="U51" s="4">
        <v>510</v>
      </c>
      <c r="V51" s="4">
        <v>556</v>
      </c>
      <c r="W51" s="4">
        <v>537</v>
      </c>
      <c r="X51" s="4">
        <v>563</v>
      </c>
      <c r="Y51" s="4">
        <v>550</v>
      </c>
      <c r="Z51" s="4">
        <v>560</v>
      </c>
      <c r="AA51" s="4">
        <v>520</v>
      </c>
      <c r="AB51" s="4">
        <v>540</v>
      </c>
      <c r="AC51" s="4">
        <v>539</v>
      </c>
      <c r="AD51" s="4">
        <v>574</v>
      </c>
      <c r="AE51" s="4">
        <v>573</v>
      </c>
      <c r="AF51" s="4">
        <v>639</v>
      </c>
      <c r="AG51" s="4">
        <v>594</v>
      </c>
      <c r="AH51" s="4">
        <v>618</v>
      </c>
      <c r="AI51" s="4">
        <v>650</v>
      </c>
      <c r="AJ51" s="4">
        <v>632</v>
      </c>
      <c r="AK51" s="4">
        <v>637</v>
      </c>
      <c r="AL51" s="4">
        <v>674</v>
      </c>
      <c r="AM51" s="4">
        <v>672</v>
      </c>
      <c r="AN51" s="4">
        <v>739</v>
      </c>
      <c r="AO51" s="4">
        <v>672</v>
      </c>
      <c r="AP51" s="4">
        <v>730</v>
      </c>
      <c r="AQ51" s="4">
        <v>730</v>
      </c>
      <c r="AR51" s="4">
        <v>758</v>
      </c>
      <c r="AS51" s="4">
        <v>777</v>
      </c>
      <c r="AT51" s="4">
        <v>851</v>
      </c>
      <c r="AU51" s="4">
        <v>806</v>
      </c>
      <c r="AV51" s="4">
        <v>791</v>
      </c>
      <c r="AW51" s="4">
        <v>869</v>
      </c>
      <c r="AX51" s="1">
        <f>3465-SUM(AU51:AW51)</f>
        <v>999</v>
      </c>
      <c r="AY51" s="4">
        <v>894</v>
      </c>
      <c r="AZ51" s="4">
        <v>945</v>
      </c>
      <c r="BA51" s="4">
        <v>900</v>
      </c>
      <c r="BB51" s="1">
        <f>3711-SUM(AY51:BA51)</f>
        <v>972</v>
      </c>
      <c r="BC51" s="4">
        <v>955</v>
      </c>
      <c r="BD51" s="4">
        <v>1011</v>
      </c>
      <c r="BE51" s="4">
        <v>979</v>
      </c>
      <c r="BF51" s="1">
        <f>3956-SUM(BC51:BE51)</f>
        <v>1011</v>
      </c>
      <c r="BG51" s="4">
        <v>1040</v>
      </c>
      <c r="BH51" s="4">
        <v>1058</v>
      </c>
      <c r="BI51" s="4">
        <v>1101</v>
      </c>
      <c r="BJ51" s="1">
        <f>4345-SUM(BG51:BI51)</f>
        <v>1146</v>
      </c>
      <c r="BK51" s="4">
        <v>1209</v>
      </c>
      <c r="BL51" s="4">
        <v>1270</v>
      </c>
      <c r="BM51" s="4">
        <v>1312</v>
      </c>
      <c r="BN51" s="1">
        <f>5257-SUM(BK51:BM51)</f>
        <v>1466</v>
      </c>
      <c r="BO51" s="4">
        <v>1453</v>
      </c>
      <c r="BP51" s="4">
        <v>1637</v>
      </c>
      <c r="BQ51" s="4">
        <v>1523</v>
      </c>
      <c r="BR51" s="1">
        <v>1608</v>
      </c>
      <c r="BS51" s="1">
        <v>1590</v>
      </c>
      <c r="BT51" s="1">
        <v>1594</v>
      </c>
      <c r="BU51" s="57"/>
      <c r="BV51" s="57"/>
      <c r="CA51" s="4">
        <f>SUM(C51:F51)</f>
        <v>2576</v>
      </c>
      <c r="CB51" s="4">
        <f>SUM(G51:J51)</f>
        <v>2599</v>
      </c>
      <c r="CC51" s="4">
        <f>SUM(K51:N51)</f>
        <v>2659</v>
      </c>
      <c r="CD51" s="4">
        <f>SUM(O51:R51)</f>
        <v>2349</v>
      </c>
      <c r="CE51" s="4">
        <f>SUM(S51:V51)</f>
        <v>2174</v>
      </c>
      <c r="CF51" s="4">
        <f>SUM(W51:Z51)</f>
        <v>2210</v>
      </c>
      <c r="CG51" s="4">
        <f>SUM(AA51:AD51)</f>
        <v>2173</v>
      </c>
      <c r="CH51" s="4">
        <f>SUM(AE51:AH51)</f>
        <v>2424</v>
      </c>
      <c r="CI51" s="4">
        <f>SUM(AI51:AL51)</f>
        <v>2593</v>
      </c>
      <c r="CJ51" s="4">
        <f>SUM(AM51:AP51)</f>
        <v>2813</v>
      </c>
      <c r="CK51" s="4">
        <f>SUM(AQ51:AT51)</f>
        <v>3116</v>
      </c>
      <c r="CL51" s="4">
        <f t="shared" si="81"/>
        <v>3465</v>
      </c>
      <c r="CM51" s="4">
        <f t="shared" si="82"/>
        <v>3711</v>
      </c>
      <c r="CN51" s="4">
        <f t="shared" si="83"/>
        <v>3956</v>
      </c>
      <c r="CO51" s="4">
        <f t="shared" si="84"/>
        <v>4345</v>
      </c>
      <c r="CP51" s="4">
        <f t="shared" si="85"/>
        <v>5257</v>
      </c>
      <c r="CQ51" s="4">
        <f>SUM(BO51:BR51)</f>
        <v>6221</v>
      </c>
      <c r="CR51" s="37">
        <f t="shared" ref="CR51:DA51" si="88">CR50*(1-CR74)</f>
        <v>6726.2839000000022</v>
      </c>
      <c r="CS51" s="37">
        <f t="shared" si="88"/>
        <v>7018.0712508750021</v>
      </c>
      <c r="CT51" s="37">
        <f t="shared" si="88"/>
        <v>7550.0755989654017</v>
      </c>
      <c r="CU51" s="37">
        <f t="shared" si="88"/>
        <v>8070.7608163906207</v>
      </c>
      <c r="CV51" s="37">
        <f t="shared" si="88"/>
        <v>8550.011589577327</v>
      </c>
      <c r="CW51" s="37">
        <f t="shared" si="88"/>
        <v>8997.1143489085807</v>
      </c>
      <c r="CX51" s="37">
        <f t="shared" si="88"/>
        <v>9407.8137821483306</v>
      </c>
      <c r="CY51" s="37">
        <f t="shared" si="88"/>
        <v>9776.9925919926627</v>
      </c>
      <c r="CZ51" s="37">
        <f t="shared" si="88"/>
        <v>10193.037339332215</v>
      </c>
      <c r="DA51" s="37">
        <f t="shared" si="88"/>
        <v>10555.891981574556</v>
      </c>
      <c r="DB51" s="57"/>
      <c r="DC51" s="57"/>
      <c r="DD51" s="57"/>
      <c r="DE51" s="57"/>
      <c r="DF51" s="57"/>
      <c r="DG51" s="57"/>
      <c r="DH51" s="57"/>
      <c r="DI51" s="57"/>
      <c r="DJ51" s="57"/>
      <c r="DK51" s="57"/>
      <c r="DL51" s="57"/>
      <c r="DM51" s="57"/>
      <c r="DN51" s="57"/>
      <c r="DO51" s="57"/>
      <c r="DP51" s="57"/>
      <c r="DQ51" s="57"/>
      <c r="DR51" s="57"/>
      <c r="DS51" s="57"/>
      <c r="DT51" s="57"/>
      <c r="DU51" s="57"/>
      <c r="DV51" s="57"/>
      <c r="DW51" s="57"/>
      <c r="DX51" s="57"/>
      <c r="DY51" s="57"/>
      <c r="DZ51" s="57"/>
      <c r="EA51" s="57"/>
      <c r="EB51" s="57"/>
      <c r="EC51" s="57"/>
      <c r="ED51" s="57"/>
      <c r="EE51" s="57"/>
      <c r="EF51" s="57"/>
      <c r="EG51" s="57"/>
      <c r="EH51" s="57"/>
      <c r="EI51" s="57"/>
      <c r="EJ51" s="57"/>
      <c r="EK51" s="57"/>
      <c r="EL51" s="57"/>
      <c r="EM51" s="57"/>
      <c r="EN51" s="57"/>
      <c r="EO51" s="57"/>
      <c r="EP51" s="57"/>
    </row>
    <row r="52" spans="2:146" s="4" customFormat="1">
      <c r="B52" s="4" t="s">
        <v>96</v>
      </c>
      <c r="C52" s="4">
        <f t="shared" ref="C52:BM52" si="89">C50-C51</f>
        <v>1403</v>
      </c>
      <c r="D52" s="4">
        <f t="shared" si="89"/>
        <v>1444</v>
      </c>
      <c r="E52" s="4">
        <f t="shared" si="89"/>
        <v>1396</v>
      </c>
      <c r="F52" s="4">
        <f t="shared" si="89"/>
        <v>1369</v>
      </c>
      <c r="G52" s="4">
        <f t="shared" si="89"/>
        <v>1297</v>
      </c>
      <c r="H52" s="4">
        <f t="shared" si="89"/>
        <v>1274</v>
      </c>
      <c r="I52" s="4">
        <f t="shared" si="89"/>
        <v>1293</v>
      </c>
      <c r="J52" s="4">
        <f t="shared" si="89"/>
        <v>1343</v>
      </c>
      <c r="K52" s="4">
        <f t="shared" si="89"/>
        <v>1294</v>
      </c>
      <c r="L52" s="4">
        <f t="shared" si="89"/>
        <v>1287</v>
      </c>
      <c r="M52" s="4">
        <f t="shared" si="89"/>
        <v>1194</v>
      </c>
      <c r="N52" s="4">
        <f t="shared" si="89"/>
        <v>1188</v>
      </c>
      <c r="O52" s="4">
        <f t="shared" si="89"/>
        <v>1235</v>
      </c>
      <c r="P52" s="4">
        <f t="shared" si="89"/>
        <v>1250</v>
      </c>
      <c r="Q52" s="4">
        <f t="shared" si="89"/>
        <v>1177</v>
      </c>
      <c r="R52" s="4">
        <f t="shared" si="89"/>
        <v>1238</v>
      </c>
      <c r="S52" s="4">
        <f t="shared" si="89"/>
        <v>1183</v>
      </c>
      <c r="T52" s="4">
        <f t="shared" si="89"/>
        <v>1279</v>
      </c>
      <c r="U52" s="4">
        <f t="shared" si="89"/>
        <v>1225</v>
      </c>
      <c r="V52" s="4">
        <f t="shared" si="89"/>
        <v>1282</v>
      </c>
      <c r="W52" s="4">
        <f t="shared" si="89"/>
        <v>1237</v>
      </c>
      <c r="X52" s="4">
        <f t="shared" si="89"/>
        <v>1310</v>
      </c>
      <c r="Y52" s="4">
        <f t="shared" si="89"/>
        <v>1296</v>
      </c>
      <c r="Z52" s="4">
        <f t="shared" si="89"/>
        <v>1327</v>
      </c>
      <c r="AA52" s="4">
        <f t="shared" si="89"/>
        <v>1248</v>
      </c>
      <c r="AB52" s="4">
        <f t="shared" si="89"/>
        <v>1303</v>
      </c>
      <c r="AC52" s="4">
        <f t="shared" si="89"/>
        <v>1349</v>
      </c>
      <c r="AD52" s="4">
        <f t="shared" si="89"/>
        <v>1404</v>
      </c>
      <c r="AE52" s="4">
        <f t="shared" si="89"/>
        <v>1391</v>
      </c>
      <c r="AF52" s="4">
        <f t="shared" si="89"/>
        <v>1487</v>
      </c>
      <c r="AG52" s="4">
        <f t="shared" si="89"/>
        <v>1511</v>
      </c>
      <c r="AH52" s="4">
        <f t="shared" si="89"/>
        <v>1573</v>
      </c>
      <c r="AI52" s="4">
        <f t="shared" si="89"/>
        <v>1510</v>
      </c>
      <c r="AJ52" s="4">
        <f t="shared" si="89"/>
        <v>1625</v>
      </c>
      <c r="AK52" s="4">
        <f t="shared" si="89"/>
        <v>1585</v>
      </c>
      <c r="AL52" s="4">
        <f t="shared" si="89"/>
        <v>1735</v>
      </c>
      <c r="AM52" s="4">
        <f t="shared" si="89"/>
        <v>1707</v>
      </c>
      <c r="AN52" s="4">
        <f t="shared" si="89"/>
        <v>1751</v>
      </c>
      <c r="AO52" s="4">
        <f t="shared" si="89"/>
        <v>1721</v>
      </c>
      <c r="AP52" s="4">
        <f t="shared" si="89"/>
        <v>1831</v>
      </c>
      <c r="AQ52" s="4">
        <f t="shared" si="89"/>
        <v>1763</v>
      </c>
      <c r="AR52" s="4">
        <f t="shared" si="89"/>
        <v>1873</v>
      </c>
      <c r="AS52" s="4">
        <f t="shared" si="89"/>
        <v>1930</v>
      </c>
      <c r="AT52" s="4">
        <f t="shared" si="89"/>
        <v>2053</v>
      </c>
      <c r="AU52" s="4">
        <f t="shared" si="89"/>
        <v>1737</v>
      </c>
      <c r="AV52" s="4">
        <f t="shared" si="89"/>
        <v>1212</v>
      </c>
      <c r="AW52" s="4">
        <f t="shared" si="89"/>
        <v>1790</v>
      </c>
      <c r="AX52" s="4">
        <f t="shared" si="89"/>
        <v>1709</v>
      </c>
      <c r="AY52" s="4">
        <f t="shared" si="89"/>
        <v>1858</v>
      </c>
      <c r="AZ52" s="4">
        <f t="shared" si="89"/>
        <v>2132</v>
      </c>
      <c r="BA52" s="4">
        <f t="shared" si="89"/>
        <v>2032</v>
      </c>
      <c r="BB52" s="4">
        <f t="shared" si="89"/>
        <v>2155</v>
      </c>
      <c r="BC52" s="4">
        <f t="shared" si="89"/>
        <v>2071</v>
      </c>
      <c r="BD52" s="4">
        <f t="shared" si="89"/>
        <v>2233</v>
      </c>
      <c r="BE52" s="4">
        <f t="shared" si="89"/>
        <v>2191</v>
      </c>
      <c r="BF52" s="4">
        <f t="shared" si="89"/>
        <v>2231</v>
      </c>
      <c r="BG52" s="4">
        <f t="shared" si="89"/>
        <v>2349</v>
      </c>
      <c r="BH52" s="4">
        <f t="shared" si="89"/>
        <v>2541</v>
      </c>
      <c r="BI52" s="4">
        <f t="shared" si="89"/>
        <v>2426</v>
      </c>
      <c r="BJ52" s="4">
        <f t="shared" si="89"/>
        <v>2579</v>
      </c>
      <c r="BK52" s="4">
        <f t="shared" si="89"/>
        <v>2648</v>
      </c>
      <c r="BL52" s="4">
        <f t="shared" si="89"/>
        <v>2850</v>
      </c>
      <c r="BM52" s="4">
        <f t="shared" si="89"/>
        <v>2897</v>
      </c>
      <c r="BN52" s="4">
        <f>BN50-BN51</f>
        <v>3095</v>
      </c>
      <c r="BO52" s="4">
        <f t="shared" ref="BO52:BS52" si="90">BO50-BO51</f>
        <v>3210</v>
      </c>
      <c r="BP52" s="4">
        <f t="shared" si="90"/>
        <v>3424</v>
      </c>
      <c r="BQ52" s="4">
        <f t="shared" si="90"/>
        <v>3542</v>
      </c>
      <c r="BR52" s="1">
        <f t="shared" si="90"/>
        <v>3678</v>
      </c>
      <c r="BS52" s="1">
        <f t="shared" si="90"/>
        <v>3614</v>
      </c>
      <c r="BT52" s="1">
        <f t="shared" ref="BT52" si="91">BT50-BT51</f>
        <v>3848</v>
      </c>
      <c r="BU52" s="57"/>
      <c r="BV52" s="57"/>
      <c r="CA52" s="4">
        <f>SUM(C52:F52)</f>
        <v>5612</v>
      </c>
      <c r="CB52" s="4">
        <f>SUM(G52:J52)</f>
        <v>5207</v>
      </c>
      <c r="CC52" s="4">
        <f>SUM(K52:N52)</f>
        <v>4963</v>
      </c>
      <c r="CD52" s="4">
        <f>SUM(O52:R52)</f>
        <v>4900</v>
      </c>
      <c r="CE52" s="4">
        <f>SUM(S52:V52)</f>
        <v>4969</v>
      </c>
      <c r="CF52" s="4">
        <f>SUM(W52:Z52)</f>
        <v>5170</v>
      </c>
      <c r="CG52" s="4">
        <f>SUM(AA52:AD52)</f>
        <v>5304</v>
      </c>
      <c r="CH52" s="4">
        <f>SUM(AE52:AH52)</f>
        <v>5962</v>
      </c>
      <c r="CI52" s="4">
        <f>SUM(AI52:AL52)</f>
        <v>6455</v>
      </c>
      <c r="CJ52" s="4">
        <f>SUM(AM52:AP52)</f>
        <v>7010</v>
      </c>
      <c r="CK52" s="4">
        <f>SUM(AQ52:AT52)</f>
        <v>7619</v>
      </c>
      <c r="CL52" s="4">
        <f t="shared" si="81"/>
        <v>6448</v>
      </c>
      <c r="CM52" s="4">
        <f t="shared" si="82"/>
        <v>8177</v>
      </c>
      <c r="CN52" s="4">
        <f t="shared" si="83"/>
        <v>8726</v>
      </c>
      <c r="CO52" s="4">
        <f t="shared" si="84"/>
        <v>9895</v>
      </c>
      <c r="CP52" s="4">
        <f t="shared" si="85"/>
        <v>11490</v>
      </c>
      <c r="CQ52" s="4">
        <f t="shared" si="86"/>
        <v>13854</v>
      </c>
      <c r="CR52" s="37">
        <f t="shared" ref="CR52:DA52" si="92">CR50-CR51</f>
        <v>14971.4061</v>
      </c>
      <c r="CS52" s="37">
        <f t="shared" si="92"/>
        <v>15991.998424125</v>
      </c>
      <c r="CT52" s="37">
        <f t="shared" si="92"/>
        <v>17450.174728734601</v>
      </c>
      <c r="CU52" s="37">
        <f t="shared" si="92"/>
        <v>18831.77523824478</v>
      </c>
      <c r="CV52" s="37">
        <f t="shared" si="92"/>
        <v>20189.523165304447</v>
      </c>
      <c r="CW52" s="37">
        <f t="shared" si="92"/>
        <v>21501.578359256095</v>
      </c>
      <c r="CX52" s="37">
        <f t="shared" si="92"/>
        <v>22755.652139726306</v>
      </c>
      <c r="CY52" s="37">
        <f t="shared" si="92"/>
        <v>23936.774966602723</v>
      </c>
      <c r="CZ52" s="37">
        <f t="shared" si="92"/>
        <v>24955.367279054728</v>
      </c>
      <c r="DA52" s="37">
        <f t="shared" si="92"/>
        <v>25843.735541096321</v>
      </c>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row>
    <row r="53" spans="2:146" s="4" customFormat="1">
      <c r="B53" s="4" t="s">
        <v>95</v>
      </c>
      <c r="C53" s="4">
        <v>651</v>
      </c>
      <c r="D53" s="4">
        <v>671</v>
      </c>
      <c r="E53" s="4">
        <v>665</v>
      </c>
      <c r="F53" s="4">
        <v>648</v>
      </c>
      <c r="G53" s="4">
        <v>628</v>
      </c>
      <c r="H53" s="4">
        <v>634</v>
      </c>
      <c r="I53" s="4">
        <v>634</v>
      </c>
      <c r="J53" s="4">
        <v>686</v>
      </c>
      <c r="K53" s="4">
        <v>602</v>
      </c>
      <c r="L53" s="4">
        <v>649</v>
      </c>
      <c r="M53" s="4">
        <v>635</v>
      </c>
      <c r="N53" s="4">
        <v>608</v>
      </c>
      <c r="O53" s="4">
        <v>669</v>
      </c>
      <c r="P53" s="4">
        <v>649</v>
      </c>
      <c r="Q53" s="4">
        <v>569</v>
      </c>
      <c r="R53" s="4">
        <v>642</v>
      </c>
      <c r="S53" s="4">
        <v>608</v>
      </c>
      <c r="T53" s="4">
        <v>661</v>
      </c>
      <c r="U53" s="4">
        <v>658</v>
      </c>
      <c r="V53" s="4">
        <v>751</v>
      </c>
      <c r="W53" s="4">
        <v>666</v>
      </c>
      <c r="X53" s="4">
        <v>743</v>
      </c>
      <c r="Y53" s="4">
        <v>741</v>
      </c>
      <c r="Z53" s="4">
        <v>752</v>
      </c>
      <c r="AA53" s="4">
        <v>668</v>
      </c>
      <c r="AB53" s="4">
        <v>700</v>
      </c>
      <c r="AC53" s="4">
        <v>729</v>
      </c>
      <c r="AD53" s="4">
        <v>776</v>
      </c>
      <c r="AE53" s="4">
        <v>716</v>
      </c>
      <c r="AF53" s="4">
        <v>779</v>
      </c>
      <c r="AG53" s="4">
        <v>772</v>
      </c>
      <c r="AH53" s="4">
        <v>832</v>
      </c>
      <c r="AI53" s="4">
        <v>794</v>
      </c>
      <c r="AJ53" s="4">
        <v>815</v>
      </c>
      <c r="AK53" s="4">
        <v>800</v>
      </c>
      <c r="AL53" s="4">
        <v>885</v>
      </c>
      <c r="AM53" s="4">
        <v>860</v>
      </c>
      <c r="AN53" s="4">
        <v>886</v>
      </c>
      <c r="AO53" s="4">
        <v>870</v>
      </c>
      <c r="AP53" s="4">
        <v>953</v>
      </c>
      <c r="AQ53" s="4">
        <v>869</v>
      </c>
      <c r="AR53" s="4">
        <v>968</v>
      </c>
      <c r="AS53" s="4">
        <v>1012</v>
      </c>
      <c r="AT53" s="4">
        <v>1092</v>
      </c>
      <c r="AU53" s="4">
        <v>978</v>
      </c>
      <c r="AV53" s="4">
        <v>798</v>
      </c>
      <c r="AW53" s="4">
        <v>984</v>
      </c>
      <c r="AX53" s="1">
        <f>3787-SUM(AU53:AW53)</f>
        <v>1027</v>
      </c>
      <c r="AY53" s="4">
        <v>1019</v>
      </c>
      <c r="AZ53" s="4">
        <v>1121</v>
      </c>
      <c r="BA53" s="4">
        <v>1066</v>
      </c>
      <c r="BB53" s="1">
        <f>4359-SUM(AY53:BA53)</f>
        <v>1153</v>
      </c>
      <c r="BC53" s="4">
        <v>1060</v>
      </c>
      <c r="BD53" s="4">
        <v>1165</v>
      </c>
      <c r="BE53" s="4">
        <v>1132</v>
      </c>
      <c r="BF53" s="1">
        <f>4520-SUM(BC53:BE53)</f>
        <v>1163</v>
      </c>
      <c r="BG53" s="4">
        <v>1215</v>
      </c>
      <c r="BH53" s="4">
        <v>1354</v>
      </c>
      <c r="BI53" s="4">
        <v>1242</v>
      </c>
      <c r="BJ53" s="1">
        <f>5190-SUM(BG53:BI53)</f>
        <v>1379</v>
      </c>
      <c r="BK53" s="4">
        <v>1364</v>
      </c>
      <c r="BL53" s="4">
        <v>1446</v>
      </c>
      <c r="BM53" s="4">
        <v>1562</v>
      </c>
      <c r="BN53" s="1">
        <f>5984-SUM(BK53:BM53)</f>
        <v>1612</v>
      </c>
      <c r="BO53" s="4">
        <v>1597</v>
      </c>
      <c r="BP53" s="4">
        <v>1716</v>
      </c>
      <c r="BQ53" s="4">
        <v>1741</v>
      </c>
      <c r="BR53" s="1">
        <v>1834</v>
      </c>
      <c r="BS53" s="1">
        <v>1781</v>
      </c>
      <c r="BT53" s="1">
        <v>1803</v>
      </c>
      <c r="BU53" s="57"/>
      <c r="BV53" s="57"/>
      <c r="CA53" s="4">
        <f>SUM(C53:F53)</f>
        <v>2635</v>
      </c>
      <c r="CB53" s="4">
        <f>SUM(G53:J53)</f>
        <v>2582</v>
      </c>
      <c r="CC53" s="4">
        <f>SUM(K53:N53)</f>
        <v>2494</v>
      </c>
      <c r="CD53" s="4">
        <f>SUM(O53:R53)</f>
        <v>2529</v>
      </c>
      <c r="CE53" s="4">
        <f>SUM(S53:V53)</f>
        <v>2678</v>
      </c>
      <c r="CF53" s="4">
        <f>SUM(W53:Z53)</f>
        <v>2902</v>
      </c>
      <c r="CG53" s="4">
        <f>SUM(AA53:AD53)</f>
        <v>2873</v>
      </c>
      <c r="CH53" s="4">
        <f>SUM(AE53:AH53)</f>
        <v>3099</v>
      </c>
      <c r="CI53" s="4">
        <f>SUM(AI53:AL53)</f>
        <v>3294</v>
      </c>
      <c r="CJ53" s="4">
        <f>SUM(AM53:AP53)</f>
        <v>3569</v>
      </c>
      <c r="CK53" s="4">
        <f>SUM(AQ53:AT53)</f>
        <v>3941</v>
      </c>
      <c r="CL53" s="4">
        <f t="shared" si="81"/>
        <v>3787</v>
      </c>
      <c r="CM53" s="4">
        <f t="shared" si="82"/>
        <v>4359</v>
      </c>
      <c r="CN53" s="4">
        <f t="shared" si="83"/>
        <v>4520</v>
      </c>
      <c r="CO53" s="4">
        <f t="shared" si="84"/>
        <v>5190</v>
      </c>
      <c r="CP53" s="4">
        <f t="shared" si="85"/>
        <v>5984</v>
      </c>
      <c r="CQ53" s="4">
        <f t="shared" si="86"/>
        <v>6888</v>
      </c>
      <c r="CR53" s="37">
        <f t="shared" ref="CR53:DA53" si="93">CR50*CR75</f>
        <v>7572.4938099999999</v>
      </c>
      <c r="CS53" s="37">
        <f t="shared" si="93"/>
        <v>7984.4941772250004</v>
      </c>
      <c r="CT53" s="37">
        <f t="shared" si="93"/>
        <v>8650.086613384201</v>
      </c>
      <c r="CU53" s="37">
        <f t="shared" si="93"/>
        <v>9281.3749388492124</v>
      </c>
      <c r="CV53" s="37">
        <f t="shared" si="93"/>
        <v>9886.3999556793297</v>
      </c>
      <c r="CW53" s="37">
        <f t="shared" si="93"/>
        <v>10461.051598900485</v>
      </c>
      <c r="CX53" s="37">
        <f t="shared" si="93"/>
        <v>10999.905345281128</v>
      </c>
      <c r="CY53" s="37">
        <f t="shared" si="93"/>
        <v>11496.394737481027</v>
      </c>
      <c r="CZ53" s="37">
        <f t="shared" si="93"/>
        <v>11950.457570251561</v>
      </c>
      <c r="DA53" s="37">
        <f t="shared" si="93"/>
        <v>12375.873357708098</v>
      </c>
      <c r="DB53" s="57"/>
      <c r="DC53" s="57"/>
      <c r="DD53" s="57"/>
      <c r="DE53" s="57"/>
      <c r="DF53" s="57"/>
      <c r="DG53" s="57"/>
      <c r="DH53" s="57"/>
      <c r="DI53" s="57"/>
      <c r="DJ53" s="57"/>
      <c r="DK53" s="57"/>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row>
    <row r="54" spans="2:146" s="4" customFormat="1">
      <c r="B54" s="4" t="s">
        <v>92</v>
      </c>
      <c r="C54" s="4">
        <v>257</v>
      </c>
      <c r="D54" s="4">
        <v>280</v>
      </c>
      <c r="E54" s="4">
        <v>258</v>
      </c>
      <c r="F54" s="4">
        <v>261</v>
      </c>
      <c r="G54" s="4">
        <v>253</v>
      </c>
      <c r="H54" s="4">
        <v>232</v>
      </c>
      <c r="I54" s="4">
        <v>230</v>
      </c>
      <c r="J54" s="4">
        <v>224</v>
      </c>
      <c r="K54" s="4">
        <v>212</v>
      </c>
      <c r="L54" s="4">
        <v>223</v>
      </c>
      <c r="M54" s="4">
        <v>229</v>
      </c>
      <c r="N54" s="4">
        <v>231</v>
      </c>
      <c r="O54" s="4">
        <v>215</v>
      </c>
      <c r="P54" s="4">
        <v>213</v>
      </c>
      <c r="Q54" s="4">
        <v>220</v>
      </c>
      <c r="R54" s="4">
        <v>238</v>
      </c>
      <c r="S54" s="4">
        <v>204</v>
      </c>
      <c r="T54" s="4">
        <v>223</v>
      </c>
      <c r="U54" s="4">
        <v>217</v>
      </c>
      <c r="V54" s="4">
        <v>217</v>
      </c>
      <c r="W54" s="4">
        <v>191</v>
      </c>
      <c r="X54" s="4">
        <v>206</v>
      </c>
      <c r="Y54" s="4">
        <v>212</v>
      </c>
      <c r="Z54" s="4">
        <v>208</v>
      </c>
      <c r="AA54" s="4">
        <v>192</v>
      </c>
      <c r="AB54" s="4">
        <v>220</v>
      </c>
      <c r="AC54" s="4">
        <v>221</v>
      </c>
      <c r="AD54" s="4">
        <v>243</v>
      </c>
      <c r="AE54" s="4">
        <v>210</v>
      </c>
      <c r="AF54" s="4">
        <v>222</v>
      </c>
      <c r="AG54" s="4">
        <v>232</v>
      </c>
      <c r="AH54" s="4">
        <v>256</v>
      </c>
      <c r="AI54" s="4">
        <v>235</v>
      </c>
      <c r="AJ54" s="4">
        <v>244</v>
      </c>
      <c r="AK54" s="4">
        <v>254</v>
      </c>
      <c r="AL54" s="4">
        <v>264</v>
      </c>
      <c r="AM54" s="4">
        <v>261</v>
      </c>
      <c r="AN54" s="4">
        <v>275</v>
      </c>
      <c r="AO54" s="4">
        <v>289</v>
      </c>
      <c r="AP54" s="4">
        <v>288</v>
      </c>
      <c r="AQ54" s="4">
        <v>280</v>
      </c>
      <c r="AR54" s="4">
        <v>280</v>
      </c>
      <c r="AS54" s="4">
        <v>306</v>
      </c>
      <c r="AT54" s="4">
        <v>308</v>
      </c>
      <c r="AU54" s="4">
        <v>300</v>
      </c>
      <c r="AV54" s="4">
        <v>242</v>
      </c>
      <c r="AW54" s="4">
        <v>315</v>
      </c>
      <c r="AX54" s="1">
        <f>1143-SUM(AU54:AW54)</f>
        <v>286</v>
      </c>
      <c r="AY54" s="4">
        <v>276</v>
      </c>
      <c r="AZ54" s="4">
        <v>298</v>
      </c>
      <c r="BA54" s="4">
        <v>310</v>
      </c>
      <c r="BB54" s="1">
        <f>1204-SUM(AY54:BA54)</f>
        <v>320</v>
      </c>
      <c r="BC54" s="4">
        <v>319</v>
      </c>
      <c r="BD54" s="4">
        <v>335</v>
      </c>
      <c r="BE54" s="4">
        <v>339</v>
      </c>
      <c r="BF54" s="1">
        <f>1323-SUM(BC54:BE54)</f>
        <v>330</v>
      </c>
      <c r="BG54" s="4">
        <v>337</v>
      </c>
      <c r="BH54" s="4">
        <v>359</v>
      </c>
      <c r="BI54" s="4">
        <v>356</v>
      </c>
      <c r="BJ54" s="1">
        <f>1414-SUM(BG54:BI54)</f>
        <v>362</v>
      </c>
      <c r="BK54" s="4">
        <v>366</v>
      </c>
      <c r="BL54" s="4">
        <v>383</v>
      </c>
      <c r="BM54" s="4">
        <v>407</v>
      </c>
      <c r="BN54" s="1">
        <f>1615-SUM(BK54:BM54)</f>
        <v>459</v>
      </c>
      <c r="BO54" s="4">
        <v>443</v>
      </c>
      <c r="BP54" s="4">
        <v>526</v>
      </c>
      <c r="BQ54" s="4">
        <v>514</v>
      </c>
      <c r="BR54" s="1">
        <v>569</v>
      </c>
      <c r="BS54" s="1">
        <v>516</v>
      </c>
      <c r="BT54" s="1">
        <v>554</v>
      </c>
      <c r="BU54" s="57"/>
      <c r="BV54" s="57"/>
      <c r="CA54" s="4">
        <f>SUM(C54:F54)</f>
        <v>1056</v>
      </c>
      <c r="CB54" s="4">
        <f>SUM(G54:J54)</f>
        <v>939</v>
      </c>
      <c r="CC54" s="4">
        <f>SUM(K54:N54)</f>
        <v>895</v>
      </c>
      <c r="CD54" s="4">
        <f>SUM(O54:R54)</f>
        <v>886</v>
      </c>
      <c r="CE54" s="4">
        <f>SUM(S54:V54)</f>
        <v>861</v>
      </c>
      <c r="CF54" s="4">
        <f>SUM(W54:Z54)</f>
        <v>817</v>
      </c>
      <c r="CG54" s="4">
        <f>SUM(AA54:AD54)</f>
        <v>876</v>
      </c>
      <c r="CH54" s="4">
        <f>SUM(AE54:AH54)</f>
        <v>920</v>
      </c>
      <c r="CI54" s="4">
        <f>SUM(AI54:AL54)</f>
        <v>997</v>
      </c>
      <c r="CJ54" s="4">
        <f>SUM(AM54:AP54)</f>
        <v>1113</v>
      </c>
      <c r="CK54" s="4">
        <f>SUM(AQ54:AT54)</f>
        <v>1174</v>
      </c>
      <c r="CL54" s="4">
        <f t="shared" si="81"/>
        <v>1143</v>
      </c>
      <c r="CM54" s="4">
        <f t="shared" si="82"/>
        <v>1204</v>
      </c>
      <c r="CN54" s="4">
        <f t="shared" si="83"/>
        <v>1323</v>
      </c>
      <c r="CO54" s="4">
        <f t="shared" si="84"/>
        <v>1414</v>
      </c>
      <c r="CP54" s="4">
        <f t="shared" si="85"/>
        <v>1615</v>
      </c>
      <c r="CQ54" s="4">
        <f t="shared" si="86"/>
        <v>2052</v>
      </c>
      <c r="CR54" s="37">
        <f t="shared" ref="CR54:DA54" si="94">CR50*(CR76)</f>
        <v>2256.5597600000001</v>
      </c>
      <c r="CS54" s="37">
        <f t="shared" si="94"/>
        <v>2485.0875249000001</v>
      </c>
      <c r="CT54" s="37">
        <f t="shared" si="94"/>
        <v>2750.0275360470005</v>
      </c>
      <c r="CU54" s="37">
        <f t="shared" si="94"/>
        <v>3013.0840381191647</v>
      </c>
      <c r="CV54" s="37">
        <f t="shared" si="94"/>
        <v>3276.3069620565225</v>
      </c>
      <c r="CW54" s="37">
        <f t="shared" si="94"/>
        <v>3446.3522760226083</v>
      </c>
      <c r="CX54" s="37">
        <f t="shared" si="94"/>
        <v>3602.3081832499597</v>
      </c>
      <c r="CY54" s="37">
        <f t="shared" si="94"/>
        <v>3742.2281990040879</v>
      </c>
      <c r="CZ54" s="37">
        <f t="shared" si="94"/>
        <v>3866.3245080225638</v>
      </c>
      <c r="DA54" s="37">
        <f t="shared" si="94"/>
        <v>3967.5593999711255</v>
      </c>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row>
    <row r="55" spans="2:146" s="4" customFormat="1">
      <c r="B55" s="4" t="s">
        <v>93</v>
      </c>
      <c r="AU55" s="4">
        <v>12</v>
      </c>
      <c r="AV55" s="4">
        <v>8</v>
      </c>
      <c r="AW55" s="4">
        <v>12</v>
      </c>
      <c r="AX55" s="1">
        <f>45-SUM(AU55:AW55)</f>
        <v>13</v>
      </c>
      <c r="AY55" s="4">
        <v>12</v>
      </c>
      <c r="AZ55" s="4">
        <v>12</v>
      </c>
      <c r="BA55" s="4">
        <v>14</v>
      </c>
      <c r="BB55" s="1">
        <f>49-SUM(AY55:BA55)</f>
        <v>11</v>
      </c>
      <c r="BC55" s="4">
        <v>12</v>
      </c>
      <c r="BD55" s="4">
        <v>11</v>
      </c>
      <c r="BE55" s="4">
        <v>11</v>
      </c>
      <c r="BF55" s="1">
        <f>47-SUM(BC55:BE55)</f>
        <v>13</v>
      </c>
      <c r="BG55" s="4">
        <v>11</v>
      </c>
      <c r="BH55" s="4">
        <v>12</v>
      </c>
      <c r="BI55" s="4">
        <v>11</v>
      </c>
      <c r="BJ55" s="1">
        <f>46-SUM(BG55:BI55)</f>
        <v>12</v>
      </c>
      <c r="BK55" s="4">
        <v>10</v>
      </c>
      <c r="BL55" s="4">
        <v>9</v>
      </c>
      <c r="BM55" s="4">
        <v>5</v>
      </c>
      <c r="BN55" s="1">
        <f>33-SUM(BK55:BM55)</f>
        <v>9</v>
      </c>
      <c r="BO55" s="4">
        <v>14</v>
      </c>
      <c r="BP55" s="4">
        <v>14</v>
      </c>
      <c r="BQ55" s="4">
        <v>12</v>
      </c>
      <c r="BR55" s="1">
        <v>6</v>
      </c>
      <c r="BS55" s="1">
        <v>12</v>
      </c>
      <c r="BT55" s="1">
        <v>12</v>
      </c>
      <c r="BU55" s="57"/>
      <c r="BV55" s="57"/>
      <c r="CA55" s="4">
        <v>0</v>
      </c>
      <c r="CB55" s="4">
        <v>0</v>
      </c>
      <c r="CC55" s="4">
        <v>0</v>
      </c>
      <c r="CD55" s="4">
        <v>0</v>
      </c>
      <c r="CE55" s="4">
        <v>0</v>
      </c>
      <c r="CF55" s="4">
        <v>0</v>
      </c>
      <c r="CG55" s="4">
        <v>0</v>
      </c>
      <c r="CH55" s="4">
        <v>0</v>
      </c>
      <c r="CI55" s="4">
        <v>0</v>
      </c>
      <c r="CJ55" s="4">
        <v>0</v>
      </c>
      <c r="CK55" s="4">
        <v>0</v>
      </c>
      <c r="CL55" s="4">
        <f t="shared" si="81"/>
        <v>45</v>
      </c>
      <c r="CM55" s="4">
        <f t="shared" si="82"/>
        <v>49</v>
      </c>
      <c r="CN55" s="4">
        <f t="shared" si="83"/>
        <v>47</v>
      </c>
      <c r="CO55" s="4">
        <f t="shared" si="84"/>
        <v>46</v>
      </c>
      <c r="CP55" s="4">
        <f t="shared" si="85"/>
        <v>33</v>
      </c>
      <c r="CQ55" s="4">
        <f t="shared" si="86"/>
        <v>46</v>
      </c>
      <c r="CR55" s="37">
        <f t="shared" ref="CR55:DA55" si="95">CQ55*1.035</f>
        <v>47.61</v>
      </c>
      <c r="CS55" s="37">
        <f t="shared" si="95"/>
        <v>49.276349999999994</v>
      </c>
      <c r="CT55" s="37">
        <f t="shared" si="95"/>
        <v>51.001022249999991</v>
      </c>
      <c r="CU55" s="37">
        <f t="shared" si="95"/>
        <v>52.786058028749984</v>
      </c>
      <c r="CV55" s="37">
        <f t="shared" si="95"/>
        <v>54.633570059756231</v>
      </c>
      <c r="CW55" s="37">
        <f t="shared" si="95"/>
        <v>56.545745011847693</v>
      </c>
      <c r="CX55" s="37">
        <f t="shared" si="95"/>
        <v>58.524846087262354</v>
      </c>
      <c r="CY55" s="37">
        <f t="shared" si="95"/>
        <v>60.573215700316531</v>
      </c>
      <c r="CZ55" s="37">
        <f t="shared" si="95"/>
        <v>62.693278249827607</v>
      </c>
      <c r="DA55" s="37">
        <f t="shared" si="95"/>
        <v>64.887542988571568</v>
      </c>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row>
    <row r="56" spans="2:146" s="4" customFormat="1">
      <c r="B56" s="4" t="s">
        <v>94</v>
      </c>
      <c r="AU56" s="4">
        <v>201</v>
      </c>
      <c r="AV56" s="4">
        <v>197</v>
      </c>
      <c r="AW56" s="4">
        <v>197</v>
      </c>
      <c r="AX56" s="1">
        <f>789-SUM(AU56:AW56)</f>
        <v>194</v>
      </c>
      <c r="AY56" s="4">
        <v>185</v>
      </c>
      <c r="AZ56" s="4">
        <v>180</v>
      </c>
      <c r="BA56" s="4">
        <v>184</v>
      </c>
      <c r="BB56" s="1">
        <f>741-SUM(AY56:BA56)</f>
        <v>192</v>
      </c>
      <c r="BC56" s="4">
        <v>198</v>
      </c>
      <c r="BD56" s="4">
        <v>204</v>
      </c>
      <c r="BE56" s="4">
        <v>202</v>
      </c>
      <c r="BF56" s="1">
        <f>803-SUM(BC56:BE56)</f>
        <v>199</v>
      </c>
      <c r="BG56" s="4">
        <v>203</v>
      </c>
      <c r="BH56" s="4">
        <v>210</v>
      </c>
      <c r="BI56" s="4">
        <v>208</v>
      </c>
      <c r="BJ56" s="1">
        <f>828-SUM(BG56:BI56)</f>
        <v>207</v>
      </c>
      <c r="BK56" s="4">
        <v>214</v>
      </c>
      <c r="BL56" s="4">
        <v>213</v>
      </c>
      <c r="BM56" s="4">
        <v>205</v>
      </c>
      <c r="BN56" s="1">
        <f>856-SUM(BK56:BM56)</f>
        <v>224</v>
      </c>
      <c r="BO56" s="4">
        <v>219</v>
      </c>
      <c r="BP56" s="4">
        <v>225</v>
      </c>
      <c r="BQ56" s="4">
        <v>225</v>
      </c>
      <c r="BR56" s="1">
        <v>228</v>
      </c>
      <c r="BS56" s="1">
        <v>232</v>
      </c>
      <c r="BT56" s="1">
        <v>233</v>
      </c>
      <c r="BU56" s="57"/>
      <c r="BV56" s="57"/>
      <c r="CA56" s="4">
        <v>0</v>
      </c>
      <c r="CB56" s="4">
        <v>0</v>
      </c>
      <c r="CC56" s="4">
        <v>0</v>
      </c>
      <c r="CD56" s="4">
        <v>0</v>
      </c>
      <c r="CE56" s="4">
        <v>0</v>
      </c>
      <c r="CF56" s="4">
        <v>0</v>
      </c>
      <c r="CG56" s="4">
        <v>0</v>
      </c>
      <c r="CH56" s="4">
        <v>0</v>
      </c>
      <c r="CI56" s="4">
        <v>0</v>
      </c>
      <c r="CJ56" s="4">
        <v>0</v>
      </c>
      <c r="CK56" s="4">
        <v>0</v>
      </c>
      <c r="CL56" s="4">
        <f t="shared" si="81"/>
        <v>789</v>
      </c>
      <c r="CM56" s="4">
        <f t="shared" si="82"/>
        <v>741</v>
      </c>
      <c r="CN56" s="4">
        <f t="shared" si="83"/>
        <v>803</v>
      </c>
      <c r="CO56" s="4">
        <f t="shared" si="84"/>
        <v>828</v>
      </c>
      <c r="CP56" s="4">
        <f t="shared" si="85"/>
        <v>856</v>
      </c>
      <c r="CQ56" s="4">
        <f t="shared" si="86"/>
        <v>897</v>
      </c>
      <c r="CR56" s="37">
        <f t="shared" ref="CR56:DA56" si="96">CQ56*1.025</f>
        <v>919.42499999999995</v>
      </c>
      <c r="CS56" s="37">
        <f t="shared" si="96"/>
        <v>942.41062499999987</v>
      </c>
      <c r="CT56" s="37">
        <f t="shared" si="96"/>
        <v>965.97089062499981</v>
      </c>
      <c r="CU56" s="37">
        <f t="shared" si="96"/>
        <v>990.12016289062467</v>
      </c>
      <c r="CV56" s="37">
        <f t="shared" si="96"/>
        <v>1014.8731669628902</v>
      </c>
      <c r="CW56" s="37">
        <f t="shared" si="96"/>
        <v>1040.2449961369623</v>
      </c>
      <c r="CX56" s="37">
        <f t="shared" si="96"/>
        <v>1066.2511210403864</v>
      </c>
      <c r="CY56" s="37">
        <f t="shared" si="96"/>
        <v>1092.907399066396</v>
      </c>
      <c r="CZ56" s="37">
        <f t="shared" si="96"/>
        <v>1120.2300840430557</v>
      </c>
      <c r="DA56" s="37">
        <f t="shared" si="96"/>
        <v>1148.235836144132</v>
      </c>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row>
    <row r="57" spans="2:146" s="4" customFormat="1">
      <c r="B57" s="4" t="s">
        <v>82</v>
      </c>
      <c r="AU57" s="4">
        <v>198</v>
      </c>
      <c r="AV57" s="4">
        <v>34</v>
      </c>
      <c r="AW57" s="4">
        <v>219</v>
      </c>
      <c r="AX57" s="1">
        <f>460-SUM(AU57:AW57)</f>
        <v>9</v>
      </c>
      <c r="AY57" s="4">
        <v>-6</v>
      </c>
      <c r="AZ57" s="4">
        <v>45</v>
      </c>
      <c r="BA57" s="4">
        <v>128</v>
      </c>
      <c r="BB57" s="1">
        <f>370-SUM(AY57:BA57)</f>
        <v>203</v>
      </c>
      <c r="BC57" s="4">
        <v>12</v>
      </c>
      <c r="BD57" s="4">
        <v>7</v>
      </c>
      <c r="BE57" s="4">
        <v>125</v>
      </c>
      <c r="BF57" s="1">
        <f>132-SUM(BC57:BE57)</f>
        <v>-12</v>
      </c>
      <c r="BG57" s="4">
        <v>0</v>
      </c>
      <c r="BH57" s="4">
        <v>57</v>
      </c>
      <c r="BI57" s="4">
        <v>1</v>
      </c>
      <c r="BJ57" s="1">
        <f>58-SUM(BG57:BI57)</f>
        <v>0</v>
      </c>
      <c r="BK57" s="4">
        <v>17</v>
      </c>
      <c r="BL57" s="4">
        <v>276</v>
      </c>
      <c r="BM57" s="4">
        <v>0</v>
      </c>
      <c r="BN57" s="1">
        <f>386-SUM(BK57:BM57)</f>
        <v>93</v>
      </c>
      <c r="BO57" s="4">
        <v>0</v>
      </c>
      <c r="BP57" s="4">
        <v>46</v>
      </c>
      <c r="BQ57" s="4">
        <v>0</v>
      </c>
      <c r="BR57" s="1">
        <v>0</v>
      </c>
      <c r="BS57" s="1">
        <v>0</v>
      </c>
      <c r="BT57" s="1">
        <v>0</v>
      </c>
      <c r="BU57" s="57"/>
      <c r="BV57" s="57"/>
      <c r="CA57" s="4">
        <v>0</v>
      </c>
      <c r="CB57" s="4">
        <v>0</v>
      </c>
      <c r="CC57" s="4">
        <v>0</v>
      </c>
      <c r="CD57" s="4">
        <v>0</v>
      </c>
      <c r="CE57" s="4">
        <v>0</v>
      </c>
      <c r="CF57" s="4">
        <v>0</v>
      </c>
      <c r="CG57" s="4">
        <v>0</v>
      </c>
      <c r="CH57" s="4">
        <v>0</v>
      </c>
      <c r="CI57" s="4">
        <v>0</v>
      </c>
      <c r="CJ57" s="4">
        <v>0</v>
      </c>
      <c r="CK57" s="4">
        <v>0</v>
      </c>
      <c r="CL57" s="4">
        <f t="shared" si="81"/>
        <v>460</v>
      </c>
      <c r="CM57" s="4">
        <f t="shared" si="82"/>
        <v>370</v>
      </c>
      <c r="CN57" s="4">
        <f t="shared" si="83"/>
        <v>132</v>
      </c>
      <c r="CO57" s="4">
        <f t="shared" si="84"/>
        <v>58</v>
      </c>
      <c r="CP57" s="4">
        <f t="shared" si="85"/>
        <v>386</v>
      </c>
      <c r="CQ57" s="4">
        <f t="shared" si="86"/>
        <v>46</v>
      </c>
      <c r="CR57" s="37">
        <f t="shared" ref="CR57:DA57" si="97">CQ57*1.03</f>
        <v>47.38</v>
      </c>
      <c r="CS57" s="37">
        <f t="shared" si="97"/>
        <v>48.801400000000001</v>
      </c>
      <c r="CT57" s="37">
        <f t="shared" si="97"/>
        <v>50.265442</v>
      </c>
      <c r="CU57" s="37">
        <f t="shared" si="97"/>
        <v>51.773405260000004</v>
      </c>
      <c r="CV57" s="37">
        <f t="shared" si="97"/>
        <v>53.326607417800005</v>
      </c>
      <c r="CW57" s="37">
        <f t="shared" si="97"/>
        <v>54.926405640334004</v>
      </c>
      <c r="CX57" s="37">
        <f t="shared" si="97"/>
        <v>56.574197809544025</v>
      </c>
      <c r="CY57" s="37">
        <f t="shared" si="97"/>
        <v>58.271423743830347</v>
      </c>
      <c r="CZ57" s="37">
        <f t="shared" si="97"/>
        <v>60.019566456145256</v>
      </c>
      <c r="DA57" s="37">
        <f t="shared" si="97"/>
        <v>61.820153449829618</v>
      </c>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row>
    <row r="58" spans="2:146" s="4" customFormat="1">
      <c r="B58" s="4" t="s">
        <v>83</v>
      </c>
      <c r="AU58" s="4">
        <v>-108</v>
      </c>
      <c r="AV58" s="4">
        <v>0</v>
      </c>
      <c r="AW58" s="4">
        <v>6</v>
      </c>
      <c r="AX58" s="1">
        <f>-100-SUM(AU58:AW58)</f>
        <v>2</v>
      </c>
      <c r="AY58" s="4">
        <v>5</v>
      </c>
      <c r="AZ58" s="4">
        <v>-85</v>
      </c>
      <c r="BA58" s="4">
        <v>-26</v>
      </c>
      <c r="BB58" s="1">
        <f>-136-SUM(AY58:BA58)</f>
        <v>-30</v>
      </c>
      <c r="BC58" s="4">
        <v>4</v>
      </c>
      <c r="BD58" s="4">
        <v>36</v>
      </c>
      <c r="BE58" s="4">
        <v>20</v>
      </c>
      <c r="BF58" s="1">
        <f>35-SUM(BC58:BE58)</f>
        <v>-25</v>
      </c>
      <c r="BG58" s="4">
        <v>0</v>
      </c>
      <c r="BH58" s="4">
        <v>19</v>
      </c>
      <c r="BI58" s="4">
        <v>11</v>
      </c>
      <c r="BJ58" s="1">
        <f>58-SUM(BG58:BI58)</f>
        <v>28</v>
      </c>
      <c r="BK58" s="4">
        <v>0</v>
      </c>
      <c r="BL58" s="4">
        <v>2</v>
      </c>
      <c r="BM58" s="4">
        <v>-23</v>
      </c>
      <c r="BN58" s="1">
        <f>-5-SUM(BK58:BM58)</f>
        <v>16</v>
      </c>
      <c r="BO58" s="4">
        <v>6</v>
      </c>
      <c r="BP58" s="4">
        <v>-5</v>
      </c>
      <c r="BQ58" s="4">
        <v>11</v>
      </c>
      <c r="BR58" s="1">
        <v>6</v>
      </c>
      <c r="BS58" s="1">
        <v>-30</v>
      </c>
      <c r="BT58" s="1">
        <v>-16</v>
      </c>
      <c r="BU58" s="57"/>
      <c r="BV58" s="57"/>
      <c r="CA58" s="4">
        <v>0</v>
      </c>
      <c r="CB58" s="4">
        <v>0</v>
      </c>
      <c r="CC58" s="4">
        <v>0</v>
      </c>
      <c r="CD58" s="4">
        <v>0</v>
      </c>
      <c r="CE58" s="4">
        <v>0</v>
      </c>
      <c r="CF58" s="4">
        <v>0</v>
      </c>
      <c r="CG58" s="4">
        <v>0</v>
      </c>
      <c r="CH58" s="4">
        <v>0</v>
      </c>
      <c r="CI58" s="4">
        <v>0</v>
      </c>
      <c r="CJ58" s="4">
        <v>0</v>
      </c>
      <c r="CK58" s="4">
        <v>0</v>
      </c>
      <c r="CL58" s="4">
        <f t="shared" si="81"/>
        <v>-100</v>
      </c>
      <c r="CM58" s="4">
        <f t="shared" si="82"/>
        <v>-136</v>
      </c>
      <c r="CN58" s="4">
        <f t="shared" si="83"/>
        <v>35</v>
      </c>
      <c r="CO58" s="4">
        <f t="shared" si="84"/>
        <v>58</v>
      </c>
      <c r="CP58" s="4">
        <f t="shared" si="85"/>
        <v>-5</v>
      </c>
      <c r="CQ58" s="4">
        <f t="shared" si="86"/>
        <v>18</v>
      </c>
      <c r="CR58" s="37">
        <v>0</v>
      </c>
      <c r="CS58" s="37">
        <v>0</v>
      </c>
      <c r="CT58" s="37">
        <v>0</v>
      </c>
      <c r="CU58" s="37">
        <v>0</v>
      </c>
      <c r="CV58" s="37">
        <v>0</v>
      </c>
      <c r="CW58" s="37">
        <v>0</v>
      </c>
      <c r="CX58" s="37">
        <v>0</v>
      </c>
      <c r="CY58" s="37">
        <v>0</v>
      </c>
      <c r="CZ58" s="37">
        <v>0</v>
      </c>
      <c r="DA58" s="37">
        <v>0</v>
      </c>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row>
    <row r="59" spans="2:146" s="4" customFormat="1">
      <c r="B59" s="4" t="s">
        <v>84</v>
      </c>
      <c r="AU59" s="4">
        <v>10</v>
      </c>
      <c r="AV59" s="4">
        <v>4</v>
      </c>
      <c r="AW59" s="4">
        <v>2</v>
      </c>
      <c r="AX59" s="1">
        <f>52-SUM(AU59:AW59)</f>
        <v>36</v>
      </c>
      <c r="AY59" s="4">
        <v>3</v>
      </c>
      <c r="AZ59" s="4">
        <v>3</v>
      </c>
      <c r="BA59" s="4">
        <v>9</v>
      </c>
      <c r="BB59" s="1">
        <f>40-SUM(AY59:BA59)</f>
        <v>25</v>
      </c>
      <c r="BC59" s="4">
        <v>0</v>
      </c>
      <c r="BD59" s="4">
        <v>10</v>
      </c>
      <c r="BE59" s="4">
        <v>4</v>
      </c>
      <c r="BF59" s="1">
        <f>24-SUM(BC59:BE59)</f>
        <v>10</v>
      </c>
      <c r="BG59" s="4">
        <v>11</v>
      </c>
      <c r="BH59" s="4">
        <v>16</v>
      </c>
      <c r="BI59" s="4">
        <v>15</v>
      </c>
      <c r="BJ59" s="1">
        <f>69-SUM(BG59:BI59)</f>
        <v>27</v>
      </c>
      <c r="BK59" s="4">
        <v>2</v>
      </c>
      <c r="BL59" s="4">
        <v>1</v>
      </c>
      <c r="BM59" s="4">
        <v>8</v>
      </c>
      <c r="BN59" s="1">
        <f>16-SUM(BK59:BM59)</f>
        <v>5</v>
      </c>
      <c r="BO59" s="4">
        <v>10</v>
      </c>
      <c r="BP59" s="4">
        <v>83</v>
      </c>
      <c r="BQ59" s="4">
        <v>-9</v>
      </c>
      <c r="BR59" s="1">
        <v>16</v>
      </c>
      <c r="BS59" s="1">
        <v>2</v>
      </c>
      <c r="BT59" s="1">
        <v>8</v>
      </c>
      <c r="BU59" s="57"/>
      <c r="BV59" s="57"/>
      <c r="CA59" s="4">
        <v>0</v>
      </c>
      <c r="CB59" s="4">
        <v>0</v>
      </c>
      <c r="CC59" s="4">
        <v>0</v>
      </c>
      <c r="CD59" s="4">
        <v>0</v>
      </c>
      <c r="CE59" s="4">
        <v>0</v>
      </c>
      <c r="CF59" s="4">
        <v>0</v>
      </c>
      <c r="CG59" s="4">
        <v>0</v>
      </c>
      <c r="CH59" s="4">
        <v>0</v>
      </c>
      <c r="CI59" s="4">
        <v>0</v>
      </c>
      <c r="CJ59" s="4">
        <v>0</v>
      </c>
      <c r="CK59" s="4">
        <v>0</v>
      </c>
      <c r="CL59" s="4">
        <f t="shared" si="81"/>
        <v>52</v>
      </c>
      <c r="CM59" s="4">
        <f t="shared" si="82"/>
        <v>40</v>
      </c>
      <c r="CN59" s="4">
        <f t="shared" si="83"/>
        <v>24</v>
      </c>
      <c r="CO59" s="4">
        <f t="shared" si="84"/>
        <v>69</v>
      </c>
      <c r="CP59" s="4">
        <f t="shared" si="85"/>
        <v>16</v>
      </c>
      <c r="CQ59" s="4">
        <f t="shared" si="86"/>
        <v>100</v>
      </c>
      <c r="CR59" s="37">
        <v>0</v>
      </c>
      <c r="CS59" s="37">
        <v>0</v>
      </c>
      <c r="CT59" s="37">
        <v>0</v>
      </c>
      <c r="CU59" s="37">
        <v>0</v>
      </c>
      <c r="CV59" s="37">
        <v>0</v>
      </c>
      <c r="CW59" s="37">
        <v>0</v>
      </c>
      <c r="CX59" s="37">
        <v>0</v>
      </c>
      <c r="CY59" s="37">
        <v>0</v>
      </c>
      <c r="CZ59" s="37">
        <v>0</v>
      </c>
      <c r="DA59" s="37">
        <v>0</v>
      </c>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row>
    <row r="60" spans="2:146" s="4" customFormat="1">
      <c r="B60" s="4" t="s">
        <v>109</v>
      </c>
      <c r="AU60" s="4">
        <v>0</v>
      </c>
      <c r="AV60" s="4">
        <v>0</v>
      </c>
      <c r="AW60" s="4">
        <v>260</v>
      </c>
      <c r="AX60" s="1">
        <f>278-SUM(AU60:AW60)</f>
        <v>18</v>
      </c>
      <c r="AY60" s="4">
        <v>-6</v>
      </c>
      <c r="AZ60" s="4">
        <v>298</v>
      </c>
      <c r="BA60" s="4">
        <v>0</v>
      </c>
      <c r="BB60" s="1">
        <f>430-SUM(AY60:BA60)</f>
        <v>138</v>
      </c>
      <c r="BC60" s="4">
        <v>0</v>
      </c>
      <c r="BD60" s="4">
        <v>42</v>
      </c>
      <c r="BE60" s="4">
        <v>0</v>
      </c>
      <c r="BF60" s="1">
        <f>173-SUM(BC60:BE60)</f>
        <v>131</v>
      </c>
      <c r="BG60" s="4">
        <v>20</v>
      </c>
      <c r="BH60" s="4">
        <v>0</v>
      </c>
      <c r="BI60" s="4">
        <v>-111</v>
      </c>
      <c r="BJ60" s="1">
        <f>-111-SUM(BG60:BI60)</f>
        <v>-20</v>
      </c>
      <c r="BK60" s="4">
        <v>0</v>
      </c>
      <c r="BL60" s="4">
        <v>0</v>
      </c>
      <c r="BM60" s="4">
        <v>0</v>
      </c>
      <c r="BN60" s="1">
        <f>0-SUM(BK60:BM60)</f>
        <v>0</v>
      </c>
      <c r="BO60" s="4">
        <v>0</v>
      </c>
      <c r="BP60" s="4">
        <v>0</v>
      </c>
      <c r="BQ60" s="4">
        <v>0</v>
      </c>
      <c r="BR60" s="1">
        <v>194</v>
      </c>
      <c r="BS60" s="1">
        <v>0</v>
      </c>
      <c r="BT60" s="1">
        <v>76</v>
      </c>
      <c r="BU60" s="57"/>
      <c r="BV60" s="57"/>
      <c r="CA60" s="4">
        <v>0</v>
      </c>
      <c r="CB60" s="4">
        <v>0</v>
      </c>
      <c r="CC60" s="4">
        <v>0</v>
      </c>
      <c r="CD60" s="4">
        <v>0</v>
      </c>
      <c r="CE60" s="4">
        <v>0</v>
      </c>
      <c r="CF60" s="4">
        <v>0</v>
      </c>
      <c r="CG60" s="4">
        <v>0</v>
      </c>
      <c r="CH60" s="4">
        <v>0</v>
      </c>
      <c r="CI60" s="4">
        <v>0</v>
      </c>
      <c r="CJ60" s="4">
        <v>0</v>
      </c>
      <c r="CK60" s="4">
        <v>0</v>
      </c>
      <c r="CL60" s="4">
        <f t="shared" si="81"/>
        <v>278</v>
      </c>
      <c r="CM60" s="4">
        <f t="shared" si="82"/>
        <v>430</v>
      </c>
      <c r="CN60" s="4">
        <f t="shared" si="83"/>
        <v>173</v>
      </c>
      <c r="CO60" s="4">
        <f t="shared" si="84"/>
        <v>-111</v>
      </c>
      <c r="CP60" s="4">
        <f t="shared" si="85"/>
        <v>0</v>
      </c>
      <c r="CQ60" s="4">
        <f t="shared" si="86"/>
        <v>194</v>
      </c>
      <c r="CR60" s="37">
        <v>0</v>
      </c>
      <c r="CS60" s="37">
        <v>0</v>
      </c>
      <c r="CT60" s="37">
        <v>0</v>
      </c>
      <c r="CU60" s="37">
        <v>0</v>
      </c>
      <c r="CV60" s="37">
        <v>0</v>
      </c>
      <c r="CW60" s="37">
        <v>0</v>
      </c>
      <c r="CX60" s="37">
        <v>0</v>
      </c>
      <c r="CY60" s="37">
        <v>0</v>
      </c>
      <c r="CZ60" s="37">
        <v>0</v>
      </c>
      <c r="DA60" s="37">
        <v>0</v>
      </c>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row>
    <row r="61" spans="2:146" s="4" customFormat="1">
      <c r="B61" s="4" t="s">
        <v>85</v>
      </c>
      <c r="AU61" s="4">
        <v>0</v>
      </c>
      <c r="AV61" s="4">
        <v>0</v>
      </c>
      <c r="AW61" s="4">
        <v>0</v>
      </c>
      <c r="AX61" s="1">
        <f>74-SUM(AU61:AW61)</f>
        <v>74</v>
      </c>
      <c r="AY61" s="4">
        <v>0</v>
      </c>
      <c r="AZ61" s="4">
        <v>-2</v>
      </c>
      <c r="BA61" s="4">
        <v>-40</v>
      </c>
      <c r="BB61" s="1">
        <f>-78-SUM(AY61:BA61)</f>
        <v>-36</v>
      </c>
      <c r="BC61" s="4">
        <v>0</v>
      </c>
      <c r="BD61" s="4">
        <v>0</v>
      </c>
      <c r="BE61" s="4">
        <v>0</v>
      </c>
      <c r="BF61" s="1">
        <f>22-SUM(BC61:BE61)</f>
        <v>22</v>
      </c>
      <c r="BG61" s="4">
        <v>0</v>
      </c>
      <c r="BH61" s="4">
        <v>0</v>
      </c>
      <c r="BI61" s="4">
        <v>0</v>
      </c>
      <c r="BJ61" s="1">
        <f>0-SUM(BG61:BI61)</f>
        <v>0</v>
      </c>
      <c r="BK61" s="4">
        <v>0</v>
      </c>
      <c r="BL61" s="4">
        <v>0</v>
      </c>
      <c r="BM61" s="4">
        <v>0</v>
      </c>
      <c r="BN61" s="1">
        <f>0-SUM(BK61:BM61)</f>
        <v>0</v>
      </c>
      <c r="BO61" s="4">
        <v>0</v>
      </c>
      <c r="BP61" s="4">
        <v>0</v>
      </c>
      <c r="BQ61" s="4">
        <v>0</v>
      </c>
      <c r="BR61" s="1">
        <v>0</v>
      </c>
      <c r="BS61" s="1">
        <v>0</v>
      </c>
      <c r="BT61" s="1">
        <v>0</v>
      </c>
      <c r="BU61" s="57"/>
      <c r="BV61" s="57"/>
      <c r="CA61" s="4">
        <v>0</v>
      </c>
      <c r="CB61" s="4">
        <v>0</v>
      </c>
      <c r="CC61" s="4">
        <v>0</v>
      </c>
      <c r="CD61" s="4">
        <v>0</v>
      </c>
      <c r="CE61" s="4">
        <v>0</v>
      </c>
      <c r="CF61" s="4">
        <v>0</v>
      </c>
      <c r="CG61" s="4">
        <v>0</v>
      </c>
      <c r="CH61" s="4">
        <v>0</v>
      </c>
      <c r="CI61" s="4">
        <v>0</v>
      </c>
      <c r="CJ61" s="4">
        <v>0</v>
      </c>
      <c r="CK61" s="4">
        <v>0</v>
      </c>
      <c r="CL61" s="4">
        <f t="shared" si="81"/>
        <v>74</v>
      </c>
      <c r="CM61" s="4">
        <f t="shared" si="82"/>
        <v>-78</v>
      </c>
      <c r="CN61" s="4">
        <f t="shared" si="83"/>
        <v>22</v>
      </c>
      <c r="CO61" s="4">
        <f t="shared" si="84"/>
        <v>0</v>
      </c>
      <c r="CP61" s="4">
        <f t="shared" si="85"/>
        <v>0</v>
      </c>
      <c r="CQ61" s="4">
        <f t="shared" si="86"/>
        <v>0</v>
      </c>
      <c r="CR61" s="37">
        <v>0</v>
      </c>
      <c r="CS61" s="37">
        <v>0</v>
      </c>
      <c r="CT61" s="37">
        <v>0</v>
      </c>
      <c r="CU61" s="37">
        <v>0</v>
      </c>
      <c r="CV61" s="37">
        <v>0</v>
      </c>
      <c r="CW61" s="37">
        <v>0</v>
      </c>
      <c r="CX61" s="37">
        <v>0</v>
      </c>
      <c r="CY61" s="37">
        <v>0</v>
      </c>
      <c r="CZ61" s="37">
        <v>0</v>
      </c>
      <c r="DA61" s="37">
        <v>0</v>
      </c>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c r="EN61" s="57"/>
      <c r="EO61" s="57"/>
      <c r="EP61" s="57"/>
    </row>
    <row r="62" spans="2:146" s="4" customFormat="1">
      <c r="B62" s="4" t="s">
        <v>21</v>
      </c>
      <c r="C62" s="4">
        <v>11</v>
      </c>
      <c r="D62" s="4">
        <v>275</v>
      </c>
      <c r="E62" s="4">
        <v>51</v>
      </c>
      <c r="F62" s="4">
        <v>-1231</v>
      </c>
      <c r="G62" s="4">
        <v>-1486</v>
      </c>
      <c r="H62" s="4">
        <v>231</v>
      </c>
      <c r="I62" s="4">
        <v>251</v>
      </c>
      <c r="J62" s="4">
        <v>348</v>
      </c>
      <c r="K62" s="4">
        <v>322</v>
      </c>
      <c r="L62" s="4">
        <v>237</v>
      </c>
      <c r="M62" s="4">
        <v>174</v>
      </c>
      <c r="N62" s="4">
        <v>171</v>
      </c>
      <c r="O62" s="4">
        <v>196</v>
      </c>
      <c r="P62" s="4">
        <v>-3587</v>
      </c>
      <c r="Q62" s="4">
        <v>-594</v>
      </c>
      <c r="R62" s="4">
        <v>117</v>
      </c>
      <c r="S62" s="4">
        <v>-330</v>
      </c>
      <c r="T62" s="4">
        <v>220</v>
      </c>
      <c r="U62" s="4">
        <v>103</v>
      </c>
      <c r="V62" s="4">
        <v>127</v>
      </c>
      <c r="W62" s="4">
        <v>197</v>
      </c>
      <c r="X62" s="4">
        <v>-69</v>
      </c>
      <c r="Y62" s="4">
        <v>64</v>
      </c>
      <c r="Z62" s="4">
        <v>-493</v>
      </c>
      <c r="AA62" s="4">
        <v>24</v>
      </c>
      <c r="AB62" s="4">
        <v>219</v>
      </c>
      <c r="AC62" s="4">
        <v>-299</v>
      </c>
      <c r="AD62" s="4">
        <v>-227</v>
      </c>
      <c r="AE62" s="4">
        <v>293</v>
      </c>
      <c r="AF62" s="4">
        <v>-334</v>
      </c>
      <c r="AG62" s="4">
        <v>348</v>
      </c>
      <c r="AH62" s="4">
        <v>140</v>
      </c>
      <c r="AI62" s="4">
        <v>364</v>
      </c>
      <c r="AJ62" s="4">
        <v>225</v>
      </c>
      <c r="AK62" s="4">
        <v>377</v>
      </c>
      <c r="AL62" s="4">
        <v>319</v>
      </c>
      <c r="AM62" s="4">
        <v>407</v>
      </c>
      <c r="AN62" s="4">
        <v>392</v>
      </c>
      <c r="AO62" s="4">
        <v>388</v>
      </c>
      <c r="AP62" s="4">
        <v>319</v>
      </c>
      <c r="AQ62" s="4">
        <v>541</v>
      </c>
      <c r="AR62" s="4">
        <v>384</v>
      </c>
      <c r="AS62" s="4">
        <v>383</v>
      </c>
      <c r="AT62" s="4">
        <v>210</v>
      </c>
      <c r="AU62" s="4">
        <f t="shared" ref="AU62:BS62" si="98">AU52-SUM(AU53:AU61)</f>
        <v>146</v>
      </c>
      <c r="AV62" s="4">
        <f t="shared" si="98"/>
        <v>-71</v>
      </c>
      <c r="AW62" s="4">
        <f t="shared" si="98"/>
        <v>-205</v>
      </c>
      <c r="AX62" s="4">
        <f t="shared" si="98"/>
        <v>50</v>
      </c>
      <c r="AY62" s="4">
        <f t="shared" si="98"/>
        <v>370</v>
      </c>
      <c r="AZ62" s="4">
        <f t="shared" si="98"/>
        <v>262</v>
      </c>
      <c r="BA62" s="4">
        <f t="shared" si="98"/>
        <v>387</v>
      </c>
      <c r="BB62" s="4">
        <f t="shared" si="98"/>
        <v>179</v>
      </c>
      <c r="BC62" s="4">
        <f t="shared" si="98"/>
        <v>466</v>
      </c>
      <c r="BD62" s="4">
        <f t="shared" si="98"/>
        <v>423</v>
      </c>
      <c r="BE62" s="4">
        <f t="shared" si="98"/>
        <v>358</v>
      </c>
      <c r="BF62" s="4">
        <f t="shared" si="98"/>
        <v>400</v>
      </c>
      <c r="BG62" s="4">
        <f t="shared" si="98"/>
        <v>552</v>
      </c>
      <c r="BH62" s="4">
        <f t="shared" si="98"/>
        <v>514</v>
      </c>
      <c r="BI62" s="4">
        <f t="shared" si="98"/>
        <v>693</v>
      </c>
      <c r="BJ62" s="4">
        <f t="shared" si="98"/>
        <v>584</v>
      </c>
      <c r="BK62" s="4">
        <f t="shared" si="98"/>
        <v>675</v>
      </c>
      <c r="BL62" s="4">
        <f t="shared" si="98"/>
        <v>520</v>
      </c>
      <c r="BM62" s="4">
        <f t="shared" si="98"/>
        <v>733</v>
      </c>
      <c r="BN62" s="4">
        <f t="shared" si="98"/>
        <v>677</v>
      </c>
      <c r="BO62" s="4">
        <f t="shared" si="98"/>
        <v>921</v>
      </c>
      <c r="BP62" s="4">
        <f t="shared" si="98"/>
        <v>819</v>
      </c>
      <c r="BQ62" s="4">
        <f t="shared" si="98"/>
        <v>1048</v>
      </c>
      <c r="BR62" s="1">
        <f t="shared" si="98"/>
        <v>825</v>
      </c>
      <c r="BS62" s="1">
        <f t="shared" si="98"/>
        <v>1101</v>
      </c>
      <c r="BT62" s="1">
        <f t="shared" ref="BT62" si="99">BT52-SUM(BT53:BT61)</f>
        <v>1178</v>
      </c>
      <c r="BU62" s="57"/>
      <c r="BV62" s="57"/>
      <c r="CA62" s="4">
        <f>SUM(C62:F62)</f>
        <v>-894</v>
      </c>
      <c r="CB62" s="4">
        <f>SUM(G62:J62)</f>
        <v>-656</v>
      </c>
      <c r="CC62" s="4">
        <f>SUM(K62:N62)</f>
        <v>904</v>
      </c>
      <c r="CD62" s="4">
        <f>SUM(O62:R62)</f>
        <v>-3868</v>
      </c>
      <c r="CE62" s="4">
        <f>SUM(S62:V62)</f>
        <v>120</v>
      </c>
      <c r="CF62" s="4">
        <f>SUM(W62:Z62)</f>
        <v>-301</v>
      </c>
      <c r="CG62" s="4">
        <f>SUM(AA62:AD62)</f>
        <v>-283</v>
      </c>
      <c r="CH62" s="4">
        <f>SUM(AE62:AH62)</f>
        <v>447</v>
      </c>
      <c r="CI62" s="4">
        <f>SUM(AI62:AL62)</f>
        <v>1285</v>
      </c>
      <c r="CJ62" s="4">
        <f>SUM(AM62:AP62)</f>
        <v>1506</v>
      </c>
      <c r="CK62" s="4">
        <f>SUM(AQ62:AT62)</f>
        <v>1518</v>
      </c>
      <c r="CL62" s="4">
        <f t="shared" si="81"/>
        <v>-80</v>
      </c>
      <c r="CM62" s="4">
        <f t="shared" si="82"/>
        <v>1198</v>
      </c>
      <c r="CN62" s="4">
        <f t="shared" si="83"/>
        <v>1647</v>
      </c>
      <c r="CO62" s="4">
        <f t="shared" si="84"/>
        <v>2343</v>
      </c>
      <c r="CP62" s="4">
        <f t="shared" si="85"/>
        <v>2605</v>
      </c>
      <c r="CQ62" s="4">
        <f t="shared" si="86"/>
        <v>3613</v>
      </c>
      <c r="CR62" s="37">
        <f t="shared" ref="CR62:DA62" si="100">CR52-SUM(CR53:CR61)</f>
        <v>4127.9375300000011</v>
      </c>
      <c r="CS62" s="37">
        <f t="shared" si="100"/>
        <v>4481.9283469999991</v>
      </c>
      <c r="CT62" s="37">
        <f t="shared" si="100"/>
        <v>4982.823224428399</v>
      </c>
      <c r="CU62" s="37">
        <f t="shared" si="100"/>
        <v>5442.6366350970256</v>
      </c>
      <c r="CV62" s="37">
        <f t="shared" si="100"/>
        <v>5903.9829031281479</v>
      </c>
      <c r="CW62" s="37">
        <f t="shared" si="100"/>
        <v>6442.4573375438576</v>
      </c>
      <c r="CX62" s="37">
        <f t="shared" si="100"/>
        <v>6972.0884462580252</v>
      </c>
      <c r="CY62" s="37">
        <f t="shared" si="100"/>
        <v>7486.3999916070643</v>
      </c>
      <c r="CZ62" s="37">
        <f t="shared" si="100"/>
        <v>7895.6422720315713</v>
      </c>
      <c r="DA62" s="37">
        <f t="shared" si="100"/>
        <v>8225.3592508345646</v>
      </c>
      <c r="DB62" s="57"/>
      <c r="DC62" s="57"/>
      <c r="DD62" s="57"/>
      <c r="DE62" s="57"/>
      <c r="DF62" s="57"/>
      <c r="DG62" s="57"/>
      <c r="DH62" s="57"/>
      <c r="DI62" s="57"/>
      <c r="DJ62" s="57"/>
      <c r="DK62" s="57"/>
      <c r="DL62" s="57"/>
      <c r="DM62" s="57"/>
      <c r="DN62" s="57"/>
      <c r="DO62" s="57"/>
      <c r="DP62" s="57"/>
      <c r="DQ62" s="57"/>
      <c r="DR62" s="57"/>
      <c r="DS62" s="57"/>
      <c r="DT62" s="57"/>
      <c r="DU62" s="57"/>
      <c r="DV62" s="57"/>
      <c r="DW62" s="57"/>
      <c r="DX62" s="57"/>
      <c r="DY62" s="57"/>
      <c r="DZ62" s="57"/>
      <c r="EA62" s="57"/>
      <c r="EB62" s="57"/>
      <c r="EC62" s="57"/>
      <c r="ED62" s="57"/>
      <c r="EE62" s="57"/>
      <c r="EF62" s="57"/>
      <c r="EG62" s="57"/>
      <c r="EH62" s="57"/>
      <c r="EI62" s="57"/>
      <c r="EJ62" s="57"/>
      <c r="EK62" s="57"/>
      <c r="EL62" s="57"/>
      <c r="EM62" s="57"/>
      <c r="EN62" s="57"/>
      <c r="EO62" s="57"/>
      <c r="EP62" s="57"/>
    </row>
    <row r="63" spans="2:146" s="4" customFormat="1" ht="13.9" customHeight="1">
      <c r="B63" s="4" t="s">
        <v>86</v>
      </c>
      <c r="AU63" s="4">
        <v>-88</v>
      </c>
      <c r="AV63" s="4">
        <v>-91</v>
      </c>
      <c r="AW63" s="4">
        <v>-86</v>
      </c>
      <c r="AX63" s="1">
        <f>-361-SUM(AU63:AW63)</f>
        <v>-96</v>
      </c>
      <c r="AY63" s="4">
        <v>-82</v>
      </c>
      <c r="AZ63" s="4">
        <v>-86</v>
      </c>
      <c r="BA63" s="4">
        <v>-86</v>
      </c>
      <c r="BB63" s="1">
        <f>-341-SUM(AY63:BA63)</f>
        <v>-87</v>
      </c>
      <c r="BC63" s="4">
        <v>-279</v>
      </c>
      <c r="BD63" s="4">
        <v>-64</v>
      </c>
      <c r="BE63" s="4">
        <v>-63</v>
      </c>
      <c r="BF63" s="1">
        <f>-470-SUM(BC63:BE63)</f>
        <v>-64</v>
      </c>
      <c r="BG63" s="4">
        <v>-65</v>
      </c>
      <c r="BH63" s="4">
        <v>-70</v>
      </c>
      <c r="BI63" s="4">
        <v>-66</v>
      </c>
      <c r="BJ63" s="1">
        <f>-265-SUM(BG63:BI63)</f>
        <v>-64</v>
      </c>
      <c r="BK63" s="4">
        <v>-69</v>
      </c>
      <c r="BL63" s="4">
        <v>-77</v>
      </c>
      <c r="BM63" s="4">
        <v>-79</v>
      </c>
      <c r="BN63" s="1">
        <f>-305-SUM(BK63:BM63)</f>
        <v>-80</v>
      </c>
      <c r="BO63" s="4">
        <v>-82</v>
      </c>
      <c r="BP63" s="4">
        <v>-90</v>
      </c>
      <c r="BQ63" s="4">
        <v>-87</v>
      </c>
      <c r="BR63" s="1">
        <v>-90</v>
      </c>
      <c r="BS63" s="1">
        <v>-90</v>
      </c>
      <c r="BT63" s="1">
        <v>-96</v>
      </c>
      <c r="BU63" s="57"/>
      <c r="BV63" s="57"/>
      <c r="CA63" s="4">
        <v>0</v>
      </c>
      <c r="CB63" s="4">
        <v>0</v>
      </c>
      <c r="CC63" s="4">
        <v>0</v>
      </c>
      <c r="CD63" s="4">
        <v>0</v>
      </c>
      <c r="CE63" s="4">
        <v>0</v>
      </c>
      <c r="CF63" s="4">
        <v>0</v>
      </c>
      <c r="CG63" s="4">
        <v>0</v>
      </c>
      <c r="CH63" s="4">
        <v>0</v>
      </c>
      <c r="CI63" s="4">
        <v>0</v>
      </c>
      <c r="CJ63" s="4">
        <v>0</v>
      </c>
      <c r="CK63" s="4">
        <v>0</v>
      </c>
      <c r="CL63" s="4">
        <f t="shared" si="81"/>
        <v>-361</v>
      </c>
      <c r="CM63" s="4">
        <f t="shared" si="82"/>
        <v>-341</v>
      </c>
      <c r="CN63" s="4">
        <f t="shared" si="83"/>
        <v>-470</v>
      </c>
      <c r="CO63" s="4">
        <f t="shared" si="84"/>
        <v>-265</v>
      </c>
      <c r="CP63" s="4">
        <f t="shared" si="85"/>
        <v>-305</v>
      </c>
      <c r="CQ63" s="4">
        <f t="shared" si="86"/>
        <v>-349</v>
      </c>
      <c r="CR63" s="37">
        <f t="shared" ref="CR63:DA63" si="101">-CQ98*($DF$98)</f>
        <v>-972.73749999999995</v>
      </c>
      <c r="CS63" s="37">
        <f t="shared" si="101"/>
        <v>-2110.2374999999997</v>
      </c>
      <c r="CT63" s="37">
        <f t="shared" si="101"/>
        <v>-1925.5917187499999</v>
      </c>
      <c r="CU63" s="37">
        <f t="shared" si="101"/>
        <v>-1757.1024433593752</v>
      </c>
      <c r="CV63" s="37">
        <f t="shared" si="101"/>
        <v>-1603.3559795654298</v>
      </c>
      <c r="CW63" s="37">
        <f t="shared" si="101"/>
        <v>-1463.062331353455</v>
      </c>
      <c r="CX63" s="37">
        <f t="shared" si="101"/>
        <v>-1335.0443773600277</v>
      </c>
      <c r="CY63" s="37">
        <f t="shared" si="101"/>
        <v>-1218.2279943410254</v>
      </c>
      <c r="CZ63" s="37">
        <f t="shared" si="101"/>
        <v>-1111.6330448361855</v>
      </c>
      <c r="DA63" s="37">
        <f t="shared" si="101"/>
        <v>-1014.3651534130194</v>
      </c>
      <c r="DB63" s="57"/>
      <c r="DC63" s="57"/>
      <c r="DD63" s="57"/>
      <c r="DE63" s="57"/>
      <c r="DF63" s="57"/>
      <c r="DG63" s="57"/>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row>
    <row r="64" spans="2:146" s="4" customFormat="1">
      <c r="B64" s="4" t="s">
        <v>20</v>
      </c>
      <c r="C64" s="4">
        <v>-108</v>
      </c>
      <c r="D64" s="4">
        <v>-95</v>
      </c>
      <c r="E64" s="4">
        <v>-95</v>
      </c>
      <c r="F64" s="4">
        <v>-116</v>
      </c>
      <c r="G64" s="4">
        <v>-89</v>
      </c>
      <c r="H64" s="4">
        <v>-112</v>
      </c>
      <c r="I64" s="4">
        <v>-88</v>
      </c>
      <c r="J64" s="4">
        <v>-118</v>
      </c>
      <c r="K64" s="4">
        <v>-49</v>
      </c>
      <c r="L64" s="4">
        <v>-79</v>
      </c>
      <c r="M64" s="4">
        <v>-63</v>
      </c>
      <c r="N64" s="4">
        <v>-71</v>
      </c>
      <c r="O64" s="4">
        <v>-73</v>
      </c>
      <c r="P64" s="4">
        <v>-31</v>
      </c>
      <c r="Q64" s="4">
        <v>-69</v>
      </c>
      <c r="R64" s="4">
        <v>-66</v>
      </c>
      <c r="S64" s="4">
        <v>-64</v>
      </c>
      <c r="T64" s="4">
        <v>-68</v>
      </c>
      <c r="U64" s="4">
        <v>-143</v>
      </c>
      <c r="V64" s="4">
        <v>-68</v>
      </c>
      <c r="W64" s="4">
        <v>-51</v>
      </c>
      <c r="X64" s="4">
        <v>-35</v>
      </c>
      <c r="Y64" s="4">
        <v>-61</v>
      </c>
      <c r="Z64" s="4">
        <v>-61</v>
      </c>
      <c r="AA64" s="4">
        <v>-75</v>
      </c>
      <c r="AB64" s="4">
        <v>-114</v>
      </c>
      <c r="AC64" s="4">
        <v>-68</v>
      </c>
      <c r="AD64" s="4">
        <v>-110</v>
      </c>
      <c r="AE64" s="4">
        <v>-65</v>
      </c>
      <c r="AF64" s="4">
        <v>-63</v>
      </c>
      <c r="AG64" s="4">
        <v>-91</v>
      </c>
      <c r="AH64" s="4">
        <v>-51</v>
      </c>
      <c r="AI64" s="4">
        <v>-59</v>
      </c>
      <c r="AJ64" s="4">
        <v>-134</v>
      </c>
      <c r="AK64" s="4">
        <v>-68</v>
      </c>
      <c r="AL64" s="4">
        <v>-92</v>
      </c>
      <c r="AM64" s="4">
        <v>-84</v>
      </c>
      <c r="AN64" s="4">
        <v>-45</v>
      </c>
      <c r="AO64" s="4">
        <v>68</v>
      </c>
      <c r="AP64" s="4">
        <v>-24</v>
      </c>
      <c r="AQ64" s="4">
        <v>-84</v>
      </c>
      <c r="AR64" s="4">
        <v>-239</v>
      </c>
      <c r="AS64" s="4">
        <v>-292</v>
      </c>
      <c r="AT64" s="4">
        <v>-216</v>
      </c>
      <c r="AU64" s="4">
        <v>-36</v>
      </c>
      <c r="AV64" s="4">
        <v>-18</v>
      </c>
      <c r="AW64" s="4">
        <v>64</v>
      </c>
      <c r="AX64" s="1">
        <f>362-SUM(AU64:AW64)</f>
        <v>352</v>
      </c>
      <c r="AY64" s="4">
        <v>37</v>
      </c>
      <c r="AZ64" s="4">
        <v>-27</v>
      </c>
      <c r="BA64" s="4">
        <v>181</v>
      </c>
      <c r="BB64" s="1">
        <f>218-SUM(AY64:BA64)</f>
        <v>27</v>
      </c>
      <c r="BC64" s="4">
        <v>-31</v>
      </c>
      <c r="BD64" s="4">
        <v>-14</v>
      </c>
      <c r="BE64" s="4">
        <v>-50</v>
      </c>
      <c r="BF64" s="1">
        <f>-38-SUM(BC64:BE64)</f>
        <v>57</v>
      </c>
      <c r="BG64" s="4">
        <v>-43</v>
      </c>
      <c r="BH64" s="4">
        <v>-18</v>
      </c>
      <c r="BI64" s="4">
        <v>-17</v>
      </c>
      <c r="BJ64" s="1">
        <f>-93-SUM(BG64:BI64)</f>
        <v>-15</v>
      </c>
      <c r="BK64" s="4">
        <v>2</v>
      </c>
      <c r="BL64" s="4">
        <v>-23</v>
      </c>
      <c r="BM64" s="4">
        <v>14</v>
      </c>
      <c r="BN64" s="1">
        <f>-16-SUM(BK64:BM64)</f>
        <v>-9</v>
      </c>
      <c r="BO64" s="4">
        <v>-34</v>
      </c>
      <c r="BP64" s="4">
        <v>213</v>
      </c>
      <c r="BQ64" s="4">
        <v>-22</v>
      </c>
      <c r="BR64" s="1">
        <v>-36</v>
      </c>
      <c r="BS64" s="1">
        <v>151</v>
      </c>
      <c r="BT64" s="1">
        <v>-22</v>
      </c>
      <c r="BU64" s="57"/>
      <c r="BV64" s="57"/>
      <c r="CA64" s="4">
        <f>SUM(C64:F64)</f>
        <v>-414</v>
      </c>
      <c r="CB64" s="4">
        <f>SUM(G64:J64)</f>
        <v>-407</v>
      </c>
      <c r="CC64" s="4">
        <f>SUM(K64:N64)</f>
        <v>-262</v>
      </c>
      <c r="CD64" s="4">
        <f>SUM(O64:R64)</f>
        <v>-239</v>
      </c>
      <c r="CE64" s="4">
        <f>SUM(S64:V64)</f>
        <v>-343</v>
      </c>
      <c r="CF64" s="4">
        <f>SUM(W64:Z64)</f>
        <v>-208</v>
      </c>
      <c r="CG64" s="4">
        <f>SUM(AA64:AD64)</f>
        <v>-367</v>
      </c>
      <c r="CH64" s="4">
        <f>SUM(AE64:AH64)</f>
        <v>-270</v>
      </c>
      <c r="CI64" s="4">
        <f>SUM(AI64:AL64)</f>
        <v>-353</v>
      </c>
      <c r="CJ64" s="4">
        <f>SUM(AM64:AP64)</f>
        <v>-85</v>
      </c>
      <c r="CK64" s="4">
        <f>SUM(AQ64:AT64)</f>
        <v>-831</v>
      </c>
      <c r="CL64" s="4">
        <f t="shared" si="81"/>
        <v>362</v>
      </c>
      <c r="CM64" s="4">
        <f t="shared" si="82"/>
        <v>218</v>
      </c>
      <c r="CN64" s="4">
        <f t="shared" si="83"/>
        <v>-38</v>
      </c>
      <c r="CO64" s="4">
        <f t="shared" si="84"/>
        <v>-93</v>
      </c>
      <c r="CP64" s="4">
        <f t="shared" si="85"/>
        <v>-16</v>
      </c>
      <c r="CQ64" s="4">
        <f t="shared" si="86"/>
        <v>121</v>
      </c>
      <c r="CR64" s="37">
        <f>(BS81+BS82)*($DK$81)</f>
        <v>380.8</v>
      </c>
      <c r="CS64" s="37">
        <f t="shared" ref="CS64:DA64" si="102">CR81*($DK$81)</f>
        <v>405.92940252450012</v>
      </c>
      <c r="CT64" s="37">
        <f t="shared" si="102"/>
        <v>613.6953971889327</v>
      </c>
      <c r="CU64" s="37">
        <f t="shared" si="102"/>
        <v>882.04015378853467</v>
      </c>
      <c r="CV64" s="37">
        <f t="shared" si="102"/>
        <v>1208.1649620591043</v>
      </c>
      <c r="CW64" s="37">
        <f t="shared" si="102"/>
        <v>1592.1277564869451</v>
      </c>
      <c r="CX64" s="37">
        <f t="shared" si="102"/>
        <v>2044.5770986972807</v>
      </c>
      <c r="CY64" s="37">
        <f t="shared" si="102"/>
        <v>2566.9273380937598</v>
      </c>
      <c r="CZ64" s="37">
        <f t="shared" si="102"/>
        <v>3167.7140928982262</v>
      </c>
      <c r="DA64" s="37">
        <f t="shared" si="102"/>
        <v>3844.4312786645919</v>
      </c>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row>
    <row r="65" spans="2:146" s="4" customFormat="1">
      <c r="B65" s="4" t="s">
        <v>19</v>
      </c>
      <c r="C65" s="4">
        <f t="shared" ref="C65:BN65" si="103">C62+C63+C64</f>
        <v>-97</v>
      </c>
      <c r="D65" s="4">
        <f t="shared" si="103"/>
        <v>180</v>
      </c>
      <c r="E65" s="4">
        <f t="shared" si="103"/>
        <v>-44</v>
      </c>
      <c r="F65" s="4">
        <f t="shared" si="103"/>
        <v>-1347</v>
      </c>
      <c r="G65" s="4">
        <f t="shared" si="103"/>
        <v>-1575</v>
      </c>
      <c r="H65" s="4">
        <f t="shared" si="103"/>
        <v>119</v>
      </c>
      <c r="I65" s="4">
        <f t="shared" si="103"/>
        <v>163</v>
      </c>
      <c r="J65" s="4">
        <f t="shared" si="103"/>
        <v>230</v>
      </c>
      <c r="K65" s="4">
        <f t="shared" si="103"/>
        <v>273</v>
      </c>
      <c r="L65" s="4">
        <f t="shared" si="103"/>
        <v>158</v>
      </c>
      <c r="M65" s="4">
        <f t="shared" si="103"/>
        <v>111</v>
      </c>
      <c r="N65" s="4">
        <f t="shared" si="103"/>
        <v>100</v>
      </c>
      <c r="O65" s="4">
        <f t="shared" si="103"/>
        <v>123</v>
      </c>
      <c r="P65" s="4">
        <f t="shared" si="103"/>
        <v>-3618</v>
      </c>
      <c r="Q65" s="4">
        <f t="shared" si="103"/>
        <v>-663</v>
      </c>
      <c r="R65" s="4">
        <f t="shared" si="103"/>
        <v>51</v>
      </c>
      <c r="S65" s="4">
        <f t="shared" si="103"/>
        <v>-394</v>
      </c>
      <c r="T65" s="4">
        <f t="shared" si="103"/>
        <v>152</v>
      </c>
      <c r="U65" s="4">
        <f t="shared" si="103"/>
        <v>-40</v>
      </c>
      <c r="V65" s="4">
        <f t="shared" si="103"/>
        <v>59</v>
      </c>
      <c r="W65" s="4">
        <f t="shared" si="103"/>
        <v>146</v>
      </c>
      <c r="X65" s="4">
        <f t="shared" si="103"/>
        <v>-104</v>
      </c>
      <c r="Y65" s="4">
        <f t="shared" si="103"/>
        <v>3</v>
      </c>
      <c r="Z65" s="4">
        <f t="shared" si="103"/>
        <v>-554</v>
      </c>
      <c r="AA65" s="4">
        <f t="shared" si="103"/>
        <v>-51</v>
      </c>
      <c r="AB65" s="4">
        <f t="shared" si="103"/>
        <v>105</v>
      </c>
      <c r="AC65" s="4">
        <f t="shared" si="103"/>
        <v>-367</v>
      </c>
      <c r="AD65" s="4">
        <f t="shared" si="103"/>
        <v>-337</v>
      </c>
      <c r="AE65" s="4">
        <f t="shared" si="103"/>
        <v>228</v>
      </c>
      <c r="AF65" s="4">
        <f t="shared" si="103"/>
        <v>-397</v>
      </c>
      <c r="AG65" s="4">
        <f t="shared" si="103"/>
        <v>257</v>
      </c>
      <c r="AH65" s="4">
        <f t="shared" si="103"/>
        <v>89</v>
      </c>
      <c r="AI65" s="4">
        <f t="shared" si="103"/>
        <v>305</v>
      </c>
      <c r="AJ65" s="4">
        <f t="shared" si="103"/>
        <v>91</v>
      </c>
      <c r="AK65" s="4">
        <f t="shared" si="103"/>
        <v>309</v>
      </c>
      <c r="AL65" s="4">
        <f t="shared" si="103"/>
        <v>227</v>
      </c>
      <c r="AM65" s="4">
        <f t="shared" si="103"/>
        <v>323</v>
      </c>
      <c r="AN65" s="4">
        <f t="shared" si="103"/>
        <v>347</v>
      </c>
      <c r="AO65" s="4">
        <f t="shared" si="103"/>
        <v>456</v>
      </c>
      <c r="AP65" s="4">
        <f t="shared" si="103"/>
        <v>295</v>
      </c>
      <c r="AQ65" s="4">
        <f t="shared" si="103"/>
        <v>457</v>
      </c>
      <c r="AR65" s="4">
        <f t="shared" si="103"/>
        <v>145</v>
      </c>
      <c r="AS65" s="4">
        <f t="shared" si="103"/>
        <v>91</v>
      </c>
      <c r="AT65" s="4">
        <f t="shared" si="103"/>
        <v>-6</v>
      </c>
      <c r="AU65" s="4">
        <f t="shared" si="103"/>
        <v>22</v>
      </c>
      <c r="AV65" s="4">
        <f t="shared" si="103"/>
        <v>-180</v>
      </c>
      <c r="AW65" s="4">
        <f t="shared" si="103"/>
        <v>-227</v>
      </c>
      <c r="AX65" s="4">
        <f t="shared" si="103"/>
        <v>306</v>
      </c>
      <c r="AY65" s="4">
        <f t="shared" si="103"/>
        <v>325</v>
      </c>
      <c r="AZ65" s="4">
        <f t="shared" si="103"/>
        <v>149</v>
      </c>
      <c r="BA65" s="4">
        <f t="shared" si="103"/>
        <v>482</v>
      </c>
      <c r="BB65" s="4">
        <f t="shared" si="103"/>
        <v>119</v>
      </c>
      <c r="BC65" s="4">
        <f t="shared" si="103"/>
        <v>156</v>
      </c>
      <c r="BD65" s="4">
        <f t="shared" si="103"/>
        <v>345</v>
      </c>
      <c r="BE65" s="4">
        <f t="shared" si="103"/>
        <v>245</v>
      </c>
      <c r="BF65" s="4">
        <f t="shared" si="103"/>
        <v>393</v>
      </c>
      <c r="BG65" s="4">
        <f>BG62+BG63+BG64</f>
        <v>444</v>
      </c>
      <c r="BH65" s="4">
        <f t="shared" si="103"/>
        <v>426</v>
      </c>
      <c r="BI65" s="4">
        <f t="shared" si="103"/>
        <v>610</v>
      </c>
      <c r="BJ65" s="4">
        <f t="shared" si="103"/>
        <v>505</v>
      </c>
      <c r="BK65" s="4">
        <f t="shared" si="103"/>
        <v>608</v>
      </c>
      <c r="BL65" s="4">
        <f t="shared" si="103"/>
        <v>420</v>
      </c>
      <c r="BM65" s="4">
        <f t="shared" si="103"/>
        <v>668</v>
      </c>
      <c r="BN65" s="4">
        <f t="shared" si="103"/>
        <v>588</v>
      </c>
      <c r="BO65" s="4">
        <f t="shared" ref="BO65:BS65" si="104">BO62+BO63+BO64</f>
        <v>805</v>
      </c>
      <c r="BP65" s="4">
        <f t="shared" si="104"/>
        <v>942</v>
      </c>
      <c r="BQ65" s="4">
        <f t="shared" si="104"/>
        <v>939</v>
      </c>
      <c r="BR65" s="1">
        <f t="shared" si="104"/>
        <v>699</v>
      </c>
      <c r="BS65" s="1">
        <f t="shared" si="104"/>
        <v>1162</v>
      </c>
      <c r="BT65" s="1">
        <f t="shared" ref="BT65" si="105">BT62+BT63+BT64</f>
        <v>1060</v>
      </c>
      <c r="BU65" s="57"/>
      <c r="BV65" s="57"/>
      <c r="CA65" s="4">
        <f>SUM(C65:F65)</f>
        <v>-1308</v>
      </c>
      <c r="CB65" s="4">
        <f>SUM(G65:J65)</f>
        <v>-1063</v>
      </c>
      <c r="CC65" s="4">
        <f>SUM(K65:N65)</f>
        <v>642</v>
      </c>
      <c r="CD65" s="4">
        <f>SUM(O65:R65)</f>
        <v>-4107</v>
      </c>
      <c r="CE65" s="4">
        <f>SUM(S65:V65)</f>
        <v>-223</v>
      </c>
      <c r="CF65" s="4">
        <f>SUM(W65:Z65)</f>
        <v>-509</v>
      </c>
      <c r="CG65" s="4">
        <f>SUM(AA65:AD65)</f>
        <v>-650</v>
      </c>
      <c r="CH65" s="4">
        <f>SUM(AE65:AH65)</f>
        <v>177</v>
      </c>
      <c r="CI65" s="4">
        <f>SUM(AI65:AL65)</f>
        <v>932</v>
      </c>
      <c r="CJ65" s="4">
        <f>SUM(AM65:AP65)</f>
        <v>1421</v>
      </c>
      <c r="CK65" s="4">
        <f>SUM(AQ65:AT65)</f>
        <v>687</v>
      </c>
      <c r="CL65" s="4">
        <f t="shared" si="81"/>
        <v>-79</v>
      </c>
      <c r="CM65" s="4">
        <f t="shared" si="82"/>
        <v>1075</v>
      </c>
      <c r="CN65" s="4">
        <f t="shared" si="83"/>
        <v>1139</v>
      </c>
      <c r="CO65" s="4">
        <f t="shared" si="84"/>
        <v>1985</v>
      </c>
      <c r="CP65" s="4">
        <f t="shared" si="85"/>
        <v>2284</v>
      </c>
      <c r="CQ65" s="4">
        <f t="shared" si="86"/>
        <v>3385</v>
      </c>
      <c r="CR65" s="37">
        <f>CR62+SUM(CR63:CR64)</f>
        <v>3536.0000300000011</v>
      </c>
      <c r="CS65" s="37">
        <f t="shared" ref="CS65:DA65" si="106">CS62+SUM(CS63:CS64)</f>
        <v>2777.6202495244997</v>
      </c>
      <c r="CT65" s="37">
        <f t="shared" si="106"/>
        <v>3670.9269028673316</v>
      </c>
      <c r="CU65" s="37">
        <f t="shared" si="106"/>
        <v>4567.5743455261854</v>
      </c>
      <c r="CV65" s="37">
        <f t="shared" si="106"/>
        <v>5508.7918856218221</v>
      </c>
      <c r="CW65" s="37">
        <f t="shared" si="106"/>
        <v>6571.5227626773476</v>
      </c>
      <c r="CX65" s="37">
        <f t="shared" si="106"/>
        <v>7681.6211675952782</v>
      </c>
      <c r="CY65" s="37">
        <f t="shared" si="106"/>
        <v>8835.0993353597987</v>
      </c>
      <c r="CZ65" s="37">
        <f t="shared" si="106"/>
        <v>9951.7233200936116</v>
      </c>
      <c r="DA65" s="37">
        <f t="shared" si="106"/>
        <v>11055.425376086137</v>
      </c>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row>
    <row r="66" spans="2:146" s="4" customFormat="1">
      <c r="B66" s="4" t="s">
        <v>91</v>
      </c>
      <c r="C66" s="4">
        <v>-84</v>
      </c>
      <c r="D66" s="4">
        <v>22</v>
      </c>
      <c r="E66" s="4">
        <v>50</v>
      </c>
      <c r="F66" s="4">
        <v>-271</v>
      </c>
      <c r="G66" s="4">
        <v>14</v>
      </c>
      <c r="H66" s="4">
        <v>21</v>
      </c>
      <c r="I66" s="4">
        <v>-27</v>
      </c>
      <c r="J66" s="4">
        <v>-6</v>
      </c>
      <c r="K66" s="4">
        <v>227</v>
      </c>
      <c r="L66" s="4">
        <v>12</v>
      </c>
      <c r="M66" s="4">
        <v>-31</v>
      </c>
      <c r="N66" s="4">
        <v>-7</v>
      </c>
      <c r="O66" s="4">
        <v>10</v>
      </c>
      <c r="P66" s="4">
        <v>-40</v>
      </c>
      <c r="Q66" s="4">
        <v>1</v>
      </c>
      <c r="R66" s="4">
        <v>-10</v>
      </c>
      <c r="S66" s="4">
        <v>-40</v>
      </c>
      <c r="T66" s="4">
        <v>22</v>
      </c>
      <c r="U66" s="4">
        <v>-35</v>
      </c>
      <c r="V66" s="4">
        <v>-49</v>
      </c>
      <c r="W66" s="4">
        <v>13</v>
      </c>
      <c r="X66" s="4">
        <v>-108</v>
      </c>
      <c r="Y66" s="4">
        <v>-40</v>
      </c>
      <c r="Z66" s="4">
        <v>-255</v>
      </c>
      <c r="AA66" s="4">
        <v>-50</v>
      </c>
      <c r="AB66" s="4">
        <v>3</v>
      </c>
      <c r="AC66" s="4">
        <v>-169</v>
      </c>
      <c r="AD66" s="4">
        <v>-195</v>
      </c>
      <c r="AE66" s="4">
        <v>26</v>
      </c>
      <c r="AF66" s="4">
        <v>-190</v>
      </c>
      <c r="AG66" s="4">
        <v>29</v>
      </c>
      <c r="AH66" s="4">
        <v>-35</v>
      </c>
      <c r="AI66" s="4">
        <v>15</v>
      </c>
      <c r="AJ66" s="4">
        <v>-55</v>
      </c>
      <c r="AK66" s="4">
        <v>26</v>
      </c>
      <c r="AL66" s="4">
        <v>842</v>
      </c>
      <c r="AM66" s="4">
        <v>26</v>
      </c>
      <c r="AN66" s="4">
        <v>-209</v>
      </c>
      <c r="AO66" s="4">
        <v>24</v>
      </c>
      <c r="AP66" s="4">
        <v>-90</v>
      </c>
      <c r="AQ66" s="4">
        <v>33</v>
      </c>
      <c r="AR66" s="4">
        <v>-9</v>
      </c>
      <c r="AS66" s="4">
        <v>-35</v>
      </c>
      <c r="AT66" s="4">
        <v>-4002</v>
      </c>
      <c r="AU66" s="4">
        <v>11</v>
      </c>
      <c r="AV66" s="4">
        <v>-33</v>
      </c>
      <c r="AW66" s="4">
        <v>-72</v>
      </c>
      <c r="AX66" s="1">
        <f>2-SUM(AU66:AW66)</f>
        <v>96</v>
      </c>
      <c r="AY66" s="4">
        <v>-16</v>
      </c>
      <c r="AZ66" s="4">
        <v>-37</v>
      </c>
      <c r="BA66" s="4">
        <v>63</v>
      </c>
      <c r="BB66" s="1">
        <f>36-SUM(AY66:BA66)</f>
        <v>26</v>
      </c>
      <c r="BC66" s="4">
        <v>45</v>
      </c>
      <c r="BD66" s="4">
        <v>85</v>
      </c>
      <c r="BE66" s="4">
        <v>57</v>
      </c>
      <c r="BF66" s="1">
        <f>443-SUM(BC66:BE66)</f>
        <v>256</v>
      </c>
      <c r="BG66" s="4">
        <v>130</v>
      </c>
      <c r="BH66" s="4">
        <v>156</v>
      </c>
      <c r="BI66" s="4">
        <v>106</v>
      </c>
      <c r="BJ66" s="1">
        <f>393-SUM(BG66:BI66)</f>
        <v>1</v>
      </c>
      <c r="BK66" s="4">
        <v>115</v>
      </c>
      <c r="BL66" s="4">
        <v>98</v>
      </c>
      <c r="BM66" s="4">
        <v>200</v>
      </c>
      <c r="BN66" s="1">
        <f>436-SUM(BK66:BM66)</f>
        <v>23</v>
      </c>
      <c r="BO66" s="4">
        <v>133</v>
      </c>
      <c r="BP66" s="4">
        <v>146</v>
      </c>
      <c r="BQ66" s="4">
        <v>184</v>
      </c>
      <c r="BR66" s="1">
        <v>30</v>
      </c>
      <c r="BS66" s="1">
        <v>-177</v>
      </c>
      <c r="BT66" s="1">
        <v>155</v>
      </c>
      <c r="BU66" s="57"/>
      <c r="BV66" s="57"/>
      <c r="CA66" s="4">
        <f>SUM(C66:F66)</f>
        <v>-283</v>
      </c>
      <c r="CB66" s="4">
        <f>SUM(G66:J66)</f>
        <v>2</v>
      </c>
      <c r="CC66" s="4">
        <f>SUM(K66:N66)</f>
        <v>201</v>
      </c>
      <c r="CD66" s="4">
        <f>SUM(O66:R66)</f>
        <v>-39</v>
      </c>
      <c r="CE66" s="4">
        <f>SUM(S66:V66)</f>
        <v>-102</v>
      </c>
      <c r="CF66" s="4">
        <f>SUM(W66:Z66)</f>
        <v>-390</v>
      </c>
      <c r="CG66" s="4">
        <f>SUM(AA66:AD66)</f>
        <v>-411</v>
      </c>
      <c r="CH66" s="4">
        <f>SUM(AE66:AH66)</f>
        <v>-170</v>
      </c>
      <c r="CI66" s="4">
        <f>SUM(AI66:AL66)</f>
        <v>828</v>
      </c>
      <c r="CJ66" s="4">
        <f>SUM(AM66:AP66)</f>
        <v>-249</v>
      </c>
      <c r="CK66" s="4">
        <f>SUM(AQ66:AT66)</f>
        <v>-4013</v>
      </c>
      <c r="CL66" s="4">
        <f t="shared" si="81"/>
        <v>2</v>
      </c>
      <c r="CM66" s="4">
        <f t="shared" si="82"/>
        <v>36</v>
      </c>
      <c r="CN66" s="4">
        <f t="shared" si="83"/>
        <v>443</v>
      </c>
      <c r="CO66" s="4">
        <f t="shared" si="84"/>
        <v>393</v>
      </c>
      <c r="CP66" s="4">
        <f t="shared" si="85"/>
        <v>436</v>
      </c>
      <c r="CQ66" s="4">
        <f t="shared" si="86"/>
        <v>493</v>
      </c>
      <c r="CR66" s="37">
        <f t="shared" ref="CR66:DA66" si="107">CR65*CR78</f>
        <v>35.36000030000001</v>
      </c>
      <c r="CS66" s="37">
        <f t="shared" si="107"/>
        <v>333.31442994293997</v>
      </c>
      <c r="CT66" s="37">
        <f t="shared" si="107"/>
        <v>513.92976640142649</v>
      </c>
      <c r="CU66" s="37">
        <f t="shared" si="107"/>
        <v>730.81189528418963</v>
      </c>
      <c r="CV66" s="37">
        <f t="shared" si="107"/>
        <v>991.58253941192788</v>
      </c>
      <c r="CW66" s="37">
        <f t="shared" si="107"/>
        <v>1248.589324908696</v>
      </c>
      <c r="CX66" s="37">
        <f t="shared" si="107"/>
        <v>1536.3242335190557</v>
      </c>
      <c r="CY66" s="37">
        <f t="shared" si="107"/>
        <v>1767.0198670719599</v>
      </c>
      <c r="CZ66" s="37">
        <f t="shared" si="107"/>
        <v>1990.3446640187224</v>
      </c>
      <c r="DA66" s="37">
        <f t="shared" si="107"/>
        <v>2211.0850752172278</v>
      </c>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row>
    <row r="67" spans="2:146" s="4" customFormat="1">
      <c r="B67" s="4" t="s">
        <v>18</v>
      </c>
      <c r="C67" s="4">
        <f t="shared" ref="C67:BM67" si="108">C65-C66</f>
        <v>-13</v>
      </c>
      <c r="D67" s="4">
        <f t="shared" si="108"/>
        <v>158</v>
      </c>
      <c r="E67" s="4">
        <f t="shared" si="108"/>
        <v>-94</v>
      </c>
      <c r="F67" s="4">
        <f t="shared" si="108"/>
        <v>-1076</v>
      </c>
      <c r="G67" s="4">
        <f t="shared" si="108"/>
        <v>-1589</v>
      </c>
      <c r="H67" s="4">
        <f t="shared" si="108"/>
        <v>98</v>
      </c>
      <c r="I67" s="4">
        <f t="shared" si="108"/>
        <v>190</v>
      </c>
      <c r="J67" s="4">
        <f t="shared" si="108"/>
        <v>236</v>
      </c>
      <c r="K67" s="4">
        <f t="shared" si="108"/>
        <v>46</v>
      </c>
      <c r="L67" s="4">
        <f t="shared" si="108"/>
        <v>146</v>
      </c>
      <c r="M67" s="4">
        <f t="shared" si="108"/>
        <v>142</v>
      </c>
      <c r="N67" s="4">
        <f t="shared" si="108"/>
        <v>107</v>
      </c>
      <c r="O67" s="4">
        <f t="shared" si="108"/>
        <v>113</v>
      </c>
      <c r="P67" s="4">
        <f t="shared" si="108"/>
        <v>-3578</v>
      </c>
      <c r="Q67" s="4">
        <f t="shared" si="108"/>
        <v>-664</v>
      </c>
      <c r="R67" s="4">
        <f t="shared" si="108"/>
        <v>61</v>
      </c>
      <c r="S67" s="4">
        <f t="shared" si="108"/>
        <v>-354</v>
      </c>
      <c r="T67" s="4">
        <f t="shared" si="108"/>
        <v>130</v>
      </c>
      <c r="U67" s="4">
        <f t="shared" si="108"/>
        <v>-5</v>
      </c>
      <c r="V67" s="4">
        <f t="shared" si="108"/>
        <v>108</v>
      </c>
      <c r="W67" s="4">
        <f t="shared" si="108"/>
        <v>133</v>
      </c>
      <c r="X67" s="4">
        <f t="shared" si="108"/>
        <v>4</v>
      </c>
      <c r="Y67" s="4">
        <f t="shared" si="108"/>
        <v>43</v>
      </c>
      <c r="Z67" s="4">
        <f t="shared" si="108"/>
        <v>-299</v>
      </c>
      <c r="AA67" s="4">
        <f t="shared" si="108"/>
        <v>-1</v>
      </c>
      <c r="AB67" s="4">
        <f t="shared" si="108"/>
        <v>102</v>
      </c>
      <c r="AC67" s="4">
        <f t="shared" si="108"/>
        <v>-198</v>
      </c>
      <c r="AD67" s="4">
        <f t="shared" si="108"/>
        <v>-142</v>
      </c>
      <c r="AE67" s="4">
        <f t="shared" si="108"/>
        <v>202</v>
      </c>
      <c r="AF67" s="4">
        <f t="shared" si="108"/>
        <v>-207</v>
      </c>
      <c r="AG67" s="4">
        <f t="shared" si="108"/>
        <v>228</v>
      </c>
      <c r="AH67" s="4">
        <f t="shared" si="108"/>
        <v>124</v>
      </c>
      <c r="AI67" s="4">
        <f t="shared" si="108"/>
        <v>290</v>
      </c>
      <c r="AJ67" s="4">
        <f t="shared" si="108"/>
        <v>146</v>
      </c>
      <c r="AK67" s="4">
        <f t="shared" si="108"/>
        <v>283</v>
      </c>
      <c r="AL67" s="4">
        <f t="shared" si="108"/>
        <v>-615</v>
      </c>
      <c r="AM67" s="4">
        <f t="shared" si="108"/>
        <v>297</v>
      </c>
      <c r="AN67" s="4">
        <f t="shared" si="108"/>
        <v>556</v>
      </c>
      <c r="AO67" s="4">
        <f t="shared" si="108"/>
        <v>432</v>
      </c>
      <c r="AP67" s="4">
        <f t="shared" si="108"/>
        <v>385</v>
      </c>
      <c r="AQ67" s="4">
        <f t="shared" si="108"/>
        <v>424</v>
      </c>
      <c r="AR67" s="4">
        <f t="shared" si="108"/>
        <v>154</v>
      </c>
      <c r="AS67" s="4">
        <f t="shared" si="108"/>
        <v>126</v>
      </c>
      <c r="AT67" s="4">
        <f t="shared" si="108"/>
        <v>3996</v>
      </c>
      <c r="AU67" s="4">
        <f t="shared" si="108"/>
        <v>11</v>
      </c>
      <c r="AV67" s="4">
        <f t="shared" si="108"/>
        <v>-147</v>
      </c>
      <c r="AW67" s="4">
        <f t="shared" si="108"/>
        <v>-155</v>
      </c>
      <c r="AX67" s="4">
        <f t="shared" si="108"/>
        <v>210</v>
      </c>
      <c r="AY67" s="4">
        <f t="shared" si="108"/>
        <v>341</v>
      </c>
      <c r="AZ67" s="4">
        <f t="shared" si="108"/>
        <v>186</v>
      </c>
      <c r="BA67" s="4">
        <f t="shared" si="108"/>
        <v>419</v>
      </c>
      <c r="BB67" s="4">
        <f t="shared" si="108"/>
        <v>93</v>
      </c>
      <c r="BC67" s="4">
        <f t="shared" si="108"/>
        <v>111</v>
      </c>
      <c r="BD67" s="4">
        <f t="shared" si="108"/>
        <v>260</v>
      </c>
      <c r="BE67" s="4">
        <f t="shared" si="108"/>
        <v>188</v>
      </c>
      <c r="BF67" s="4">
        <f t="shared" si="108"/>
        <v>137</v>
      </c>
      <c r="BG67" s="4">
        <f t="shared" si="108"/>
        <v>314</v>
      </c>
      <c r="BH67" s="4">
        <f t="shared" si="108"/>
        <v>270</v>
      </c>
      <c r="BI67" s="4">
        <f t="shared" si="108"/>
        <v>504</v>
      </c>
      <c r="BJ67" s="4">
        <f t="shared" si="108"/>
        <v>504</v>
      </c>
      <c r="BK67" s="4">
        <f t="shared" si="108"/>
        <v>493</v>
      </c>
      <c r="BL67" s="4">
        <f t="shared" si="108"/>
        <v>322</v>
      </c>
      <c r="BM67" s="4">
        <f t="shared" si="108"/>
        <v>468</v>
      </c>
      <c r="BN67" s="4">
        <f>BN65-BN66</f>
        <v>565</v>
      </c>
      <c r="BO67" s="4">
        <f t="shared" ref="BO67:BS67" si="109">BO65-BO66</f>
        <v>672</v>
      </c>
      <c r="BP67" s="4">
        <f t="shared" si="109"/>
        <v>796</v>
      </c>
      <c r="BQ67" s="4">
        <f t="shared" si="109"/>
        <v>755</v>
      </c>
      <c r="BR67" s="1">
        <f t="shared" si="109"/>
        <v>669</v>
      </c>
      <c r="BS67" s="1">
        <f t="shared" si="109"/>
        <v>1339</v>
      </c>
      <c r="BT67" s="1">
        <f t="shared" ref="BT67" si="110">BT65-BT66</f>
        <v>905</v>
      </c>
      <c r="BU67" s="57"/>
      <c r="BV67" s="57"/>
      <c r="CA67" s="4">
        <f>SUM(C67:F67)</f>
        <v>-1025</v>
      </c>
      <c r="CB67" s="4">
        <f>SUM(G67:J67)</f>
        <v>-1065</v>
      </c>
      <c r="CC67" s="4">
        <f>SUM(K67:N67)</f>
        <v>441</v>
      </c>
      <c r="CD67" s="4">
        <f>SUM(O67:R67)</f>
        <v>-4068</v>
      </c>
      <c r="CE67" s="4">
        <f>SUM(S67:V67)</f>
        <v>-121</v>
      </c>
      <c r="CF67" s="4">
        <f>SUM(W67:Z67)</f>
        <v>-119</v>
      </c>
      <c r="CG67" s="4">
        <f>SUM(AA67:AD67)</f>
        <v>-239</v>
      </c>
      <c r="CH67" s="4">
        <f>SUM(AE67:AH67)</f>
        <v>347</v>
      </c>
      <c r="CI67" s="4">
        <f>SUM(AI67:AL67)</f>
        <v>104</v>
      </c>
      <c r="CJ67" s="4">
        <f>SUM(AM67:AP67)</f>
        <v>1670</v>
      </c>
      <c r="CK67" s="4">
        <f>SUM(AQ67:AT67)</f>
        <v>4700</v>
      </c>
      <c r="CL67" s="4">
        <f t="shared" si="81"/>
        <v>-81</v>
      </c>
      <c r="CM67" s="4">
        <f t="shared" si="82"/>
        <v>1039</v>
      </c>
      <c r="CN67" s="4">
        <f t="shared" si="83"/>
        <v>696</v>
      </c>
      <c r="CO67" s="4">
        <f t="shared" si="84"/>
        <v>1592</v>
      </c>
      <c r="CP67" s="4">
        <f t="shared" si="85"/>
        <v>1848</v>
      </c>
      <c r="CQ67" s="4">
        <f t="shared" si="86"/>
        <v>2892</v>
      </c>
      <c r="CR67" s="37">
        <f t="shared" ref="CR67:DA67" si="111">CR65-CR66</f>
        <v>3500.6400297000009</v>
      </c>
      <c r="CS67" s="37">
        <f t="shared" si="111"/>
        <v>2444.3058195815597</v>
      </c>
      <c r="CT67" s="37">
        <f t="shared" si="111"/>
        <v>3156.997136465905</v>
      </c>
      <c r="CU67" s="37">
        <f t="shared" si="111"/>
        <v>3836.7624502419958</v>
      </c>
      <c r="CV67" s="37">
        <f t="shared" si="111"/>
        <v>4517.2093462098946</v>
      </c>
      <c r="CW67" s="37">
        <f t="shared" si="111"/>
        <v>5322.9334377686519</v>
      </c>
      <c r="CX67" s="37">
        <f t="shared" si="111"/>
        <v>6145.2969340762229</v>
      </c>
      <c r="CY67" s="37">
        <f t="shared" si="111"/>
        <v>7068.0794682878386</v>
      </c>
      <c r="CZ67" s="37">
        <f t="shared" si="111"/>
        <v>7961.3786560748895</v>
      </c>
      <c r="DA67" s="37">
        <f t="shared" si="111"/>
        <v>8844.3403008689093</v>
      </c>
      <c r="DB67" s="57"/>
      <c r="DC67" s="57"/>
      <c r="DD67" s="57"/>
      <c r="DE67" s="57"/>
      <c r="DF67" s="57"/>
      <c r="DG67" s="57"/>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row>
    <row r="68" spans="2:146" s="4" customFormat="1">
      <c r="B68" s="4" t="s">
        <v>87</v>
      </c>
      <c r="C68" s="4">
        <v>0</v>
      </c>
      <c r="D68" s="4">
        <v>0</v>
      </c>
      <c r="E68" s="4">
        <v>0</v>
      </c>
      <c r="F68" s="4">
        <v>0</v>
      </c>
      <c r="G68" s="4">
        <v>0</v>
      </c>
      <c r="H68" s="4">
        <v>0</v>
      </c>
      <c r="I68" s="4">
        <v>0</v>
      </c>
      <c r="J68" s="4">
        <v>0</v>
      </c>
      <c r="K68" s="4">
        <v>0</v>
      </c>
      <c r="L68" s="4">
        <v>0</v>
      </c>
      <c r="M68" s="4">
        <v>0</v>
      </c>
      <c r="N68" s="4">
        <v>0</v>
      </c>
      <c r="O68" s="4">
        <v>0</v>
      </c>
      <c r="P68" s="4">
        <v>0</v>
      </c>
      <c r="Q68" s="4">
        <v>0</v>
      </c>
      <c r="R68" s="4">
        <v>0</v>
      </c>
      <c r="S68" s="4">
        <v>0</v>
      </c>
      <c r="T68" s="4">
        <v>0</v>
      </c>
      <c r="U68" s="4">
        <v>0</v>
      </c>
      <c r="V68" s="4">
        <v>0</v>
      </c>
      <c r="W68" s="4">
        <v>0</v>
      </c>
      <c r="X68" s="4">
        <v>0</v>
      </c>
      <c r="Y68" s="4">
        <v>0</v>
      </c>
      <c r="Z68" s="4">
        <v>0</v>
      </c>
      <c r="AA68" s="4">
        <v>0</v>
      </c>
      <c r="AB68" s="4">
        <v>0</v>
      </c>
      <c r="AC68" s="4">
        <v>0</v>
      </c>
      <c r="AD68" s="4">
        <v>0</v>
      </c>
      <c r="AE68" s="4">
        <v>0</v>
      </c>
      <c r="AF68" s="4">
        <v>0</v>
      </c>
      <c r="AG68" s="4">
        <v>0</v>
      </c>
      <c r="AH68" s="4">
        <v>0</v>
      </c>
      <c r="AI68" s="4">
        <v>0</v>
      </c>
      <c r="AJ68" s="4">
        <v>0</v>
      </c>
      <c r="AK68" s="4">
        <v>0</v>
      </c>
      <c r="AL68" s="4">
        <v>0</v>
      </c>
      <c r="AM68" s="4">
        <v>0</v>
      </c>
      <c r="AN68" s="4">
        <v>0</v>
      </c>
      <c r="AO68" s="4">
        <v>0</v>
      </c>
      <c r="AP68" s="4">
        <v>0</v>
      </c>
      <c r="AQ68" s="4">
        <v>0</v>
      </c>
      <c r="AR68" s="4">
        <v>0</v>
      </c>
      <c r="AS68" s="4">
        <v>0</v>
      </c>
      <c r="AT68" s="4">
        <v>0</v>
      </c>
      <c r="AU68" s="4">
        <v>0</v>
      </c>
      <c r="AV68" s="4">
        <v>-5</v>
      </c>
      <c r="AW68" s="4">
        <v>-14</v>
      </c>
      <c r="AX68" s="1">
        <f>-33-SUM(AU68:AW68)</f>
        <v>-14</v>
      </c>
      <c r="AY68" s="4">
        <v>-14</v>
      </c>
      <c r="AZ68" s="4">
        <v>-14</v>
      </c>
      <c r="BA68" s="4">
        <v>-14</v>
      </c>
      <c r="BB68" s="1">
        <f>-55-SUM(AY68:BA68)</f>
        <v>-13</v>
      </c>
      <c r="BC68" s="4">
        <v>-14</v>
      </c>
      <c r="BD68" s="4">
        <v>-14</v>
      </c>
      <c r="BE68" s="4">
        <v>-14</v>
      </c>
      <c r="BF68" s="1">
        <f>-55-SUM(BC68:BE68)</f>
        <v>-13</v>
      </c>
      <c r="BG68" s="4">
        <v>-14</v>
      </c>
      <c r="BH68" s="4">
        <v>-9</v>
      </c>
      <c r="BI68" s="4">
        <v>0</v>
      </c>
      <c r="BJ68" s="1">
        <f>-23-SUM(BG68:BI68)</f>
        <v>0</v>
      </c>
      <c r="BK68" s="4">
        <v>0</v>
      </c>
      <c r="BL68" s="4">
        <v>0</v>
      </c>
      <c r="BM68" s="4">
        <v>0</v>
      </c>
      <c r="BN68" s="1">
        <f>0-SUM(BK68:BM68)</f>
        <v>0</v>
      </c>
      <c r="BO68" s="4">
        <v>0</v>
      </c>
      <c r="BP68" s="4">
        <v>0</v>
      </c>
      <c r="BQ68" s="4">
        <v>0</v>
      </c>
      <c r="BR68" s="1">
        <v>0</v>
      </c>
      <c r="BS68" s="1">
        <v>0</v>
      </c>
      <c r="BT68" s="1">
        <v>0</v>
      </c>
      <c r="BU68" s="57"/>
      <c r="BV68" s="57"/>
      <c r="CA68" s="4">
        <v>0</v>
      </c>
      <c r="CB68" s="4">
        <v>0</v>
      </c>
      <c r="CC68" s="4">
        <v>0</v>
      </c>
      <c r="CD68" s="4">
        <v>0</v>
      </c>
      <c r="CE68" s="4">
        <v>0</v>
      </c>
      <c r="CF68" s="4">
        <v>0</v>
      </c>
      <c r="CG68" s="4">
        <v>0</v>
      </c>
      <c r="CH68" s="4">
        <v>0</v>
      </c>
      <c r="CI68" s="4">
        <v>0</v>
      </c>
      <c r="CJ68" s="4">
        <v>0</v>
      </c>
      <c r="CK68" s="4">
        <v>0</v>
      </c>
      <c r="CL68" s="4">
        <f t="shared" si="81"/>
        <v>-33</v>
      </c>
      <c r="CM68" s="4">
        <f t="shared" si="82"/>
        <v>-55</v>
      </c>
      <c r="CN68" s="4">
        <f t="shared" si="83"/>
        <v>-55</v>
      </c>
      <c r="CO68" s="4">
        <f t="shared" si="84"/>
        <v>-23</v>
      </c>
      <c r="CP68" s="4">
        <f t="shared" si="85"/>
        <v>0</v>
      </c>
      <c r="CQ68" s="4">
        <f t="shared" si="86"/>
        <v>0</v>
      </c>
      <c r="CR68" s="37">
        <v>0</v>
      </c>
      <c r="CS68" s="37">
        <v>0</v>
      </c>
      <c r="CT68" s="37">
        <v>0</v>
      </c>
      <c r="CU68" s="37">
        <v>0</v>
      </c>
      <c r="CV68" s="37">
        <v>0</v>
      </c>
      <c r="CW68" s="37">
        <v>0</v>
      </c>
      <c r="CX68" s="37">
        <v>0</v>
      </c>
      <c r="CY68" s="37">
        <v>0</v>
      </c>
      <c r="CZ68" s="37">
        <v>0</v>
      </c>
      <c r="DA68" s="37">
        <v>0</v>
      </c>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row>
    <row r="69" spans="2:146" s="4" customFormat="1">
      <c r="B69" s="4" t="s">
        <v>89</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0</v>
      </c>
      <c r="AE69" s="4">
        <v>0</v>
      </c>
      <c r="AF69" s="4">
        <v>0</v>
      </c>
      <c r="AG69" s="4">
        <v>0</v>
      </c>
      <c r="AH69" s="4">
        <v>0</v>
      </c>
      <c r="AI69" s="4">
        <v>0</v>
      </c>
      <c r="AJ69" s="4">
        <v>0</v>
      </c>
      <c r="AK69" s="4">
        <v>0</v>
      </c>
      <c r="AL69" s="4">
        <v>0</v>
      </c>
      <c r="AM69" s="4">
        <v>0</v>
      </c>
      <c r="AN69" s="4">
        <v>0</v>
      </c>
      <c r="AO69" s="4">
        <v>0</v>
      </c>
      <c r="AP69" s="4">
        <v>0</v>
      </c>
      <c r="AQ69" s="4">
        <v>0</v>
      </c>
      <c r="AR69" s="4">
        <v>0</v>
      </c>
      <c r="AS69" s="4">
        <v>0</v>
      </c>
      <c r="AT69" s="4">
        <v>0</v>
      </c>
      <c r="AU69" s="4">
        <v>0</v>
      </c>
      <c r="AV69" s="4">
        <v>0</v>
      </c>
      <c r="AW69" s="4">
        <v>0</v>
      </c>
      <c r="AX69" s="1">
        <v>0</v>
      </c>
      <c r="AY69" s="4">
        <v>0</v>
      </c>
      <c r="AZ69" s="4">
        <v>0</v>
      </c>
      <c r="BA69" s="4">
        <v>0</v>
      </c>
      <c r="BB69" s="1">
        <v>0</v>
      </c>
      <c r="BC69" s="4">
        <v>0</v>
      </c>
      <c r="BD69" s="4">
        <v>0</v>
      </c>
      <c r="BE69" s="4">
        <v>0</v>
      </c>
      <c r="BF69" s="1">
        <v>0</v>
      </c>
      <c r="BG69" s="4">
        <v>0</v>
      </c>
      <c r="BH69" s="4">
        <v>0</v>
      </c>
      <c r="BI69" s="4">
        <v>0</v>
      </c>
      <c r="BJ69" s="1">
        <v>0</v>
      </c>
      <c r="BK69" s="4">
        <v>-2</v>
      </c>
      <c r="BL69" s="4">
        <v>-2</v>
      </c>
      <c r="BM69" s="4">
        <v>0</v>
      </c>
      <c r="BN69" s="1">
        <f>-4-SUM(BK69:BM69)</f>
        <v>0</v>
      </c>
      <c r="BO69" s="4">
        <v>-2</v>
      </c>
      <c r="BP69" s="4">
        <v>-1</v>
      </c>
      <c r="BQ69" s="4">
        <v>0</v>
      </c>
      <c r="BR69" s="1">
        <v>-3</v>
      </c>
      <c r="BS69" s="1">
        <v>-2</v>
      </c>
      <c r="BT69" s="1">
        <v>-2</v>
      </c>
      <c r="BU69" s="57"/>
      <c r="BV69" s="57"/>
      <c r="CA69" s="4">
        <v>0</v>
      </c>
      <c r="CB69" s="4">
        <v>0</v>
      </c>
      <c r="CC69" s="4">
        <v>0</v>
      </c>
      <c r="CD69" s="4">
        <v>0</v>
      </c>
      <c r="CE69" s="4">
        <v>0</v>
      </c>
      <c r="CF69" s="4">
        <v>0</v>
      </c>
      <c r="CG69" s="4">
        <v>0</v>
      </c>
      <c r="CH69" s="4">
        <v>0</v>
      </c>
      <c r="CI69" s="4">
        <v>0</v>
      </c>
      <c r="CJ69" s="4">
        <v>0</v>
      </c>
      <c r="CK69" s="4">
        <v>0</v>
      </c>
      <c r="CL69" s="4">
        <f t="shared" si="81"/>
        <v>0</v>
      </c>
      <c r="CM69" s="4">
        <f t="shared" si="82"/>
        <v>0</v>
      </c>
      <c r="CN69" s="4">
        <f t="shared" si="83"/>
        <v>0</v>
      </c>
      <c r="CO69" s="4">
        <f t="shared" si="84"/>
        <v>0</v>
      </c>
      <c r="CP69" s="4">
        <f t="shared" si="85"/>
        <v>-4</v>
      </c>
      <c r="CQ69" s="4">
        <f t="shared" si="86"/>
        <v>-6</v>
      </c>
      <c r="CR69" s="37">
        <v>0</v>
      </c>
      <c r="CS69" s="37">
        <v>0</v>
      </c>
      <c r="CT69" s="37">
        <v>0</v>
      </c>
      <c r="CU69" s="37">
        <v>0</v>
      </c>
      <c r="CV69" s="37">
        <v>0</v>
      </c>
      <c r="CW69" s="37">
        <v>0</v>
      </c>
      <c r="CX69" s="37">
        <v>0</v>
      </c>
      <c r="CY69" s="37">
        <v>0</v>
      </c>
      <c r="CZ69" s="37">
        <v>0</v>
      </c>
      <c r="DA69" s="37">
        <v>0</v>
      </c>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row>
    <row r="70" spans="2:146" s="5" customFormat="1" ht="15">
      <c r="B70" s="5" t="s">
        <v>88</v>
      </c>
      <c r="C70" s="5">
        <f t="shared" ref="C70:BK70" si="112">C67+C68-C69</f>
        <v>-13</v>
      </c>
      <c r="D70" s="5">
        <f t="shared" si="112"/>
        <v>158</v>
      </c>
      <c r="E70" s="5">
        <f t="shared" si="112"/>
        <v>-94</v>
      </c>
      <c r="F70" s="5">
        <f t="shared" si="112"/>
        <v>-1076</v>
      </c>
      <c r="G70" s="5">
        <f t="shared" si="112"/>
        <v>-1589</v>
      </c>
      <c r="H70" s="5">
        <f t="shared" si="112"/>
        <v>98</v>
      </c>
      <c r="I70" s="5">
        <f t="shared" si="112"/>
        <v>190</v>
      </c>
      <c r="J70" s="5">
        <f t="shared" si="112"/>
        <v>236</v>
      </c>
      <c r="K70" s="5">
        <f t="shared" si="112"/>
        <v>46</v>
      </c>
      <c r="L70" s="5">
        <f t="shared" si="112"/>
        <v>146</v>
      </c>
      <c r="M70" s="5">
        <f t="shared" si="112"/>
        <v>142</v>
      </c>
      <c r="N70" s="5">
        <f t="shared" si="112"/>
        <v>107</v>
      </c>
      <c r="O70" s="5">
        <f t="shared" si="112"/>
        <v>113</v>
      </c>
      <c r="P70" s="5">
        <f t="shared" si="112"/>
        <v>-3578</v>
      </c>
      <c r="Q70" s="5">
        <f t="shared" si="112"/>
        <v>-664</v>
      </c>
      <c r="R70" s="5">
        <f t="shared" si="112"/>
        <v>61</v>
      </c>
      <c r="S70" s="5">
        <f t="shared" si="112"/>
        <v>-354</v>
      </c>
      <c r="T70" s="5">
        <f t="shared" si="112"/>
        <v>130</v>
      </c>
      <c r="U70" s="5">
        <f t="shared" si="112"/>
        <v>-5</v>
      </c>
      <c r="V70" s="5">
        <f t="shared" si="112"/>
        <v>108</v>
      </c>
      <c r="W70" s="5">
        <f t="shared" si="112"/>
        <v>133</v>
      </c>
      <c r="X70" s="5">
        <f t="shared" si="112"/>
        <v>4</v>
      </c>
      <c r="Y70" s="5">
        <f t="shared" si="112"/>
        <v>43</v>
      </c>
      <c r="Z70" s="5">
        <f t="shared" si="112"/>
        <v>-299</v>
      </c>
      <c r="AA70" s="5">
        <f t="shared" si="112"/>
        <v>-1</v>
      </c>
      <c r="AB70" s="5">
        <f t="shared" si="112"/>
        <v>102</v>
      </c>
      <c r="AC70" s="5">
        <f t="shared" si="112"/>
        <v>-198</v>
      </c>
      <c r="AD70" s="5">
        <f t="shared" si="112"/>
        <v>-142</v>
      </c>
      <c r="AE70" s="5">
        <f t="shared" si="112"/>
        <v>202</v>
      </c>
      <c r="AF70" s="5">
        <f t="shared" si="112"/>
        <v>-207</v>
      </c>
      <c r="AG70" s="5">
        <f t="shared" si="112"/>
        <v>228</v>
      </c>
      <c r="AH70" s="5">
        <f t="shared" si="112"/>
        <v>124</v>
      </c>
      <c r="AI70" s="5">
        <f t="shared" si="112"/>
        <v>290</v>
      </c>
      <c r="AJ70" s="5">
        <f t="shared" si="112"/>
        <v>146</v>
      </c>
      <c r="AK70" s="5">
        <f t="shared" si="112"/>
        <v>283</v>
      </c>
      <c r="AL70" s="5">
        <f t="shared" si="112"/>
        <v>-615</v>
      </c>
      <c r="AM70" s="5">
        <f t="shared" si="112"/>
        <v>297</v>
      </c>
      <c r="AN70" s="5">
        <f t="shared" si="112"/>
        <v>556</v>
      </c>
      <c r="AO70" s="5">
        <f t="shared" si="112"/>
        <v>432</v>
      </c>
      <c r="AP70" s="5">
        <f t="shared" si="112"/>
        <v>385</v>
      </c>
      <c r="AQ70" s="5">
        <f t="shared" si="112"/>
        <v>424</v>
      </c>
      <c r="AR70" s="5">
        <f t="shared" si="112"/>
        <v>154</v>
      </c>
      <c r="AS70" s="5">
        <f t="shared" si="112"/>
        <v>126</v>
      </c>
      <c r="AT70" s="5">
        <f t="shared" si="112"/>
        <v>3996</v>
      </c>
      <c r="AU70" s="5">
        <f t="shared" si="112"/>
        <v>11</v>
      </c>
      <c r="AV70" s="5">
        <f t="shared" si="112"/>
        <v>-152</v>
      </c>
      <c r="AW70" s="5">
        <f t="shared" si="112"/>
        <v>-169</v>
      </c>
      <c r="AX70" s="5">
        <f t="shared" si="112"/>
        <v>196</v>
      </c>
      <c r="AY70" s="5">
        <f t="shared" si="112"/>
        <v>327</v>
      </c>
      <c r="AZ70" s="5">
        <f t="shared" si="112"/>
        <v>172</v>
      </c>
      <c r="BA70" s="5">
        <f t="shared" si="112"/>
        <v>405</v>
      </c>
      <c r="BB70" s="5">
        <f t="shared" si="112"/>
        <v>80</v>
      </c>
      <c r="BC70" s="5">
        <f t="shared" si="112"/>
        <v>97</v>
      </c>
      <c r="BD70" s="5">
        <f t="shared" si="112"/>
        <v>246</v>
      </c>
      <c r="BE70" s="5">
        <f t="shared" si="112"/>
        <v>174</v>
      </c>
      <c r="BF70" s="5">
        <f t="shared" si="112"/>
        <v>124</v>
      </c>
      <c r="BG70" s="5">
        <f t="shared" si="112"/>
        <v>300</v>
      </c>
      <c r="BH70" s="5">
        <f t="shared" si="112"/>
        <v>261</v>
      </c>
      <c r="BI70" s="5">
        <f t="shared" si="112"/>
        <v>504</v>
      </c>
      <c r="BJ70" s="5">
        <f t="shared" si="112"/>
        <v>504</v>
      </c>
      <c r="BK70" s="5">
        <f t="shared" si="112"/>
        <v>495</v>
      </c>
      <c r="BL70" s="5">
        <f>BL67+BL68-BL69</f>
        <v>324</v>
      </c>
      <c r="BM70" s="5">
        <f t="shared" ref="BM70:BS70" si="113">BM67+BM68-BM69</f>
        <v>468</v>
      </c>
      <c r="BN70" s="5">
        <f t="shared" si="113"/>
        <v>565</v>
      </c>
      <c r="BO70" s="5">
        <f t="shared" si="113"/>
        <v>674</v>
      </c>
      <c r="BP70" s="5">
        <f t="shared" si="113"/>
        <v>797</v>
      </c>
      <c r="BQ70" s="5">
        <f t="shared" si="113"/>
        <v>755</v>
      </c>
      <c r="BR70" s="3">
        <f t="shared" si="113"/>
        <v>672</v>
      </c>
      <c r="BS70" s="3">
        <f t="shared" si="113"/>
        <v>1341</v>
      </c>
      <c r="BT70" s="3">
        <f t="shared" ref="BT70" si="114">BT67+BT68-BT69</f>
        <v>907</v>
      </c>
      <c r="BU70" s="58"/>
      <c r="BV70" s="58"/>
      <c r="CA70" s="5">
        <f t="shared" ref="CA70:CK70" si="115">SUM(AJ70:AM70)</f>
        <v>111</v>
      </c>
      <c r="CB70" s="5">
        <f t="shared" si="115"/>
        <v>521</v>
      </c>
      <c r="CC70" s="5">
        <f t="shared" si="115"/>
        <v>670</v>
      </c>
      <c r="CD70" s="5">
        <f t="shared" si="115"/>
        <v>1670</v>
      </c>
      <c r="CE70" s="5">
        <f t="shared" si="115"/>
        <v>1797</v>
      </c>
      <c r="CF70" s="5">
        <f t="shared" si="115"/>
        <v>1395</v>
      </c>
      <c r="CG70" s="5">
        <f t="shared" si="115"/>
        <v>1089</v>
      </c>
      <c r="CH70" s="5">
        <f t="shared" si="115"/>
        <v>4700</v>
      </c>
      <c r="CI70" s="5">
        <f t="shared" si="115"/>
        <v>4287</v>
      </c>
      <c r="CJ70" s="5">
        <f t="shared" si="115"/>
        <v>3981</v>
      </c>
      <c r="CK70" s="5">
        <f t="shared" si="115"/>
        <v>3686</v>
      </c>
      <c r="CL70" s="5">
        <f t="shared" si="81"/>
        <v>-114</v>
      </c>
      <c r="CM70" s="5">
        <f t="shared" si="82"/>
        <v>984</v>
      </c>
      <c r="CN70" s="5">
        <f t="shared" si="83"/>
        <v>641</v>
      </c>
      <c r="CO70" s="5">
        <f t="shared" si="84"/>
        <v>1569</v>
      </c>
      <c r="CP70" s="5">
        <f t="shared" si="85"/>
        <v>1852</v>
      </c>
      <c r="CQ70" s="5">
        <f t="shared" si="86"/>
        <v>2898</v>
      </c>
      <c r="CR70" s="59">
        <f t="shared" ref="CR70:DA70" si="116">CR67-SUM(CR68:CR69)</f>
        <v>3500.6400297000009</v>
      </c>
      <c r="CS70" s="59">
        <f t="shared" si="116"/>
        <v>2444.3058195815597</v>
      </c>
      <c r="CT70" s="59">
        <f t="shared" si="116"/>
        <v>3156.997136465905</v>
      </c>
      <c r="CU70" s="59">
        <f t="shared" si="116"/>
        <v>3836.7624502419958</v>
      </c>
      <c r="CV70" s="59">
        <f t="shared" si="116"/>
        <v>4517.2093462098946</v>
      </c>
      <c r="CW70" s="59">
        <f t="shared" si="116"/>
        <v>5322.9334377686519</v>
      </c>
      <c r="CX70" s="59">
        <f t="shared" si="116"/>
        <v>6145.2969340762229</v>
      </c>
      <c r="CY70" s="59">
        <f t="shared" si="116"/>
        <v>7068.0794682878386</v>
      </c>
      <c r="CZ70" s="59">
        <f t="shared" si="116"/>
        <v>7961.3786560748895</v>
      </c>
      <c r="DA70" s="59">
        <f t="shared" si="116"/>
        <v>8844.3403008689093</v>
      </c>
      <c r="DB70" s="59">
        <f t="shared" ref="DB70:EO70" si="117">DA70*(1+$DK$82)</f>
        <v>8977.0054053819422</v>
      </c>
      <c r="DC70" s="59">
        <f t="shared" si="117"/>
        <v>9111.6604864626697</v>
      </c>
      <c r="DD70" s="59">
        <f t="shared" si="117"/>
        <v>9248.3353937596094</v>
      </c>
      <c r="DE70" s="59">
        <f t="shared" si="117"/>
        <v>9387.0604246660023</v>
      </c>
      <c r="DF70" s="59">
        <f t="shared" si="117"/>
        <v>9527.8663310359916</v>
      </c>
      <c r="DG70" s="59">
        <f t="shared" si="117"/>
        <v>9670.7843260015306</v>
      </c>
      <c r="DH70" s="59">
        <f t="shared" si="117"/>
        <v>9815.8460908915531</v>
      </c>
      <c r="DI70" s="59">
        <f t="shared" si="117"/>
        <v>9963.0837822549256</v>
      </c>
      <c r="DJ70" s="59">
        <f t="shared" si="117"/>
        <v>10112.530038988749</v>
      </c>
      <c r="DK70" s="59">
        <f t="shared" si="117"/>
        <v>10264.217989573579</v>
      </c>
      <c r="DL70" s="59">
        <f t="shared" si="117"/>
        <v>10418.181259417182</v>
      </c>
      <c r="DM70" s="59">
        <f t="shared" si="117"/>
        <v>10574.453978308438</v>
      </c>
      <c r="DN70" s="59">
        <f t="shared" si="117"/>
        <v>10733.070787983064</v>
      </c>
      <c r="DO70" s="59">
        <f t="shared" si="117"/>
        <v>10894.06684980281</v>
      </c>
      <c r="DP70" s="59">
        <f t="shared" si="117"/>
        <v>11057.477852549851</v>
      </c>
      <c r="DQ70" s="59">
        <f t="shared" si="117"/>
        <v>11223.340020338099</v>
      </c>
      <c r="DR70" s="59">
        <f t="shared" si="117"/>
        <v>11391.690120643168</v>
      </c>
      <c r="DS70" s="59">
        <f t="shared" si="117"/>
        <v>11562.565472452814</v>
      </c>
      <c r="DT70" s="59">
        <f t="shared" si="117"/>
        <v>11736.003954539605</v>
      </c>
      <c r="DU70" s="59">
        <f t="shared" si="117"/>
        <v>11912.044013857698</v>
      </c>
      <c r="DV70" s="59">
        <f t="shared" si="117"/>
        <v>12090.724674065563</v>
      </c>
      <c r="DW70" s="59">
        <f t="shared" si="117"/>
        <v>12272.085544176545</v>
      </c>
      <c r="DX70" s="59">
        <f t="shared" si="117"/>
        <v>12456.166827339192</v>
      </c>
      <c r="DY70" s="59">
        <f t="shared" si="117"/>
        <v>12643.009329749279</v>
      </c>
      <c r="DZ70" s="59">
        <f t="shared" si="117"/>
        <v>12832.654469695517</v>
      </c>
      <c r="EA70" s="59">
        <f t="shared" si="117"/>
        <v>13025.144286740948</v>
      </c>
      <c r="EB70" s="59">
        <f t="shared" si="117"/>
        <v>13220.521451042061</v>
      </c>
      <c r="EC70" s="59">
        <f t="shared" si="117"/>
        <v>13418.82927280769</v>
      </c>
      <c r="ED70" s="59">
        <f t="shared" si="117"/>
        <v>13620.111711899805</v>
      </c>
      <c r="EE70" s="59">
        <f t="shared" si="117"/>
        <v>13824.413387578301</v>
      </c>
      <c r="EF70" s="59">
        <f t="shared" si="117"/>
        <v>14031.779588391973</v>
      </c>
      <c r="EG70" s="59">
        <f t="shared" si="117"/>
        <v>14242.256282217852</v>
      </c>
      <c r="EH70" s="59">
        <f t="shared" si="117"/>
        <v>14455.890126451119</v>
      </c>
      <c r="EI70" s="59">
        <f t="shared" si="117"/>
        <v>14672.728478347884</v>
      </c>
      <c r="EJ70" s="59">
        <f t="shared" si="117"/>
        <v>14892.819405523102</v>
      </c>
      <c r="EK70" s="59">
        <f t="shared" si="117"/>
        <v>15116.211696605946</v>
      </c>
      <c r="EL70" s="59">
        <f t="shared" si="117"/>
        <v>15342.954872055034</v>
      </c>
      <c r="EM70" s="59">
        <f t="shared" si="117"/>
        <v>15573.099195135857</v>
      </c>
      <c r="EN70" s="59">
        <f t="shared" si="117"/>
        <v>15806.695683062893</v>
      </c>
      <c r="EO70" s="59">
        <f t="shared" si="117"/>
        <v>16043.796118308836</v>
      </c>
      <c r="EP70" s="59"/>
    </row>
    <row r="71" spans="2:146" s="4" customFormat="1">
      <c r="B71" s="4" t="s">
        <v>1</v>
      </c>
      <c r="C71" s="4">
        <v>1504</v>
      </c>
      <c r="D71" s="4">
        <v>1507</v>
      </c>
      <c r="E71" s="4">
        <v>1509</v>
      </c>
      <c r="F71" s="4">
        <v>1507</v>
      </c>
      <c r="G71" s="4">
        <v>1515</v>
      </c>
      <c r="H71" s="4">
        <v>1516</v>
      </c>
      <c r="I71" s="4">
        <v>1519</v>
      </c>
      <c r="J71" s="4">
        <v>1517</v>
      </c>
      <c r="K71" s="4">
        <v>1527</v>
      </c>
      <c r="L71" s="4">
        <v>1529</v>
      </c>
      <c r="M71" s="4">
        <v>1514</v>
      </c>
      <c r="N71" s="4">
        <v>1509</v>
      </c>
      <c r="O71" s="4">
        <v>1445</v>
      </c>
      <c r="P71" s="4">
        <v>1423</v>
      </c>
      <c r="Q71" s="4">
        <v>1393</v>
      </c>
      <c r="R71" s="4">
        <v>1407</v>
      </c>
      <c r="S71" s="4">
        <v>1352</v>
      </c>
      <c r="T71" s="4">
        <v>1344</v>
      </c>
      <c r="U71" s="4">
        <v>1340</v>
      </c>
      <c r="V71" s="4">
        <v>1341</v>
      </c>
      <c r="W71" s="4">
        <v>1322</v>
      </c>
      <c r="X71" s="4">
        <v>1323</v>
      </c>
      <c r="Y71" s="4">
        <v>1326</v>
      </c>
      <c r="Z71" s="4">
        <v>1324</v>
      </c>
      <c r="AA71" s="4">
        <v>1334</v>
      </c>
      <c r="AB71" s="4">
        <v>1341</v>
      </c>
      <c r="AC71" s="4">
        <v>1344</v>
      </c>
      <c r="AD71" s="4">
        <v>1341</v>
      </c>
      <c r="AE71" s="4">
        <v>1350</v>
      </c>
      <c r="AF71" s="4">
        <v>1357</v>
      </c>
      <c r="AG71" s="4">
        <v>1361</v>
      </c>
      <c r="AH71" s="4">
        <v>1358</v>
      </c>
      <c r="AI71" s="4">
        <v>1365</v>
      </c>
      <c r="AJ71" s="4">
        <v>1370</v>
      </c>
      <c r="AK71" s="4">
        <v>1372</v>
      </c>
      <c r="AL71" s="4">
        <v>1370</v>
      </c>
      <c r="AM71" s="4">
        <v>1377</v>
      </c>
      <c r="AN71" s="4">
        <v>1381</v>
      </c>
      <c r="AO71" s="4">
        <v>1383</v>
      </c>
      <c r="AP71" s="4">
        <v>1381</v>
      </c>
      <c r="AQ71" s="4">
        <v>1388</v>
      </c>
      <c r="AR71" s="4">
        <v>1391</v>
      </c>
      <c r="AS71" s="4">
        <v>1393</v>
      </c>
      <c r="AT71" s="4">
        <v>1392</v>
      </c>
      <c r="AU71" s="45">
        <v>1397.4</v>
      </c>
      <c r="AV71" s="45">
        <v>1410.9</v>
      </c>
      <c r="AW71" s="45">
        <v>1430.9</v>
      </c>
      <c r="AX71" s="45">
        <v>1416.7</v>
      </c>
      <c r="AY71" s="45">
        <v>1418.7</v>
      </c>
      <c r="AZ71" s="45">
        <v>1421.3</v>
      </c>
      <c r="BA71" s="45">
        <v>1423.8</v>
      </c>
      <c r="BB71" s="45">
        <v>1422.3</v>
      </c>
      <c r="BC71" s="45">
        <v>1427.8</v>
      </c>
      <c r="BD71" s="45">
        <v>1429.7</v>
      </c>
      <c r="BE71" s="45">
        <v>1431.6</v>
      </c>
      <c r="BF71" s="45">
        <v>1430.5</v>
      </c>
      <c r="BG71" s="45">
        <v>1435.8</v>
      </c>
      <c r="BH71" s="45">
        <v>1446.2</v>
      </c>
      <c r="BI71" s="45">
        <v>1464.5</v>
      </c>
      <c r="BJ71" s="45">
        <v>1453</v>
      </c>
      <c r="BK71" s="45">
        <v>1468.4</v>
      </c>
      <c r="BL71" s="45">
        <v>1470.6</v>
      </c>
      <c r="BM71" s="45">
        <v>1472.7</v>
      </c>
      <c r="BN71" s="45">
        <v>1471.5</v>
      </c>
      <c r="BO71" s="45">
        <v>1477.2</v>
      </c>
      <c r="BP71" s="45">
        <v>1479.9</v>
      </c>
      <c r="BQ71" s="45">
        <v>1481.7</v>
      </c>
      <c r="BR71" s="46">
        <v>1482.7</v>
      </c>
      <c r="BS71" s="46">
        <v>1484.9</v>
      </c>
      <c r="BT71" s="46">
        <v>1470.2</v>
      </c>
      <c r="BU71" s="57"/>
      <c r="BV71" s="57"/>
      <c r="CA71" s="45">
        <f>F71</f>
        <v>1507</v>
      </c>
      <c r="CB71" s="45">
        <f>J71</f>
        <v>1517</v>
      </c>
      <c r="CC71" s="45">
        <f>N71</f>
        <v>1509</v>
      </c>
      <c r="CD71" s="45">
        <f>R71</f>
        <v>1407</v>
      </c>
      <c r="CE71" s="45">
        <f>V71</f>
        <v>1341</v>
      </c>
      <c r="CF71" s="45">
        <f>Z71</f>
        <v>1324</v>
      </c>
      <c r="CG71" s="45">
        <f>AD71</f>
        <v>1341</v>
      </c>
      <c r="CH71" s="45">
        <f>AH71</f>
        <v>1358</v>
      </c>
      <c r="CI71" s="45">
        <f>AL71</f>
        <v>1370</v>
      </c>
      <c r="CJ71" s="45">
        <f>AP71</f>
        <v>1381</v>
      </c>
      <c r="CK71" s="45">
        <f>AT71</f>
        <v>1392</v>
      </c>
      <c r="CL71" s="45">
        <f>AX71</f>
        <v>1416.7</v>
      </c>
      <c r="CM71" s="45">
        <f>BB71</f>
        <v>1422.3</v>
      </c>
      <c r="CN71" s="45">
        <f>BF71</f>
        <v>1430.5</v>
      </c>
      <c r="CO71" s="45">
        <f>BJ71</f>
        <v>1453</v>
      </c>
      <c r="CP71" s="45">
        <f>BN71</f>
        <v>1471.5</v>
      </c>
      <c r="CQ71" s="45">
        <f>AVERAGE(BO71:BR71)</f>
        <v>1480.375</v>
      </c>
      <c r="CR71" s="62"/>
      <c r="CS71" s="62"/>
      <c r="CT71" s="62"/>
      <c r="CU71" s="62"/>
      <c r="CV71" s="62"/>
      <c r="CW71" s="62"/>
      <c r="CX71" s="62"/>
      <c r="CY71" s="62"/>
      <c r="CZ71" s="62"/>
      <c r="DA71" s="62"/>
      <c r="DB71" s="57"/>
      <c r="DC71" s="57"/>
      <c r="DD71" s="57"/>
      <c r="DE71" s="57"/>
      <c r="DF71" s="57"/>
      <c r="DG71" s="57"/>
      <c r="DH71" s="57"/>
      <c r="DI71" s="57"/>
      <c r="DJ71" s="57"/>
      <c r="DK71" s="57"/>
      <c r="DL71" s="57"/>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row>
    <row r="72" spans="2:146" s="4" customFormat="1">
      <c r="B72" s="4" t="s">
        <v>90</v>
      </c>
      <c r="C72" s="7">
        <f t="shared" ref="C72:BN72" si="118">C70/C71</f>
        <v>-8.6436170212765961E-3</v>
      </c>
      <c r="D72" s="7">
        <f t="shared" si="118"/>
        <v>0.10484406104844061</v>
      </c>
      <c r="E72" s="7">
        <f t="shared" si="118"/>
        <v>-6.2292909211398274E-2</v>
      </c>
      <c r="F72" s="7">
        <f t="shared" si="118"/>
        <v>-0.7140013271400133</v>
      </c>
      <c r="G72" s="7">
        <f t="shared" si="118"/>
        <v>-1.0488448844884488</v>
      </c>
      <c r="H72" s="7">
        <f t="shared" si="118"/>
        <v>6.464379947229551E-2</v>
      </c>
      <c r="I72" s="7">
        <f t="shared" si="118"/>
        <v>0.12508229098090851</v>
      </c>
      <c r="J72" s="7">
        <f t="shared" si="118"/>
        <v>0.15557020435069216</v>
      </c>
      <c r="K72" s="7">
        <f t="shared" si="118"/>
        <v>3.0124426981008513E-2</v>
      </c>
      <c r="L72" s="7">
        <f t="shared" si="118"/>
        <v>9.5487246566383258E-2</v>
      </c>
      <c r="M72" s="7">
        <f t="shared" si="118"/>
        <v>9.3791281373844126E-2</v>
      </c>
      <c r="N72" s="7">
        <f t="shared" si="118"/>
        <v>7.0907886017229957E-2</v>
      </c>
      <c r="O72" s="7">
        <f t="shared" si="118"/>
        <v>7.8200692041522496E-2</v>
      </c>
      <c r="P72" s="7">
        <f t="shared" si="118"/>
        <v>-2.5144061841180605</v>
      </c>
      <c r="Q72" s="7">
        <f t="shared" si="118"/>
        <v>-0.47666905958363243</v>
      </c>
      <c r="R72" s="7">
        <f t="shared" si="118"/>
        <v>4.3354655294953803E-2</v>
      </c>
      <c r="S72" s="7">
        <f t="shared" si="118"/>
        <v>-0.26183431952662722</v>
      </c>
      <c r="T72" s="7">
        <f t="shared" si="118"/>
        <v>9.6726190476190479E-2</v>
      </c>
      <c r="U72" s="7">
        <f t="shared" si="118"/>
        <v>-3.7313432835820895E-3</v>
      </c>
      <c r="V72" s="7">
        <f t="shared" si="118"/>
        <v>8.0536912751677847E-2</v>
      </c>
      <c r="W72" s="7">
        <f t="shared" si="118"/>
        <v>0.10060514372163389</v>
      </c>
      <c r="X72" s="7">
        <f t="shared" si="118"/>
        <v>3.0234315948601664E-3</v>
      </c>
      <c r="Y72" s="7">
        <f t="shared" si="118"/>
        <v>3.2428355957767725E-2</v>
      </c>
      <c r="Z72" s="7">
        <f t="shared" si="118"/>
        <v>-0.2258308157099698</v>
      </c>
      <c r="AA72" s="7">
        <f t="shared" si="118"/>
        <v>-7.4962518740629683E-4</v>
      </c>
      <c r="AB72" s="7">
        <f t="shared" si="118"/>
        <v>7.6062639821029079E-2</v>
      </c>
      <c r="AC72" s="7">
        <f t="shared" si="118"/>
        <v>-0.14732142857142858</v>
      </c>
      <c r="AD72" s="7">
        <f t="shared" si="118"/>
        <v>-0.10589112602535421</v>
      </c>
      <c r="AE72" s="7">
        <f t="shared" si="118"/>
        <v>0.14962962962962964</v>
      </c>
      <c r="AF72" s="7">
        <f t="shared" si="118"/>
        <v>-0.15254237288135594</v>
      </c>
      <c r="AG72" s="7">
        <f t="shared" si="118"/>
        <v>0.16752387950036737</v>
      </c>
      <c r="AH72" s="7">
        <f t="shared" si="118"/>
        <v>9.1310751104565532E-2</v>
      </c>
      <c r="AI72" s="7">
        <f t="shared" si="118"/>
        <v>0.21245421245421245</v>
      </c>
      <c r="AJ72" s="7">
        <f t="shared" si="118"/>
        <v>0.10656934306569343</v>
      </c>
      <c r="AK72" s="7">
        <f t="shared" si="118"/>
        <v>0.20626822157434402</v>
      </c>
      <c r="AL72" s="7">
        <f t="shared" si="118"/>
        <v>-0.4489051094890511</v>
      </c>
      <c r="AM72" s="7">
        <f t="shared" si="118"/>
        <v>0.21568627450980393</v>
      </c>
      <c r="AN72" s="7">
        <f t="shared" si="118"/>
        <v>0.40260680666183923</v>
      </c>
      <c r="AO72" s="7">
        <f t="shared" si="118"/>
        <v>0.31236442516268981</v>
      </c>
      <c r="AP72" s="7">
        <f t="shared" si="118"/>
        <v>0.27878349022447502</v>
      </c>
      <c r="AQ72" s="7">
        <f t="shared" si="118"/>
        <v>0.30547550432276654</v>
      </c>
      <c r="AR72" s="7">
        <f t="shared" si="118"/>
        <v>0.11071171818835371</v>
      </c>
      <c r="AS72" s="7">
        <f t="shared" si="118"/>
        <v>9.0452261306532666E-2</v>
      </c>
      <c r="AT72" s="7">
        <f t="shared" si="118"/>
        <v>2.8706896551724137</v>
      </c>
      <c r="AU72" s="7">
        <f t="shared" si="118"/>
        <v>7.8717618434235009E-3</v>
      </c>
      <c r="AV72" s="7">
        <f t="shared" si="118"/>
        <v>-0.10773265291657806</v>
      </c>
      <c r="AW72" s="7">
        <f t="shared" si="118"/>
        <v>-0.11810748479977635</v>
      </c>
      <c r="AX72" s="7">
        <f t="shared" si="118"/>
        <v>0.13834968588974378</v>
      </c>
      <c r="AY72" s="7">
        <f t="shared" si="118"/>
        <v>0.23049270458870796</v>
      </c>
      <c r="AZ72" s="7">
        <f t="shared" si="118"/>
        <v>0.12101597129388589</v>
      </c>
      <c r="BA72" s="7">
        <f t="shared" si="118"/>
        <v>0.28445006321112515</v>
      </c>
      <c r="BB72" s="7">
        <f t="shared" si="118"/>
        <v>5.6246923996343949E-2</v>
      </c>
      <c r="BC72" s="7">
        <f t="shared" si="118"/>
        <v>6.7936685810337585E-2</v>
      </c>
      <c r="BD72" s="7">
        <f t="shared" si="118"/>
        <v>0.1720640693851857</v>
      </c>
      <c r="BE72" s="7">
        <f t="shared" si="118"/>
        <v>0.12154233025984913</v>
      </c>
      <c r="BF72" s="7">
        <f t="shared" si="118"/>
        <v>8.6682977979727363E-2</v>
      </c>
      <c r="BG72" s="7">
        <f t="shared" si="118"/>
        <v>0.20894274968658588</v>
      </c>
      <c r="BH72" s="7">
        <f t="shared" si="118"/>
        <v>0.18047296362882034</v>
      </c>
      <c r="BI72" s="7">
        <f t="shared" si="118"/>
        <v>0.34414475930351657</v>
      </c>
      <c r="BJ72" s="7">
        <f t="shared" si="118"/>
        <v>0.34686854783207155</v>
      </c>
      <c r="BK72" s="7">
        <f t="shared" si="118"/>
        <v>0.33710160719150095</v>
      </c>
      <c r="BL72" s="7">
        <f t="shared" si="118"/>
        <v>0.22031823745410037</v>
      </c>
      <c r="BM72" s="7">
        <f t="shared" si="118"/>
        <v>0.31778366266041963</v>
      </c>
      <c r="BN72" s="7">
        <f t="shared" si="118"/>
        <v>0.3839619435949711</v>
      </c>
      <c r="BO72" s="7">
        <f t="shared" ref="BO72:BS72" si="119">BO70/BO71</f>
        <v>0.45626861630111021</v>
      </c>
      <c r="BP72" s="7">
        <f t="shared" si="119"/>
        <v>0.53854990202040676</v>
      </c>
      <c r="BQ72" s="7">
        <f t="shared" si="119"/>
        <v>0.50954984139839377</v>
      </c>
      <c r="BR72" s="10">
        <f t="shared" si="119"/>
        <v>0.45322722061104742</v>
      </c>
      <c r="BS72" s="10">
        <f t="shared" si="119"/>
        <v>0.90309111724695257</v>
      </c>
      <c r="BT72" s="10">
        <f t="shared" ref="BT72" si="120">BT70/BT71</f>
        <v>0.61692286763705617</v>
      </c>
      <c r="BU72" s="57"/>
      <c r="BV72" s="57"/>
      <c r="CA72" s="7">
        <f>SUM(C72:F72)</f>
        <v>-0.6800937923242476</v>
      </c>
      <c r="CB72" s="7">
        <f>SUM(G72:J72)</f>
        <v>-0.70354858968455269</v>
      </c>
      <c r="CC72" s="7">
        <f>SUM(K72:N72)</f>
        <v>0.29031084093846588</v>
      </c>
      <c r="CD72" s="7">
        <f>SUM(O72:R72)</f>
        <v>-2.8695198963652166</v>
      </c>
      <c r="CE72" s="7">
        <f>SUM(S72:V72)</f>
        <v>-8.8302559582341011E-2</v>
      </c>
      <c r="CF72" s="7">
        <f>SUM(W72:Z72)</f>
        <v>-8.9773884435708023E-2</v>
      </c>
      <c r="CG72" s="7">
        <f>SUM(AA72:AD72)</f>
        <v>-0.17789953996315999</v>
      </c>
      <c r="CH72" s="7">
        <f>SUM(AE72:AH72)</f>
        <v>0.25592188735320659</v>
      </c>
      <c r="CI72" s="7">
        <f>SUM(AI72:AL72)</f>
        <v>7.6386667605198799E-2</v>
      </c>
      <c r="CJ72" s="7">
        <f>SUM(AM72:AP72)</f>
        <v>1.209440996558808</v>
      </c>
      <c r="CK72" s="7">
        <f>SUM(AQ72:AT72)</f>
        <v>3.3773291389900666</v>
      </c>
      <c r="CL72" s="7">
        <f>SUM(AU72:AX72)</f>
        <v>-7.9618689983187135E-2</v>
      </c>
      <c r="CM72" s="7">
        <f>SUM(AY72:BB72)</f>
        <v>0.69220566309006282</v>
      </c>
      <c r="CN72" s="7">
        <f>SUM(BC72:BF72)</f>
        <v>0.44822606343509974</v>
      </c>
      <c r="CO72" s="7">
        <f>SUM(BG72:BJ72)</f>
        <v>1.0804290204509943</v>
      </c>
      <c r="CP72" s="7">
        <f>SUM(BK72:BN72)</f>
        <v>1.259165450900992</v>
      </c>
      <c r="CQ72" s="7">
        <f t="shared" si="86"/>
        <v>1.9575955803309582</v>
      </c>
      <c r="CR72" s="38"/>
      <c r="CS72" s="38"/>
      <c r="CT72" s="57"/>
      <c r="CU72" s="57"/>
      <c r="CV72" s="57"/>
      <c r="CW72" s="57"/>
      <c r="CX72" s="57"/>
      <c r="CY72" s="57"/>
      <c r="CZ72" s="57"/>
      <c r="DA72" s="57"/>
      <c r="DB72" s="57"/>
      <c r="DC72" s="57"/>
      <c r="DD72" s="57"/>
      <c r="DE72" s="57"/>
      <c r="DF72" s="57"/>
      <c r="DG72" s="57"/>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c r="EJ72" s="57"/>
      <c r="EK72" s="57"/>
      <c r="EL72" s="57"/>
      <c r="EM72" s="57"/>
      <c r="EN72" s="57"/>
      <c r="EO72" s="57"/>
      <c r="EP72" s="57"/>
    </row>
    <row r="73" spans="2:146" s="4" customFormat="1" ht="1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3"/>
      <c r="BS73" s="3"/>
      <c r="BT73" s="3"/>
      <c r="BU73" s="57"/>
      <c r="BV73" s="57"/>
      <c r="CR73" s="57"/>
      <c r="CS73" s="57"/>
      <c r="CT73" s="57"/>
      <c r="CU73" s="57"/>
      <c r="CV73" s="57"/>
      <c r="CW73" s="57"/>
      <c r="CX73" s="57"/>
      <c r="CY73" s="57"/>
      <c r="CZ73" s="57"/>
      <c r="DA73" s="57"/>
      <c r="DB73" s="57"/>
      <c r="DC73" s="57"/>
      <c r="DD73" s="57"/>
      <c r="DE73" s="57"/>
      <c r="DF73" s="57"/>
      <c r="DG73" s="57"/>
      <c r="DH73" s="57"/>
      <c r="DI73" s="57"/>
      <c r="DJ73" s="57"/>
      <c r="DK73" s="57"/>
      <c r="DL73" s="57"/>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row>
    <row r="74" spans="2:146" s="4" customFormat="1">
      <c r="B74" s="4" t="s">
        <v>17</v>
      </c>
      <c r="C74" s="12">
        <f t="shared" ref="C74:BM74" si="121">C52/C50</f>
        <v>0.69800995024875623</v>
      </c>
      <c r="D74" s="12">
        <f t="shared" si="121"/>
        <v>0.6962391513982642</v>
      </c>
      <c r="E74" s="12">
        <f t="shared" si="121"/>
        <v>0.68938271604938273</v>
      </c>
      <c r="F74" s="12">
        <f t="shared" si="121"/>
        <v>0.65848965848965846</v>
      </c>
      <c r="G74" s="12">
        <f t="shared" si="121"/>
        <v>0.66173469387755102</v>
      </c>
      <c r="H74" s="12">
        <f t="shared" si="121"/>
        <v>0.66078838174273857</v>
      </c>
      <c r="I74" s="12">
        <f t="shared" si="121"/>
        <v>0.67484342379958251</v>
      </c>
      <c r="J74" s="12">
        <f t="shared" si="121"/>
        <v>0.67082917082917082</v>
      </c>
      <c r="K74" s="12">
        <f t="shared" si="121"/>
        <v>0.67220779220779225</v>
      </c>
      <c r="L74" s="12">
        <f t="shared" si="121"/>
        <v>0.65164556962025322</v>
      </c>
      <c r="M74" s="12">
        <f t="shared" si="121"/>
        <v>0.63713980789754532</v>
      </c>
      <c r="N74" s="12">
        <f t="shared" si="121"/>
        <v>0.6428571428571429</v>
      </c>
      <c r="O74" s="12">
        <f t="shared" si="121"/>
        <v>0.66184351554126475</v>
      </c>
      <c r="P74" s="12">
        <f t="shared" si="121"/>
        <v>0.6838074398249453</v>
      </c>
      <c r="Q74" s="12">
        <f t="shared" si="121"/>
        <v>0.67838616714697408</v>
      </c>
      <c r="R74" s="12">
        <f t="shared" si="121"/>
        <v>0.68021978021978025</v>
      </c>
      <c r="S74" s="12">
        <f t="shared" si="121"/>
        <v>0.67177739920499713</v>
      </c>
      <c r="T74" s="12">
        <f t="shared" si="121"/>
        <v>0.70702045328911001</v>
      </c>
      <c r="U74" s="12">
        <f t="shared" si="121"/>
        <v>0.70605187319884721</v>
      </c>
      <c r="V74" s="12">
        <f t="shared" si="121"/>
        <v>0.69749727965179542</v>
      </c>
      <c r="W74" s="12">
        <f t="shared" si="121"/>
        <v>0.69729425028184888</v>
      </c>
      <c r="X74" s="12">
        <f t="shared" si="121"/>
        <v>0.69941270688734647</v>
      </c>
      <c r="Y74" s="12">
        <f t="shared" si="121"/>
        <v>0.70205850487540633</v>
      </c>
      <c r="Z74" s="12">
        <f t="shared" si="121"/>
        <v>0.70323264440911504</v>
      </c>
      <c r="AA74" s="12">
        <f t="shared" si="121"/>
        <v>0.70588235294117652</v>
      </c>
      <c r="AB74" s="12">
        <f t="shared" si="121"/>
        <v>0.70699945740640258</v>
      </c>
      <c r="AC74" s="12">
        <f t="shared" si="121"/>
        <v>0.71451271186440679</v>
      </c>
      <c r="AD74" s="12">
        <f t="shared" si="121"/>
        <v>0.70980788675429729</v>
      </c>
      <c r="AE74" s="12">
        <f t="shared" si="121"/>
        <v>0.7082484725050916</v>
      </c>
      <c r="AF74" s="12">
        <f t="shared" si="121"/>
        <v>0.69943555973659455</v>
      </c>
      <c r="AG74" s="12">
        <f t="shared" si="121"/>
        <v>0.71781472684085512</v>
      </c>
      <c r="AH74" s="12">
        <f t="shared" si="121"/>
        <v>0.71793701506161567</v>
      </c>
      <c r="AI74" s="12">
        <f t="shared" si="121"/>
        <v>0.69907407407407407</v>
      </c>
      <c r="AJ74" s="12">
        <f t="shared" si="121"/>
        <v>0.71998227735932652</v>
      </c>
      <c r="AK74" s="12">
        <f t="shared" si="121"/>
        <v>0.71332133213321336</v>
      </c>
      <c r="AL74" s="12">
        <f t="shared" si="121"/>
        <v>0.72021585720215853</v>
      </c>
      <c r="AM74" s="12">
        <f t="shared" si="121"/>
        <v>0.71752837326607821</v>
      </c>
      <c r="AN74" s="12">
        <f t="shared" si="121"/>
        <v>0.70321285140562251</v>
      </c>
      <c r="AO74" s="12">
        <f t="shared" si="121"/>
        <v>0.7191809444212286</v>
      </c>
      <c r="AP74" s="12">
        <f t="shared" si="121"/>
        <v>0.71495509566575555</v>
      </c>
      <c r="AQ74" s="12">
        <f t="shared" si="121"/>
        <v>0.70718010429201761</v>
      </c>
      <c r="AR74" s="12">
        <f t="shared" si="121"/>
        <v>0.71189661725579623</v>
      </c>
      <c r="AS74" s="12">
        <f t="shared" si="121"/>
        <v>0.71296638345031405</v>
      </c>
      <c r="AT74" s="12">
        <f t="shared" si="121"/>
        <v>0.70695592286501374</v>
      </c>
      <c r="AU74" s="12">
        <f t="shared" si="121"/>
        <v>0.68305151395988994</v>
      </c>
      <c r="AV74" s="12">
        <f t="shared" si="121"/>
        <v>0.60509236145781331</v>
      </c>
      <c r="AW74" s="12">
        <f t="shared" si="121"/>
        <v>0.67318540804813842</v>
      </c>
      <c r="AX74" s="12">
        <f t="shared" si="121"/>
        <v>0.63109305760709011</v>
      </c>
      <c r="AY74" s="12">
        <f t="shared" si="121"/>
        <v>0.67514534883720934</v>
      </c>
      <c r="AZ74" s="12">
        <f t="shared" si="121"/>
        <v>0.69288267793305169</v>
      </c>
      <c r="BA74" s="12">
        <f t="shared" si="121"/>
        <v>0.69304229195088674</v>
      </c>
      <c r="BB74" s="12">
        <f t="shared" si="121"/>
        <v>0.68915893827950114</v>
      </c>
      <c r="BC74" s="12">
        <f t="shared" si="121"/>
        <v>0.68440185062789161</v>
      </c>
      <c r="BD74" s="12">
        <f t="shared" si="121"/>
        <v>0.68834771886559798</v>
      </c>
      <c r="BE74" s="12">
        <f t="shared" si="121"/>
        <v>0.69116719242902214</v>
      </c>
      <c r="BF74" s="12">
        <f t="shared" si="121"/>
        <v>0.68815545959284397</v>
      </c>
      <c r="BG74" s="12">
        <f t="shared" si="121"/>
        <v>0.69312481557981709</v>
      </c>
      <c r="BH74" s="12">
        <f t="shared" si="121"/>
        <v>0.70602945262572936</v>
      </c>
      <c r="BI74" s="12">
        <f t="shared" si="121"/>
        <v>0.68783668840374257</v>
      </c>
      <c r="BJ74" s="12">
        <f t="shared" si="121"/>
        <v>0.69234899328859056</v>
      </c>
      <c r="BK74" s="12">
        <f t="shared" si="121"/>
        <v>0.68654394607207669</v>
      </c>
      <c r="BL74" s="12">
        <f t="shared" si="121"/>
        <v>0.69174757281553401</v>
      </c>
      <c r="BM74" s="12">
        <f t="shared" si="121"/>
        <v>0.68828700403896415</v>
      </c>
      <c r="BN74" s="12">
        <f>BN52/BN50</f>
        <v>0.67857925893444415</v>
      </c>
      <c r="BO74" s="12">
        <f t="shared" ref="BO74:BS74" si="122">BO52/BO50</f>
        <v>0.68839802702123098</v>
      </c>
      <c r="BP74" s="12">
        <f t="shared" si="122"/>
        <v>0.67654613712705003</v>
      </c>
      <c r="BQ74" s="12">
        <f t="shared" si="122"/>
        <v>0.69930898321816382</v>
      </c>
      <c r="BR74" s="11">
        <f t="shared" si="122"/>
        <v>0.69580022701475597</v>
      </c>
      <c r="BS74" s="11">
        <f t="shared" si="122"/>
        <v>0.69446579554189081</v>
      </c>
      <c r="BT74" s="11">
        <f t="shared" ref="BT74" si="123">BT52/BT50</f>
        <v>0.70709298052186698</v>
      </c>
      <c r="BU74" s="57"/>
      <c r="BV74" s="57"/>
      <c r="CA74" s="12">
        <f t="shared" ref="CA74:CQ74" si="124">CA52/CA50</f>
        <v>0.6853932584269663</v>
      </c>
      <c r="CB74" s="12">
        <f t="shared" si="124"/>
        <v>0.66705098642070204</v>
      </c>
      <c r="CC74" s="12">
        <f t="shared" si="124"/>
        <v>0.65114143269483071</v>
      </c>
      <c r="CD74" s="12">
        <f t="shared" si="124"/>
        <v>0.67595530417988692</v>
      </c>
      <c r="CE74" s="12">
        <f t="shared" si="124"/>
        <v>0.69564608707825848</v>
      </c>
      <c r="CF74" s="12">
        <f t="shared" si="124"/>
        <v>0.70054200542005418</v>
      </c>
      <c r="CG74" s="12">
        <f t="shared" si="124"/>
        <v>0.709375417948375</v>
      </c>
      <c r="CH74" s="12">
        <f t="shared" si="124"/>
        <v>0.7109468161221083</v>
      </c>
      <c r="CI74" s="12">
        <f t="shared" si="124"/>
        <v>0.71341732979664019</v>
      </c>
      <c r="CJ74" s="12">
        <f t="shared" si="124"/>
        <v>0.71363127354168787</v>
      </c>
      <c r="CK74" s="12">
        <f t="shared" si="124"/>
        <v>0.70973451327433623</v>
      </c>
      <c r="CL74" s="12">
        <f t="shared" si="124"/>
        <v>0.65045899324119838</v>
      </c>
      <c r="CM74" s="12">
        <f t="shared" si="124"/>
        <v>0.68783647375504708</v>
      </c>
      <c r="CN74" s="12">
        <f t="shared" si="124"/>
        <v>0.68806181990222359</v>
      </c>
      <c r="CO74" s="12">
        <f t="shared" si="124"/>
        <v>0.694873595505618</v>
      </c>
      <c r="CP74" s="12">
        <f t="shared" si="124"/>
        <v>0.68609303158774704</v>
      </c>
      <c r="CQ74" s="12">
        <f t="shared" si="124"/>
        <v>0.69011207970112076</v>
      </c>
      <c r="CR74" s="63">
        <v>0.69</v>
      </c>
      <c r="CS74" s="63">
        <v>0.69499999999999995</v>
      </c>
      <c r="CT74" s="63">
        <v>0.69799999999999995</v>
      </c>
      <c r="CU74" s="63">
        <v>0.7</v>
      </c>
      <c r="CV74" s="63">
        <v>0.70250000000000001</v>
      </c>
      <c r="CW74" s="63">
        <v>0.70499999999999996</v>
      </c>
      <c r="CX74" s="63">
        <v>0.70750000000000002</v>
      </c>
      <c r="CY74" s="63">
        <v>0.71</v>
      </c>
      <c r="CZ74" s="63">
        <v>0.71</v>
      </c>
      <c r="DA74" s="63">
        <v>0.71</v>
      </c>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row>
    <row r="75" spans="2:146" s="4" customFormat="1">
      <c r="B75" s="4" t="s">
        <v>13</v>
      </c>
      <c r="C75" s="12">
        <f t="shared" ref="C75:BN75" si="125">C53/C50</f>
        <v>0.32388059701492539</v>
      </c>
      <c r="D75" s="12">
        <f t="shared" si="125"/>
        <v>0.3235294117647059</v>
      </c>
      <c r="E75" s="12">
        <f t="shared" si="125"/>
        <v>0.32839506172839505</v>
      </c>
      <c r="F75" s="12">
        <f t="shared" si="125"/>
        <v>0.31168831168831168</v>
      </c>
      <c r="G75" s="12">
        <f t="shared" si="125"/>
        <v>0.32040816326530613</v>
      </c>
      <c r="H75" s="12">
        <f t="shared" si="125"/>
        <v>0.32883817427385892</v>
      </c>
      <c r="I75" s="12">
        <f t="shared" si="125"/>
        <v>0.33089770354906056</v>
      </c>
      <c r="J75" s="12">
        <f t="shared" si="125"/>
        <v>0.34265734265734266</v>
      </c>
      <c r="K75" s="12">
        <f t="shared" si="125"/>
        <v>0.31272727272727274</v>
      </c>
      <c r="L75" s="12">
        <f t="shared" si="125"/>
        <v>0.32860759493670888</v>
      </c>
      <c r="M75" s="12">
        <f t="shared" si="125"/>
        <v>0.33884738527214514</v>
      </c>
      <c r="N75" s="12">
        <f t="shared" si="125"/>
        <v>0.32900432900432902</v>
      </c>
      <c r="O75" s="12">
        <f t="shared" si="125"/>
        <v>0.35852090032154343</v>
      </c>
      <c r="P75" s="12">
        <f t="shared" si="125"/>
        <v>0.35503282275711162</v>
      </c>
      <c r="Q75" s="12">
        <f t="shared" si="125"/>
        <v>0.32795389048991352</v>
      </c>
      <c r="R75" s="12">
        <f t="shared" si="125"/>
        <v>0.35274725274725277</v>
      </c>
      <c r="S75" s="12">
        <f t="shared" si="125"/>
        <v>0.34525837592277114</v>
      </c>
      <c r="T75" s="12">
        <f t="shared" si="125"/>
        <v>0.36539524599226092</v>
      </c>
      <c r="U75" s="12">
        <f t="shared" si="125"/>
        <v>0.37925072046109509</v>
      </c>
      <c r="V75" s="12">
        <f t="shared" si="125"/>
        <v>0.40859630032644179</v>
      </c>
      <c r="W75" s="12">
        <f t="shared" si="125"/>
        <v>0.37542277339346108</v>
      </c>
      <c r="X75" s="12">
        <f t="shared" si="125"/>
        <v>0.39668980245595303</v>
      </c>
      <c r="Y75" s="12">
        <f t="shared" si="125"/>
        <v>0.40140845070422537</v>
      </c>
      <c r="Z75" s="12">
        <f t="shared" si="125"/>
        <v>0.39851616322204558</v>
      </c>
      <c r="AA75" s="12">
        <f t="shared" si="125"/>
        <v>0.37782805429864252</v>
      </c>
      <c r="AB75" s="12">
        <f t="shared" si="125"/>
        <v>0.37981551817688552</v>
      </c>
      <c r="AC75" s="12">
        <f t="shared" si="125"/>
        <v>0.3861228813559322</v>
      </c>
      <c r="AD75" s="12">
        <f t="shared" si="125"/>
        <v>0.39231547017189078</v>
      </c>
      <c r="AE75" s="12">
        <f t="shared" si="125"/>
        <v>0.36456211812627293</v>
      </c>
      <c r="AF75" s="12">
        <f t="shared" si="125"/>
        <v>0.36641580432737536</v>
      </c>
      <c r="AG75" s="12">
        <f t="shared" si="125"/>
        <v>0.36674584323040382</v>
      </c>
      <c r="AH75" s="12">
        <f t="shared" si="125"/>
        <v>0.37973528069374712</v>
      </c>
      <c r="AI75" s="12">
        <f t="shared" si="125"/>
        <v>0.36759259259259258</v>
      </c>
      <c r="AJ75" s="12">
        <f t="shared" si="125"/>
        <v>0.36109880372175457</v>
      </c>
      <c r="AK75" s="12">
        <f t="shared" si="125"/>
        <v>0.36003600360036003</v>
      </c>
      <c r="AL75" s="12">
        <f t="shared" si="125"/>
        <v>0.36737235367372356</v>
      </c>
      <c r="AM75" s="12">
        <f t="shared" si="125"/>
        <v>0.36149642707019758</v>
      </c>
      <c r="AN75" s="12">
        <f t="shared" si="125"/>
        <v>0.35582329317269074</v>
      </c>
      <c r="AO75" s="12">
        <f t="shared" si="125"/>
        <v>0.36356038445465944</v>
      </c>
      <c r="AP75" s="12">
        <f t="shared" si="125"/>
        <v>0.37212026552128075</v>
      </c>
      <c r="AQ75" s="12">
        <f t="shared" si="125"/>
        <v>0.34857601283594064</v>
      </c>
      <c r="AR75" s="12">
        <f t="shared" si="125"/>
        <v>0.36792094260737362</v>
      </c>
      <c r="AS75" s="12">
        <f t="shared" si="125"/>
        <v>0.37384558551902475</v>
      </c>
      <c r="AT75" s="12">
        <f t="shared" si="125"/>
        <v>0.37603305785123969</v>
      </c>
      <c r="AU75" s="12">
        <f t="shared" si="125"/>
        <v>0.38458513566653557</v>
      </c>
      <c r="AV75" s="12">
        <f t="shared" si="125"/>
        <v>0.39840239640539193</v>
      </c>
      <c r="AW75" s="12">
        <f t="shared" si="125"/>
        <v>0.37006393380970287</v>
      </c>
      <c r="AX75" s="12">
        <f t="shared" si="125"/>
        <v>0.37924667651403249</v>
      </c>
      <c r="AY75" s="12">
        <f t="shared" si="125"/>
        <v>0.37027616279069769</v>
      </c>
      <c r="AZ75" s="12">
        <f t="shared" si="125"/>
        <v>0.36431589210269744</v>
      </c>
      <c r="BA75" s="12">
        <f t="shared" si="125"/>
        <v>0.36357435197817189</v>
      </c>
      <c r="BB75" s="12">
        <f t="shared" si="125"/>
        <v>0.36872401662935722</v>
      </c>
      <c r="BC75" s="12">
        <f t="shared" si="125"/>
        <v>0.35029742233972239</v>
      </c>
      <c r="BD75" s="12">
        <f t="shared" si="125"/>
        <v>0.35912453760789148</v>
      </c>
      <c r="BE75" s="12">
        <f t="shared" si="125"/>
        <v>0.35709779179810724</v>
      </c>
      <c r="BF75" s="12">
        <f t="shared" si="125"/>
        <v>0.35872917951881556</v>
      </c>
      <c r="BG75" s="12">
        <f t="shared" si="125"/>
        <v>0.35851283564473296</v>
      </c>
      <c r="BH75" s="12">
        <f t="shared" si="125"/>
        <v>0.37621561544873577</v>
      </c>
      <c r="BI75" s="12">
        <f t="shared" si="125"/>
        <v>0.3521406294301106</v>
      </c>
      <c r="BJ75" s="12">
        <f t="shared" si="125"/>
        <v>0.37020134228187918</v>
      </c>
      <c r="BK75" s="12">
        <f t="shared" si="125"/>
        <v>0.35364272750842624</v>
      </c>
      <c r="BL75" s="12">
        <f t="shared" si="125"/>
        <v>0.35097087378640779</v>
      </c>
      <c r="BM75" s="12">
        <f t="shared" si="125"/>
        <v>0.37110952720361129</v>
      </c>
      <c r="BN75" s="12">
        <f t="shared" si="125"/>
        <v>0.3534312650734488</v>
      </c>
      <c r="BO75" s="12">
        <f t="shared" ref="BO75:BS75" si="126">BO53/BO50</f>
        <v>0.34248337979841303</v>
      </c>
      <c r="BP75" s="12">
        <f t="shared" si="126"/>
        <v>0.33906342620035568</v>
      </c>
      <c r="BQ75" s="12">
        <f t="shared" si="126"/>
        <v>0.3437314906219151</v>
      </c>
      <c r="BR75" s="11">
        <f t="shared" si="126"/>
        <v>0.34695421869088156</v>
      </c>
      <c r="BS75" s="11">
        <f t="shared" si="126"/>
        <v>0.34223674096848578</v>
      </c>
      <c r="BT75" s="11">
        <f t="shared" ref="BT75" si="127">BT53/BT50</f>
        <v>0.33131201764057333</v>
      </c>
      <c r="BU75" s="57"/>
      <c r="BV75" s="57"/>
      <c r="CA75" s="12">
        <f t="shared" ref="CA75:CQ75" si="128">CA53/CA50</f>
        <v>0.32181240840254033</v>
      </c>
      <c r="CB75" s="12">
        <f t="shared" si="128"/>
        <v>0.33077120163976426</v>
      </c>
      <c r="CC75" s="12">
        <f t="shared" si="128"/>
        <v>0.32721070585148254</v>
      </c>
      <c r="CD75" s="12">
        <f t="shared" si="128"/>
        <v>0.34887570699406817</v>
      </c>
      <c r="CE75" s="12">
        <f t="shared" si="128"/>
        <v>0.37491250174996499</v>
      </c>
      <c r="CF75" s="12">
        <f t="shared" si="128"/>
        <v>0.39322493224932248</v>
      </c>
      <c r="CG75" s="12">
        <f t="shared" si="128"/>
        <v>0.38424501805536981</v>
      </c>
      <c r="CH75" s="12">
        <f t="shared" si="128"/>
        <v>0.36954447889339376</v>
      </c>
      <c r="CI75" s="12">
        <f t="shared" si="128"/>
        <v>0.36405835543766579</v>
      </c>
      <c r="CJ75" s="12">
        <f t="shared" si="128"/>
        <v>0.36333095795581799</v>
      </c>
      <c r="CK75" s="12">
        <f t="shared" si="128"/>
        <v>0.36711690731252911</v>
      </c>
      <c r="CL75" s="12">
        <f t="shared" si="128"/>
        <v>0.38202360536669022</v>
      </c>
      <c r="CM75" s="12">
        <f t="shared" si="128"/>
        <v>0.36667227456258411</v>
      </c>
      <c r="CN75" s="12">
        <f t="shared" si="128"/>
        <v>0.35641066077905692</v>
      </c>
      <c r="CO75" s="12">
        <f t="shared" si="128"/>
        <v>0.36446629213483145</v>
      </c>
      <c r="CP75" s="12">
        <f t="shared" si="128"/>
        <v>0.35731772854839672</v>
      </c>
      <c r="CQ75" s="12">
        <f t="shared" si="128"/>
        <v>0.34311332503113323</v>
      </c>
      <c r="CR75" s="63">
        <v>0.34899999999999998</v>
      </c>
      <c r="CS75" s="63">
        <v>0.34699999999999998</v>
      </c>
      <c r="CT75" s="63">
        <v>0.34599999999999997</v>
      </c>
      <c r="CU75" s="63">
        <v>0.34499999999999997</v>
      </c>
      <c r="CV75" s="63">
        <v>0.34399999999999997</v>
      </c>
      <c r="CW75" s="63">
        <v>0.34300000000000003</v>
      </c>
      <c r="CX75" s="63">
        <v>0.34200000000000003</v>
      </c>
      <c r="CY75" s="63">
        <v>0.34100000000000003</v>
      </c>
      <c r="CZ75" s="63">
        <v>0.34</v>
      </c>
      <c r="DA75" s="63">
        <v>0.34</v>
      </c>
      <c r="DB75" s="57"/>
      <c r="DC75" s="57"/>
      <c r="DD75" s="57"/>
      <c r="DE75" s="57"/>
      <c r="DF75" s="57"/>
      <c r="DG75" s="57"/>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row>
    <row r="76" spans="2:146" s="4" customFormat="1">
      <c r="B76" s="4" t="s">
        <v>14</v>
      </c>
      <c r="C76" s="12">
        <f t="shared" ref="C76:BM76" si="129">C54/C50</f>
        <v>0.12786069651741294</v>
      </c>
      <c r="D76" s="12">
        <f t="shared" si="129"/>
        <v>0.13500482160077146</v>
      </c>
      <c r="E76" s="12">
        <f t="shared" si="129"/>
        <v>0.12740740740740741</v>
      </c>
      <c r="F76" s="12">
        <f t="shared" si="129"/>
        <v>0.12554112554112554</v>
      </c>
      <c r="G76" s="12">
        <f t="shared" si="129"/>
        <v>0.12908163265306122</v>
      </c>
      <c r="H76" s="12">
        <f t="shared" si="129"/>
        <v>0.12033195020746888</v>
      </c>
      <c r="I76" s="12">
        <f t="shared" si="129"/>
        <v>0.12004175365344467</v>
      </c>
      <c r="J76" s="12">
        <f t="shared" si="129"/>
        <v>0.11188811188811189</v>
      </c>
      <c r="K76" s="12">
        <f t="shared" si="129"/>
        <v>0.11012987012987013</v>
      </c>
      <c r="L76" s="12">
        <f t="shared" si="129"/>
        <v>0.11291139240506329</v>
      </c>
      <c r="M76" s="12">
        <f t="shared" si="129"/>
        <v>0.12219850586979722</v>
      </c>
      <c r="N76" s="12">
        <f t="shared" si="129"/>
        <v>0.125</v>
      </c>
      <c r="O76" s="12">
        <f t="shared" si="129"/>
        <v>0.11521972132904609</v>
      </c>
      <c r="P76" s="12">
        <f t="shared" si="129"/>
        <v>0.11652078774617068</v>
      </c>
      <c r="Q76" s="12">
        <f t="shared" si="129"/>
        <v>0.12680115273775217</v>
      </c>
      <c r="R76" s="12">
        <f t="shared" si="129"/>
        <v>0.13076923076923078</v>
      </c>
      <c r="S76" s="12">
        <f t="shared" si="129"/>
        <v>0.11584327086882454</v>
      </c>
      <c r="T76" s="12">
        <f t="shared" si="129"/>
        <v>0.12327252625760088</v>
      </c>
      <c r="U76" s="12">
        <f t="shared" si="129"/>
        <v>0.12507204610951009</v>
      </c>
      <c r="V76" s="12">
        <f t="shared" si="129"/>
        <v>0.11806311207834602</v>
      </c>
      <c r="W76" s="12">
        <f t="shared" si="129"/>
        <v>0.10766629086809471</v>
      </c>
      <c r="X76" s="12">
        <f t="shared" si="129"/>
        <v>0.10998398291510945</v>
      </c>
      <c r="Y76" s="12">
        <f t="shared" si="129"/>
        <v>0.11484290357529794</v>
      </c>
      <c r="Z76" s="12">
        <f t="shared" si="129"/>
        <v>0.11022787493375728</v>
      </c>
      <c r="AA76" s="12">
        <f t="shared" si="129"/>
        <v>0.10859728506787331</v>
      </c>
      <c r="AB76" s="12">
        <f t="shared" si="129"/>
        <v>0.11937059142702117</v>
      </c>
      <c r="AC76" s="12">
        <f t="shared" si="129"/>
        <v>0.11705508474576271</v>
      </c>
      <c r="AD76" s="12">
        <f t="shared" si="129"/>
        <v>0.12285136501516683</v>
      </c>
      <c r="AE76" s="12">
        <f t="shared" si="129"/>
        <v>0.10692464358452139</v>
      </c>
      <c r="AF76" s="12">
        <f t="shared" si="129"/>
        <v>0.10442144873000941</v>
      </c>
      <c r="AG76" s="12">
        <f t="shared" si="129"/>
        <v>0.11021377672209026</v>
      </c>
      <c r="AH76" s="12">
        <f t="shared" si="129"/>
        <v>0.11684162482884528</v>
      </c>
      <c r="AI76" s="12">
        <f t="shared" si="129"/>
        <v>0.10879629629629629</v>
      </c>
      <c r="AJ76" s="12">
        <f t="shared" si="129"/>
        <v>0.10810810810810811</v>
      </c>
      <c r="AK76" s="12">
        <f t="shared" si="129"/>
        <v>0.11431143114311432</v>
      </c>
      <c r="AL76" s="12">
        <f t="shared" si="129"/>
        <v>0.1095890410958904</v>
      </c>
      <c r="AM76" s="12">
        <f t="shared" si="129"/>
        <v>0.10970996216897856</v>
      </c>
      <c r="AN76" s="12">
        <f t="shared" si="129"/>
        <v>0.11044176706827309</v>
      </c>
      <c r="AO76" s="12">
        <f t="shared" si="129"/>
        <v>0.12076890931884664</v>
      </c>
      <c r="AP76" s="12">
        <f t="shared" si="129"/>
        <v>0.11245607184693479</v>
      </c>
      <c r="AQ76" s="12">
        <f t="shared" si="129"/>
        <v>0.11231448054552748</v>
      </c>
      <c r="AR76" s="12">
        <f t="shared" si="129"/>
        <v>0.1064234131508932</v>
      </c>
      <c r="AS76" s="12">
        <f t="shared" si="129"/>
        <v>0.11304026597709642</v>
      </c>
      <c r="AT76" s="12">
        <f t="shared" si="129"/>
        <v>0.10606060606060606</v>
      </c>
      <c r="AU76" s="12">
        <f t="shared" si="129"/>
        <v>0.11797090051120723</v>
      </c>
      <c r="AV76" s="12">
        <f t="shared" si="129"/>
        <v>0.12081877184223665</v>
      </c>
      <c r="AW76" s="12">
        <f t="shared" si="129"/>
        <v>0.11846558856713051</v>
      </c>
      <c r="AX76" s="12">
        <f t="shared" si="129"/>
        <v>0.10561299852289513</v>
      </c>
      <c r="AY76" s="12">
        <f t="shared" si="129"/>
        <v>0.1002906976744186</v>
      </c>
      <c r="AZ76" s="12">
        <f t="shared" si="129"/>
        <v>9.684757881052973E-2</v>
      </c>
      <c r="BA76" s="12">
        <f t="shared" si="129"/>
        <v>0.10572987721691678</v>
      </c>
      <c r="BB76" s="12">
        <f t="shared" si="129"/>
        <v>0.10233450591621363</v>
      </c>
      <c r="BC76" s="12">
        <f t="shared" si="129"/>
        <v>0.10541969596827495</v>
      </c>
      <c r="BD76" s="12">
        <f t="shared" si="129"/>
        <v>0.1032675709001233</v>
      </c>
      <c r="BE76" s="12">
        <f t="shared" si="129"/>
        <v>0.10694006309148266</v>
      </c>
      <c r="BF76" s="12">
        <f t="shared" si="129"/>
        <v>0.10178901912399753</v>
      </c>
      <c r="BG76" s="12">
        <f t="shared" si="129"/>
        <v>9.9439362643847742E-2</v>
      </c>
      <c r="BH76" s="12">
        <f t="shared" si="129"/>
        <v>9.9749930536260079E-2</v>
      </c>
      <c r="BI76" s="12">
        <f t="shared" si="129"/>
        <v>0.10093563935355826</v>
      </c>
      <c r="BJ76" s="12">
        <f t="shared" si="129"/>
        <v>9.7181208053691279E-2</v>
      </c>
      <c r="BK76" s="12">
        <f t="shared" si="129"/>
        <v>9.4892403422348975E-2</v>
      </c>
      <c r="BL76" s="12">
        <f t="shared" si="129"/>
        <v>9.2961165048543695E-2</v>
      </c>
      <c r="BM76" s="12">
        <f t="shared" si="129"/>
        <v>9.6697552862912803E-2</v>
      </c>
      <c r="BN76" s="12">
        <f>BN54/BN50</f>
        <v>0.10063582547686911</v>
      </c>
      <c r="BO76" s="12">
        <f t="shared" ref="BO76:BS76" si="130">BO54/BO50</f>
        <v>9.5003216813210375E-2</v>
      </c>
      <c r="BP76" s="12">
        <f t="shared" si="130"/>
        <v>0.10393202924323257</v>
      </c>
      <c r="BQ76" s="12">
        <f t="shared" si="130"/>
        <v>0.10148075024679171</v>
      </c>
      <c r="BR76" s="11">
        <f t="shared" si="130"/>
        <v>0.10764283011729096</v>
      </c>
      <c r="BS76" s="11">
        <f t="shared" si="130"/>
        <v>9.9154496541122211E-2</v>
      </c>
      <c r="BT76" s="11">
        <f t="shared" ref="BT76" si="131">BT54/BT50</f>
        <v>0.1018008085262771</v>
      </c>
      <c r="BU76" s="57"/>
      <c r="BV76" s="57"/>
      <c r="CA76" s="12">
        <f t="shared" ref="CA76:CQ76" si="132">CA54/CA50</f>
        <v>0.12896922325354176</v>
      </c>
      <c r="CB76" s="12">
        <f t="shared" si="132"/>
        <v>0.12029208301306688</v>
      </c>
      <c r="CC76" s="12">
        <f t="shared" si="132"/>
        <v>0.11742324849120965</v>
      </c>
      <c r="CD76" s="12">
        <f t="shared" si="132"/>
        <v>0.12222375500068976</v>
      </c>
      <c r="CE76" s="12">
        <f t="shared" si="132"/>
        <v>0.12053758924821503</v>
      </c>
      <c r="CF76" s="12">
        <f t="shared" si="132"/>
        <v>0.11070460704607046</v>
      </c>
      <c r="CG76" s="12">
        <f t="shared" si="132"/>
        <v>0.11715928848468637</v>
      </c>
      <c r="CH76" s="12">
        <f t="shared" si="132"/>
        <v>0.10970665394705462</v>
      </c>
      <c r="CI76" s="12">
        <f t="shared" si="132"/>
        <v>0.11019009725906277</v>
      </c>
      <c r="CJ76" s="12">
        <f t="shared" si="132"/>
        <v>0.11330550748243917</v>
      </c>
      <c r="CK76" s="12">
        <f t="shared" si="132"/>
        <v>0.10936190032603633</v>
      </c>
      <c r="CL76" s="12">
        <f t="shared" si="132"/>
        <v>0.11530313729446182</v>
      </c>
      <c r="CM76" s="12">
        <f t="shared" si="132"/>
        <v>0.10127860026917901</v>
      </c>
      <c r="CN76" s="12">
        <f t="shared" si="132"/>
        <v>0.10432108500236556</v>
      </c>
      <c r="CO76" s="12">
        <f t="shared" si="132"/>
        <v>9.9297752808988768E-2</v>
      </c>
      <c r="CP76" s="12">
        <f t="shared" si="132"/>
        <v>9.6435182420732068E-2</v>
      </c>
      <c r="CQ76" s="12">
        <f t="shared" si="132"/>
        <v>0.10221668742216687</v>
      </c>
      <c r="CR76" s="60">
        <v>0.104</v>
      </c>
      <c r="CS76" s="60">
        <v>0.108</v>
      </c>
      <c r="CT76" s="60">
        <v>0.11</v>
      </c>
      <c r="CU76" s="60">
        <v>0.112</v>
      </c>
      <c r="CV76" s="60">
        <v>0.114</v>
      </c>
      <c r="CW76" s="60">
        <v>0.113</v>
      </c>
      <c r="CX76" s="60">
        <v>0.112</v>
      </c>
      <c r="CY76" s="60">
        <v>0.111</v>
      </c>
      <c r="CZ76" s="60">
        <v>0.11</v>
      </c>
      <c r="DA76" s="60">
        <v>0.109</v>
      </c>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row>
    <row r="77" spans="2:146" s="4" customFormat="1">
      <c r="B77" s="4" t="s">
        <v>16</v>
      </c>
      <c r="C77" s="12">
        <f t="shared" ref="C77:BM77" si="133">C62/C50</f>
        <v>5.4726368159203984E-3</v>
      </c>
      <c r="D77" s="12">
        <f t="shared" si="133"/>
        <v>0.13259402121504341</v>
      </c>
      <c r="E77" s="12">
        <f t="shared" si="133"/>
        <v>2.5185185185185185E-2</v>
      </c>
      <c r="F77" s="12">
        <f t="shared" si="133"/>
        <v>-0.59211159211159214</v>
      </c>
      <c r="G77" s="12">
        <f t="shared" si="133"/>
        <v>-0.75816326530612244</v>
      </c>
      <c r="H77" s="12">
        <f t="shared" si="133"/>
        <v>0.11981327800829876</v>
      </c>
      <c r="I77" s="12">
        <f t="shared" si="133"/>
        <v>0.13100208768267224</v>
      </c>
      <c r="J77" s="12">
        <f t="shared" si="133"/>
        <v>0.17382617382617382</v>
      </c>
      <c r="K77" s="12">
        <f t="shared" si="133"/>
        <v>0.16727272727272727</v>
      </c>
      <c r="L77" s="12">
        <f t="shared" si="133"/>
        <v>0.12</v>
      </c>
      <c r="M77" s="12">
        <f t="shared" si="133"/>
        <v>9.2849519743863393E-2</v>
      </c>
      <c r="N77" s="12">
        <f t="shared" si="133"/>
        <v>9.2532467532467536E-2</v>
      </c>
      <c r="O77" s="12">
        <f t="shared" si="133"/>
        <v>0.10503751339764202</v>
      </c>
      <c r="P77" s="12">
        <f t="shared" si="133"/>
        <v>-1.9622538293216629</v>
      </c>
      <c r="Q77" s="12">
        <f t="shared" si="133"/>
        <v>-0.34236311239193085</v>
      </c>
      <c r="R77" s="12">
        <f t="shared" si="133"/>
        <v>6.4285714285714279E-2</v>
      </c>
      <c r="S77" s="12">
        <f t="shared" si="133"/>
        <v>-0.18739352640545145</v>
      </c>
      <c r="T77" s="12">
        <f t="shared" si="133"/>
        <v>0.12161415146489774</v>
      </c>
      <c r="U77" s="12">
        <f t="shared" si="133"/>
        <v>5.936599423631124E-2</v>
      </c>
      <c r="V77" s="12">
        <f t="shared" si="133"/>
        <v>6.9096844396082699E-2</v>
      </c>
      <c r="W77" s="12">
        <f t="shared" si="133"/>
        <v>0.11104847801578353</v>
      </c>
      <c r="X77" s="12">
        <f t="shared" si="133"/>
        <v>-3.6839295248264813E-2</v>
      </c>
      <c r="Y77" s="12">
        <f t="shared" si="133"/>
        <v>3.4669555796316358E-2</v>
      </c>
      <c r="Z77" s="12">
        <f t="shared" si="133"/>
        <v>-0.26126126126126126</v>
      </c>
      <c r="AA77" s="12">
        <f t="shared" si="133"/>
        <v>1.3574660633484163E-2</v>
      </c>
      <c r="AB77" s="12">
        <f t="shared" si="133"/>
        <v>0.11882799782962561</v>
      </c>
      <c r="AC77" s="12">
        <f t="shared" si="133"/>
        <v>-0.1583686440677966</v>
      </c>
      <c r="AD77" s="12">
        <f t="shared" si="133"/>
        <v>-0.1147623862487361</v>
      </c>
      <c r="AE77" s="12">
        <f t="shared" si="133"/>
        <v>0.14918533604887985</v>
      </c>
      <c r="AF77" s="12">
        <f t="shared" si="133"/>
        <v>-0.15710253998118531</v>
      </c>
      <c r="AG77" s="12">
        <f t="shared" si="133"/>
        <v>0.16532066508313539</v>
      </c>
      <c r="AH77" s="12">
        <f t="shared" si="133"/>
        <v>6.3897763578274758E-2</v>
      </c>
      <c r="AI77" s="12">
        <f t="shared" si="133"/>
        <v>0.16851851851851851</v>
      </c>
      <c r="AJ77" s="12">
        <f t="shared" si="133"/>
        <v>9.9689853788214447E-2</v>
      </c>
      <c r="AK77" s="12">
        <f t="shared" si="133"/>
        <v>0.16966696669666967</v>
      </c>
      <c r="AL77" s="12">
        <f t="shared" si="133"/>
        <v>0.13242009132420091</v>
      </c>
      <c r="AM77" s="12">
        <f t="shared" si="133"/>
        <v>0.1710802858343842</v>
      </c>
      <c r="AN77" s="12">
        <f t="shared" si="133"/>
        <v>0.157429718875502</v>
      </c>
      <c r="AO77" s="12">
        <f t="shared" si="133"/>
        <v>0.16213957375679064</v>
      </c>
      <c r="AP77" s="12">
        <f t="shared" si="133"/>
        <v>0.12456071846934791</v>
      </c>
      <c r="AQ77" s="12">
        <f t="shared" si="133"/>
        <v>0.21700762133975129</v>
      </c>
      <c r="AR77" s="12">
        <f t="shared" si="133"/>
        <v>0.1459521094640821</v>
      </c>
      <c r="AS77" s="12">
        <f t="shared" si="133"/>
        <v>0.14148503878832655</v>
      </c>
      <c r="AT77" s="12">
        <f t="shared" si="133"/>
        <v>7.2314049586776855E-2</v>
      </c>
      <c r="AU77" s="12">
        <f t="shared" si="133"/>
        <v>5.7412504915454188E-2</v>
      </c>
      <c r="AV77" s="12">
        <f t="shared" si="133"/>
        <v>-3.5446829755366949E-2</v>
      </c>
      <c r="AW77" s="12">
        <f t="shared" si="133"/>
        <v>-7.7096652877021443E-2</v>
      </c>
      <c r="AX77" s="12">
        <f t="shared" si="133"/>
        <v>1.8463810930576072E-2</v>
      </c>
      <c r="AY77" s="12">
        <f t="shared" si="133"/>
        <v>0.13444767441860464</v>
      </c>
      <c r="AZ77" s="12">
        <f t="shared" si="133"/>
        <v>8.5147871303217423E-2</v>
      </c>
      <c r="BA77" s="12">
        <f t="shared" si="133"/>
        <v>0.13199181446111868</v>
      </c>
      <c r="BB77" s="12">
        <f t="shared" si="133"/>
        <v>5.7243364246881999E-2</v>
      </c>
      <c r="BC77" s="12">
        <f t="shared" si="133"/>
        <v>0.15399867812293458</v>
      </c>
      <c r="BD77" s="12">
        <f t="shared" si="133"/>
        <v>0.13039457459926018</v>
      </c>
      <c r="BE77" s="12">
        <f t="shared" si="133"/>
        <v>0.11293375394321767</v>
      </c>
      <c r="BF77" s="12">
        <f t="shared" si="133"/>
        <v>0.12338062924120913</v>
      </c>
      <c r="BG77" s="12">
        <f t="shared" si="133"/>
        <v>0.16287990557686632</v>
      </c>
      <c r="BH77" s="12">
        <f t="shared" si="133"/>
        <v>0.14281744929146986</v>
      </c>
      <c r="BI77" s="12">
        <f t="shared" si="133"/>
        <v>0.19648426424723561</v>
      </c>
      <c r="BJ77" s="12">
        <f t="shared" si="133"/>
        <v>0.15677852348993288</v>
      </c>
      <c r="BK77" s="12">
        <f t="shared" si="133"/>
        <v>0.17500648172154523</v>
      </c>
      <c r="BL77" s="12">
        <f t="shared" si="133"/>
        <v>0.12621359223300971</v>
      </c>
      <c r="BM77" s="12">
        <f t="shared" si="133"/>
        <v>0.17415062960323116</v>
      </c>
      <c r="BN77" s="12">
        <f>BN62/BN50</f>
        <v>0.14843236132427098</v>
      </c>
      <c r="BO77" s="12">
        <f t="shared" ref="BO77:BS77" si="134">BO62/BO50</f>
        <v>0.19751233111730646</v>
      </c>
      <c r="BP77" s="12">
        <f t="shared" si="134"/>
        <v>0.16182572614107885</v>
      </c>
      <c r="BQ77" s="12">
        <f t="shared" si="134"/>
        <v>0.2069101678183613</v>
      </c>
      <c r="BR77" s="11">
        <f t="shared" si="134"/>
        <v>0.15607264472190693</v>
      </c>
      <c r="BS77" s="11">
        <f t="shared" si="134"/>
        <v>0.21156802459646426</v>
      </c>
      <c r="BT77" s="11">
        <f t="shared" ref="BT77" si="135">BT62/BT50</f>
        <v>0.21646453509739066</v>
      </c>
      <c r="BU77" s="57"/>
      <c r="BV77" s="57"/>
      <c r="CA77" s="12">
        <f t="shared" ref="CA77:CQ77" si="136">CA62/CA50</f>
        <v>-0.10918417195896434</v>
      </c>
      <c r="CB77" s="12">
        <f t="shared" si="136"/>
        <v>-8.4037919549064824E-2</v>
      </c>
      <c r="CC77" s="12">
        <f t="shared" si="136"/>
        <v>0.11860404093413802</v>
      </c>
      <c r="CD77" s="12">
        <f t="shared" si="136"/>
        <v>-0.5335908401158781</v>
      </c>
      <c r="CE77" s="12">
        <f t="shared" si="136"/>
        <v>1.6799664006719867E-2</v>
      </c>
      <c r="CF77" s="12">
        <f t="shared" si="136"/>
        <v>-4.0785907859078589E-2</v>
      </c>
      <c r="CG77" s="12">
        <f t="shared" si="136"/>
        <v>-3.7849404841513973E-2</v>
      </c>
      <c r="CH77" s="12">
        <f t="shared" si="136"/>
        <v>5.3303124254710232E-2</v>
      </c>
      <c r="CI77" s="12">
        <f t="shared" si="136"/>
        <v>0.14202033598585323</v>
      </c>
      <c r="CJ77" s="12">
        <f t="shared" si="136"/>
        <v>0.15331365163392038</v>
      </c>
      <c r="CK77" s="12">
        <f t="shared" si="136"/>
        <v>0.14140661387983233</v>
      </c>
      <c r="CL77" s="12">
        <f t="shared" si="136"/>
        <v>-8.0702108342580441E-3</v>
      </c>
      <c r="CM77" s="12">
        <f t="shared" si="136"/>
        <v>0.10077388963660834</v>
      </c>
      <c r="CN77" s="12">
        <f t="shared" si="136"/>
        <v>0.12986910581927141</v>
      </c>
      <c r="CO77" s="12">
        <f t="shared" si="136"/>
        <v>0.16453651685393259</v>
      </c>
      <c r="CP77" s="12">
        <f t="shared" si="136"/>
        <v>0.15555024780557711</v>
      </c>
      <c r="CQ77" s="12">
        <f t="shared" si="136"/>
        <v>0.17997509339975093</v>
      </c>
      <c r="CR77" s="60">
        <f>CR62/CR50</f>
        <v>0.19024778812859805</v>
      </c>
      <c r="CS77" s="60">
        <f t="shared" ref="CS77:DA77" si="137">CS62/CS50</f>
        <v>0.19478117234340789</v>
      </c>
      <c r="CT77" s="60">
        <f t="shared" si="137"/>
        <v>0.19931093325523566</v>
      </c>
      <c r="CU77" s="60">
        <f t="shared" si="137"/>
        <v>0.20230942629511842</v>
      </c>
      <c r="CV77" s="60">
        <f t="shared" si="137"/>
        <v>0.20543070559363463</v>
      </c>
      <c r="CW77" s="60">
        <f t="shared" si="137"/>
        <v>0.21123716348075389</v>
      </c>
      <c r="CX77" s="60">
        <f t="shared" si="137"/>
        <v>0.21677043336042495</v>
      </c>
      <c r="CY77" s="60">
        <f t="shared" si="137"/>
        <v>0.22205764984870086</v>
      </c>
      <c r="CZ77" s="60">
        <f t="shared" si="137"/>
        <v>0.22463728746030134</v>
      </c>
      <c r="DA77" s="60">
        <f t="shared" si="137"/>
        <v>0.22597372035501029</v>
      </c>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c r="EE77" s="57"/>
      <c r="EF77" s="57"/>
      <c r="EG77" s="57"/>
      <c r="EH77" s="57"/>
      <c r="EI77" s="57"/>
      <c r="EJ77" s="57"/>
      <c r="EK77" s="57"/>
      <c r="EL77" s="57"/>
      <c r="EM77" s="57"/>
      <c r="EN77" s="57"/>
      <c r="EO77" s="57"/>
      <c r="EP77" s="57"/>
    </row>
    <row r="78" spans="2:146" s="4" customFormat="1">
      <c r="B78" s="4" t="s">
        <v>2220</v>
      </c>
      <c r="C78" s="12">
        <f t="shared" ref="C78:BN78" si="138">C66/C65</f>
        <v>0.865979381443299</v>
      </c>
      <c r="D78" s="12">
        <f t="shared" si="138"/>
        <v>0.12222222222222222</v>
      </c>
      <c r="E78" s="12">
        <f t="shared" si="138"/>
        <v>-1.1363636363636365</v>
      </c>
      <c r="F78" s="12">
        <f t="shared" si="138"/>
        <v>0.2011878247958426</v>
      </c>
      <c r="G78" s="12">
        <f t="shared" si="138"/>
        <v>-8.8888888888888889E-3</v>
      </c>
      <c r="H78" s="12">
        <f t="shared" si="138"/>
        <v>0.17647058823529413</v>
      </c>
      <c r="I78" s="12">
        <f t="shared" si="138"/>
        <v>-0.16564417177914109</v>
      </c>
      <c r="J78" s="12">
        <f t="shared" si="138"/>
        <v>-2.6086956521739129E-2</v>
      </c>
      <c r="K78" s="12">
        <f t="shared" si="138"/>
        <v>0.83150183150183155</v>
      </c>
      <c r="L78" s="12">
        <f t="shared" si="138"/>
        <v>7.5949367088607597E-2</v>
      </c>
      <c r="M78" s="12">
        <f t="shared" si="138"/>
        <v>-0.27927927927927926</v>
      </c>
      <c r="N78" s="12">
        <f t="shared" si="138"/>
        <v>-7.0000000000000007E-2</v>
      </c>
      <c r="O78" s="12">
        <f t="shared" si="138"/>
        <v>8.1300813008130079E-2</v>
      </c>
      <c r="P78" s="12">
        <f t="shared" si="138"/>
        <v>1.1055831951354339E-2</v>
      </c>
      <c r="Q78" s="12">
        <f t="shared" si="138"/>
        <v>-1.5082956259426848E-3</v>
      </c>
      <c r="R78" s="12">
        <f t="shared" si="138"/>
        <v>-0.19607843137254902</v>
      </c>
      <c r="S78" s="12">
        <f t="shared" si="138"/>
        <v>0.10152284263959391</v>
      </c>
      <c r="T78" s="12">
        <f t="shared" si="138"/>
        <v>0.14473684210526316</v>
      </c>
      <c r="U78" s="12">
        <f t="shared" si="138"/>
        <v>0.875</v>
      </c>
      <c r="V78" s="12">
        <f t="shared" si="138"/>
        <v>-0.83050847457627119</v>
      </c>
      <c r="W78" s="12">
        <f t="shared" si="138"/>
        <v>8.9041095890410954E-2</v>
      </c>
      <c r="X78" s="12">
        <f t="shared" si="138"/>
        <v>1.0384615384615385</v>
      </c>
      <c r="Y78" s="39">
        <f t="shared" si="138"/>
        <v>-13.333333333333334</v>
      </c>
      <c r="Z78" s="12">
        <f t="shared" si="138"/>
        <v>0.46028880866425992</v>
      </c>
      <c r="AA78" s="12">
        <f t="shared" si="138"/>
        <v>0.98039215686274506</v>
      </c>
      <c r="AB78" s="12">
        <f t="shared" si="138"/>
        <v>2.8571428571428571E-2</v>
      </c>
      <c r="AC78" s="12">
        <f t="shared" si="138"/>
        <v>0.46049046321525888</v>
      </c>
      <c r="AD78" s="12">
        <f t="shared" si="138"/>
        <v>0.57863501483679525</v>
      </c>
      <c r="AE78" s="12">
        <f t="shared" si="138"/>
        <v>0.11403508771929824</v>
      </c>
      <c r="AF78" s="12">
        <f t="shared" si="138"/>
        <v>0.47858942065491183</v>
      </c>
      <c r="AG78" s="12">
        <f t="shared" si="138"/>
        <v>0.11284046692607004</v>
      </c>
      <c r="AH78" s="12">
        <f t="shared" si="138"/>
        <v>-0.39325842696629215</v>
      </c>
      <c r="AI78" s="12">
        <f t="shared" si="138"/>
        <v>4.9180327868852458E-2</v>
      </c>
      <c r="AJ78" s="12">
        <f t="shared" si="138"/>
        <v>-0.60439560439560436</v>
      </c>
      <c r="AK78" s="12">
        <f t="shared" si="138"/>
        <v>8.4142394822006472E-2</v>
      </c>
      <c r="AL78" s="12">
        <f t="shared" si="138"/>
        <v>3.7092511013215859</v>
      </c>
      <c r="AM78" s="12">
        <f t="shared" si="138"/>
        <v>8.0495356037151702E-2</v>
      </c>
      <c r="AN78" s="12">
        <f t="shared" si="138"/>
        <v>-0.60230547550432278</v>
      </c>
      <c r="AO78" s="12">
        <f t="shared" si="138"/>
        <v>5.2631578947368418E-2</v>
      </c>
      <c r="AP78" s="12">
        <f t="shared" si="138"/>
        <v>-0.30508474576271188</v>
      </c>
      <c r="AQ78" s="12">
        <f t="shared" si="138"/>
        <v>7.2210065645514229E-2</v>
      </c>
      <c r="AR78" s="12">
        <f t="shared" si="138"/>
        <v>-6.2068965517241378E-2</v>
      </c>
      <c r="AS78" s="12">
        <f t="shared" si="138"/>
        <v>-0.38461538461538464</v>
      </c>
      <c r="AT78" s="39">
        <f t="shared" si="138"/>
        <v>667</v>
      </c>
      <c r="AU78" s="12">
        <f t="shared" si="138"/>
        <v>0.5</v>
      </c>
      <c r="AV78" s="12">
        <f>AV66/AV65</f>
        <v>0.18333333333333332</v>
      </c>
      <c r="AW78" s="12">
        <f t="shared" si="138"/>
        <v>0.31718061674008813</v>
      </c>
      <c r="AX78" s="12">
        <f t="shared" si="138"/>
        <v>0.31372549019607843</v>
      </c>
      <c r="AY78" s="12">
        <f t="shared" si="138"/>
        <v>-4.9230769230769231E-2</v>
      </c>
      <c r="AZ78" s="12">
        <f>AZ66/AZ65</f>
        <v>-0.24832214765100671</v>
      </c>
      <c r="BA78" s="12">
        <f t="shared" si="138"/>
        <v>0.13070539419087138</v>
      </c>
      <c r="BB78" s="12">
        <f t="shared" si="138"/>
        <v>0.21848739495798319</v>
      </c>
      <c r="BC78" s="12">
        <f t="shared" si="138"/>
        <v>0.28846153846153844</v>
      </c>
      <c r="BD78" s="12">
        <f t="shared" si="138"/>
        <v>0.24637681159420291</v>
      </c>
      <c r="BE78" s="12">
        <f t="shared" si="138"/>
        <v>0.23265306122448978</v>
      </c>
      <c r="BF78" s="12">
        <f t="shared" si="138"/>
        <v>0.65139949109414763</v>
      </c>
      <c r="BG78" s="12">
        <f t="shared" si="138"/>
        <v>0.2927927927927928</v>
      </c>
      <c r="BH78" s="12">
        <f t="shared" si="138"/>
        <v>0.36619718309859156</v>
      </c>
      <c r="BI78" s="12">
        <f t="shared" si="138"/>
        <v>0.17377049180327869</v>
      </c>
      <c r="BJ78" s="12">
        <f t="shared" si="138"/>
        <v>1.9801980198019802E-3</v>
      </c>
      <c r="BK78" s="12">
        <f t="shared" si="138"/>
        <v>0.18914473684210525</v>
      </c>
      <c r="BL78" s="12">
        <f t="shared" si="138"/>
        <v>0.23333333333333334</v>
      </c>
      <c r="BM78" s="12">
        <f t="shared" si="138"/>
        <v>0.29940119760479039</v>
      </c>
      <c r="BN78" s="12">
        <f t="shared" si="138"/>
        <v>3.9115646258503403E-2</v>
      </c>
      <c r="BO78" s="12">
        <f t="shared" ref="BO78:BS78" si="139">BO66/BO65</f>
        <v>0.16521739130434782</v>
      </c>
      <c r="BP78" s="12">
        <f t="shared" si="139"/>
        <v>0.15498938428874734</v>
      </c>
      <c r="BQ78" s="12">
        <f t="shared" si="139"/>
        <v>0.1959531416400426</v>
      </c>
      <c r="BR78" s="11">
        <f t="shared" si="139"/>
        <v>4.2918454935622317E-2</v>
      </c>
      <c r="BS78" s="11">
        <f t="shared" si="139"/>
        <v>-0.15232358003442339</v>
      </c>
      <c r="BT78" s="11">
        <f t="shared" ref="BT78" si="140">BT66/BT65</f>
        <v>0.14622641509433962</v>
      </c>
      <c r="BU78" s="57"/>
      <c r="BV78" s="57"/>
      <c r="CA78" s="12">
        <f t="shared" ref="CA78:CO78" si="141">CA66/CA65</f>
        <v>0.21636085626911314</v>
      </c>
      <c r="CB78" s="12">
        <f t="shared" si="141"/>
        <v>-1.8814675446848542E-3</v>
      </c>
      <c r="CC78" s="12">
        <f t="shared" si="141"/>
        <v>0.31308411214953269</v>
      </c>
      <c r="CD78" s="12">
        <f t="shared" si="141"/>
        <v>9.4959824689554422E-3</v>
      </c>
      <c r="CE78" s="12">
        <f t="shared" si="141"/>
        <v>0.45739910313901344</v>
      </c>
      <c r="CF78" s="12">
        <f t="shared" si="141"/>
        <v>0.76620825147347738</v>
      </c>
      <c r="CG78" s="12">
        <f t="shared" si="141"/>
        <v>0.63230769230769235</v>
      </c>
      <c r="CH78" s="12">
        <f t="shared" si="141"/>
        <v>-0.96045197740112997</v>
      </c>
      <c r="CI78" s="12">
        <f t="shared" si="141"/>
        <v>0.88841201716738194</v>
      </c>
      <c r="CJ78" s="12">
        <f t="shared" si="141"/>
        <v>-0.17522871217452499</v>
      </c>
      <c r="CK78" s="12">
        <f t="shared" si="141"/>
        <v>-5.8413391557496359</v>
      </c>
      <c r="CL78" s="12">
        <f t="shared" si="141"/>
        <v>-2.5316455696202531E-2</v>
      </c>
      <c r="CM78" s="12">
        <f t="shared" si="141"/>
        <v>3.3488372093023258E-2</v>
      </c>
      <c r="CN78" s="12">
        <f t="shared" si="141"/>
        <v>0.38893766461808604</v>
      </c>
      <c r="CO78" s="12">
        <f t="shared" si="141"/>
        <v>0.19798488664987404</v>
      </c>
      <c r="CP78" s="12">
        <f>CP66/CP65</f>
        <v>0.19089316987740806</v>
      </c>
      <c r="CQ78" s="12">
        <f>CQ66/CQ65</f>
        <v>0.14564254062038404</v>
      </c>
      <c r="CR78" s="60">
        <v>0.01</v>
      </c>
      <c r="CS78" s="60">
        <v>0.12</v>
      </c>
      <c r="CT78" s="60">
        <v>0.14000000000000001</v>
      </c>
      <c r="CU78" s="60">
        <v>0.16</v>
      </c>
      <c r="CV78" s="60">
        <v>0.18</v>
      </c>
      <c r="CW78" s="60">
        <v>0.19</v>
      </c>
      <c r="CX78" s="60">
        <v>0.2</v>
      </c>
      <c r="CY78" s="60">
        <v>0.2</v>
      </c>
      <c r="CZ78" s="60">
        <v>0.2</v>
      </c>
      <c r="DA78" s="60">
        <v>0.2</v>
      </c>
      <c r="DB78" s="57"/>
      <c r="DC78" s="57"/>
      <c r="DD78" s="57"/>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row>
    <row r="79" spans="2:146" s="4" customFormat="1">
      <c r="B79" s="4" t="s">
        <v>15</v>
      </c>
      <c r="C79" s="12">
        <f t="shared" ref="C79:BM79" si="142">C67/C50</f>
        <v>-6.4676616915422883E-3</v>
      </c>
      <c r="D79" s="12">
        <f t="shared" si="142"/>
        <v>7.6181292189006752E-2</v>
      </c>
      <c r="E79" s="12">
        <f t="shared" si="142"/>
        <v>-4.6419753086419754E-2</v>
      </c>
      <c r="F79" s="12">
        <f t="shared" si="142"/>
        <v>-0.51755651755651755</v>
      </c>
      <c r="G79" s="12">
        <f t="shared" si="142"/>
        <v>-0.81071428571428572</v>
      </c>
      <c r="H79" s="12">
        <f t="shared" si="142"/>
        <v>5.0829875518672199E-2</v>
      </c>
      <c r="I79" s="12">
        <f t="shared" si="142"/>
        <v>9.916492693110647E-2</v>
      </c>
      <c r="J79" s="12">
        <f t="shared" si="142"/>
        <v>0.11788211788211789</v>
      </c>
      <c r="K79" s="12">
        <f t="shared" si="142"/>
        <v>2.3896103896103898E-2</v>
      </c>
      <c r="L79" s="12">
        <f t="shared" si="142"/>
        <v>7.3924050632911395E-2</v>
      </c>
      <c r="M79" s="12">
        <f t="shared" si="142"/>
        <v>7.577374599786553E-2</v>
      </c>
      <c r="N79" s="12">
        <f t="shared" si="142"/>
        <v>5.7900432900432904E-2</v>
      </c>
      <c r="O79" s="12">
        <f t="shared" si="142"/>
        <v>6.0557341907824226E-2</v>
      </c>
      <c r="P79" s="12">
        <f t="shared" si="142"/>
        <v>-1.9573304157549234</v>
      </c>
      <c r="Q79" s="12">
        <f t="shared" si="142"/>
        <v>-0.38270893371757925</v>
      </c>
      <c r="R79" s="12">
        <f t="shared" si="142"/>
        <v>3.3516483516483515E-2</v>
      </c>
      <c r="S79" s="12">
        <f t="shared" si="142"/>
        <v>-0.20102214650766609</v>
      </c>
      <c r="T79" s="12">
        <f t="shared" si="142"/>
        <v>7.1862907683803212E-2</v>
      </c>
      <c r="U79" s="12">
        <f t="shared" si="142"/>
        <v>-2.881844380403458E-3</v>
      </c>
      <c r="V79" s="12">
        <f t="shared" si="142"/>
        <v>5.8759521218715999E-2</v>
      </c>
      <c r="W79" s="12">
        <f t="shared" si="142"/>
        <v>7.4971815107102588E-2</v>
      </c>
      <c r="X79" s="12">
        <f t="shared" si="142"/>
        <v>2.1356113187399892E-3</v>
      </c>
      <c r="Y79" s="12">
        <f t="shared" si="142"/>
        <v>2.3293607800650054E-2</v>
      </c>
      <c r="Z79" s="12">
        <f t="shared" si="142"/>
        <v>-0.1584525702172761</v>
      </c>
      <c r="AA79" s="12">
        <f t="shared" si="142"/>
        <v>-5.6561085972850684E-4</v>
      </c>
      <c r="AB79" s="12">
        <f t="shared" si="142"/>
        <v>5.5344546934346171E-2</v>
      </c>
      <c r="AC79" s="12">
        <f t="shared" si="142"/>
        <v>-0.1048728813559322</v>
      </c>
      <c r="AD79" s="12">
        <f t="shared" si="142"/>
        <v>-7.1789686552072796E-2</v>
      </c>
      <c r="AE79" s="12">
        <f t="shared" si="142"/>
        <v>0.10285132382892057</v>
      </c>
      <c r="AF79" s="12">
        <f t="shared" si="142"/>
        <v>-9.7365945437441204E-2</v>
      </c>
      <c r="AG79" s="12">
        <f t="shared" si="142"/>
        <v>0.10831353919239906</v>
      </c>
      <c r="AH79" s="12">
        <f t="shared" si="142"/>
        <v>5.6595162026471933E-2</v>
      </c>
      <c r="AI79" s="12">
        <f t="shared" si="142"/>
        <v>0.13425925925925927</v>
      </c>
      <c r="AJ79" s="12">
        <f t="shared" si="142"/>
        <v>6.4687638458130262E-2</v>
      </c>
      <c r="AK79" s="12">
        <f t="shared" si="142"/>
        <v>0.12736273627362737</v>
      </c>
      <c r="AL79" s="12">
        <f t="shared" si="142"/>
        <v>-0.25529265255292655</v>
      </c>
      <c r="AM79" s="12">
        <f t="shared" si="142"/>
        <v>0.12484237074401008</v>
      </c>
      <c r="AN79" s="12">
        <f t="shared" si="142"/>
        <v>0.22329317269076304</v>
      </c>
      <c r="AO79" s="12">
        <f t="shared" si="142"/>
        <v>0.18052653572921021</v>
      </c>
      <c r="AP79" s="12">
        <f t="shared" si="142"/>
        <v>0.15033190160093712</v>
      </c>
      <c r="AQ79" s="12">
        <f t="shared" si="142"/>
        <v>0.17007621339751303</v>
      </c>
      <c r="AR79" s="12">
        <f t="shared" si="142"/>
        <v>5.8532877232991255E-2</v>
      </c>
      <c r="AS79" s="12">
        <f t="shared" si="142"/>
        <v>4.6545991872922056E-2</v>
      </c>
      <c r="AT79" s="12">
        <f t="shared" si="142"/>
        <v>1.3760330578512396</v>
      </c>
      <c r="AU79" s="12">
        <f t="shared" si="142"/>
        <v>4.3255996854109323E-3</v>
      </c>
      <c r="AV79" s="12">
        <f t="shared" si="142"/>
        <v>-7.3389915127309038E-2</v>
      </c>
      <c r="AW79" s="12">
        <f t="shared" si="142"/>
        <v>-5.8292591199699137E-2</v>
      </c>
      <c r="AX79" s="12">
        <f t="shared" si="142"/>
        <v>7.7548005908419496E-2</v>
      </c>
      <c r="AY79" s="12">
        <f t="shared" si="142"/>
        <v>0.12390988372093023</v>
      </c>
      <c r="AZ79" s="12">
        <f t="shared" si="142"/>
        <v>6.0448488787780308E-2</v>
      </c>
      <c r="BA79" s="12">
        <f t="shared" si="142"/>
        <v>0.14290586630286495</v>
      </c>
      <c r="BB79" s="12">
        <f t="shared" si="142"/>
        <v>2.9740965781899584E-2</v>
      </c>
      <c r="BC79" s="12">
        <f t="shared" si="142"/>
        <v>3.6682088565763382E-2</v>
      </c>
      <c r="BD79" s="12">
        <f t="shared" si="142"/>
        <v>8.0147965474722568E-2</v>
      </c>
      <c r="BE79" s="12">
        <f t="shared" si="142"/>
        <v>5.9305993690851738E-2</v>
      </c>
      <c r="BF79" s="12">
        <f t="shared" si="142"/>
        <v>4.2257865515114131E-2</v>
      </c>
      <c r="BG79" s="12">
        <f t="shared" si="142"/>
        <v>9.2652699911478315E-2</v>
      </c>
      <c r="BH79" s="12">
        <f t="shared" si="142"/>
        <v>7.5020839121978322E-2</v>
      </c>
      <c r="BI79" s="12">
        <f t="shared" si="142"/>
        <v>0.14289764672526226</v>
      </c>
      <c r="BJ79" s="12">
        <f t="shared" si="142"/>
        <v>0.13530201342281878</v>
      </c>
      <c r="BK79" s="12">
        <f t="shared" si="142"/>
        <v>0.12781954887218044</v>
      </c>
      <c r="BL79" s="12">
        <f t="shared" si="142"/>
        <v>7.8155339805825244E-2</v>
      </c>
      <c r="BM79" s="12">
        <f t="shared" si="142"/>
        <v>0.11119030648610122</v>
      </c>
      <c r="BN79" s="12">
        <f>BN67/BN50</f>
        <v>0.12387634290725719</v>
      </c>
      <c r="BO79" s="12">
        <f t="shared" ref="BO79:BS79" si="143">BO67/BO50</f>
        <v>0.14411323182500535</v>
      </c>
      <c r="BP79" s="12">
        <f t="shared" si="143"/>
        <v>0.15728116972930251</v>
      </c>
      <c r="BQ79" s="12">
        <f t="shared" si="143"/>
        <v>0.14906219151036526</v>
      </c>
      <c r="BR79" s="11">
        <f t="shared" si="143"/>
        <v>0.12656072644721908</v>
      </c>
      <c r="BS79" s="11">
        <f t="shared" si="143"/>
        <v>0.25730207532667176</v>
      </c>
      <c r="BT79" s="11">
        <f t="shared" ref="BT79" si="144">BT67/BT50</f>
        <v>0.16629915472252849</v>
      </c>
      <c r="BU79" s="57"/>
      <c r="BV79" s="57"/>
      <c r="CA79" s="12">
        <f t="shared" ref="CA79:DA79" si="145">CA67/CA50</f>
        <v>-0.12518319491939423</v>
      </c>
      <c r="CB79" s="12">
        <f t="shared" si="145"/>
        <v>-0.13643351268255188</v>
      </c>
      <c r="CC79" s="12">
        <f t="shared" si="145"/>
        <v>5.7858829703489899E-2</v>
      </c>
      <c r="CD79" s="12">
        <f t="shared" si="145"/>
        <v>-0.56118085253138361</v>
      </c>
      <c r="CE79" s="12">
        <f t="shared" si="145"/>
        <v>-1.6939661206775865E-2</v>
      </c>
      <c r="CF79" s="12">
        <f t="shared" si="145"/>
        <v>-1.6124661246612465E-2</v>
      </c>
      <c r="CG79" s="12">
        <f t="shared" si="145"/>
        <v>-3.1964691721278589E-2</v>
      </c>
      <c r="CH79" s="12">
        <f t="shared" si="145"/>
        <v>4.1378487956117337E-2</v>
      </c>
      <c r="CI79" s="12">
        <f t="shared" si="145"/>
        <v>1.1494252873563218E-2</v>
      </c>
      <c r="CJ79" s="12">
        <f t="shared" si="145"/>
        <v>0.17000916217041637</v>
      </c>
      <c r="CK79" s="12">
        <f t="shared" si="145"/>
        <v>0.43782021425244527</v>
      </c>
      <c r="CL79" s="12">
        <f t="shared" si="145"/>
        <v>-8.1710884696862707E-3</v>
      </c>
      <c r="CM79" s="12">
        <f>CM67/CM50</f>
        <v>8.7399057873485869E-2</v>
      </c>
      <c r="CN79" s="12">
        <f t="shared" si="145"/>
        <v>5.4880933606686645E-2</v>
      </c>
      <c r="CO79" s="12">
        <f t="shared" si="145"/>
        <v>0.11179775280898877</v>
      </c>
      <c r="CP79" s="12">
        <f t="shared" si="145"/>
        <v>0.11034812205171075</v>
      </c>
      <c r="CQ79" s="12">
        <f t="shared" si="145"/>
        <v>0.14405977584059776</v>
      </c>
      <c r="CR79" s="60">
        <f t="shared" si="145"/>
        <v>0.16133699161984527</v>
      </c>
      <c r="CS79" s="60">
        <f t="shared" si="145"/>
        <v>0.10622765832983334</v>
      </c>
      <c r="CT79" s="60">
        <f t="shared" si="145"/>
        <v>0.12627862101716586</v>
      </c>
      <c r="CU79" s="60">
        <f t="shared" si="145"/>
        <v>0.14261712882570074</v>
      </c>
      <c r="CV79" s="60">
        <f t="shared" si="145"/>
        <v>0.15717753904984802</v>
      </c>
      <c r="CW79" s="60">
        <f t="shared" si="145"/>
        <v>0.1745298885005544</v>
      </c>
      <c r="CX79" s="60">
        <f t="shared" si="145"/>
        <v>0.19106451241925254</v>
      </c>
      <c r="CY79" s="60">
        <f t="shared" si="145"/>
        <v>0.20964964701744879</v>
      </c>
      <c r="CZ79" s="60">
        <f t="shared" si="145"/>
        <v>0.22650753974506452</v>
      </c>
      <c r="DA79" s="60">
        <f t="shared" si="145"/>
        <v>0.24297886826892295</v>
      </c>
      <c r="DB79" s="57"/>
      <c r="DC79" s="57"/>
      <c r="DD79" s="57"/>
      <c r="DE79" s="57"/>
      <c r="DF79" s="57"/>
      <c r="DG79" s="57"/>
      <c r="DH79" s="57"/>
      <c r="DI79" s="57"/>
      <c r="DJ79" s="57"/>
      <c r="DK79" s="57"/>
      <c r="DL79" s="57"/>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row>
    <row r="80" spans="2:146">
      <c r="BO80" s="1"/>
      <c r="BP80" s="1"/>
    </row>
    <row r="81" spans="2:146" ht="15">
      <c r="B81" s="1" t="s">
        <v>124</v>
      </c>
      <c r="AX81" s="1">
        <v>1734</v>
      </c>
      <c r="AY81" s="1">
        <v>2016</v>
      </c>
      <c r="AZ81" s="1">
        <v>2675</v>
      </c>
      <c r="BA81" s="1">
        <v>1947</v>
      </c>
      <c r="BB81" s="1">
        <v>1925</v>
      </c>
      <c r="BC81" s="1">
        <v>325</v>
      </c>
      <c r="BD81" s="1">
        <v>276</v>
      </c>
      <c r="BE81" s="1">
        <v>339</v>
      </c>
      <c r="BF81" s="1">
        <v>928</v>
      </c>
      <c r="BG81" s="1">
        <v>570</v>
      </c>
      <c r="BH81" s="1">
        <v>426</v>
      </c>
      <c r="BI81" s="1">
        <v>952</v>
      </c>
      <c r="BJ81" s="1">
        <v>866</v>
      </c>
      <c r="BK81" s="1">
        <v>2329</v>
      </c>
      <c r="BL81" s="1">
        <v>2913</v>
      </c>
      <c r="BM81" s="1">
        <v>2502</v>
      </c>
      <c r="BN81" s="1">
        <v>414</v>
      </c>
      <c r="BO81" s="1">
        <v>725</v>
      </c>
      <c r="BP81" s="1">
        <v>534</v>
      </c>
      <c r="BQ81" s="1">
        <v>1275</v>
      </c>
      <c r="BR81" s="1">
        <v>1965</v>
      </c>
      <c r="BS81" s="1">
        <v>1453</v>
      </c>
      <c r="BT81" s="1">
        <v>539</v>
      </c>
      <c r="CL81" s="1">
        <f t="shared" ref="CL81:CL92" si="146">AX81</f>
        <v>1734</v>
      </c>
      <c r="CM81" s="1">
        <f>BB81</f>
        <v>1925</v>
      </c>
      <c r="CN81" s="1">
        <f>BF81</f>
        <v>928</v>
      </c>
      <c r="CO81" s="1">
        <f>BJ81</f>
        <v>866</v>
      </c>
      <c r="CP81" s="1">
        <f>BN81</f>
        <v>414</v>
      </c>
      <c r="CQ81" s="1">
        <f>BQ81</f>
        <v>1275</v>
      </c>
      <c r="CR81" s="37">
        <f>CQ81+CR70</f>
        <v>4775.6400297000009</v>
      </c>
      <c r="CS81" s="37">
        <f t="shared" ref="CS81:DA81" si="147">CR81+CS70</f>
        <v>7219.9458492815611</v>
      </c>
      <c r="CT81" s="37">
        <f t="shared" si="147"/>
        <v>10376.942985747466</v>
      </c>
      <c r="CU81" s="37">
        <f t="shared" si="147"/>
        <v>14213.705435989461</v>
      </c>
      <c r="CV81" s="37">
        <f t="shared" si="147"/>
        <v>18730.914782199354</v>
      </c>
      <c r="CW81" s="37">
        <f t="shared" si="147"/>
        <v>24053.848219968007</v>
      </c>
      <c r="CX81" s="37">
        <f t="shared" si="147"/>
        <v>30199.145154044229</v>
      </c>
      <c r="CY81" s="37">
        <f t="shared" si="147"/>
        <v>37267.224622332069</v>
      </c>
      <c r="CZ81" s="37">
        <f t="shared" si="147"/>
        <v>45228.603278406961</v>
      </c>
      <c r="DA81" s="37">
        <f t="shared" si="147"/>
        <v>54072.943579275874</v>
      </c>
      <c r="DC81" s="78" t="s">
        <v>2337</v>
      </c>
      <c r="DF81" s="49" t="s">
        <v>2413</v>
      </c>
      <c r="DG81" s="48"/>
      <c r="DH81" s="79" t="s">
        <v>2339</v>
      </c>
      <c r="DI81" s="48"/>
      <c r="DJ81" s="35" t="s">
        <v>2260</v>
      </c>
      <c r="DK81" s="50">
        <v>8.5000000000000006E-2</v>
      </c>
      <c r="DL81" s="48"/>
    </row>
    <row r="82" spans="2:146">
      <c r="B82" s="1" t="s">
        <v>125</v>
      </c>
      <c r="AX82" s="1">
        <v>1531</v>
      </c>
      <c r="AY82" s="1">
        <v>1631</v>
      </c>
      <c r="AZ82" s="1">
        <v>1675</v>
      </c>
      <c r="BA82" s="1">
        <v>1669</v>
      </c>
      <c r="BB82" s="1">
        <v>1778</v>
      </c>
      <c r="BC82" s="1">
        <v>1866</v>
      </c>
      <c r="BD82" s="1">
        <v>1917</v>
      </c>
      <c r="BE82" s="1">
        <v>1871</v>
      </c>
      <c r="BF82" s="1">
        <v>1970</v>
      </c>
      <c r="BG82" s="1">
        <v>2076</v>
      </c>
      <c r="BH82" s="1">
        <v>2134</v>
      </c>
      <c r="BI82" s="1">
        <v>2101</v>
      </c>
      <c r="BJ82" s="1">
        <v>2229</v>
      </c>
      <c r="BK82" s="1">
        <v>2304</v>
      </c>
      <c r="BL82" s="1">
        <v>2400</v>
      </c>
      <c r="BM82" s="1">
        <v>2501</v>
      </c>
      <c r="BN82" s="1">
        <v>2558</v>
      </c>
      <c r="BO82" s="1">
        <v>2693</v>
      </c>
      <c r="BP82" s="1">
        <v>2815</v>
      </c>
      <c r="BQ82" s="1">
        <v>2828</v>
      </c>
      <c r="BR82" s="1">
        <v>2926</v>
      </c>
      <c r="BS82" s="1">
        <v>3027</v>
      </c>
      <c r="BT82" s="1">
        <v>3049</v>
      </c>
      <c r="CL82" s="1">
        <f t="shared" si="146"/>
        <v>1531</v>
      </c>
      <c r="CM82" s="1">
        <f>BB82</f>
        <v>1778</v>
      </c>
      <c r="CN82" s="1">
        <f>BF82</f>
        <v>1970</v>
      </c>
      <c r="CO82" s="1">
        <f>BJ82</f>
        <v>2229</v>
      </c>
      <c r="CP82" s="1">
        <f>BN82</f>
        <v>2558</v>
      </c>
      <c r="CQ82" s="1">
        <f t="shared" ref="CQ82:CQ92" si="148">BQ82</f>
        <v>2828</v>
      </c>
      <c r="CR82" s="48"/>
      <c r="CS82" s="48"/>
      <c r="CT82" s="48"/>
      <c r="CU82" s="48"/>
      <c r="CV82" s="48"/>
      <c r="CW82" s="48"/>
      <c r="CX82" s="48"/>
      <c r="CY82" s="48"/>
      <c r="CZ82" s="48"/>
      <c r="DA82" s="48"/>
      <c r="DB82" s="48"/>
      <c r="DC82" s="48">
        <v>2024</v>
      </c>
      <c r="DD82" s="48">
        <v>2025</v>
      </c>
      <c r="DF82" s="49" t="s">
        <v>2338</v>
      </c>
      <c r="DG82" s="48"/>
      <c r="DH82" s="48">
        <v>2025</v>
      </c>
      <c r="DI82" s="48"/>
      <c r="DJ82" s="35" t="s">
        <v>2261</v>
      </c>
      <c r="DK82" s="50">
        <v>1.4999999999999999E-2</v>
      </c>
      <c r="DL82" s="48"/>
    </row>
    <row r="83" spans="2:146" ht="15" customHeight="1">
      <c r="B83" s="1" t="s">
        <v>126</v>
      </c>
      <c r="AX83" s="1">
        <v>1351</v>
      </c>
      <c r="AY83" s="1">
        <v>1407</v>
      </c>
      <c r="AZ83" s="1">
        <v>1430</v>
      </c>
      <c r="BA83" s="1">
        <v>1603</v>
      </c>
      <c r="BB83" s="1">
        <v>1610</v>
      </c>
      <c r="BC83" s="1">
        <v>1736</v>
      </c>
      <c r="BD83" s="1">
        <v>1752</v>
      </c>
      <c r="BE83" s="1">
        <v>1788</v>
      </c>
      <c r="BF83" s="1">
        <v>1867</v>
      </c>
      <c r="BG83" s="1">
        <v>2050</v>
      </c>
      <c r="BH83" s="1">
        <v>2250</v>
      </c>
      <c r="BI83" s="1">
        <v>2404</v>
      </c>
      <c r="BJ83" s="1">
        <v>2484</v>
      </c>
      <c r="BK83" s="1">
        <v>2561</v>
      </c>
      <c r="BL83" s="1">
        <v>2608</v>
      </c>
      <c r="BM83" s="1">
        <v>2753</v>
      </c>
      <c r="BN83" s="1">
        <v>2810</v>
      </c>
      <c r="BO83" s="1">
        <v>2867</v>
      </c>
      <c r="BP83" s="1">
        <v>2861</v>
      </c>
      <c r="BQ83" s="1">
        <v>2921</v>
      </c>
      <c r="BR83" s="1">
        <v>2943</v>
      </c>
      <c r="BS83" s="1">
        <v>3117</v>
      </c>
      <c r="BT83" s="1">
        <v>3235</v>
      </c>
      <c r="CL83" s="1">
        <f t="shared" si="146"/>
        <v>1351</v>
      </c>
      <c r="CM83" s="1">
        <f>BB83</f>
        <v>1610</v>
      </c>
      <c r="CN83" s="1">
        <f>BF83</f>
        <v>1867</v>
      </c>
      <c r="CO83" s="1">
        <f>BJ83</f>
        <v>2484</v>
      </c>
      <c r="CP83" s="1">
        <f>BN83</f>
        <v>2810</v>
      </c>
      <c r="CQ83" s="1">
        <f t="shared" si="148"/>
        <v>2921</v>
      </c>
      <c r="CR83" s="48"/>
      <c r="DC83" s="52">
        <f>SUM(CP81:CP84)-CP95+CP87+CP89+CP88</f>
        <v>32196</v>
      </c>
      <c r="DD83" s="52">
        <f>SUM(CQ81:CQ84)-CQ95+CQ87+CQ89+CQ88</f>
        <v>35503</v>
      </c>
      <c r="DF83" s="52">
        <f>AVERAGE(DC83:DD83)</f>
        <v>33849.5</v>
      </c>
      <c r="DG83" s="48"/>
      <c r="DH83" s="51">
        <f>AVERAGE(CR62)*(1-CR78)</f>
        <v>4086.658154700001</v>
      </c>
      <c r="DI83" s="48"/>
      <c r="DJ83" s="35" t="s">
        <v>2262</v>
      </c>
      <c r="DK83" s="50">
        <v>4.99E-2</v>
      </c>
      <c r="DL83" s="48"/>
    </row>
    <row r="84" spans="2:146" ht="15" customHeight="1">
      <c r="B84" s="1" t="s">
        <v>127</v>
      </c>
      <c r="AX84" s="1">
        <v>194</v>
      </c>
      <c r="AY84" s="1">
        <v>192</v>
      </c>
      <c r="AZ84" s="1">
        <v>202</v>
      </c>
      <c r="BA84" s="1">
        <v>217</v>
      </c>
      <c r="BB84" s="1">
        <v>205</v>
      </c>
      <c r="BC84" s="1">
        <v>249</v>
      </c>
      <c r="BD84" s="1">
        <v>264</v>
      </c>
      <c r="BE84" s="1">
        <v>262</v>
      </c>
      <c r="BF84" s="1">
        <v>264</v>
      </c>
      <c r="BG84" s="1">
        <v>296</v>
      </c>
      <c r="BH84" s="1">
        <v>303</v>
      </c>
      <c r="BI84" s="1">
        <v>307</v>
      </c>
      <c r="BJ84" s="1">
        <v>315</v>
      </c>
      <c r="BK84" s="1">
        <v>319</v>
      </c>
      <c r="BL84" s="1">
        <v>315</v>
      </c>
      <c r="BM84" s="1">
        <v>332</v>
      </c>
      <c r="BN84" s="1">
        <v>307</v>
      </c>
      <c r="BO84" s="1">
        <v>294</v>
      </c>
      <c r="BP84" s="1">
        <v>298</v>
      </c>
      <c r="BQ84" s="1">
        <v>310</v>
      </c>
      <c r="BR84" s="1">
        <v>299</v>
      </c>
      <c r="BS84" s="1">
        <v>358</v>
      </c>
      <c r="BT84" s="1">
        <v>390</v>
      </c>
      <c r="CL84" s="1">
        <f t="shared" si="146"/>
        <v>194</v>
      </c>
      <c r="CM84" s="1">
        <f>BB84</f>
        <v>205</v>
      </c>
      <c r="CN84" s="1">
        <f>BF84</f>
        <v>264</v>
      </c>
      <c r="CO84" s="1">
        <f>BJ84</f>
        <v>315</v>
      </c>
      <c r="CP84" s="1">
        <f>BN84</f>
        <v>307</v>
      </c>
      <c r="CQ84" s="1">
        <f t="shared" si="148"/>
        <v>310</v>
      </c>
      <c r="DD84" s="48"/>
      <c r="DE84" s="48"/>
      <c r="DF84" s="48"/>
      <c r="DG84" s="48"/>
      <c r="DH84" s="53">
        <f>DH83/DF83</f>
        <v>0.12073023692225886</v>
      </c>
      <c r="DI84" s="48"/>
      <c r="DJ84" s="35" t="s">
        <v>2263</v>
      </c>
      <c r="DK84" s="50">
        <f>10.5%-DK83</f>
        <v>5.5099999999999996E-2</v>
      </c>
      <c r="DL84" s="48"/>
    </row>
    <row r="85" spans="2:146" ht="15" customHeight="1">
      <c r="B85" s="1" t="s">
        <v>161</v>
      </c>
      <c r="AX85" s="1">
        <v>1133</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CL85" s="1">
        <f t="shared" si="146"/>
        <v>1133</v>
      </c>
      <c r="CM85" s="1">
        <v>0</v>
      </c>
      <c r="CN85" s="1">
        <v>0</v>
      </c>
      <c r="CO85" s="1">
        <v>0</v>
      </c>
      <c r="CP85" s="1">
        <v>0</v>
      </c>
      <c r="CQ85" s="1">
        <f t="shared" si="148"/>
        <v>0</v>
      </c>
      <c r="DC85" s="64" t="s">
        <v>2405</v>
      </c>
      <c r="DD85" s="48"/>
      <c r="DE85" s="48"/>
      <c r="DG85" s="48"/>
      <c r="DH85" s="48"/>
      <c r="DI85" s="48"/>
      <c r="DJ85" s="35" t="s">
        <v>2264</v>
      </c>
      <c r="DK85" s="48">
        <f>'Notes | Analysis'!K269</f>
        <v>0.73</v>
      </c>
      <c r="DL85" s="48"/>
    </row>
    <row r="86" spans="2:146" ht="15" customHeight="1">
      <c r="B86" s="1" t="s">
        <v>128</v>
      </c>
      <c r="AX86" s="1">
        <v>751</v>
      </c>
      <c r="AY86" s="1">
        <v>855</v>
      </c>
      <c r="AZ86" s="1">
        <v>777</v>
      </c>
      <c r="BA86" s="1">
        <v>792</v>
      </c>
      <c r="BB86" s="1">
        <v>799</v>
      </c>
      <c r="BC86" s="1">
        <v>889</v>
      </c>
      <c r="BD86" s="1">
        <v>874</v>
      </c>
      <c r="BE86" s="1">
        <v>884</v>
      </c>
      <c r="BF86" s="1">
        <v>731</v>
      </c>
      <c r="BG86" s="1">
        <v>711</v>
      </c>
      <c r="BH86" s="1">
        <v>773</v>
      </c>
      <c r="BI86" s="1">
        <v>741</v>
      </c>
      <c r="BJ86" s="1">
        <v>621</v>
      </c>
      <c r="BK86" s="1">
        <v>671</v>
      </c>
      <c r="BL86" s="1">
        <v>756</v>
      </c>
      <c r="BM86" s="1">
        <v>674</v>
      </c>
      <c r="BN86" s="1">
        <v>831</v>
      </c>
      <c r="BO86" s="1">
        <v>756</v>
      </c>
      <c r="BP86" s="1">
        <v>613</v>
      </c>
      <c r="BQ86" s="1">
        <v>701</v>
      </c>
      <c r="BR86" s="1">
        <v>660</v>
      </c>
      <c r="BS86" s="1">
        <v>729</v>
      </c>
      <c r="BT86" s="1">
        <v>760</v>
      </c>
      <c r="CL86" s="1">
        <f t="shared" si="146"/>
        <v>751</v>
      </c>
      <c r="CM86" s="1">
        <f t="shared" ref="CM86:CM92" si="149">BB86</f>
        <v>799</v>
      </c>
      <c r="CN86" s="1">
        <f t="shared" ref="CN86:CN92" si="150">BF86</f>
        <v>731</v>
      </c>
      <c r="CO86" s="1">
        <f t="shared" ref="CO86:CO92" si="151">BJ86</f>
        <v>621</v>
      </c>
      <c r="CP86" s="1">
        <f t="shared" ref="CP86:CP92" si="152">BN86</f>
        <v>831</v>
      </c>
      <c r="CQ86" s="1">
        <f t="shared" si="148"/>
        <v>701</v>
      </c>
      <c r="CR86" s="48"/>
      <c r="DC86" s="71" t="s">
        <v>2407</v>
      </c>
      <c r="DF86" s="51">
        <f>Main!C5</f>
        <v>64380.057999999997</v>
      </c>
      <c r="DG86" s="48"/>
      <c r="DI86" s="48"/>
      <c r="DJ86" s="35" t="s">
        <v>2265</v>
      </c>
      <c r="DK86" s="50">
        <f>+DK83+(DK84*DK85)</f>
        <v>9.0122999999999995E-2</v>
      </c>
      <c r="DL86" s="48"/>
    </row>
    <row r="87" spans="2:146" ht="15" customHeight="1">
      <c r="B87" s="1" t="s">
        <v>129</v>
      </c>
      <c r="AX87" s="1">
        <v>2084</v>
      </c>
      <c r="AY87" s="1">
        <v>2053</v>
      </c>
      <c r="AZ87" s="1">
        <v>2082</v>
      </c>
      <c r="BA87" s="1">
        <v>2109</v>
      </c>
      <c r="BB87" s="1">
        <v>2252</v>
      </c>
      <c r="BC87" s="1">
        <v>2265</v>
      </c>
      <c r="BD87" s="1">
        <v>2246</v>
      </c>
      <c r="BE87" s="1">
        <v>2273</v>
      </c>
      <c r="BF87" s="1">
        <v>2446</v>
      </c>
      <c r="BG87" s="1">
        <v>2478</v>
      </c>
      <c r="BH87" s="1">
        <v>2534</v>
      </c>
      <c r="BI87" s="1">
        <v>2635</v>
      </c>
      <c r="BJ87" s="1">
        <v>2859</v>
      </c>
      <c r="BK87" s="1">
        <v>2897</v>
      </c>
      <c r="BL87" s="1">
        <v>2951</v>
      </c>
      <c r="BM87" s="1">
        <v>3072</v>
      </c>
      <c r="BN87" s="1">
        <v>3294</v>
      </c>
      <c r="BO87" s="1">
        <v>3389</v>
      </c>
      <c r="BP87" s="1">
        <v>3461</v>
      </c>
      <c r="BQ87" s="1">
        <v>3795</v>
      </c>
      <c r="BR87" s="1">
        <v>4036</v>
      </c>
      <c r="BS87" s="1">
        <v>4063</v>
      </c>
      <c r="BT87" s="1">
        <v>4126</v>
      </c>
      <c r="CL87" s="1">
        <f t="shared" si="146"/>
        <v>2084</v>
      </c>
      <c r="CM87" s="1">
        <f t="shared" si="149"/>
        <v>2252</v>
      </c>
      <c r="CN87" s="1">
        <f t="shared" si="150"/>
        <v>2446</v>
      </c>
      <c r="CO87" s="1">
        <f t="shared" si="151"/>
        <v>2859</v>
      </c>
      <c r="CP87" s="1">
        <f t="shared" si="152"/>
        <v>3294</v>
      </c>
      <c r="CQ87" s="1">
        <f t="shared" si="148"/>
        <v>3795</v>
      </c>
      <c r="CR87" s="48"/>
      <c r="DC87" s="71" t="s">
        <v>2406</v>
      </c>
      <c r="DF87" s="67">
        <f>Main!C7/(Main!C7+DF86)</f>
        <v>0.1457912050752323</v>
      </c>
      <c r="DG87" s="64"/>
      <c r="DI87" s="48"/>
      <c r="DJ87" s="35"/>
      <c r="DK87" s="48"/>
      <c r="DL87" s="48"/>
    </row>
    <row r="88" spans="2:146" ht="15" customHeight="1">
      <c r="B88" s="1" t="s">
        <v>130</v>
      </c>
      <c r="AX88" s="1">
        <v>9951</v>
      </c>
      <c r="AY88" s="1">
        <v>10868</v>
      </c>
      <c r="AZ88" s="1">
        <v>10874</v>
      </c>
      <c r="BA88" s="1">
        <v>11820</v>
      </c>
      <c r="BB88" s="1">
        <v>11988</v>
      </c>
      <c r="BC88" s="1">
        <v>12949</v>
      </c>
      <c r="BD88" s="1">
        <v>12883</v>
      </c>
      <c r="BE88" s="1">
        <v>12852</v>
      </c>
      <c r="BF88" s="1">
        <v>12920</v>
      </c>
      <c r="BG88" s="1">
        <v>13269</v>
      </c>
      <c r="BH88" s="1">
        <v>13659</v>
      </c>
      <c r="BI88" s="1">
        <v>13608</v>
      </c>
      <c r="BJ88" s="1">
        <v>14387</v>
      </c>
      <c r="BK88" s="1">
        <v>14361</v>
      </c>
      <c r="BL88" s="1">
        <v>14397</v>
      </c>
      <c r="BM88" s="1">
        <v>15033</v>
      </c>
      <c r="BN88" s="1">
        <v>17089</v>
      </c>
      <c r="BO88" s="1">
        <v>17340</v>
      </c>
      <c r="BP88" s="1">
        <v>18076</v>
      </c>
      <c r="BQ88" s="1">
        <v>18214</v>
      </c>
      <c r="BR88" s="1">
        <v>18282</v>
      </c>
      <c r="BS88" s="1">
        <v>18536</v>
      </c>
      <c r="BT88" s="1">
        <v>18640</v>
      </c>
      <c r="CL88" s="1">
        <f t="shared" si="146"/>
        <v>9951</v>
      </c>
      <c r="CM88" s="1">
        <f t="shared" si="149"/>
        <v>11988</v>
      </c>
      <c r="CN88" s="1">
        <f t="shared" si="150"/>
        <v>12920</v>
      </c>
      <c r="CO88" s="1">
        <f t="shared" si="151"/>
        <v>14387</v>
      </c>
      <c r="CP88" s="1">
        <f t="shared" si="152"/>
        <v>17089</v>
      </c>
      <c r="CQ88" s="1">
        <f t="shared" si="148"/>
        <v>18214</v>
      </c>
      <c r="CR88" s="48"/>
      <c r="DC88" s="71" t="s">
        <v>2412</v>
      </c>
      <c r="DF88" s="67">
        <f>DF86/(DF86+Main!C7)</f>
        <v>0.85420879492476776</v>
      </c>
      <c r="DG88" s="48"/>
      <c r="DI88" s="48"/>
      <c r="DJ88" s="35" t="s">
        <v>2266</v>
      </c>
      <c r="DK88" s="51">
        <f>NPV(DK86,CR70:EO70)</f>
        <v>78345.794732310838</v>
      </c>
      <c r="DL88" s="48"/>
    </row>
    <row r="89" spans="2:146" ht="15" customHeight="1">
      <c r="B89" s="1" t="s">
        <v>131</v>
      </c>
      <c r="AX89" s="1">
        <v>5917</v>
      </c>
      <c r="AY89" s="1">
        <v>5991</v>
      </c>
      <c r="AZ89" s="1">
        <v>5788</v>
      </c>
      <c r="BA89" s="1">
        <v>6227</v>
      </c>
      <c r="BB89" s="1">
        <v>6121</v>
      </c>
      <c r="BC89" s="1">
        <v>6581</v>
      </c>
      <c r="BD89" s="1">
        <v>6349</v>
      </c>
      <c r="BE89" s="1">
        <v>6058</v>
      </c>
      <c r="BF89" s="1">
        <v>5902</v>
      </c>
      <c r="BG89" s="1">
        <v>6060</v>
      </c>
      <c r="BH89" s="1">
        <v>6063</v>
      </c>
      <c r="BI89" s="1">
        <v>5849</v>
      </c>
      <c r="BJ89" s="1">
        <v>6003</v>
      </c>
      <c r="BK89" s="1">
        <v>5839</v>
      </c>
      <c r="BL89" s="1">
        <v>5417</v>
      </c>
      <c r="BM89" s="1">
        <v>5754</v>
      </c>
      <c r="BN89" s="1">
        <v>6684</v>
      </c>
      <c r="BO89" s="1">
        <v>6566</v>
      </c>
      <c r="BP89" s="1">
        <v>7260</v>
      </c>
      <c r="BQ89" s="1">
        <v>7162</v>
      </c>
      <c r="BR89" s="1">
        <v>7019</v>
      </c>
      <c r="BS89" s="1">
        <v>7060</v>
      </c>
      <c r="BT89" s="1">
        <v>6918</v>
      </c>
      <c r="CL89" s="1">
        <f t="shared" si="146"/>
        <v>5917</v>
      </c>
      <c r="CM89" s="1">
        <f t="shared" si="149"/>
        <v>6121</v>
      </c>
      <c r="CN89" s="1">
        <f t="shared" si="150"/>
        <v>5902</v>
      </c>
      <c r="CO89" s="1">
        <f t="shared" si="151"/>
        <v>6003</v>
      </c>
      <c r="CP89" s="1">
        <f t="shared" si="152"/>
        <v>6684</v>
      </c>
      <c r="CQ89" s="1">
        <f t="shared" si="148"/>
        <v>7162</v>
      </c>
      <c r="CR89" s="48"/>
      <c r="DC89" s="74" t="s">
        <v>2414</v>
      </c>
      <c r="DD89" s="58"/>
      <c r="DE89" s="58"/>
      <c r="DF89" s="75">
        <f>CR98/CQ102</f>
        <v>1.0206093948370716</v>
      </c>
      <c r="DG89" s="48"/>
      <c r="DH89" s="48"/>
      <c r="DI89" s="48"/>
      <c r="DJ89" s="35" t="s">
        <v>1</v>
      </c>
      <c r="DK89" s="52">
        <f>Main!C4</f>
        <v>1470.2</v>
      </c>
      <c r="DL89" s="54"/>
    </row>
    <row r="90" spans="2:146" ht="15" customHeight="1">
      <c r="B90" s="1" t="s">
        <v>132</v>
      </c>
      <c r="AX90" s="1">
        <v>4210</v>
      </c>
      <c r="AY90" s="1">
        <v>4173</v>
      </c>
      <c r="AZ90" s="1">
        <v>4036</v>
      </c>
      <c r="BA90" s="1">
        <v>4049</v>
      </c>
      <c r="BB90" s="1">
        <v>4142</v>
      </c>
      <c r="BC90" s="1">
        <v>4102</v>
      </c>
      <c r="BD90" s="1">
        <v>4059</v>
      </c>
      <c r="BE90" s="1">
        <v>4018</v>
      </c>
      <c r="BF90" s="1">
        <v>3942</v>
      </c>
      <c r="BG90" s="1">
        <v>3900</v>
      </c>
      <c r="BH90" s="1">
        <v>3865</v>
      </c>
      <c r="BI90" s="1">
        <v>3840</v>
      </c>
      <c r="BJ90" s="1">
        <v>3841</v>
      </c>
      <c r="BK90" s="1">
        <v>3792</v>
      </c>
      <c r="BL90" s="1">
        <v>3801</v>
      </c>
      <c r="BM90" s="1">
        <v>3816</v>
      </c>
      <c r="BN90" s="1">
        <v>3655</v>
      </c>
      <c r="BO90" s="1">
        <v>3676</v>
      </c>
      <c r="BP90" s="1">
        <v>3778</v>
      </c>
      <c r="BQ90" s="1">
        <v>3669</v>
      </c>
      <c r="BR90" s="1">
        <v>3675</v>
      </c>
      <c r="BS90" s="1">
        <v>3953</v>
      </c>
      <c r="BT90" s="1">
        <v>3909</v>
      </c>
      <c r="CL90" s="1">
        <f t="shared" si="146"/>
        <v>4210</v>
      </c>
      <c r="CM90" s="1">
        <f t="shared" si="149"/>
        <v>4142</v>
      </c>
      <c r="CN90" s="1">
        <f t="shared" si="150"/>
        <v>3942</v>
      </c>
      <c r="CO90" s="1">
        <f t="shared" si="151"/>
        <v>3841</v>
      </c>
      <c r="CP90" s="1">
        <f t="shared" si="152"/>
        <v>3655</v>
      </c>
      <c r="CQ90" s="1">
        <f t="shared" si="148"/>
        <v>3669</v>
      </c>
      <c r="CR90" s="48"/>
      <c r="DG90" s="48"/>
      <c r="DH90" s="48"/>
      <c r="DI90" s="48"/>
      <c r="DJ90" s="35" t="s">
        <v>2267</v>
      </c>
      <c r="DK90" s="55">
        <f>(DK88+DK191)/DK89</f>
        <v>66.913496955651297</v>
      </c>
      <c r="DL90" s="49"/>
    </row>
    <row r="91" spans="2:146" ht="15" customHeight="1">
      <c r="B91" s="1" t="s">
        <v>133</v>
      </c>
      <c r="AX91" s="1">
        <v>1921</v>
      </c>
      <c r="AY91" s="1">
        <v>1714</v>
      </c>
      <c r="AZ91" s="1">
        <v>1629</v>
      </c>
      <c r="BA91" s="1">
        <v>1444</v>
      </c>
      <c r="BB91" s="1">
        <v>1409</v>
      </c>
      <c r="BC91" s="1">
        <v>1375</v>
      </c>
      <c r="BD91" s="1">
        <v>1569</v>
      </c>
      <c r="BE91" s="1">
        <v>1602</v>
      </c>
      <c r="BF91" s="1">
        <v>1500</v>
      </c>
      <c r="BG91" s="1">
        <v>1482</v>
      </c>
      <c r="BH91" s="1">
        <v>1595</v>
      </c>
      <c r="BI91" s="1">
        <v>1605</v>
      </c>
      <c r="BJ91" s="1">
        <v>1531</v>
      </c>
      <c r="BK91" s="1">
        <v>1596</v>
      </c>
      <c r="BL91" s="1">
        <v>1550</v>
      </c>
      <c r="BM91" s="1">
        <v>1642</v>
      </c>
      <c r="BN91" s="1">
        <v>1753</v>
      </c>
      <c r="BO91" s="1">
        <v>1834</v>
      </c>
      <c r="BP91" s="1">
        <v>1864</v>
      </c>
      <c r="BQ91" s="1">
        <v>1832</v>
      </c>
      <c r="BR91" s="1">
        <v>1866</v>
      </c>
      <c r="BS91" s="1">
        <v>2055</v>
      </c>
      <c r="BT91" s="1">
        <f>2245+1405</f>
        <v>3650</v>
      </c>
      <c r="CL91" s="1">
        <f t="shared" si="146"/>
        <v>1921</v>
      </c>
      <c r="CM91" s="1">
        <f t="shared" si="149"/>
        <v>1409</v>
      </c>
      <c r="CN91" s="1">
        <f t="shared" si="150"/>
        <v>1500</v>
      </c>
      <c r="CO91" s="1">
        <f t="shared" si="151"/>
        <v>1531</v>
      </c>
      <c r="CP91" s="1">
        <f t="shared" si="152"/>
        <v>1753</v>
      </c>
      <c r="CQ91" s="1">
        <f t="shared" si="148"/>
        <v>1832</v>
      </c>
      <c r="CR91" s="48"/>
      <c r="DC91" s="58" t="s">
        <v>2402</v>
      </c>
      <c r="DF91" s="48"/>
      <c r="DG91" s="64"/>
      <c r="DH91" s="64"/>
      <c r="DI91" s="64"/>
      <c r="DJ91" s="35" t="s">
        <v>2268</v>
      </c>
      <c r="DK91" s="55">
        <f>Main!C3</f>
        <v>43.79</v>
      </c>
      <c r="DL91" s="56"/>
    </row>
    <row r="92" spans="2:146" s="3" customFormat="1" ht="15" customHeight="1">
      <c r="B92" s="3" t="s">
        <v>134</v>
      </c>
      <c r="AX92" s="3">
        <f t="shared" ref="AX92:BP92" si="153">SUM(AX81:AX91)</f>
        <v>30777</v>
      </c>
      <c r="AY92" s="3">
        <f t="shared" si="153"/>
        <v>30900</v>
      </c>
      <c r="AZ92" s="3">
        <f t="shared" si="153"/>
        <v>31168</v>
      </c>
      <c r="BA92" s="3">
        <f t="shared" si="153"/>
        <v>31877</v>
      </c>
      <c r="BB92" s="3">
        <f t="shared" si="153"/>
        <v>32229</v>
      </c>
      <c r="BC92" s="3">
        <f t="shared" si="153"/>
        <v>32337</v>
      </c>
      <c r="BD92" s="3">
        <f t="shared" si="153"/>
        <v>32189</v>
      </c>
      <c r="BE92" s="3">
        <f t="shared" si="153"/>
        <v>31947</v>
      </c>
      <c r="BF92" s="3">
        <f t="shared" si="153"/>
        <v>32470</v>
      </c>
      <c r="BG92" s="3">
        <f t="shared" si="153"/>
        <v>32892</v>
      </c>
      <c r="BH92" s="3">
        <f t="shared" si="153"/>
        <v>33602</v>
      </c>
      <c r="BI92" s="3">
        <f t="shared" si="153"/>
        <v>34042</v>
      </c>
      <c r="BJ92" s="3">
        <f t="shared" si="153"/>
        <v>35136</v>
      </c>
      <c r="BK92" s="3">
        <f t="shared" si="153"/>
        <v>36669</v>
      </c>
      <c r="BL92" s="3">
        <f t="shared" si="153"/>
        <v>37108</v>
      </c>
      <c r="BM92" s="3">
        <f t="shared" si="153"/>
        <v>38079</v>
      </c>
      <c r="BN92" s="3">
        <f>SUM(BN81:BN91)</f>
        <v>39395</v>
      </c>
      <c r="BO92" s="3">
        <f t="shared" si="153"/>
        <v>40140</v>
      </c>
      <c r="BP92" s="3">
        <f t="shared" si="153"/>
        <v>41560</v>
      </c>
      <c r="BQ92" s="3">
        <f>SUM(BQ81:BQ91)</f>
        <v>42707</v>
      </c>
      <c r="BR92" s="3">
        <f>SUM(BR81:BR91)</f>
        <v>43671</v>
      </c>
      <c r="BS92" s="3">
        <f>SUM(BS81:BS91)</f>
        <v>44351</v>
      </c>
      <c r="BT92" s="3">
        <f>SUM(BT81:BT91)</f>
        <v>45216</v>
      </c>
      <c r="BU92" s="58"/>
      <c r="BV92" s="58"/>
      <c r="CL92" s="3">
        <f t="shared" si="146"/>
        <v>30777</v>
      </c>
      <c r="CM92" s="3">
        <f t="shared" si="149"/>
        <v>32229</v>
      </c>
      <c r="CN92" s="3">
        <f t="shared" si="150"/>
        <v>32470</v>
      </c>
      <c r="CO92" s="3">
        <f t="shared" si="151"/>
        <v>35136</v>
      </c>
      <c r="CP92" s="3">
        <f t="shared" si="152"/>
        <v>39395</v>
      </c>
      <c r="CQ92" s="3">
        <f t="shared" si="148"/>
        <v>42707</v>
      </c>
      <c r="CR92" s="48"/>
      <c r="DC92" s="72" t="s">
        <v>2262</v>
      </c>
      <c r="DD92" s="57"/>
      <c r="DE92" s="57"/>
      <c r="DF92" s="67">
        <v>4.99E-2</v>
      </c>
      <c r="DG92" s="48"/>
      <c r="DH92" s="48"/>
      <c r="DI92" s="48"/>
      <c r="DJ92" s="35" t="s">
        <v>2340</v>
      </c>
      <c r="DK92" s="50">
        <f>DK90/DK91-1</f>
        <v>0.52805428078673899</v>
      </c>
      <c r="DL92" s="49" t="str">
        <f>IF(DK92&gt;0,"Upside","Downside")</f>
        <v>Upside</v>
      </c>
      <c r="DM92" s="58"/>
      <c r="DN92" s="58"/>
      <c r="DO92" s="58"/>
      <c r="DP92" s="58"/>
      <c r="DQ92" s="58"/>
      <c r="DR92" s="58"/>
      <c r="DS92" s="58"/>
      <c r="DT92" s="58"/>
      <c r="DU92" s="58"/>
      <c r="DV92" s="58"/>
      <c r="DW92" s="58"/>
      <c r="DX92" s="58"/>
      <c r="DY92" s="58"/>
      <c r="DZ92" s="58"/>
      <c r="EA92" s="58"/>
      <c r="EB92" s="58"/>
      <c r="EC92" s="58"/>
      <c r="ED92" s="58"/>
      <c r="EE92" s="58"/>
      <c r="EF92" s="58"/>
      <c r="EG92" s="58"/>
      <c r="EH92" s="58"/>
      <c r="EI92" s="58"/>
      <c r="EJ92" s="58"/>
      <c r="EK92" s="58"/>
      <c r="EL92" s="58"/>
      <c r="EM92" s="58"/>
      <c r="EN92" s="58"/>
      <c r="EO92" s="58"/>
      <c r="EP92" s="58"/>
    </row>
    <row r="93" spans="2:146" ht="15" customHeight="1">
      <c r="BO93" s="1"/>
      <c r="BP93" s="1"/>
      <c r="CR93" s="48"/>
      <c r="DC93" s="72" t="s">
        <v>2264</v>
      </c>
      <c r="DF93" s="55">
        <f>'Notes | Analysis'!K269</f>
        <v>0.73</v>
      </c>
      <c r="DJ93" s="116" t="str" cm="1">
        <f t="array" ref="DJ93">_xlfn.IFS(DK92&gt;=25%,"Strong Buy",DK92&gt;=10.00001%,"Buy",AND(DK92&lt;=10%,DK92&gt;=-4.9999%),"Hold",AND(DK92&lt;=-5%,DK92&gt;=-14.999999%),"Sell",DK92&lt;=-15%,"Strong Sell")</f>
        <v>Strong Buy</v>
      </c>
      <c r="DK93" s="116"/>
    </row>
    <row r="94" spans="2:146" ht="15" customHeight="1">
      <c r="B94" s="1" t="s">
        <v>135</v>
      </c>
      <c r="AX94" s="1">
        <v>13</v>
      </c>
      <c r="AY94" s="1">
        <v>13</v>
      </c>
      <c r="AZ94" s="1">
        <v>262</v>
      </c>
      <c r="BA94" s="1">
        <v>261</v>
      </c>
      <c r="BB94" s="1">
        <v>260</v>
      </c>
      <c r="BC94" s="1">
        <v>238</v>
      </c>
      <c r="BD94" s="1">
        <v>170</v>
      </c>
      <c r="BE94" s="1">
        <v>20</v>
      </c>
      <c r="BF94" s="1">
        <v>20</v>
      </c>
      <c r="BG94" s="1">
        <v>510</v>
      </c>
      <c r="BH94" s="1">
        <v>559</v>
      </c>
      <c r="BI94" s="1">
        <v>513</v>
      </c>
      <c r="BJ94" s="1">
        <v>531</v>
      </c>
      <c r="BK94" s="1">
        <v>1085</v>
      </c>
      <c r="BL94" s="1">
        <v>1580</v>
      </c>
      <c r="BM94" s="1">
        <v>1652</v>
      </c>
      <c r="BN94" s="1">
        <v>1779</v>
      </c>
      <c r="BO94" s="1">
        <v>777</v>
      </c>
      <c r="BP94" s="1">
        <v>480</v>
      </c>
      <c r="BQ94" s="1">
        <v>483</v>
      </c>
      <c r="BR94" s="1">
        <v>299</v>
      </c>
      <c r="BS94" s="1">
        <v>41</v>
      </c>
      <c r="BT94" s="1">
        <v>1709</v>
      </c>
      <c r="CL94" s="1">
        <f t="shared" ref="CL94:CL100" si="154">AX94</f>
        <v>13</v>
      </c>
      <c r="CM94" s="1">
        <f t="shared" ref="CM94:CM100" si="155">BB94</f>
        <v>260</v>
      </c>
      <c r="CN94" s="1">
        <f t="shared" ref="CN94:CN100" si="156">BF94</f>
        <v>20</v>
      </c>
      <c r="CO94" s="1">
        <f t="shared" ref="CO94:CO100" si="157">BJ94</f>
        <v>531</v>
      </c>
      <c r="CP94" s="1">
        <f t="shared" ref="CP94:CP100" si="158">BN94</f>
        <v>1779</v>
      </c>
      <c r="CQ94" s="1">
        <f t="shared" ref="CQ94:CQ102" si="159">BQ94</f>
        <v>483</v>
      </c>
      <c r="CR94" s="48"/>
      <c r="DC94" s="71" t="s">
        <v>2403</v>
      </c>
      <c r="DF94" s="67">
        <v>0.14000000000000001</v>
      </c>
    </row>
    <row r="95" spans="2:146" ht="15" customHeight="1">
      <c r="B95" s="1" t="s">
        <v>136</v>
      </c>
      <c r="AX95" s="1">
        <v>513</v>
      </c>
      <c r="AY95" s="1">
        <v>615</v>
      </c>
      <c r="AZ95" s="1">
        <v>689</v>
      </c>
      <c r="BA95" s="1">
        <v>674</v>
      </c>
      <c r="BB95" s="1">
        <v>794</v>
      </c>
      <c r="BC95" s="1">
        <v>696</v>
      </c>
      <c r="BD95" s="1">
        <v>732</v>
      </c>
      <c r="BE95" s="1">
        <v>803</v>
      </c>
      <c r="BF95" s="1">
        <v>862</v>
      </c>
      <c r="BG95" s="1">
        <v>868</v>
      </c>
      <c r="BH95" s="1">
        <v>899</v>
      </c>
      <c r="BI95" s="1">
        <v>929</v>
      </c>
      <c r="BJ95" s="1">
        <v>943</v>
      </c>
      <c r="BK95" s="1">
        <v>921</v>
      </c>
      <c r="BL95" s="1">
        <v>906</v>
      </c>
      <c r="BM95" s="1">
        <v>908</v>
      </c>
      <c r="BN95" s="1">
        <v>960</v>
      </c>
      <c r="BO95" s="1">
        <v>1004</v>
      </c>
      <c r="BP95" s="1">
        <v>962</v>
      </c>
      <c r="BQ95" s="1">
        <v>1002</v>
      </c>
      <c r="BR95" s="1">
        <v>1144</v>
      </c>
      <c r="BS95" s="1">
        <v>1141</v>
      </c>
      <c r="BT95" s="1">
        <v>1231</v>
      </c>
      <c r="CL95" s="1">
        <f t="shared" si="154"/>
        <v>513</v>
      </c>
      <c r="CM95" s="1">
        <f t="shared" si="155"/>
        <v>794</v>
      </c>
      <c r="CN95" s="1">
        <f t="shared" si="156"/>
        <v>862</v>
      </c>
      <c r="CO95" s="1">
        <f t="shared" si="157"/>
        <v>943</v>
      </c>
      <c r="CP95" s="1">
        <f t="shared" si="158"/>
        <v>960</v>
      </c>
      <c r="CQ95" s="1">
        <f t="shared" si="159"/>
        <v>1002</v>
      </c>
      <c r="DC95" s="74" t="s">
        <v>2411</v>
      </c>
      <c r="DD95" s="48"/>
      <c r="DE95" s="3"/>
      <c r="DF95" s="75">
        <f>(DF92+DF93)*(DF94-DF92)</f>
        <v>7.0268990000000017E-2</v>
      </c>
    </row>
    <row r="96" spans="2:146">
      <c r="B96" s="1" t="s">
        <v>137</v>
      </c>
      <c r="AX96" s="1">
        <v>2197</v>
      </c>
      <c r="AY96" s="1">
        <v>2060</v>
      </c>
      <c r="AZ96" s="1">
        <v>2442</v>
      </c>
      <c r="BA96" s="1">
        <v>2418</v>
      </c>
      <c r="BB96" s="1">
        <v>2436</v>
      </c>
      <c r="BC96" s="1">
        <v>2306</v>
      </c>
      <c r="BD96" s="1">
        <v>2197</v>
      </c>
      <c r="BE96" s="1">
        <v>1974</v>
      </c>
      <c r="BF96" s="1">
        <v>2160</v>
      </c>
      <c r="BG96" s="1">
        <v>1918</v>
      </c>
      <c r="BH96" s="1">
        <v>2164</v>
      </c>
      <c r="BI96" s="1">
        <v>2255</v>
      </c>
      <c r="BJ96" s="1">
        <v>2646</v>
      </c>
      <c r="BK96" s="1">
        <v>2083</v>
      </c>
      <c r="BL96" s="1">
        <v>2320</v>
      </c>
      <c r="BM96" s="1">
        <v>2460</v>
      </c>
      <c r="BN96" s="1">
        <v>2773</v>
      </c>
      <c r="BO96" s="1">
        <v>2354</v>
      </c>
      <c r="BP96" s="1">
        <v>2797</v>
      </c>
      <c r="BQ96" s="1">
        <v>2981</v>
      </c>
      <c r="BR96" s="1">
        <v>3201</v>
      </c>
      <c r="BS96" s="1">
        <v>2514</v>
      </c>
      <c r="BT96" s="1">
        <v>2756</v>
      </c>
      <c r="CL96" s="1">
        <f t="shared" si="154"/>
        <v>2197</v>
      </c>
      <c r="CM96" s="1">
        <f t="shared" si="155"/>
        <v>2436</v>
      </c>
      <c r="CN96" s="1">
        <f t="shared" si="156"/>
        <v>2160</v>
      </c>
      <c r="CO96" s="1">
        <f t="shared" si="157"/>
        <v>2646</v>
      </c>
      <c r="CP96" s="1">
        <f t="shared" si="158"/>
        <v>2773</v>
      </c>
      <c r="CQ96" s="1">
        <f t="shared" si="159"/>
        <v>2981</v>
      </c>
      <c r="DC96" s="37"/>
    </row>
    <row r="97" spans="2:146" ht="15">
      <c r="B97" s="1" t="s">
        <v>138</v>
      </c>
      <c r="AX97" s="1">
        <v>958</v>
      </c>
      <c r="AY97" s="1">
        <v>705</v>
      </c>
      <c r="AZ97" s="1">
        <v>680</v>
      </c>
      <c r="BA97" s="1">
        <v>669</v>
      </c>
      <c r="BB97" s="1">
        <v>783</v>
      </c>
      <c r="BC97" s="1">
        <v>1034</v>
      </c>
      <c r="BD97" s="1">
        <v>784</v>
      </c>
      <c r="BE97" s="1">
        <v>752</v>
      </c>
      <c r="BF97" s="1">
        <v>761</v>
      </c>
      <c r="BG97" s="1">
        <v>787</v>
      </c>
      <c r="BH97" s="1">
        <v>940</v>
      </c>
      <c r="BI97" s="1">
        <v>882</v>
      </c>
      <c r="BJ97" s="1">
        <v>814</v>
      </c>
      <c r="BK97" s="1">
        <v>827</v>
      </c>
      <c r="BL97" s="1">
        <v>770</v>
      </c>
      <c r="BM97" s="1">
        <v>891</v>
      </c>
      <c r="BN97" s="1">
        <v>887</v>
      </c>
      <c r="BO97" s="1">
        <v>923</v>
      </c>
      <c r="BP97" s="1">
        <v>952</v>
      </c>
      <c r="BQ97" s="1">
        <v>862</v>
      </c>
      <c r="BR97" s="1">
        <v>795</v>
      </c>
      <c r="BS97" s="1">
        <v>875</v>
      </c>
      <c r="BT97" s="1">
        <v>732</v>
      </c>
      <c r="CL97" s="1">
        <f t="shared" si="154"/>
        <v>958</v>
      </c>
      <c r="CM97" s="1">
        <f t="shared" si="155"/>
        <v>783</v>
      </c>
      <c r="CN97" s="1">
        <f t="shared" si="156"/>
        <v>761</v>
      </c>
      <c r="CO97" s="1">
        <f t="shared" si="157"/>
        <v>814</v>
      </c>
      <c r="CP97" s="1">
        <f t="shared" si="158"/>
        <v>887</v>
      </c>
      <c r="CQ97" s="1">
        <f t="shared" si="159"/>
        <v>862</v>
      </c>
      <c r="DC97" s="58" t="s">
        <v>2404</v>
      </c>
      <c r="DD97" s="38"/>
      <c r="DF97" s="69"/>
    </row>
    <row r="98" spans="2:146" ht="15" customHeight="1">
      <c r="B98" s="1" t="s">
        <v>141</v>
      </c>
      <c r="AX98" s="1">
        <v>9130</v>
      </c>
      <c r="AY98" s="1">
        <v>9082</v>
      </c>
      <c r="AZ98" s="1">
        <v>8847</v>
      </c>
      <c r="BA98" s="1">
        <v>8824</v>
      </c>
      <c r="BB98" s="1">
        <v>8804</v>
      </c>
      <c r="BC98" s="1">
        <v>9067</v>
      </c>
      <c r="BD98" s="1">
        <v>8802</v>
      </c>
      <c r="BE98" s="1">
        <v>8564</v>
      </c>
      <c r="BF98" s="1">
        <v>8915</v>
      </c>
      <c r="BG98" s="1">
        <v>8495</v>
      </c>
      <c r="BH98" s="1">
        <v>8494</v>
      </c>
      <c r="BI98" s="1">
        <v>8386</v>
      </c>
      <c r="BJ98" s="1">
        <v>8571</v>
      </c>
      <c r="BK98" s="1">
        <v>9534</v>
      </c>
      <c r="BL98" s="1">
        <v>8991</v>
      </c>
      <c r="BM98" s="1">
        <v>9233</v>
      </c>
      <c r="BN98" s="1">
        <v>8968</v>
      </c>
      <c r="BO98" s="1">
        <v>10532</v>
      </c>
      <c r="BP98" s="1">
        <v>11107</v>
      </c>
      <c r="BQ98" s="1">
        <v>11117</v>
      </c>
      <c r="BR98" s="1">
        <v>11137</v>
      </c>
      <c r="BS98" s="1">
        <v>10988</v>
      </c>
      <c r="BT98" s="1">
        <v>10915</v>
      </c>
      <c r="CL98" s="1">
        <f t="shared" si="154"/>
        <v>9130</v>
      </c>
      <c r="CM98" s="1">
        <f t="shared" si="155"/>
        <v>8804</v>
      </c>
      <c r="CN98" s="1">
        <f t="shared" si="156"/>
        <v>8915</v>
      </c>
      <c r="CO98" s="1">
        <f t="shared" si="157"/>
        <v>8571</v>
      </c>
      <c r="CP98" s="1">
        <f t="shared" si="158"/>
        <v>8968</v>
      </c>
      <c r="CQ98" s="1">
        <f t="shared" si="159"/>
        <v>11117</v>
      </c>
      <c r="CR98" s="57">
        <f>CQ98+13000</f>
        <v>24117</v>
      </c>
      <c r="CS98" s="37">
        <f t="shared" ref="CS98:DA98" si="160">CR98+CS63</f>
        <v>22006.762500000001</v>
      </c>
      <c r="CT98" s="37">
        <f t="shared" si="160"/>
        <v>20081.170781250003</v>
      </c>
      <c r="CU98" s="37">
        <f t="shared" si="160"/>
        <v>18324.068337890629</v>
      </c>
      <c r="CV98" s="37">
        <f t="shared" si="160"/>
        <v>16720.7123583252</v>
      </c>
      <c r="CW98" s="37">
        <f t="shared" si="160"/>
        <v>15257.650026971745</v>
      </c>
      <c r="CX98" s="37">
        <f t="shared" si="160"/>
        <v>13922.605649611718</v>
      </c>
      <c r="CY98" s="37">
        <f t="shared" si="160"/>
        <v>12704.377655270693</v>
      </c>
      <c r="CZ98" s="37">
        <f t="shared" si="160"/>
        <v>11592.744610434507</v>
      </c>
      <c r="DA98" s="37">
        <f t="shared" si="160"/>
        <v>10578.379457021489</v>
      </c>
      <c r="DC98" s="73" t="s">
        <v>2404</v>
      </c>
      <c r="DF98" s="70">
        <v>8.7499999999999994E-2</v>
      </c>
      <c r="DH98" s="65"/>
      <c r="DJ98" s="35"/>
    </row>
    <row r="99" spans="2:146" ht="15">
      <c r="B99" s="1" t="s">
        <v>139</v>
      </c>
      <c r="AX99" s="1">
        <v>330</v>
      </c>
      <c r="AY99" s="1">
        <v>336</v>
      </c>
      <c r="AZ99" s="1">
        <v>115</v>
      </c>
      <c r="BA99" s="1">
        <v>274</v>
      </c>
      <c r="BB99" s="1">
        <v>310</v>
      </c>
      <c r="BC99" s="1">
        <v>261</v>
      </c>
      <c r="BD99" s="1">
        <v>265</v>
      </c>
      <c r="BE99" s="1">
        <v>278</v>
      </c>
      <c r="BF99" s="1">
        <v>144</v>
      </c>
      <c r="BG99" s="1">
        <v>210</v>
      </c>
      <c r="BH99" s="1">
        <v>135</v>
      </c>
      <c r="BI99" s="1">
        <v>91</v>
      </c>
      <c r="BJ99" s="1">
        <v>134</v>
      </c>
      <c r="BK99" s="1">
        <v>132</v>
      </c>
      <c r="BL99" s="1">
        <v>132</v>
      </c>
      <c r="BM99" s="1">
        <v>138</v>
      </c>
      <c r="BN99" s="1">
        <v>155</v>
      </c>
      <c r="BO99" s="1">
        <v>158</v>
      </c>
      <c r="BP99" s="1">
        <v>226</v>
      </c>
      <c r="BQ99" s="1">
        <v>242</v>
      </c>
      <c r="BR99" s="1">
        <v>220</v>
      </c>
      <c r="BS99" s="1">
        <v>219</v>
      </c>
      <c r="BT99" s="1">
        <v>221</v>
      </c>
      <c r="CL99" s="1">
        <f t="shared" si="154"/>
        <v>330</v>
      </c>
      <c r="CM99" s="1">
        <f t="shared" si="155"/>
        <v>310</v>
      </c>
      <c r="CN99" s="1">
        <f t="shared" si="156"/>
        <v>144</v>
      </c>
      <c r="CO99" s="1">
        <f t="shared" si="157"/>
        <v>134</v>
      </c>
      <c r="CP99" s="1">
        <f t="shared" si="158"/>
        <v>155</v>
      </c>
      <c r="CQ99" s="1">
        <f t="shared" si="159"/>
        <v>242</v>
      </c>
      <c r="DC99" s="71" t="s">
        <v>2408</v>
      </c>
      <c r="DF99" s="67">
        <v>0.04</v>
      </c>
      <c r="DH99" s="65"/>
      <c r="DI99" s="67"/>
      <c r="DJ99" s="35"/>
      <c r="DK99" s="3"/>
      <c r="DL99" s="3"/>
    </row>
    <row r="100" spans="2:146" ht="15">
      <c r="B100" s="1" t="s">
        <v>140</v>
      </c>
      <c r="AX100" s="1">
        <v>2309</v>
      </c>
      <c r="AY100" s="1">
        <v>2370</v>
      </c>
      <c r="AZ100" s="1">
        <v>2190</v>
      </c>
      <c r="BA100" s="1">
        <v>2296</v>
      </c>
      <c r="BB100" s="1">
        <v>2220</v>
      </c>
      <c r="BC100" s="1">
        <v>2000</v>
      </c>
      <c r="BD100" s="1">
        <v>1988</v>
      </c>
      <c r="BE100" s="1">
        <v>1916</v>
      </c>
      <c r="BF100" s="1">
        <v>2035</v>
      </c>
      <c r="BG100" s="1">
        <v>1995</v>
      </c>
      <c r="BH100" s="1">
        <v>1926</v>
      </c>
      <c r="BI100" s="1">
        <v>1858</v>
      </c>
      <c r="BJ100" s="1">
        <v>1967</v>
      </c>
      <c r="BK100" s="1">
        <v>1919</v>
      </c>
      <c r="BL100" s="1">
        <v>1800</v>
      </c>
      <c r="BM100" s="1">
        <v>1841</v>
      </c>
      <c r="BN100" s="1">
        <v>1870</v>
      </c>
      <c r="BO100" s="1">
        <v>1946</v>
      </c>
      <c r="BP100" s="1">
        <v>2383</v>
      </c>
      <c r="BQ100" s="1">
        <v>2390</v>
      </c>
      <c r="BR100" s="1">
        <v>2405</v>
      </c>
      <c r="BS100" s="1">
        <v>2469</v>
      </c>
      <c r="BT100" s="1">
        <v>2480</v>
      </c>
      <c r="CL100" s="1">
        <f t="shared" si="154"/>
        <v>2309</v>
      </c>
      <c r="CM100" s="1">
        <f t="shared" si="155"/>
        <v>2220</v>
      </c>
      <c r="CN100" s="1">
        <f t="shared" si="156"/>
        <v>2035</v>
      </c>
      <c r="CO100" s="1">
        <f t="shared" si="157"/>
        <v>1967</v>
      </c>
      <c r="CP100" s="1">
        <f t="shared" si="158"/>
        <v>1870</v>
      </c>
      <c r="CQ100" s="1">
        <f t="shared" si="159"/>
        <v>2390</v>
      </c>
      <c r="DC100" s="76" t="s">
        <v>2409</v>
      </c>
      <c r="DF100" s="75">
        <f>DF98*(1-DF99)</f>
        <v>8.3999999999999991E-2</v>
      </c>
      <c r="DJ100" s="35"/>
    </row>
    <row r="101" spans="2:146" s="3" customFormat="1" ht="15">
      <c r="B101" s="3" t="s">
        <v>2334</v>
      </c>
      <c r="AX101" s="3">
        <f t="shared" ref="AX101:BN101" si="161">SUM(AX94:AX100)</f>
        <v>15450</v>
      </c>
      <c r="AY101" s="3">
        <f t="shared" si="161"/>
        <v>15181</v>
      </c>
      <c r="AZ101" s="3">
        <f t="shared" si="161"/>
        <v>15225</v>
      </c>
      <c r="BA101" s="3">
        <f t="shared" si="161"/>
        <v>15416</v>
      </c>
      <c r="BB101" s="3">
        <f t="shared" si="161"/>
        <v>15607</v>
      </c>
      <c r="BC101" s="3">
        <f t="shared" si="161"/>
        <v>15602</v>
      </c>
      <c r="BD101" s="3">
        <f t="shared" si="161"/>
        <v>14938</v>
      </c>
      <c r="BE101" s="3">
        <f t="shared" si="161"/>
        <v>14307</v>
      </c>
      <c r="BF101" s="3">
        <f t="shared" si="161"/>
        <v>14897</v>
      </c>
      <c r="BG101" s="3">
        <f t="shared" si="161"/>
        <v>14783</v>
      </c>
      <c r="BH101" s="3">
        <f t="shared" si="161"/>
        <v>15117</v>
      </c>
      <c r="BI101" s="3">
        <f t="shared" si="161"/>
        <v>14914</v>
      </c>
      <c r="BJ101" s="3">
        <f t="shared" si="161"/>
        <v>15606</v>
      </c>
      <c r="BK101" s="3">
        <f t="shared" si="161"/>
        <v>16501</v>
      </c>
      <c r="BL101" s="3">
        <f t="shared" si="161"/>
        <v>16499</v>
      </c>
      <c r="BM101" s="3">
        <f t="shared" si="161"/>
        <v>17123</v>
      </c>
      <c r="BN101" s="3">
        <f t="shared" si="161"/>
        <v>17392</v>
      </c>
      <c r="BO101" s="3">
        <f t="shared" ref="BO101:BT101" si="162">SUM(BO94:BO100)</f>
        <v>17694</v>
      </c>
      <c r="BP101" s="3">
        <f t="shared" si="162"/>
        <v>18907</v>
      </c>
      <c r="BQ101" s="3">
        <f t="shared" si="162"/>
        <v>19077</v>
      </c>
      <c r="BR101" s="3">
        <f t="shared" si="162"/>
        <v>19201</v>
      </c>
      <c r="BS101" s="3">
        <f t="shared" si="162"/>
        <v>18247</v>
      </c>
      <c r="BT101" s="3">
        <f t="shared" si="162"/>
        <v>20044</v>
      </c>
      <c r="BU101" s="58"/>
      <c r="BV101" s="58"/>
      <c r="CL101" s="3">
        <f t="shared" ref="CL101:CP101" si="163">SUM(CL94:CL100)</f>
        <v>15450</v>
      </c>
      <c r="CM101" s="3">
        <f t="shared" si="163"/>
        <v>15607</v>
      </c>
      <c r="CN101" s="3">
        <f t="shared" si="163"/>
        <v>14897</v>
      </c>
      <c r="CO101" s="3">
        <f t="shared" si="163"/>
        <v>15606</v>
      </c>
      <c r="CP101" s="3">
        <f t="shared" si="163"/>
        <v>17392</v>
      </c>
      <c r="CQ101" s="3">
        <f t="shared" si="159"/>
        <v>19077</v>
      </c>
      <c r="CR101" s="58"/>
      <c r="DC101" s="57"/>
      <c r="DD101" s="57"/>
      <c r="DE101" s="57"/>
      <c r="DF101" s="57"/>
      <c r="DG101" s="57"/>
      <c r="DH101" s="57"/>
      <c r="DI101" s="57"/>
      <c r="DJ101" s="35"/>
      <c r="DK101" s="57"/>
      <c r="DL101" s="57"/>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58"/>
      <c r="EN101" s="58"/>
      <c r="EO101" s="58"/>
      <c r="EP101" s="58"/>
    </row>
    <row r="102" spans="2:146">
      <c r="B102" s="1" t="s">
        <v>142</v>
      </c>
      <c r="AX102" s="1">
        <v>15327</v>
      </c>
      <c r="AY102" s="1">
        <v>15719</v>
      </c>
      <c r="AZ102" s="1">
        <v>15943</v>
      </c>
      <c r="BA102" s="1">
        <v>16461</v>
      </c>
      <c r="BB102" s="1">
        <v>16622</v>
      </c>
      <c r="BC102" s="1">
        <v>16735</v>
      </c>
      <c r="BD102" s="1">
        <v>17251</v>
      </c>
      <c r="BE102" s="1">
        <v>17640</v>
      </c>
      <c r="BF102" s="1">
        <v>17573</v>
      </c>
      <c r="BG102" s="1">
        <v>18109</v>
      </c>
      <c r="BH102" s="1">
        <v>18485</v>
      </c>
      <c r="BI102" s="1">
        <v>19129</v>
      </c>
      <c r="BJ102" s="1">
        <v>19530</v>
      </c>
      <c r="BK102" s="1">
        <v>20168</v>
      </c>
      <c r="BL102" s="1">
        <v>20609</v>
      </c>
      <c r="BM102" s="1">
        <v>20956</v>
      </c>
      <c r="BN102" s="1">
        <v>22003</v>
      </c>
      <c r="BO102" s="1">
        <v>22446</v>
      </c>
      <c r="BP102" s="1">
        <v>22653</v>
      </c>
      <c r="BQ102" s="1">
        <v>23630</v>
      </c>
      <c r="BR102" s="1">
        <v>24472</v>
      </c>
      <c r="BS102" s="1">
        <v>26104</v>
      </c>
      <c r="BT102" s="1">
        <v>25172</v>
      </c>
      <c r="CL102" s="1">
        <f>AX102</f>
        <v>15327</v>
      </c>
      <c r="CM102" s="1">
        <f>BB102</f>
        <v>16622</v>
      </c>
      <c r="CN102" s="1">
        <f>BF102</f>
        <v>17573</v>
      </c>
      <c r="CO102" s="1">
        <f>BJ102</f>
        <v>19530</v>
      </c>
      <c r="CP102" s="1">
        <f>BN102</f>
        <v>22003</v>
      </c>
      <c r="CQ102" s="1">
        <f t="shared" si="159"/>
        <v>23630</v>
      </c>
      <c r="DJ102" s="35"/>
      <c r="DK102" s="36"/>
    </row>
    <row r="103" spans="2:146" s="3" customFormat="1" ht="15">
      <c r="B103" s="3" t="s">
        <v>143</v>
      </c>
      <c r="AX103" s="3">
        <f t="shared" ref="AX103:BN103" si="164">AX101+AX102</f>
        <v>30777</v>
      </c>
      <c r="AY103" s="3">
        <f t="shared" si="164"/>
        <v>30900</v>
      </c>
      <c r="AZ103" s="3">
        <f t="shared" si="164"/>
        <v>31168</v>
      </c>
      <c r="BA103" s="3">
        <f t="shared" si="164"/>
        <v>31877</v>
      </c>
      <c r="BB103" s="3">
        <f t="shared" si="164"/>
        <v>32229</v>
      </c>
      <c r="BC103" s="3">
        <f t="shared" si="164"/>
        <v>32337</v>
      </c>
      <c r="BD103" s="3">
        <f t="shared" si="164"/>
        <v>32189</v>
      </c>
      <c r="BE103" s="3">
        <f t="shared" si="164"/>
        <v>31947</v>
      </c>
      <c r="BF103" s="3">
        <f t="shared" si="164"/>
        <v>32470</v>
      </c>
      <c r="BG103" s="3">
        <f t="shared" si="164"/>
        <v>32892</v>
      </c>
      <c r="BH103" s="3">
        <f t="shared" si="164"/>
        <v>33602</v>
      </c>
      <c r="BI103" s="3">
        <f t="shared" si="164"/>
        <v>34043</v>
      </c>
      <c r="BJ103" s="3">
        <f t="shared" si="164"/>
        <v>35136</v>
      </c>
      <c r="BK103" s="3">
        <f t="shared" si="164"/>
        <v>36669</v>
      </c>
      <c r="BL103" s="3">
        <f t="shared" si="164"/>
        <v>37108</v>
      </c>
      <c r="BM103" s="3">
        <f t="shared" si="164"/>
        <v>38079</v>
      </c>
      <c r="BN103" s="3">
        <f t="shared" si="164"/>
        <v>39395</v>
      </c>
      <c r="BO103" s="3">
        <f t="shared" ref="BO103:BT103" si="165">BO101+BO102</f>
        <v>40140</v>
      </c>
      <c r="BP103" s="3">
        <f t="shared" si="165"/>
        <v>41560</v>
      </c>
      <c r="BQ103" s="3">
        <f t="shared" si="165"/>
        <v>42707</v>
      </c>
      <c r="BR103" s="3">
        <f t="shared" si="165"/>
        <v>43673</v>
      </c>
      <c r="BS103" s="3">
        <f t="shared" si="165"/>
        <v>44351</v>
      </c>
      <c r="BT103" s="3">
        <f t="shared" si="165"/>
        <v>45216</v>
      </c>
      <c r="BU103" s="58"/>
      <c r="BV103" s="58"/>
      <c r="CL103" s="3">
        <f t="shared" ref="CL103:CP103" si="166">CL101+CL102</f>
        <v>30777</v>
      </c>
      <c r="CM103" s="3">
        <f t="shared" si="166"/>
        <v>32229</v>
      </c>
      <c r="CN103" s="3">
        <f t="shared" si="166"/>
        <v>32470</v>
      </c>
      <c r="CO103" s="3">
        <f t="shared" si="166"/>
        <v>35136</v>
      </c>
      <c r="CP103" s="3">
        <f t="shared" si="166"/>
        <v>39395</v>
      </c>
      <c r="CQ103" s="3">
        <f>BQ103</f>
        <v>42707</v>
      </c>
      <c r="CR103" s="58"/>
      <c r="DC103" s="57"/>
      <c r="DD103" s="57"/>
      <c r="DE103" s="57"/>
      <c r="DF103" s="57"/>
      <c r="DG103" s="57"/>
      <c r="DH103" s="57"/>
      <c r="DI103" s="57"/>
      <c r="DJ103" s="35"/>
      <c r="DK103" s="57"/>
      <c r="DL103" s="57"/>
      <c r="DN103" s="58"/>
      <c r="DO103" s="58"/>
      <c r="DP103" s="58"/>
      <c r="DQ103" s="58"/>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58"/>
      <c r="EN103" s="58"/>
      <c r="EO103" s="58"/>
      <c r="EP103" s="58"/>
    </row>
    <row r="104" spans="2:146">
      <c r="BO104" s="1"/>
      <c r="BP104" s="1"/>
      <c r="DJ104" s="35"/>
      <c r="DK104" s="37"/>
    </row>
    <row r="105" spans="2:146" ht="14.25" hidden="1" customHeight="1">
      <c r="B105" s="1" t="s">
        <v>144</v>
      </c>
      <c r="BO105" s="1"/>
      <c r="BP105" s="1"/>
      <c r="DJ105" s="35"/>
      <c r="DK105" s="37"/>
    </row>
    <row r="106" spans="2:146" ht="14.25" hidden="1" customHeight="1">
      <c r="B106" s="1" t="s">
        <v>145</v>
      </c>
      <c r="BO106" s="1"/>
      <c r="BP106" s="1"/>
      <c r="DJ106" s="35"/>
      <c r="DK106" s="38"/>
    </row>
    <row r="107" spans="2:146" ht="14.25" hidden="1" customHeight="1">
      <c r="B107" s="1" t="s">
        <v>146</v>
      </c>
      <c r="BO107" s="1"/>
      <c r="BP107" s="1"/>
      <c r="DJ107" s="35"/>
      <c r="DK107" s="38"/>
    </row>
    <row r="108" spans="2:146" ht="14.25" hidden="1" customHeight="1">
      <c r="B108" s="1" t="s">
        <v>147</v>
      </c>
      <c r="BO108" s="1"/>
      <c r="BP108" s="1"/>
      <c r="DC108" s="58"/>
      <c r="DD108" s="58"/>
      <c r="DE108" s="58"/>
      <c r="DF108" s="58"/>
      <c r="DG108" s="58"/>
      <c r="DH108" s="58"/>
      <c r="DI108" s="58"/>
      <c r="DJ108" s="35"/>
      <c r="DK108" s="36"/>
      <c r="DL108" s="66"/>
    </row>
    <row r="109" spans="2:146" ht="14.25" hidden="1" customHeight="1">
      <c r="B109" s="1" t="s">
        <v>148</v>
      </c>
      <c r="BO109" s="1"/>
      <c r="BP109" s="1"/>
    </row>
    <row r="110" spans="2:146" ht="14.25" hidden="1" customHeight="1">
      <c r="B110" s="1" t="s">
        <v>149</v>
      </c>
      <c r="BO110" s="1"/>
      <c r="BP110" s="1"/>
      <c r="DC110" s="58" t="s">
        <v>2410</v>
      </c>
      <c r="DF110" s="75">
        <f>(DF88*DF95)+(DF87*DF100*(1-DF99))</f>
        <v>7.1780992045747297E-2</v>
      </c>
      <c r="DI110" s="67"/>
      <c r="DK110" s="67"/>
    </row>
    <row r="111" spans="2:146" hidden="1">
      <c r="B111" s="1" t="s">
        <v>150</v>
      </c>
      <c r="BO111" s="1"/>
      <c r="BP111" s="1"/>
    </row>
    <row r="112" spans="2:146" hidden="1">
      <c r="BO112" s="1"/>
      <c r="BP112" s="1"/>
    </row>
    <row r="113" spans="2:146">
      <c r="B113" s="1" t="s">
        <v>144</v>
      </c>
      <c r="AX113" s="7">
        <f t="shared" ref="AX113:BN113" si="167">SUM(AX81:AX86)/SUM(AX94:AX97)</f>
        <v>1.8185275740287965</v>
      </c>
      <c r="AY113" s="7">
        <f t="shared" si="167"/>
        <v>1.7981137636310049</v>
      </c>
      <c r="AZ113" s="7">
        <f t="shared" si="167"/>
        <v>1.6594647679842867</v>
      </c>
      <c r="BA113" s="7">
        <f t="shared" si="167"/>
        <v>1.5484833416210841</v>
      </c>
      <c r="BB113" s="7">
        <f t="shared" si="167"/>
        <v>1.4783524455885795</v>
      </c>
      <c r="BC113" s="7">
        <f t="shared" si="167"/>
        <v>1.185072531586336</v>
      </c>
      <c r="BD113" s="7">
        <f t="shared" si="167"/>
        <v>1.3090394025238219</v>
      </c>
      <c r="BE113" s="7">
        <f t="shared" si="167"/>
        <v>1.4494223724992956</v>
      </c>
      <c r="BF113" s="7">
        <f t="shared" si="167"/>
        <v>1.514593741782803</v>
      </c>
      <c r="BG113" s="7">
        <f t="shared" si="167"/>
        <v>1.3967670830271859</v>
      </c>
      <c r="BH113" s="7">
        <f t="shared" si="167"/>
        <v>1.2902235861464271</v>
      </c>
      <c r="BI113" s="7">
        <f t="shared" si="167"/>
        <v>1.4206158549901726</v>
      </c>
      <c r="BJ113" s="7">
        <f t="shared" si="167"/>
        <v>1.3204296716659911</v>
      </c>
      <c r="BK113" s="7">
        <f t="shared" si="167"/>
        <v>1.6647681041497153</v>
      </c>
      <c r="BL113" s="7">
        <f t="shared" si="167"/>
        <v>1.612625538020086</v>
      </c>
      <c r="BM113" s="7">
        <f t="shared" si="167"/>
        <v>1.4823210962612079</v>
      </c>
      <c r="BN113" s="7">
        <f t="shared" si="167"/>
        <v>1.0814189717143303</v>
      </c>
      <c r="BO113" s="7">
        <f t="shared" ref="BO113:BT113" si="168">SUM(BO81:BO86)/SUM(BO94:BO97)</f>
        <v>1.4501779359430604</v>
      </c>
      <c r="BP113" s="7">
        <f t="shared" si="168"/>
        <v>1.3717973415526874</v>
      </c>
      <c r="BQ113" s="7">
        <f t="shared" si="168"/>
        <v>1.5080705705705706</v>
      </c>
      <c r="BR113" s="10">
        <f t="shared" si="168"/>
        <v>1.616657473800331</v>
      </c>
      <c r="BS113" s="10">
        <f t="shared" si="168"/>
        <v>1.8998031065412382</v>
      </c>
      <c r="BT113" s="10">
        <f t="shared" si="168"/>
        <v>1.2403546981953952</v>
      </c>
      <c r="CL113" s="7">
        <f t="shared" ref="CL113:CO113" si="169">SUM(CL81:CL86)/SUM(CL94:CL97)</f>
        <v>1.8185275740287965</v>
      </c>
      <c r="CM113" s="7">
        <f t="shared" si="169"/>
        <v>1.4783524455885795</v>
      </c>
      <c r="CN113" s="7">
        <f t="shared" si="169"/>
        <v>1.514593741782803</v>
      </c>
      <c r="CO113" s="7">
        <f t="shared" si="169"/>
        <v>1.3204296716659911</v>
      </c>
      <c r="CP113" s="7">
        <f>SUM(CP81:CP86)/SUM(CP94:CP97)</f>
        <v>1.0814189717143303</v>
      </c>
      <c r="CQ113" s="7">
        <f>SUM(CQ81:CQ86)/SUM(CQ94:CQ97)</f>
        <v>1.5080705705705706</v>
      </c>
      <c r="DM113" s="63"/>
    </row>
    <row r="114" spans="2:146">
      <c r="B114" s="1" t="s">
        <v>145</v>
      </c>
      <c r="AX114" s="7">
        <f t="shared" ref="AX114:BN114" si="170">(SUM(AX81:AX86)-(AX83))/SUM(AX94:AX97)</f>
        <v>1.4515077424612877</v>
      </c>
      <c r="AY114" s="7">
        <f t="shared" si="170"/>
        <v>1.3834364868847628</v>
      </c>
      <c r="AZ114" s="7">
        <f t="shared" si="170"/>
        <v>1.3083722072182666</v>
      </c>
      <c r="BA114" s="7">
        <f t="shared" si="170"/>
        <v>1.1499254102436598</v>
      </c>
      <c r="BB114" s="7">
        <f t="shared" si="170"/>
        <v>1.1015679850222326</v>
      </c>
      <c r="BC114" s="7">
        <f t="shared" si="170"/>
        <v>0.77889564810481982</v>
      </c>
      <c r="BD114" s="7">
        <f t="shared" si="170"/>
        <v>0.85784187483904195</v>
      </c>
      <c r="BE114" s="7">
        <f t="shared" si="170"/>
        <v>0.94561848408002258</v>
      </c>
      <c r="BF114" s="7">
        <f t="shared" si="170"/>
        <v>1.0236655272153563</v>
      </c>
      <c r="BG114" s="7">
        <f t="shared" si="170"/>
        <v>0.89468528043105555</v>
      </c>
      <c r="BH114" s="7">
        <f t="shared" si="170"/>
        <v>0.79701885138097328</v>
      </c>
      <c r="BI114" s="7">
        <f t="shared" si="170"/>
        <v>0.89561039528281283</v>
      </c>
      <c r="BJ114" s="7">
        <f t="shared" si="170"/>
        <v>0.8169841913254966</v>
      </c>
      <c r="BK114" s="7">
        <f t="shared" si="170"/>
        <v>1.1438161106590725</v>
      </c>
      <c r="BL114" s="7">
        <f t="shared" si="170"/>
        <v>1.144906743185079</v>
      </c>
      <c r="BM114" s="7">
        <f t="shared" si="170"/>
        <v>1.016579259008628</v>
      </c>
      <c r="BN114" s="7">
        <f t="shared" si="170"/>
        <v>0.64228785747773087</v>
      </c>
      <c r="BO114" s="7">
        <f t="shared" ref="BO114:BT114" si="171">(SUM(BO81:BO86)-(BO83))/SUM(BO94:BO97)</f>
        <v>0.88335310399367339</v>
      </c>
      <c r="BP114" s="7">
        <f t="shared" si="171"/>
        <v>0.82065112695049125</v>
      </c>
      <c r="BQ114" s="7">
        <f t="shared" si="171"/>
        <v>0.95983483483483478</v>
      </c>
      <c r="BR114" s="10">
        <f t="shared" si="171"/>
        <v>1.075565361279647</v>
      </c>
      <c r="BS114" s="10">
        <f t="shared" si="171"/>
        <v>1.2178954276963465</v>
      </c>
      <c r="BT114" s="10">
        <f t="shared" si="171"/>
        <v>0.73708774113254516</v>
      </c>
      <c r="CL114" s="7">
        <f t="shared" ref="CL114:CO114" si="172">(SUM(CL81:CL86)-(CL83))/SUM(CL94:CL97)</f>
        <v>1.4515077424612877</v>
      </c>
      <c r="CM114" s="7">
        <f t="shared" si="172"/>
        <v>1.1015679850222326</v>
      </c>
      <c r="CN114" s="7">
        <f t="shared" si="172"/>
        <v>1.0236655272153563</v>
      </c>
      <c r="CO114" s="7">
        <f t="shared" si="172"/>
        <v>0.8169841913254966</v>
      </c>
      <c r="CP114" s="7">
        <f>(SUM(CP81:CP86)-(CP83))/SUM(CP94:CP97)</f>
        <v>0.64228785747773087</v>
      </c>
      <c r="CQ114" s="7">
        <f>(SUM(CQ81:CQ86)-(CQ83))/SUM(CQ94:CQ97)</f>
        <v>0.95983483483483478</v>
      </c>
    </row>
    <row r="115" spans="2:146">
      <c r="B115" s="1" t="s">
        <v>146</v>
      </c>
      <c r="AX115" s="7">
        <f t="shared" ref="AX115:BN115" si="173">AX81/SUM(AX94:AX97)</f>
        <v>0.4710676446617767</v>
      </c>
      <c r="AY115" s="7">
        <f t="shared" si="173"/>
        <v>0.59416445623342173</v>
      </c>
      <c r="AZ115" s="7">
        <f t="shared" si="173"/>
        <v>0.65676405597839427</v>
      </c>
      <c r="BA115" s="7">
        <f t="shared" si="173"/>
        <v>0.4840875186474391</v>
      </c>
      <c r="BB115" s="7">
        <f t="shared" si="173"/>
        <v>0.45050315937280599</v>
      </c>
      <c r="BC115" s="7">
        <f t="shared" si="173"/>
        <v>7.6041179223210104E-2</v>
      </c>
      <c r="BD115" s="7">
        <f t="shared" si="173"/>
        <v>7.107906258047901E-2</v>
      </c>
      <c r="BE115" s="7">
        <f t="shared" si="173"/>
        <v>9.5519864750633982E-2</v>
      </c>
      <c r="BF115" s="7">
        <f t="shared" si="173"/>
        <v>0.2440178806205627</v>
      </c>
      <c r="BG115" s="7">
        <f t="shared" si="173"/>
        <v>0.13960323291697282</v>
      </c>
      <c r="BH115" s="7">
        <f t="shared" si="173"/>
        <v>9.3380096448925906E-2</v>
      </c>
      <c r="BI115" s="7">
        <f t="shared" si="173"/>
        <v>0.20790565625682464</v>
      </c>
      <c r="BJ115" s="7">
        <f t="shared" si="173"/>
        <v>0.17551682205107419</v>
      </c>
      <c r="BK115" s="7">
        <f t="shared" si="173"/>
        <v>0.47375915378356387</v>
      </c>
      <c r="BL115" s="7">
        <f t="shared" si="173"/>
        <v>0.52241750358680061</v>
      </c>
      <c r="BM115" s="7">
        <f t="shared" si="173"/>
        <v>0.42327863305701235</v>
      </c>
      <c r="BN115" s="7">
        <f t="shared" si="173"/>
        <v>6.4697609001406475E-2</v>
      </c>
      <c r="BO115" s="7">
        <f t="shared" ref="BO115:BT115" si="174">BO81/SUM(BO94:BO97)</f>
        <v>0.14333728746540134</v>
      </c>
      <c r="BP115" s="7">
        <f t="shared" si="174"/>
        <v>0.1028703525332306</v>
      </c>
      <c r="BQ115" s="7">
        <f t="shared" si="174"/>
        <v>0.2393018018018018</v>
      </c>
      <c r="BR115" s="10">
        <f t="shared" si="174"/>
        <v>0.36127964699393272</v>
      </c>
      <c r="BS115" s="10">
        <f t="shared" si="174"/>
        <v>0.31787355064537298</v>
      </c>
      <c r="BT115" s="10">
        <f t="shared" si="174"/>
        <v>8.3851897946484136E-2</v>
      </c>
      <c r="CL115" s="7">
        <f t="shared" ref="CL115:CO115" si="175">CL81/SUM(CL94:CL97)</f>
        <v>0.4710676446617767</v>
      </c>
      <c r="CM115" s="7">
        <f t="shared" si="175"/>
        <v>0.45050315937280599</v>
      </c>
      <c r="CN115" s="7">
        <f t="shared" si="175"/>
        <v>0.2440178806205627</v>
      </c>
      <c r="CO115" s="7">
        <f t="shared" si="175"/>
        <v>0.17551682205107419</v>
      </c>
      <c r="CP115" s="7">
        <f>CP81/SUM(CP94:CP97)</f>
        <v>6.4697609001406475E-2</v>
      </c>
      <c r="CQ115" s="7">
        <f>CQ81/SUM(CQ94:CQ97)</f>
        <v>0.2393018018018018</v>
      </c>
    </row>
    <row r="116" spans="2:146">
      <c r="B116" s="1" t="s">
        <v>2307</v>
      </c>
      <c r="AX116" s="7">
        <f t="shared" ref="AX116:BS116" si="176">AX50/AX87</f>
        <v>1.2994241842610366</v>
      </c>
      <c r="AY116" s="7">
        <f t="shared" si="176"/>
        <v>1.3404773502191913</v>
      </c>
      <c r="AZ116" s="7">
        <f t="shared" si="176"/>
        <v>1.4779058597502401</v>
      </c>
      <c r="BA116" s="7">
        <f t="shared" si="176"/>
        <v>1.3902323376007586</v>
      </c>
      <c r="BB116" s="7">
        <f t="shared" si="176"/>
        <v>1.3885435168738898</v>
      </c>
      <c r="BC116" s="7">
        <f t="shared" si="176"/>
        <v>1.3359823399558499</v>
      </c>
      <c r="BD116" s="7">
        <f t="shared" si="176"/>
        <v>1.4443455031166519</v>
      </c>
      <c r="BE116" s="7">
        <f t="shared" si="176"/>
        <v>1.3946326440827101</v>
      </c>
      <c r="BF116" s="7">
        <f t="shared" si="176"/>
        <v>1.3254292722812755</v>
      </c>
      <c r="BG116" s="7">
        <f t="shared" si="176"/>
        <v>1.3676351896690879</v>
      </c>
      <c r="BH116" s="7">
        <f t="shared" si="176"/>
        <v>1.420284135753749</v>
      </c>
      <c r="BI116" s="7">
        <f t="shared" si="176"/>
        <v>1.3385199240986718</v>
      </c>
      <c r="BJ116" s="7">
        <f t="shared" si="176"/>
        <v>1.3029031129765651</v>
      </c>
      <c r="BK116" s="7">
        <f t="shared" si="176"/>
        <v>1.3313772868484639</v>
      </c>
      <c r="BL116" s="7">
        <f t="shared" si="176"/>
        <v>1.3961369027448323</v>
      </c>
      <c r="BM116" s="7">
        <f t="shared" si="176"/>
        <v>1.3701171875</v>
      </c>
      <c r="BN116" s="7">
        <f t="shared" si="176"/>
        <v>1.3846387370977535</v>
      </c>
      <c r="BO116" s="7">
        <f t="shared" si="176"/>
        <v>1.375922100914724</v>
      </c>
      <c r="BP116" s="7">
        <f t="shared" si="176"/>
        <v>1.4622941346431668</v>
      </c>
      <c r="BQ116" s="7">
        <f t="shared" si="176"/>
        <v>1.3346508563899868</v>
      </c>
      <c r="BR116" s="10">
        <f t="shared" si="176"/>
        <v>1.3097125867195243</v>
      </c>
      <c r="BS116" s="10">
        <f t="shared" si="176"/>
        <v>1.2808269751415211</v>
      </c>
      <c r="BT116" s="10">
        <f t="shared" ref="BT116" si="177">BT50/BT87</f>
        <v>1.3189529810954921</v>
      </c>
      <c r="CL116" s="7">
        <f t="shared" ref="CL116:CQ116" si="178">CL50/CL87</f>
        <v>4.7567178502879077</v>
      </c>
      <c r="CM116" s="7">
        <f t="shared" si="178"/>
        <v>5.2788632326820606</v>
      </c>
      <c r="CN116" s="7">
        <f t="shared" si="178"/>
        <v>5.1847914963205231</v>
      </c>
      <c r="CO116" s="7">
        <f t="shared" si="178"/>
        <v>4.9807625043721577</v>
      </c>
      <c r="CP116" s="7">
        <f t="shared" si="178"/>
        <v>5.0840922890103215</v>
      </c>
      <c r="CQ116" s="7">
        <f t="shared" si="178"/>
        <v>5.2898550724637685</v>
      </c>
      <c r="CY116" s="67"/>
    </row>
    <row r="117" spans="2:146">
      <c r="B117" s="1" t="s">
        <v>149</v>
      </c>
      <c r="AX117" s="7">
        <f t="shared" ref="AX117:BS117" si="179">AX50/AX92</f>
        <v>8.7987783084771093E-2</v>
      </c>
      <c r="AY117" s="7">
        <f t="shared" si="179"/>
        <v>8.9061488673139164E-2</v>
      </c>
      <c r="AZ117" s="7">
        <f t="shared" si="179"/>
        <v>9.8723049281314174E-2</v>
      </c>
      <c r="BA117" s="7">
        <f t="shared" si="179"/>
        <v>9.1978542522822102E-2</v>
      </c>
      <c r="BB117" s="7">
        <f t="shared" si="179"/>
        <v>9.7024419001520368E-2</v>
      </c>
      <c r="BC117" s="7">
        <f t="shared" si="179"/>
        <v>9.3577017039304822E-2</v>
      </c>
      <c r="BD117" s="7">
        <f t="shared" si="179"/>
        <v>0.10077976948647054</v>
      </c>
      <c r="BE117" s="7">
        <f t="shared" si="179"/>
        <v>9.9226844461138761E-2</v>
      </c>
      <c r="BF117" s="7">
        <f t="shared" si="179"/>
        <v>9.9846011703110568E-2</v>
      </c>
      <c r="BG117" s="7">
        <f t="shared" si="179"/>
        <v>0.10303417244314728</v>
      </c>
      <c r="BH117" s="7">
        <f t="shared" si="179"/>
        <v>0.10710671983810488</v>
      </c>
      <c r="BI117" s="7">
        <f t="shared" si="179"/>
        <v>0.10360730861876505</v>
      </c>
      <c r="BJ117" s="7">
        <f t="shared" si="179"/>
        <v>0.10601662112932604</v>
      </c>
      <c r="BK117" s="7">
        <f t="shared" si="179"/>
        <v>0.10518421554991955</v>
      </c>
      <c r="BL117" s="7">
        <f t="shared" si="179"/>
        <v>0.11102727174733211</v>
      </c>
      <c r="BM117" s="7">
        <f t="shared" si="179"/>
        <v>0.11053336484676593</v>
      </c>
      <c r="BN117" s="7">
        <f t="shared" si="179"/>
        <v>0.11577611372001523</v>
      </c>
      <c r="BO117" s="7">
        <f t="shared" si="179"/>
        <v>0.1161684105630294</v>
      </c>
      <c r="BP117" s="7">
        <f t="shared" si="179"/>
        <v>0.12177574590952839</v>
      </c>
      <c r="BQ117" s="7">
        <f t="shared" si="179"/>
        <v>0.11859882454866884</v>
      </c>
      <c r="BR117" s="10">
        <f t="shared" si="179"/>
        <v>0.12104142337019991</v>
      </c>
      <c r="BS117" s="10">
        <f t="shared" si="179"/>
        <v>0.11733670041261753</v>
      </c>
      <c r="BT117" s="10">
        <f t="shared" ref="BT117" si="180">BT50/BT92</f>
        <v>0.12035562632696391</v>
      </c>
      <c r="CL117" s="7">
        <f t="shared" ref="CL117:CQ117" si="181">CL50/CL92</f>
        <v>0.32209117197907527</v>
      </c>
      <c r="CM117" s="7">
        <f t="shared" si="181"/>
        <v>0.36886034316919547</v>
      </c>
      <c r="CN117" s="7">
        <f t="shared" si="181"/>
        <v>0.39057591623036647</v>
      </c>
      <c r="CO117" s="7">
        <f t="shared" si="181"/>
        <v>0.40528233151183973</v>
      </c>
      <c r="CP117" s="7">
        <f t="shared" si="181"/>
        <v>0.42510470871938061</v>
      </c>
      <c r="CQ117" s="7">
        <f t="shared" si="181"/>
        <v>0.47006345563959068</v>
      </c>
    </row>
    <row r="118" spans="2:146">
      <c r="B118" s="1" t="s">
        <v>150</v>
      </c>
      <c r="AX118" s="7">
        <f t="shared" ref="AX118:BT118" si="182">AX51/AVERAGE(AU83:AX83)</f>
        <v>0.73945225758697264</v>
      </c>
      <c r="AY118" s="7">
        <f t="shared" si="182"/>
        <v>0.64829586656997829</v>
      </c>
      <c r="AZ118" s="7">
        <f t="shared" si="182"/>
        <v>0.67693409742120347</v>
      </c>
      <c r="BA118" s="7">
        <f t="shared" si="182"/>
        <v>0.62165429114142634</v>
      </c>
      <c r="BB118" s="7">
        <f t="shared" si="182"/>
        <v>0.64264462809917355</v>
      </c>
      <c r="BC118" s="7">
        <f t="shared" si="182"/>
        <v>0.59883994356482206</v>
      </c>
      <c r="BD118" s="7">
        <f t="shared" si="182"/>
        <v>0.60349201611699743</v>
      </c>
      <c r="BE118" s="7">
        <f t="shared" si="182"/>
        <v>0.56869009584664532</v>
      </c>
      <c r="BF118" s="7">
        <f t="shared" si="182"/>
        <v>0.56614867702645943</v>
      </c>
      <c r="BG118" s="7">
        <f t="shared" si="182"/>
        <v>0.55786509320101918</v>
      </c>
      <c r="BH118" s="7">
        <f t="shared" si="182"/>
        <v>0.53199245757385294</v>
      </c>
      <c r="BI118" s="7">
        <f t="shared" si="182"/>
        <v>0.51382569128456423</v>
      </c>
      <c r="BJ118" s="7">
        <f t="shared" si="182"/>
        <v>0.49891162385720506</v>
      </c>
      <c r="BK118" s="7">
        <f t="shared" si="182"/>
        <v>0.49860810392824001</v>
      </c>
      <c r="BL118" s="7">
        <f t="shared" si="182"/>
        <v>0.50512081137516163</v>
      </c>
      <c r="BM118" s="7">
        <f t="shared" si="182"/>
        <v>0.50432442821449164</v>
      </c>
      <c r="BN118" s="7">
        <f t="shared" si="182"/>
        <v>0.54640327991054793</v>
      </c>
      <c r="BO118" s="7">
        <f t="shared" si="182"/>
        <v>0.52654466388838561</v>
      </c>
      <c r="BP118" s="7">
        <f t="shared" si="182"/>
        <v>0.5799309184306084</v>
      </c>
      <c r="BQ118" s="7">
        <f t="shared" si="182"/>
        <v>0.53163452308229342</v>
      </c>
      <c r="BR118" s="10">
        <f t="shared" si="182"/>
        <v>0.5548654244306418</v>
      </c>
      <c r="BS118" s="10">
        <f t="shared" si="182"/>
        <v>0.53707144063502787</v>
      </c>
      <c r="BT118" s="10">
        <f t="shared" si="182"/>
        <v>0.52193844138834311</v>
      </c>
      <c r="CL118" s="7">
        <f t="shared" ref="CL118:CQ118" si="183">CL51/AVERAGE(CI83:CL83)</f>
        <v>2.5647668393782381</v>
      </c>
      <c r="CM118" s="7">
        <f t="shared" si="183"/>
        <v>2.5065856129685917</v>
      </c>
      <c r="CN118" s="7">
        <f t="shared" si="183"/>
        <v>2.4581607290803649</v>
      </c>
      <c r="CO118" s="7">
        <f t="shared" si="183"/>
        <v>2.3769146608315097</v>
      </c>
      <c r="CP118" s="7">
        <f t="shared" si="183"/>
        <v>2.3974461292897047</v>
      </c>
      <c r="CQ118" s="7">
        <f t="shared" si="183"/>
        <v>2.4681610791509621</v>
      </c>
    </row>
    <row r="119" spans="2:146">
      <c r="B119" s="1" t="s">
        <v>147</v>
      </c>
      <c r="AX119" s="42">
        <f t="shared" ref="AX119:BS119" si="184">AX70/AX92</f>
        <v>6.3683919810247911E-3</v>
      </c>
      <c r="AY119" s="42">
        <f t="shared" si="184"/>
        <v>1.0582524271844661E-2</v>
      </c>
      <c r="AZ119" s="42">
        <f t="shared" si="184"/>
        <v>5.5184804928131419E-3</v>
      </c>
      <c r="BA119" s="42">
        <f t="shared" si="184"/>
        <v>1.2705085171126517E-2</v>
      </c>
      <c r="BB119" s="42">
        <f t="shared" si="184"/>
        <v>2.4822364950820687E-3</v>
      </c>
      <c r="BC119" s="42">
        <f t="shared" si="184"/>
        <v>2.9996598323901412E-3</v>
      </c>
      <c r="BD119" s="42">
        <f t="shared" si="184"/>
        <v>7.6423622976793315E-3</v>
      </c>
      <c r="BE119" s="42">
        <f t="shared" si="184"/>
        <v>5.446520800075124E-3</v>
      </c>
      <c r="BF119" s="42">
        <f t="shared" si="184"/>
        <v>3.818909762858023E-3</v>
      </c>
      <c r="BG119" s="42">
        <f t="shared" si="184"/>
        <v>9.1207588471360814E-3</v>
      </c>
      <c r="BH119" s="42">
        <f t="shared" si="184"/>
        <v>7.7673947979286949E-3</v>
      </c>
      <c r="BI119" s="42">
        <f t="shared" si="184"/>
        <v>1.4805240585159508E-2</v>
      </c>
      <c r="BJ119" s="42">
        <f t="shared" si="184"/>
        <v>1.4344262295081968E-2</v>
      </c>
      <c r="BK119" s="42">
        <f t="shared" si="184"/>
        <v>1.3499140963756852E-2</v>
      </c>
      <c r="BL119" s="42">
        <f t="shared" si="184"/>
        <v>8.7312708849843698E-3</v>
      </c>
      <c r="BM119" s="42">
        <f t="shared" si="184"/>
        <v>1.2290238714251949E-2</v>
      </c>
      <c r="BN119" s="42">
        <f t="shared" si="184"/>
        <v>1.4341921563650209E-2</v>
      </c>
      <c r="BO119" s="42">
        <f t="shared" si="184"/>
        <v>1.6791230692575983E-2</v>
      </c>
      <c r="BP119" s="42">
        <f t="shared" si="184"/>
        <v>1.9177093358999038E-2</v>
      </c>
      <c r="BQ119" s="42">
        <f t="shared" si="184"/>
        <v>1.7678600697777883E-2</v>
      </c>
      <c r="BR119" s="112">
        <f t="shared" si="184"/>
        <v>1.5387785944906231E-2</v>
      </c>
      <c r="BS119" s="112">
        <f t="shared" si="184"/>
        <v>3.0236071339992333E-2</v>
      </c>
      <c r="BT119" s="112">
        <f t="shared" ref="BT119" si="185">BT70/BT92</f>
        <v>2.0059271054493986E-2</v>
      </c>
      <c r="CL119" s="42">
        <f t="shared" ref="CL119:CQ119" si="186">CL70/CL92</f>
        <v>-3.7040647236572764E-3</v>
      </c>
      <c r="CM119" s="42">
        <f t="shared" si="186"/>
        <v>3.0531508889509448E-2</v>
      </c>
      <c r="CN119" s="42">
        <f t="shared" si="186"/>
        <v>1.9741299661225748E-2</v>
      </c>
      <c r="CO119" s="42">
        <f t="shared" si="186"/>
        <v>4.4655054644808741E-2</v>
      </c>
      <c r="CP119" s="42">
        <f t="shared" si="186"/>
        <v>4.7011042010407414E-2</v>
      </c>
      <c r="CQ119" s="42">
        <f t="shared" si="186"/>
        <v>6.7857728241271925E-2</v>
      </c>
    </row>
    <row r="120" spans="2:146">
      <c r="B120" s="1" t="s">
        <v>148</v>
      </c>
      <c r="AX120" s="42">
        <f t="shared" ref="AX120:BS120" si="187">AX70/AX102</f>
        <v>1.2787890650486071E-2</v>
      </c>
      <c r="AY120" s="42">
        <f t="shared" si="187"/>
        <v>2.0802850054074687E-2</v>
      </c>
      <c r="AZ120" s="42">
        <f t="shared" si="187"/>
        <v>1.0788433795396098E-2</v>
      </c>
      <c r="BA120" s="42">
        <f t="shared" si="187"/>
        <v>2.4603608529250958E-2</v>
      </c>
      <c r="BB120" s="42">
        <f t="shared" si="187"/>
        <v>4.8128985681626761E-3</v>
      </c>
      <c r="BC120" s="42">
        <f t="shared" si="187"/>
        <v>5.796235434717658E-3</v>
      </c>
      <c r="BD120" s="42">
        <f t="shared" si="187"/>
        <v>1.4260042896063996E-2</v>
      </c>
      <c r="BE120" s="42">
        <f t="shared" si="187"/>
        <v>9.8639455782312917E-3</v>
      </c>
      <c r="BF120" s="42">
        <f t="shared" si="187"/>
        <v>7.0562795197177492E-3</v>
      </c>
      <c r="BG120" s="42">
        <f t="shared" si="187"/>
        <v>1.6566348224639683E-2</v>
      </c>
      <c r="BH120" s="42">
        <f t="shared" si="187"/>
        <v>1.4119556397078712E-2</v>
      </c>
      <c r="BI120" s="42">
        <f t="shared" si="187"/>
        <v>2.6347430602749751E-2</v>
      </c>
      <c r="BJ120" s="42">
        <f t="shared" si="187"/>
        <v>2.5806451612903226E-2</v>
      </c>
      <c r="BK120" s="42">
        <f t="shared" si="187"/>
        <v>2.4543831812772709E-2</v>
      </c>
      <c r="BL120" s="42">
        <f t="shared" si="187"/>
        <v>1.5721286816439421E-2</v>
      </c>
      <c r="BM120" s="42">
        <f t="shared" si="187"/>
        <v>2.2332506203473945E-2</v>
      </c>
      <c r="BN120" s="42">
        <f t="shared" si="187"/>
        <v>2.5678316593191839E-2</v>
      </c>
      <c r="BO120" s="42">
        <f t="shared" si="187"/>
        <v>3.0027621847990734E-2</v>
      </c>
      <c r="BP120" s="42">
        <f t="shared" si="187"/>
        <v>3.5182977972012537E-2</v>
      </c>
      <c r="BQ120" s="42">
        <f t="shared" si="187"/>
        <v>3.1950909860347015E-2</v>
      </c>
      <c r="BR120" s="112">
        <f t="shared" si="187"/>
        <v>2.7459954233409609E-2</v>
      </c>
      <c r="BS120" s="112">
        <f t="shared" si="187"/>
        <v>5.1371437327612623E-2</v>
      </c>
      <c r="BT120" s="112">
        <f t="shared" ref="BT120" si="188">BT70/BT102</f>
        <v>3.6032099157794373E-2</v>
      </c>
      <c r="CL120" s="42">
        <f t="shared" ref="CL120:CQ120" si="189">CL70/CL102</f>
        <v>-7.4378547660990408E-3</v>
      </c>
      <c r="CM120" s="42">
        <f t="shared" si="189"/>
        <v>5.9198652388400913E-2</v>
      </c>
      <c r="CN120" s="42">
        <f t="shared" si="189"/>
        <v>3.6476412678540945E-2</v>
      </c>
      <c r="CO120" s="42">
        <f t="shared" si="189"/>
        <v>8.0337941628264214E-2</v>
      </c>
      <c r="CP120" s="42">
        <f t="shared" si="189"/>
        <v>8.4170340408126168E-2</v>
      </c>
      <c r="CQ120" s="42">
        <f t="shared" si="189"/>
        <v>0.12264071096064325</v>
      </c>
    </row>
    <row r="121" spans="2:146">
      <c r="BQ121" s="4"/>
    </row>
    <row r="122" spans="2:146">
      <c r="B122" s="1" t="s">
        <v>18</v>
      </c>
      <c r="AU122" s="1">
        <f t="shared" ref="AU122:BS122" si="190">AU70</f>
        <v>11</v>
      </c>
      <c r="AV122" s="1">
        <f t="shared" si="190"/>
        <v>-152</v>
      </c>
      <c r="AW122" s="1">
        <f t="shared" si="190"/>
        <v>-169</v>
      </c>
      <c r="AX122" s="1">
        <f t="shared" si="190"/>
        <v>196</v>
      </c>
      <c r="AY122" s="1">
        <f t="shared" si="190"/>
        <v>327</v>
      </c>
      <c r="AZ122" s="1">
        <f t="shared" si="190"/>
        <v>172</v>
      </c>
      <c r="BA122" s="1">
        <f t="shared" si="190"/>
        <v>405</v>
      </c>
      <c r="BB122" s="1">
        <f t="shared" si="190"/>
        <v>80</v>
      </c>
      <c r="BC122" s="1">
        <f t="shared" si="190"/>
        <v>97</v>
      </c>
      <c r="BD122" s="1">
        <f t="shared" si="190"/>
        <v>246</v>
      </c>
      <c r="BE122" s="1">
        <f t="shared" si="190"/>
        <v>174</v>
      </c>
      <c r="BF122" s="1">
        <f t="shared" si="190"/>
        <v>124</v>
      </c>
      <c r="BG122" s="1">
        <f t="shared" si="190"/>
        <v>300</v>
      </c>
      <c r="BH122" s="1">
        <f t="shared" si="190"/>
        <v>261</v>
      </c>
      <c r="BI122" s="1">
        <f t="shared" si="190"/>
        <v>504</v>
      </c>
      <c r="BJ122" s="1">
        <f t="shared" si="190"/>
        <v>504</v>
      </c>
      <c r="BK122" s="1">
        <f t="shared" si="190"/>
        <v>495</v>
      </c>
      <c r="BL122" s="1">
        <f t="shared" si="190"/>
        <v>324</v>
      </c>
      <c r="BM122" s="1">
        <f t="shared" si="190"/>
        <v>468</v>
      </c>
      <c r="BN122" s="1">
        <f t="shared" si="190"/>
        <v>565</v>
      </c>
      <c r="BO122" s="1">
        <f t="shared" si="190"/>
        <v>674</v>
      </c>
      <c r="BP122" s="1">
        <f t="shared" si="190"/>
        <v>797</v>
      </c>
      <c r="BQ122" s="1">
        <f t="shared" si="190"/>
        <v>755</v>
      </c>
      <c r="BR122" s="1">
        <f t="shared" si="190"/>
        <v>672</v>
      </c>
      <c r="BS122" s="1">
        <f t="shared" si="190"/>
        <v>1341</v>
      </c>
      <c r="BT122" s="1">
        <f t="shared" ref="BT122" si="191">BT70</f>
        <v>907</v>
      </c>
      <c r="CA122" s="4"/>
      <c r="CB122" s="4"/>
      <c r="CC122" s="4"/>
      <c r="CD122" s="4"/>
      <c r="CE122" s="4"/>
      <c r="CF122" s="4"/>
      <c r="CG122" s="4"/>
      <c r="CH122" s="4"/>
      <c r="CI122" s="4"/>
      <c r="CJ122" s="4"/>
      <c r="CL122" s="1">
        <f>CL70</f>
        <v>-114</v>
      </c>
      <c r="CM122" s="1">
        <f>CM70</f>
        <v>984</v>
      </c>
      <c r="CN122" s="1">
        <f>CN70</f>
        <v>641</v>
      </c>
      <c r="CO122" s="1">
        <f>CO70</f>
        <v>1569</v>
      </c>
      <c r="CP122" s="1">
        <f>CP70</f>
        <v>1852</v>
      </c>
      <c r="CQ122" s="4">
        <f t="shared" ref="CQ122:CQ127" si="192">SUM(BO122:BR122)</f>
        <v>2898</v>
      </c>
    </row>
    <row r="123" spans="2:146" s="3" customFormat="1" ht="15">
      <c r="B123" s="3" t="s">
        <v>151</v>
      </c>
      <c r="AU123" s="3">
        <v>-77</v>
      </c>
      <c r="AV123" s="3">
        <f>192-AU123</f>
        <v>269</v>
      </c>
      <c r="AW123" s="3">
        <f>835-SUM(AU123:AV123)</f>
        <v>643</v>
      </c>
      <c r="AX123" s="3">
        <f>1508-SUM(AU123:AW123)</f>
        <v>673</v>
      </c>
      <c r="AY123" s="3">
        <v>284</v>
      </c>
      <c r="AZ123" s="3">
        <f>927-AY123</f>
        <v>643</v>
      </c>
      <c r="BA123" s="3">
        <f>1392-SUM(AY123:AZ123)</f>
        <v>465</v>
      </c>
      <c r="BB123" s="3">
        <f>1870-SUM(AY123:BA123)</f>
        <v>478</v>
      </c>
      <c r="BC123" s="3">
        <v>190</v>
      </c>
      <c r="BD123" s="3">
        <f>249-BC123</f>
        <v>59</v>
      </c>
      <c r="BE123" s="3">
        <f>719-SUM(BC123:BD123)</f>
        <v>470</v>
      </c>
      <c r="BF123" s="3">
        <f>1526-SUM(BC123:BE123)</f>
        <v>807</v>
      </c>
      <c r="BG123" s="3">
        <v>190</v>
      </c>
      <c r="BH123" s="3">
        <f>848-BG123</f>
        <v>658</v>
      </c>
      <c r="BI123" s="3">
        <f>1546-SUM(BG123:BH123)</f>
        <v>698</v>
      </c>
      <c r="BJ123" s="3">
        <f>2503-SUM(BG123:BI123)</f>
        <v>957</v>
      </c>
      <c r="BK123" s="3">
        <v>164</v>
      </c>
      <c r="BL123" s="3">
        <f>977-BK123</f>
        <v>813</v>
      </c>
      <c r="BM123" s="3">
        <f>1979-SUM(BK123:BL123)</f>
        <v>1002</v>
      </c>
      <c r="BN123" s="3">
        <f>3435-SUM(BK123:BM123)</f>
        <v>1456</v>
      </c>
      <c r="BO123" s="3">
        <v>541</v>
      </c>
      <c r="BP123" s="3">
        <f>1827-BO123</f>
        <v>1286</v>
      </c>
      <c r="BQ123" s="3">
        <v>1344</v>
      </c>
      <c r="BR123" s="3">
        <v>1364</v>
      </c>
      <c r="BS123" s="3">
        <v>348</v>
      </c>
      <c r="BT123" s="3">
        <v>1474</v>
      </c>
      <c r="BU123" s="58"/>
      <c r="BV123" s="58"/>
      <c r="CK123" s="5"/>
      <c r="CL123" s="5">
        <f t="shared" ref="CL123:CL127" si="193">SUM(AU123:AX123)</f>
        <v>1508</v>
      </c>
      <c r="CM123" s="5">
        <f t="shared" ref="CM123:CM127" si="194">SUM(AY123:BB123)</f>
        <v>1870</v>
      </c>
      <c r="CN123" s="5">
        <f t="shared" ref="CN123:CN127" si="195">SUM(BC123:BF123)</f>
        <v>1526</v>
      </c>
      <c r="CO123" s="5">
        <f>SUM(BG123:BI123)</f>
        <v>1546</v>
      </c>
      <c r="CP123" s="5">
        <f t="shared" ref="CP123:CP127" si="196">SUM(BK123:BN123)</f>
        <v>3435</v>
      </c>
      <c r="CQ123" s="5">
        <f t="shared" si="192"/>
        <v>4535</v>
      </c>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c r="DU123" s="58"/>
      <c r="DV123" s="58"/>
      <c r="DW123" s="58"/>
      <c r="DX123" s="58"/>
      <c r="DY123" s="58"/>
      <c r="DZ123" s="58"/>
      <c r="EA123" s="58"/>
      <c r="EB123" s="58"/>
      <c r="EC123" s="58"/>
      <c r="ED123" s="58"/>
      <c r="EE123" s="58"/>
      <c r="EF123" s="58"/>
      <c r="EG123" s="58"/>
      <c r="EH123" s="58"/>
      <c r="EI123" s="58"/>
      <c r="EJ123" s="58"/>
      <c r="EK123" s="58"/>
      <c r="EL123" s="58"/>
      <c r="EM123" s="58"/>
      <c r="EN123" s="58"/>
      <c r="EO123" s="58"/>
      <c r="EP123" s="58"/>
    </row>
    <row r="124" spans="2:146">
      <c r="B124" s="1" t="s">
        <v>158</v>
      </c>
      <c r="AU124" s="1">
        <f>-100+3</f>
        <v>-97</v>
      </c>
      <c r="AV124" s="1">
        <f>-168+4-AU124</f>
        <v>-67</v>
      </c>
      <c r="AW124" s="1">
        <f>-217+6-SUM(AU124:AV124)</f>
        <v>-47</v>
      </c>
      <c r="AX124" s="1">
        <f>-376+12-SUM(AU124:AW124)</f>
        <v>-153</v>
      </c>
      <c r="AY124" s="1">
        <f>-75+4</f>
        <v>-71</v>
      </c>
      <c r="AZ124" s="1">
        <f>-181+7-AY124</f>
        <v>-103</v>
      </c>
      <c r="BA124" s="1">
        <f>-288+10-SUM(AY124:AZ124)</f>
        <v>-104</v>
      </c>
      <c r="BB124" s="1">
        <f>-554+14-SUM(AY124:BA124)</f>
        <v>-262</v>
      </c>
      <c r="BC124" s="1">
        <f>-111+3</f>
        <v>-108</v>
      </c>
      <c r="BD124" s="1">
        <f>-226+9-BC124</f>
        <v>-109</v>
      </c>
      <c r="BE124" s="1">
        <f>-376+10-SUM(BC124:BD124)</f>
        <v>-149</v>
      </c>
      <c r="BF124" s="1">
        <f>-588+12-SUM(BC124:BE124)</f>
        <v>-210</v>
      </c>
      <c r="BG124" s="1">
        <f>-111+3</f>
        <v>-108</v>
      </c>
      <c r="BH124" s="1">
        <f>-254+3-BG124</f>
        <v>-143</v>
      </c>
      <c r="BI124" s="1">
        <f>-444+4-SUM(BG124:BH124)</f>
        <v>-189</v>
      </c>
      <c r="BJ124" s="1">
        <f>-711+4-SUM(BG124:BI124)</f>
        <v>-267</v>
      </c>
      <c r="BK124" s="1">
        <f>-179+1</f>
        <v>-178</v>
      </c>
      <c r="BL124" s="1">
        <f>-334+1-BK124</f>
        <v>-155</v>
      </c>
      <c r="BM124" s="1">
        <f>-513+1-SUM(BK124:BL124)</f>
        <v>-179</v>
      </c>
      <c r="BN124" s="1">
        <f>-790+3-SUM(BK124:BM124)</f>
        <v>-275</v>
      </c>
      <c r="BO124" s="1">
        <f>-187</f>
        <v>-187</v>
      </c>
      <c r="BP124" s="1">
        <f>-344-BO124</f>
        <v>-157</v>
      </c>
      <c r="BQ124" s="1">
        <v>-181</v>
      </c>
      <c r="BR124" s="1">
        <v>-351</v>
      </c>
      <c r="BS124" s="1">
        <v>-177</v>
      </c>
      <c r="BT124" s="1">
        <v>-195</v>
      </c>
      <c r="CK124" s="4"/>
      <c r="CL124" s="4">
        <f t="shared" si="193"/>
        <v>-364</v>
      </c>
      <c r="CM124" s="4">
        <f t="shared" si="194"/>
        <v>-540</v>
      </c>
      <c r="CN124" s="4">
        <f t="shared" si="195"/>
        <v>-576</v>
      </c>
      <c r="CO124" s="4">
        <f>SUM(BG124:BI124)</f>
        <v>-440</v>
      </c>
      <c r="CP124" s="4">
        <f t="shared" si="196"/>
        <v>-787</v>
      </c>
      <c r="CQ124" s="4">
        <f t="shared" si="192"/>
        <v>-876</v>
      </c>
    </row>
    <row r="125" spans="2:146" s="3" customFormat="1" ht="15">
      <c r="B125" s="3" t="s">
        <v>152</v>
      </c>
      <c r="AU125" s="3">
        <f t="shared" ref="AU125:AV125" si="197">AU123+AU124</f>
        <v>-174</v>
      </c>
      <c r="AV125" s="3">
        <f t="shared" si="197"/>
        <v>202</v>
      </c>
      <c r="AW125" s="3">
        <f>AW123+AW124</f>
        <v>596</v>
      </c>
      <c r="AX125" s="3">
        <f t="shared" ref="AX125:AZ125" si="198">AX123+AX124</f>
        <v>520</v>
      </c>
      <c r="AY125" s="3">
        <f t="shared" si="198"/>
        <v>213</v>
      </c>
      <c r="AZ125" s="3">
        <f t="shared" si="198"/>
        <v>540</v>
      </c>
      <c r="BA125" s="3">
        <f>BA123+BA124</f>
        <v>361</v>
      </c>
      <c r="BB125" s="3">
        <f t="shared" ref="BB125:BD125" si="199">BB123+BB124</f>
        <v>216</v>
      </c>
      <c r="BC125" s="3">
        <f t="shared" si="199"/>
        <v>82</v>
      </c>
      <c r="BD125" s="3">
        <f t="shared" si="199"/>
        <v>-50</v>
      </c>
      <c r="BE125" s="3">
        <f>BE123+BE124</f>
        <v>321</v>
      </c>
      <c r="BF125" s="3">
        <f t="shared" ref="BF125:BS125" si="200">BF123+BF124</f>
        <v>597</v>
      </c>
      <c r="BG125" s="3">
        <f t="shared" si="200"/>
        <v>82</v>
      </c>
      <c r="BH125" s="3">
        <f t="shared" si="200"/>
        <v>515</v>
      </c>
      <c r="BI125" s="3">
        <f>BI123+BI124</f>
        <v>509</v>
      </c>
      <c r="BJ125" s="3">
        <f t="shared" si="200"/>
        <v>690</v>
      </c>
      <c r="BK125" s="3">
        <f t="shared" si="200"/>
        <v>-14</v>
      </c>
      <c r="BL125" s="3">
        <f t="shared" si="200"/>
        <v>658</v>
      </c>
      <c r="BM125" s="3">
        <f t="shared" si="200"/>
        <v>823</v>
      </c>
      <c r="BN125" s="3">
        <f t="shared" si="200"/>
        <v>1181</v>
      </c>
      <c r="BO125" s="3">
        <f t="shared" si="200"/>
        <v>354</v>
      </c>
      <c r="BP125" s="3">
        <f t="shared" si="200"/>
        <v>1129</v>
      </c>
      <c r="BQ125" s="3">
        <f t="shared" si="200"/>
        <v>1163</v>
      </c>
      <c r="BR125" s="3">
        <f t="shared" si="200"/>
        <v>1013</v>
      </c>
      <c r="BS125" s="3">
        <f t="shared" si="200"/>
        <v>171</v>
      </c>
      <c r="BT125" s="3">
        <f t="shared" ref="BT125" si="201">BT123+BT124</f>
        <v>1279</v>
      </c>
      <c r="BU125" s="58"/>
      <c r="BV125" s="58"/>
      <c r="CK125" s="5"/>
      <c r="CL125" s="5">
        <f t="shared" si="193"/>
        <v>1144</v>
      </c>
      <c r="CM125" s="5">
        <f t="shared" si="194"/>
        <v>1330</v>
      </c>
      <c r="CN125" s="5">
        <f t="shared" si="195"/>
        <v>950</v>
      </c>
      <c r="CO125" s="5">
        <f>SUM(BG125:BI125)</f>
        <v>1106</v>
      </c>
      <c r="CP125" s="5">
        <f t="shared" si="196"/>
        <v>2648</v>
      </c>
      <c r="CQ125" s="5">
        <f t="shared" si="192"/>
        <v>3659</v>
      </c>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E125" s="58"/>
      <c r="EF125" s="58"/>
      <c r="EG125" s="58"/>
      <c r="EH125" s="58"/>
      <c r="EI125" s="58"/>
      <c r="EJ125" s="58"/>
      <c r="EK125" s="58"/>
      <c r="EL125" s="58"/>
      <c r="EM125" s="58"/>
      <c r="EN125" s="58"/>
      <c r="EO125" s="58"/>
      <c r="EP125" s="58"/>
    </row>
    <row r="126" spans="2:146">
      <c r="B126" s="1" t="s">
        <v>1</v>
      </c>
      <c r="AU126" s="46">
        <f t="shared" ref="AU126:BS126" si="202">AU71</f>
        <v>1397.4</v>
      </c>
      <c r="AV126" s="46">
        <f t="shared" si="202"/>
        <v>1410.9</v>
      </c>
      <c r="AW126" s="46">
        <f t="shared" si="202"/>
        <v>1430.9</v>
      </c>
      <c r="AX126" s="46">
        <f t="shared" si="202"/>
        <v>1416.7</v>
      </c>
      <c r="AY126" s="46">
        <f t="shared" si="202"/>
        <v>1418.7</v>
      </c>
      <c r="AZ126" s="46">
        <f t="shared" si="202"/>
        <v>1421.3</v>
      </c>
      <c r="BA126" s="46">
        <f t="shared" si="202"/>
        <v>1423.8</v>
      </c>
      <c r="BB126" s="46">
        <f t="shared" si="202"/>
        <v>1422.3</v>
      </c>
      <c r="BC126" s="46">
        <f t="shared" si="202"/>
        <v>1427.8</v>
      </c>
      <c r="BD126" s="46">
        <f t="shared" si="202"/>
        <v>1429.7</v>
      </c>
      <c r="BE126" s="46">
        <f t="shared" si="202"/>
        <v>1431.6</v>
      </c>
      <c r="BF126" s="46">
        <f t="shared" si="202"/>
        <v>1430.5</v>
      </c>
      <c r="BG126" s="46">
        <f t="shared" si="202"/>
        <v>1435.8</v>
      </c>
      <c r="BH126" s="46">
        <f t="shared" si="202"/>
        <v>1446.2</v>
      </c>
      <c r="BI126" s="46">
        <f t="shared" si="202"/>
        <v>1464.5</v>
      </c>
      <c r="BJ126" s="46">
        <f t="shared" si="202"/>
        <v>1453</v>
      </c>
      <c r="BK126" s="46">
        <f t="shared" si="202"/>
        <v>1468.4</v>
      </c>
      <c r="BL126" s="46">
        <f t="shared" si="202"/>
        <v>1470.6</v>
      </c>
      <c r="BM126" s="46">
        <f t="shared" si="202"/>
        <v>1472.7</v>
      </c>
      <c r="BN126" s="46">
        <f t="shared" si="202"/>
        <v>1471.5</v>
      </c>
      <c r="BO126" s="46">
        <f t="shared" si="202"/>
        <v>1477.2</v>
      </c>
      <c r="BP126" s="46">
        <f t="shared" si="202"/>
        <v>1479.9</v>
      </c>
      <c r="BQ126" s="46">
        <f t="shared" si="202"/>
        <v>1481.7</v>
      </c>
      <c r="BR126" s="46">
        <f t="shared" si="202"/>
        <v>1482.7</v>
      </c>
      <c r="BS126" s="46">
        <f t="shared" si="202"/>
        <v>1484.9</v>
      </c>
      <c r="BT126" s="46">
        <f t="shared" ref="BT126" si="203">BT71</f>
        <v>1470.2</v>
      </c>
      <c r="CK126" s="4"/>
      <c r="CL126" s="45">
        <f t="shared" si="193"/>
        <v>5655.9000000000005</v>
      </c>
      <c r="CM126" s="45">
        <f t="shared" si="194"/>
        <v>5686.1</v>
      </c>
      <c r="CN126" s="45">
        <f t="shared" si="195"/>
        <v>5719.6</v>
      </c>
      <c r="CO126" s="45">
        <f>SUM(BG126:BI126)</f>
        <v>4346.5</v>
      </c>
      <c r="CP126" s="45">
        <f t="shared" si="196"/>
        <v>5883.2</v>
      </c>
      <c r="CQ126" s="45">
        <f t="shared" si="192"/>
        <v>5921.5</v>
      </c>
    </row>
    <row r="127" spans="2:146">
      <c r="B127" s="1" t="s">
        <v>153</v>
      </c>
      <c r="AU127" s="10">
        <f t="shared" ref="AU127:BS127" si="204">AU125/AU126</f>
        <v>-0.124516960068699</v>
      </c>
      <c r="AV127" s="10">
        <f t="shared" si="204"/>
        <v>0.14317102558650505</v>
      </c>
      <c r="AW127" s="10">
        <f t="shared" si="204"/>
        <v>0.41652107065483257</v>
      </c>
      <c r="AX127" s="10">
        <f t="shared" si="204"/>
        <v>0.36705018705442222</v>
      </c>
      <c r="AY127" s="10">
        <f t="shared" si="204"/>
        <v>0.15013744977796573</v>
      </c>
      <c r="AZ127" s="10">
        <f t="shared" si="204"/>
        <v>0.37993386336452545</v>
      </c>
      <c r="BA127" s="10">
        <f t="shared" si="204"/>
        <v>0.25354684646720044</v>
      </c>
      <c r="BB127" s="10">
        <f t="shared" si="204"/>
        <v>0.15186669479012868</v>
      </c>
      <c r="BC127" s="10">
        <f t="shared" si="204"/>
        <v>5.7431012746883316E-2</v>
      </c>
      <c r="BD127" s="10">
        <f t="shared" si="204"/>
        <v>-3.4972371826257252E-2</v>
      </c>
      <c r="BE127" s="10">
        <f t="shared" si="204"/>
        <v>0.2242246437552389</v>
      </c>
      <c r="BF127" s="10">
        <f t="shared" si="204"/>
        <v>0.41733659559594549</v>
      </c>
      <c r="BG127" s="10">
        <f t="shared" si="204"/>
        <v>5.711101824766681E-2</v>
      </c>
      <c r="BH127" s="10">
        <f t="shared" si="204"/>
        <v>0.3561056562024616</v>
      </c>
      <c r="BI127" s="10">
        <f t="shared" si="204"/>
        <v>0.34755889382041655</v>
      </c>
      <c r="BJ127" s="10">
        <f t="shared" si="204"/>
        <v>0.47487955953200273</v>
      </c>
      <c r="BK127" s="10">
        <f t="shared" si="204"/>
        <v>-9.5341868700626522E-3</v>
      </c>
      <c r="BL127" s="10">
        <f t="shared" si="204"/>
        <v>0.44743642050863597</v>
      </c>
      <c r="BM127" s="10">
        <f t="shared" si="204"/>
        <v>0.5588375093365926</v>
      </c>
      <c r="BN127" s="10">
        <f t="shared" si="204"/>
        <v>0.80258239891267413</v>
      </c>
      <c r="BO127" s="10">
        <f t="shared" si="204"/>
        <v>0.239642567018684</v>
      </c>
      <c r="BP127" s="10">
        <f t="shared" si="204"/>
        <v>0.76288938441786602</v>
      </c>
      <c r="BQ127" s="10">
        <f t="shared" si="204"/>
        <v>0.78490922588918133</v>
      </c>
      <c r="BR127" s="10">
        <f t="shared" si="204"/>
        <v>0.68321305726040327</v>
      </c>
      <c r="BS127" s="10">
        <f t="shared" si="204"/>
        <v>0.11515926998451073</v>
      </c>
      <c r="BT127" s="10">
        <f t="shared" ref="BT127" si="205">BT125/BT126</f>
        <v>0.8699496667120119</v>
      </c>
      <c r="CK127" s="7"/>
      <c r="CL127" s="7">
        <f t="shared" si="193"/>
        <v>0.80222532322706086</v>
      </c>
      <c r="CM127" s="7">
        <f t="shared" si="194"/>
        <v>0.93548485439982032</v>
      </c>
      <c r="CN127" s="7">
        <f t="shared" si="195"/>
        <v>0.66401988027181047</v>
      </c>
      <c r="CO127" s="7">
        <f>SUM(BG127:BJ127)</f>
        <v>1.2356551278025476</v>
      </c>
      <c r="CP127" s="7">
        <f t="shared" si="196"/>
        <v>1.79932214188784</v>
      </c>
      <c r="CQ127" s="7">
        <f t="shared" si="192"/>
        <v>2.4706542345861346</v>
      </c>
    </row>
    <row r="128" spans="2:146">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CK128" s="7"/>
      <c r="CL128" s="7"/>
      <c r="CM128" s="7"/>
      <c r="CN128" s="7"/>
      <c r="CO128" s="7"/>
      <c r="CP128" s="7"/>
      <c r="CQ128" s="7"/>
    </row>
    <row r="129" spans="2:145">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CK129" s="7"/>
      <c r="CL129" s="7"/>
      <c r="CM129" s="7"/>
      <c r="CN129" s="7"/>
      <c r="CO129" s="7"/>
      <c r="CP129" s="7"/>
      <c r="CQ129" s="7"/>
    </row>
    <row r="130" spans="2:145">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CK130" s="7"/>
      <c r="CL130" s="7"/>
      <c r="CM130" s="7"/>
      <c r="CN130" s="7"/>
      <c r="CO130" s="7"/>
      <c r="CP130" s="7"/>
      <c r="CQ130" s="7"/>
    </row>
    <row r="131" spans="2:145">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CK131" s="7"/>
      <c r="CL131" s="7"/>
      <c r="CM131" s="7"/>
      <c r="CN131" s="7"/>
      <c r="CO131" s="7"/>
      <c r="CP131" s="7"/>
      <c r="CQ131" s="7"/>
    </row>
    <row r="132" spans="2:145">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CK132" s="7"/>
      <c r="CL132" s="7"/>
      <c r="CM132" s="7"/>
      <c r="CN132" s="7"/>
      <c r="CO132" s="7"/>
      <c r="CP132" s="7"/>
      <c r="CQ132" s="7"/>
    </row>
    <row r="133" spans="2:145">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CK133" s="7"/>
      <c r="CL133" s="7"/>
      <c r="CM133" s="7"/>
      <c r="CN133" s="7"/>
      <c r="CO133" s="7"/>
      <c r="CP133" s="7"/>
      <c r="CQ133" s="7"/>
    </row>
    <row r="134" spans="2:145">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CK134" s="7"/>
      <c r="CL134" s="7"/>
      <c r="CM134" s="7"/>
      <c r="CN134" s="7"/>
      <c r="CO134" s="7"/>
      <c r="CP134" s="7"/>
      <c r="CQ134" s="7"/>
    </row>
    <row r="135" spans="2:145" ht="15">
      <c r="B135" s="3" t="s">
        <v>2456</v>
      </c>
      <c r="BO135" s="1"/>
      <c r="BP135" s="1"/>
    </row>
    <row r="136" spans="2:145" s="83" customFormat="1" ht="13.5" customHeight="1">
      <c r="B136" s="1" t="s">
        <v>23</v>
      </c>
      <c r="AA136" s="1" t="s">
        <v>154</v>
      </c>
      <c r="AB136" s="1" t="s">
        <v>155</v>
      </c>
      <c r="AC136" s="1" t="s">
        <v>156</v>
      </c>
      <c r="AD136" s="1" t="s">
        <v>157</v>
      </c>
      <c r="AE136" s="1" t="s">
        <v>154</v>
      </c>
      <c r="AF136" s="1" t="s">
        <v>155</v>
      </c>
      <c r="AG136" s="1" t="s">
        <v>156</v>
      </c>
      <c r="AH136" s="1" t="s">
        <v>157</v>
      </c>
      <c r="AI136" s="1" t="s">
        <v>154</v>
      </c>
      <c r="AJ136" s="1" t="s">
        <v>155</v>
      </c>
      <c r="AK136" s="1" t="s">
        <v>156</v>
      </c>
      <c r="AL136" s="1" t="s">
        <v>157</v>
      </c>
      <c r="AM136" s="1" t="s">
        <v>154</v>
      </c>
      <c r="AN136" s="1" t="s">
        <v>155</v>
      </c>
      <c r="AO136" s="1" t="s">
        <v>156</v>
      </c>
      <c r="AP136" s="1" t="s">
        <v>157</v>
      </c>
      <c r="AQ136" s="1" t="s">
        <v>154</v>
      </c>
      <c r="AR136" s="1" t="s">
        <v>155</v>
      </c>
      <c r="AS136" s="1" t="s">
        <v>156</v>
      </c>
      <c r="AT136" s="1" t="s">
        <v>157</v>
      </c>
      <c r="AU136" s="1" t="s">
        <v>154</v>
      </c>
      <c r="AV136" s="1" t="s">
        <v>155</v>
      </c>
      <c r="AW136" s="1" t="s">
        <v>156</v>
      </c>
      <c r="AX136" s="1" t="s">
        <v>157</v>
      </c>
      <c r="AY136" s="1" t="s">
        <v>154</v>
      </c>
      <c r="AZ136" s="1" t="s">
        <v>155</v>
      </c>
      <c r="BA136" s="1" t="s">
        <v>156</v>
      </c>
      <c r="BB136" s="1" t="s">
        <v>157</v>
      </c>
      <c r="BC136" s="1" t="s">
        <v>154</v>
      </c>
      <c r="BD136" s="1" t="s">
        <v>155</v>
      </c>
      <c r="BE136" s="1" t="s">
        <v>156</v>
      </c>
      <c r="BF136" s="1" t="s">
        <v>157</v>
      </c>
      <c r="BG136" s="1" t="s">
        <v>154</v>
      </c>
      <c r="BH136" s="1" t="s">
        <v>155</v>
      </c>
      <c r="BI136" s="1" t="s">
        <v>156</v>
      </c>
      <c r="BJ136" s="1" t="s">
        <v>157</v>
      </c>
      <c r="BK136" s="1" t="s">
        <v>154</v>
      </c>
      <c r="BL136" s="1" t="s">
        <v>155</v>
      </c>
      <c r="BM136" s="1" t="s">
        <v>156</v>
      </c>
      <c r="BN136" s="1" t="s">
        <v>157</v>
      </c>
      <c r="BO136" s="1" t="s">
        <v>154</v>
      </c>
      <c r="BP136" s="1" t="s">
        <v>155</v>
      </c>
      <c r="BQ136" s="1" t="s">
        <v>156</v>
      </c>
      <c r="BR136" s="1" t="s">
        <v>157</v>
      </c>
      <c r="BS136" s="1" t="s">
        <v>154</v>
      </c>
      <c r="BT136" s="1" t="s">
        <v>155</v>
      </c>
      <c r="BU136" s="57" t="s">
        <v>156</v>
      </c>
      <c r="BV136" s="57" t="s">
        <v>157</v>
      </c>
      <c r="CK136" s="84"/>
      <c r="CL136" s="84"/>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4"/>
      <c r="DJ136" s="84"/>
      <c r="DK136" s="84"/>
    </row>
    <row r="137" spans="2:145" s="83" customFormat="1" ht="13.5" customHeight="1">
      <c r="B137" s="85" t="s">
        <v>81</v>
      </c>
      <c r="AA137" s="3" t="str" cm="1">
        <f t="array" ref="AA137:BV137">"Q"&amp;MOD(_xlfn.SEQUENCE(1,48)-1,4)+1&amp;" "&amp;(2015+INT((_xlfn.SEQUENCE(1,48)-1)/4))</f>
        <v>Q1 2015</v>
      </c>
      <c r="AB137" s="86" t="str">
        <v>Q2 2015</v>
      </c>
      <c r="AC137" s="86" t="str">
        <v>Q3 2015</v>
      </c>
      <c r="AD137" s="86" t="str">
        <v>Q4 2015</v>
      </c>
      <c r="AE137" s="86" t="str">
        <v>Q1 2016</v>
      </c>
      <c r="AF137" s="86" t="str">
        <v>Q2 2016</v>
      </c>
      <c r="AG137" s="86" t="str">
        <v>Q3 2016</v>
      </c>
      <c r="AH137" s="86" t="str">
        <v>Q4 2016</v>
      </c>
      <c r="AI137" s="86" t="str">
        <v>Q1 2017</v>
      </c>
      <c r="AJ137" s="86" t="str">
        <v>Q2 2017</v>
      </c>
      <c r="AK137" s="86" t="str">
        <v>Q3 2017</v>
      </c>
      <c r="AL137" s="86" t="str">
        <v>Q4 2017</v>
      </c>
      <c r="AM137" s="86" t="str">
        <v>Q1 2018</v>
      </c>
      <c r="AN137" s="86" t="str">
        <v>Q2 2018</v>
      </c>
      <c r="AO137" s="86" t="str">
        <v>Q3 2018</v>
      </c>
      <c r="AP137" s="86" t="str">
        <v>Q4 2018</v>
      </c>
      <c r="AQ137" s="86" t="str">
        <v>Q1 2019</v>
      </c>
      <c r="AR137" s="86" t="str">
        <v>Q2 2019</v>
      </c>
      <c r="AS137" s="86" t="str">
        <v>Q3 2019</v>
      </c>
      <c r="AT137" s="86" t="str">
        <v>Q4 2019</v>
      </c>
      <c r="AU137" s="86" t="str">
        <v>Q1 2020</v>
      </c>
      <c r="AV137" s="86" t="str">
        <v>Q2 2020</v>
      </c>
      <c r="AW137" s="86" t="str">
        <v>Q3 2020</v>
      </c>
      <c r="AX137" s="86" t="str">
        <v>Q4 2020</v>
      </c>
      <c r="AY137" s="86" t="str">
        <v>Q1 2021</v>
      </c>
      <c r="AZ137" s="86" t="str">
        <v>Q2 2021</v>
      </c>
      <c r="BA137" s="86" t="str">
        <v>Q3 2021</v>
      </c>
      <c r="BB137" s="86" t="str">
        <v>Q4 2021</v>
      </c>
      <c r="BC137" s="86" t="str">
        <v>Q1 2022</v>
      </c>
      <c r="BD137" s="86" t="str">
        <v>Q2 2022</v>
      </c>
      <c r="BE137" s="86" t="str">
        <v>Q3 2022</v>
      </c>
      <c r="BF137" s="86" t="str">
        <v>Q4 2022</v>
      </c>
      <c r="BG137" s="86" t="str">
        <v>Q1 2023</v>
      </c>
      <c r="BH137" s="86" t="str">
        <v>Q2 2023</v>
      </c>
      <c r="BI137" s="86" t="str">
        <v>Q3 2023</v>
      </c>
      <c r="BJ137" s="86" t="str">
        <v>Q4 2023</v>
      </c>
      <c r="BK137" s="86" t="str">
        <v>Q1 2024</v>
      </c>
      <c r="BL137" s="86" t="str">
        <v>Q2 2024</v>
      </c>
      <c r="BM137" s="86" t="str">
        <v>Q3 2024</v>
      </c>
      <c r="BN137" s="86" t="str">
        <v>Q4 2024</v>
      </c>
      <c r="BO137" s="86" t="str">
        <v>Q1 2025</v>
      </c>
      <c r="BP137" s="86" t="str">
        <v>Q2 2025</v>
      </c>
      <c r="BQ137" s="85" t="str">
        <v>Q3 2025</v>
      </c>
      <c r="BR137" s="85" t="str">
        <v>Q4 2025</v>
      </c>
      <c r="BS137" s="85" t="str">
        <v>Q1 2026</v>
      </c>
      <c r="BT137" s="85" t="str">
        <v>Q2 2026</v>
      </c>
      <c r="BU137" s="87" t="str">
        <v>Q3 2026</v>
      </c>
      <c r="BV137" s="87" t="str">
        <v>Q4 2026</v>
      </c>
      <c r="CG137" s="85">
        <v>2015</v>
      </c>
      <c r="CH137" s="85">
        <v>2016</v>
      </c>
      <c r="CI137" s="85">
        <v>2017</v>
      </c>
      <c r="CJ137" s="85">
        <v>2018</v>
      </c>
      <c r="CK137" s="85">
        <v>2019</v>
      </c>
      <c r="CL137" s="85">
        <v>2020</v>
      </c>
      <c r="CM137" s="85">
        <v>2021</v>
      </c>
      <c r="CN137" s="85">
        <v>2022</v>
      </c>
      <c r="CO137" s="85">
        <f t="shared" ref="CO137:DB137" si="206">CN137+1</f>
        <v>2023</v>
      </c>
      <c r="CP137" s="85">
        <f t="shared" si="206"/>
        <v>2024</v>
      </c>
      <c r="CQ137" s="87">
        <f t="shared" si="206"/>
        <v>2025</v>
      </c>
      <c r="CR137" s="87">
        <f t="shared" si="206"/>
        <v>2026</v>
      </c>
      <c r="CS137" s="87">
        <f t="shared" si="206"/>
        <v>2027</v>
      </c>
      <c r="CT137" s="87">
        <f t="shared" si="206"/>
        <v>2028</v>
      </c>
      <c r="CU137" s="87">
        <f t="shared" si="206"/>
        <v>2029</v>
      </c>
      <c r="CV137" s="87">
        <f t="shared" si="206"/>
        <v>2030</v>
      </c>
      <c r="CW137" s="87">
        <f t="shared" si="206"/>
        <v>2031</v>
      </c>
      <c r="CX137" s="87">
        <f t="shared" si="206"/>
        <v>2032</v>
      </c>
      <c r="CY137" s="87">
        <f t="shared" si="206"/>
        <v>2033</v>
      </c>
      <c r="CZ137" s="87">
        <f t="shared" si="206"/>
        <v>2034</v>
      </c>
      <c r="DA137" s="87">
        <f t="shared" si="206"/>
        <v>2035</v>
      </c>
      <c r="DB137" s="87">
        <f t="shared" si="206"/>
        <v>2036</v>
      </c>
      <c r="DC137" s="87">
        <f t="shared" ref="DC137:EO137" si="207">DB137+1</f>
        <v>2037</v>
      </c>
      <c r="DD137" s="87">
        <f t="shared" si="207"/>
        <v>2038</v>
      </c>
      <c r="DE137" s="87">
        <f t="shared" si="207"/>
        <v>2039</v>
      </c>
      <c r="DF137" s="87">
        <f t="shared" si="207"/>
        <v>2040</v>
      </c>
      <c r="DG137" s="87">
        <f t="shared" si="207"/>
        <v>2041</v>
      </c>
      <c r="DH137" s="87">
        <f t="shared" si="207"/>
        <v>2042</v>
      </c>
      <c r="DI137" s="87">
        <f t="shared" si="207"/>
        <v>2043</v>
      </c>
      <c r="DJ137" s="87">
        <f t="shared" si="207"/>
        <v>2044</v>
      </c>
      <c r="DK137" s="87">
        <f t="shared" si="207"/>
        <v>2045</v>
      </c>
      <c r="DL137" s="87">
        <f t="shared" si="207"/>
        <v>2046</v>
      </c>
      <c r="DM137" s="87">
        <f t="shared" si="207"/>
        <v>2047</v>
      </c>
      <c r="DN137" s="87">
        <f t="shared" si="207"/>
        <v>2048</v>
      </c>
      <c r="DO137" s="87">
        <f t="shared" si="207"/>
        <v>2049</v>
      </c>
      <c r="DP137" s="87">
        <f t="shared" si="207"/>
        <v>2050</v>
      </c>
      <c r="DQ137" s="87">
        <f t="shared" si="207"/>
        <v>2051</v>
      </c>
      <c r="DR137" s="87">
        <f t="shared" si="207"/>
        <v>2052</v>
      </c>
      <c r="DS137" s="87">
        <f t="shared" si="207"/>
        <v>2053</v>
      </c>
      <c r="DT137" s="87">
        <f t="shared" si="207"/>
        <v>2054</v>
      </c>
      <c r="DU137" s="87">
        <f t="shared" si="207"/>
        <v>2055</v>
      </c>
      <c r="DV137" s="87">
        <f t="shared" si="207"/>
        <v>2056</v>
      </c>
      <c r="DW137" s="87">
        <f t="shared" si="207"/>
        <v>2057</v>
      </c>
      <c r="DX137" s="87">
        <f t="shared" si="207"/>
        <v>2058</v>
      </c>
      <c r="DY137" s="87">
        <f t="shared" si="207"/>
        <v>2059</v>
      </c>
      <c r="DZ137" s="87">
        <f t="shared" si="207"/>
        <v>2060</v>
      </c>
      <c r="EA137" s="87">
        <f t="shared" si="207"/>
        <v>2061</v>
      </c>
      <c r="EB137" s="87">
        <f t="shared" si="207"/>
        <v>2062</v>
      </c>
      <c r="EC137" s="87">
        <f t="shared" si="207"/>
        <v>2063</v>
      </c>
      <c r="ED137" s="87">
        <f t="shared" si="207"/>
        <v>2064</v>
      </c>
      <c r="EE137" s="87">
        <f t="shared" si="207"/>
        <v>2065</v>
      </c>
      <c r="EF137" s="87">
        <f t="shared" si="207"/>
        <v>2066</v>
      </c>
      <c r="EG137" s="87">
        <f t="shared" si="207"/>
        <v>2067</v>
      </c>
      <c r="EH137" s="87">
        <f t="shared" si="207"/>
        <v>2068</v>
      </c>
      <c r="EI137" s="87">
        <f t="shared" si="207"/>
        <v>2069</v>
      </c>
      <c r="EJ137" s="87">
        <f t="shared" si="207"/>
        <v>2070</v>
      </c>
      <c r="EK137" s="87">
        <f t="shared" si="207"/>
        <v>2071</v>
      </c>
      <c r="EL137" s="87">
        <f t="shared" si="207"/>
        <v>2072</v>
      </c>
      <c r="EM137" s="87">
        <f t="shared" si="207"/>
        <v>2073</v>
      </c>
      <c r="EN137" s="87">
        <f t="shared" si="207"/>
        <v>2074</v>
      </c>
      <c r="EO137" s="87">
        <f t="shared" si="207"/>
        <v>2075</v>
      </c>
    </row>
    <row r="138" spans="2:145" s="83" customFormat="1" ht="13.5" customHeight="1">
      <c r="B138" s="88" t="s">
        <v>2416</v>
      </c>
      <c r="AA138" s="89"/>
      <c r="AB138" s="89"/>
      <c r="AC138" s="89"/>
      <c r="AD138" s="89"/>
      <c r="AE138" s="89"/>
      <c r="AF138" s="89"/>
      <c r="AG138" s="89"/>
      <c r="AH138" s="89"/>
      <c r="AI138" s="89"/>
      <c r="AJ138" s="89"/>
      <c r="AK138" s="89"/>
      <c r="AL138" s="89"/>
      <c r="AM138" s="89"/>
      <c r="AN138" s="89"/>
      <c r="AO138" s="89"/>
      <c r="AP138" s="89"/>
      <c r="BG138" s="90">
        <v>145</v>
      </c>
      <c r="BH138" s="90">
        <v>162</v>
      </c>
      <c r="BI138" s="90">
        <v>179</v>
      </c>
      <c r="BJ138" s="90">
        <f>677-SUM(BG138:BI138)</f>
        <v>191</v>
      </c>
      <c r="BK138" s="90">
        <v>188</v>
      </c>
      <c r="BL138" s="90">
        <v>203</v>
      </c>
      <c r="BM138" s="90">
        <v>204</v>
      </c>
      <c r="BN138" s="90">
        <f>815-SUM(BK138:BM138)</f>
        <v>220</v>
      </c>
      <c r="BO138" s="90">
        <v>226.54400000000001</v>
      </c>
      <c r="BP138" s="90">
        <v>230.256</v>
      </c>
      <c r="BQ138" s="90">
        <v>236.4</v>
      </c>
      <c r="BR138" s="90">
        <f>BN138*(1+BR142)</f>
        <v>258.5</v>
      </c>
      <c r="BS138" s="85"/>
      <c r="BT138" s="85"/>
      <c r="BU138" s="87"/>
      <c r="BV138" s="87"/>
      <c r="CO138" s="90">
        <f>SUM(BG138:BJ138)</f>
        <v>677</v>
      </c>
      <c r="CP138" s="90">
        <f>SUM(BK138:BN138)</f>
        <v>815</v>
      </c>
      <c r="CQ138" s="91">
        <f t="shared" ref="CQ138:DA139" si="208">CP138*(1+CQ142)</f>
        <v>986.15</v>
      </c>
      <c r="CR138" s="91">
        <f t="shared" si="208"/>
        <v>1203.1029999999998</v>
      </c>
      <c r="CS138" s="91">
        <f t="shared" si="208"/>
        <v>1431.6925699999997</v>
      </c>
      <c r="CT138" s="91">
        <f t="shared" si="208"/>
        <v>1675.0803068999996</v>
      </c>
      <c r="CU138" s="91">
        <f t="shared" si="208"/>
        <v>1926.3423529349993</v>
      </c>
      <c r="CV138" s="91">
        <f t="shared" si="208"/>
        <v>2196.0302823458996</v>
      </c>
      <c r="CW138" s="91">
        <f t="shared" si="208"/>
        <v>2481.5142190508664</v>
      </c>
      <c r="CX138" s="91">
        <f t="shared" si="208"/>
        <v>2779.2959253369704</v>
      </c>
      <c r="CY138" s="91">
        <f t="shared" si="208"/>
        <v>3085.0184771240374</v>
      </c>
      <c r="CZ138" s="91">
        <f t="shared" si="208"/>
        <v>3393.5203248364414</v>
      </c>
      <c r="DA138" s="91">
        <f t="shared" si="208"/>
        <v>3597.131544326628</v>
      </c>
      <c r="DB138" s="84"/>
      <c r="DC138" s="84"/>
      <c r="DD138" s="84"/>
      <c r="DE138" s="84"/>
      <c r="DF138" s="84"/>
      <c r="DG138" s="84"/>
      <c r="DH138" s="84"/>
      <c r="DI138" s="84"/>
      <c r="DJ138" s="84"/>
      <c r="DK138" s="84"/>
      <c r="DL138" s="84"/>
      <c r="DM138" s="84"/>
      <c r="DN138" s="84"/>
      <c r="DO138" s="84"/>
      <c r="DP138" s="84"/>
      <c r="DQ138" s="84"/>
    </row>
    <row r="139" spans="2:145" s="83" customFormat="1" ht="13.5" customHeight="1">
      <c r="B139" s="88" t="s">
        <v>2417</v>
      </c>
      <c r="AA139" s="89"/>
      <c r="AB139" s="89"/>
      <c r="AC139" s="89"/>
      <c r="AD139" s="89"/>
      <c r="AE139" s="89"/>
      <c r="AF139" s="89"/>
      <c r="AG139" s="89"/>
      <c r="AH139" s="89"/>
      <c r="AI139" s="89"/>
      <c r="AJ139" s="89"/>
      <c r="AK139" s="89"/>
      <c r="AL139" s="89"/>
      <c r="AM139" s="89"/>
      <c r="AN139" s="89"/>
      <c r="AO139" s="89"/>
      <c r="AP139" s="89"/>
      <c r="BG139" s="90">
        <v>96</v>
      </c>
      <c r="BH139" s="90">
        <v>99</v>
      </c>
      <c r="BI139" s="90">
        <v>92</v>
      </c>
      <c r="BJ139" s="90">
        <f>381-SUM(BG139:BI139)</f>
        <v>94</v>
      </c>
      <c r="BK139" s="90">
        <v>91</v>
      </c>
      <c r="BL139" s="90">
        <v>96</v>
      </c>
      <c r="BM139" s="90">
        <v>96.89</v>
      </c>
      <c r="BN139" s="90">
        <f>379-SUM(BK139:BM139)</f>
        <v>95.110000000000014</v>
      </c>
      <c r="BO139" s="90">
        <v>97.596000000000004</v>
      </c>
      <c r="BP139" s="90">
        <v>109.199</v>
      </c>
      <c r="BQ139" s="90">
        <v>118.3</v>
      </c>
      <c r="BR139" s="90">
        <f>BN139*(1+BR143)</f>
        <v>116.98530000000001</v>
      </c>
      <c r="BS139" s="85"/>
      <c r="BT139" s="85"/>
      <c r="BU139" s="87"/>
      <c r="BV139" s="87"/>
      <c r="CO139" s="90">
        <f>SUM(BG139:BJ139)</f>
        <v>381</v>
      </c>
      <c r="CP139" s="90">
        <f>SUM(BK139:BN139)</f>
        <v>379</v>
      </c>
      <c r="CQ139" s="91">
        <f t="shared" si="208"/>
        <v>441.53500000000003</v>
      </c>
      <c r="CR139" s="91">
        <f t="shared" si="208"/>
        <v>521.01130000000001</v>
      </c>
      <c r="CS139" s="91">
        <f t="shared" si="208"/>
        <v>599.16299499999991</v>
      </c>
      <c r="CT139" s="91">
        <f t="shared" si="208"/>
        <v>671.06255439999995</v>
      </c>
      <c r="CU139" s="91">
        <f t="shared" si="208"/>
        <v>731.45818429600001</v>
      </c>
      <c r="CV139" s="91">
        <f t="shared" si="208"/>
        <v>782.66025719672007</v>
      </c>
      <c r="CW139" s="91">
        <f t="shared" si="208"/>
        <v>829.61987262852335</v>
      </c>
      <c r="CX139" s="91">
        <f t="shared" si="208"/>
        <v>871.10086625994961</v>
      </c>
      <c r="CY139" s="91">
        <f t="shared" si="208"/>
        <v>910.30040524164724</v>
      </c>
      <c r="CZ139" s="91">
        <f t="shared" si="208"/>
        <v>946.71242145131316</v>
      </c>
      <c r="DA139" s="91">
        <f t="shared" si="208"/>
        <v>975.11379409485255</v>
      </c>
      <c r="DB139" s="84"/>
      <c r="DC139" s="84"/>
      <c r="DD139" s="84"/>
      <c r="DE139" s="84"/>
      <c r="DF139" s="84"/>
      <c r="DG139" s="84"/>
      <c r="DH139" s="84"/>
      <c r="DI139" s="84"/>
      <c r="DJ139" s="84"/>
      <c r="DK139" s="84"/>
      <c r="DL139" s="84"/>
      <c r="DM139" s="84"/>
      <c r="DN139" s="84"/>
      <c r="DO139" s="84"/>
      <c r="DP139" s="84"/>
      <c r="DQ139" s="84"/>
    </row>
    <row r="140" spans="2:145" s="85" customFormat="1" ht="13.5" customHeight="1">
      <c r="B140" s="85" t="s">
        <v>106</v>
      </c>
      <c r="AA140" s="92"/>
      <c r="AB140" s="92"/>
      <c r="AC140" s="92"/>
      <c r="AD140" s="92"/>
      <c r="AE140" s="92"/>
      <c r="AF140" s="92"/>
      <c r="AG140" s="92"/>
      <c r="AH140" s="92"/>
      <c r="AI140" s="92"/>
      <c r="AJ140" s="92"/>
      <c r="AK140" s="92"/>
      <c r="AL140" s="92"/>
      <c r="AM140" s="92"/>
      <c r="AN140" s="92"/>
      <c r="AO140" s="92"/>
      <c r="AP140" s="92"/>
      <c r="BC140" s="93"/>
      <c r="BD140" s="93"/>
      <c r="BE140" s="93"/>
      <c r="BF140" s="93"/>
      <c r="BG140" s="86">
        <f t="shared" ref="BG140:BL140" si="209">SUM(BG138:BG139)</f>
        <v>241</v>
      </c>
      <c r="BH140" s="86">
        <f t="shared" si="209"/>
        <v>261</v>
      </c>
      <c r="BI140" s="86">
        <f t="shared" si="209"/>
        <v>271</v>
      </c>
      <c r="BJ140" s="86">
        <f t="shared" si="209"/>
        <v>285</v>
      </c>
      <c r="BK140" s="86">
        <f t="shared" si="209"/>
        <v>279</v>
      </c>
      <c r="BL140" s="86">
        <f t="shared" si="209"/>
        <v>299</v>
      </c>
      <c r="BM140" s="86">
        <f>SUM(BM138:BM139)</f>
        <v>300.89</v>
      </c>
      <c r="BN140" s="86">
        <f>SUM(BN138:BN139)</f>
        <v>315.11</v>
      </c>
      <c r="BO140" s="86">
        <f>SUM(BO138:BO139)</f>
        <v>324.14</v>
      </c>
      <c r="BP140" s="86">
        <f>SUM(BP138:BP139)</f>
        <v>339.45499999999998</v>
      </c>
      <c r="BQ140" s="86">
        <f>SUM(BQ138:BQ139)</f>
        <v>354.7</v>
      </c>
      <c r="BR140" s="86">
        <f>BR138+BR139</f>
        <v>375.4853</v>
      </c>
      <c r="BU140" s="87"/>
      <c r="BV140" s="87"/>
      <c r="CO140" s="86">
        <f>CO138+CO139</f>
        <v>1058</v>
      </c>
      <c r="CP140" s="86">
        <f>CP138+CP139</f>
        <v>1194</v>
      </c>
      <c r="CQ140" s="94">
        <f t="shared" ref="CQ140:CZ140" si="210">CQ138+CQ139</f>
        <v>1427.6849999999999</v>
      </c>
      <c r="CR140" s="94">
        <f t="shared" si="210"/>
        <v>1724.1142999999997</v>
      </c>
      <c r="CS140" s="94">
        <f t="shared" si="210"/>
        <v>2030.8555649999996</v>
      </c>
      <c r="CT140" s="94">
        <f t="shared" si="210"/>
        <v>2346.1428612999998</v>
      </c>
      <c r="CU140" s="94">
        <f t="shared" si="210"/>
        <v>2657.8005372309995</v>
      </c>
      <c r="CV140" s="94">
        <f t="shared" si="210"/>
        <v>2978.6905395426197</v>
      </c>
      <c r="CW140" s="94">
        <f t="shared" si="210"/>
        <v>3311.1340916793897</v>
      </c>
      <c r="CX140" s="94">
        <f t="shared" si="210"/>
        <v>3650.3967915969201</v>
      </c>
      <c r="CY140" s="94">
        <f t="shared" si="210"/>
        <v>3995.3188823656847</v>
      </c>
      <c r="CZ140" s="94">
        <f t="shared" si="210"/>
        <v>4340.2327462877547</v>
      </c>
      <c r="DA140" s="94">
        <f t="shared" ref="DA140" si="211">DA138+DA139</f>
        <v>4572.2453384214805</v>
      </c>
      <c r="DB140" s="87"/>
      <c r="DC140" s="87"/>
      <c r="DD140" s="87"/>
      <c r="DE140" s="87"/>
      <c r="DF140" s="87"/>
      <c r="DG140" s="87"/>
      <c r="DH140" s="87"/>
      <c r="DI140" s="87"/>
      <c r="DJ140" s="87"/>
      <c r="DK140" s="87"/>
      <c r="DL140" s="87"/>
      <c r="DM140" s="87"/>
      <c r="DN140" s="87"/>
      <c r="DO140" s="87"/>
      <c r="DP140" s="87"/>
      <c r="DQ140" s="87"/>
    </row>
    <row r="141" spans="2:145" s="83" customFormat="1" ht="13.5" customHeight="1">
      <c r="AA141" s="89"/>
      <c r="AB141" s="89"/>
      <c r="AC141" s="89"/>
      <c r="AD141" s="89"/>
      <c r="AE141" s="89"/>
      <c r="AF141" s="89"/>
      <c r="AG141" s="89"/>
      <c r="AH141" s="89"/>
      <c r="AI141" s="89"/>
      <c r="AJ141" s="89"/>
      <c r="AK141" s="89"/>
      <c r="AL141" s="89"/>
      <c r="AM141" s="89"/>
      <c r="AN141" s="89"/>
      <c r="AO141" s="89"/>
      <c r="AP141" s="89"/>
      <c r="BQ141" s="85"/>
      <c r="BR141" s="85"/>
      <c r="BS141" s="85"/>
      <c r="BT141" s="85"/>
      <c r="BU141" s="87"/>
      <c r="BV141" s="87"/>
      <c r="CQ141" s="84"/>
      <c r="CR141" s="84"/>
      <c r="CS141" s="84"/>
      <c r="CT141" s="84"/>
      <c r="CU141" s="84"/>
      <c r="CV141" s="84"/>
      <c r="CW141" s="84"/>
      <c r="CX141" s="84"/>
      <c r="CY141" s="84"/>
      <c r="CZ141" s="84"/>
      <c r="DA141" s="84"/>
      <c r="DB141" s="84"/>
      <c r="DC141" s="84"/>
      <c r="DD141" s="84"/>
      <c r="DE141" s="84"/>
      <c r="DF141" s="84"/>
      <c r="DG141" s="84"/>
      <c r="DH141" s="84"/>
      <c r="DI141" s="84"/>
      <c r="DJ141" s="84"/>
      <c r="DK141" s="84"/>
      <c r="DL141" s="84"/>
      <c r="DM141" s="84"/>
      <c r="DN141" s="84"/>
      <c r="DO141" s="84"/>
      <c r="DP141" s="84"/>
      <c r="DQ141" s="84"/>
    </row>
    <row r="142" spans="2:145" s="83" customFormat="1" ht="13.5" customHeight="1">
      <c r="B142" s="95" t="s">
        <v>2418</v>
      </c>
      <c r="AA142" s="89"/>
      <c r="AB142" s="89"/>
      <c r="AC142" s="89"/>
      <c r="AD142" s="89"/>
      <c r="AE142" s="89"/>
      <c r="AF142" s="89"/>
      <c r="AG142" s="89"/>
      <c r="AH142" s="89"/>
      <c r="AI142" s="89"/>
      <c r="AJ142" s="89"/>
      <c r="AK142" s="89"/>
      <c r="AL142" s="89"/>
      <c r="AM142" s="89"/>
      <c r="AN142" s="89"/>
      <c r="AO142" s="89"/>
      <c r="AP142" s="89"/>
      <c r="AU142" s="96"/>
      <c r="AV142" s="96"/>
      <c r="AW142" s="96"/>
      <c r="AX142" s="96"/>
      <c r="AY142" s="96"/>
      <c r="AZ142" s="96"/>
      <c r="BA142" s="96"/>
      <c r="BB142" s="96"/>
      <c r="BC142" s="96"/>
      <c r="BD142" s="96"/>
      <c r="BE142" s="96"/>
      <c r="BF142" s="96"/>
      <c r="BG142" s="96"/>
      <c r="BH142" s="96"/>
      <c r="BI142" s="96"/>
      <c r="BJ142" s="96"/>
      <c r="BK142" s="96">
        <f t="shared" ref="BK142:BQ144" si="212">BK138/BG138-1</f>
        <v>0.29655172413793096</v>
      </c>
      <c r="BL142" s="96">
        <f t="shared" si="212"/>
        <v>0.25308641975308643</v>
      </c>
      <c r="BM142" s="96">
        <f t="shared" si="212"/>
        <v>0.13966480446927365</v>
      </c>
      <c r="BN142" s="96">
        <f t="shared" si="212"/>
        <v>0.1518324607329844</v>
      </c>
      <c r="BO142" s="96">
        <f t="shared" si="212"/>
        <v>0.20502127659574465</v>
      </c>
      <c r="BP142" s="96">
        <f t="shared" si="212"/>
        <v>0.13426600985221682</v>
      </c>
      <c r="BQ142" s="96">
        <f t="shared" si="212"/>
        <v>0.15882352941176481</v>
      </c>
      <c r="BR142" s="113">
        <v>0.17499999999999999</v>
      </c>
      <c r="BS142" s="85"/>
      <c r="BT142" s="85"/>
      <c r="BU142" s="87"/>
      <c r="BV142" s="87"/>
      <c r="CL142" s="96"/>
      <c r="CM142" s="96"/>
      <c r="CN142" s="96"/>
      <c r="CO142" s="96"/>
      <c r="CP142" s="96">
        <f>CP138/CO138-1</f>
        <v>0.20384047267355987</v>
      </c>
      <c r="CQ142" s="98">
        <v>0.21</v>
      </c>
      <c r="CR142" s="98">
        <v>0.22</v>
      </c>
      <c r="CS142" s="98">
        <v>0.19</v>
      </c>
      <c r="CT142" s="98">
        <v>0.17</v>
      </c>
      <c r="CU142" s="98">
        <v>0.15</v>
      </c>
      <c r="CV142" s="98">
        <v>0.14000000000000001</v>
      </c>
      <c r="CW142" s="98">
        <v>0.13</v>
      </c>
      <c r="CX142" s="98">
        <v>0.12</v>
      </c>
      <c r="CY142" s="98">
        <v>0.11</v>
      </c>
      <c r="CZ142" s="98">
        <v>0.1</v>
      </c>
      <c r="DA142" s="98">
        <v>0.06</v>
      </c>
      <c r="DB142" s="84"/>
      <c r="DC142" s="84"/>
      <c r="DD142" s="84"/>
      <c r="DE142" s="84"/>
      <c r="DF142" s="84"/>
      <c r="DG142" s="84"/>
      <c r="DH142" s="84"/>
      <c r="DI142" s="84"/>
      <c r="DJ142" s="84"/>
      <c r="DK142" s="84"/>
      <c r="DL142" s="84"/>
      <c r="DM142" s="84"/>
      <c r="DN142" s="84"/>
      <c r="DO142" s="84"/>
      <c r="DP142" s="84"/>
      <c r="DQ142" s="84"/>
    </row>
    <row r="143" spans="2:145" s="83" customFormat="1" ht="13.5" customHeight="1">
      <c r="B143" s="95" t="s">
        <v>2419</v>
      </c>
      <c r="AA143" s="89"/>
      <c r="AB143" s="89"/>
      <c r="AC143" s="89"/>
      <c r="AD143" s="89"/>
      <c r="AE143" s="89"/>
      <c r="AF143" s="89"/>
      <c r="AG143" s="89"/>
      <c r="AH143" s="89"/>
      <c r="AI143" s="89"/>
      <c r="AJ143" s="89"/>
      <c r="AK143" s="89"/>
      <c r="AL143" s="89"/>
      <c r="AM143" s="89"/>
      <c r="AN143" s="89"/>
      <c r="AO143" s="89"/>
      <c r="AP143" s="89"/>
      <c r="AU143" s="96"/>
      <c r="AV143" s="96"/>
      <c r="AW143" s="96"/>
      <c r="AX143" s="96"/>
      <c r="AY143" s="96"/>
      <c r="AZ143" s="96"/>
      <c r="BA143" s="96"/>
      <c r="BB143" s="96"/>
      <c r="BC143" s="96"/>
      <c r="BD143" s="96"/>
      <c r="BE143" s="96"/>
      <c r="BF143" s="96"/>
      <c r="BG143" s="96"/>
      <c r="BH143" s="96"/>
      <c r="BI143" s="96"/>
      <c r="BJ143" s="96"/>
      <c r="BK143" s="96">
        <f t="shared" si="212"/>
        <v>-5.208333333333337E-2</v>
      </c>
      <c r="BL143" s="96">
        <f t="shared" si="212"/>
        <v>-3.0303030303030276E-2</v>
      </c>
      <c r="BM143" s="96">
        <f t="shared" si="212"/>
        <v>5.3152173913043388E-2</v>
      </c>
      <c r="BN143" s="96">
        <f t="shared" si="212"/>
        <v>1.1808510638297909E-2</v>
      </c>
      <c r="BO143" s="96">
        <f t="shared" si="212"/>
        <v>7.2483516483516475E-2</v>
      </c>
      <c r="BP143" s="96">
        <f t="shared" si="212"/>
        <v>0.13748958333333339</v>
      </c>
      <c r="BQ143" s="96">
        <f t="shared" si="212"/>
        <v>0.22097223655692022</v>
      </c>
      <c r="BR143" s="113">
        <v>0.23</v>
      </c>
      <c r="BS143" s="85"/>
      <c r="BT143" s="85"/>
      <c r="BU143" s="87"/>
      <c r="BV143" s="87"/>
      <c r="CL143" s="96"/>
      <c r="CM143" s="96"/>
      <c r="CN143" s="96"/>
      <c r="CO143" s="96"/>
      <c r="CP143" s="96">
        <f>CP139/CO139-1</f>
        <v>-5.2493438320210251E-3</v>
      </c>
      <c r="CQ143" s="98">
        <v>0.16500000000000001</v>
      </c>
      <c r="CR143" s="98">
        <v>0.18</v>
      </c>
      <c r="CS143" s="98">
        <v>0.15</v>
      </c>
      <c r="CT143" s="98">
        <v>0.12</v>
      </c>
      <c r="CU143" s="98">
        <v>0.09</v>
      </c>
      <c r="CV143" s="98">
        <v>7.0000000000000007E-2</v>
      </c>
      <c r="CW143" s="98">
        <v>0.06</v>
      </c>
      <c r="CX143" s="98">
        <v>0.05</v>
      </c>
      <c r="CY143" s="98">
        <v>4.4999999999999998E-2</v>
      </c>
      <c r="CZ143" s="98">
        <v>0.04</v>
      </c>
      <c r="DA143" s="98">
        <v>0.03</v>
      </c>
      <c r="DB143" s="84"/>
      <c r="DC143" s="84"/>
      <c r="DD143" s="84"/>
      <c r="DE143" s="84"/>
      <c r="DF143" s="84"/>
      <c r="DG143" s="84"/>
      <c r="DH143" s="84"/>
      <c r="DI143" s="84"/>
      <c r="DJ143" s="84"/>
      <c r="DK143" s="84"/>
      <c r="DL143" s="84"/>
      <c r="DM143" s="84"/>
      <c r="DN143" s="84"/>
      <c r="DO143" s="84"/>
      <c r="DP143" s="84"/>
      <c r="DQ143" s="84"/>
    </row>
    <row r="144" spans="2:145" s="85" customFormat="1" ht="13.5" customHeight="1">
      <c r="B144" s="85" t="s">
        <v>2420</v>
      </c>
      <c r="AA144" s="92"/>
      <c r="AB144" s="92"/>
      <c r="AC144" s="92"/>
      <c r="AD144" s="92"/>
      <c r="AE144" s="99">
        <f t="shared" ref="AE144:BI144" si="213">AE160/AA160-1</f>
        <v>0.48461538461538467</v>
      </c>
      <c r="AF144" s="99">
        <f t="shared" si="213"/>
        <v>0.53900709219858145</v>
      </c>
      <c r="AG144" s="99">
        <f t="shared" si="213"/>
        <v>0.33333333333333348</v>
      </c>
      <c r="AH144" s="99">
        <f t="shared" si="213"/>
        <v>0.34375</v>
      </c>
      <c r="AI144" s="99">
        <f t="shared" si="213"/>
        <v>0.26424870466321249</v>
      </c>
      <c r="AJ144" s="99">
        <f t="shared" si="213"/>
        <v>0.23809523809523814</v>
      </c>
      <c r="AK144" s="99">
        <f t="shared" si="213"/>
        <v>0.24851190476190488</v>
      </c>
      <c r="AL144" s="99">
        <f t="shared" si="213"/>
        <v>0.31463748290013682</v>
      </c>
      <c r="AM144" s="99">
        <f t="shared" si="213"/>
        <v>0.40300546448087426</v>
      </c>
      <c r="AN144" s="99">
        <f t="shared" si="213"/>
        <v>0.35980148883374685</v>
      </c>
      <c r="AO144" s="99">
        <f t="shared" si="213"/>
        <v>0.33253873659117983</v>
      </c>
      <c r="AP144" s="99">
        <f t="shared" si="213"/>
        <v>0.25702393340270557</v>
      </c>
      <c r="AQ144" s="99">
        <f t="shared" si="213"/>
        <v>0.25062317429406034</v>
      </c>
      <c r="AR144" s="99">
        <f t="shared" si="213"/>
        <v>0.22446167883211676</v>
      </c>
      <c r="AS144" s="99">
        <f t="shared" si="213"/>
        <v>0.24778175313059037</v>
      </c>
      <c r="AT144" s="99">
        <f t="shared" si="213"/>
        <v>0.20249172185430542</v>
      </c>
      <c r="AU144" s="99">
        <f t="shared" si="213"/>
        <v>6.8989948535880918E-2</v>
      </c>
      <c r="AV144" s="99">
        <f t="shared" si="213"/>
        <v>-0.21684637223269576</v>
      </c>
      <c r="AW144" s="99">
        <f t="shared" si="213"/>
        <v>8.3138592995082305E-2</v>
      </c>
      <c r="AX144" s="99">
        <f t="shared" si="213"/>
        <v>0.14904895326343581</v>
      </c>
      <c r="AY144" s="99">
        <f t="shared" si="213"/>
        <v>0.23233794610342295</v>
      </c>
      <c r="AZ144" s="99">
        <f t="shared" si="213"/>
        <v>0.75356803044719345</v>
      </c>
      <c r="BA144" s="99">
        <f t="shared" si="213"/>
        <v>0.2581072137657181</v>
      </c>
      <c r="BB144" s="99">
        <f t="shared" si="213"/>
        <v>0.2221410084355826</v>
      </c>
      <c r="BC144" s="99">
        <f t="shared" si="213"/>
        <v>0.20508274231678492</v>
      </c>
      <c r="BD144" s="99">
        <f t="shared" si="213"/>
        <v>0.13022246337493226</v>
      </c>
      <c r="BE144" s="99">
        <f t="shared" si="213"/>
        <v>0.12414518674381902</v>
      </c>
      <c r="BF144" s="99">
        <f t="shared" si="213"/>
        <v>8.452865336536064E-2</v>
      </c>
      <c r="BG144" s="99">
        <f t="shared" si="213"/>
        <v>0.18391368317802836</v>
      </c>
      <c r="BH144" s="99">
        <f t="shared" si="213"/>
        <v>0.25540086413826213</v>
      </c>
      <c r="BI144" s="99">
        <f t="shared" si="213"/>
        <v>0.26766495086569964</v>
      </c>
      <c r="BJ144" s="99">
        <f>BJ160/BF160-1</f>
        <v>0.28696894224641034</v>
      </c>
      <c r="BK144" s="99">
        <f t="shared" si="212"/>
        <v>0.15767634854771795</v>
      </c>
      <c r="BL144" s="99">
        <f t="shared" si="212"/>
        <v>0.14559386973180066</v>
      </c>
      <c r="BM144" s="99">
        <f t="shared" si="212"/>
        <v>0.11029520295202944</v>
      </c>
      <c r="BN144" s="99">
        <f t="shared" si="212"/>
        <v>0.10564912280701755</v>
      </c>
      <c r="BO144" s="99">
        <f t="shared" si="212"/>
        <v>0.16179211469534049</v>
      </c>
      <c r="BP144" s="99">
        <f t="shared" si="212"/>
        <v>0.13530100334448147</v>
      </c>
      <c r="BQ144" s="99">
        <f t="shared" si="212"/>
        <v>0.17883611951211398</v>
      </c>
      <c r="BR144" s="114">
        <f>BR140/BN140-1</f>
        <v>0.19160071086287322</v>
      </c>
      <c r="BU144" s="87"/>
      <c r="BV144" s="87"/>
      <c r="CG144" s="99"/>
      <c r="CH144" s="99">
        <f t="shared" ref="CH144:CN144" si="214">CH160/CG160-1</f>
        <v>0.41483073616335275</v>
      </c>
      <c r="CI144" s="99">
        <f t="shared" si="214"/>
        <v>0.26775541207747833</v>
      </c>
      <c r="CJ144" s="99">
        <f t="shared" si="214"/>
        <v>0.33283403235470344</v>
      </c>
      <c r="CK144" s="99">
        <f t="shared" si="214"/>
        <v>0.23039559451562153</v>
      </c>
      <c r="CL144" s="99">
        <f t="shared" si="214"/>
        <v>2.3764941003246332E-2</v>
      </c>
      <c r="CM144" s="99">
        <f t="shared" si="214"/>
        <v>0.33400069948537858</v>
      </c>
      <c r="CN144" s="99">
        <f t="shared" si="214"/>
        <v>0.13315186131435675</v>
      </c>
      <c r="CO144" s="99">
        <f>CO160/CN160-1</f>
        <v>0.24953224582208455</v>
      </c>
      <c r="CP144" s="99">
        <f>CP140/CO140-1</f>
        <v>0.12854442344045358</v>
      </c>
      <c r="CQ144" s="100">
        <f t="shared" ref="CQ144:DA144" si="215">CQ140/CP140-1</f>
        <v>0.19571608040200994</v>
      </c>
      <c r="CR144" s="100">
        <f t="shared" si="215"/>
        <v>0.20762934400795685</v>
      </c>
      <c r="CS144" s="100">
        <f t="shared" si="215"/>
        <v>0.17791237216697287</v>
      </c>
      <c r="CT144" s="100">
        <f t="shared" si="215"/>
        <v>0.15524850793611233</v>
      </c>
      <c r="CU144" s="100">
        <f t="shared" si="215"/>
        <v>0.13283831989596306</v>
      </c>
      <c r="CV144" s="100">
        <f t="shared" si="215"/>
        <v>0.12073517098688535</v>
      </c>
      <c r="CW144" s="100">
        <f t="shared" si="215"/>
        <v>0.11160728102618434</v>
      </c>
      <c r="CX144" s="100">
        <f t="shared" si="215"/>
        <v>0.10246117811117039</v>
      </c>
      <c r="CY144" s="100">
        <f t="shared" si="215"/>
        <v>9.4488931056142311E-2</v>
      </c>
      <c r="CZ144" s="100">
        <f t="shared" si="215"/>
        <v>8.6329495611584761E-2</v>
      </c>
      <c r="DA144" s="100">
        <f t="shared" si="215"/>
        <v>5.3456255849912315E-2</v>
      </c>
      <c r="DB144" s="87"/>
      <c r="DC144" s="87"/>
      <c r="DD144" s="87"/>
      <c r="DE144" s="87"/>
      <c r="DF144" s="87"/>
      <c r="DG144" s="87"/>
      <c r="DH144" s="87"/>
      <c r="DI144" s="87"/>
      <c r="DJ144" s="87"/>
      <c r="DK144" s="87"/>
      <c r="DL144" s="87"/>
      <c r="DM144" s="87"/>
      <c r="DN144" s="87"/>
      <c r="DO144" s="87"/>
      <c r="DP144" s="87"/>
      <c r="DQ144" s="87"/>
    </row>
    <row r="145" spans="2:121" s="83" customFormat="1" ht="13.5" customHeight="1">
      <c r="B145" s="85"/>
      <c r="AA145" s="89"/>
      <c r="AB145" s="89"/>
      <c r="AC145" s="89"/>
      <c r="AD145" s="89"/>
      <c r="AE145" s="89"/>
      <c r="AF145" s="89"/>
      <c r="AG145" s="89"/>
      <c r="AH145" s="89"/>
      <c r="AI145" s="89"/>
      <c r="AJ145" s="89"/>
      <c r="AK145" s="89"/>
      <c r="AL145" s="89"/>
      <c r="AM145" s="89"/>
      <c r="AN145" s="89"/>
      <c r="AO145" s="89"/>
      <c r="AP145" s="89"/>
      <c r="BQ145" s="85"/>
      <c r="BR145" s="85"/>
      <c r="BS145" s="85"/>
      <c r="BT145" s="85"/>
      <c r="BU145" s="87"/>
      <c r="BV145" s="87"/>
      <c r="CQ145" s="84"/>
      <c r="CR145" s="84"/>
      <c r="CS145" s="84"/>
      <c r="CT145" s="84"/>
      <c r="CU145" s="84"/>
      <c r="CV145" s="84"/>
      <c r="CW145" s="84"/>
      <c r="CX145" s="84"/>
      <c r="CY145" s="84"/>
      <c r="CZ145" s="84"/>
      <c r="DA145" s="84"/>
      <c r="DB145" s="84"/>
      <c r="DC145" s="84"/>
      <c r="DD145" s="84"/>
      <c r="DE145" s="84"/>
      <c r="DF145" s="84"/>
      <c r="DG145" s="84"/>
      <c r="DH145" s="84"/>
      <c r="DI145" s="84"/>
      <c r="DJ145" s="84"/>
      <c r="DK145" s="84"/>
      <c r="DL145" s="84"/>
      <c r="DM145" s="84"/>
      <c r="DN145" s="84"/>
      <c r="DO145" s="84"/>
      <c r="DP145" s="84"/>
      <c r="DQ145" s="84"/>
    </row>
    <row r="146" spans="2:121" s="83" customFormat="1" ht="13.5" customHeight="1">
      <c r="B146" s="95" t="s">
        <v>2421</v>
      </c>
      <c r="AA146" s="89"/>
      <c r="AB146" s="89"/>
      <c r="AC146" s="89"/>
      <c r="AD146" s="89"/>
      <c r="AE146" s="89"/>
      <c r="AF146" s="89"/>
      <c r="AG146" s="89"/>
      <c r="AH146" s="89"/>
      <c r="AI146" s="89"/>
      <c r="AJ146" s="89"/>
      <c r="AK146" s="89"/>
      <c r="AL146" s="89"/>
      <c r="AM146" s="89"/>
      <c r="AN146" s="89"/>
      <c r="AO146" s="89"/>
      <c r="AP146" s="89"/>
      <c r="AU146" s="96"/>
      <c r="AV146" s="96"/>
      <c r="AW146" s="96"/>
      <c r="AX146" s="96"/>
      <c r="AY146" s="96"/>
      <c r="AZ146" s="96"/>
      <c r="BA146" s="96"/>
      <c r="BB146" s="96"/>
      <c r="BC146" s="96"/>
      <c r="BD146" s="96"/>
      <c r="BE146" s="96"/>
      <c r="BF146" s="96"/>
      <c r="BG146" s="96">
        <f t="shared" ref="BG146:BR146" si="216">BG138/BG140</f>
        <v>0.60165975103734437</v>
      </c>
      <c r="BH146" s="96">
        <f t="shared" si="216"/>
        <v>0.62068965517241381</v>
      </c>
      <c r="BI146" s="96">
        <f t="shared" si="216"/>
        <v>0.66051660516605171</v>
      </c>
      <c r="BJ146" s="96">
        <f t="shared" si="216"/>
        <v>0.6701754385964912</v>
      </c>
      <c r="BK146" s="96">
        <f t="shared" si="216"/>
        <v>0.6738351254480287</v>
      </c>
      <c r="BL146" s="96">
        <f t="shared" si="216"/>
        <v>0.67892976588628762</v>
      </c>
      <c r="BM146" s="96">
        <f t="shared" si="216"/>
        <v>0.6779886337199641</v>
      </c>
      <c r="BN146" s="96">
        <f t="shared" si="216"/>
        <v>0.69816889340230393</v>
      </c>
      <c r="BO146" s="96">
        <f t="shared" si="216"/>
        <v>0.69890787931140874</v>
      </c>
      <c r="BP146" s="96">
        <f t="shared" si="216"/>
        <v>0.67831082175840685</v>
      </c>
      <c r="BQ146" s="96">
        <f t="shared" si="216"/>
        <v>0.66647871440654083</v>
      </c>
      <c r="BR146" s="114">
        <f t="shared" si="216"/>
        <v>0.6884423970791933</v>
      </c>
      <c r="BS146" s="85"/>
      <c r="BT146" s="85"/>
      <c r="BU146" s="87"/>
      <c r="BV146" s="87"/>
      <c r="CL146" s="96"/>
      <c r="CM146" s="96"/>
      <c r="CN146" s="96"/>
      <c r="CO146" s="96">
        <f>AVERAGE(BG146:BJ146)</f>
        <v>0.63826036249307527</v>
      </c>
      <c r="CP146" s="96">
        <f>AVERAGE(BK146:BN146)</f>
        <v>0.68223060461414609</v>
      </c>
      <c r="CQ146" s="98">
        <f t="shared" ref="CQ146:CZ146" si="217">CQ138/CQ140</f>
        <v>0.69073360019892349</v>
      </c>
      <c r="CR146" s="98">
        <f t="shared" si="217"/>
        <v>0.69780930417432308</v>
      </c>
      <c r="CS146" s="98">
        <f t="shared" si="217"/>
        <v>0.70497015872224278</v>
      </c>
      <c r="CT146" s="98">
        <f t="shared" si="217"/>
        <v>0.71397199826605451</v>
      </c>
      <c r="CU146" s="98">
        <f t="shared" si="217"/>
        <v>0.72478815695550203</v>
      </c>
      <c r="CV146" s="98">
        <f t="shared" si="217"/>
        <v>0.73724687180263504</v>
      </c>
      <c r="CW146" s="98">
        <f t="shared" si="217"/>
        <v>0.74944540158814754</v>
      </c>
      <c r="CX146" s="98">
        <f t="shared" si="217"/>
        <v>0.76136817009449709</v>
      </c>
      <c r="CY146" s="98">
        <f t="shared" si="217"/>
        <v>0.77215826019307732</v>
      </c>
      <c r="CZ146" s="98">
        <f t="shared" si="217"/>
        <v>0.78187519499707792</v>
      </c>
      <c r="DA146" s="98">
        <f t="shared" ref="DA146" si="218">DA138/DA140</f>
        <v>0.78673196166864046</v>
      </c>
      <c r="DB146" s="84"/>
      <c r="DC146" s="84"/>
      <c r="DD146" s="84"/>
      <c r="DE146" s="84"/>
      <c r="DF146" s="84"/>
      <c r="DG146" s="84"/>
      <c r="DH146" s="84"/>
      <c r="DI146" s="84"/>
      <c r="DJ146" s="84"/>
      <c r="DK146" s="84"/>
      <c r="DL146" s="84"/>
      <c r="DM146" s="84"/>
      <c r="DN146" s="84"/>
      <c r="DO146" s="84"/>
      <c r="DP146" s="84"/>
      <c r="DQ146" s="84"/>
    </row>
    <row r="147" spans="2:121" s="83" customFormat="1" ht="13.5" customHeight="1">
      <c r="B147" s="95" t="s">
        <v>2422</v>
      </c>
      <c r="AA147" s="89"/>
      <c r="AB147" s="89"/>
      <c r="AC147" s="89"/>
      <c r="AD147" s="89"/>
      <c r="AE147" s="89"/>
      <c r="AF147" s="89"/>
      <c r="AG147" s="89"/>
      <c r="AH147" s="89"/>
      <c r="AI147" s="89"/>
      <c r="AJ147" s="89"/>
      <c r="AK147" s="89"/>
      <c r="AL147" s="89"/>
      <c r="AM147" s="89"/>
      <c r="AN147" s="89"/>
      <c r="AO147" s="89"/>
      <c r="AP147" s="89"/>
      <c r="AU147" s="96"/>
      <c r="AV147" s="96"/>
      <c r="AW147" s="96"/>
      <c r="AX147" s="96"/>
      <c r="AY147" s="96"/>
      <c r="AZ147" s="96"/>
      <c r="BA147" s="96"/>
      <c r="BB147" s="96"/>
      <c r="BC147" s="96"/>
      <c r="BD147" s="96"/>
      <c r="BE147" s="96"/>
      <c r="BF147" s="96"/>
      <c r="BG147" s="96">
        <f t="shared" ref="BG147:BR147" si="219">BG139/BG140</f>
        <v>0.39834024896265557</v>
      </c>
      <c r="BH147" s="96">
        <f t="shared" si="219"/>
        <v>0.37931034482758619</v>
      </c>
      <c r="BI147" s="96">
        <f t="shared" si="219"/>
        <v>0.33948339483394835</v>
      </c>
      <c r="BJ147" s="96">
        <f t="shared" si="219"/>
        <v>0.3298245614035088</v>
      </c>
      <c r="BK147" s="96">
        <f t="shared" si="219"/>
        <v>0.32616487455197135</v>
      </c>
      <c r="BL147" s="96">
        <f t="shared" si="219"/>
        <v>0.32107023411371238</v>
      </c>
      <c r="BM147" s="96">
        <f t="shared" si="219"/>
        <v>0.3220113662800359</v>
      </c>
      <c r="BN147" s="96">
        <f t="shared" si="219"/>
        <v>0.30183110659769607</v>
      </c>
      <c r="BO147" s="96">
        <f t="shared" si="219"/>
        <v>0.30109212068859137</v>
      </c>
      <c r="BP147" s="96">
        <f t="shared" si="219"/>
        <v>0.32168917824159315</v>
      </c>
      <c r="BQ147" s="96">
        <f t="shared" si="219"/>
        <v>0.33352128559345928</v>
      </c>
      <c r="BR147" s="114">
        <f t="shared" si="219"/>
        <v>0.31155760292080681</v>
      </c>
      <c r="BS147" s="85"/>
      <c r="BT147" s="85"/>
      <c r="BU147" s="87"/>
      <c r="BV147" s="87"/>
      <c r="CL147" s="96"/>
      <c r="CM147" s="96"/>
      <c r="CN147" s="96"/>
      <c r="CO147" s="96">
        <f>AVERAGE(BG147:BJ147)</f>
        <v>0.36173963750692473</v>
      </c>
      <c r="CP147" s="96">
        <f>AVERAGE(BK147:BN147)</f>
        <v>0.31776939538585391</v>
      </c>
      <c r="CQ147" s="98">
        <f t="shared" ref="CQ147:CZ147" si="220">CQ139/CQ140</f>
        <v>0.30926639980107662</v>
      </c>
      <c r="CR147" s="98">
        <f t="shared" si="220"/>
        <v>0.30219069582567704</v>
      </c>
      <c r="CS147" s="98">
        <f t="shared" si="220"/>
        <v>0.29502984127775728</v>
      </c>
      <c r="CT147" s="98">
        <f t="shared" si="220"/>
        <v>0.28602800173394538</v>
      </c>
      <c r="CU147" s="98">
        <f t="shared" si="220"/>
        <v>0.27521184304449792</v>
      </c>
      <c r="CV147" s="98">
        <f t="shared" si="220"/>
        <v>0.2627531281973649</v>
      </c>
      <c r="CW147" s="98">
        <f t="shared" si="220"/>
        <v>0.25055459841185246</v>
      </c>
      <c r="CX147" s="98">
        <f t="shared" si="220"/>
        <v>0.23863182990550286</v>
      </c>
      <c r="CY147" s="98">
        <f t="shared" si="220"/>
        <v>0.22784173980692263</v>
      </c>
      <c r="CZ147" s="98">
        <f t="shared" si="220"/>
        <v>0.218124805002922</v>
      </c>
      <c r="DA147" s="98">
        <f t="shared" ref="DA147" si="221">DA139/DA140</f>
        <v>0.2132680383313596</v>
      </c>
      <c r="DB147" s="84"/>
      <c r="DC147" s="84"/>
      <c r="DD147" s="84"/>
      <c r="DE147" s="84"/>
      <c r="DF147" s="84"/>
      <c r="DG147" s="84"/>
      <c r="DH147" s="84"/>
      <c r="DI147" s="84"/>
      <c r="DJ147" s="84"/>
      <c r="DK147" s="84"/>
      <c r="DL147" s="84"/>
      <c r="DM147" s="84"/>
      <c r="DN147" s="84"/>
      <c r="DO147" s="84"/>
      <c r="DP147" s="84"/>
      <c r="DQ147" s="84"/>
    </row>
    <row r="148" spans="2:121" s="83" customFormat="1" ht="13.5" customHeight="1">
      <c r="AA148" s="89"/>
      <c r="AB148" s="89"/>
      <c r="AC148" s="89"/>
      <c r="AD148" s="89"/>
      <c r="AE148" s="89"/>
      <c r="AF148" s="89"/>
      <c r="AG148" s="89"/>
      <c r="AH148" s="89"/>
      <c r="AI148" s="89"/>
      <c r="AJ148" s="89"/>
      <c r="AK148" s="89"/>
      <c r="AL148" s="89"/>
      <c r="AM148" s="89"/>
      <c r="AN148" s="89"/>
      <c r="AO148" s="89"/>
      <c r="AP148" s="89"/>
      <c r="AU148" s="96"/>
      <c r="AV148" s="96"/>
      <c r="AW148" s="96"/>
      <c r="AX148" s="96"/>
      <c r="AY148" s="96"/>
      <c r="AZ148" s="96"/>
      <c r="BA148" s="96"/>
      <c r="BB148" s="96"/>
      <c r="BC148" s="96"/>
      <c r="BD148" s="96"/>
      <c r="BE148" s="96"/>
      <c r="BF148" s="96"/>
      <c r="BG148" s="96"/>
      <c r="BH148" s="96"/>
      <c r="BI148" s="96"/>
      <c r="BJ148" s="96"/>
      <c r="BK148" s="96"/>
      <c r="BL148" s="96"/>
      <c r="BM148" s="96"/>
      <c r="BN148" s="96"/>
      <c r="BO148" s="96"/>
      <c r="BP148" s="96"/>
      <c r="BQ148" s="85"/>
      <c r="BR148" s="85"/>
      <c r="BS148" s="85"/>
      <c r="BT148" s="85"/>
      <c r="BU148" s="87"/>
      <c r="BV148" s="87"/>
      <c r="CL148" s="96"/>
      <c r="CM148" s="96"/>
      <c r="CN148" s="96"/>
      <c r="CO148" s="96"/>
      <c r="CP148" s="96"/>
      <c r="CQ148" s="84"/>
      <c r="CR148" s="84"/>
      <c r="CS148" s="84"/>
      <c r="CT148" s="84"/>
      <c r="CU148" s="84"/>
      <c r="CV148" s="84"/>
      <c r="CW148" s="84"/>
      <c r="CX148" s="84"/>
      <c r="CY148" s="84"/>
      <c r="CZ148" s="84"/>
      <c r="DA148" s="84"/>
      <c r="DB148" s="84"/>
      <c r="DC148" s="84"/>
      <c r="DD148" s="84"/>
      <c r="DE148" s="84"/>
      <c r="DF148" s="84"/>
      <c r="DG148" s="84"/>
      <c r="DH148" s="84"/>
      <c r="DI148" s="84"/>
      <c r="DJ148" s="84"/>
      <c r="DK148" s="84"/>
      <c r="DL148" s="84"/>
      <c r="DM148" s="84"/>
      <c r="DN148" s="84"/>
      <c r="DO148" s="84"/>
      <c r="DP148" s="84"/>
      <c r="DQ148" s="84"/>
    </row>
    <row r="149" spans="2:121" s="83" customFormat="1" ht="13.5" customHeight="1">
      <c r="B149" s="95" t="s">
        <v>110</v>
      </c>
      <c r="AA149" s="89"/>
      <c r="AB149" s="89"/>
      <c r="AC149" s="89"/>
      <c r="AD149" s="89"/>
      <c r="AE149" s="89"/>
      <c r="AF149" s="89"/>
      <c r="AG149" s="89"/>
      <c r="AH149" s="89"/>
      <c r="AI149" s="89"/>
      <c r="AJ149" s="89"/>
      <c r="AK149" s="89"/>
      <c r="AL149" s="89"/>
      <c r="AM149" s="89"/>
      <c r="AN149" s="89"/>
      <c r="AO149" s="89"/>
      <c r="AP149" s="89"/>
      <c r="AQ149" s="90">
        <v>82.510999999999996</v>
      </c>
      <c r="AR149" s="90">
        <v>86.373999999999995</v>
      </c>
      <c r="AS149" s="90">
        <v>90.272000000000006</v>
      </c>
      <c r="AT149" s="90">
        <f>355.22-SUM(AQ149:AS149)</f>
        <v>96.063000000000045</v>
      </c>
      <c r="AU149" s="90">
        <v>96</v>
      </c>
      <c r="AV149" s="90">
        <v>78</v>
      </c>
      <c r="AW149" s="90">
        <v>110</v>
      </c>
      <c r="AX149" s="90">
        <f>400-SUM(AU149:AW149)</f>
        <v>116</v>
      </c>
      <c r="AY149" s="90">
        <v>120</v>
      </c>
      <c r="AZ149" s="90">
        <v>128</v>
      </c>
      <c r="BA149" s="90">
        <v>135</v>
      </c>
      <c r="BB149" s="90">
        <f>528-SUM(AY149:BA149)</f>
        <v>145</v>
      </c>
      <c r="BC149" s="90">
        <v>144</v>
      </c>
      <c r="BD149" s="90">
        <v>141</v>
      </c>
      <c r="BE149" s="90">
        <v>149</v>
      </c>
      <c r="BF149" s="90">
        <f>592-SUM(BC149:BE149)</f>
        <v>158</v>
      </c>
      <c r="BG149" s="90">
        <v>172</v>
      </c>
      <c r="BH149" s="90">
        <v>186</v>
      </c>
      <c r="BI149" s="90">
        <v>195</v>
      </c>
      <c r="BJ149" s="90">
        <f>757-SUM(BG149:BI149)</f>
        <v>204</v>
      </c>
      <c r="BK149" s="90">
        <v>210</v>
      </c>
      <c r="BL149" s="90">
        <v>218</v>
      </c>
      <c r="BM149" s="90">
        <v>226</v>
      </c>
      <c r="BN149" s="90">
        <f>902-SUM(BK149:BM149)</f>
        <v>248</v>
      </c>
      <c r="BO149" s="90">
        <v>256.86</v>
      </c>
      <c r="BP149" s="90">
        <v>260.81799999999998</v>
      </c>
      <c r="BQ149" s="90">
        <v>275.029</v>
      </c>
      <c r="BR149" s="85"/>
      <c r="BS149" s="85"/>
      <c r="BT149" s="85"/>
      <c r="BU149" s="87"/>
      <c r="BV149" s="87"/>
      <c r="CK149" s="90">
        <f>SUM(AQ149:AT149)</f>
        <v>355.22</v>
      </c>
      <c r="CL149" s="90">
        <f>SUM(AU149:AX149)</f>
        <v>400</v>
      </c>
      <c r="CM149" s="90">
        <f>SUM(AY149:BA149)</f>
        <v>383</v>
      </c>
      <c r="CN149" s="90">
        <f>SUM(BC149:BE149)</f>
        <v>434</v>
      </c>
      <c r="CO149" s="90">
        <f>SUM(BG149:BJ149)</f>
        <v>757</v>
      </c>
      <c r="CP149" s="90">
        <f>SUM(BK149:BN149)</f>
        <v>902</v>
      </c>
      <c r="CQ149" s="91">
        <f t="shared" ref="CQ149:DA150" si="222">CP149*(1+CQ153)</f>
        <v>1118.48</v>
      </c>
      <c r="CR149" s="91">
        <f t="shared" si="222"/>
        <v>1364.5455999999999</v>
      </c>
      <c r="CS149" s="91">
        <f t="shared" si="222"/>
        <v>1651.1001759999999</v>
      </c>
      <c r="CT149" s="91">
        <f t="shared" si="222"/>
        <v>1964.8092094399999</v>
      </c>
      <c r="CU149" s="91">
        <f t="shared" si="222"/>
        <v>2298.8267750447999</v>
      </c>
      <c r="CV149" s="91">
        <f t="shared" si="222"/>
        <v>2643.6507913015198</v>
      </c>
      <c r="CW149" s="91">
        <f t="shared" si="222"/>
        <v>2987.3253941707171</v>
      </c>
      <c r="CX149" s="91">
        <f t="shared" si="222"/>
        <v>3345.8044414712035</v>
      </c>
      <c r="CY149" s="91">
        <f t="shared" si="222"/>
        <v>3713.8429300330363</v>
      </c>
      <c r="CZ149" s="91">
        <f t="shared" si="222"/>
        <v>4085.2272230363401</v>
      </c>
      <c r="DA149" s="91">
        <f t="shared" si="222"/>
        <v>4330.3408564185211</v>
      </c>
      <c r="DB149" s="84"/>
      <c r="DC149" s="84"/>
      <c r="DD149" s="84"/>
      <c r="DE149" s="84"/>
      <c r="DF149" s="84"/>
      <c r="DG149" s="84"/>
      <c r="DH149" s="84"/>
      <c r="DI149" s="84"/>
      <c r="DJ149" s="84"/>
      <c r="DK149" s="84"/>
      <c r="DL149" s="84"/>
      <c r="DM149" s="84"/>
      <c r="DN149" s="84"/>
      <c r="DO149" s="84"/>
      <c r="DP149" s="84"/>
      <c r="DQ149" s="84"/>
    </row>
    <row r="150" spans="2:121" s="83" customFormat="1" ht="13.5" customHeight="1">
      <c r="B150" s="95" t="s">
        <v>2423</v>
      </c>
      <c r="AA150" s="89"/>
      <c r="AB150" s="89"/>
      <c r="AC150" s="89"/>
      <c r="AD150" s="89"/>
      <c r="AE150" s="89"/>
      <c r="AF150" s="89"/>
      <c r="AG150" s="89"/>
      <c r="AH150" s="89"/>
      <c r="AI150" s="89"/>
      <c r="AJ150" s="89"/>
      <c r="AK150" s="89"/>
      <c r="AL150" s="89"/>
      <c r="AM150" s="89"/>
      <c r="AN150" s="89"/>
      <c r="AO150" s="89"/>
      <c r="AP150" s="89"/>
      <c r="AQ150" s="90">
        <f>9.522+36.406</f>
        <v>45.927999999999997</v>
      </c>
      <c r="AR150" s="90">
        <f>12.231+35.596</f>
        <v>47.826999999999998</v>
      </c>
      <c r="AS150" s="90">
        <f>11.214+38.016</f>
        <v>49.23</v>
      </c>
      <c r="AT150" s="90">
        <f>42.52+149.663-SUM(AQ150:AS150)</f>
        <v>49.198000000000036</v>
      </c>
      <c r="AU150" s="90">
        <v>41</v>
      </c>
      <c r="AV150" s="90">
        <v>27</v>
      </c>
      <c r="AW150" s="90">
        <v>41</v>
      </c>
      <c r="AX150" s="90">
        <f>160-SUM(AU150:AW150)</f>
        <v>51</v>
      </c>
      <c r="AY150" s="90">
        <v>49</v>
      </c>
      <c r="AZ150" s="90">
        <v>56</v>
      </c>
      <c r="BA150" s="90">
        <v>55</v>
      </c>
      <c r="BB150" s="90">
        <f>220-SUM(AY150:BA150)</f>
        <v>60</v>
      </c>
      <c r="BC150" s="90">
        <v>60</v>
      </c>
      <c r="BD150" s="90">
        <v>67</v>
      </c>
      <c r="BE150" s="90">
        <v>65</v>
      </c>
      <c r="BF150" s="90">
        <f>255-SUM(BC150:BE150)</f>
        <v>63</v>
      </c>
      <c r="BG150" s="90">
        <v>69</v>
      </c>
      <c r="BH150" s="90">
        <v>75</v>
      </c>
      <c r="BI150" s="90">
        <v>76</v>
      </c>
      <c r="BJ150" s="90">
        <f>301-SUM(BG150:BI150)</f>
        <v>81</v>
      </c>
      <c r="BK150" s="90">
        <v>69</v>
      </c>
      <c r="BL150" s="90">
        <v>81</v>
      </c>
      <c r="BM150" s="90">
        <v>77</v>
      </c>
      <c r="BN150" s="90">
        <f>292-SUM(BK150:BM150)</f>
        <v>65</v>
      </c>
      <c r="BO150" s="90">
        <v>67.28</v>
      </c>
      <c r="BP150" s="90">
        <v>78.637</v>
      </c>
      <c r="BQ150" s="90">
        <v>79.656000000000006</v>
      </c>
      <c r="BR150" s="85"/>
      <c r="BS150" s="85"/>
      <c r="BT150" s="85"/>
      <c r="BU150" s="87"/>
      <c r="BV150" s="87"/>
      <c r="CK150" s="90">
        <f>SUM(AQ150:AT150)</f>
        <v>192.18300000000002</v>
      </c>
      <c r="CL150" s="90">
        <f>SUM(AU150:AX150)</f>
        <v>160</v>
      </c>
      <c r="CM150" s="90">
        <f>SUM(AY150:BA150)</f>
        <v>160</v>
      </c>
      <c r="CN150" s="90">
        <f>SUM(BC150:BE150)</f>
        <v>192</v>
      </c>
      <c r="CO150" s="90">
        <f>SUM(BG150:BJ150)</f>
        <v>301</v>
      </c>
      <c r="CP150" s="90">
        <f>SUM(BK150:BN150)</f>
        <v>292</v>
      </c>
      <c r="CQ150" s="91">
        <f t="shared" si="222"/>
        <v>324.12</v>
      </c>
      <c r="CR150" s="91">
        <f t="shared" si="222"/>
        <v>375.97919999999999</v>
      </c>
      <c r="CS150" s="91">
        <f t="shared" si="222"/>
        <v>451.17503999999997</v>
      </c>
      <c r="CT150" s="91">
        <f t="shared" si="222"/>
        <v>532.38654719999988</v>
      </c>
      <c r="CU150" s="91">
        <f t="shared" si="222"/>
        <v>617.56839475199979</v>
      </c>
      <c r="CV150" s="91">
        <f t="shared" si="222"/>
        <v>704.02797001727981</v>
      </c>
      <c r="CW150" s="91">
        <f t="shared" si="222"/>
        <v>781.47104671918066</v>
      </c>
      <c r="CX150" s="91">
        <f t="shared" si="222"/>
        <v>843.98873045671519</v>
      </c>
      <c r="CY150" s="91">
        <f t="shared" si="222"/>
        <v>886.18816697955094</v>
      </c>
      <c r="CZ150" s="91">
        <f t="shared" si="222"/>
        <v>912.7738119889375</v>
      </c>
      <c r="DA150" s="91">
        <f t="shared" si="222"/>
        <v>931.02928822871627</v>
      </c>
      <c r="DB150" s="84"/>
      <c r="DC150" s="84"/>
      <c r="DD150" s="84"/>
      <c r="DE150" s="84"/>
      <c r="DF150" s="84"/>
      <c r="DG150" s="84"/>
      <c r="DH150" s="84"/>
      <c r="DI150" s="84"/>
      <c r="DJ150" s="84"/>
      <c r="DK150" s="84"/>
      <c r="DL150" s="84"/>
      <c r="DM150" s="84"/>
      <c r="DN150" s="84"/>
      <c r="DO150" s="84"/>
      <c r="DP150" s="84"/>
      <c r="DQ150" s="84"/>
    </row>
    <row r="151" spans="2:121" s="85" customFormat="1" ht="13.5" customHeight="1">
      <c r="B151" s="85" t="s">
        <v>106</v>
      </c>
      <c r="AA151" s="92"/>
      <c r="AB151" s="92"/>
      <c r="AC151" s="92"/>
      <c r="AD151" s="92"/>
      <c r="AE151" s="92"/>
      <c r="AF151" s="92"/>
      <c r="AG151" s="92"/>
      <c r="AH151" s="92"/>
      <c r="AI151" s="92"/>
      <c r="AJ151" s="92"/>
      <c r="AK151" s="92"/>
      <c r="AL151" s="92"/>
      <c r="AM151" s="92"/>
      <c r="AN151" s="92"/>
      <c r="AO151" s="92"/>
      <c r="AP151" s="92"/>
      <c r="AQ151" s="86">
        <f t="shared" ref="AQ151:BL151" si="223">SUM(AQ149:AQ150)</f>
        <v>128.43899999999999</v>
      </c>
      <c r="AR151" s="86">
        <f t="shared" si="223"/>
        <v>134.20099999999999</v>
      </c>
      <c r="AS151" s="86">
        <f t="shared" si="223"/>
        <v>139.50200000000001</v>
      </c>
      <c r="AT151" s="86">
        <f t="shared" si="223"/>
        <v>145.26100000000008</v>
      </c>
      <c r="AU151" s="86">
        <f t="shared" si="223"/>
        <v>137</v>
      </c>
      <c r="AV151" s="86">
        <f t="shared" si="223"/>
        <v>105</v>
      </c>
      <c r="AW151" s="86">
        <f t="shared" si="223"/>
        <v>151</v>
      </c>
      <c r="AX151" s="86">
        <f t="shared" si="223"/>
        <v>167</v>
      </c>
      <c r="AY151" s="86">
        <f t="shared" si="223"/>
        <v>169</v>
      </c>
      <c r="AZ151" s="86">
        <f t="shared" si="223"/>
        <v>184</v>
      </c>
      <c r="BA151" s="86">
        <f t="shared" si="223"/>
        <v>190</v>
      </c>
      <c r="BB151" s="86">
        <f t="shared" si="223"/>
        <v>205</v>
      </c>
      <c r="BC151" s="86">
        <f t="shared" si="223"/>
        <v>204</v>
      </c>
      <c r="BD151" s="86">
        <f t="shared" si="223"/>
        <v>208</v>
      </c>
      <c r="BE151" s="86">
        <f t="shared" si="223"/>
        <v>214</v>
      </c>
      <c r="BF151" s="86">
        <f t="shared" si="223"/>
        <v>221</v>
      </c>
      <c r="BG151" s="86">
        <f t="shared" si="223"/>
        <v>241</v>
      </c>
      <c r="BH151" s="86">
        <f t="shared" si="223"/>
        <v>261</v>
      </c>
      <c r="BI151" s="86">
        <f t="shared" si="223"/>
        <v>271</v>
      </c>
      <c r="BJ151" s="86">
        <f t="shared" si="223"/>
        <v>285</v>
      </c>
      <c r="BK151" s="86">
        <f t="shared" si="223"/>
        <v>279</v>
      </c>
      <c r="BL151" s="86">
        <f t="shared" si="223"/>
        <v>299</v>
      </c>
      <c r="BM151" s="86">
        <f>SUM(BM149:BM150)</f>
        <v>303</v>
      </c>
      <c r="BN151" s="86">
        <f>SUM(BN149:BN150)</f>
        <v>313</v>
      </c>
      <c r="BO151" s="86">
        <f>SUM(BO149:BO150)</f>
        <v>324.14</v>
      </c>
      <c r="BP151" s="86">
        <f>SUM(BP149:BP150)</f>
        <v>339.45499999999998</v>
      </c>
      <c r="BQ151" s="86">
        <f>SUM(BQ149:BQ150)</f>
        <v>354.685</v>
      </c>
      <c r="BU151" s="87"/>
      <c r="BV151" s="87"/>
      <c r="CK151" s="86">
        <f>SUM(AQ151:AT151)</f>
        <v>547.40300000000002</v>
      </c>
      <c r="CL151" s="86">
        <f>SUM(AU151:AX151)</f>
        <v>560</v>
      </c>
      <c r="CM151" s="86">
        <f>SUM(AY151:BB151)</f>
        <v>748</v>
      </c>
      <c r="CN151" s="86">
        <f>SUM(BC151:BF151)</f>
        <v>847</v>
      </c>
      <c r="CO151" s="86">
        <f>SUM(BG151:BJ151)</f>
        <v>1058</v>
      </c>
      <c r="CP151" s="86">
        <f>SUM(BK151:BN151)</f>
        <v>1194</v>
      </c>
      <c r="CQ151" s="94">
        <f t="shared" ref="CQ151:CZ151" si="224">CQ149+CQ150</f>
        <v>1442.6</v>
      </c>
      <c r="CR151" s="94">
        <f t="shared" si="224"/>
        <v>1740.5247999999999</v>
      </c>
      <c r="CS151" s="94">
        <f t="shared" si="224"/>
        <v>2102.275216</v>
      </c>
      <c r="CT151" s="94">
        <f t="shared" si="224"/>
        <v>2497.1957566399997</v>
      </c>
      <c r="CU151" s="94">
        <f t="shared" si="224"/>
        <v>2916.3951697967996</v>
      </c>
      <c r="CV151" s="94">
        <f t="shared" si="224"/>
        <v>3347.6787613187998</v>
      </c>
      <c r="CW151" s="94">
        <f t="shared" si="224"/>
        <v>3768.7964408898979</v>
      </c>
      <c r="CX151" s="94">
        <f t="shared" si="224"/>
        <v>4189.7931719279186</v>
      </c>
      <c r="CY151" s="94">
        <f t="shared" si="224"/>
        <v>4600.0310970125875</v>
      </c>
      <c r="CZ151" s="94">
        <f t="shared" si="224"/>
        <v>4998.0010350252778</v>
      </c>
      <c r="DA151" s="94">
        <f t="shared" ref="DA151" si="225">DA149+DA150</f>
        <v>5261.3701446472369</v>
      </c>
      <c r="DB151" s="87"/>
      <c r="DC151" s="87"/>
      <c r="DD151" s="87"/>
      <c r="DE151" s="87"/>
      <c r="DF151" s="87"/>
      <c r="DG151" s="87"/>
      <c r="DH151" s="87"/>
      <c r="DI151" s="87"/>
      <c r="DJ151" s="87"/>
      <c r="DK151" s="87"/>
      <c r="DL151" s="87"/>
      <c r="DM151" s="87"/>
      <c r="DN151" s="87"/>
      <c r="DO151" s="87"/>
      <c r="DP151" s="87"/>
      <c r="DQ151" s="87"/>
    </row>
    <row r="152" spans="2:121" s="83" customFormat="1" ht="13.5" customHeight="1">
      <c r="AA152" s="89"/>
      <c r="AB152" s="89"/>
      <c r="AC152" s="89"/>
      <c r="AD152" s="89"/>
      <c r="AE152" s="89"/>
      <c r="AF152" s="89"/>
      <c r="AG152" s="89"/>
      <c r="AH152" s="89"/>
      <c r="AI152" s="89"/>
      <c r="AJ152" s="89"/>
      <c r="AK152" s="89"/>
      <c r="AL152" s="89"/>
      <c r="AM152" s="89"/>
      <c r="AN152" s="89"/>
      <c r="AO152" s="89"/>
      <c r="AP152" s="89"/>
      <c r="BQ152" s="85"/>
      <c r="BR152" s="85"/>
      <c r="BS152" s="85"/>
      <c r="BT152" s="85"/>
      <c r="BU152" s="87"/>
      <c r="BV152" s="87"/>
      <c r="CQ152" s="84"/>
      <c r="CR152" s="84"/>
      <c r="CS152" s="84"/>
      <c r="CT152" s="84"/>
      <c r="CU152" s="84"/>
      <c r="CV152" s="84"/>
      <c r="CW152" s="84"/>
      <c r="CX152" s="84"/>
      <c r="CY152" s="84"/>
      <c r="CZ152" s="84"/>
      <c r="DA152" s="84"/>
      <c r="DB152" s="84"/>
      <c r="DC152" s="84"/>
      <c r="DD152" s="84"/>
      <c r="DE152" s="84"/>
      <c r="DF152" s="84"/>
      <c r="DG152" s="84"/>
      <c r="DH152" s="84"/>
      <c r="DI152" s="84"/>
      <c r="DJ152" s="84"/>
      <c r="DK152" s="84"/>
      <c r="DL152" s="84"/>
      <c r="DM152" s="84"/>
      <c r="DN152" s="84"/>
      <c r="DO152" s="84"/>
      <c r="DP152" s="84"/>
      <c r="DQ152" s="84"/>
    </row>
    <row r="153" spans="2:121" s="83" customFormat="1" ht="13.5" customHeight="1">
      <c r="B153" s="95" t="s">
        <v>118</v>
      </c>
      <c r="AA153" s="89"/>
      <c r="AB153" s="89"/>
      <c r="AC153" s="89"/>
      <c r="AD153" s="89"/>
      <c r="AE153" s="89"/>
      <c r="AF153" s="89"/>
      <c r="AG153" s="89"/>
      <c r="AH153" s="89"/>
      <c r="AI153" s="89"/>
      <c r="AJ153" s="89"/>
      <c r="AK153" s="89"/>
      <c r="AL153" s="89"/>
      <c r="AM153" s="89"/>
      <c r="AN153" s="89"/>
      <c r="AO153" s="89"/>
      <c r="AP153" s="89"/>
      <c r="AQ153" s="96"/>
      <c r="AR153" s="96"/>
      <c r="AS153" s="96"/>
      <c r="AT153" s="96"/>
      <c r="AU153" s="96">
        <f t="shared" ref="AU153:BQ155" si="226">AU149/AQ149-1</f>
        <v>0.16348123280532301</v>
      </c>
      <c r="AV153" s="96">
        <f t="shared" si="226"/>
        <v>-9.6950471206613043E-2</v>
      </c>
      <c r="AW153" s="96">
        <f t="shared" si="226"/>
        <v>0.21853952499113771</v>
      </c>
      <c r="AX153" s="96">
        <f t="shared" si="226"/>
        <v>0.20754088462779574</v>
      </c>
      <c r="AY153" s="96">
        <f t="shared" si="226"/>
        <v>0.25</v>
      </c>
      <c r="AZ153" s="96">
        <f t="shared" si="226"/>
        <v>0.64102564102564097</v>
      </c>
      <c r="BA153" s="96">
        <f t="shared" si="226"/>
        <v>0.22727272727272729</v>
      </c>
      <c r="BB153" s="96">
        <f t="shared" si="226"/>
        <v>0.25</v>
      </c>
      <c r="BC153" s="96">
        <f t="shared" si="226"/>
        <v>0.19999999999999996</v>
      </c>
      <c r="BD153" s="96">
        <f t="shared" si="226"/>
        <v>0.1015625</v>
      </c>
      <c r="BE153" s="96">
        <f t="shared" si="226"/>
        <v>0.10370370370370363</v>
      </c>
      <c r="BF153" s="96">
        <f t="shared" si="226"/>
        <v>8.9655172413793061E-2</v>
      </c>
      <c r="BG153" s="96">
        <f t="shared" si="226"/>
        <v>0.19444444444444442</v>
      </c>
      <c r="BH153" s="96">
        <f t="shared" si="226"/>
        <v>0.31914893617021267</v>
      </c>
      <c r="BI153" s="96">
        <f t="shared" si="226"/>
        <v>0.3087248322147651</v>
      </c>
      <c r="BJ153" s="96">
        <f t="shared" si="226"/>
        <v>0.29113924050632911</v>
      </c>
      <c r="BK153" s="96">
        <f t="shared" si="226"/>
        <v>0.22093023255813948</v>
      </c>
      <c r="BL153" s="96">
        <f t="shared" si="226"/>
        <v>0.17204301075268824</v>
      </c>
      <c r="BM153" s="96">
        <f t="shared" si="226"/>
        <v>0.15897435897435908</v>
      </c>
      <c r="BN153" s="96">
        <f t="shared" si="226"/>
        <v>0.21568627450980382</v>
      </c>
      <c r="BO153" s="96">
        <f t="shared" si="226"/>
        <v>0.22314285714285731</v>
      </c>
      <c r="BP153" s="96">
        <f t="shared" si="226"/>
        <v>0.19641284403669723</v>
      </c>
      <c r="BQ153" s="96">
        <f t="shared" si="226"/>
        <v>0.21694247787610621</v>
      </c>
      <c r="BR153" s="85"/>
      <c r="BS153" s="85"/>
      <c r="BT153" s="85"/>
      <c r="BU153" s="87"/>
      <c r="BV153" s="87"/>
      <c r="CK153" s="96"/>
      <c r="CL153" s="96">
        <f t="shared" ref="CL153:DA155" si="227">CL149/CK149-1</f>
        <v>0.12606272169359833</v>
      </c>
      <c r="CM153" s="96">
        <f t="shared" si="227"/>
        <v>-4.2499999999999982E-2</v>
      </c>
      <c r="CN153" s="96">
        <f t="shared" si="227"/>
        <v>0.13315926892950403</v>
      </c>
      <c r="CO153" s="96">
        <f t="shared" si="227"/>
        <v>0.74423963133640547</v>
      </c>
      <c r="CP153" s="96">
        <f t="shared" si="227"/>
        <v>0.19154557463672384</v>
      </c>
      <c r="CQ153" s="98">
        <v>0.24</v>
      </c>
      <c r="CR153" s="98">
        <v>0.22</v>
      </c>
      <c r="CS153" s="98">
        <v>0.21</v>
      </c>
      <c r="CT153" s="98">
        <v>0.19</v>
      </c>
      <c r="CU153" s="98">
        <v>0.17</v>
      </c>
      <c r="CV153" s="98">
        <v>0.15</v>
      </c>
      <c r="CW153" s="98">
        <v>0.13</v>
      </c>
      <c r="CX153" s="98">
        <v>0.12</v>
      </c>
      <c r="CY153" s="98">
        <v>0.11</v>
      </c>
      <c r="CZ153" s="98">
        <v>0.1</v>
      </c>
      <c r="DA153" s="98">
        <v>0.06</v>
      </c>
      <c r="DB153" s="84"/>
      <c r="DC153" s="84"/>
      <c r="DD153" s="84"/>
      <c r="DE153" s="84"/>
      <c r="DF153" s="84"/>
      <c r="DG153" s="84"/>
      <c r="DH153" s="84"/>
      <c r="DI153" s="84"/>
      <c r="DJ153" s="84"/>
      <c r="DK153" s="84"/>
      <c r="DL153" s="84"/>
      <c r="DM153" s="84"/>
      <c r="DN153" s="84"/>
      <c r="DO153" s="84"/>
      <c r="DP153" s="84"/>
      <c r="DQ153" s="84"/>
    </row>
    <row r="154" spans="2:121" s="83" customFormat="1" ht="13.5" customHeight="1">
      <c r="B154" s="95" t="s">
        <v>2424</v>
      </c>
      <c r="AA154" s="89"/>
      <c r="AB154" s="89"/>
      <c r="AC154" s="89"/>
      <c r="AD154" s="89"/>
      <c r="AE154" s="89"/>
      <c r="AF154" s="89"/>
      <c r="AG154" s="89"/>
      <c r="AH154" s="89"/>
      <c r="AI154" s="89"/>
      <c r="AJ154" s="89"/>
      <c r="AK154" s="89"/>
      <c r="AL154" s="89"/>
      <c r="AM154" s="89"/>
      <c r="AN154" s="89"/>
      <c r="AO154" s="89"/>
      <c r="AP154" s="89"/>
      <c r="AQ154" s="96"/>
      <c r="AR154" s="96"/>
      <c r="AS154" s="96"/>
      <c r="AT154" s="96"/>
      <c r="AU154" s="96">
        <f t="shared" si="226"/>
        <v>-0.10729838007315795</v>
      </c>
      <c r="AV154" s="96">
        <f t="shared" si="226"/>
        <v>-0.43546532293474394</v>
      </c>
      <c r="AW154" s="96">
        <f t="shared" si="226"/>
        <v>-0.16717448710136096</v>
      </c>
      <c r="AX154" s="96">
        <f t="shared" si="226"/>
        <v>3.6627505183136844E-2</v>
      </c>
      <c r="AY154" s="96">
        <f t="shared" si="226"/>
        <v>0.19512195121951215</v>
      </c>
      <c r="AZ154" s="96">
        <f t="shared" si="226"/>
        <v>1.074074074074074</v>
      </c>
      <c r="BA154" s="96">
        <f t="shared" si="226"/>
        <v>0.34146341463414642</v>
      </c>
      <c r="BB154" s="96">
        <f t="shared" si="226"/>
        <v>0.17647058823529416</v>
      </c>
      <c r="BC154" s="96">
        <f t="shared" si="226"/>
        <v>0.22448979591836737</v>
      </c>
      <c r="BD154" s="96">
        <f t="shared" si="226"/>
        <v>0.1964285714285714</v>
      </c>
      <c r="BE154" s="96">
        <f t="shared" si="226"/>
        <v>0.18181818181818188</v>
      </c>
      <c r="BF154" s="96">
        <f t="shared" si="226"/>
        <v>5.0000000000000044E-2</v>
      </c>
      <c r="BG154" s="96">
        <f t="shared" si="226"/>
        <v>0.14999999999999991</v>
      </c>
      <c r="BH154" s="96">
        <f t="shared" si="226"/>
        <v>0.11940298507462677</v>
      </c>
      <c r="BI154" s="96">
        <f t="shared" si="226"/>
        <v>0.1692307692307693</v>
      </c>
      <c r="BJ154" s="96">
        <f t="shared" si="226"/>
        <v>0.28571428571428581</v>
      </c>
      <c r="BK154" s="96">
        <f t="shared" si="226"/>
        <v>0</v>
      </c>
      <c r="BL154" s="96">
        <f t="shared" si="226"/>
        <v>8.0000000000000071E-2</v>
      </c>
      <c r="BM154" s="96">
        <f t="shared" si="226"/>
        <v>1.3157894736842035E-2</v>
      </c>
      <c r="BN154" s="96">
        <f t="shared" si="226"/>
        <v>-0.19753086419753085</v>
      </c>
      <c r="BO154" s="96">
        <f t="shared" si="226"/>
        <v>-2.492753623188404E-2</v>
      </c>
      <c r="BP154" s="96">
        <f t="shared" si="226"/>
        <v>-2.9172839506172887E-2</v>
      </c>
      <c r="BQ154" s="96">
        <f t="shared" si="226"/>
        <v>3.4493506493506576E-2</v>
      </c>
      <c r="BR154" s="85"/>
      <c r="BS154" s="85"/>
      <c r="BT154" s="85"/>
      <c r="BU154" s="87"/>
      <c r="BV154" s="87"/>
      <c r="CK154" s="96"/>
      <c r="CL154" s="96">
        <f t="shared" si="227"/>
        <v>-0.16746018118147821</v>
      </c>
      <c r="CM154" s="96">
        <f t="shared" si="227"/>
        <v>0</v>
      </c>
      <c r="CN154" s="96">
        <f t="shared" si="227"/>
        <v>0.19999999999999996</v>
      </c>
      <c r="CO154" s="96">
        <f t="shared" si="227"/>
        <v>0.56770833333333326</v>
      </c>
      <c r="CP154" s="96">
        <f t="shared" si="227"/>
        <v>-2.9900332225913595E-2</v>
      </c>
      <c r="CQ154" s="98">
        <v>0.11</v>
      </c>
      <c r="CR154" s="98">
        <v>0.16</v>
      </c>
      <c r="CS154" s="98">
        <v>0.2</v>
      </c>
      <c r="CT154" s="98">
        <v>0.18</v>
      </c>
      <c r="CU154" s="98">
        <v>0.16</v>
      </c>
      <c r="CV154" s="98">
        <v>0.14000000000000001</v>
      </c>
      <c r="CW154" s="98">
        <v>0.11</v>
      </c>
      <c r="CX154" s="98">
        <v>0.08</v>
      </c>
      <c r="CY154" s="98">
        <v>0.05</v>
      </c>
      <c r="CZ154" s="98">
        <v>0.03</v>
      </c>
      <c r="DA154" s="98">
        <v>0.02</v>
      </c>
      <c r="DB154" s="84"/>
      <c r="DC154" s="84"/>
      <c r="DD154" s="84"/>
      <c r="DE154" s="84"/>
      <c r="DF154" s="84"/>
      <c r="DG154" s="84"/>
      <c r="DH154" s="84"/>
      <c r="DI154" s="84"/>
      <c r="DJ154" s="84"/>
      <c r="DK154" s="84"/>
      <c r="DL154" s="84"/>
      <c r="DM154" s="84"/>
      <c r="DN154" s="84"/>
      <c r="DO154" s="84"/>
      <c r="DP154" s="84"/>
      <c r="DQ154" s="84"/>
    </row>
    <row r="155" spans="2:121" s="83" customFormat="1" ht="13.5" customHeight="1">
      <c r="B155" s="83" t="s">
        <v>2420</v>
      </c>
      <c r="AA155" s="89"/>
      <c r="AB155" s="89"/>
      <c r="AC155" s="89"/>
      <c r="AD155" s="89"/>
      <c r="AE155" s="89"/>
      <c r="AF155" s="89"/>
      <c r="AG155" s="89"/>
      <c r="AH155" s="89"/>
      <c r="AI155" s="89"/>
      <c r="AJ155" s="89"/>
      <c r="AK155" s="89"/>
      <c r="AL155" s="89"/>
      <c r="AM155" s="89"/>
      <c r="AN155" s="89"/>
      <c r="AO155" s="89"/>
      <c r="AP155" s="89"/>
      <c r="AQ155" s="96"/>
      <c r="AR155" s="96"/>
      <c r="AS155" s="96"/>
      <c r="AT155" s="96"/>
      <c r="AU155" s="96">
        <f t="shared" si="226"/>
        <v>6.6654209391228569E-2</v>
      </c>
      <c r="AV155" s="96">
        <f t="shared" si="226"/>
        <v>-0.21759152316301666</v>
      </c>
      <c r="AW155" s="96">
        <f t="shared" si="226"/>
        <v>8.2421757394159245E-2</v>
      </c>
      <c r="AX155" s="96">
        <f t="shared" si="226"/>
        <v>0.14965475936417838</v>
      </c>
      <c r="AY155" s="96">
        <f t="shared" si="226"/>
        <v>0.23357664233576636</v>
      </c>
      <c r="AZ155" s="96">
        <f t="shared" si="226"/>
        <v>0.75238095238095237</v>
      </c>
      <c r="BA155" s="96">
        <f t="shared" si="226"/>
        <v>0.25827814569536423</v>
      </c>
      <c r="BB155" s="96">
        <f t="shared" si="226"/>
        <v>0.22754491017964074</v>
      </c>
      <c r="BC155" s="96">
        <f t="shared" si="226"/>
        <v>0.20710059171597628</v>
      </c>
      <c r="BD155" s="96">
        <f t="shared" si="226"/>
        <v>0.13043478260869557</v>
      </c>
      <c r="BE155" s="96">
        <f t="shared" si="226"/>
        <v>0.12631578947368416</v>
      </c>
      <c r="BF155" s="96">
        <f t="shared" si="226"/>
        <v>7.8048780487804947E-2</v>
      </c>
      <c r="BG155" s="96">
        <f t="shared" si="226"/>
        <v>0.18137254901960786</v>
      </c>
      <c r="BH155" s="96">
        <f t="shared" si="226"/>
        <v>0.25480769230769229</v>
      </c>
      <c r="BI155" s="96">
        <f t="shared" si="226"/>
        <v>0.26635514018691597</v>
      </c>
      <c r="BJ155" s="96">
        <f t="shared" si="226"/>
        <v>0.28959276018099556</v>
      </c>
      <c r="BK155" s="96">
        <f t="shared" si="226"/>
        <v>0.15767634854771795</v>
      </c>
      <c r="BL155" s="96">
        <f t="shared" si="226"/>
        <v>0.14559386973180066</v>
      </c>
      <c r="BM155" s="96">
        <f t="shared" si="226"/>
        <v>0.11808118081180807</v>
      </c>
      <c r="BN155" s="96">
        <f t="shared" si="226"/>
        <v>9.8245614035087803E-2</v>
      </c>
      <c r="BO155" s="96">
        <f t="shared" si="226"/>
        <v>0.16179211469534049</v>
      </c>
      <c r="BP155" s="96">
        <f t="shared" si="226"/>
        <v>0.13530100334448147</v>
      </c>
      <c r="BQ155" s="96">
        <f t="shared" si="226"/>
        <v>0.17057755775577554</v>
      </c>
      <c r="BR155" s="85"/>
      <c r="BS155" s="85"/>
      <c r="BT155" s="85"/>
      <c r="BU155" s="87"/>
      <c r="BV155" s="87"/>
      <c r="CK155" s="96"/>
      <c r="CL155" s="96">
        <f t="shared" si="227"/>
        <v>2.3012296242439279E-2</v>
      </c>
      <c r="CM155" s="96">
        <f t="shared" si="227"/>
        <v>0.33571428571428563</v>
      </c>
      <c r="CN155" s="96">
        <f t="shared" si="227"/>
        <v>0.13235294117647056</v>
      </c>
      <c r="CO155" s="96">
        <f t="shared" si="227"/>
        <v>0.2491145218417945</v>
      </c>
      <c r="CP155" s="96">
        <f t="shared" si="227"/>
        <v>0.12854442344045358</v>
      </c>
      <c r="CQ155" s="100">
        <f t="shared" si="227"/>
        <v>0.20820770519262966</v>
      </c>
      <c r="CR155" s="100">
        <f t="shared" si="227"/>
        <v>0.2065193400804104</v>
      </c>
      <c r="CS155" s="100">
        <f t="shared" si="227"/>
        <v>0.20783985152064477</v>
      </c>
      <c r="CT155" s="100">
        <f t="shared" si="227"/>
        <v>0.18785387262064335</v>
      </c>
      <c r="CU155" s="100">
        <f t="shared" si="227"/>
        <v>0.16786806242248176</v>
      </c>
      <c r="CV155" s="100">
        <f t="shared" si="227"/>
        <v>0.14788242553290543</v>
      </c>
      <c r="CW155" s="100">
        <f t="shared" si="227"/>
        <v>0.1257939335270033</v>
      </c>
      <c r="CX155" s="100">
        <f t="shared" si="227"/>
        <v>0.11170588214061627</v>
      </c>
      <c r="CY155" s="100">
        <f t="shared" si="227"/>
        <v>9.7913645912955483E-2</v>
      </c>
      <c r="CZ155" s="100">
        <f t="shared" si="227"/>
        <v>8.6514619057933118E-2</v>
      </c>
      <c r="DA155" s="100">
        <f t="shared" si="227"/>
        <v>5.2694888971872134E-2</v>
      </c>
      <c r="DB155" s="84"/>
      <c r="DC155" s="84"/>
      <c r="DD155" s="84"/>
      <c r="DE155" s="84"/>
      <c r="DF155" s="84"/>
      <c r="DG155" s="84"/>
      <c r="DH155" s="84"/>
      <c r="DI155" s="84"/>
      <c r="DJ155" s="84"/>
      <c r="DK155" s="84"/>
      <c r="DL155" s="84"/>
      <c r="DM155" s="84"/>
      <c r="DN155" s="84"/>
      <c r="DO155" s="84"/>
      <c r="DP155" s="84"/>
      <c r="DQ155" s="84"/>
    </row>
    <row r="156" spans="2:121" s="83" customFormat="1" ht="13.5" customHeight="1">
      <c r="AA156" s="89"/>
      <c r="AB156" s="89"/>
      <c r="AC156" s="89"/>
      <c r="AD156" s="89"/>
      <c r="AE156" s="89"/>
      <c r="AF156" s="89"/>
      <c r="AG156" s="89"/>
      <c r="AH156" s="89"/>
      <c r="AI156" s="89"/>
      <c r="AJ156" s="89"/>
      <c r="AK156" s="89"/>
      <c r="AL156" s="89"/>
      <c r="AM156" s="89"/>
      <c r="AN156" s="89"/>
      <c r="AO156" s="89"/>
      <c r="AP156" s="89"/>
      <c r="BQ156" s="85"/>
      <c r="BR156" s="85"/>
      <c r="BS156" s="85"/>
      <c r="BT156" s="85"/>
      <c r="BU156" s="87"/>
      <c r="BV156" s="87"/>
      <c r="CQ156" s="84"/>
      <c r="CR156" s="84"/>
      <c r="CS156" s="84"/>
      <c r="CT156" s="84"/>
      <c r="CU156" s="84"/>
      <c r="CV156" s="84"/>
      <c r="CW156" s="84"/>
      <c r="CX156" s="84"/>
      <c r="CY156" s="84"/>
      <c r="CZ156" s="84"/>
      <c r="DA156" s="84"/>
      <c r="DB156" s="84"/>
      <c r="DC156" s="84"/>
      <c r="DD156" s="84"/>
      <c r="DE156" s="84"/>
      <c r="DF156" s="84"/>
      <c r="DG156" s="84"/>
      <c r="DH156" s="84"/>
      <c r="DI156" s="84"/>
      <c r="DJ156" s="84"/>
      <c r="DK156" s="84"/>
      <c r="DL156" s="84"/>
      <c r="DM156" s="84"/>
      <c r="DN156" s="84"/>
      <c r="DO156" s="84"/>
      <c r="DP156" s="84"/>
      <c r="DQ156" s="84"/>
    </row>
    <row r="157" spans="2:121" s="83" customFormat="1" ht="13.5" customHeight="1">
      <c r="B157" s="95" t="s">
        <v>2425</v>
      </c>
      <c r="AA157" s="89"/>
      <c r="AB157" s="89"/>
      <c r="AC157" s="89"/>
      <c r="AD157" s="89"/>
      <c r="AE157" s="89"/>
      <c r="AF157" s="89"/>
      <c r="AG157" s="89"/>
      <c r="AH157" s="89"/>
      <c r="AI157" s="89"/>
      <c r="AJ157" s="89"/>
      <c r="AK157" s="89"/>
      <c r="AL157" s="89"/>
      <c r="AM157" s="89"/>
      <c r="AN157" s="89"/>
      <c r="AO157" s="89"/>
      <c r="AP157" s="89"/>
      <c r="AQ157" s="96">
        <f t="shared" ref="AQ157:BQ157" si="228">AQ149/AQ151</f>
        <v>0.64241390854802671</v>
      </c>
      <c r="AR157" s="96">
        <f t="shared" si="228"/>
        <v>0.64361666455540567</v>
      </c>
      <c r="AS157" s="96">
        <f t="shared" si="228"/>
        <v>0.64710183366546714</v>
      </c>
      <c r="AT157" s="96">
        <f t="shared" si="228"/>
        <v>0.66131308472335992</v>
      </c>
      <c r="AU157" s="96">
        <f t="shared" si="228"/>
        <v>0.7007299270072993</v>
      </c>
      <c r="AV157" s="96">
        <f t="shared" si="228"/>
        <v>0.74285714285714288</v>
      </c>
      <c r="AW157" s="96">
        <f t="shared" si="228"/>
        <v>0.72847682119205293</v>
      </c>
      <c r="AX157" s="96">
        <f t="shared" si="228"/>
        <v>0.69461077844311381</v>
      </c>
      <c r="AY157" s="96">
        <f t="shared" si="228"/>
        <v>0.7100591715976331</v>
      </c>
      <c r="AZ157" s="96">
        <f t="shared" si="228"/>
        <v>0.69565217391304346</v>
      </c>
      <c r="BA157" s="96">
        <f t="shared" si="228"/>
        <v>0.71052631578947367</v>
      </c>
      <c r="BB157" s="96">
        <f t="shared" si="228"/>
        <v>0.70731707317073167</v>
      </c>
      <c r="BC157" s="96">
        <f t="shared" si="228"/>
        <v>0.70588235294117652</v>
      </c>
      <c r="BD157" s="96">
        <f t="shared" si="228"/>
        <v>0.67788461538461542</v>
      </c>
      <c r="BE157" s="96">
        <f t="shared" si="228"/>
        <v>0.69626168224299068</v>
      </c>
      <c r="BF157" s="96">
        <f t="shared" si="228"/>
        <v>0.71493212669683259</v>
      </c>
      <c r="BG157" s="96">
        <f t="shared" si="228"/>
        <v>0.7136929460580913</v>
      </c>
      <c r="BH157" s="96">
        <f t="shared" si="228"/>
        <v>0.71264367816091956</v>
      </c>
      <c r="BI157" s="96">
        <f t="shared" si="228"/>
        <v>0.71955719557195574</v>
      </c>
      <c r="BJ157" s="96">
        <f t="shared" si="228"/>
        <v>0.71578947368421053</v>
      </c>
      <c r="BK157" s="96">
        <f t="shared" si="228"/>
        <v>0.75268817204301075</v>
      </c>
      <c r="BL157" s="96">
        <f t="shared" si="228"/>
        <v>0.72909698996655514</v>
      </c>
      <c r="BM157" s="96">
        <f t="shared" si="228"/>
        <v>0.74587458745874591</v>
      </c>
      <c r="BN157" s="96">
        <f t="shared" si="228"/>
        <v>0.792332268370607</v>
      </c>
      <c r="BO157" s="96">
        <f t="shared" si="228"/>
        <v>0.79243536743382492</v>
      </c>
      <c r="BP157" s="96">
        <f t="shared" si="228"/>
        <v>0.7683433739376353</v>
      </c>
      <c r="BQ157" s="96">
        <f t="shared" si="228"/>
        <v>0.7754176240889803</v>
      </c>
      <c r="BR157" s="85"/>
      <c r="BS157" s="85"/>
      <c r="BT157" s="85"/>
      <c r="BU157" s="87"/>
      <c r="BV157" s="87"/>
      <c r="CK157" s="96">
        <f t="shared" ref="CK157:CZ157" si="229">CK149/CK151</f>
        <v>0.64891862119864163</v>
      </c>
      <c r="CL157" s="96">
        <f t="shared" si="229"/>
        <v>0.7142857142857143</v>
      </c>
      <c r="CM157" s="96">
        <f t="shared" si="229"/>
        <v>0.51203208556149737</v>
      </c>
      <c r="CN157" s="96">
        <f t="shared" si="229"/>
        <v>0.51239669421487599</v>
      </c>
      <c r="CO157" s="96">
        <f t="shared" si="229"/>
        <v>0.71550094517958407</v>
      </c>
      <c r="CP157" s="96">
        <f t="shared" si="229"/>
        <v>0.75544388609715241</v>
      </c>
      <c r="CQ157" s="98">
        <f t="shared" si="229"/>
        <v>0.7753223346735062</v>
      </c>
      <c r="CR157" s="98">
        <f t="shared" si="229"/>
        <v>0.78398515206448083</v>
      </c>
      <c r="CS157" s="98">
        <f t="shared" si="229"/>
        <v>0.78538726206435949</v>
      </c>
      <c r="CT157" s="98">
        <f t="shared" si="229"/>
        <v>0.78680624224817242</v>
      </c>
      <c r="CU157" s="98">
        <f t="shared" si="229"/>
        <v>0.78824255329053061</v>
      </c>
      <c r="CV157" s="98">
        <f t="shared" si="229"/>
        <v>0.78969667635017282</v>
      </c>
      <c r="CW157" s="98">
        <f t="shared" si="229"/>
        <v>0.79264705351540354</v>
      </c>
      <c r="CX157" s="98">
        <f t="shared" si="229"/>
        <v>0.7985607652159219</v>
      </c>
      <c r="CY157" s="98">
        <f t="shared" si="229"/>
        <v>0.80735170082761587</v>
      </c>
      <c r="CZ157" s="98">
        <f t="shared" si="229"/>
        <v>0.81737222429680401</v>
      </c>
      <c r="DA157" s="98">
        <f t="shared" ref="DA157" si="230">DA149/DA151</f>
        <v>0.82304432825812157</v>
      </c>
      <c r="DB157" s="84"/>
      <c r="DC157" s="84"/>
      <c r="DD157" s="84"/>
      <c r="DE157" s="84"/>
      <c r="DF157" s="84"/>
      <c r="DG157" s="84"/>
      <c r="DH157" s="84"/>
      <c r="DI157" s="84"/>
      <c r="DJ157" s="84"/>
      <c r="DK157" s="84"/>
      <c r="DL157" s="84"/>
      <c r="DM157" s="84"/>
      <c r="DN157" s="84"/>
      <c r="DO157" s="84"/>
      <c r="DP157" s="84"/>
      <c r="DQ157" s="84"/>
    </row>
    <row r="158" spans="2:121" s="83" customFormat="1" ht="13.5" customHeight="1">
      <c r="B158" s="95" t="s">
        <v>2426</v>
      </c>
      <c r="AA158" s="89"/>
      <c r="AB158" s="89"/>
      <c r="AC158" s="89"/>
      <c r="AD158" s="89"/>
      <c r="AE158" s="89"/>
      <c r="AF158" s="89"/>
      <c r="AG158" s="89"/>
      <c r="AH158" s="89"/>
      <c r="AI158" s="89"/>
      <c r="AJ158" s="89"/>
      <c r="AK158" s="89"/>
      <c r="AL158" s="89"/>
      <c r="AM158" s="89"/>
      <c r="AN158" s="89"/>
      <c r="AO158" s="89"/>
      <c r="AP158" s="89"/>
      <c r="AQ158" s="96">
        <f t="shared" ref="AQ158:BQ158" si="231">AQ150/AQ151</f>
        <v>0.35758609145197329</v>
      </c>
      <c r="AR158" s="96">
        <f t="shared" si="231"/>
        <v>0.35638333544459433</v>
      </c>
      <c r="AS158" s="96">
        <f t="shared" si="231"/>
        <v>0.3528981663345328</v>
      </c>
      <c r="AT158" s="96">
        <f t="shared" si="231"/>
        <v>0.33868691527664002</v>
      </c>
      <c r="AU158" s="96">
        <f t="shared" si="231"/>
        <v>0.29927007299270075</v>
      </c>
      <c r="AV158" s="96">
        <f t="shared" si="231"/>
        <v>0.25714285714285712</v>
      </c>
      <c r="AW158" s="96">
        <f t="shared" si="231"/>
        <v>0.27152317880794702</v>
      </c>
      <c r="AX158" s="96">
        <f t="shared" si="231"/>
        <v>0.30538922155688625</v>
      </c>
      <c r="AY158" s="96">
        <f t="shared" si="231"/>
        <v>0.28994082840236685</v>
      </c>
      <c r="AZ158" s="96">
        <f t="shared" si="231"/>
        <v>0.30434782608695654</v>
      </c>
      <c r="BA158" s="96">
        <f t="shared" si="231"/>
        <v>0.28947368421052633</v>
      </c>
      <c r="BB158" s="96">
        <f t="shared" si="231"/>
        <v>0.29268292682926828</v>
      </c>
      <c r="BC158" s="96">
        <f t="shared" si="231"/>
        <v>0.29411764705882354</v>
      </c>
      <c r="BD158" s="96">
        <f t="shared" si="231"/>
        <v>0.32211538461538464</v>
      </c>
      <c r="BE158" s="96">
        <f t="shared" si="231"/>
        <v>0.30373831775700932</v>
      </c>
      <c r="BF158" s="96">
        <f t="shared" si="231"/>
        <v>0.28506787330316741</v>
      </c>
      <c r="BG158" s="96">
        <f t="shared" si="231"/>
        <v>0.2863070539419087</v>
      </c>
      <c r="BH158" s="96">
        <f t="shared" si="231"/>
        <v>0.28735632183908044</v>
      </c>
      <c r="BI158" s="96">
        <f t="shared" si="231"/>
        <v>0.28044280442804426</v>
      </c>
      <c r="BJ158" s="96">
        <f t="shared" si="231"/>
        <v>0.28421052631578947</v>
      </c>
      <c r="BK158" s="96">
        <f t="shared" si="231"/>
        <v>0.24731182795698925</v>
      </c>
      <c r="BL158" s="96">
        <f t="shared" si="231"/>
        <v>0.2709030100334448</v>
      </c>
      <c r="BM158" s="96">
        <f t="shared" si="231"/>
        <v>0.25412541254125415</v>
      </c>
      <c r="BN158" s="96">
        <f t="shared" si="231"/>
        <v>0.20766773162939298</v>
      </c>
      <c r="BO158" s="96">
        <f t="shared" si="231"/>
        <v>0.20756463256617513</v>
      </c>
      <c r="BP158" s="96">
        <f t="shared" si="231"/>
        <v>0.23165662606236467</v>
      </c>
      <c r="BQ158" s="96">
        <f t="shared" si="231"/>
        <v>0.22458237591101965</v>
      </c>
      <c r="BR158" s="85"/>
      <c r="BS158" s="85"/>
      <c r="BT158" s="85"/>
      <c r="BU158" s="87"/>
      <c r="BV158" s="87"/>
      <c r="CK158" s="96">
        <f t="shared" ref="CK158:CZ158" si="232">CK150/CK151</f>
        <v>0.35108137880135842</v>
      </c>
      <c r="CL158" s="96">
        <f t="shared" si="232"/>
        <v>0.2857142857142857</v>
      </c>
      <c r="CM158" s="96">
        <f t="shared" si="232"/>
        <v>0.21390374331550802</v>
      </c>
      <c r="CN158" s="96">
        <f t="shared" si="232"/>
        <v>0.22668240850059032</v>
      </c>
      <c r="CO158" s="96">
        <f t="shared" si="232"/>
        <v>0.28449905482041588</v>
      </c>
      <c r="CP158" s="96">
        <f t="shared" si="232"/>
        <v>0.24455611390284757</v>
      </c>
      <c r="CQ158" s="98">
        <f t="shared" si="232"/>
        <v>0.22467766532649386</v>
      </c>
      <c r="CR158" s="98">
        <f t="shared" si="232"/>
        <v>0.21601484793551923</v>
      </c>
      <c r="CS158" s="98">
        <f t="shared" si="232"/>
        <v>0.21461273793564048</v>
      </c>
      <c r="CT158" s="98">
        <f t="shared" si="232"/>
        <v>0.21319375775182758</v>
      </c>
      <c r="CU158" s="98">
        <f t="shared" si="232"/>
        <v>0.21175744670946942</v>
      </c>
      <c r="CV158" s="98">
        <f t="shared" si="232"/>
        <v>0.2103033236498271</v>
      </c>
      <c r="CW158" s="98">
        <f t="shared" si="232"/>
        <v>0.20735294648459648</v>
      </c>
      <c r="CX158" s="98">
        <f t="shared" si="232"/>
        <v>0.20143923478407808</v>
      </c>
      <c r="CY158" s="98">
        <f t="shared" si="232"/>
        <v>0.19264829917238405</v>
      </c>
      <c r="CZ158" s="98">
        <f t="shared" si="232"/>
        <v>0.18262777570319591</v>
      </c>
      <c r="DA158" s="98">
        <f t="shared" ref="DA158" si="233">DA150/DA151</f>
        <v>0.17695567174187851</v>
      </c>
      <c r="DB158" s="84"/>
      <c r="DC158" s="84"/>
      <c r="DD158" s="84"/>
      <c r="DE158" s="84"/>
      <c r="DF158" s="84"/>
      <c r="DG158" s="84"/>
      <c r="DH158" s="84"/>
      <c r="DI158" s="84"/>
      <c r="DJ158" s="84"/>
      <c r="DK158" s="84"/>
      <c r="DL158" s="84"/>
      <c r="DM158" s="84"/>
      <c r="DN158" s="84"/>
      <c r="DO158" s="84"/>
      <c r="DP158" s="84"/>
      <c r="DQ158" s="84"/>
    </row>
    <row r="159" spans="2:121" s="83" customFormat="1" ht="13.5" customHeight="1">
      <c r="B159" s="95"/>
      <c r="AA159" s="89"/>
      <c r="AB159" s="89"/>
      <c r="AC159" s="89"/>
      <c r="AD159" s="89"/>
      <c r="AE159" s="89"/>
      <c r="AF159" s="89"/>
      <c r="AG159" s="89"/>
      <c r="AH159" s="89"/>
      <c r="AI159" s="89"/>
      <c r="AJ159" s="89"/>
      <c r="AK159" s="89"/>
      <c r="AL159" s="89"/>
      <c r="AM159" s="89"/>
      <c r="AN159" s="89"/>
      <c r="AO159" s="89"/>
      <c r="AP159" s="89"/>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c r="BP159" s="96"/>
      <c r="BQ159" s="96"/>
      <c r="BR159" s="85"/>
      <c r="BS159" s="85"/>
      <c r="BT159" s="85"/>
      <c r="BU159" s="87"/>
      <c r="BV159" s="87"/>
      <c r="CK159" s="96"/>
      <c r="CL159" s="96"/>
      <c r="CM159" s="96"/>
      <c r="CN159" s="96"/>
      <c r="CO159" s="96"/>
      <c r="CP159" s="96"/>
      <c r="CQ159" s="84"/>
      <c r="CR159" s="84"/>
      <c r="CS159" s="84"/>
      <c r="CT159" s="84"/>
      <c r="CU159" s="84"/>
      <c r="CV159" s="84"/>
      <c r="CW159" s="84"/>
      <c r="CX159" s="84"/>
      <c r="CY159" s="84"/>
      <c r="CZ159" s="84"/>
      <c r="DA159" s="84"/>
      <c r="DB159" s="84"/>
      <c r="DC159" s="84"/>
      <c r="DD159" s="84"/>
      <c r="DE159" s="84"/>
      <c r="DF159" s="84"/>
      <c r="DG159" s="84"/>
      <c r="DH159" s="84"/>
      <c r="DI159" s="84"/>
      <c r="DJ159" s="84"/>
      <c r="DK159" s="84"/>
      <c r="DL159" s="84"/>
      <c r="DM159" s="84"/>
      <c r="DN159" s="84"/>
      <c r="DO159" s="84"/>
      <c r="DP159" s="84"/>
      <c r="DQ159" s="84"/>
    </row>
    <row r="160" spans="2:121" s="85" customFormat="1" ht="13.5" customHeight="1">
      <c r="B160" s="85" t="s">
        <v>81</v>
      </c>
      <c r="AA160" s="86">
        <v>39</v>
      </c>
      <c r="AB160" s="86">
        <v>42.3</v>
      </c>
      <c r="AC160" s="86">
        <v>50.4</v>
      </c>
      <c r="AD160" s="86">
        <v>54.4</v>
      </c>
      <c r="AE160" s="86">
        <v>57.9</v>
      </c>
      <c r="AF160" s="86">
        <v>65.099999999999994</v>
      </c>
      <c r="AG160" s="86">
        <v>67.2</v>
      </c>
      <c r="AH160" s="86">
        <v>73.099999999999994</v>
      </c>
      <c r="AI160" s="86">
        <v>73.2</v>
      </c>
      <c r="AJ160" s="86">
        <v>80.599999999999994</v>
      </c>
      <c r="AK160" s="86">
        <v>83.9</v>
      </c>
      <c r="AL160" s="86">
        <v>96.1</v>
      </c>
      <c r="AM160" s="86">
        <v>102.7</v>
      </c>
      <c r="AN160" s="86">
        <v>109.6</v>
      </c>
      <c r="AO160" s="86">
        <v>111.8</v>
      </c>
      <c r="AP160" s="86">
        <v>120.8</v>
      </c>
      <c r="AQ160" s="86">
        <f>AQ151</f>
        <v>128.43899999999999</v>
      </c>
      <c r="AR160" s="86">
        <f>AR151</f>
        <v>134.20099999999999</v>
      </c>
      <c r="AS160" s="86">
        <f>AS151</f>
        <v>139.50200000000001</v>
      </c>
      <c r="AT160" s="86">
        <f>AT151</f>
        <v>145.26100000000008</v>
      </c>
      <c r="AU160" s="86">
        <v>137.30000000000001</v>
      </c>
      <c r="AV160" s="86">
        <v>105.1</v>
      </c>
      <c r="AW160" s="86">
        <v>151.1</v>
      </c>
      <c r="AX160" s="86">
        <f>560.412-SUM(AU160:AW160)</f>
        <v>166.91200000000003</v>
      </c>
      <c r="AY160" s="86">
        <v>169.2</v>
      </c>
      <c r="AZ160" s="86">
        <v>184.3</v>
      </c>
      <c r="BA160" s="86">
        <v>190.1</v>
      </c>
      <c r="BB160" s="86">
        <f>747.59-SUM(AY160:BA160)</f>
        <v>203.99</v>
      </c>
      <c r="BC160" s="86">
        <v>203.9</v>
      </c>
      <c r="BD160" s="86">
        <v>208.3</v>
      </c>
      <c r="BE160" s="86">
        <v>213.7</v>
      </c>
      <c r="BF160" s="86">
        <f>847.133-SUM(BC160:BE160)</f>
        <v>221.23299999999995</v>
      </c>
      <c r="BG160" s="86">
        <v>241.4</v>
      </c>
      <c r="BH160" s="86">
        <v>261.5</v>
      </c>
      <c r="BI160" s="86">
        <v>270.89999999999998</v>
      </c>
      <c r="BJ160" s="86">
        <f>1058.52-SUM(BG160:BI160)</f>
        <v>284.72000000000003</v>
      </c>
      <c r="BK160" s="86">
        <v>278.7</v>
      </c>
      <c r="BL160" s="86">
        <v>299.39999999999998</v>
      </c>
      <c r="BM160" s="86">
        <v>301</v>
      </c>
      <c r="BN160" s="86">
        <f>1194.6-SUM(BK160:BM160)</f>
        <v>315.5</v>
      </c>
      <c r="BO160" s="86">
        <f>BO151</f>
        <v>324.14</v>
      </c>
      <c r="BP160" s="86">
        <f>BP151</f>
        <v>339.45499999999998</v>
      </c>
      <c r="BQ160" s="86">
        <f>BQ151</f>
        <v>354.685</v>
      </c>
      <c r="BR160" s="86">
        <f>BR140</f>
        <v>375.4853</v>
      </c>
      <c r="BS160" s="85">
        <v>386</v>
      </c>
      <c r="BT160" s="85">
        <v>397</v>
      </c>
      <c r="BU160" s="87">
        <v>409</v>
      </c>
      <c r="BV160" s="87">
        <v>416</v>
      </c>
      <c r="CG160" s="86">
        <f t="shared" ref="CG160:CG173" si="234">SUM(AA160:AD160)</f>
        <v>186.1</v>
      </c>
      <c r="CH160" s="86">
        <f t="shared" ref="CH160:CH173" si="235">SUM(AE160:AH160)</f>
        <v>263.29999999999995</v>
      </c>
      <c r="CI160" s="86">
        <f t="shared" ref="CI160:CI173" si="236">SUM(AI160:AL160)</f>
        <v>333.8</v>
      </c>
      <c r="CJ160" s="86">
        <f t="shared" ref="CJ160:CJ173" si="237">SUM(AM160:AP160)</f>
        <v>444.90000000000003</v>
      </c>
      <c r="CK160" s="86">
        <f>SUM(AQ160:AT160)</f>
        <v>547.40300000000002</v>
      </c>
      <c r="CL160" s="86">
        <f>SUM(AU160:AX160)</f>
        <v>560.41200000000003</v>
      </c>
      <c r="CM160" s="86">
        <f>SUM(AY160:BB160)</f>
        <v>747.59</v>
      </c>
      <c r="CN160" s="86">
        <f>SUM(BC160:BF160)</f>
        <v>847.13300000000004</v>
      </c>
      <c r="CO160" s="86">
        <f>SUM(BG160:BJ160)</f>
        <v>1058.52</v>
      </c>
      <c r="CP160" s="86">
        <f>SUM(BK160:BN160)</f>
        <v>1194.5999999999999</v>
      </c>
      <c r="CQ160" s="94">
        <f>CQ151</f>
        <v>1442.6</v>
      </c>
      <c r="CR160" s="94">
        <f t="shared" ref="CR160:CZ160" si="238">CR151</f>
        <v>1740.5247999999999</v>
      </c>
      <c r="CS160" s="94">
        <f t="shared" si="238"/>
        <v>2102.275216</v>
      </c>
      <c r="CT160" s="94">
        <f t="shared" si="238"/>
        <v>2497.1957566399997</v>
      </c>
      <c r="CU160" s="94">
        <f t="shared" si="238"/>
        <v>2916.3951697967996</v>
      </c>
      <c r="CV160" s="94">
        <f t="shared" si="238"/>
        <v>3347.6787613187998</v>
      </c>
      <c r="CW160" s="94">
        <f t="shared" si="238"/>
        <v>3768.7964408898979</v>
      </c>
      <c r="CX160" s="94">
        <f t="shared" si="238"/>
        <v>4189.7931719279186</v>
      </c>
      <c r="CY160" s="94">
        <f t="shared" si="238"/>
        <v>4600.0310970125875</v>
      </c>
      <c r="CZ160" s="94">
        <f t="shared" si="238"/>
        <v>4998.0010350252778</v>
      </c>
      <c r="DA160" s="94">
        <f t="shared" ref="DA160" si="239">DA151</f>
        <v>5261.3701446472369</v>
      </c>
      <c r="DB160" s="87"/>
      <c r="DC160" s="87"/>
      <c r="DD160" s="87"/>
      <c r="DE160" s="87"/>
      <c r="DF160" s="87"/>
      <c r="DG160" s="87"/>
      <c r="DH160" s="87"/>
      <c r="DI160" s="87"/>
      <c r="DJ160" s="87"/>
      <c r="DK160" s="87"/>
      <c r="DL160" s="87"/>
      <c r="DM160" s="87"/>
      <c r="DN160" s="87"/>
      <c r="DO160" s="87"/>
      <c r="DP160" s="87"/>
      <c r="DQ160" s="87"/>
    </row>
    <row r="161" spans="2:145" s="83" customFormat="1" ht="13.5" customHeight="1">
      <c r="B161" s="83" t="s">
        <v>22</v>
      </c>
      <c r="AA161" s="90">
        <v>12.2</v>
      </c>
      <c r="AB161" s="90">
        <v>14.9</v>
      </c>
      <c r="AC161" s="90">
        <v>16.899999999999999</v>
      </c>
      <c r="AD161" s="90">
        <v>18</v>
      </c>
      <c r="AE161" s="90">
        <v>18</v>
      </c>
      <c r="AF161" s="90">
        <v>23.6</v>
      </c>
      <c r="AG161" s="90">
        <v>24.3</v>
      </c>
      <c r="AH161" s="90">
        <v>26.5</v>
      </c>
      <c r="AI161" s="90">
        <v>25.5</v>
      </c>
      <c r="AJ161" s="90">
        <v>29.7</v>
      </c>
      <c r="AK161" s="90">
        <v>29.1</v>
      </c>
      <c r="AL161" s="90">
        <v>32.299999999999997</v>
      </c>
      <c r="AM161" s="90">
        <v>36.1</v>
      </c>
      <c r="AN161" s="90">
        <v>37.4</v>
      </c>
      <c r="AO161" s="90">
        <v>36.799999999999997</v>
      </c>
      <c r="AP161" s="90">
        <v>42.1</v>
      </c>
      <c r="AQ161" s="90">
        <v>44.529000000000003</v>
      </c>
      <c r="AR161" s="90">
        <v>40.273000000000003</v>
      </c>
      <c r="AS161" s="90">
        <v>43.503999999999998</v>
      </c>
      <c r="AT161" s="90">
        <f>175.441-SUM(AQ161:AS161)</f>
        <v>47.134999999999991</v>
      </c>
      <c r="AU161" s="90">
        <v>49.3</v>
      </c>
      <c r="AV161" s="90">
        <v>40.200000000000003</v>
      </c>
      <c r="AW161" s="90">
        <v>60.152999999999999</v>
      </c>
      <c r="AX161" s="90">
        <f>222.237-SUM(AU161:AW161)</f>
        <v>72.584000000000003</v>
      </c>
      <c r="AY161" s="90">
        <v>57.866999999999997</v>
      </c>
      <c r="AZ161" s="90">
        <v>65.599999999999994</v>
      </c>
      <c r="BA161" s="90">
        <v>70.2</v>
      </c>
      <c r="BB161" s="90">
        <f>272.208-SUM(AY161:BA161)</f>
        <v>78.541000000000054</v>
      </c>
      <c r="BC161" s="90">
        <v>76.5</v>
      </c>
      <c r="BD161" s="90">
        <v>74.3</v>
      </c>
      <c r="BE161" s="90">
        <v>78.400000000000006</v>
      </c>
      <c r="BF161" s="90">
        <f>311.926-SUM(BC161:BE161)</f>
        <v>82.725999999999971</v>
      </c>
      <c r="BG161" s="90">
        <v>90.3</v>
      </c>
      <c r="BH161" s="90">
        <v>94.6</v>
      </c>
      <c r="BI161" s="90">
        <v>93.2</v>
      </c>
      <c r="BJ161" s="90">
        <f>375.9-SUM(BG161:BI161)</f>
        <v>97.800000000000011</v>
      </c>
      <c r="BK161" s="90">
        <v>97.5</v>
      </c>
      <c r="BL161" s="90">
        <v>136.6</v>
      </c>
      <c r="BM161" s="90">
        <v>100.7</v>
      </c>
      <c r="BN161" s="90">
        <f>439.6-SUM(BK161:BM161)</f>
        <v>104.80000000000001</v>
      </c>
      <c r="BO161" s="90">
        <v>108.25700000000001</v>
      </c>
      <c r="BP161" s="90">
        <v>115.44499999999999</v>
      </c>
      <c r="BQ161" s="90">
        <v>114.26900000000001</v>
      </c>
      <c r="BR161" s="90">
        <f>BR160*(1-BR177)</f>
        <v>121.09400925</v>
      </c>
      <c r="BS161" s="90"/>
      <c r="BT161" s="90"/>
      <c r="BU161" s="91"/>
      <c r="BV161" s="91"/>
      <c r="CG161" s="90">
        <f t="shared" si="234"/>
        <v>62</v>
      </c>
      <c r="CH161" s="90">
        <f t="shared" si="235"/>
        <v>92.4</v>
      </c>
      <c r="CI161" s="90">
        <f t="shared" si="236"/>
        <v>116.60000000000001</v>
      </c>
      <c r="CJ161" s="90">
        <f t="shared" si="237"/>
        <v>152.4</v>
      </c>
      <c r="CK161" s="90">
        <f>SUM(AQ161:AT161)</f>
        <v>175.441</v>
      </c>
      <c r="CL161" s="90">
        <f>SUM(AU161:AX161)</f>
        <v>222.23699999999999</v>
      </c>
      <c r="CM161" s="90">
        <f>SUM(AY161:BB161)</f>
        <v>272.20800000000003</v>
      </c>
      <c r="CN161" s="90">
        <f>SUM(BC161:BF161)</f>
        <v>311.92599999999999</v>
      </c>
      <c r="CO161" s="90">
        <f>SUM(BG161:BJ161)</f>
        <v>375.9</v>
      </c>
      <c r="CP161" s="90">
        <f>SUM(BK161:BN161)</f>
        <v>439.6</v>
      </c>
      <c r="CQ161" s="91">
        <f>CQ160*(1-CQ177)</f>
        <v>477.50059999999991</v>
      </c>
      <c r="CR161" s="91">
        <f t="shared" ref="CR161:CZ161" si="240">CR160*(1-CR177)</f>
        <v>556.9679359999999</v>
      </c>
      <c r="CS161" s="91">
        <f t="shared" si="240"/>
        <v>693.75082127999997</v>
      </c>
      <c r="CT161" s="91">
        <f t="shared" si="240"/>
        <v>786.61666334159975</v>
      </c>
      <c r="CU161" s="91">
        <f t="shared" si="240"/>
        <v>889.50052678802399</v>
      </c>
      <c r="CV161" s="91">
        <f t="shared" si="240"/>
        <v>1004.3036283956401</v>
      </c>
      <c r="CW161" s="91">
        <f t="shared" si="240"/>
        <v>1111.79495006252</v>
      </c>
      <c r="CX161" s="91">
        <f t="shared" si="240"/>
        <v>1235.9889857187361</v>
      </c>
      <c r="CY161" s="91">
        <f t="shared" si="240"/>
        <v>1357.0091736187135</v>
      </c>
      <c r="CZ161" s="91">
        <f t="shared" si="240"/>
        <v>1474.4103053324573</v>
      </c>
      <c r="DA161" s="91">
        <f t="shared" ref="DA161" si="241">DA160*(1-DA177)</f>
        <v>1552.1041926709352</v>
      </c>
      <c r="DB161" s="91"/>
      <c r="DC161" s="91"/>
      <c r="DD161" s="91"/>
      <c r="DE161" s="91"/>
      <c r="DF161" s="91"/>
      <c r="DG161" s="91"/>
      <c r="DH161" s="91"/>
      <c r="DI161" s="91"/>
      <c r="DJ161" s="91"/>
      <c r="DK161" s="91"/>
      <c r="DL161" s="91"/>
      <c r="DM161" s="91"/>
      <c r="DN161" s="91"/>
      <c r="DO161" s="91"/>
      <c r="DP161" s="91"/>
      <c r="DQ161" s="91"/>
    </row>
    <row r="162" spans="2:145" s="83" customFormat="1" ht="13.5" customHeight="1">
      <c r="B162" s="83" t="s">
        <v>96</v>
      </c>
      <c r="AA162" s="89">
        <f t="shared" ref="AA162:BL162" si="242">AA160-AA161</f>
        <v>26.8</v>
      </c>
      <c r="AB162" s="89">
        <f t="shared" si="242"/>
        <v>27.4</v>
      </c>
      <c r="AC162" s="89">
        <f t="shared" si="242"/>
        <v>33.5</v>
      </c>
      <c r="AD162" s="89">
        <f t="shared" si="242"/>
        <v>36.4</v>
      </c>
      <c r="AE162" s="89">
        <f t="shared" si="242"/>
        <v>39.9</v>
      </c>
      <c r="AF162" s="89">
        <f t="shared" si="242"/>
        <v>41.499999999999993</v>
      </c>
      <c r="AG162" s="89">
        <f t="shared" si="242"/>
        <v>42.900000000000006</v>
      </c>
      <c r="AH162" s="89">
        <f t="shared" si="242"/>
        <v>46.599999999999994</v>
      </c>
      <c r="AI162" s="89">
        <f t="shared" si="242"/>
        <v>47.7</v>
      </c>
      <c r="AJ162" s="89">
        <f t="shared" si="242"/>
        <v>50.899999999999991</v>
      </c>
      <c r="AK162" s="89">
        <f t="shared" si="242"/>
        <v>54.800000000000004</v>
      </c>
      <c r="AL162" s="89">
        <f t="shared" si="242"/>
        <v>63.8</v>
      </c>
      <c r="AM162" s="89">
        <f t="shared" si="242"/>
        <v>66.599999999999994</v>
      </c>
      <c r="AN162" s="89">
        <f t="shared" si="242"/>
        <v>72.199999999999989</v>
      </c>
      <c r="AO162" s="89">
        <f t="shared" si="242"/>
        <v>75</v>
      </c>
      <c r="AP162" s="89">
        <f t="shared" si="242"/>
        <v>78.699999999999989</v>
      </c>
      <c r="AQ162" s="90">
        <f t="shared" si="242"/>
        <v>83.91</v>
      </c>
      <c r="AR162" s="90">
        <f t="shared" si="242"/>
        <v>93.927999999999997</v>
      </c>
      <c r="AS162" s="90">
        <f t="shared" si="242"/>
        <v>95.998000000000019</v>
      </c>
      <c r="AT162" s="90">
        <f t="shared" si="242"/>
        <v>98.12600000000009</v>
      </c>
      <c r="AU162" s="90">
        <f t="shared" si="242"/>
        <v>88.000000000000014</v>
      </c>
      <c r="AV162" s="90">
        <f t="shared" si="242"/>
        <v>64.899999999999991</v>
      </c>
      <c r="AW162" s="90">
        <f t="shared" si="242"/>
        <v>90.947000000000003</v>
      </c>
      <c r="AX162" s="90">
        <f>AX160-AX161</f>
        <v>94.328000000000031</v>
      </c>
      <c r="AY162" s="90">
        <f t="shared" si="242"/>
        <v>111.333</v>
      </c>
      <c r="AZ162" s="90">
        <f t="shared" si="242"/>
        <v>118.70000000000002</v>
      </c>
      <c r="BA162" s="90">
        <f t="shared" si="242"/>
        <v>119.89999999999999</v>
      </c>
      <c r="BB162" s="90">
        <f t="shared" si="242"/>
        <v>125.44899999999996</v>
      </c>
      <c r="BC162" s="90">
        <f t="shared" si="242"/>
        <v>127.4</v>
      </c>
      <c r="BD162" s="90">
        <f t="shared" si="242"/>
        <v>134</v>
      </c>
      <c r="BE162" s="90">
        <f t="shared" si="242"/>
        <v>135.29999999999998</v>
      </c>
      <c r="BF162" s="90">
        <f t="shared" si="242"/>
        <v>138.50699999999998</v>
      </c>
      <c r="BG162" s="90">
        <f t="shared" si="242"/>
        <v>151.10000000000002</v>
      </c>
      <c r="BH162" s="90">
        <f t="shared" si="242"/>
        <v>166.9</v>
      </c>
      <c r="BI162" s="90">
        <f t="shared" si="242"/>
        <v>177.7</v>
      </c>
      <c r="BJ162" s="90">
        <f t="shared" si="242"/>
        <v>186.92000000000002</v>
      </c>
      <c r="BK162" s="90">
        <f t="shared" si="242"/>
        <v>181.2</v>
      </c>
      <c r="BL162" s="90">
        <f t="shared" si="242"/>
        <v>162.79999999999998</v>
      </c>
      <c r="BM162" s="90">
        <f>BM160-BM161</f>
        <v>200.3</v>
      </c>
      <c r="BN162" s="90">
        <f t="shared" ref="BN162" si="243">BN160-BN161</f>
        <v>210.7</v>
      </c>
      <c r="BO162" s="90">
        <f>BO160-BO161</f>
        <v>215.88299999999998</v>
      </c>
      <c r="BP162" s="90">
        <f>BP160-BP161</f>
        <v>224.01</v>
      </c>
      <c r="BQ162" s="90">
        <f>BQ160-BQ161</f>
        <v>240.416</v>
      </c>
      <c r="BR162" s="90">
        <f>BR160-BR161</f>
        <v>254.39129075</v>
      </c>
      <c r="BS162" s="90"/>
      <c r="BT162" s="90"/>
      <c r="BU162" s="91"/>
      <c r="BV162" s="91"/>
      <c r="CG162" s="90">
        <f t="shared" si="234"/>
        <v>124.1</v>
      </c>
      <c r="CH162" s="90">
        <f t="shared" si="235"/>
        <v>170.89999999999998</v>
      </c>
      <c r="CI162" s="90">
        <f t="shared" si="236"/>
        <v>217.2</v>
      </c>
      <c r="CJ162" s="90">
        <f t="shared" si="237"/>
        <v>292.5</v>
      </c>
      <c r="CK162" s="90">
        <f t="shared" ref="CK162:CO162" si="244">CK160-CK161</f>
        <v>371.96199999999999</v>
      </c>
      <c r="CL162" s="90">
        <f t="shared" si="244"/>
        <v>338.17500000000007</v>
      </c>
      <c r="CM162" s="90">
        <f t="shared" si="244"/>
        <v>475.38200000000001</v>
      </c>
      <c r="CN162" s="90">
        <f t="shared" si="244"/>
        <v>535.20700000000011</v>
      </c>
      <c r="CO162" s="90">
        <f t="shared" si="244"/>
        <v>682.62</v>
      </c>
      <c r="CP162" s="90">
        <f>CP160-CP161</f>
        <v>754.99999999999989</v>
      </c>
      <c r="CQ162" s="91">
        <f t="shared" ref="CQ162:CZ162" si="245">CQ160-CQ161</f>
        <v>965.09940000000006</v>
      </c>
      <c r="CR162" s="91">
        <f t="shared" si="245"/>
        <v>1183.5568640000001</v>
      </c>
      <c r="CS162" s="91">
        <f t="shared" si="245"/>
        <v>1408.5243947200001</v>
      </c>
      <c r="CT162" s="91">
        <f t="shared" si="245"/>
        <v>1710.5790932984</v>
      </c>
      <c r="CU162" s="91">
        <f t="shared" si="245"/>
        <v>2026.8946430087756</v>
      </c>
      <c r="CV162" s="91">
        <f t="shared" si="245"/>
        <v>2343.37513292316</v>
      </c>
      <c r="CW162" s="91">
        <f t="shared" si="245"/>
        <v>2657.0014908273779</v>
      </c>
      <c r="CX162" s="91">
        <f t="shared" si="245"/>
        <v>2953.8041862091823</v>
      </c>
      <c r="CY162" s="91">
        <f t="shared" si="245"/>
        <v>3243.0219233938742</v>
      </c>
      <c r="CZ162" s="91">
        <f t="shared" si="245"/>
        <v>3523.5907296928208</v>
      </c>
      <c r="DA162" s="91">
        <f t="shared" ref="DA162" si="246">DA160-DA161</f>
        <v>3709.2659519763019</v>
      </c>
      <c r="DB162" s="91"/>
      <c r="DC162" s="91"/>
      <c r="DD162" s="91"/>
      <c r="DE162" s="91"/>
      <c r="DF162" s="91"/>
      <c r="DG162" s="91"/>
      <c r="DH162" s="91"/>
      <c r="DI162" s="91"/>
      <c r="DJ162" s="91"/>
      <c r="DK162" s="91"/>
      <c r="DL162" s="91"/>
      <c r="DM162" s="91"/>
      <c r="DN162" s="91"/>
      <c r="DO162" s="91"/>
      <c r="DP162" s="91"/>
      <c r="DQ162" s="91"/>
    </row>
    <row r="163" spans="2:145" s="83" customFormat="1" ht="13.5" customHeight="1">
      <c r="B163" s="83" t="s">
        <v>2427</v>
      </c>
      <c r="AA163" s="90">
        <v>3.2</v>
      </c>
      <c r="AB163" s="90">
        <v>4.8</v>
      </c>
      <c r="AC163" s="90">
        <v>4.5999999999999996</v>
      </c>
      <c r="AD163" s="90">
        <v>5.5</v>
      </c>
      <c r="AE163" s="90">
        <v>5</v>
      </c>
      <c r="AF163" s="90">
        <v>6.3</v>
      </c>
      <c r="AG163" s="90">
        <v>6.5</v>
      </c>
      <c r="AH163" s="90">
        <v>6.1</v>
      </c>
      <c r="AI163" s="90">
        <v>7</v>
      </c>
      <c r="AJ163" s="90">
        <v>8.1</v>
      </c>
      <c r="AK163" s="90">
        <v>8.1</v>
      </c>
      <c r="AL163" s="90">
        <v>8.4</v>
      </c>
      <c r="AM163" s="90">
        <v>8</v>
      </c>
      <c r="AN163" s="90">
        <v>8.1999999999999993</v>
      </c>
      <c r="AO163" s="90">
        <v>39.9</v>
      </c>
      <c r="AP163" s="90">
        <v>10.9</v>
      </c>
      <c r="AQ163" s="90">
        <v>11.667</v>
      </c>
      <c r="AR163" s="90">
        <v>13.462</v>
      </c>
      <c r="AS163" s="90">
        <v>13.733000000000001</v>
      </c>
      <c r="AT163" s="90">
        <f>51.723-SUM(AQ163:AS163)</f>
        <v>12.861000000000004</v>
      </c>
      <c r="AU163" s="90">
        <v>12.946</v>
      </c>
      <c r="AV163" s="90">
        <v>22.725000000000001</v>
      </c>
      <c r="AW163" s="90">
        <v>34.923000000000002</v>
      </c>
      <c r="AX163" s="90">
        <f>90.049-SUM(AU163:AW163)</f>
        <v>19.455000000000013</v>
      </c>
      <c r="AY163" s="90">
        <v>18.076000000000001</v>
      </c>
      <c r="AZ163" s="90">
        <v>17.738</v>
      </c>
      <c r="BA163" s="90">
        <v>16.73</v>
      </c>
      <c r="BB163" s="90">
        <f>104.552-SUM(AY163:BA163)</f>
        <v>52.00800000000001</v>
      </c>
      <c r="BC163" s="90">
        <v>20.56</v>
      </c>
      <c r="BD163" s="90">
        <v>19.559000000000001</v>
      </c>
      <c r="BE163" s="90">
        <v>21.32</v>
      </c>
      <c r="BF163" s="90">
        <f>79.407-SUM(BC163:BE163)</f>
        <v>17.967999999999996</v>
      </c>
      <c r="BG163" s="90">
        <v>19.98</v>
      </c>
      <c r="BH163" s="90">
        <v>21.5</v>
      </c>
      <c r="BI163" s="90">
        <v>21</v>
      </c>
      <c r="BJ163" s="90">
        <f>84.4-SUM(BG163:BI163)</f>
        <v>21.92</v>
      </c>
      <c r="BK163" s="90">
        <v>24.6</v>
      </c>
      <c r="BL163" s="90">
        <v>24.9</v>
      </c>
      <c r="BM163" s="90">
        <v>25.2</v>
      </c>
      <c r="BN163" s="90">
        <f>94.8-SUM(BK163:BM163)</f>
        <v>20.099999999999994</v>
      </c>
      <c r="BO163" s="90">
        <v>22.077000000000002</v>
      </c>
      <c r="BP163" s="90">
        <v>23.218</v>
      </c>
      <c r="BQ163" s="90">
        <v>22.677</v>
      </c>
      <c r="BR163" s="90">
        <f>BR160*BR178</f>
        <v>26.283971000000001</v>
      </c>
      <c r="BS163" s="90"/>
      <c r="BT163" s="90"/>
      <c r="BU163" s="91"/>
      <c r="BV163" s="91"/>
      <c r="CG163" s="90">
        <f t="shared" si="234"/>
        <v>18.100000000000001</v>
      </c>
      <c r="CH163" s="90">
        <f t="shared" si="235"/>
        <v>23.9</v>
      </c>
      <c r="CI163" s="90">
        <f t="shared" si="236"/>
        <v>31.6</v>
      </c>
      <c r="CJ163" s="90">
        <f t="shared" si="237"/>
        <v>67</v>
      </c>
      <c r="CK163" s="90">
        <f>SUM(AQ163:AT163)</f>
        <v>51.722999999999999</v>
      </c>
      <c r="CL163" s="90">
        <f>SUM(AU163:AX163)</f>
        <v>90.049000000000007</v>
      </c>
      <c r="CM163" s="90">
        <f>SUM(AY163:BB163)</f>
        <v>104.55200000000001</v>
      </c>
      <c r="CN163" s="90">
        <f>SUM(BC163:BF163)</f>
        <v>79.406999999999996</v>
      </c>
      <c r="CO163" s="90">
        <f>SUM(BG163:BJ163)</f>
        <v>84.4</v>
      </c>
      <c r="CP163" s="90">
        <f>SUM(BK163:BN163)</f>
        <v>94.8</v>
      </c>
      <c r="CQ163" s="91">
        <f t="shared" ref="CQ163:CZ163" si="247">CQ160*CQ178</f>
        <v>103.86719999999998</v>
      </c>
      <c r="CR163" s="91">
        <f t="shared" si="247"/>
        <v>121.836736</v>
      </c>
      <c r="CS163" s="91">
        <f t="shared" si="247"/>
        <v>145.05698990400001</v>
      </c>
      <c r="CT163" s="91">
        <f t="shared" si="247"/>
        <v>169.80931145151999</v>
      </c>
      <c r="CU163" s="91">
        <f t="shared" si="247"/>
        <v>195.39847637638559</v>
      </c>
      <c r="CV163" s="91">
        <f t="shared" si="247"/>
        <v>220.94679824704079</v>
      </c>
      <c r="CW163" s="91">
        <f t="shared" si="247"/>
        <v>244.97176865784337</v>
      </c>
      <c r="CX163" s="91">
        <f t="shared" si="247"/>
        <v>272.33655617531474</v>
      </c>
      <c r="CY163" s="91">
        <f t="shared" si="247"/>
        <v>299.00202130581818</v>
      </c>
      <c r="CZ163" s="91">
        <f t="shared" si="247"/>
        <v>324.87006727664306</v>
      </c>
      <c r="DA163" s="91">
        <f t="shared" ref="DA163" si="248">DA160*DA178</f>
        <v>341.98905940207038</v>
      </c>
      <c r="DB163" s="91"/>
      <c r="DC163" s="91"/>
      <c r="DD163" s="91"/>
      <c r="DE163" s="91"/>
      <c r="DF163" s="91"/>
      <c r="DG163" s="91"/>
      <c r="DH163" s="91"/>
      <c r="DI163" s="91"/>
      <c r="DJ163" s="91"/>
      <c r="DK163" s="91"/>
      <c r="DL163" s="91"/>
      <c r="DM163" s="91"/>
      <c r="DN163" s="91"/>
      <c r="DO163" s="91"/>
      <c r="DP163" s="91"/>
      <c r="DQ163" s="91"/>
    </row>
    <row r="164" spans="2:145" s="83" customFormat="1" ht="13.5" customHeight="1">
      <c r="B164" s="83" t="s">
        <v>2428</v>
      </c>
      <c r="AA164" s="90">
        <v>19.5</v>
      </c>
      <c r="AB164" s="90">
        <v>26.4</v>
      </c>
      <c r="AC164" s="90">
        <v>26.8</v>
      </c>
      <c r="AD164" s="90">
        <v>29.2</v>
      </c>
      <c r="AE164" s="90">
        <v>33.1</v>
      </c>
      <c r="AF164" s="90">
        <v>35.9</v>
      </c>
      <c r="AG164" s="90">
        <v>37.700000000000003</v>
      </c>
      <c r="AH164" s="90">
        <v>41.6</v>
      </c>
      <c r="AI164" s="90">
        <v>42.7</v>
      </c>
      <c r="AJ164" s="90">
        <v>44.2</v>
      </c>
      <c r="AK164" s="90">
        <v>46</v>
      </c>
      <c r="AL164" s="90">
        <v>51.5</v>
      </c>
      <c r="AM164" s="90">
        <v>54.5</v>
      </c>
      <c r="AN164" s="90">
        <v>54.8</v>
      </c>
      <c r="AO164" s="90">
        <v>55.9</v>
      </c>
      <c r="AP164" s="90">
        <v>61.2</v>
      </c>
      <c r="AQ164" s="90">
        <v>61.091000000000001</v>
      </c>
      <c r="AR164" s="90">
        <v>67.665000000000006</v>
      </c>
      <c r="AS164" s="90">
        <v>69.289000000000001</v>
      </c>
      <c r="AT164" s="90">
        <f>272.733-SUM(AQ164:AS164)</f>
        <v>74.687999999999988</v>
      </c>
      <c r="AU164" s="90">
        <v>74.453000000000003</v>
      </c>
      <c r="AV164" s="90">
        <v>59.8</v>
      </c>
      <c r="AW164" s="90">
        <v>76.2</v>
      </c>
      <c r="AX164" s="90">
        <f>287.068-SUM(AU164:AW164)</f>
        <v>76.615000000000009</v>
      </c>
      <c r="AY164" s="90">
        <v>79.798000000000002</v>
      </c>
      <c r="AZ164" s="90">
        <v>90.63</v>
      </c>
      <c r="BA164" s="90">
        <v>94.397000000000006</v>
      </c>
      <c r="BB164" s="90">
        <f>378.331-SUM(AY164:BA164)</f>
        <v>113.50600000000003</v>
      </c>
      <c r="BC164" s="90">
        <v>110.9</v>
      </c>
      <c r="BD164" s="90">
        <v>114.61499999999999</v>
      </c>
      <c r="BE164" s="90">
        <v>108.57</v>
      </c>
      <c r="BF164" s="90">
        <f>449.718-SUM(BC164:BE164)</f>
        <v>115.63300000000004</v>
      </c>
      <c r="BG164" s="90">
        <v>123.07</v>
      </c>
      <c r="BH164" s="90">
        <v>127.4</v>
      </c>
      <c r="BI164" s="90">
        <v>125.9</v>
      </c>
      <c r="BJ164" s="90">
        <f>506.4-SUM(BG164:BI164)</f>
        <v>130.02999999999997</v>
      </c>
      <c r="BK164" s="90">
        <v>144.4</v>
      </c>
      <c r="BL164" s="90">
        <v>141.9</v>
      </c>
      <c r="BM164" s="90">
        <v>139.69999999999999</v>
      </c>
      <c r="BN164" s="90">
        <f>574-SUM(BK164:BM164)</f>
        <v>148</v>
      </c>
      <c r="BO164" s="90">
        <v>153.45599999999999</v>
      </c>
      <c r="BP164" s="90">
        <v>159.964</v>
      </c>
      <c r="BQ164" s="90">
        <v>168.90100000000001</v>
      </c>
      <c r="BR164" s="90">
        <f>BR160*BR179</f>
        <v>175.72712040000002</v>
      </c>
      <c r="BS164" s="90"/>
      <c r="BT164" s="90"/>
      <c r="BU164" s="91"/>
      <c r="BV164" s="91"/>
      <c r="CG164" s="90">
        <f t="shared" si="234"/>
        <v>101.9</v>
      </c>
      <c r="CH164" s="90">
        <f t="shared" si="235"/>
        <v>148.30000000000001</v>
      </c>
      <c r="CI164" s="90">
        <f t="shared" si="236"/>
        <v>184.4</v>
      </c>
      <c r="CJ164" s="90">
        <f t="shared" si="237"/>
        <v>226.39999999999998</v>
      </c>
      <c r="CK164" s="90">
        <f>SUM(AQ164:AT164)</f>
        <v>272.733</v>
      </c>
      <c r="CL164" s="90">
        <f>SUM(AU164:AX164)</f>
        <v>287.06799999999998</v>
      </c>
      <c r="CM164" s="90">
        <f>SUM(AY164:BB164)</f>
        <v>378.33100000000002</v>
      </c>
      <c r="CN164" s="90">
        <f>SUM(BC164:BF164)</f>
        <v>449.71800000000002</v>
      </c>
      <c r="CO164" s="90">
        <f>SUM(BG164:BJ164)</f>
        <v>506.4</v>
      </c>
      <c r="CP164" s="90">
        <f>SUM(BK164:BN164)</f>
        <v>574</v>
      </c>
      <c r="CQ164" s="91">
        <f t="shared" ref="CQ164:CZ164" si="249">CQ160*CQ179</f>
        <v>656.38299999999992</v>
      </c>
      <c r="CR164" s="91">
        <f t="shared" si="249"/>
        <v>787.58747199999993</v>
      </c>
      <c r="CS164" s="91">
        <f t="shared" si="249"/>
        <v>937.61474633600005</v>
      </c>
      <c r="CT164" s="91">
        <f t="shared" si="249"/>
        <v>1096.2689371649599</v>
      </c>
      <c r="CU164" s="91">
        <f t="shared" si="249"/>
        <v>1268.6318988616079</v>
      </c>
      <c r="CV164" s="91">
        <f t="shared" si="249"/>
        <v>1447.8710642703809</v>
      </c>
      <c r="CW164" s="91">
        <f t="shared" si="249"/>
        <v>1613.0448767008763</v>
      </c>
      <c r="CX164" s="91">
        <f t="shared" si="249"/>
        <v>1780.6620980693654</v>
      </c>
      <c r="CY164" s="91">
        <f t="shared" si="249"/>
        <v>1932.0130607452866</v>
      </c>
      <c r="CZ164" s="91">
        <f t="shared" si="249"/>
        <v>2049.1804243603638</v>
      </c>
      <c r="DA164" s="91">
        <f t="shared" ref="DA164" si="250">DA160*DA179</f>
        <v>2157.161759305367</v>
      </c>
      <c r="DB164" s="91"/>
      <c r="DC164" s="91"/>
      <c r="DD164" s="91"/>
      <c r="DE164" s="91"/>
      <c r="DF164" s="91"/>
      <c r="DG164" s="91"/>
      <c r="DH164" s="91"/>
      <c r="DI164" s="91"/>
      <c r="DJ164" s="91"/>
      <c r="DK164" s="91"/>
      <c r="DL164" s="91"/>
      <c r="DM164" s="91"/>
      <c r="DN164" s="91"/>
      <c r="DO164" s="91"/>
      <c r="DP164" s="91"/>
      <c r="DQ164" s="91"/>
    </row>
    <row r="165" spans="2:145" s="83" customFormat="1" ht="13.5" customHeight="1">
      <c r="B165" s="83" t="s">
        <v>2429</v>
      </c>
      <c r="AA165" s="90">
        <v>0</v>
      </c>
      <c r="AB165" s="90">
        <v>0</v>
      </c>
      <c r="AC165" s="90">
        <v>0</v>
      </c>
      <c r="AD165" s="90">
        <v>0</v>
      </c>
      <c r="AE165" s="90">
        <v>0</v>
      </c>
      <c r="AF165" s="90">
        <v>0</v>
      </c>
      <c r="AG165" s="90">
        <v>0</v>
      </c>
      <c r="AH165" s="90">
        <v>0</v>
      </c>
      <c r="AI165" s="90">
        <v>0</v>
      </c>
      <c r="AJ165" s="90">
        <v>0</v>
      </c>
      <c r="AK165" s="90">
        <v>0</v>
      </c>
      <c r="AL165" s="90">
        <v>0</v>
      </c>
      <c r="AM165" s="90">
        <v>0</v>
      </c>
      <c r="AN165" s="90">
        <v>0</v>
      </c>
      <c r="AO165" s="90">
        <v>0</v>
      </c>
      <c r="AP165" s="90">
        <v>0</v>
      </c>
      <c r="AQ165" s="90">
        <v>0</v>
      </c>
      <c r="AR165" s="90">
        <v>0</v>
      </c>
      <c r="AS165" s="90">
        <v>0</v>
      </c>
      <c r="AT165" s="90">
        <f>0-SUM(AQ165:AS165)</f>
        <v>0</v>
      </c>
      <c r="AU165" s="90">
        <v>0</v>
      </c>
      <c r="AV165" s="90">
        <v>0</v>
      </c>
      <c r="AW165" s="90">
        <v>0</v>
      </c>
      <c r="AX165" s="90">
        <f>0-SUM(AU165:AW165)</f>
        <v>0</v>
      </c>
      <c r="AY165" s="90">
        <v>0</v>
      </c>
      <c r="AZ165" s="90">
        <v>0</v>
      </c>
      <c r="BA165" s="90">
        <v>0</v>
      </c>
      <c r="BB165" s="90">
        <f>0-SUM(AY165:BA165)</f>
        <v>0</v>
      </c>
      <c r="BC165" s="90">
        <v>0</v>
      </c>
      <c r="BD165" s="90">
        <v>0</v>
      </c>
      <c r="BE165" s="90">
        <v>0</v>
      </c>
      <c r="BF165" s="90">
        <f>0-SUM(BC165:BE165)</f>
        <v>0</v>
      </c>
      <c r="BG165" s="90">
        <v>0</v>
      </c>
      <c r="BH165" s="90">
        <v>0</v>
      </c>
      <c r="BI165" s="90">
        <v>18.2</v>
      </c>
      <c r="BJ165" s="90">
        <f>18.2-SUM(BG165:BI165)</f>
        <v>0</v>
      </c>
      <c r="BK165" s="90">
        <v>0</v>
      </c>
      <c r="BL165" s="90">
        <v>0</v>
      </c>
      <c r="BM165" s="90">
        <v>0</v>
      </c>
      <c r="BN165" s="90">
        <f>0-SUM(BK165:BM165)</f>
        <v>0</v>
      </c>
      <c r="BO165" s="90">
        <v>0</v>
      </c>
      <c r="BP165" s="90">
        <v>0</v>
      </c>
      <c r="BQ165" s="90">
        <v>0</v>
      </c>
      <c r="BR165" s="90">
        <v>0</v>
      </c>
      <c r="BS165" s="90"/>
      <c r="BT165" s="90"/>
      <c r="BU165" s="91"/>
      <c r="BV165" s="91"/>
      <c r="CG165" s="90">
        <f t="shared" si="234"/>
        <v>0</v>
      </c>
      <c r="CH165" s="90">
        <f t="shared" si="235"/>
        <v>0</v>
      </c>
      <c r="CI165" s="90">
        <f t="shared" si="236"/>
        <v>0</v>
      </c>
      <c r="CJ165" s="90">
        <f t="shared" si="237"/>
        <v>0</v>
      </c>
      <c r="CK165" s="90">
        <f>SUM(AQ165:AT165)</f>
        <v>0</v>
      </c>
      <c r="CL165" s="90">
        <f>SUM(AU165:AX165)</f>
        <v>0</v>
      </c>
      <c r="CM165" s="90">
        <f>SUM(AY165:BB165)</f>
        <v>0</v>
      </c>
      <c r="CN165" s="90">
        <f>SUM(BC165:BF165)</f>
        <v>0</v>
      </c>
      <c r="CO165" s="90">
        <f>SUM(BG165:BJ165)</f>
        <v>18.2</v>
      </c>
      <c r="CP165" s="90">
        <f>SUM(BK165:BN165)</f>
        <v>0</v>
      </c>
      <c r="CQ165" s="91">
        <v>0</v>
      </c>
      <c r="CR165" s="91">
        <v>0</v>
      </c>
      <c r="CS165" s="91">
        <v>0</v>
      </c>
      <c r="CT165" s="91">
        <v>0</v>
      </c>
      <c r="CU165" s="91">
        <v>0</v>
      </c>
      <c r="CV165" s="91">
        <v>0</v>
      </c>
      <c r="CW165" s="91">
        <v>0</v>
      </c>
      <c r="CX165" s="91">
        <v>0</v>
      </c>
      <c r="CY165" s="91">
        <v>0</v>
      </c>
      <c r="CZ165" s="91">
        <v>0</v>
      </c>
      <c r="DA165" s="91">
        <v>0</v>
      </c>
      <c r="DB165" s="91"/>
      <c r="DC165" s="91"/>
      <c r="DD165" s="91"/>
      <c r="DE165" s="91"/>
      <c r="DF165" s="91"/>
      <c r="DG165" s="91"/>
      <c r="DH165" s="91"/>
      <c r="DI165" s="91"/>
      <c r="DJ165" s="91"/>
      <c r="DK165" s="91"/>
      <c r="DL165" s="91"/>
      <c r="DM165" s="91"/>
      <c r="DN165" s="91"/>
      <c r="DO165" s="91"/>
      <c r="DP165" s="91"/>
      <c r="DQ165" s="91"/>
    </row>
    <row r="166" spans="2:145" s="83" customFormat="1" ht="13.5" customHeight="1">
      <c r="B166" s="83" t="s">
        <v>2430</v>
      </c>
      <c r="AA166" s="90">
        <v>0.1</v>
      </c>
      <c r="AB166" s="90">
        <f>31.2-SUM(AB163:AB165)</f>
        <v>0</v>
      </c>
      <c r="AC166" s="90">
        <f>31.3-SUM(AC163:AC165)</f>
        <v>-9.9999999999997868E-2</v>
      </c>
      <c r="AD166" s="90">
        <f>34.6-SUM(AD163:AD165)</f>
        <v>-0.10000000000000142</v>
      </c>
      <c r="AE166" s="90">
        <f>38.1-SUM(AE163:AE165)</f>
        <v>0</v>
      </c>
      <c r="AF166" s="90">
        <v>0</v>
      </c>
      <c r="AG166" s="90">
        <v>0.1</v>
      </c>
      <c r="AH166" s="90">
        <v>0.1</v>
      </c>
      <c r="AI166" s="90">
        <v>0</v>
      </c>
      <c r="AJ166" s="90">
        <v>-0.1</v>
      </c>
      <c r="AK166" s="90">
        <v>0</v>
      </c>
      <c r="AL166" s="90">
        <v>0</v>
      </c>
      <c r="AM166" s="90">
        <v>0.1</v>
      </c>
      <c r="AN166" s="90">
        <v>-0.1</v>
      </c>
      <c r="AO166" s="90">
        <v>0</v>
      </c>
      <c r="AP166" s="90">
        <v>-0.1</v>
      </c>
      <c r="AQ166" s="90">
        <v>0</v>
      </c>
      <c r="AR166" s="90">
        <v>0</v>
      </c>
      <c r="AS166" s="90">
        <v>0</v>
      </c>
      <c r="AT166" s="90">
        <f>0-SUM(AQ166:AS166)</f>
        <v>0</v>
      </c>
      <c r="AU166" s="90">
        <v>0</v>
      </c>
      <c r="AV166" s="90">
        <v>0</v>
      </c>
      <c r="AW166" s="90">
        <v>0</v>
      </c>
      <c r="AX166" s="90">
        <f>0-SUM(AU166:AW166)</f>
        <v>0</v>
      </c>
      <c r="AY166" s="90">
        <v>0</v>
      </c>
      <c r="AZ166" s="90">
        <v>0</v>
      </c>
      <c r="BA166" s="90">
        <v>0</v>
      </c>
      <c r="BB166" s="90">
        <f>0-SUM(AY166:BA166)</f>
        <v>0</v>
      </c>
      <c r="BC166" s="90">
        <v>0</v>
      </c>
      <c r="BD166" s="90">
        <v>0</v>
      </c>
      <c r="BE166" s="90">
        <v>0</v>
      </c>
      <c r="BF166" s="90">
        <f>0-SUM(BC166:BE166)</f>
        <v>0</v>
      </c>
      <c r="BG166" s="90">
        <v>0</v>
      </c>
      <c r="BH166" s="90">
        <v>0</v>
      </c>
      <c r="BI166" s="90">
        <v>0</v>
      </c>
      <c r="BJ166" s="90">
        <f>0-SUM(BG166:BI166)</f>
        <v>0</v>
      </c>
      <c r="BK166" s="90">
        <v>0</v>
      </c>
      <c r="BL166" s="90">
        <v>76.900000000000006</v>
      </c>
      <c r="BM166" s="90">
        <v>0</v>
      </c>
      <c r="BN166" s="90">
        <f>76.94-SUM(BK166:BM166)</f>
        <v>3.9999999999992042E-2</v>
      </c>
      <c r="BO166" s="90">
        <v>0</v>
      </c>
      <c r="BP166" s="90">
        <v>0</v>
      </c>
      <c r="BQ166" s="90">
        <v>0</v>
      </c>
      <c r="BR166" s="90">
        <v>0</v>
      </c>
      <c r="BS166" s="90"/>
      <c r="BT166" s="90"/>
      <c r="BU166" s="91"/>
      <c r="BV166" s="91"/>
      <c r="CG166" s="90">
        <f t="shared" si="234"/>
        <v>-9.9999999999999284E-2</v>
      </c>
      <c r="CH166" s="90">
        <f t="shared" si="235"/>
        <v>0.2</v>
      </c>
      <c r="CI166" s="90">
        <f t="shared" si="236"/>
        <v>-0.1</v>
      </c>
      <c r="CJ166" s="90">
        <f t="shared" si="237"/>
        <v>-0.1</v>
      </c>
      <c r="CK166" s="90">
        <f>SUM(AQ166:AT166)</f>
        <v>0</v>
      </c>
      <c r="CL166" s="90">
        <f>SUM(AU166:AX166)</f>
        <v>0</v>
      </c>
      <c r="CM166" s="90">
        <f>SUM(AY166:BB166)</f>
        <v>0</v>
      </c>
      <c r="CN166" s="90">
        <f>SUM(BC166:BF166)</f>
        <v>0</v>
      </c>
      <c r="CO166" s="90">
        <f>SUM(BG166:BJ166)</f>
        <v>0</v>
      </c>
      <c r="CP166" s="90">
        <f>SUM(BK166:BN166)</f>
        <v>76.94</v>
      </c>
      <c r="CQ166" s="91">
        <v>115.3</v>
      </c>
      <c r="CR166" s="91">
        <v>0</v>
      </c>
      <c r="CS166" s="91">
        <v>0</v>
      </c>
      <c r="CT166" s="91">
        <v>0</v>
      </c>
      <c r="CU166" s="91">
        <v>0</v>
      </c>
      <c r="CV166" s="91">
        <v>0</v>
      </c>
      <c r="CW166" s="91">
        <v>0</v>
      </c>
      <c r="CX166" s="91">
        <v>0</v>
      </c>
      <c r="CY166" s="91">
        <v>0</v>
      </c>
      <c r="CZ166" s="91">
        <v>0</v>
      </c>
      <c r="DA166" s="91">
        <v>0</v>
      </c>
      <c r="DB166" s="91"/>
      <c r="DC166" s="91"/>
      <c r="DD166" s="91"/>
      <c r="DE166" s="91"/>
      <c r="DF166" s="91"/>
      <c r="DG166" s="91"/>
      <c r="DH166" s="91"/>
      <c r="DI166" s="91"/>
      <c r="DJ166" s="91"/>
      <c r="DK166" s="91"/>
      <c r="DL166" s="91"/>
      <c r="DM166" s="91"/>
      <c r="DN166" s="91"/>
      <c r="DO166" s="91"/>
      <c r="DP166" s="91"/>
      <c r="DQ166" s="91"/>
    </row>
    <row r="167" spans="2:145" s="83" customFormat="1" ht="13.5" customHeight="1">
      <c r="B167" s="83" t="s">
        <v>21</v>
      </c>
      <c r="AA167" s="90">
        <f t="shared" ref="AA167:AR167" si="251">AA162-SUM(AA163:AA166)</f>
        <v>4</v>
      </c>
      <c r="AB167" s="90">
        <f t="shared" si="251"/>
        <v>-3.8000000000000007</v>
      </c>
      <c r="AC167" s="90">
        <f t="shared" si="251"/>
        <v>2.1999999999999993</v>
      </c>
      <c r="AD167" s="90">
        <f t="shared" si="251"/>
        <v>1.7999999999999972</v>
      </c>
      <c r="AE167" s="90">
        <f t="shared" si="251"/>
        <v>1.7999999999999972</v>
      </c>
      <c r="AF167" s="90">
        <f t="shared" si="251"/>
        <v>-0.70000000000000284</v>
      </c>
      <c r="AG167" s="90">
        <f t="shared" si="251"/>
        <v>-1.3999999999999986</v>
      </c>
      <c r="AH167" s="90">
        <f t="shared" si="251"/>
        <v>-1.2000000000000099</v>
      </c>
      <c r="AI167" s="90">
        <f t="shared" si="251"/>
        <v>-2</v>
      </c>
      <c r="AJ167" s="90">
        <f t="shared" si="251"/>
        <v>-1.3000000000000114</v>
      </c>
      <c r="AK167" s="90">
        <f t="shared" si="251"/>
        <v>0.70000000000000284</v>
      </c>
      <c r="AL167" s="90">
        <f t="shared" si="251"/>
        <v>3.8999999999999986</v>
      </c>
      <c r="AM167" s="90">
        <f t="shared" si="251"/>
        <v>3.9999999999999929</v>
      </c>
      <c r="AN167" s="90">
        <f t="shared" si="251"/>
        <v>9.2999999999999901</v>
      </c>
      <c r="AO167" s="90">
        <f t="shared" si="251"/>
        <v>-20.799999999999997</v>
      </c>
      <c r="AP167" s="90">
        <f t="shared" si="251"/>
        <v>6.6999999999999744</v>
      </c>
      <c r="AQ167" s="90">
        <f t="shared" si="251"/>
        <v>11.152000000000001</v>
      </c>
      <c r="AR167" s="90">
        <f t="shared" si="251"/>
        <v>12.800999999999988</v>
      </c>
      <c r="AS167" s="90">
        <v>12.976000000000001</v>
      </c>
      <c r="AT167" s="90">
        <f t="shared" ref="AT167:BL167" si="252">AT162-SUM(AT163:AT166)</f>
        <v>10.577000000000098</v>
      </c>
      <c r="AU167" s="90">
        <f t="shared" si="252"/>
        <v>0.6010000000000133</v>
      </c>
      <c r="AV167" s="90">
        <f t="shared" si="252"/>
        <v>-17.625000000000014</v>
      </c>
      <c r="AW167" s="90">
        <f t="shared" si="252"/>
        <v>-20.176000000000002</v>
      </c>
      <c r="AX167" s="90">
        <f>AX162-SUM(AX163:AX166)</f>
        <v>-1.7419999999999902</v>
      </c>
      <c r="AY167" s="90">
        <f t="shared" si="252"/>
        <v>13.459000000000003</v>
      </c>
      <c r="AZ167" s="90">
        <f t="shared" si="252"/>
        <v>10.332000000000022</v>
      </c>
      <c r="BA167" s="90">
        <f t="shared" si="252"/>
        <v>8.7729999999999819</v>
      </c>
      <c r="BB167" s="90">
        <f>BB162-SUM(BB163:BB166)</f>
        <v>-40.065000000000083</v>
      </c>
      <c r="BC167" s="90">
        <f t="shared" si="252"/>
        <v>-4.0600000000000023</v>
      </c>
      <c r="BD167" s="90">
        <f t="shared" si="252"/>
        <v>-0.17400000000000659</v>
      </c>
      <c r="BE167" s="90">
        <f t="shared" si="252"/>
        <v>5.4099999999999966</v>
      </c>
      <c r="BF167" s="90">
        <f t="shared" si="252"/>
        <v>4.9059999999999491</v>
      </c>
      <c r="BG167" s="90">
        <f t="shared" si="252"/>
        <v>8.0500000000000398</v>
      </c>
      <c r="BH167" s="90">
        <f t="shared" si="252"/>
        <v>18</v>
      </c>
      <c r="BI167" s="90">
        <f t="shared" si="252"/>
        <v>12.599999999999994</v>
      </c>
      <c r="BJ167" s="90">
        <f t="shared" si="252"/>
        <v>34.970000000000027</v>
      </c>
      <c r="BK167" s="90">
        <f t="shared" si="252"/>
        <v>12.199999999999989</v>
      </c>
      <c r="BL167" s="90">
        <f t="shared" si="252"/>
        <v>-80.900000000000034</v>
      </c>
      <c r="BM167" s="90">
        <f>BM162-SUM(BM163:BM166)</f>
        <v>35.400000000000034</v>
      </c>
      <c r="BN167" s="90">
        <f t="shared" ref="BN167" si="253">BN162-SUM(BN163:BN166)</f>
        <v>42.56</v>
      </c>
      <c r="BO167" s="90">
        <f>BO162-SUM(BO163:BO166)</f>
        <v>40.349999999999994</v>
      </c>
      <c r="BP167" s="90">
        <f>BP162-SUM(BP163:BP166)</f>
        <v>40.828000000000003</v>
      </c>
      <c r="BQ167" s="90">
        <f>BQ162-SUM(BQ163:BQ166)</f>
        <v>48.837999999999994</v>
      </c>
      <c r="BR167" s="90">
        <f>BR162-SUM(BR163:BR166)</f>
        <v>52.38019934999997</v>
      </c>
      <c r="BS167" s="90"/>
      <c r="BT167" s="90"/>
      <c r="BU167" s="91"/>
      <c r="BV167" s="91"/>
      <c r="CG167" s="90">
        <f t="shared" si="234"/>
        <v>4.1999999999999957</v>
      </c>
      <c r="CH167" s="90">
        <f t="shared" si="235"/>
        <v>-1.5000000000000142</v>
      </c>
      <c r="CI167" s="90">
        <f t="shared" si="236"/>
        <v>1.2999999999999901</v>
      </c>
      <c r="CJ167" s="90">
        <f t="shared" si="237"/>
        <v>-0.80000000000003979</v>
      </c>
      <c r="CK167" s="90">
        <f t="shared" ref="CK167:CO167" si="254">CK162-SUM(CK163:CK166)</f>
        <v>47.505999999999972</v>
      </c>
      <c r="CL167" s="90">
        <f t="shared" si="254"/>
        <v>-38.941999999999894</v>
      </c>
      <c r="CM167" s="90">
        <f t="shared" si="254"/>
        <v>-7.5010000000000332</v>
      </c>
      <c r="CN167" s="90">
        <f t="shared" si="254"/>
        <v>6.0820000000001073</v>
      </c>
      <c r="CO167" s="90">
        <f t="shared" si="254"/>
        <v>73.62</v>
      </c>
      <c r="CP167" s="90">
        <f>CP162-SUM(CP163:CP166)</f>
        <v>9.2599999999998772</v>
      </c>
      <c r="CQ167" s="91">
        <f>CQ162-SUM(CQ163:CQ166)+CQ166</f>
        <v>204.84920000000017</v>
      </c>
      <c r="CR167" s="91">
        <f>CR162-SUM(CR163:CR166)</f>
        <v>274.13265600000022</v>
      </c>
      <c r="CS167" s="91">
        <f>CS162-SUM(CS163:CS166)</f>
        <v>325.85265848000017</v>
      </c>
      <c r="CT167" s="91">
        <f>CT162-SUM(CT163:CT166)</f>
        <v>444.50084468192017</v>
      </c>
      <c r="CU167" s="91">
        <f>CU162-SUM(CU163:CU166)</f>
        <v>562.86426777078213</v>
      </c>
      <c r="CV167" s="91">
        <f>CV162-SUM(CV163:CV166)</f>
        <v>674.55727040573834</v>
      </c>
      <c r="CW167" s="91">
        <f t="shared" ref="CW167:CZ167" si="255">CW162-SUM(CW163:CW166)</f>
        <v>798.98484546865825</v>
      </c>
      <c r="CX167" s="91">
        <f t="shared" si="255"/>
        <v>900.80553196450228</v>
      </c>
      <c r="CY167" s="91">
        <f t="shared" si="255"/>
        <v>1012.0068413427693</v>
      </c>
      <c r="CZ167" s="91">
        <f t="shared" si="255"/>
        <v>1149.5402380558139</v>
      </c>
      <c r="DA167" s="91">
        <f t="shared" ref="DA167" si="256">DA162-SUM(DA163:DA166)</f>
        <v>1210.1151332688646</v>
      </c>
      <c r="DB167" s="91"/>
      <c r="DC167" s="91"/>
      <c r="DD167" s="91"/>
      <c r="DE167" s="91"/>
      <c r="DF167" s="91"/>
      <c r="DG167" s="91"/>
      <c r="DH167" s="91"/>
      <c r="DI167" s="91"/>
      <c r="DJ167" s="91"/>
      <c r="DK167" s="91"/>
      <c r="DL167" s="91"/>
      <c r="DM167" s="91"/>
      <c r="DN167" s="91"/>
      <c r="DO167" s="91"/>
      <c r="DP167" s="91"/>
      <c r="DQ167" s="91"/>
    </row>
    <row r="168" spans="2:145" s="83" customFormat="1" ht="13.5" customHeight="1">
      <c r="B168" s="83" t="s">
        <v>2431</v>
      </c>
      <c r="AA168" s="90">
        <v>0.3</v>
      </c>
      <c r="AB168" s="90">
        <v>-0.4</v>
      </c>
      <c r="AC168" s="90">
        <v>-0.1</v>
      </c>
      <c r="AD168" s="90">
        <v>0.1</v>
      </c>
      <c r="AE168" s="90">
        <v>0.3</v>
      </c>
      <c r="AF168" s="90">
        <v>0.3</v>
      </c>
      <c r="AG168" s="90">
        <v>0.3</v>
      </c>
      <c r="AH168" s="90">
        <v>-0.4</v>
      </c>
      <c r="AI168" s="90">
        <v>0.3</v>
      </c>
      <c r="AJ168" s="90">
        <v>0.4</v>
      </c>
      <c r="AK168" s="90">
        <v>0.6</v>
      </c>
      <c r="AL168" s="90">
        <v>0</v>
      </c>
      <c r="AM168" s="90">
        <v>0.5</v>
      </c>
      <c r="AN168" s="90">
        <v>0.4</v>
      </c>
      <c r="AO168" s="90">
        <v>0.9</v>
      </c>
      <c r="AP168" s="90">
        <v>0.7</v>
      </c>
      <c r="AQ168" s="90">
        <f>0.733+0.024</f>
        <v>0.75700000000000001</v>
      </c>
      <c r="AR168" s="90">
        <f>0.784-0.071</f>
        <v>0.71300000000000008</v>
      </c>
      <c r="AS168" s="90">
        <f>0.759-0.772</f>
        <v>-1.3000000000000012E-2</v>
      </c>
      <c r="AT168" s="90">
        <f>2.854-0.227-SUM(AQ168:AS168)</f>
        <v>1.17</v>
      </c>
      <c r="AU168" s="90">
        <f>0.299-1.555</f>
        <v>-1.256</v>
      </c>
      <c r="AV168" s="90">
        <f>0.108+0.508</f>
        <v>0.61599999999999999</v>
      </c>
      <c r="AW168" s="90">
        <f>0.413+0.014</f>
        <v>0.42699999999999999</v>
      </c>
      <c r="AX168" s="90">
        <f>1.267-0.243-SUM(AU168:AW168)</f>
        <v>1.2370000000000001</v>
      </c>
      <c r="AY168" s="90">
        <f>0.48-1.476</f>
        <v>-0.996</v>
      </c>
      <c r="AZ168" s="90">
        <f>0.299-0.408</f>
        <v>-0.10899999999999999</v>
      </c>
      <c r="BA168" s="90">
        <f>0.138-1.137</f>
        <v>-0.999</v>
      </c>
      <c r="BB168" s="90">
        <f>0.938-3.939-SUM(AY168:BA168)</f>
        <v>-0.89700000000000024</v>
      </c>
      <c r="BC168" s="90">
        <f>-0.041-1.01</f>
        <v>-1.0509999999999999</v>
      </c>
      <c r="BD168" s="90">
        <f>-0.07-0.9</f>
        <v>-0.97</v>
      </c>
      <c r="BE168" s="90">
        <f>-0.04-2.35</f>
        <v>-2.39</v>
      </c>
      <c r="BF168" s="90">
        <f>0.137-2.327-SUM(BC168:BE168)</f>
        <v>2.2209999999999996</v>
      </c>
      <c r="BG168" s="90">
        <v>0.64400000000000002</v>
      </c>
      <c r="BH168" s="90">
        <v>1.6</v>
      </c>
      <c r="BI168" s="90">
        <v>0.7</v>
      </c>
      <c r="BJ168" s="90">
        <f>6.09-SUM(BG168:BI168)</f>
        <v>3.1459999999999999</v>
      </c>
      <c r="BK168" s="90">
        <v>2.5</v>
      </c>
      <c r="BL168" s="90">
        <v>3.1</v>
      </c>
      <c r="BM168" s="90">
        <v>4.4000000000000004</v>
      </c>
      <c r="BN168" s="90">
        <f>11.59-SUM(BK168:BM168)</f>
        <v>1.5899999999999999</v>
      </c>
      <c r="BO168" s="90">
        <v>3.508</v>
      </c>
      <c r="BP168" s="90">
        <v>4.4820000000000002</v>
      </c>
      <c r="BQ168" s="90">
        <v>3.4870000000000001</v>
      </c>
      <c r="BR168" s="90">
        <f>BR184*0.045</f>
        <v>22.634999999999998</v>
      </c>
      <c r="BS168" s="90"/>
      <c r="BT168" s="90"/>
      <c r="BU168" s="91"/>
      <c r="BV168" s="91"/>
      <c r="CG168" s="90">
        <f t="shared" si="234"/>
        <v>-0.10000000000000003</v>
      </c>
      <c r="CH168" s="90">
        <f t="shared" si="235"/>
        <v>0.49999999999999989</v>
      </c>
      <c r="CI168" s="90">
        <f t="shared" si="236"/>
        <v>1.2999999999999998</v>
      </c>
      <c r="CJ168" s="90">
        <f t="shared" si="237"/>
        <v>2.5</v>
      </c>
      <c r="CK168" s="90">
        <f>SUM(AQ168:AT168)</f>
        <v>2.6270000000000002</v>
      </c>
      <c r="CL168" s="90">
        <f>SUM(AU168:AX168)</f>
        <v>1.024</v>
      </c>
      <c r="CM168" s="90">
        <f>SUM(AY168:BB168)</f>
        <v>-3.0010000000000003</v>
      </c>
      <c r="CN168" s="90">
        <f>SUM(BC168:BF168)</f>
        <v>-2.19</v>
      </c>
      <c r="CO168" s="90">
        <f>SUM(BG168:BJ168)</f>
        <v>6.09</v>
      </c>
      <c r="CP168" s="90">
        <f>SUM(BK168:BN168)</f>
        <v>11.59</v>
      </c>
      <c r="CQ168" s="91">
        <f t="shared" ref="CQ168:DA168" si="257">CP184*$DK$184</f>
        <v>51.092999999999996</v>
      </c>
      <c r="CR168" s="91">
        <f t="shared" si="257"/>
        <v>86.365034437500015</v>
      </c>
      <c r="CS168" s="91">
        <f t="shared" si="257"/>
        <v>132.92331115750318</v>
      </c>
      <c r="CT168" s="91">
        <f t="shared" si="257"/>
        <v>192.17422763618674</v>
      </c>
      <c r="CU168" s="91">
        <f t="shared" si="257"/>
        <v>274.40081322607023</v>
      </c>
      <c r="CV168" s="91">
        <f t="shared" si="257"/>
        <v>382.53359843681375</v>
      </c>
      <c r="CW168" s="91">
        <f t="shared" si="257"/>
        <v>519.05688414782935</v>
      </c>
      <c r="CX168" s="91">
        <f t="shared" si="257"/>
        <v>689.28197352779887</v>
      </c>
      <c r="CY168" s="91">
        <f t="shared" si="257"/>
        <v>894.64177486212952</v>
      </c>
      <c r="CZ168" s="91">
        <f t="shared" si="257"/>
        <v>1140.8854436449922</v>
      </c>
      <c r="DA168" s="91">
        <f t="shared" si="257"/>
        <v>1436.6939204366513</v>
      </c>
      <c r="DB168" s="91"/>
      <c r="DC168" s="91"/>
      <c r="DD168" s="91"/>
      <c r="DE168" s="91"/>
      <c r="DF168" s="91"/>
      <c r="DG168" s="91"/>
      <c r="DH168" s="91"/>
      <c r="DI168" s="91"/>
      <c r="DJ168" s="91"/>
      <c r="DK168" s="91"/>
      <c r="DL168" s="91"/>
      <c r="DM168" s="91"/>
      <c r="DN168" s="91"/>
      <c r="DO168" s="91"/>
      <c r="DP168" s="91"/>
      <c r="DQ168" s="91"/>
    </row>
    <row r="169" spans="2:145" s="83" customFormat="1" ht="13.5" customHeight="1">
      <c r="B169" s="83" t="s">
        <v>19</v>
      </c>
      <c r="AA169" s="90">
        <f t="shared" ref="AA169:BH169" si="258">AA167+AA168</f>
        <v>4.3</v>
      </c>
      <c r="AB169" s="90">
        <f t="shared" si="258"/>
        <v>-4.2000000000000011</v>
      </c>
      <c r="AC169" s="90">
        <f t="shared" si="258"/>
        <v>2.0999999999999992</v>
      </c>
      <c r="AD169" s="90">
        <f t="shared" si="258"/>
        <v>1.8999999999999972</v>
      </c>
      <c r="AE169" s="90">
        <f t="shared" si="258"/>
        <v>2.099999999999997</v>
      </c>
      <c r="AF169" s="90">
        <f t="shared" si="258"/>
        <v>-0.40000000000000285</v>
      </c>
      <c r="AG169" s="90">
        <f t="shared" si="258"/>
        <v>-1.0999999999999985</v>
      </c>
      <c r="AH169" s="90">
        <f t="shared" si="258"/>
        <v>-1.6000000000000099</v>
      </c>
      <c r="AI169" s="90">
        <f t="shared" si="258"/>
        <v>-1.7</v>
      </c>
      <c r="AJ169" s="90">
        <f t="shared" si="258"/>
        <v>-0.90000000000001135</v>
      </c>
      <c r="AK169" s="90">
        <f t="shared" si="258"/>
        <v>1.3000000000000029</v>
      </c>
      <c r="AL169" s="90">
        <f t="shared" si="258"/>
        <v>3.8999999999999986</v>
      </c>
      <c r="AM169" s="90">
        <f t="shared" si="258"/>
        <v>4.4999999999999929</v>
      </c>
      <c r="AN169" s="90">
        <f t="shared" si="258"/>
        <v>9.6999999999999904</v>
      </c>
      <c r="AO169" s="90">
        <f t="shared" si="258"/>
        <v>-19.899999999999999</v>
      </c>
      <c r="AP169" s="90">
        <f t="shared" si="258"/>
        <v>7.3999999999999746</v>
      </c>
      <c r="AQ169" s="90">
        <f t="shared" si="258"/>
        <v>11.909000000000001</v>
      </c>
      <c r="AR169" s="90">
        <f t="shared" si="258"/>
        <v>13.513999999999989</v>
      </c>
      <c r="AS169" s="90">
        <f t="shared" si="258"/>
        <v>12.963000000000001</v>
      </c>
      <c r="AT169" s="90">
        <f t="shared" si="258"/>
        <v>11.747000000000098</v>
      </c>
      <c r="AU169" s="90">
        <f t="shared" si="258"/>
        <v>-0.6549999999999867</v>
      </c>
      <c r="AV169" s="90">
        <f t="shared" si="258"/>
        <v>-17.009000000000015</v>
      </c>
      <c r="AW169" s="90">
        <f t="shared" si="258"/>
        <v>-19.749000000000002</v>
      </c>
      <c r="AX169" s="90">
        <f t="shared" si="258"/>
        <v>-0.50499999999999012</v>
      </c>
      <c r="AY169" s="90">
        <f t="shared" si="258"/>
        <v>12.463000000000003</v>
      </c>
      <c r="AZ169" s="90">
        <f t="shared" si="258"/>
        <v>10.223000000000022</v>
      </c>
      <c r="BA169" s="90">
        <f t="shared" si="258"/>
        <v>7.7739999999999823</v>
      </c>
      <c r="BB169" s="90">
        <f t="shared" si="258"/>
        <v>-40.962000000000081</v>
      </c>
      <c r="BC169" s="90">
        <f t="shared" si="258"/>
        <v>-5.1110000000000024</v>
      </c>
      <c r="BD169" s="90">
        <f t="shared" si="258"/>
        <v>-1.1440000000000066</v>
      </c>
      <c r="BE169" s="90">
        <f t="shared" si="258"/>
        <v>3.0199999999999965</v>
      </c>
      <c r="BF169" s="90">
        <f t="shared" si="258"/>
        <v>7.1269999999999492</v>
      </c>
      <c r="BG169" s="90">
        <f t="shared" si="258"/>
        <v>8.6940000000000399</v>
      </c>
      <c r="BH169" s="90">
        <f t="shared" si="258"/>
        <v>19.600000000000001</v>
      </c>
      <c r="BI169" s="90">
        <f>BI167+BI168</f>
        <v>13.299999999999994</v>
      </c>
      <c r="BJ169" s="90">
        <f t="shared" ref="BJ169:BP169" si="259">BJ167+BJ168</f>
        <v>38.116000000000028</v>
      </c>
      <c r="BK169" s="90">
        <f t="shared" si="259"/>
        <v>14.699999999999989</v>
      </c>
      <c r="BL169" s="90">
        <f t="shared" si="259"/>
        <v>-77.80000000000004</v>
      </c>
      <c r="BM169" s="90">
        <f t="shared" si="259"/>
        <v>39.800000000000033</v>
      </c>
      <c r="BN169" s="90">
        <f t="shared" si="259"/>
        <v>44.150000000000006</v>
      </c>
      <c r="BO169" s="90">
        <f t="shared" si="259"/>
        <v>43.857999999999997</v>
      </c>
      <c r="BP169" s="90">
        <f t="shared" si="259"/>
        <v>45.31</v>
      </c>
      <c r="BQ169" s="90">
        <f>BQ167+BQ168</f>
        <v>52.324999999999996</v>
      </c>
      <c r="BR169" s="90">
        <f>BR167+BR168</f>
        <v>75.015199349999961</v>
      </c>
      <c r="BS169" s="90"/>
      <c r="BT169" s="90"/>
      <c r="BU169" s="91"/>
      <c r="BV169" s="91"/>
      <c r="CG169" s="90">
        <f t="shared" si="234"/>
        <v>4.0999999999999952</v>
      </c>
      <c r="CH169" s="90">
        <f t="shared" si="235"/>
        <v>-1.0000000000000142</v>
      </c>
      <c r="CI169" s="90">
        <f t="shared" si="236"/>
        <v>2.5999999999999903</v>
      </c>
      <c r="CJ169" s="90">
        <f t="shared" si="237"/>
        <v>1.6999999999999593</v>
      </c>
      <c r="CK169" s="90">
        <f t="shared" ref="CK169:CO169" si="260">CK167+CK168</f>
        <v>50.132999999999974</v>
      </c>
      <c r="CL169" s="90">
        <f t="shared" si="260"/>
        <v>-37.917999999999893</v>
      </c>
      <c r="CM169" s="90">
        <f t="shared" si="260"/>
        <v>-10.502000000000034</v>
      </c>
      <c r="CN169" s="90">
        <f t="shared" si="260"/>
        <v>3.8920000000001074</v>
      </c>
      <c r="CO169" s="90">
        <f t="shared" si="260"/>
        <v>79.710000000000008</v>
      </c>
      <c r="CP169" s="90">
        <f>CP167+CP168</f>
        <v>20.849999999999877</v>
      </c>
      <c r="CQ169" s="91">
        <f t="shared" ref="CQ169:CZ169" si="261">CQ167+CQ168</f>
        <v>255.94220000000016</v>
      </c>
      <c r="CR169" s="91">
        <f t="shared" si="261"/>
        <v>360.49769043750024</v>
      </c>
      <c r="CS169" s="91">
        <f t="shared" si="261"/>
        <v>458.77596963750335</v>
      </c>
      <c r="CT169" s="91">
        <f t="shared" si="261"/>
        <v>636.67507231810691</v>
      </c>
      <c r="CU169" s="91">
        <f t="shared" si="261"/>
        <v>837.26508099685236</v>
      </c>
      <c r="CV169" s="91">
        <f t="shared" si="261"/>
        <v>1057.090868842552</v>
      </c>
      <c r="CW169" s="91">
        <f t="shared" si="261"/>
        <v>1318.0417296164876</v>
      </c>
      <c r="CX169" s="91">
        <f t="shared" si="261"/>
        <v>1590.0875054923013</v>
      </c>
      <c r="CY169" s="91">
        <f t="shared" si="261"/>
        <v>1906.6486162048989</v>
      </c>
      <c r="CZ169" s="91">
        <f t="shared" si="261"/>
        <v>2290.4256817008063</v>
      </c>
      <c r="DA169" s="91">
        <f t="shared" ref="DA169" si="262">DA167+DA168</f>
        <v>2646.8090537055159</v>
      </c>
      <c r="DB169" s="91"/>
      <c r="DC169" s="91"/>
      <c r="DD169" s="91"/>
      <c r="DE169" s="91"/>
      <c r="DF169" s="91"/>
      <c r="DG169" s="91"/>
      <c r="DH169" s="91"/>
      <c r="DI169" s="91"/>
      <c r="DJ169" s="91"/>
      <c r="DK169" s="91"/>
      <c r="DL169" s="91"/>
      <c r="DM169" s="91"/>
      <c r="DN169" s="91"/>
      <c r="DO169" s="91"/>
      <c r="DP169" s="91"/>
      <c r="DQ169" s="91"/>
    </row>
    <row r="170" spans="2:145" s="83" customFormat="1" ht="13.5" customHeight="1">
      <c r="B170" s="83" t="s">
        <v>2432</v>
      </c>
      <c r="AA170" s="90">
        <v>1.7</v>
      </c>
      <c r="AB170" s="90">
        <v>-1.5</v>
      </c>
      <c r="AC170" s="90">
        <v>1.2</v>
      </c>
      <c r="AD170" s="90">
        <v>0.2</v>
      </c>
      <c r="AE170" s="90">
        <v>-0.2</v>
      </c>
      <c r="AF170" s="90">
        <v>-3.4</v>
      </c>
      <c r="AG170" s="90">
        <v>-13</v>
      </c>
      <c r="AH170" s="90">
        <v>0.9</v>
      </c>
      <c r="AI170" s="90">
        <v>1.4</v>
      </c>
      <c r="AJ170" s="90">
        <v>0.5</v>
      </c>
      <c r="AK170" s="90">
        <v>0.5</v>
      </c>
      <c r="AL170" s="90">
        <v>-5.9</v>
      </c>
      <c r="AM170" s="90">
        <v>-1.9</v>
      </c>
      <c r="AN170" s="90">
        <v>-4.9000000000000004</v>
      </c>
      <c r="AO170" s="90">
        <v>1.6</v>
      </c>
      <c r="AP170" s="90">
        <v>0.9</v>
      </c>
      <c r="AQ170" s="90">
        <v>1.4550000000000001</v>
      </c>
      <c r="AR170" s="90">
        <v>-2.7349999999999999</v>
      </c>
      <c r="AS170" s="90">
        <v>1.9630000000000001</v>
      </c>
      <c r="AT170" s="90">
        <f>3.131-SUM(AQ170:AS170)</f>
        <v>2.4479999999999995</v>
      </c>
      <c r="AU170" s="90">
        <v>-1.6339999999999999</v>
      </c>
      <c r="AV170" s="90">
        <v>-4.1289999999999996</v>
      </c>
      <c r="AW170" s="90">
        <v>-9.8550000000000004</v>
      </c>
      <c r="AX170" s="90">
        <f>-18.761-SUM(AU170:AW170)</f>
        <v>-3.1429999999999989</v>
      </c>
      <c r="AY170" s="90">
        <v>1.5409999999999999</v>
      </c>
      <c r="AZ170" s="90">
        <v>1.9</v>
      </c>
      <c r="BA170" s="90">
        <v>-0.249</v>
      </c>
      <c r="BB170" s="90">
        <f>-13.125-SUM(AY170:BA170)</f>
        <v>-16.317</v>
      </c>
      <c r="BC170" s="90">
        <v>-5.1829999999999998</v>
      </c>
      <c r="BD170" s="90">
        <v>2.52</v>
      </c>
      <c r="BE170" s="90">
        <v>5.3</v>
      </c>
      <c r="BF170" s="90">
        <f>5.894-SUM(BC170:BE170)</f>
        <v>3.2570000000000001</v>
      </c>
      <c r="BG170" s="90">
        <v>0.09</v>
      </c>
      <c r="BH170" s="90">
        <v>0.5</v>
      </c>
      <c r="BI170" s="90">
        <v>4.09</v>
      </c>
      <c r="BJ170" s="90">
        <f>-11.3-SUM(BG170:BI170)</f>
        <v>-15.98</v>
      </c>
      <c r="BK170" s="90">
        <v>3.6</v>
      </c>
      <c r="BL170" s="90">
        <v>-17.600000000000001</v>
      </c>
      <c r="BM170" s="90">
        <v>10.3</v>
      </c>
      <c r="BN170" s="90">
        <f>6.86-SUM(BK170:BM170)</f>
        <v>10.560000000000002</v>
      </c>
      <c r="BO170" s="90">
        <v>4.6349999999999998</v>
      </c>
      <c r="BP170" s="90">
        <v>0.04</v>
      </c>
      <c r="BQ170" s="90">
        <v>6.4740000000000002</v>
      </c>
      <c r="BR170" s="90">
        <f>BR169*BR181</f>
        <v>15.003039869999993</v>
      </c>
      <c r="BS170" s="90"/>
      <c r="BT170" s="90"/>
      <c r="BU170" s="91"/>
      <c r="BV170" s="91"/>
      <c r="CG170" s="90">
        <f t="shared" si="234"/>
        <v>1.5999999999999999</v>
      </c>
      <c r="CH170" s="90">
        <f t="shared" si="235"/>
        <v>-15.700000000000001</v>
      </c>
      <c r="CI170" s="90">
        <f t="shared" si="236"/>
        <v>-3.5000000000000004</v>
      </c>
      <c r="CJ170" s="90">
        <f t="shared" si="237"/>
        <v>-4.3000000000000007</v>
      </c>
      <c r="CK170" s="90">
        <f>SUM(AQ170:AT170)</f>
        <v>3.1309999999999998</v>
      </c>
      <c r="CL170" s="90">
        <f>SUM(AU170:AX170)</f>
        <v>-18.760999999999999</v>
      </c>
      <c r="CM170" s="90">
        <f>SUM(AY170:BB170)</f>
        <v>-13.125</v>
      </c>
      <c r="CN170" s="90">
        <f>SUM(BC170:BF170)</f>
        <v>5.8940000000000001</v>
      </c>
      <c r="CO170" s="90">
        <f>SUM(BG170:BJ170)</f>
        <v>-11.3</v>
      </c>
      <c r="CP170" s="90">
        <f>SUM(BK170:BN170)</f>
        <v>6.8600000000000012</v>
      </c>
      <c r="CQ170" s="91">
        <f>CQ169*CQ181</f>
        <v>31.99277500000002</v>
      </c>
      <c r="CR170" s="91">
        <f t="shared" ref="CR170:CZ170" si="263">CR169*CR181</f>
        <v>64.889584278750036</v>
      </c>
      <c r="CS170" s="91">
        <f t="shared" si="263"/>
        <v>82.579674534750595</v>
      </c>
      <c r="CT170" s="91">
        <f t="shared" si="263"/>
        <v>114.60151301725924</v>
      </c>
      <c r="CU170" s="91">
        <f t="shared" si="263"/>
        <v>150.70771457943343</v>
      </c>
      <c r="CV170" s="91">
        <f t="shared" si="263"/>
        <v>190.27635639165936</v>
      </c>
      <c r="CW170" s="91">
        <f t="shared" si="263"/>
        <v>237.24751133096777</v>
      </c>
      <c r="CX170" s="91">
        <f t="shared" si="263"/>
        <v>286.21575098861422</v>
      </c>
      <c r="CY170" s="91">
        <f t="shared" si="263"/>
        <v>343.1967509168818</v>
      </c>
      <c r="CZ170" s="91">
        <f t="shared" si="263"/>
        <v>412.27662270614513</v>
      </c>
      <c r="DA170" s="91">
        <f t="shared" ref="DA170" si="264">DA169*DA181</f>
        <v>476.42562966699285</v>
      </c>
      <c r="DB170" s="91"/>
      <c r="DC170" s="91"/>
      <c r="DD170" s="91"/>
      <c r="DE170" s="91"/>
      <c r="DF170" s="91"/>
      <c r="DG170" s="91"/>
      <c r="DH170" s="91"/>
      <c r="DI170" s="91"/>
      <c r="DJ170" s="91"/>
      <c r="DK170" s="91"/>
      <c r="DL170" s="91"/>
      <c r="DM170" s="91"/>
      <c r="DN170" s="91"/>
      <c r="DO170" s="91"/>
      <c r="DP170" s="91"/>
      <c r="DQ170" s="91"/>
    </row>
    <row r="171" spans="2:145" s="83" customFormat="1" ht="13.5" customHeight="1">
      <c r="B171" s="83" t="s">
        <v>2433</v>
      </c>
      <c r="AA171" s="90">
        <v>2.5</v>
      </c>
      <c r="AB171" s="90">
        <v>-2.7</v>
      </c>
      <c r="AC171" s="90">
        <v>0.9</v>
      </c>
      <c r="AD171" s="90">
        <v>1.6</v>
      </c>
      <c r="AE171" s="90">
        <v>2.2999999999999998</v>
      </c>
      <c r="AF171" s="90">
        <v>3</v>
      </c>
      <c r="AG171" s="90">
        <v>11.9</v>
      </c>
      <c r="AH171" s="90">
        <v>-2.4</v>
      </c>
      <c r="AI171" s="90">
        <v>-3.1</v>
      </c>
      <c r="AJ171" s="90">
        <v>-1.6</v>
      </c>
      <c r="AK171" s="90">
        <v>0.2</v>
      </c>
      <c r="AL171" s="90">
        <v>9.1</v>
      </c>
      <c r="AM171" s="90">
        <v>5.5</v>
      </c>
      <c r="AN171" s="90">
        <v>13.4</v>
      </c>
      <c r="AO171" s="90">
        <v>-22.4</v>
      </c>
      <c r="AP171" s="90">
        <v>6.5</v>
      </c>
      <c r="AQ171" s="90">
        <f t="shared" ref="AQ171:BL171" si="265">AQ169-AQ170</f>
        <v>10.454000000000001</v>
      </c>
      <c r="AR171" s="90">
        <f t="shared" si="265"/>
        <v>16.248999999999988</v>
      </c>
      <c r="AS171" s="90">
        <f t="shared" si="265"/>
        <v>11</v>
      </c>
      <c r="AT171" s="90">
        <f t="shared" si="265"/>
        <v>9.299000000000099</v>
      </c>
      <c r="AU171" s="90">
        <f t="shared" si="265"/>
        <v>0.97900000000001319</v>
      </c>
      <c r="AV171" s="90">
        <f t="shared" si="265"/>
        <v>-12.880000000000015</v>
      </c>
      <c r="AW171" s="90">
        <f t="shared" si="265"/>
        <v>-9.8940000000000019</v>
      </c>
      <c r="AX171" s="90">
        <f t="shared" si="265"/>
        <v>2.6380000000000088</v>
      </c>
      <c r="AY171" s="90">
        <f t="shared" si="265"/>
        <v>10.922000000000002</v>
      </c>
      <c r="AZ171" s="90">
        <f t="shared" si="265"/>
        <v>8.3230000000000217</v>
      </c>
      <c r="BA171" s="90">
        <f t="shared" si="265"/>
        <v>8.0229999999999819</v>
      </c>
      <c r="BB171" s="90">
        <f t="shared" si="265"/>
        <v>-24.645000000000081</v>
      </c>
      <c r="BC171" s="90">
        <f t="shared" si="265"/>
        <v>7.1999999999997399E-2</v>
      </c>
      <c r="BD171" s="90">
        <f t="shared" si="265"/>
        <v>-3.6640000000000068</v>
      </c>
      <c r="BE171" s="90">
        <f t="shared" si="265"/>
        <v>-2.2800000000000034</v>
      </c>
      <c r="BF171" s="90">
        <f t="shared" si="265"/>
        <v>3.869999999999949</v>
      </c>
      <c r="BG171" s="90">
        <f t="shared" si="265"/>
        <v>8.6040000000000401</v>
      </c>
      <c r="BH171" s="90">
        <f t="shared" si="265"/>
        <v>19.100000000000001</v>
      </c>
      <c r="BI171" s="90">
        <f t="shared" si="265"/>
        <v>9.2099999999999937</v>
      </c>
      <c r="BJ171" s="90">
        <f t="shared" si="265"/>
        <v>54.096000000000032</v>
      </c>
      <c r="BK171" s="90">
        <f t="shared" si="265"/>
        <v>11.099999999999989</v>
      </c>
      <c r="BL171" s="90">
        <f t="shared" si="265"/>
        <v>-60.200000000000038</v>
      </c>
      <c r="BM171" s="90">
        <f>BM169-BM170</f>
        <v>29.500000000000032</v>
      </c>
      <c r="BN171" s="90">
        <f t="shared" ref="BN171" si="266">BN169-BN170</f>
        <v>33.590000000000003</v>
      </c>
      <c r="BO171" s="90">
        <f>BO169-BO170</f>
        <v>39.222999999999999</v>
      </c>
      <c r="BP171" s="90">
        <f>BP169-BP170</f>
        <v>45.27</v>
      </c>
      <c r="BQ171" s="90">
        <f>BQ169-BQ170</f>
        <v>45.850999999999999</v>
      </c>
      <c r="BR171" s="90">
        <f>BR169-BR170</f>
        <v>60.012159479999966</v>
      </c>
      <c r="BS171" s="90"/>
      <c r="BT171" s="90"/>
      <c r="BU171" s="91"/>
      <c r="BV171" s="91"/>
      <c r="CG171" s="90">
        <f t="shared" si="234"/>
        <v>2.2999999999999998</v>
      </c>
      <c r="CH171" s="90">
        <f t="shared" si="235"/>
        <v>14.799999999999999</v>
      </c>
      <c r="CI171" s="90">
        <f t="shared" si="236"/>
        <v>4.5999999999999996</v>
      </c>
      <c r="CJ171" s="90">
        <f t="shared" si="237"/>
        <v>3</v>
      </c>
      <c r="CK171" s="90">
        <f t="shared" ref="CK171:CO171" si="267">CK169-CK170</f>
        <v>47.001999999999974</v>
      </c>
      <c r="CL171" s="90">
        <f t="shared" si="267"/>
        <v>-19.156999999999893</v>
      </c>
      <c r="CM171" s="90">
        <f t="shared" si="267"/>
        <v>2.6229999999999656</v>
      </c>
      <c r="CN171" s="90">
        <f t="shared" si="267"/>
        <v>-2.0019999999998928</v>
      </c>
      <c r="CO171" s="90">
        <f t="shared" si="267"/>
        <v>91.01</v>
      </c>
      <c r="CP171" s="90">
        <f>CP169-CP170</f>
        <v>13.989999999999876</v>
      </c>
      <c r="CQ171" s="91">
        <f>CQ169-CQ170</f>
        <v>223.94942500000013</v>
      </c>
      <c r="CR171" s="91">
        <f t="shared" ref="CR171:CZ171" si="268">CR169-CR170</f>
        <v>295.60810615875022</v>
      </c>
      <c r="CS171" s="91">
        <f t="shared" si="268"/>
        <v>376.19629510275274</v>
      </c>
      <c r="CT171" s="91">
        <f t="shared" si="268"/>
        <v>522.07355930084771</v>
      </c>
      <c r="CU171" s="91">
        <f t="shared" si="268"/>
        <v>686.55736641741896</v>
      </c>
      <c r="CV171" s="91">
        <f t="shared" si="268"/>
        <v>866.81451245089261</v>
      </c>
      <c r="CW171" s="91">
        <f t="shared" si="268"/>
        <v>1080.7942182855199</v>
      </c>
      <c r="CX171" s="91">
        <f t="shared" si="268"/>
        <v>1303.871754503687</v>
      </c>
      <c r="CY171" s="91">
        <f t="shared" si="268"/>
        <v>1563.451865288017</v>
      </c>
      <c r="CZ171" s="91">
        <f t="shared" si="268"/>
        <v>1878.1490589946611</v>
      </c>
      <c r="DA171" s="91">
        <f t="shared" ref="DA171" si="269">DA169-DA170</f>
        <v>2170.3834240385231</v>
      </c>
      <c r="DB171" s="91"/>
      <c r="DC171" s="91"/>
      <c r="DD171" s="91"/>
      <c r="DE171" s="91"/>
      <c r="DF171" s="91"/>
      <c r="DG171" s="91"/>
      <c r="DH171" s="91"/>
      <c r="DI171" s="91"/>
      <c r="DJ171" s="91"/>
      <c r="DK171" s="91"/>
      <c r="DL171" s="91"/>
      <c r="DM171" s="91"/>
      <c r="DN171" s="91"/>
      <c r="DO171" s="91"/>
      <c r="DP171" s="91"/>
      <c r="DQ171" s="91"/>
    </row>
    <row r="172" spans="2:145" s="83" customFormat="1" ht="13.5" customHeight="1">
      <c r="B172" s="83" t="s">
        <v>2434</v>
      </c>
      <c r="AA172" s="90">
        <v>2</v>
      </c>
      <c r="AB172" s="90">
        <v>-2.15</v>
      </c>
      <c r="AC172" s="90">
        <v>0.57999999999999996</v>
      </c>
      <c r="AD172" s="90">
        <v>0.85</v>
      </c>
      <c r="AE172" s="90">
        <v>-0.2</v>
      </c>
      <c r="AF172" s="90">
        <v>0</v>
      </c>
      <c r="AG172" s="90">
        <v>-0.3</v>
      </c>
      <c r="AH172" s="90">
        <v>0</v>
      </c>
      <c r="AI172" s="90">
        <v>0</v>
      </c>
      <c r="AJ172" s="90">
        <v>0</v>
      </c>
      <c r="AK172" s="90">
        <v>0</v>
      </c>
      <c r="AL172" s="90">
        <v>0</v>
      </c>
      <c r="AM172" s="90">
        <v>0</v>
      </c>
      <c r="AN172" s="90">
        <v>0</v>
      </c>
      <c r="AO172" s="90">
        <v>-3.5</v>
      </c>
      <c r="AP172" s="90">
        <v>-0.02</v>
      </c>
      <c r="AQ172" s="90">
        <v>-0.24399999999999999</v>
      </c>
      <c r="AR172" s="90">
        <v>-0.53700000000000003</v>
      </c>
      <c r="AS172" s="90">
        <v>-0.48299999999999998</v>
      </c>
      <c r="AT172" s="90">
        <f>-1.454-SUM(AQ172:AS172)</f>
        <v>-0.18999999999999995</v>
      </c>
      <c r="AU172" s="90">
        <v>-0.53700000000000003</v>
      </c>
      <c r="AV172" s="90">
        <v>-0.94</v>
      </c>
      <c r="AW172" s="90">
        <v>-1.0609999999999999</v>
      </c>
      <c r="AX172" s="90">
        <f>-3.555-SUM(AU172:AW172)</f>
        <v>-1.0170000000000003</v>
      </c>
      <c r="AY172" s="90">
        <v>-0.91</v>
      </c>
      <c r="AZ172" s="90">
        <v>-0.93200000000000005</v>
      </c>
      <c r="BA172" s="90">
        <v>-0.81899999999999995</v>
      </c>
      <c r="BB172" s="90">
        <f>-2.641-SUM(AY172:BA172)</f>
        <v>2.0000000000000018E-2</v>
      </c>
      <c r="BC172" s="90">
        <v>0</v>
      </c>
      <c r="BD172" s="90">
        <v>0</v>
      </c>
      <c r="BE172" s="90">
        <v>0</v>
      </c>
      <c r="BF172" s="90">
        <v>0</v>
      </c>
      <c r="BG172" s="90">
        <v>0</v>
      </c>
      <c r="BH172" s="90">
        <v>0</v>
      </c>
      <c r="BI172" s="90">
        <v>0</v>
      </c>
      <c r="BJ172" s="90">
        <v>0</v>
      </c>
      <c r="BK172" s="90">
        <v>0</v>
      </c>
      <c r="BL172" s="90">
        <v>0</v>
      </c>
      <c r="BM172" s="90">
        <v>0</v>
      </c>
      <c r="BN172" s="90">
        <v>0</v>
      </c>
      <c r="BO172" s="90">
        <v>0</v>
      </c>
      <c r="BP172" s="90">
        <v>0</v>
      </c>
      <c r="BQ172" s="90">
        <v>0</v>
      </c>
      <c r="BR172" s="90">
        <v>0</v>
      </c>
      <c r="BS172" s="90"/>
      <c r="BT172" s="90"/>
      <c r="BU172" s="91"/>
      <c r="BV172" s="91"/>
      <c r="CG172" s="90">
        <f t="shared" si="234"/>
        <v>1.28</v>
      </c>
      <c r="CH172" s="90">
        <f t="shared" si="235"/>
        <v>-0.5</v>
      </c>
      <c r="CI172" s="90">
        <f t="shared" si="236"/>
        <v>0</v>
      </c>
      <c r="CJ172" s="90">
        <f t="shared" si="237"/>
        <v>-3.52</v>
      </c>
      <c r="CK172" s="90">
        <f>SUM(AQ172:AT172)</f>
        <v>-1.454</v>
      </c>
      <c r="CL172" s="90">
        <v>-3.5550000000000002</v>
      </c>
      <c r="CM172" s="90">
        <v>-2.661</v>
      </c>
      <c r="CN172" s="90">
        <v>0</v>
      </c>
      <c r="CO172" s="90">
        <v>0</v>
      </c>
      <c r="CP172" s="90">
        <v>0</v>
      </c>
      <c r="CQ172" s="91">
        <v>0</v>
      </c>
      <c r="CR172" s="91">
        <v>0</v>
      </c>
      <c r="CS172" s="91">
        <v>0</v>
      </c>
      <c r="CT172" s="91">
        <v>0</v>
      </c>
      <c r="CU172" s="91">
        <v>0</v>
      </c>
      <c r="CV172" s="91">
        <v>0</v>
      </c>
      <c r="CW172" s="91">
        <v>0</v>
      </c>
      <c r="CX172" s="91">
        <v>0</v>
      </c>
      <c r="CY172" s="91">
        <v>0</v>
      </c>
      <c r="CZ172" s="91">
        <v>0</v>
      </c>
      <c r="DA172" s="91">
        <v>0</v>
      </c>
      <c r="DB172" s="91"/>
      <c r="DC172" s="91"/>
      <c r="DD172" s="91"/>
      <c r="DE172" s="91"/>
      <c r="DF172" s="91"/>
      <c r="DG172" s="91"/>
      <c r="DH172" s="91"/>
      <c r="DI172" s="91"/>
      <c r="DJ172" s="91"/>
      <c r="DK172" s="91"/>
      <c r="DL172" s="91"/>
      <c r="DM172" s="91"/>
      <c r="DN172" s="91"/>
      <c r="DO172" s="91"/>
      <c r="DP172" s="91"/>
      <c r="DQ172" s="91"/>
    </row>
    <row r="173" spans="2:145" s="85" customFormat="1" ht="13.5" customHeight="1">
      <c r="B173" s="85" t="s">
        <v>2435</v>
      </c>
      <c r="AA173" s="86">
        <f>AA171-AA172</f>
        <v>0.5</v>
      </c>
      <c r="AB173" s="86">
        <f t="shared" ref="AB173:AP173" si="270">AB171-AB172</f>
        <v>-0.55000000000000027</v>
      </c>
      <c r="AC173" s="86">
        <f t="shared" si="270"/>
        <v>0.32000000000000006</v>
      </c>
      <c r="AD173" s="86">
        <f t="shared" si="270"/>
        <v>0.75000000000000011</v>
      </c>
      <c r="AE173" s="86">
        <f t="shared" si="270"/>
        <v>2.5</v>
      </c>
      <c r="AF173" s="86">
        <f t="shared" si="270"/>
        <v>3</v>
      </c>
      <c r="AG173" s="86">
        <f t="shared" si="270"/>
        <v>12.200000000000001</v>
      </c>
      <c r="AH173" s="86">
        <f t="shared" si="270"/>
        <v>-2.4</v>
      </c>
      <c r="AI173" s="86">
        <f t="shared" si="270"/>
        <v>-3.1</v>
      </c>
      <c r="AJ173" s="86">
        <f t="shared" si="270"/>
        <v>-1.6</v>
      </c>
      <c r="AK173" s="86">
        <f t="shared" si="270"/>
        <v>0.2</v>
      </c>
      <c r="AL173" s="86">
        <f t="shared" si="270"/>
        <v>9.1</v>
      </c>
      <c r="AM173" s="86">
        <f t="shared" si="270"/>
        <v>5.5</v>
      </c>
      <c r="AN173" s="86">
        <f t="shared" si="270"/>
        <v>13.4</v>
      </c>
      <c r="AO173" s="86">
        <f t="shared" si="270"/>
        <v>-18.899999999999999</v>
      </c>
      <c r="AP173" s="86">
        <f t="shared" si="270"/>
        <v>6.52</v>
      </c>
      <c r="AQ173" s="86">
        <f>AQ171-AQ172</f>
        <v>10.698</v>
      </c>
      <c r="AR173" s="86">
        <f>AR171-AR172</f>
        <v>16.785999999999987</v>
      </c>
      <c r="AS173" s="86">
        <f>AS171-AS172</f>
        <v>11.483000000000001</v>
      </c>
      <c r="AT173" s="86">
        <f>AT171-AT172</f>
        <v>9.4890000000000985</v>
      </c>
      <c r="AU173" s="86">
        <f>AU171-AU172</f>
        <v>1.5160000000000133</v>
      </c>
      <c r="AV173" s="86">
        <f t="shared" ref="AV173:BP173" si="271">AV171-AV172</f>
        <v>-11.940000000000015</v>
      </c>
      <c r="AW173" s="86">
        <f t="shared" si="271"/>
        <v>-8.833000000000002</v>
      </c>
      <c r="AX173" s="86">
        <f t="shared" si="271"/>
        <v>3.6550000000000091</v>
      </c>
      <c r="AY173" s="86">
        <f t="shared" si="271"/>
        <v>11.832000000000003</v>
      </c>
      <c r="AZ173" s="86">
        <f t="shared" si="271"/>
        <v>9.2550000000000221</v>
      </c>
      <c r="BA173" s="86">
        <f t="shared" si="271"/>
        <v>8.841999999999981</v>
      </c>
      <c r="BB173" s="86">
        <f t="shared" si="271"/>
        <v>-24.665000000000081</v>
      </c>
      <c r="BC173" s="86">
        <f t="shared" si="271"/>
        <v>7.1999999999997399E-2</v>
      </c>
      <c r="BD173" s="86">
        <f t="shared" si="271"/>
        <v>-3.6640000000000068</v>
      </c>
      <c r="BE173" s="86">
        <f t="shared" si="271"/>
        <v>-2.2800000000000034</v>
      </c>
      <c r="BF173" s="86">
        <f t="shared" si="271"/>
        <v>3.869999999999949</v>
      </c>
      <c r="BG173" s="86">
        <f t="shared" si="271"/>
        <v>8.6040000000000401</v>
      </c>
      <c r="BH173" s="86">
        <f t="shared" si="271"/>
        <v>19.100000000000001</v>
      </c>
      <c r="BI173" s="86">
        <f t="shared" si="271"/>
        <v>9.2099999999999937</v>
      </c>
      <c r="BJ173" s="86">
        <f t="shared" si="271"/>
        <v>54.096000000000032</v>
      </c>
      <c r="BK173" s="86">
        <f t="shared" si="271"/>
        <v>11.099999999999989</v>
      </c>
      <c r="BL173" s="86">
        <f t="shared" si="271"/>
        <v>-60.200000000000038</v>
      </c>
      <c r="BM173" s="86">
        <f t="shared" si="271"/>
        <v>29.500000000000032</v>
      </c>
      <c r="BN173" s="86">
        <f t="shared" si="271"/>
        <v>33.590000000000003</v>
      </c>
      <c r="BO173" s="86">
        <f t="shared" si="271"/>
        <v>39.222999999999999</v>
      </c>
      <c r="BP173" s="86">
        <f t="shared" si="271"/>
        <v>45.27</v>
      </c>
      <c r="BQ173" s="86">
        <f>BQ171</f>
        <v>45.850999999999999</v>
      </c>
      <c r="BR173" s="86">
        <f>BR171</f>
        <v>60.012159479999966</v>
      </c>
      <c r="BS173" s="86">
        <v>38.4</v>
      </c>
      <c r="BT173" s="86">
        <v>43.13</v>
      </c>
      <c r="BU173" s="94">
        <v>48.28</v>
      </c>
      <c r="BV173" s="94">
        <v>56.5</v>
      </c>
      <c r="CG173" s="86">
        <f t="shared" si="234"/>
        <v>1.02</v>
      </c>
      <c r="CH173" s="86">
        <f t="shared" si="235"/>
        <v>15.300000000000002</v>
      </c>
      <c r="CI173" s="86">
        <f t="shared" si="236"/>
        <v>4.5999999999999996</v>
      </c>
      <c r="CJ173" s="86">
        <f t="shared" si="237"/>
        <v>6.52</v>
      </c>
      <c r="CK173" s="86">
        <f t="shared" ref="CK173:CO173" si="272">CK171-CK172</f>
        <v>48.455999999999975</v>
      </c>
      <c r="CL173" s="86">
        <f t="shared" si="272"/>
        <v>-15.601999999999894</v>
      </c>
      <c r="CM173" s="86">
        <f t="shared" si="272"/>
        <v>5.2839999999999652</v>
      </c>
      <c r="CN173" s="86">
        <f t="shared" si="272"/>
        <v>-2.0019999999998928</v>
      </c>
      <c r="CO173" s="86">
        <f t="shared" si="272"/>
        <v>91.01</v>
      </c>
      <c r="CP173" s="86">
        <f>CP171-CP172</f>
        <v>13.989999999999876</v>
      </c>
      <c r="CQ173" s="94">
        <f>CQ171-CQ172</f>
        <v>223.94942500000013</v>
      </c>
      <c r="CR173" s="94">
        <f t="shared" ref="CR173:CZ173" si="273">CR171-CR172</f>
        <v>295.60810615875022</v>
      </c>
      <c r="CS173" s="94">
        <f t="shared" si="273"/>
        <v>376.19629510275274</v>
      </c>
      <c r="CT173" s="94">
        <f t="shared" si="273"/>
        <v>522.07355930084771</v>
      </c>
      <c r="CU173" s="94">
        <f t="shared" si="273"/>
        <v>686.55736641741896</v>
      </c>
      <c r="CV173" s="94">
        <f t="shared" si="273"/>
        <v>866.81451245089261</v>
      </c>
      <c r="CW173" s="94">
        <f t="shared" si="273"/>
        <v>1080.7942182855199</v>
      </c>
      <c r="CX173" s="94">
        <f t="shared" si="273"/>
        <v>1303.871754503687</v>
      </c>
      <c r="CY173" s="94">
        <f t="shared" si="273"/>
        <v>1563.451865288017</v>
      </c>
      <c r="CZ173" s="94">
        <f t="shared" si="273"/>
        <v>1878.1490589946611</v>
      </c>
      <c r="DA173" s="94">
        <f t="shared" ref="DA173" si="274">DA171-DA172</f>
        <v>2170.3834240385231</v>
      </c>
      <c r="DB173" s="94">
        <f t="shared" ref="DB173:EO173" si="275">DA173*(1+$DK$185)</f>
        <v>2225.7282013515055</v>
      </c>
      <c r="DC173" s="94">
        <f t="shared" si="275"/>
        <v>2282.4842704859689</v>
      </c>
      <c r="DD173" s="94">
        <f t="shared" si="275"/>
        <v>2340.6876193833614</v>
      </c>
      <c r="DE173" s="94">
        <f t="shared" si="275"/>
        <v>2400.3751536776372</v>
      </c>
      <c r="DF173" s="94">
        <f t="shared" si="275"/>
        <v>2461.5847200964172</v>
      </c>
      <c r="DG173" s="94">
        <f t="shared" si="275"/>
        <v>2524.3551304588759</v>
      </c>
      <c r="DH173" s="94">
        <f t="shared" si="275"/>
        <v>2588.7261862855776</v>
      </c>
      <c r="DI173" s="94">
        <f t="shared" si="275"/>
        <v>2654.7387040358599</v>
      </c>
      <c r="DJ173" s="94">
        <f t="shared" si="275"/>
        <v>2722.4345409887746</v>
      </c>
      <c r="DK173" s="94">
        <f t="shared" si="275"/>
        <v>2791.8566217839884</v>
      </c>
      <c r="DL173" s="94">
        <f t="shared" si="275"/>
        <v>2863.0489656394802</v>
      </c>
      <c r="DM173" s="94">
        <f t="shared" si="275"/>
        <v>2936.0567142632872</v>
      </c>
      <c r="DN173" s="94">
        <f t="shared" si="275"/>
        <v>3010.9261604770013</v>
      </c>
      <c r="DO173" s="94">
        <f t="shared" si="275"/>
        <v>3087.7047775691649</v>
      </c>
      <c r="DP173" s="94">
        <f t="shared" si="275"/>
        <v>3166.441249397179</v>
      </c>
      <c r="DQ173" s="94">
        <f t="shared" si="275"/>
        <v>3247.1855012568071</v>
      </c>
      <c r="DR173" s="94">
        <f t="shared" si="275"/>
        <v>3329.988731538856</v>
      </c>
      <c r="DS173" s="94">
        <f t="shared" si="275"/>
        <v>3414.9034441930971</v>
      </c>
      <c r="DT173" s="94">
        <f t="shared" si="275"/>
        <v>3501.9834820200213</v>
      </c>
      <c r="DU173" s="94">
        <f t="shared" si="275"/>
        <v>3591.2840608115321</v>
      </c>
      <c r="DV173" s="94">
        <f t="shared" si="275"/>
        <v>3682.8618043622264</v>
      </c>
      <c r="DW173" s="94">
        <f t="shared" si="275"/>
        <v>3776.7747803734633</v>
      </c>
      <c r="DX173" s="94">
        <f t="shared" si="275"/>
        <v>3873.0825372729869</v>
      </c>
      <c r="DY173" s="94">
        <f t="shared" si="275"/>
        <v>3971.8461419734485</v>
      </c>
      <c r="DZ173" s="94">
        <f t="shared" si="275"/>
        <v>4073.1282185937716</v>
      </c>
      <c r="EA173" s="94">
        <f t="shared" si="275"/>
        <v>4176.9929881679127</v>
      </c>
      <c r="EB173" s="94">
        <f t="shared" si="275"/>
        <v>4283.5063093661947</v>
      </c>
      <c r="EC173" s="94">
        <f t="shared" si="275"/>
        <v>4392.7357202550329</v>
      </c>
      <c r="ED173" s="94">
        <f t="shared" si="275"/>
        <v>4504.7504811215367</v>
      </c>
      <c r="EE173" s="94">
        <f t="shared" si="275"/>
        <v>4619.6216183901361</v>
      </c>
      <c r="EF173" s="94">
        <f t="shared" si="275"/>
        <v>4737.4219696590853</v>
      </c>
      <c r="EG173" s="94">
        <f t="shared" si="275"/>
        <v>4858.2262298853921</v>
      </c>
      <c r="EH173" s="94">
        <f t="shared" si="275"/>
        <v>4982.1109987474701</v>
      </c>
      <c r="EI173" s="94">
        <f t="shared" si="275"/>
        <v>5109.1548292155312</v>
      </c>
      <c r="EJ173" s="94">
        <f t="shared" si="275"/>
        <v>5239.4382773605275</v>
      </c>
      <c r="EK173" s="94">
        <f t="shared" si="275"/>
        <v>5373.0439534332218</v>
      </c>
      <c r="EL173" s="94">
        <f t="shared" si="275"/>
        <v>5510.0565742457693</v>
      </c>
      <c r="EM173" s="94">
        <f t="shared" si="275"/>
        <v>5650.5630168890366</v>
      </c>
      <c r="EN173" s="94">
        <f t="shared" si="275"/>
        <v>5794.6523738197075</v>
      </c>
      <c r="EO173" s="94">
        <f t="shared" si="275"/>
        <v>5942.4160093521104</v>
      </c>
    </row>
    <row r="174" spans="2:145" s="83" customFormat="1" ht="13.5" customHeight="1">
      <c r="B174" s="83" t="s">
        <v>1</v>
      </c>
      <c r="AA174" s="90">
        <v>5</v>
      </c>
      <c r="AB174" s="90">
        <v>5</v>
      </c>
      <c r="AC174" s="90">
        <v>8</v>
      </c>
      <c r="AD174" s="90">
        <v>12</v>
      </c>
      <c r="AE174" s="90">
        <v>30</v>
      </c>
      <c r="AF174" s="90">
        <v>30</v>
      </c>
      <c r="AG174" s="90">
        <v>31</v>
      </c>
      <c r="AH174" s="90">
        <v>30</v>
      </c>
      <c r="AI174" s="90">
        <v>32</v>
      </c>
      <c r="AJ174" s="90">
        <v>33</v>
      </c>
      <c r="AK174" s="90">
        <v>33</v>
      </c>
      <c r="AL174" s="90">
        <v>33</v>
      </c>
      <c r="AM174" s="90">
        <v>34</v>
      </c>
      <c r="AN174" s="90">
        <v>34</v>
      </c>
      <c r="AO174" s="90">
        <v>34</v>
      </c>
      <c r="AP174" s="90">
        <v>34</v>
      </c>
      <c r="AQ174" s="90">
        <v>34.506999999999998</v>
      </c>
      <c r="AR174" s="90">
        <v>34.694000000000003</v>
      </c>
      <c r="AS174" s="90">
        <v>34.840000000000003</v>
      </c>
      <c r="AT174" s="90">
        <v>35</v>
      </c>
      <c r="AU174" s="90">
        <v>35</v>
      </c>
      <c r="AV174" s="90">
        <v>35.4</v>
      </c>
      <c r="AW174" s="90">
        <v>36.207000000000001</v>
      </c>
      <c r="AX174" s="90">
        <v>37.651000000000003</v>
      </c>
      <c r="AY174" s="90">
        <v>36.454999999999998</v>
      </c>
      <c r="AZ174" s="90">
        <v>36.523000000000003</v>
      </c>
      <c r="BA174" s="90">
        <v>36.616999999999997</v>
      </c>
      <c r="BB174" s="90">
        <v>36.700000000000003</v>
      </c>
      <c r="BC174" s="90">
        <v>37.646000000000001</v>
      </c>
      <c r="BD174" s="90">
        <v>37.767000000000003</v>
      </c>
      <c r="BE174" s="90">
        <v>37.917999999999999</v>
      </c>
      <c r="BF174" s="90">
        <v>37.841000000000001</v>
      </c>
      <c r="BG174" s="90">
        <v>39.07</v>
      </c>
      <c r="BH174" s="90">
        <v>38.15</v>
      </c>
      <c r="BI174" s="90">
        <v>38.956000000000003</v>
      </c>
      <c r="BJ174" s="90">
        <v>38.4</v>
      </c>
      <c r="BK174" s="90">
        <v>39.299999999999997</v>
      </c>
      <c r="BL174" s="90">
        <v>38.799999999999997</v>
      </c>
      <c r="BM174" s="90">
        <v>38.6</v>
      </c>
      <c r="BN174" s="90">
        <v>38.630000000000003</v>
      </c>
      <c r="BO174" s="90">
        <v>38.561999999999998</v>
      </c>
      <c r="BP174" s="90">
        <v>38.834000000000003</v>
      </c>
      <c r="BQ174" s="90">
        <v>39.078000000000003</v>
      </c>
      <c r="BR174" s="83">
        <v>39.299999999999997</v>
      </c>
      <c r="BU174" s="84"/>
      <c r="BV174" s="84"/>
      <c r="CG174" s="90">
        <v>12</v>
      </c>
      <c r="CH174" s="90">
        <v>31</v>
      </c>
      <c r="CI174" s="90">
        <v>33</v>
      </c>
      <c r="CJ174" s="90">
        <v>34</v>
      </c>
      <c r="CK174" s="90">
        <v>34.799999999999997</v>
      </c>
      <c r="CL174" s="90">
        <v>35.5</v>
      </c>
      <c r="CM174" s="90">
        <f>BB174</f>
        <v>36.700000000000003</v>
      </c>
      <c r="CN174" s="90">
        <f>BF174</f>
        <v>37.841000000000001</v>
      </c>
      <c r="CO174" s="90">
        <f>BJ174</f>
        <v>38.4</v>
      </c>
      <c r="CP174" s="90">
        <f>BN174</f>
        <v>38.630000000000003</v>
      </c>
      <c r="CQ174" s="91">
        <f>CP174*1.05</f>
        <v>40.561500000000002</v>
      </c>
      <c r="CR174" s="91">
        <f t="shared" ref="CR174:DA174" si="276">CQ174*1.05</f>
        <v>42.589575000000004</v>
      </c>
      <c r="CS174" s="91">
        <f t="shared" si="276"/>
        <v>44.719053750000008</v>
      </c>
      <c r="CT174" s="91">
        <f t="shared" si="276"/>
        <v>46.95500643750001</v>
      </c>
      <c r="CU174" s="91">
        <f t="shared" si="276"/>
        <v>49.302756759375015</v>
      </c>
      <c r="CV174" s="91">
        <f t="shared" si="276"/>
        <v>51.767894597343769</v>
      </c>
      <c r="CW174" s="91">
        <f t="shared" si="276"/>
        <v>54.356289327210959</v>
      </c>
      <c r="CX174" s="91">
        <f t="shared" si="276"/>
        <v>57.07410379357151</v>
      </c>
      <c r="CY174" s="91">
        <f t="shared" si="276"/>
        <v>59.927808983250088</v>
      </c>
      <c r="CZ174" s="91">
        <f t="shared" si="276"/>
        <v>62.924199432412593</v>
      </c>
      <c r="DA174" s="91">
        <f t="shared" si="276"/>
        <v>66.070409404033228</v>
      </c>
      <c r="DB174" s="91"/>
      <c r="DC174" s="91"/>
      <c r="DD174" s="91"/>
      <c r="DE174" s="91"/>
      <c r="DF174" s="91"/>
      <c r="DG174" s="91"/>
      <c r="DH174" s="91"/>
      <c r="DI174" s="91"/>
      <c r="DJ174" s="91"/>
      <c r="DK174" s="91"/>
      <c r="DL174" s="91"/>
      <c r="DM174" s="91"/>
      <c r="DN174" s="91"/>
      <c r="DO174" s="91"/>
      <c r="DP174" s="91"/>
      <c r="DQ174" s="91"/>
    </row>
    <row r="175" spans="2:145" s="83" customFormat="1" ht="13.5" customHeight="1">
      <c r="B175" s="83" t="s">
        <v>90</v>
      </c>
      <c r="AA175" s="101">
        <f t="shared" ref="AA175:AP175" si="277">AA173/AA174</f>
        <v>0.1</v>
      </c>
      <c r="AB175" s="101">
        <f t="shared" si="277"/>
        <v>-0.11000000000000006</v>
      </c>
      <c r="AC175" s="101">
        <f t="shared" si="277"/>
        <v>4.0000000000000008E-2</v>
      </c>
      <c r="AD175" s="101">
        <f t="shared" si="277"/>
        <v>6.2500000000000014E-2</v>
      </c>
      <c r="AE175" s="101">
        <f t="shared" si="277"/>
        <v>8.3333333333333329E-2</v>
      </c>
      <c r="AF175" s="101">
        <f t="shared" si="277"/>
        <v>0.1</v>
      </c>
      <c r="AG175" s="101">
        <f t="shared" si="277"/>
        <v>0.39354838709677425</v>
      </c>
      <c r="AH175" s="101">
        <f t="shared" si="277"/>
        <v>-0.08</v>
      </c>
      <c r="AI175" s="101">
        <f t="shared" si="277"/>
        <v>-9.6875000000000003E-2</v>
      </c>
      <c r="AJ175" s="101">
        <f t="shared" si="277"/>
        <v>-4.8484848484848485E-2</v>
      </c>
      <c r="AK175" s="101">
        <f t="shared" si="277"/>
        <v>6.0606060606060606E-3</v>
      </c>
      <c r="AL175" s="101">
        <f t="shared" si="277"/>
        <v>0.27575757575757576</v>
      </c>
      <c r="AM175" s="101">
        <f t="shared" si="277"/>
        <v>0.16176470588235295</v>
      </c>
      <c r="AN175" s="101">
        <f t="shared" si="277"/>
        <v>0.39411764705882352</v>
      </c>
      <c r="AO175" s="101">
        <f t="shared" si="277"/>
        <v>-0.55588235294117638</v>
      </c>
      <c r="AP175" s="101">
        <f t="shared" si="277"/>
        <v>0.19176470588235292</v>
      </c>
      <c r="AQ175" s="101">
        <f>AQ173/AQ174</f>
        <v>0.31002405309067727</v>
      </c>
      <c r="AR175" s="101">
        <f>AR173/AR174</f>
        <v>0.4838300570703864</v>
      </c>
      <c r="AS175" s="101">
        <f>AS173/AS174</f>
        <v>0.32959242250287024</v>
      </c>
      <c r="AT175" s="101">
        <f>AT173/AT174</f>
        <v>0.27111428571428853</v>
      </c>
      <c r="AU175" s="101">
        <f>AU173/AU174</f>
        <v>4.3314285714286097E-2</v>
      </c>
      <c r="AV175" s="101">
        <f t="shared" ref="AV175:BM175" si="278">AV173/AV174</f>
        <v>-0.33728813559322079</v>
      </c>
      <c r="AW175" s="101">
        <f t="shared" si="278"/>
        <v>-0.24395835059518883</v>
      </c>
      <c r="AX175" s="101">
        <f t="shared" si="278"/>
        <v>9.70757748798175E-2</v>
      </c>
      <c r="AY175" s="101">
        <f t="shared" si="278"/>
        <v>0.32456453161431909</v>
      </c>
      <c r="AZ175" s="101">
        <f t="shared" si="278"/>
        <v>0.25340196588451169</v>
      </c>
      <c r="BA175" s="101">
        <f t="shared" si="278"/>
        <v>0.24147254007701291</v>
      </c>
      <c r="BB175" s="101">
        <f t="shared" si="278"/>
        <v>-0.67207084468665068</v>
      </c>
      <c r="BC175" s="101">
        <f t="shared" si="278"/>
        <v>1.9125537905752908E-3</v>
      </c>
      <c r="BD175" s="101">
        <f t="shared" si="278"/>
        <v>-9.7015913363518586E-2</v>
      </c>
      <c r="BE175" s="101">
        <f t="shared" si="278"/>
        <v>-6.01297536789916E-2</v>
      </c>
      <c r="BF175" s="101">
        <f t="shared" si="278"/>
        <v>0.10227002457651618</v>
      </c>
      <c r="BG175" s="101">
        <f t="shared" si="278"/>
        <v>0.22022011773739544</v>
      </c>
      <c r="BH175" s="101">
        <f t="shared" si="278"/>
        <v>0.50065530799475755</v>
      </c>
      <c r="BI175" s="101">
        <f t="shared" si="278"/>
        <v>0.23642057706129974</v>
      </c>
      <c r="BJ175" s="101">
        <f t="shared" si="278"/>
        <v>1.4087500000000008</v>
      </c>
      <c r="BK175" s="101">
        <f t="shared" si="278"/>
        <v>0.2824427480916028</v>
      </c>
      <c r="BL175" s="101">
        <f t="shared" si="278"/>
        <v>-1.5515463917525785</v>
      </c>
      <c r="BM175" s="101">
        <f t="shared" si="278"/>
        <v>0.76424870466321326</v>
      </c>
      <c r="BN175" s="101">
        <f>BN173/BN174</f>
        <v>0.86953145223919237</v>
      </c>
      <c r="BO175" s="101">
        <f t="shared" ref="BO175:BQ175" si="279">BO173/BO174</f>
        <v>1.0171412271147762</v>
      </c>
      <c r="BP175" s="101">
        <f t="shared" si="279"/>
        <v>1.1657310604109801</v>
      </c>
      <c r="BQ175" s="101">
        <f t="shared" si="279"/>
        <v>1.1733200266134396</v>
      </c>
      <c r="BR175" s="85">
        <v>1.17</v>
      </c>
      <c r="BS175" s="85">
        <v>1.02</v>
      </c>
      <c r="BT175" s="85">
        <v>1.1599999999999999</v>
      </c>
      <c r="BU175" s="87">
        <v>1.29</v>
      </c>
      <c r="BV175" s="87">
        <v>1.47</v>
      </c>
      <c r="CG175" s="101">
        <f>CG173/CG174</f>
        <v>8.5000000000000006E-2</v>
      </c>
      <c r="CH175" s="101">
        <f t="shared" ref="CH175:CZ175" si="280">CH173/CH174</f>
        <v>0.49354838709677429</v>
      </c>
      <c r="CI175" s="101">
        <f t="shared" si="280"/>
        <v>0.13939393939393938</v>
      </c>
      <c r="CJ175" s="101">
        <f t="shared" si="280"/>
        <v>0.19176470588235292</v>
      </c>
      <c r="CK175" s="101">
        <f t="shared" si="280"/>
        <v>1.3924137931034477</v>
      </c>
      <c r="CL175" s="101">
        <f t="shared" si="280"/>
        <v>-0.4394929577464759</v>
      </c>
      <c r="CM175" s="101">
        <f t="shared" si="280"/>
        <v>0.14397820163487643</v>
      </c>
      <c r="CN175" s="101">
        <f t="shared" si="280"/>
        <v>-5.2905578605213728E-2</v>
      </c>
      <c r="CO175" s="101">
        <f t="shared" si="280"/>
        <v>2.3700520833333334</v>
      </c>
      <c r="CP175" s="101">
        <f t="shared" si="280"/>
        <v>0.36215376650271486</v>
      </c>
      <c r="CQ175" s="102">
        <f t="shared" si="280"/>
        <v>5.5212313400638564</v>
      </c>
      <c r="CR175" s="102">
        <f t="shared" si="280"/>
        <v>6.9408559761103552</v>
      </c>
      <c r="CS175" s="102">
        <f t="shared" si="280"/>
        <v>8.4124386264043594</v>
      </c>
      <c r="CT175" s="102">
        <f t="shared" si="280"/>
        <v>11.118592007771516</v>
      </c>
      <c r="CU175" s="102">
        <f t="shared" si="280"/>
        <v>13.925334231678004</v>
      </c>
      <c r="CV175" s="102">
        <f t="shared" si="280"/>
        <v>16.744248905486089</v>
      </c>
      <c r="CW175" s="102">
        <f t="shared" si="280"/>
        <v>19.883517283150347</v>
      </c>
      <c r="CX175" s="102">
        <f t="shared" si="280"/>
        <v>22.845242725485381</v>
      </c>
      <c r="CY175" s="102">
        <f t="shared" si="280"/>
        <v>26.088920850168311</v>
      </c>
      <c r="CZ175" s="102">
        <f t="shared" si="280"/>
        <v>29.847802211802421</v>
      </c>
      <c r="DA175" s="102">
        <f t="shared" ref="DA175" si="281">DA173/DA174</f>
        <v>32.849553129998213</v>
      </c>
      <c r="DB175" s="84"/>
      <c r="DC175" s="84"/>
      <c r="DD175" s="84"/>
      <c r="DE175" s="84"/>
      <c r="DF175" s="84"/>
      <c r="DG175" s="84"/>
      <c r="DH175" s="84"/>
      <c r="DI175" s="84"/>
      <c r="DJ175" s="84"/>
      <c r="DK175" s="84"/>
      <c r="DL175" s="84"/>
      <c r="DM175" s="84"/>
      <c r="DN175" s="84"/>
      <c r="DO175" s="84"/>
      <c r="DP175" s="84"/>
      <c r="DQ175" s="84"/>
    </row>
    <row r="176" spans="2:145" s="83" customFormat="1" ht="13.5" customHeight="1">
      <c r="AA176" s="89"/>
      <c r="AB176" s="89"/>
      <c r="AC176" s="89"/>
      <c r="AD176" s="89"/>
      <c r="AE176" s="89"/>
      <c r="AF176" s="89"/>
      <c r="AG176" s="89"/>
      <c r="AH176" s="89"/>
      <c r="AI176" s="89"/>
      <c r="AJ176" s="89"/>
      <c r="AK176" s="89"/>
      <c r="AL176" s="89"/>
      <c r="AM176" s="89"/>
      <c r="AN176" s="89"/>
      <c r="AO176" s="89"/>
      <c r="AP176" s="89"/>
      <c r="AW176" s="90"/>
      <c r="AX176" s="101"/>
      <c r="BB176" s="101"/>
      <c r="BF176" s="101"/>
      <c r="BJ176" s="101"/>
      <c r="BN176" s="101"/>
      <c r="BQ176" s="85"/>
      <c r="BR176" s="85"/>
      <c r="BS176" s="85"/>
      <c r="BT176" s="85"/>
      <c r="BU176" s="87"/>
      <c r="BV176" s="87"/>
      <c r="CQ176" s="84"/>
      <c r="CR176" s="84"/>
      <c r="CS176" s="84"/>
      <c r="CT176" s="84"/>
      <c r="CU176" s="84"/>
      <c r="CV176" s="84"/>
      <c r="CW176" s="84"/>
      <c r="CX176" s="84"/>
      <c r="CY176" s="84"/>
      <c r="CZ176" s="84"/>
      <c r="DA176" s="84"/>
      <c r="DB176" s="84"/>
      <c r="DC176" s="84"/>
      <c r="DD176" s="84"/>
      <c r="DE176" s="84"/>
      <c r="DF176" s="84"/>
      <c r="DG176" s="84"/>
      <c r="DH176" s="84"/>
      <c r="DI176" s="84"/>
      <c r="DJ176" s="84"/>
      <c r="DK176" s="84"/>
      <c r="DL176" s="84"/>
      <c r="DM176" s="84"/>
      <c r="DN176" s="84"/>
      <c r="DO176" s="84"/>
      <c r="DP176" s="84"/>
      <c r="DQ176" s="84"/>
    </row>
    <row r="177" spans="2:121" s="83" customFormat="1" ht="13.5" customHeight="1">
      <c r="B177" s="83" t="s">
        <v>17</v>
      </c>
      <c r="AA177" s="96">
        <f t="shared" ref="AA177:BP177" si="282">AA162/AA160</f>
        <v>0.68717948717948718</v>
      </c>
      <c r="AB177" s="96">
        <f t="shared" si="282"/>
        <v>0.64775413711583929</v>
      </c>
      <c r="AC177" s="96">
        <f t="shared" si="282"/>
        <v>0.66468253968253965</v>
      </c>
      <c r="AD177" s="96">
        <f t="shared" si="282"/>
        <v>0.66911764705882348</v>
      </c>
      <c r="AE177" s="96">
        <f t="shared" si="282"/>
        <v>0.68911917098445596</v>
      </c>
      <c r="AF177" s="96">
        <f t="shared" si="282"/>
        <v>0.63748079877112129</v>
      </c>
      <c r="AG177" s="96">
        <f t="shared" si="282"/>
        <v>0.63839285714285721</v>
      </c>
      <c r="AH177" s="96">
        <f t="shared" si="282"/>
        <v>0.63748290013679887</v>
      </c>
      <c r="AI177" s="96">
        <f t="shared" si="282"/>
        <v>0.65163934426229508</v>
      </c>
      <c r="AJ177" s="96">
        <f t="shared" si="282"/>
        <v>0.63151364764267981</v>
      </c>
      <c r="AK177" s="96">
        <f t="shared" si="282"/>
        <v>0.65315852205005964</v>
      </c>
      <c r="AL177" s="96">
        <f t="shared" si="282"/>
        <v>0.66389177939646205</v>
      </c>
      <c r="AM177" s="96">
        <f t="shared" si="282"/>
        <v>0.6484907497565725</v>
      </c>
      <c r="AN177" s="96">
        <f t="shared" si="282"/>
        <v>0.65875912408759119</v>
      </c>
      <c r="AO177" s="96">
        <f t="shared" si="282"/>
        <v>0.67084078711985695</v>
      </c>
      <c r="AP177" s="96">
        <f t="shared" si="282"/>
        <v>0.65149006622516548</v>
      </c>
      <c r="AQ177" s="96">
        <f t="shared" si="282"/>
        <v>0.65330623875925542</v>
      </c>
      <c r="AR177" s="96">
        <f t="shared" si="282"/>
        <v>0.69990536583184926</v>
      </c>
      <c r="AS177" s="96">
        <f t="shared" si="282"/>
        <v>0.6881478401743345</v>
      </c>
      <c r="AT177" s="96">
        <f t="shared" si="282"/>
        <v>0.67551510728963748</v>
      </c>
      <c r="AU177" s="96">
        <f t="shared" si="282"/>
        <v>0.64093226511289147</v>
      </c>
      <c r="AV177" s="96">
        <f t="shared" si="282"/>
        <v>0.61750713606089436</v>
      </c>
      <c r="AW177" s="96">
        <f t="shared" si="282"/>
        <v>0.60189940436796829</v>
      </c>
      <c r="AX177" s="96">
        <f t="shared" si="282"/>
        <v>0.56513611963190191</v>
      </c>
      <c r="AY177" s="96">
        <f t="shared" si="282"/>
        <v>0.65799645390070927</v>
      </c>
      <c r="AZ177" s="96">
        <f t="shared" si="282"/>
        <v>0.64405860010851879</v>
      </c>
      <c r="BA177" s="96">
        <f t="shared" si="282"/>
        <v>0.6307206733298264</v>
      </c>
      <c r="BB177" s="96">
        <f t="shared" si="282"/>
        <v>0.61497622432472154</v>
      </c>
      <c r="BC177" s="96">
        <f t="shared" si="282"/>
        <v>0.62481608631682195</v>
      </c>
      <c r="BD177" s="96">
        <f t="shared" si="282"/>
        <v>0.64330292846855497</v>
      </c>
      <c r="BE177" s="96">
        <f t="shared" si="282"/>
        <v>0.63313055685540476</v>
      </c>
      <c r="BF177" s="96">
        <f t="shared" si="282"/>
        <v>0.6260684436770283</v>
      </c>
      <c r="BG177" s="96">
        <f t="shared" si="282"/>
        <v>0.62593206296603154</v>
      </c>
      <c r="BH177" s="96">
        <f t="shared" si="282"/>
        <v>0.63824091778202674</v>
      </c>
      <c r="BI177" s="96">
        <f t="shared" si="282"/>
        <v>0.65596160944998161</v>
      </c>
      <c r="BJ177" s="96">
        <f t="shared" si="282"/>
        <v>0.65650463613374543</v>
      </c>
      <c r="BK177" s="96">
        <f t="shared" si="282"/>
        <v>0.65016146393972007</v>
      </c>
      <c r="BL177" s="96">
        <f t="shared" si="282"/>
        <v>0.54375417501670009</v>
      </c>
      <c r="BM177" s="96">
        <f t="shared" si="282"/>
        <v>0.6654485049833887</v>
      </c>
      <c r="BN177" s="96">
        <f t="shared" si="282"/>
        <v>0.66782884310618063</v>
      </c>
      <c r="BO177" s="96">
        <f t="shared" si="282"/>
        <v>0.66601777009933971</v>
      </c>
      <c r="BP177" s="96">
        <f t="shared" si="282"/>
        <v>0.65991073927324684</v>
      </c>
      <c r="BQ177" s="96">
        <v>0.67</v>
      </c>
      <c r="BR177" s="96">
        <v>0.67749999999999999</v>
      </c>
      <c r="BS177" s="85"/>
      <c r="BT177" s="85"/>
      <c r="BU177" s="87"/>
      <c r="BV177" s="87"/>
      <c r="CG177" s="96">
        <f t="shared" ref="CG177:CO177" si="283">CG162/CG160</f>
        <v>0.6668457818377217</v>
      </c>
      <c r="CH177" s="96">
        <f t="shared" si="283"/>
        <v>0.6490695024686669</v>
      </c>
      <c r="CI177" s="96">
        <f t="shared" si="283"/>
        <v>0.65068903535050926</v>
      </c>
      <c r="CJ177" s="96">
        <f t="shared" si="283"/>
        <v>0.65745111260957512</v>
      </c>
      <c r="CK177" s="96">
        <f t="shared" si="283"/>
        <v>0.6795030352409468</v>
      </c>
      <c r="CL177" s="96">
        <f t="shared" si="283"/>
        <v>0.60343996916554254</v>
      </c>
      <c r="CM177" s="96">
        <f t="shared" si="283"/>
        <v>0.63588598028331034</v>
      </c>
      <c r="CN177" s="96">
        <f t="shared" si="283"/>
        <v>0.63178627204937132</v>
      </c>
      <c r="CO177" s="96">
        <f t="shared" si="283"/>
        <v>0.64488153270604243</v>
      </c>
      <c r="CP177" s="96">
        <f>CP162/CP160</f>
        <v>0.63201071488364302</v>
      </c>
      <c r="CQ177" s="98">
        <v>0.66900000000000004</v>
      </c>
      <c r="CR177" s="98">
        <v>0.68</v>
      </c>
      <c r="CS177" s="98">
        <v>0.67</v>
      </c>
      <c r="CT177" s="98">
        <v>0.68500000000000005</v>
      </c>
      <c r="CU177" s="98">
        <v>0.69499999999999995</v>
      </c>
      <c r="CV177" s="98">
        <v>0.7</v>
      </c>
      <c r="CW177" s="98">
        <v>0.70499999999999996</v>
      </c>
      <c r="CX177" s="98">
        <v>0.70499999999999996</v>
      </c>
      <c r="CY177" s="98">
        <v>0.70499999999999996</v>
      </c>
      <c r="CZ177" s="98">
        <v>0.70499999999999996</v>
      </c>
      <c r="DA177" s="98">
        <v>0.70499999999999996</v>
      </c>
      <c r="DB177" s="84"/>
      <c r="DC177" s="84"/>
      <c r="DD177" s="84"/>
      <c r="DE177" s="84"/>
      <c r="DF177" s="84"/>
      <c r="DG177" s="84"/>
      <c r="DH177" s="84"/>
      <c r="DI177" s="84"/>
      <c r="DJ177" s="84"/>
      <c r="DK177" s="84"/>
      <c r="DL177" s="84"/>
      <c r="DM177" s="84"/>
      <c r="DN177" s="84"/>
      <c r="DO177" s="84"/>
      <c r="DP177" s="84"/>
      <c r="DQ177" s="84"/>
    </row>
    <row r="178" spans="2:121" s="83" customFormat="1" ht="13.5" customHeight="1">
      <c r="B178" s="83" t="s">
        <v>2436</v>
      </c>
      <c r="AA178" s="96">
        <f t="shared" ref="AA178:BP178" si="284">AA163/AA160</f>
        <v>8.2051282051282051E-2</v>
      </c>
      <c r="AB178" s="96">
        <f t="shared" si="284"/>
        <v>0.11347517730496454</v>
      </c>
      <c r="AC178" s="96">
        <f t="shared" si="284"/>
        <v>9.1269841269841265E-2</v>
      </c>
      <c r="AD178" s="96">
        <f t="shared" si="284"/>
        <v>0.10110294117647059</v>
      </c>
      <c r="AE178" s="96">
        <f t="shared" si="284"/>
        <v>8.6355785837651119E-2</v>
      </c>
      <c r="AF178" s="96">
        <f t="shared" si="284"/>
        <v>9.6774193548387108E-2</v>
      </c>
      <c r="AG178" s="96">
        <f t="shared" si="284"/>
        <v>9.6726190476190466E-2</v>
      </c>
      <c r="AH178" s="96">
        <f t="shared" si="284"/>
        <v>8.3447332421340628E-2</v>
      </c>
      <c r="AI178" s="96">
        <f t="shared" si="284"/>
        <v>9.5628415300546443E-2</v>
      </c>
      <c r="AJ178" s="96">
        <f t="shared" si="284"/>
        <v>0.10049627791563276</v>
      </c>
      <c r="AK178" s="96">
        <f t="shared" si="284"/>
        <v>9.6543504171632891E-2</v>
      </c>
      <c r="AL178" s="96">
        <f t="shared" si="284"/>
        <v>8.7408949011446413E-2</v>
      </c>
      <c r="AM178" s="96">
        <f t="shared" si="284"/>
        <v>7.7896786757546244E-2</v>
      </c>
      <c r="AN178" s="96">
        <f t="shared" si="284"/>
        <v>7.4817518248175174E-2</v>
      </c>
      <c r="AO178" s="96">
        <f t="shared" si="284"/>
        <v>0.35688729874776387</v>
      </c>
      <c r="AP178" s="96">
        <f t="shared" si="284"/>
        <v>9.0231788079470202E-2</v>
      </c>
      <c r="AQ178" s="96">
        <f t="shared" si="284"/>
        <v>9.0836895335528925E-2</v>
      </c>
      <c r="AR178" s="96">
        <f t="shared" si="284"/>
        <v>0.10031221823980448</v>
      </c>
      <c r="AS178" s="96">
        <f t="shared" si="284"/>
        <v>9.8443033074794628E-2</v>
      </c>
      <c r="AT178" s="96">
        <f t="shared" si="284"/>
        <v>8.8537184791513193E-2</v>
      </c>
      <c r="AU178" s="96">
        <f t="shared" si="284"/>
        <v>9.4289876183539678E-2</v>
      </c>
      <c r="AV178" s="96">
        <f t="shared" si="284"/>
        <v>0.21622264509990488</v>
      </c>
      <c r="AW178" s="96">
        <f t="shared" si="284"/>
        <v>0.23112508272667109</v>
      </c>
      <c r="AX178" s="96">
        <f t="shared" si="284"/>
        <v>0.11655842599693257</v>
      </c>
      <c r="AY178" s="96">
        <f t="shared" si="284"/>
        <v>0.10683215130023642</v>
      </c>
      <c r="AZ178" s="96">
        <f t="shared" si="284"/>
        <v>9.624525230602278E-2</v>
      </c>
      <c r="BA178" s="96">
        <f t="shared" si="284"/>
        <v>8.8006312467122566E-2</v>
      </c>
      <c r="BB178" s="96">
        <f t="shared" si="284"/>
        <v>0.25495367419971571</v>
      </c>
      <c r="BC178" s="96">
        <f t="shared" si="284"/>
        <v>0.10083374203040706</v>
      </c>
      <c r="BD178" s="96">
        <f t="shared" si="284"/>
        <v>9.3898223715794524E-2</v>
      </c>
      <c r="BE178" s="96">
        <f t="shared" si="284"/>
        <v>9.9766027140851671E-2</v>
      </c>
      <c r="BF178" s="96">
        <f t="shared" si="284"/>
        <v>8.1217539878770353E-2</v>
      </c>
      <c r="BG178" s="96">
        <f t="shared" si="284"/>
        <v>8.2767191383595687E-2</v>
      </c>
      <c r="BH178" s="96">
        <f t="shared" si="284"/>
        <v>8.2217973231357558E-2</v>
      </c>
      <c r="BI178" s="96">
        <f t="shared" si="284"/>
        <v>7.7519379844961253E-2</v>
      </c>
      <c r="BJ178" s="96">
        <f t="shared" si="284"/>
        <v>7.6987917954481594E-2</v>
      </c>
      <c r="BK178" s="96">
        <f t="shared" si="284"/>
        <v>8.8266953713670618E-2</v>
      </c>
      <c r="BL178" s="96">
        <f t="shared" si="284"/>
        <v>8.3166332665330661E-2</v>
      </c>
      <c r="BM178" s="96">
        <f t="shared" si="284"/>
        <v>8.3720930232558138E-2</v>
      </c>
      <c r="BN178" s="96">
        <f t="shared" si="284"/>
        <v>6.3708399366085564E-2</v>
      </c>
      <c r="BO178" s="96">
        <f t="shared" si="284"/>
        <v>6.8109458875794421E-2</v>
      </c>
      <c r="BP178" s="96">
        <f t="shared" si="284"/>
        <v>6.8397873061230505E-2</v>
      </c>
      <c r="BQ178" s="96">
        <v>6.8000000000000005E-2</v>
      </c>
      <c r="BR178" s="96">
        <v>7.0000000000000007E-2</v>
      </c>
      <c r="BS178" s="85"/>
      <c r="BT178" s="85"/>
      <c r="BU178" s="87"/>
      <c r="BV178" s="87"/>
      <c r="CG178" s="96">
        <f t="shared" ref="CG178:CP178" si="285">CG163/CG160</f>
        <v>9.7259537882858682E-2</v>
      </c>
      <c r="CH178" s="96">
        <f t="shared" si="285"/>
        <v>9.0770983668818847E-2</v>
      </c>
      <c r="CI178" s="96">
        <f t="shared" si="285"/>
        <v>9.4667465548232479E-2</v>
      </c>
      <c r="CJ178" s="96">
        <f t="shared" si="285"/>
        <v>0.15059563946954371</v>
      </c>
      <c r="CK178" s="96">
        <f t="shared" si="285"/>
        <v>9.4487973211692292E-2</v>
      </c>
      <c r="CL178" s="96">
        <f t="shared" si="285"/>
        <v>0.16068356851744789</v>
      </c>
      <c r="CM178" s="96">
        <f t="shared" si="285"/>
        <v>0.13985205794620045</v>
      </c>
      <c r="CN178" s="96">
        <f t="shared" si="285"/>
        <v>9.3736166575968588E-2</v>
      </c>
      <c r="CO178" s="96">
        <f t="shared" si="285"/>
        <v>7.9733968181989953E-2</v>
      </c>
      <c r="CP178" s="96">
        <f t="shared" si="285"/>
        <v>7.9357106981416375E-2</v>
      </c>
      <c r="CQ178" s="98">
        <v>7.1999999999999995E-2</v>
      </c>
      <c r="CR178" s="98">
        <v>7.0000000000000007E-2</v>
      </c>
      <c r="CS178" s="98">
        <v>6.9000000000000006E-2</v>
      </c>
      <c r="CT178" s="98">
        <v>6.8000000000000005E-2</v>
      </c>
      <c r="CU178" s="98">
        <v>6.7000000000000004E-2</v>
      </c>
      <c r="CV178" s="98">
        <v>6.6000000000000003E-2</v>
      </c>
      <c r="CW178" s="98">
        <v>6.5000000000000002E-2</v>
      </c>
      <c r="CX178" s="98">
        <v>6.5000000000000002E-2</v>
      </c>
      <c r="CY178" s="98">
        <v>6.5000000000000002E-2</v>
      </c>
      <c r="CZ178" s="98">
        <v>6.5000000000000002E-2</v>
      </c>
      <c r="DA178" s="98">
        <v>6.5000000000000002E-2</v>
      </c>
      <c r="DB178" s="84"/>
      <c r="DC178" s="84"/>
      <c r="DD178" s="84"/>
      <c r="DE178" s="84"/>
      <c r="DF178" s="84"/>
      <c r="DG178" s="84"/>
      <c r="DH178" s="84"/>
      <c r="DI178" s="84"/>
      <c r="DJ178" s="84"/>
      <c r="DK178" s="84"/>
      <c r="DL178" s="84"/>
      <c r="DM178" s="84"/>
      <c r="DN178" s="84"/>
      <c r="DO178" s="84"/>
      <c r="DP178" s="84"/>
      <c r="DQ178" s="84"/>
    </row>
    <row r="179" spans="2:121" s="83" customFormat="1" ht="13.5" customHeight="1">
      <c r="B179" s="83" t="s">
        <v>2437</v>
      </c>
      <c r="AA179" s="96">
        <f t="shared" ref="AA179:BP179" si="286">AA164/AA160</f>
        <v>0.5</v>
      </c>
      <c r="AB179" s="96">
        <f t="shared" si="286"/>
        <v>0.62411347517730498</v>
      </c>
      <c r="AC179" s="96">
        <f t="shared" si="286"/>
        <v>0.53174603174603174</v>
      </c>
      <c r="AD179" s="96">
        <f t="shared" si="286"/>
        <v>0.53676470588235292</v>
      </c>
      <c r="AE179" s="96">
        <f t="shared" si="286"/>
        <v>0.57167530224525043</v>
      </c>
      <c r="AF179" s="96">
        <f t="shared" si="286"/>
        <v>0.55145929339477728</v>
      </c>
      <c r="AG179" s="96">
        <f t="shared" si="286"/>
        <v>0.56101190476190477</v>
      </c>
      <c r="AH179" s="96">
        <f t="shared" si="286"/>
        <v>0.56908344733242144</v>
      </c>
      <c r="AI179" s="96">
        <f t="shared" si="286"/>
        <v>0.58333333333333337</v>
      </c>
      <c r="AJ179" s="96">
        <f t="shared" si="286"/>
        <v>0.54838709677419362</v>
      </c>
      <c r="AK179" s="96">
        <f t="shared" si="286"/>
        <v>0.54827175208581647</v>
      </c>
      <c r="AL179" s="96">
        <f t="shared" si="286"/>
        <v>0.53590010405827271</v>
      </c>
      <c r="AM179" s="96">
        <f t="shared" si="286"/>
        <v>0.53067185978578379</v>
      </c>
      <c r="AN179" s="96">
        <f t="shared" si="286"/>
        <v>0.5</v>
      </c>
      <c r="AO179" s="96">
        <f t="shared" si="286"/>
        <v>0.5</v>
      </c>
      <c r="AP179" s="96">
        <f t="shared" si="286"/>
        <v>0.50662251655629142</v>
      </c>
      <c r="AQ179" s="96">
        <f t="shared" si="286"/>
        <v>0.47564213361985069</v>
      </c>
      <c r="AR179" s="96">
        <f t="shared" si="286"/>
        <v>0.50420637700166171</v>
      </c>
      <c r="AS179" s="96">
        <f t="shared" si="286"/>
        <v>0.49668821952373443</v>
      </c>
      <c r="AT179" s="96">
        <f t="shared" si="286"/>
        <v>0.51416415968498042</v>
      </c>
      <c r="AU179" s="96">
        <f t="shared" si="286"/>
        <v>0.5422651128914785</v>
      </c>
      <c r="AV179" s="96">
        <f t="shared" si="286"/>
        <v>0.56898192197906761</v>
      </c>
      <c r="AW179" s="96">
        <f t="shared" si="286"/>
        <v>0.50430178689609539</v>
      </c>
      <c r="AX179" s="96">
        <f t="shared" si="286"/>
        <v>0.45901433090490795</v>
      </c>
      <c r="AY179" s="96">
        <f t="shared" si="286"/>
        <v>0.47161938534278963</v>
      </c>
      <c r="AZ179" s="96">
        <f t="shared" si="286"/>
        <v>0.49175257731958755</v>
      </c>
      <c r="BA179" s="96">
        <f t="shared" si="286"/>
        <v>0.49656496580746978</v>
      </c>
      <c r="BB179" s="96">
        <f t="shared" si="286"/>
        <v>0.55642923672729072</v>
      </c>
      <c r="BC179" s="96">
        <f t="shared" si="286"/>
        <v>0.54389406571848942</v>
      </c>
      <c r="BD179" s="96">
        <f t="shared" si="286"/>
        <v>0.55024003840614488</v>
      </c>
      <c r="BE179" s="96">
        <f t="shared" si="286"/>
        <v>0.5080486663547028</v>
      </c>
      <c r="BF179" s="96">
        <f t="shared" si="286"/>
        <v>0.52267518860206241</v>
      </c>
      <c r="BG179" s="96">
        <f t="shared" si="286"/>
        <v>0.50981772990886487</v>
      </c>
      <c r="BH179" s="96">
        <f t="shared" si="286"/>
        <v>0.48718929254302107</v>
      </c>
      <c r="BI179" s="96">
        <f t="shared" si="286"/>
        <v>0.46474713916574389</v>
      </c>
      <c r="BJ179" s="96">
        <f t="shared" si="286"/>
        <v>0.45669429615060397</v>
      </c>
      <c r="BK179" s="96">
        <f t="shared" si="286"/>
        <v>0.51811984212414786</v>
      </c>
      <c r="BL179" s="96">
        <f t="shared" si="286"/>
        <v>0.4739478957915832</v>
      </c>
      <c r="BM179" s="96">
        <f t="shared" si="286"/>
        <v>0.46411960132890362</v>
      </c>
      <c r="BN179" s="96">
        <f t="shared" si="286"/>
        <v>0.46909667194928684</v>
      </c>
      <c r="BO179" s="96">
        <f t="shared" si="286"/>
        <v>0.47342506324427713</v>
      </c>
      <c r="BP179" s="96">
        <f t="shared" si="286"/>
        <v>0.47123771928532504</v>
      </c>
      <c r="BQ179" s="96">
        <v>0.47</v>
      </c>
      <c r="BR179" s="96">
        <v>0.46800000000000003</v>
      </c>
      <c r="BS179" s="85"/>
      <c r="BT179" s="85"/>
      <c r="BU179" s="87"/>
      <c r="BV179" s="87"/>
      <c r="CG179" s="96">
        <f t="shared" ref="CG179:CP179" si="287">CG164/CG160</f>
        <v>0.5475550779150995</v>
      </c>
      <c r="CH179" s="96">
        <f t="shared" si="287"/>
        <v>0.56323585263957476</v>
      </c>
      <c r="CI179" s="96">
        <f t="shared" si="287"/>
        <v>0.55242660275614142</v>
      </c>
      <c r="CJ179" s="96">
        <f t="shared" si="287"/>
        <v>0.50887839964036852</v>
      </c>
      <c r="CK179" s="96">
        <f t="shared" si="287"/>
        <v>0.49823073676980212</v>
      </c>
      <c r="CL179" s="96">
        <f t="shared" si="287"/>
        <v>0.51224456292870235</v>
      </c>
      <c r="CM179" s="96">
        <f t="shared" si="287"/>
        <v>0.50606749689000652</v>
      </c>
      <c r="CN179" s="96">
        <f t="shared" si="287"/>
        <v>0.53087059529023184</v>
      </c>
      <c r="CO179" s="96">
        <f t="shared" si="287"/>
        <v>0.47840380909193969</v>
      </c>
      <c r="CP179" s="96">
        <f t="shared" si="287"/>
        <v>0.48049556336849158</v>
      </c>
      <c r="CQ179" s="98">
        <v>0.45500000000000002</v>
      </c>
      <c r="CR179" s="98">
        <v>0.45250000000000001</v>
      </c>
      <c r="CS179" s="98">
        <v>0.44600000000000001</v>
      </c>
      <c r="CT179" s="98">
        <v>0.439</v>
      </c>
      <c r="CU179" s="98">
        <v>0.435</v>
      </c>
      <c r="CV179" s="98">
        <v>0.4325</v>
      </c>
      <c r="CW179" s="98">
        <v>0.42799999999999999</v>
      </c>
      <c r="CX179" s="98">
        <v>0.42499999999999999</v>
      </c>
      <c r="CY179" s="98">
        <v>0.42</v>
      </c>
      <c r="CZ179" s="98">
        <v>0.41</v>
      </c>
      <c r="DA179" s="98">
        <v>0.41</v>
      </c>
      <c r="DB179" s="98"/>
      <c r="DC179" s="84"/>
      <c r="DD179" s="84"/>
      <c r="DE179" s="84"/>
      <c r="DF179" s="84"/>
      <c r="DG179" s="84"/>
      <c r="DH179" s="84"/>
      <c r="DI179" s="84"/>
      <c r="DJ179" s="84"/>
      <c r="DK179" s="84"/>
      <c r="DL179" s="84"/>
      <c r="DM179" s="84"/>
      <c r="DN179" s="84"/>
      <c r="DO179" s="84"/>
      <c r="DP179" s="84"/>
      <c r="DQ179" s="84"/>
    </row>
    <row r="180" spans="2:121" s="83" customFormat="1" ht="13.5" customHeight="1">
      <c r="B180" s="83" t="s">
        <v>16</v>
      </c>
      <c r="AA180" s="96">
        <f t="shared" ref="AA180:BR180" si="288">AA167/AA160</f>
        <v>0.10256410256410256</v>
      </c>
      <c r="AB180" s="96">
        <f t="shared" si="288"/>
        <v>-8.9834515366430279E-2</v>
      </c>
      <c r="AC180" s="96">
        <f t="shared" si="288"/>
        <v>4.3650793650793634E-2</v>
      </c>
      <c r="AD180" s="96">
        <f t="shared" si="288"/>
        <v>3.3088235294117599E-2</v>
      </c>
      <c r="AE180" s="96">
        <f t="shared" si="288"/>
        <v>3.1088082901554355E-2</v>
      </c>
      <c r="AF180" s="96">
        <f t="shared" si="288"/>
        <v>-1.0752688172043055E-2</v>
      </c>
      <c r="AG180" s="96">
        <f t="shared" si="288"/>
        <v>-2.0833333333333311E-2</v>
      </c>
      <c r="AH180" s="96">
        <f t="shared" si="288"/>
        <v>-1.6415868673050754E-2</v>
      </c>
      <c r="AI180" s="96">
        <f t="shared" si="288"/>
        <v>-2.7322404371584699E-2</v>
      </c>
      <c r="AJ180" s="96">
        <f t="shared" si="288"/>
        <v>-1.6129032258064658E-2</v>
      </c>
      <c r="AK180" s="96">
        <f t="shared" si="288"/>
        <v>8.3432657926102837E-3</v>
      </c>
      <c r="AL180" s="96">
        <f t="shared" si="288"/>
        <v>4.0582726326742966E-2</v>
      </c>
      <c r="AM180" s="96">
        <f t="shared" si="288"/>
        <v>3.8948393378773052E-2</v>
      </c>
      <c r="AN180" s="96">
        <f t="shared" si="288"/>
        <v>8.4854014598540056E-2</v>
      </c>
      <c r="AO180" s="96">
        <f t="shared" si="288"/>
        <v>-0.18604651162790695</v>
      </c>
      <c r="AP180" s="96">
        <f t="shared" si="288"/>
        <v>5.5463576158940188E-2</v>
      </c>
      <c r="AQ180" s="96">
        <f t="shared" si="288"/>
        <v>8.6827209803875788E-2</v>
      </c>
      <c r="AR180" s="96">
        <f t="shared" si="288"/>
        <v>9.5386770590383002E-2</v>
      </c>
      <c r="AS180" s="96">
        <f t="shared" si="288"/>
        <v>9.301658757580536E-2</v>
      </c>
      <c r="AT180" s="96">
        <f t="shared" si="288"/>
        <v>7.2813762813143876E-2</v>
      </c>
      <c r="AU180" s="96">
        <f t="shared" si="288"/>
        <v>4.377276037873367E-3</v>
      </c>
      <c r="AV180" s="96">
        <f t="shared" si="288"/>
        <v>-0.16769743101807816</v>
      </c>
      <c r="AW180" s="96">
        <f t="shared" si="288"/>
        <v>-0.13352746525479817</v>
      </c>
      <c r="AX180" s="96">
        <f t="shared" si="288"/>
        <v>-1.0436637269938589E-2</v>
      </c>
      <c r="AY180" s="96">
        <f t="shared" si="288"/>
        <v>7.9544917257683243E-2</v>
      </c>
      <c r="AZ180" s="96">
        <f t="shared" si="288"/>
        <v>5.6060770482908417E-2</v>
      </c>
      <c r="BA180" s="96">
        <f t="shared" si="288"/>
        <v>4.6149395055233994E-2</v>
      </c>
      <c r="BB180" s="96">
        <f t="shared" si="288"/>
        <v>-0.19640668660228483</v>
      </c>
      <c r="BC180" s="96">
        <f t="shared" si="288"/>
        <v>-1.9911721432074557E-2</v>
      </c>
      <c r="BD180" s="96">
        <f t="shared" si="288"/>
        <v>-8.3533365338457318E-4</v>
      </c>
      <c r="BE180" s="96">
        <f t="shared" si="288"/>
        <v>2.5315863359850244E-2</v>
      </c>
      <c r="BF180" s="96">
        <f t="shared" si="288"/>
        <v>2.2175715196195642E-2</v>
      </c>
      <c r="BG180" s="96">
        <f t="shared" si="288"/>
        <v>3.3347141673571001E-2</v>
      </c>
      <c r="BH180" s="96">
        <f t="shared" si="288"/>
        <v>6.8833652007648183E-2</v>
      </c>
      <c r="BI180" s="96">
        <f t="shared" si="288"/>
        <v>4.651162790697673E-2</v>
      </c>
      <c r="BJ180" s="96">
        <f t="shared" si="288"/>
        <v>0.12282242202865983</v>
      </c>
      <c r="BK180" s="96">
        <f t="shared" si="288"/>
        <v>4.377466810190165E-2</v>
      </c>
      <c r="BL180" s="96">
        <f t="shared" si="288"/>
        <v>-0.27020708082832345</v>
      </c>
      <c r="BM180" s="96">
        <f t="shared" si="288"/>
        <v>0.11760797342192703</v>
      </c>
      <c r="BN180" s="96">
        <f t="shared" si="288"/>
        <v>0.13489698890649762</v>
      </c>
      <c r="BO180" s="96">
        <f t="shared" si="288"/>
        <v>0.1244832479792682</v>
      </c>
      <c r="BP180" s="96">
        <f t="shared" si="288"/>
        <v>0.12027514692669133</v>
      </c>
      <c r="BQ180" s="96">
        <f t="shared" si="288"/>
        <v>0.13769401017804528</v>
      </c>
      <c r="BR180" s="96">
        <f t="shared" si="288"/>
        <v>0.13949999999999993</v>
      </c>
      <c r="BS180" s="85"/>
      <c r="BT180" s="85"/>
      <c r="BU180" s="87"/>
      <c r="BV180" s="87"/>
      <c r="CG180" s="96">
        <f t="shared" ref="CG180:CZ180" si="289">CG167/CG160</f>
        <v>2.2568511552928511E-2</v>
      </c>
      <c r="CH180" s="96">
        <f t="shared" si="289"/>
        <v>-5.6969236612229943E-3</v>
      </c>
      <c r="CI180" s="96">
        <f t="shared" si="289"/>
        <v>3.8945476333133314E-3</v>
      </c>
      <c r="CJ180" s="96">
        <f t="shared" si="289"/>
        <v>-1.798156889188671E-3</v>
      </c>
      <c r="CK180" s="96">
        <f t="shared" si="289"/>
        <v>8.6784325259452302E-2</v>
      </c>
      <c r="CL180" s="96">
        <f t="shared" si="289"/>
        <v>-6.948816228060764E-2</v>
      </c>
      <c r="CM180" s="96">
        <f t="shared" si="289"/>
        <v>-1.0033574552896685E-2</v>
      </c>
      <c r="CN180" s="96">
        <f t="shared" si="289"/>
        <v>7.1795101831708917E-3</v>
      </c>
      <c r="CO180" s="96">
        <f t="shared" si="289"/>
        <v>6.9549937648792665E-2</v>
      </c>
      <c r="CP180" s="96">
        <f t="shared" si="289"/>
        <v>7.751548635526434E-3</v>
      </c>
      <c r="CQ180" s="98">
        <f t="shared" si="289"/>
        <v>0.14200000000000013</v>
      </c>
      <c r="CR180" s="98">
        <f t="shared" si="289"/>
        <v>0.15750000000000014</v>
      </c>
      <c r="CS180" s="98">
        <f t="shared" si="289"/>
        <v>0.15500000000000008</v>
      </c>
      <c r="CT180" s="98">
        <f t="shared" si="289"/>
        <v>0.1780000000000001</v>
      </c>
      <c r="CU180" s="98">
        <f t="shared" si="289"/>
        <v>0.19299999999999995</v>
      </c>
      <c r="CV180" s="98">
        <f t="shared" si="289"/>
        <v>0.20150000000000004</v>
      </c>
      <c r="CW180" s="98">
        <f t="shared" si="289"/>
        <v>0.21199999999999997</v>
      </c>
      <c r="CX180" s="98">
        <f t="shared" si="289"/>
        <v>0.21499999999999994</v>
      </c>
      <c r="CY180" s="98">
        <f t="shared" si="289"/>
        <v>0.22000000000000003</v>
      </c>
      <c r="CZ180" s="98">
        <f t="shared" si="289"/>
        <v>0.23</v>
      </c>
      <c r="DA180" s="98">
        <f t="shared" ref="DA180" si="290">DA167/DA160</f>
        <v>0.23000000000000004</v>
      </c>
      <c r="DB180" s="84"/>
      <c r="DC180" s="84"/>
      <c r="DD180" s="84"/>
      <c r="DE180" s="84"/>
      <c r="DF180" s="84"/>
      <c r="DG180" s="84"/>
      <c r="DH180" s="84"/>
      <c r="DI180" s="84"/>
      <c r="DJ180" s="84"/>
      <c r="DK180" s="84"/>
      <c r="DL180" s="84"/>
      <c r="DM180" s="84"/>
      <c r="DN180" s="84"/>
      <c r="DO180" s="84"/>
      <c r="DP180" s="84"/>
      <c r="DQ180" s="84"/>
    </row>
    <row r="181" spans="2:121" s="83" customFormat="1" ht="13.5" customHeight="1">
      <c r="B181" s="83" t="s">
        <v>2220</v>
      </c>
      <c r="AA181" s="96">
        <f t="shared" ref="AA181:BM181" si="291">AA170/AA169</f>
        <v>0.39534883720930231</v>
      </c>
      <c r="AB181" s="96">
        <f t="shared" si="291"/>
        <v>0.35714285714285704</v>
      </c>
      <c r="AC181" s="96">
        <f t="shared" si="291"/>
        <v>0.57142857142857162</v>
      </c>
      <c r="AD181" s="96">
        <f t="shared" si="291"/>
        <v>0.105263157894737</v>
      </c>
      <c r="AE181" s="96">
        <f t="shared" si="291"/>
        <v>-9.5238095238095385E-2</v>
      </c>
      <c r="AF181" s="96">
        <f t="shared" si="291"/>
        <v>8.4999999999999396</v>
      </c>
      <c r="AG181" s="96">
        <f t="shared" si="291"/>
        <v>11.818181818181834</v>
      </c>
      <c r="AH181" s="96">
        <f t="shared" si="291"/>
        <v>-0.56249999999999656</v>
      </c>
      <c r="AI181" s="96">
        <f t="shared" si="291"/>
        <v>-0.82352941176470584</v>
      </c>
      <c r="AJ181" s="96">
        <f t="shared" si="291"/>
        <v>-0.55555555555554859</v>
      </c>
      <c r="AK181" s="96">
        <f t="shared" si="291"/>
        <v>0.38461538461538375</v>
      </c>
      <c r="AL181" s="96">
        <f t="shared" si="291"/>
        <v>-1.5128205128205134</v>
      </c>
      <c r="AM181" s="96">
        <f t="shared" si="291"/>
        <v>-0.42222222222222289</v>
      </c>
      <c r="AN181" s="96">
        <f t="shared" si="291"/>
        <v>-0.50515463917525827</v>
      </c>
      <c r="AO181" s="96">
        <f t="shared" si="291"/>
        <v>-8.0402010050251271E-2</v>
      </c>
      <c r="AP181" s="96">
        <f t="shared" si="291"/>
        <v>0.12162162162162204</v>
      </c>
      <c r="AQ181" s="96">
        <f t="shared" si="291"/>
        <v>0.12217650516416156</v>
      </c>
      <c r="AR181" s="96">
        <f t="shared" si="291"/>
        <v>-0.20238271422228815</v>
      </c>
      <c r="AS181" s="96">
        <f t="shared" si="291"/>
        <v>0.15143099591144024</v>
      </c>
      <c r="AT181" s="96">
        <f t="shared" si="291"/>
        <v>0.20839363241678549</v>
      </c>
      <c r="AU181" s="96">
        <f t="shared" si="291"/>
        <v>2.4946564885496687</v>
      </c>
      <c r="AV181" s="96">
        <f t="shared" si="291"/>
        <v>0.24275383620436217</v>
      </c>
      <c r="AW181" s="96">
        <f t="shared" si="291"/>
        <v>0.49901260823332821</v>
      </c>
      <c r="AX181" s="96">
        <f t="shared" si="291"/>
        <v>6.223762376237743</v>
      </c>
      <c r="AY181" s="96">
        <f t="shared" si="291"/>
        <v>0.12364599213672467</v>
      </c>
      <c r="AZ181" s="96">
        <f t="shared" si="291"/>
        <v>0.18585542404382235</v>
      </c>
      <c r="BA181" s="96">
        <f t="shared" si="291"/>
        <v>-3.2029843066632438E-2</v>
      </c>
      <c r="BB181" s="96">
        <f t="shared" si="291"/>
        <v>0.39834480738245126</v>
      </c>
      <c r="BC181" s="96">
        <f t="shared" si="291"/>
        <v>1.0140872627665813</v>
      </c>
      <c r="BD181" s="96">
        <f t="shared" si="291"/>
        <v>-2.20279720279719</v>
      </c>
      <c r="BE181" s="96">
        <f t="shared" si="291"/>
        <v>1.7549668874172206</v>
      </c>
      <c r="BF181" s="96">
        <f t="shared" si="291"/>
        <v>0.45699452785183436</v>
      </c>
      <c r="BG181" s="96">
        <f t="shared" si="291"/>
        <v>1.0351966873705955E-2</v>
      </c>
      <c r="BH181" s="96">
        <f t="shared" si="291"/>
        <v>2.551020408163265E-2</v>
      </c>
      <c r="BI181" s="96">
        <f t="shared" si="291"/>
        <v>0.30751879699248136</v>
      </c>
      <c r="BJ181" s="96">
        <f t="shared" si="291"/>
        <v>-0.41924651065169455</v>
      </c>
      <c r="BK181" s="96">
        <f t="shared" si="291"/>
        <v>0.24489795918367366</v>
      </c>
      <c r="BL181" s="96">
        <f t="shared" si="291"/>
        <v>0.22622107969151661</v>
      </c>
      <c r="BM181" s="96">
        <f t="shared" si="291"/>
        <v>0.25879396984924602</v>
      </c>
      <c r="BN181" s="96">
        <f>BN170/BN169</f>
        <v>0.23918459796149494</v>
      </c>
      <c r="BO181" s="96">
        <f>BO170/BO169</f>
        <v>0.10568197364220895</v>
      </c>
      <c r="BP181" s="96">
        <f>BP170/BP169</f>
        <v>8.8280732730081654E-4</v>
      </c>
      <c r="BQ181" s="96">
        <v>0.2</v>
      </c>
      <c r="BR181" s="96">
        <v>0.2</v>
      </c>
      <c r="BS181" s="85"/>
      <c r="BT181" s="85"/>
      <c r="BU181" s="87"/>
      <c r="BV181" s="87"/>
      <c r="CG181" s="96">
        <f t="shared" ref="CG181:CO181" si="292">CG170/CG169</f>
        <v>0.39024390243902479</v>
      </c>
      <c r="CH181" s="103">
        <f t="shared" si="292"/>
        <v>15.699999999999777</v>
      </c>
      <c r="CI181" s="96">
        <f t="shared" si="292"/>
        <v>-1.3461538461538514</v>
      </c>
      <c r="CJ181" s="96">
        <f t="shared" si="292"/>
        <v>-2.5294117647059431</v>
      </c>
      <c r="CK181" s="96">
        <f t="shared" si="292"/>
        <v>6.2453872698621696E-2</v>
      </c>
      <c r="CL181" s="96">
        <f t="shared" si="292"/>
        <v>0.49477820560156266</v>
      </c>
      <c r="CM181" s="96">
        <f t="shared" si="292"/>
        <v>1.2497619501047379</v>
      </c>
      <c r="CN181" s="96">
        <f t="shared" si="292"/>
        <v>1.5143884892085913</v>
      </c>
      <c r="CO181" s="96">
        <f t="shared" si="292"/>
        <v>-0.1417638941161711</v>
      </c>
      <c r="CP181" s="96">
        <f>CP170/CP169</f>
        <v>0.3290167865707454</v>
      </c>
      <c r="CQ181" s="98">
        <v>0.125</v>
      </c>
      <c r="CR181" s="98">
        <v>0.18</v>
      </c>
      <c r="CS181" s="98">
        <v>0.18</v>
      </c>
      <c r="CT181" s="98">
        <v>0.18</v>
      </c>
      <c r="CU181" s="98">
        <v>0.18</v>
      </c>
      <c r="CV181" s="98">
        <v>0.18</v>
      </c>
      <c r="CW181" s="98">
        <v>0.18</v>
      </c>
      <c r="CX181" s="98">
        <v>0.18</v>
      </c>
      <c r="CY181" s="98">
        <v>0.18</v>
      </c>
      <c r="CZ181" s="98">
        <v>0.18</v>
      </c>
      <c r="DA181" s="98">
        <v>0.18</v>
      </c>
      <c r="DB181" s="84"/>
      <c r="DC181" s="84"/>
      <c r="DD181" s="84"/>
      <c r="DE181" s="84"/>
      <c r="DF181" s="84"/>
      <c r="DG181" s="84"/>
      <c r="DH181" s="84"/>
      <c r="DI181" s="84"/>
      <c r="DJ181" s="84"/>
      <c r="DK181" s="84"/>
      <c r="DL181" s="84"/>
      <c r="DM181" s="84"/>
      <c r="DN181" s="84"/>
      <c r="DO181" s="84"/>
      <c r="DP181" s="84"/>
      <c r="DQ181" s="84"/>
    </row>
    <row r="182" spans="2:121" s="83" customFormat="1" ht="13.5" customHeight="1">
      <c r="B182" s="83" t="s">
        <v>15</v>
      </c>
      <c r="AA182" s="96">
        <f t="shared" ref="AA182:BP182" si="293">AA171/AA160</f>
        <v>6.4102564102564097E-2</v>
      </c>
      <c r="AB182" s="96">
        <f t="shared" si="293"/>
        <v>-6.3829787234042562E-2</v>
      </c>
      <c r="AC182" s="96">
        <f t="shared" si="293"/>
        <v>1.785714285714286E-2</v>
      </c>
      <c r="AD182" s="96">
        <f t="shared" si="293"/>
        <v>2.9411764705882356E-2</v>
      </c>
      <c r="AE182" s="96">
        <f t="shared" si="293"/>
        <v>3.9723661485319514E-2</v>
      </c>
      <c r="AF182" s="96">
        <f t="shared" si="293"/>
        <v>4.6082949308755762E-2</v>
      </c>
      <c r="AG182" s="96">
        <f t="shared" si="293"/>
        <v>0.17708333333333334</v>
      </c>
      <c r="AH182" s="96">
        <f t="shared" si="293"/>
        <v>-3.2831737346101231E-2</v>
      </c>
      <c r="AI182" s="96">
        <f t="shared" si="293"/>
        <v>-4.2349726775956283E-2</v>
      </c>
      <c r="AJ182" s="96">
        <f t="shared" si="293"/>
        <v>-1.9851116625310177E-2</v>
      </c>
      <c r="AK182" s="96">
        <f t="shared" si="293"/>
        <v>2.3837902264600714E-3</v>
      </c>
      <c r="AL182" s="96">
        <f t="shared" si="293"/>
        <v>9.4693028095733614E-2</v>
      </c>
      <c r="AM182" s="96">
        <f t="shared" si="293"/>
        <v>5.3554040895813046E-2</v>
      </c>
      <c r="AN182" s="96">
        <f t="shared" si="293"/>
        <v>0.12226277372262774</v>
      </c>
      <c r="AO182" s="96">
        <f t="shared" si="293"/>
        <v>-0.20035778175313057</v>
      </c>
      <c r="AP182" s="96">
        <f t="shared" si="293"/>
        <v>5.3807947019867554E-2</v>
      </c>
      <c r="AQ182" s="96">
        <f t="shared" si="293"/>
        <v>8.1392723393984706E-2</v>
      </c>
      <c r="AR182" s="96">
        <f t="shared" si="293"/>
        <v>0.1210795746678489</v>
      </c>
      <c r="AS182" s="96">
        <f t="shared" si="293"/>
        <v>7.8851916101561267E-2</v>
      </c>
      <c r="AT182" s="96">
        <f t="shared" si="293"/>
        <v>6.4015806031901851E-2</v>
      </c>
      <c r="AU182" s="96">
        <f t="shared" si="293"/>
        <v>7.1303714493810132E-3</v>
      </c>
      <c r="AV182" s="96">
        <f t="shared" si="293"/>
        <v>-0.12254995242626085</v>
      </c>
      <c r="AW182" s="96">
        <f t="shared" si="293"/>
        <v>-6.5479814692256805E-2</v>
      </c>
      <c r="AX182" s="96">
        <f t="shared" si="293"/>
        <v>1.5804735429447901E-2</v>
      </c>
      <c r="AY182" s="96">
        <f t="shared" si="293"/>
        <v>6.4550827423167867E-2</v>
      </c>
      <c r="AZ182" s="96">
        <f t="shared" si="293"/>
        <v>4.5160065111231801E-2</v>
      </c>
      <c r="BA182" s="96">
        <f t="shared" si="293"/>
        <v>4.2204103103629577E-2</v>
      </c>
      <c r="BB182" s="96">
        <f t="shared" si="293"/>
        <v>-0.12081474582087397</v>
      </c>
      <c r="BC182" s="96">
        <f t="shared" si="293"/>
        <v>3.5311427170180187E-4</v>
      </c>
      <c r="BD182" s="96">
        <f t="shared" si="293"/>
        <v>-1.7590014402304399E-2</v>
      </c>
      <c r="BE182" s="96">
        <f t="shared" si="293"/>
        <v>-1.0669162377164264E-2</v>
      </c>
      <c r="BF182" s="96">
        <f t="shared" si="293"/>
        <v>1.7492869508617385E-2</v>
      </c>
      <c r="BG182" s="96">
        <f t="shared" si="293"/>
        <v>3.5642087821044076E-2</v>
      </c>
      <c r="BH182" s="96">
        <f t="shared" si="293"/>
        <v>7.304015296367114E-2</v>
      </c>
      <c r="BI182" s="96">
        <f t="shared" si="293"/>
        <v>3.399778516057584E-2</v>
      </c>
      <c r="BJ182" s="96">
        <f t="shared" si="293"/>
        <v>0.18999719022197256</v>
      </c>
      <c r="BK182" s="96">
        <f t="shared" si="293"/>
        <v>3.9827771797631827E-2</v>
      </c>
      <c r="BL182" s="96">
        <f t="shared" si="293"/>
        <v>-0.20106880427521726</v>
      </c>
      <c r="BM182" s="96">
        <f t="shared" si="293"/>
        <v>9.8006644518272526E-2</v>
      </c>
      <c r="BN182" s="96">
        <f t="shared" si="293"/>
        <v>0.10646592709984153</v>
      </c>
      <c r="BO182" s="96">
        <f t="shared" si="293"/>
        <v>0.12100635527858333</v>
      </c>
      <c r="BP182" s="96">
        <f t="shared" si="293"/>
        <v>0.13336082838667868</v>
      </c>
      <c r="BQ182" s="96">
        <f t="shared" ref="BQ182:BR182" si="294">BQ173/BQ160</f>
        <v>0.12927245302169529</v>
      </c>
      <c r="BR182" s="96">
        <f t="shared" si="294"/>
        <v>0.15982558965690524</v>
      </c>
      <c r="BS182" s="85"/>
      <c r="BT182" s="85"/>
      <c r="BU182" s="87"/>
      <c r="BV182" s="87"/>
      <c r="CG182" s="96">
        <f t="shared" ref="CG182:CZ182" si="295">CG173/CG160</f>
        <v>5.4809242342826444E-3</v>
      </c>
      <c r="CH182" s="96">
        <f t="shared" si="295"/>
        <v>5.8108621344474004E-2</v>
      </c>
      <c r="CI182" s="96">
        <f t="shared" si="295"/>
        <v>1.3780707010185739E-2</v>
      </c>
      <c r="CJ182" s="96">
        <f t="shared" si="295"/>
        <v>1.4654978646886939E-2</v>
      </c>
      <c r="CK182" s="96">
        <f t="shared" si="295"/>
        <v>8.851979254772073E-2</v>
      </c>
      <c r="CL182" s="96">
        <f t="shared" si="295"/>
        <v>-2.784023182943958E-2</v>
      </c>
      <c r="CM182" s="96">
        <f>CM173/CM160</f>
        <v>7.0680453189582056E-3</v>
      </c>
      <c r="CN182" s="96">
        <f t="shared" si="295"/>
        <v>-2.3632652723951171E-3</v>
      </c>
      <c r="CO182" s="96">
        <f t="shared" si="295"/>
        <v>8.5978536069228742E-2</v>
      </c>
      <c r="CP182" s="96">
        <f t="shared" si="295"/>
        <v>1.1711032981751111E-2</v>
      </c>
      <c r="CQ182" s="98">
        <f t="shared" si="295"/>
        <v>0.1552401393317622</v>
      </c>
      <c r="CR182" s="98">
        <f t="shared" si="295"/>
        <v>0.16983849133247067</v>
      </c>
      <c r="CS182" s="98">
        <f t="shared" si="295"/>
        <v>0.17894721501713826</v>
      </c>
      <c r="CT182" s="98">
        <f t="shared" si="295"/>
        <v>0.20906393017554323</v>
      </c>
      <c r="CU182" s="98">
        <f t="shared" si="295"/>
        <v>0.23541301039298285</v>
      </c>
      <c r="CV182" s="98">
        <f t="shared" si="295"/>
        <v>0.25893001516950082</v>
      </c>
      <c r="CW182" s="98">
        <f t="shared" si="295"/>
        <v>0.28677436821987662</v>
      </c>
      <c r="CX182" s="98">
        <f t="shared" si="295"/>
        <v>0.31120193789988804</v>
      </c>
      <c r="CY182" s="98">
        <f t="shared" si="295"/>
        <v>0.33987854262623884</v>
      </c>
      <c r="CZ182" s="98">
        <f t="shared" si="295"/>
        <v>0.37578004602897452</v>
      </c>
      <c r="DA182" s="98">
        <f t="shared" ref="DA182" si="296">DA173/DA160</f>
        <v>0.41251296988610608</v>
      </c>
      <c r="DB182" s="84"/>
      <c r="DC182" s="84"/>
      <c r="DD182" s="84"/>
      <c r="DE182" s="84"/>
      <c r="DF182" s="84"/>
      <c r="DG182" s="84"/>
      <c r="DH182" s="84"/>
      <c r="DI182" s="84"/>
      <c r="DJ182" s="84"/>
      <c r="DK182" s="84"/>
      <c r="DL182" s="84"/>
      <c r="DM182" s="84"/>
      <c r="DN182" s="84"/>
      <c r="DO182" s="84"/>
      <c r="DP182" s="84"/>
      <c r="DQ182" s="84"/>
    </row>
    <row r="183" spans="2:121" s="83" customFormat="1" ht="13.5" customHeight="1">
      <c r="AA183" s="89"/>
      <c r="AB183" s="89"/>
      <c r="AC183" s="89"/>
      <c r="AD183" s="89"/>
      <c r="AE183" s="89"/>
      <c r="AF183" s="89"/>
      <c r="AG183" s="89"/>
      <c r="AH183" s="89"/>
      <c r="AI183" s="89"/>
      <c r="AJ183" s="89"/>
      <c r="AK183" s="89"/>
      <c r="AL183" s="89"/>
      <c r="AM183" s="89"/>
      <c r="AN183" s="89"/>
      <c r="AO183" s="89"/>
      <c r="AP183" s="89"/>
      <c r="BQ183" s="85"/>
      <c r="BR183" s="85"/>
      <c r="BS183" s="85"/>
      <c r="BT183" s="85"/>
      <c r="BU183" s="87"/>
      <c r="BV183" s="87"/>
      <c r="CQ183" s="84"/>
      <c r="CR183" s="84"/>
      <c r="CS183" s="84"/>
      <c r="CT183" s="84"/>
      <c r="CU183" s="84"/>
      <c r="CV183" s="84"/>
      <c r="CW183" s="84"/>
      <c r="CX183" s="84"/>
      <c r="CY183" s="84"/>
      <c r="CZ183" s="84"/>
      <c r="DA183" s="84"/>
      <c r="DB183" s="84"/>
      <c r="DC183" s="84"/>
      <c r="DD183" s="84"/>
      <c r="DE183" s="84"/>
      <c r="DF183" s="84"/>
      <c r="DG183" s="84"/>
      <c r="DH183" s="84"/>
      <c r="DI183" s="84"/>
      <c r="DJ183" s="84"/>
      <c r="DK183" s="84"/>
      <c r="DL183" s="84"/>
      <c r="DM183" s="84"/>
      <c r="DN183" s="84"/>
      <c r="DO183" s="84"/>
      <c r="DP183" s="84"/>
      <c r="DQ183" s="84"/>
    </row>
    <row r="184" spans="2:121" s="83" customFormat="1" ht="13.5" customHeight="1">
      <c r="B184" s="83" t="s">
        <v>2438</v>
      </c>
      <c r="AA184" s="89"/>
      <c r="AB184" s="89"/>
      <c r="AC184" s="89"/>
      <c r="AD184" s="89"/>
      <c r="AE184" s="89"/>
      <c r="AF184" s="89"/>
      <c r="AG184" s="89"/>
      <c r="AH184" s="89"/>
      <c r="AI184" s="89"/>
      <c r="AJ184" s="89"/>
      <c r="AK184" s="89"/>
      <c r="AL184" s="89"/>
      <c r="AM184" s="89"/>
      <c r="AN184" s="89"/>
      <c r="AO184" s="89"/>
      <c r="AP184" s="89"/>
      <c r="AQ184" s="90">
        <v>95.605999999999995</v>
      </c>
      <c r="AR184" s="90">
        <v>77.260999999999996</v>
      </c>
      <c r="AS184" s="90">
        <v>111.581</v>
      </c>
      <c r="AT184" s="90">
        <v>72.778999999999996</v>
      </c>
      <c r="AU184" s="90">
        <v>72.456000000000003</v>
      </c>
      <c r="AV184" s="90">
        <v>134.381</v>
      </c>
      <c r="AW184" s="83">
        <v>80.114999999999995</v>
      </c>
      <c r="AX184" s="90">
        <v>69.67</v>
      </c>
      <c r="AY184" s="90">
        <v>55.631999999999998</v>
      </c>
      <c r="AZ184" s="90">
        <v>82.277000000000001</v>
      </c>
      <c r="BA184" s="83">
        <v>66.290000000000006</v>
      </c>
      <c r="BB184" s="90">
        <v>59.378999999999998</v>
      </c>
      <c r="BC184" s="90">
        <v>68.162999999999997</v>
      </c>
      <c r="BD184" s="90">
        <v>58.234000000000002</v>
      </c>
      <c r="BE184" s="90">
        <v>54.844000000000001</v>
      </c>
      <c r="BF184" s="90">
        <v>69.858000000000004</v>
      </c>
      <c r="BG184" s="90">
        <v>94.688000000000002</v>
      </c>
      <c r="BH184" s="90">
        <v>114.167</v>
      </c>
      <c r="BI184" s="90">
        <v>100.75700000000001</v>
      </c>
      <c r="BJ184" s="90">
        <v>167.48599999999999</v>
      </c>
      <c r="BK184" s="90">
        <v>223.114</v>
      </c>
      <c r="BL184" s="90">
        <v>288.33199999999999</v>
      </c>
      <c r="BM184" s="90">
        <v>280.476</v>
      </c>
      <c r="BN184" s="90">
        <v>324.39999999999998</v>
      </c>
      <c r="BO184" s="90">
        <v>376.05399999999997</v>
      </c>
      <c r="BP184" s="90">
        <v>421.76799999999997</v>
      </c>
      <c r="BQ184" s="90">
        <v>321.029</v>
      </c>
      <c r="BR184" s="83">
        <v>503</v>
      </c>
      <c r="BU184" s="84"/>
      <c r="BV184" s="84"/>
      <c r="CK184" s="90">
        <f t="shared" ref="CK184:CK195" si="297">AT184</f>
        <v>72.778999999999996</v>
      </c>
      <c r="CL184" s="90">
        <f t="shared" ref="CL184:CL195" si="298">AX184</f>
        <v>69.67</v>
      </c>
      <c r="CM184" s="90">
        <f t="shared" ref="CM184:CM195" si="299">BB184</f>
        <v>59.378999999999998</v>
      </c>
      <c r="CN184" s="90">
        <f t="shared" ref="CN184:CN195" si="300">BF184</f>
        <v>69.858000000000004</v>
      </c>
      <c r="CO184" s="90">
        <f t="shared" ref="CO184:CO195" si="301">BJ184</f>
        <v>167.48599999999999</v>
      </c>
      <c r="CP184" s="90">
        <f t="shared" ref="CP184:CP195" si="302">BN184</f>
        <v>324.39999999999998</v>
      </c>
      <c r="CQ184" s="91">
        <f>CP184+CQ173</f>
        <v>548.34942500000011</v>
      </c>
      <c r="CR184" s="91">
        <f t="shared" ref="CR184:DA184" si="303">CQ184+CR173</f>
        <v>843.95753115875027</v>
      </c>
      <c r="CS184" s="91">
        <f t="shared" si="303"/>
        <v>1220.1538262615031</v>
      </c>
      <c r="CT184" s="91">
        <f t="shared" si="303"/>
        <v>1742.2273855623507</v>
      </c>
      <c r="CU184" s="91">
        <f t="shared" si="303"/>
        <v>2428.7847519797697</v>
      </c>
      <c r="CV184" s="91">
        <f t="shared" si="303"/>
        <v>3295.5992644306625</v>
      </c>
      <c r="CW184" s="91">
        <f t="shared" si="303"/>
        <v>4376.3934827161829</v>
      </c>
      <c r="CX184" s="91">
        <f t="shared" si="303"/>
        <v>5680.26523721987</v>
      </c>
      <c r="CY184" s="91">
        <f t="shared" si="303"/>
        <v>7243.7171025078869</v>
      </c>
      <c r="CZ184" s="91">
        <f t="shared" si="303"/>
        <v>9121.8661615025485</v>
      </c>
      <c r="DA184" s="91">
        <f t="shared" si="303"/>
        <v>11292.249585541071</v>
      </c>
      <c r="DB184" s="84"/>
      <c r="DC184" s="78" t="s">
        <v>2337</v>
      </c>
      <c r="DD184" s="57"/>
      <c r="DE184" s="57"/>
      <c r="DF184" s="49" t="s">
        <v>2413</v>
      </c>
      <c r="DG184" s="48"/>
      <c r="DH184" s="79" t="s">
        <v>2339</v>
      </c>
      <c r="DI184" s="48"/>
      <c r="DJ184" s="104" t="s">
        <v>2260</v>
      </c>
      <c r="DK184" s="105">
        <v>0.1575</v>
      </c>
      <c r="DL184" s="84"/>
      <c r="DM184" s="84"/>
      <c r="DN184" s="84"/>
      <c r="DO184" s="84"/>
      <c r="DP184" s="84"/>
      <c r="DQ184" s="84"/>
    </row>
    <row r="185" spans="2:121" s="83" customFormat="1" ht="13.5" customHeight="1">
      <c r="B185" s="83" t="s">
        <v>2439</v>
      </c>
      <c r="AA185" s="89"/>
      <c r="AB185" s="89"/>
      <c r="AC185" s="89"/>
      <c r="AD185" s="89"/>
      <c r="AE185" s="89"/>
      <c r="AF185" s="89"/>
      <c r="AG185" s="89"/>
      <c r="AH185" s="89"/>
      <c r="AI185" s="89"/>
      <c r="AJ185" s="89"/>
      <c r="AK185" s="89"/>
      <c r="AL185" s="89"/>
      <c r="AM185" s="89"/>
      <c r="AN185" s="89"/>
      <c r="AO185" s="89"/>
      <c r="AP185" s="89"/>
      <c r="AQ185" s="90">
        <v>99.241</v>
      </c>
      <c r="AR185" s="90">
        <v>109.996</v>
      </c>
      <c r="AS185" s="90">
        <v>82.864000000000004</v>
      </c>
      <c r="AT185" s="90">
        <v>116.61</v>
      </c>
      <c r="AU185" s="90">
        <v>95.766000000000005</v>
      </c>
      <c r="AV185" s="90">
        <v>143.91399999999999</v>
      </c>
      <c r="AW185" s="83">
        <v>188.61099999999999</v>
      </c>
      <c r="AX185" s="90">
        <v>195.16200000000001</v>
      </c>
      <c r="AY185" s="90">
        <v>186.977</v>
      </c>
      <c r="AZ185" s="90">
        <v>156.72200000000001</v>
      </c>
      <c r="BA185" s="83">
        <v>200.637</v>
      </c>
      <c r="BB185" s="90">
        <v>195.49600000000001</v>
      </c>
      <c r="BC185" s="90">
        <v>172.178</v>
      </c>
      <c r="BD185" s="90">
        <v>146.13499999999999</v>
      </c>
      <c r="BE185" s="90">
        <v>129.583</v>
      </c>
      <c r="BF185" s="90">
        <v>118.172</v>
      </c>
      <c r="BG185" s="90">
        <v>104.40900000000001</v>
      </c>
      <c r="BH185" s="90">
        <v>106.896</v>
      </c>
      <c r="BI185" s="90">
        <v>148.09800000000001</v>
      </c>
      <c r="BJ185" s="90">
        <v>121.70099999999999</v>
      </c>
      <c r="BK185" s="90">
        <v>90.36</v>
      </c>
      <c r="BL185" s="90">
        <v>51.363</v>
      </c>
      <c r="BM185" s="90">
        <v>10.548</v>
      </c>
      <c r="BN185" s="90">
        <v>15.727</v>
      </c>
      <c r="BO185" s="90">
        <v>2.794</v>
      </c>
      <c r="BP185" s="90">
        <v>2.7949999999999999</v>
      </c>
      <c r="BQ185" s="90">
        <v>149.267</v>
      </c>
      <c r="BR185" s="85"/>
      <c r="BS185" s="85"/>
      <c r="BT185" s="85"/>
      <c r="BU185" s="87"/>
      <c r="BV185" s="87"/>
      <c r="CK185" s="90">
        <f t="shared" si="297"/>
        <v>116.61</v>
      </c>
      <c r="CL185" s="90">
        <f t="shared" si="298"/>
        <v>195.16200000000001</v>
      </c>
      <c r="CM185" s="90">
        <f t="shared" si="299"/>
        <v>195.49600000000001</v>
      </c>
      <c r="CN185" s="90">
        <f t="shared" si="300"/>
        <v>118.172</v>
      </c>
      <c r="CO185" s="90">
        <f t="shared" si="301"/>
        <v>121.70099999999999</v>
      </c>
      <c r="CP185" s="90">
        <f t="shared" si="302"/>
        <v>15.727</v>
      </c>
      <c r="CQ185" s="84"/>
      <c r="CR185" s="84"/>
      <c r="CS185" s="84"/>
      <c r="CT185" s="84"/>
      <c r="CU185" s="84"/>
      <c r="CV185" s="84"/>
      <c r="CW185" s="84"/>
      <c r="CX185" s="84"/>
      <c r="CY185" s="84"/>
      <c r="CZ185" s="84"/>
      <c r="DA185" s="84"/>
      <c r="DB185" s="84"/>
      <c r="DC185" s="48">
        <v>2023</v>
      </c>
      <c r="DD185" s="48">
        <v>2024</v>
      </c>
      <c r="DE185" s="57"/>
      <c r="DF185" s="49" t="s">
        <v>2338</v>
      </c>
      <c r="DG185" s="48"/>
      <c r="DH185" s="84">
        <v>2025</v>
      </c>
      <c r="DI185" s="48"/>
      <c r="DJ185" s="104" t="s">
        <v>2261</v>
      </c>
      <c r="DK185" s="105">
        <v>2.5499999999999998E-2</v>
      </c>
      <c r="DL185" s="84"/>
      <c r="DM185" s="84"/>
      <c r="DN185" s="84"/>
      <c r="DO185" s="84"/>
      <c r="DP185" s="84"/>
      <c r="DQ185" s="84"/>
    </row>
    <row r="186" spans="2:121" s="83" customFormat="1" ht="13.5" customHeight="1">
      <c r="B186" s="83" t="s">
        <v>125</v>
      </c>
      <c r="AA186" s="89"/>
      <c r="AB186" s="89"/>
      <c r="AC186" s="89"/>
      <c r="AD186" s="89"/>
      <c r="AE186" s="89"/>
      <c r="AF186" s="89"/>
      <c r="AG186" s="89"/>
      <c r="AH186" s="89"/>
      <c r="AI186" s="89"/>
      <c r="AJ186" s="89"/>
      <c r="AK186" s="89"/>
      <c r="AL186" s="89"/>
      <c r="AM186" s="89"/>
      <c r="AN186" s="89"/>
      <c r="AO186" s="89"/>
      <c r="AP186" s="89"/>
      <c r="AQ186" s="90">
        <v>94.679000000000002</v>
      </c>
      <c r="AR186" s="90">
        <v>99.010999999999996</v>
      </c>
      <c r="AS186" s="90">
        <v>101.828</v>
      </c>
      <c r="AT186" s="90">
        <v>105.901</v>
      </c>
      <c r="AU186" s="90">
        <v>103.96299999999999</v>
      </c>
      <c r="AV186" s="90">
        <v>97.613</v>
      </c>
      <c r="AW186" s="83">
        <v>112.81699999999999</v>
      </c>
      <c r="AX186" s="90">
        <v>114.608</v>
      </c>
      <c r="AY186" s="90">
        <v>126.41500000000001</v>
      </c>
      <c r="AZ186" s="90">
        <v>136.61000000000001</v>
      </c>
      <c r="BA186" s="83">
        <v>120.074</v>
      </c>
      <c r="BB186" s="90">
        <v>133.94</v>
      </c>
      <c r="BC186" s="90">
        <v>143.417</v>
      </c>
      <c r="BD186" s="90">
        <v>187.38900000000001</v>
      </c>
      <c r="BE186" s="90">
        <v>189.006</v>
      </c>
      <c r="BF186" s="90">
        <v>203.38399999999999</v>
      </c>
      <c r="BG186" s="90">
        <v>207.364</v>
      </c>
      <c r="BH186" s="90">
        <v>208.965</v>
      </c>
      <c r="BI186" s="90">
        <v>206.61500000000001</v>
      </c>
      <c r="BJ186" s="90">
        <v>201.768</v>
      </c>
      <c r="BK186" s="90">
        <v>191.989</v>
      </c>
      <c r="BL186" s="90">
        <v>200.83099999999999</v>
      </c>
      <c r="BM186" s="90">
        <v>176.05099999999999</v>
      </c>
      <c r="BN186" s="90">
        <v>167.667</v>
      </c>
      <c r="BO186" s="90">
        <v>167.98099999999999</v>
      </c>
      <c r="BP186" s="90">
        <v>175.536</v>
      </c>
      <c r="BQ186" s="90">
        <v>183.43</v>
      </c>
      <c r="BR186" s="85"/>
      <c r="BS186" s="85"/>
      <c r="BT186" s="85"/>
      <c r="BU186" s="87"/>
      <c r="BV186" s="87"/>
      <c r="CK186" s="90">
        <f t="shared" si="297"/>
        <v>105.901</v>
      </c>
      <c r="CL186" s="90">
        <f t="shared" si="298"/>
        <v>114.608</v>
      </c>
      <c r="CM186" s="90">
        <f t="shared" si="299"/>
        <v>133.94</v>
      </c>
      <c r="CN186" s="90">
        <f t="shared" si="300"/>
        <v>203.38399999999999</v>
      </c>
      <c r="CO186" s="90">
        <f t="shared" si="301"/>
        <v>201.768</v>
      </c>
      <c r="CP186" s="90">
        <f t="shared" si="302"/>
        <v>167.667</v>
      </c>
      <c r="CQ186" s="84"/>
      <c r="CR186" s="84"/>
      <c r="CS186" s="84"/>
      <c r="CT186" s="84"/>
      <c r="CU186" s="84"/>
      <c r="CV186" s="84"/>
      <c r="CW186" s="84"/>
      <c r="CX186" s="84"/>
      <c r="CY186" s="84"/>
      <c r="CZ186" s="84"/>
      <c r="DA186" s="84"/>
      <c r="DB186" s="84"/>
      <c r="DC186" s="52">
        <f>SUM(CO184:CO187)-CO198+CO190+CO192+CO191</f>
        <v>1142.7270000000003</v>
      </c>
      <c r="DD186" s="52">
        <f>SUM(CP184:CP187)-CP198+CP190+CP192+CP191</f>
        <v>1095.5229999999999</v>
      </c>
      <c r="DE186" s="57"/>
      <c r="DF186" s="52">
        <f>AVERAGE(DC186:DD186)</f>
        <v>1119.125</v>
      </c>
      <c r="DG186" s="48"/>
      <c r="DH186" s="106">
        <f>AVERAGE(CQ167)*(1-CQ181)</f>
        <v>179.24305000000015</v>
      </c>
      <c r="DI186" s="48"/>
      <c r="DJ186" s="104" t="s">
        <v>2262</v>
      </c>
      <c r="DK186" s="105">
        <v>4.0500000000000001E-2</v>
      </c>
      <c r="DL186" s="84"/>
      <c r="DM186" s="84"/>
      <c r="DN186" s="84"/>
      <c r="DO186" s="84"/>
      <c r="DP186" s="84"/>
      <c r="DQ186" s="84"/>
    </row>
    <row r="187" spans="2:121" s="83" customFormat="1" ht="13.5" customHeight="1">
      <c r="B187" s="83" t="s">
        <v>126</v>
      </c>
      <c r="AA187" s="89"/>
      <c r="AB187" s="89"/>
      <c r="AC187" s="89"/>
      <c r="AD187" s="89"/>
      <c r="AE187" s="89"/>
      <c r="AF187" s="89"/>
      <c r="AG187" s="89"/>
      <c r="AH187" s="89"/>
      <c r="AI187" s="89"/>
      <c r="AJ187" s="89"/>
      <c r="AK187" s="89"/>
      <c r="AL187" s="89"/>
      <c r="AM187" s="89"/>
      <c r="AN187" s="89"/>
      <c r="AO187" s="89"/>
      <c r="AP187" s="89"/>
      <c r="AQ187" s="90">
        <v>121.691</v>
      </c>
      <c r="AR187" s="90">
        <v>132.73500000000001</v>
      </c>
      <c r="AS187" s="90">
        <v>140.35900000000001</v>
      </c>
      <c r="AT187" s="90">
        <v>152.99199999999999</v>
      </c>
      <c r="AU187" s="90">
        <v>166.15199999999999</v>
      </c>
      <c r="AV187" s="90">
        <v>183.44200000000001</v>
      </c>
      <c r="AW187" s="83">
        <v>191.547</v>
      </c>
      <c r="AX187" s="90">
        <v>219.52699999999999</v>
      </c>
      <c r="AY187" s="90">
        <v>245.321</v>
      </c>
      <c r="AZ187" s="90">
        <v>254.977</v>
      </c>
      <c r="BA187" s="83">
        <v>258.31599999999997</v>
      </c>
      <c r="BB187" s="90">
        <v>263.50400000000002</v>
      </c>
      <c r="BC187" s="90">
        <v>274.34899999999999</v>
      </c>
      <c r="BD187" s="90">
        <v>295.88299999999998</v>
      </c>
      <c r="BE187" s="90">
        <v>320.30399999999997</v>
      </c>
      <c r="BF187" s="90">
        <v>334.00599999999997</v>
      </c>
      <c r="BG187" s="90">
        <v>344.04199999999997</v>
      </c>
      <c r="BH187" s="90">
        <v>358.77</v>
      </c>
      <c r="BI187" s="90">
        <v>374.245</v>
      </c>
      <c r="BJ187" s="90">
        <v>388.02300000000002</v>
      </c>
      <c r="BK187" s="83">
        <v>398.36599999999999</v>
      </c>
      <c r="BL187" s="90">
        <v>373.79899999999998</v>
      </c>
      <c r="BM187" s="90">
        <v>393.41300000000001</v>
      </c>
      <c r="BN187" s="90">
        <v>406.73700000000002</v>
      </c>
      <c r="BO187" s="90">
        <v>415.863</v>
      </c>
      <c r="BP187" s="90">
        <v>427.62799999999999</v>
      </c>
      <c r="BQ187" s="90">
        <v>432.36500000000001</v>
      </c>
      <c r="BR187" s="85"/>
      <c r="BS187" s="85"/>
      <c r="BT187" s="85"/>
      <c r="BU187" s="87"/>
      <c r="BV187" s="87"/>
      <c r="CK187" s="90">
        <f t="shared" si="297"/>
        <v>152.99199999999999</v>
      </c>
      <c r="CL187" s="90">
        <f t="shared" si="298"/>
        <v>219.52699999999999</v>
      </c>
      <c r="CM187" s="90">
        <f t="shared" si="299"/>
        <v>263.50400000000002</v>
      </c>
      <c r="CN187" s="90">
        <f t="shared" si="300"/>
        <v>334.00599999999997</v>
      </c>
      <c r="CO187" s="90">
        <f t="shared" si="301"/>
        <v>388.02300000000002</v>
      </c>
      <c r="CP187" s="90">
        <f t="shared" si="302"/>
        <v>406.73700000000002</v>
      </c>
      <c r="CQ187" s="84"/>
      <c r="DC187" s="57"/>
      <c r="DD187" s="48"/>
      <c r="DE187" s="48"/>
      <c r="DF187" s="48"/>
      <c r="DG187" s="48"/>
      <c r="DH187" s="97">
        <f>DH186/DF186</f>
        <v>0.16016356528537934</v>
      </c>
      <c r="DI187" s="48"/>
      <c r="DJ187" s="104" t="s">
        <v>2263</v>
      </c>
      <c r="DK187" s="105">
        <f>9.95%-DK186</f>
        <v>5.899999999999999E-2</v>
      </c>
      <c r="DL187" s="84"/>
      <c r="DM187" s="84"/>
      <c r="DN187" s="84"/>
      <c r="DO187" s="84"/>
      <c r="DP187" s="84"/>
      <c r="DQ187" s="84"/>
    </row>
    <row r="188" spans="2:121" s="83" customFormat="1" ht="13.5" customHeight="1">
      <c r="B188" s="83" t="s">
        <v>2440</v>
      </c>
      <c r="AA188" s="89"/>
      <c r="AB188" s="89"/>
      <c r="AC188" s="89"/>
      <c r="AD188" s="89"/>
      <c r="AE188" s="89"/>
      <c r="AF188" s="89"/>
      <c r="AG188" s="89"/>
      <c r="AH188" s="89"/>
      <c r="AI188" s="89"/>
      <c r="AJ188" s="89"/>
      <c r="AK188" s="89"/>
      <c r="AL188" s="89"/>
      <c r="AM188" s="89"/>
      <c r="AN188" s="89"/>
      <c r="AO188" s="89"/>
      <c r="AP188" s="89"/>
      <c r="AQ188" s="90">
        <v>11.869</v>
      </c>
      <c r="AR188" s="90">
        <v>15.601000000000001</v>
      </c>
      <c r="AS188" s="90">
        <v>14.702</v>
      </c>
      <c r="AT188" s="90">
        <v>14.852</v>
      </c>
      <c r="AU188" s="90">
        <v>15.403</v>
      </c>
      <c r="AV188" s="90">
        <v>16.545000000000002</v>
      </c>
      <c r="AW188" s="83">
        <v>17.109000000000002</v>
      </c>
      <c r="AX188" s="90">
        <v>18.734999999999999</v>
      </c>
      <c r="AY188" s="90">
        <v>20.782</v>
      </c>
      <c r="AZ188" s="90">
        <v>22.526</v>
      </c>
      <c r="BA188" s="83">
        <v>22.67</v>
      </c>
      <c r="BB188" s="90">
        <v>29.155000000000001</v>
      </c>
      <c r="BC188" s="90">
        <v>32.219000000000001</v>
      </c>
      <c r="BD188" s="90">
        <v>30.32</v>
      </c>
      <c r="BE188" s="90">
        <v>29.888000000000002</v>
      </c>
      <c r="BF188" s="90">
        <v>30.279</v>
      </c>
      <c r="BG188" s="90">
        <v>35.987000000000002</v>
      </c>
      <c r="BH188" s="90">
        <v>39.078000000000003</v>
      </c>
      <c r="BI188" s="90">
        <v>38.761000000000003</v>
      </c>
      <c r="BJ188" s="90">
        <v>36.423999999999999</v>
      </c>
      <c r="BK188" s="90">
        <v>31.193999999999999</v>
      </c>
      <c r="BL188" s="90">
        <v>29.47</v>
      </c>
      <c r="BM188" s="90">
        <v>31.265000000000001</v>
      </c>
      <c r="BN188" s="90">
        <v>36.588999999999999</v>
      </c>
      <c r="BO188" s="90">
        <v>37.017000000000003</v>
      </c>
      <c r="BP188" s="90">
        <v>37.756999999999998</v>
      </c>
      <c r="BQ188" s="90">
        <v>55.429000000000002</v>
      </c>
      <c r="BR188" s="85"/>
      <c r="BS188" s="85"/>
      <c r="BT188" s="85"/>
      <c r="BU188" s="87"/>
      <c r="BV188" s="87"/>
      <c r="CK188" s="90">
        <f t="shared" si="297"/>
        <v>14.852</v>
      </c>
      <c r="CL188" s="90">
        <f t="shared" si="298"/>
        <v>18.734999999999999</v>
      </c>
      <c r="CM188" s="90">
        <f t="shared" si="299"/>
        <v>29.155000000000001</v>
      </c>
      <c r="CN188" s="90">
        <f t="shared" si="300"/>
        <v>30.279</v>
      </c>
      <c r="CO188" s="90">
        <f t="shared" si="301"/>
        <v>36.423999999999999</v>
      </c>
      <c r="CP188" s="90">
        <f t="shared" si="302"/>
        <v>36.588999999999999</v>
      </c>
      <c r="CQ188" s="84"/>
      <c r="DC188" s="64" t="s">
        <v>2405</v>
      </c>
      <c r="DD188" s="48"/>
      <c r="DE188" s="48"/>
      <c r="DF188" s="57"/>
      <c r="DG188" s="48"/>
      <c r="DH188" s="48"/>
      <c r="DI188" s="48"/>
      <c r="DJ188" s="104" t="s">
        <v>2264</v>
      </c>
      <c r="DK188" s="102">
        <f>DK85</f>
        <v>0.73</v>
      </c>
      <c r="DL188" s="84"/>
      <c r="DM188" s="84"/>
      <c r="DN188" s="84"/>
      <c r="DO188" s="84"/>
      <c r="DP188" s="84"/>
      <c r="DQ188" s="84"/>
    </row>
    <row r="189" spans="2:121" s="83" customFormat="1" ht="13.5" customHeight="1">
      <c r="B189" s="83" t="s">
        <v>129</v>
      </c>
      <c r="AA189" s="89"/>
      <c r="AB189" s="89"/>
      <c r="AC189" s="89"/>
      <c r="AD189" s="89"/>
      <c r="AE189" s="89"/>
      <c r="AF189" s="89"/>
      <c r="AG189" s="89"/>
      <c r="AH189" s="89"/>
      <c r="AI189" s="89"/>
      <c r="AJ189" s="89"/>
      <c r="AK189" s="89"/>
      <c r="AL189" s="89"/>
      <c r="AM189" s="89"/>
      <c r="AN189" s="89"/>
      <c r="AO189" s="89"/>
      <c r="AP189" s="89"/>
      <c r="AQ189" s="90">
        <v>35.380000000000003</v>
      </c>
      <c r="AR189" s="90">
        <v>37.94</v>
      </c>
      <c r="AS189" s="90">
        <v>45.625</v>
      </c>
      <c r="AT189" s="90">
        <v>51.811999999999998</v>
      </c>
      <c r="AU189" s="90">
        <v>58.698</v>
      </c>
      <c r="AV189" s="90">
        <v>62.188000000000002</v>
      </c>
      <c r="AW189" s="83">
        <v>64.906000000000006</v>
      </c>
      <c r="AX189" s="90">
        <v>48.168999999999997</v>
      </c>
      <c r="AY189" s="90">
        <v>50.314</v>
      </c>
      <c r="AZ189" s="90">
        <v>50.853999999999999</v>
      </c>
      <c r="BA189" s="83">
        <v>56.631999999999998</v>
      </c>
      <c r="BB189" s="90">
        <v>58.856000000000002</v>
      </c>
      <c r="BC189" s="90">
        <v>60.326999999999998</v>
      </c>
      <c r="BD189" s="90">
        <v>63.457999999999998</v>
      </c>
      <c r="BE189" s="90">
        <v>64.081999999999994</v>
      </c>
      <c r="BF189" s="90">
        <v>65.015000000000001</v>
      </c>
      <c r="BG189" s="90">
        <v>65.224000000000004</v>
      </c>
      <c r="BH189" s="90">
        <v>65.957999999999998</v>
      </c>
      <c r="BI189" s="90">
        <v>65.632000000000005</v>
      </c>
      <c r="BJ189" s="90">
        <v>72.691000000000003</v>
      </c>
      <c r="BK189" s="90">
        <v>75.744</v>
      </c>
      <c r="BL189" s="90">
        <v>57.709000000000003</v>
      </c>
      <c r="BM189" s="90">
        <v>59.918999999999997</v>
      </c>
      <c r="BN189" s="90">
        <v>62.640999999999998</v>
      </c>
      <c r="BO189" s="90">
        <v>72.465000000000003</v>
      </c>
      <c r="BP189" s="90">
        <v>84.825000000000003</v>
      </c>
      <c r="BQ189" s="90">
        <v>97.73</v>
      </c>
      <c r="BR189" s="85"/>
      <c r="BS189" s="85"/>
      <c r="BT189" s="85"/>
      <c r="BU189" s="87"/>
      <c r="BV189" s="87"/>
      <c r="CK189" s="90">
        <f t="shared" si="297"/>
        <v>51.811999999999998</v>
      </c>
      <c r="CL189" s="90">
        <f t="shared" si="298"/>
        <v>48.168999999999997</v>
      </c>
      <c r="CM189" s="90">
        <f t="shared" si="299"/>
        <v>58.856000000000002</v>
      </c>
      <c r="CN189" s="90">
        <f t="shared" si="300"/>
        <v>65.015000000000001</v>
      </c>
      <c r="CO189" s="90">
        <f t="shared" si="301"/>
        <v>72.691000000000003</v>
      </c>
      <c r="CP189" s="90">
        <f t="shared" si="302"/>
        <v>62.640999999999998</v>
      </c>
      <c r="CQ189" s="84"/>
      <c r="DC189" s="71" t="s">
        <v>2407</v>
      </c>
      <c r="DD189" s="57"/>
      <c r="DE189" s="57"/>
      <c r="DF189" s="51">
        <v>12395.5416</v>
      </c>
      <c r="DG189" s="48"/>
      <c r="DH189" s="57"/>
      <c r="DI189" s="48"/>
      <c r="DJ189" s="104" t="s">
        <v>2265</v>
      </c>
      <c r="DK189" s="105">
        <f>+DK186+(DK187*DK188)</f>
        <v>8.3569999999999992E-2</v>
      </c>
      <c r="DL189" s="84"/>
      <c r="DM189" s="84"/>
      <c r="DN189" s="84"/>
      <c r="DO189" s="84"/>
      <c r="DP189" s="84"/>
      <c r="DQ189" s="84"/>
    </row>
    <row r="190" spans="2:121" s="83" customFormat="1" ht="13.5" customHeight="1">
      <c r="B190" s="83" t="s">
        <v>2441</v>
      </c>
      <c r="AA190" s="89"/>
      <c r="AB190" s="89"/>
      <c r="AC190" s="89"/>
      <c r="AD190" s="89"/>
      <c r="AE190" s="89"/>
      <c r="AF190" s="89"/>
      <c r="AG190" s="89"/>
      <c r="AH190" s="89"/>
      <c r="AI190" s="89"/>
      <c r="AJ190" s="89"/>
      <c r="AK190" s="89"/>
      <c r="AL190" s="89"/>
      <c r="AM190" s="89"/>
      <c r="AN190" s="89"/>
      <c r="AO190" s="89"/>
      <c r="AP190" s="89"/>
      <c r="AQ190" s="90">
        <v>42.375999999999998</v>
      </c>
      <c r="AR190" s="90">
        <v>42.475999999999999</v>
      </c>
      <c r="AS190" s="90">
        <v>41.817</v>
      </c>
      <c r="AT190" s="90">
        <v>43.716999999999999</v>
      </c>
      <c r="AU190" s="90">
        <v>43.167999999999999</v>
      </c>
      <c r="AV190" s="90">
        <v>42.668999999999997</v>
      </c>
      <c r="AW190" s="83">
        <v>41.777999999999999</v>
      </c>
      <c r="AX190" s="90">
        <v>41.192</v>
      </c>
      <c r="AY190" s="90">
        <v>40.691000000000003</v>
      </c>
      <c r="AZ190" s="90">
        <v>92.790999999999997</v>
      </c>
      <c r="BA190" s="83">
        <v>133.55199999999999</v>
      </c>
      <c r="BB190" s="90">
        <v>131.95500000000001</v>
      </c>
      <c r="BC190" s="90">
        <v>176.892</v>
      </c>
      <c r="BD190" s="90">
        <v>177.423</v>
      </c>
      <c r="BE190" s="90">
        <v>174.684</v>
      </c>
      <c r="BF190" s="90">
        <v>192.636</v>
      </c>
      <c r="BG190" s="90">
        <v>189.839</v>
      </c>
      <c r="BH190" s="90">
        <v>187.494</v>
      </c>
      <c r="BI190" s="90">
        <v>184.52</v>
      </c>
      <c r="BJ190" s="90">
        <v>188.756</v>
      </c>
      <c r="BK190" s="90">
        <v>185.845</v>
      </c>
      <c r="BL190" s="90">
        <v>183.316</v>
      </c>
      <c r="BM190" s="90">
        <v>180.923</v>
      </c>
      <c r="BN190" s="90">
        <v>177.78700000000001</v>
      </c>
      <c r="BO190" s="90">
        <v>175.33099999999999</v>
      </c>
      <c r="BP190" s="90">
        <v>174.059</v>
      </c>
      <c r="BQ190" s="90">
        <v>170.715</v>
      </c>
      <c r="BR190" s="85"/>
      <c r="BS190" s="85"/>
      <c r="BT190" s="85"/>
      <c r="BU190" s="87"/>
      <c r="BV190" s="87"/>
      <c r="CK190" s="90">
        <f t="shared" si="297"/>
        <v>43.716999999999999</v>
      </c>
      <c r="CL190" s="90">
        <f t="shared" si="298"/>
        <v>41.192</v>
      </c>
      <c r="CM190" s="90">
        <f t="shared" si="299"/>
        <v>131.95500000000001</v>
      </c>
      <c r="CN190" s="90">
        <f t="shared" si="300"/>
        <v>192.636</v>
      </c>
      <c r="CO190" s="90">
        <f t="shared" si="301"/>
        <v>188.756</v>
      </c>
      <c r="CP190" s="90">
        <f t="shared" si="302"/>
        <v>177.78700000000001</v>
      </c>
      <c r="CQ190" s="84"/>
      <c r="DC190" s="71" t="s">
        <v>2406</v>
      </c>
      <c r="DD190" s="57"/>
      <c r="DE190" s="57"/>
      <c r="DF190" s="67">
        <v>0</v>
      </c>
      <c r="DG190" s="64"/>
      <c r="DH190" s="57"/>
      <c r="DI190" s="48"/>
      <c r="DJ190" s="104"/>
      <c r="DK190" s="84"/>
      <c r="DL190" s="84"/>
      <c r="DM190" s="84"/>
      <c r="DN190" s="84"/>
      <c r="DO190" s="84"/>
      <c r="DP190" s="84"/>
      <c r="DQ190" s="84"/>
    </row>
    <row r="191" spans="2:121" s="83" customFormat="1" ht="13.5" customHeight="1">
      <c r="B191" s="83" t="s">
        <v>2442</v>
      </c>
      <c r="AA191" s="89"/>
      <c r="AB191" s="89"/>
      <c r="AC191" s="89"/>
      <c r="AD191" s="89"/>
      <c r="AE191" s="89"/>
      <c r="AF191" s="89"/>
      <c r="AG191" s="89"/>
      <c r="AH191" s="89"/>
      <c r="AI191" s="89"/>
      <c r="AJ191" s="89"/>
      <c r="AK191" s="89"/>
      <c r="AL191" s="89"/>
      <c r="AM191" s="89"/>
      <c r="AN191" s="89"/>
      <c r="AO191" s="89"/>
      <c r="AP191" s="89"/>
      <c r="AR191" s="83">
        <v>0</v>
      </c>
      <c r="AS191" s="83">
        <v>0</v>
      </c>
      <c r="AT191" s="90">
        <v>39.923999999999999</v>
      </c>
      <c r="AU191" s="90">
        <v>39.286999999999999</v>
      </c>
      <c r="AV191" s="90">
        <v>37.927</v>
      </c>
      <c r="AW191" s="83">
        <v>38.798000000000002</v>
      </c>
      <c r="AX191" s="90">
        <v>38.064999999999998</v>
      </c>
      <c r="AY191" s="90">
        <v>37.697000000000003</v>
      </c>
      <c r="AZ191" s="90">
        <v>37.030999999999999</v>
      </c>
      <c r="BA191" s="83">
        <v>36.844999999999999</v>
      </c>
      <c r="BB191" s="90">
        <v>36.276000000000003</v>
      </c>
      <c r="BC191" s="90">
        <v>35.549999999999997</v>
      </c>
      <c r="BD191" s="90">
        <v>34.743000000000002</v>
      </c>
      <c r="BE191" s="90">
        <v>34.113999999999997</v>
      </c>
      <c r="BF191" s="90">
        <v>33.323</v>
      </c>
      <c r="BG191" s="90">
        <v>32.569000000000003</v>
      </c>
      <c r="BH191" s="90">
        <v>31.751000000000001</v>
      </c>
      <c r="BI191" s="90">
        <v>31.364000000000001</v>
      </c>
      <c r="BJ191" s="90">
        <v>31.091999999999999</v>
      </c>
      <c r="BK191" s="90">
        <v>30.234000000000002</v>
      </c>
      <c r="BL191" s="90">
        <v>29.366</v>
      </c>
      <c r="BM191" s="90">
        <v>28.888000000000002</v>
      </c>
      <c r="BN191" s="90">
        <v>28.018000000000001</v>
      </c>
      <c r="BO191" s="90">
        <v>27.126000000000001</v>
      </c>
      <c r="BP191" s="90">
        <v>27.606000000000002</v>
      </c>
      <c r="BQ191" s="90">
        <v>26.79</v>
      </c>
      <c r="BR191" s="85"/>
      <c r="BS191" s="85"/>
      <c r="BT191" s="85"/>
      <c r="BU191" s="87"/>
      <c r="BV191" s="87"/>
      <c r="CK191" s="90">
        <f t="shared" si="297"/>
        <v>39.923999999999999</v>
      </c>
      <c r="CL191" s="90">
        <f t="shared" si="298"/>
        <v>38.064999999999998</v>
      </c>
      <c r="CM191" s="90">
        <f t="shared" si="299"/>
        <v>36.276000000000003</v>
      </c>
      <c r="CN191" s="90">
        <f t="shared" si="300"/>
        <v>33.323</v>
      </c>
      <c r="CO191" s="90">
        <f t="shared" si="301"/>
        <v>31.091999999999999</v>
      </c>
      <c r="CP191" s="90">
        <f t="shared" si="302"/>
        <v>28.018000000000001</v>
      </c>
      <c r="CQ191" s="84"/>
      <c r="DC191" s="71" t="s">
        <v>2412</v>
      </c>
      <c r="DD191" s="57"/>
      <c r="DE191" s="57"/>
      <c r="DF191" s="67">
        <v>1</v>
      </c>
      <c r="DG191" s="48"/>
      <c r="DH191" s="57"/>
      <c r="DI191" s="48"/>
      <c r="DJ191" s="104" t="s">
        <v>2266</v>
      </c>
      <c r="DK191" s="91">
        <f>NPV(DK189,CQ173:EO173)</f>
        <v>20030.428491887713</v>
      </c>
      <c r="DL191" s="84"/>
      <c r="DM191" s="84"/>
      <c r="DN191" s="84"/>
      <c r="DO191" s="84"/>
      <c r="DP191" s="84"/>
      <c r="DQ191" s="84"/>
    </row>
    <row r="192" spans="2:121" s="83" customFormat="1" ht="13.5" customHeight="1">
      <c r="B192" s="83" t="s">
        <v>2443</v>
      </c>
      <c r="AA192" s="89"/>
      <c r="AB192" s="89"/>
      <c r="AC192" s="89"/>
      <c r="AD192" s="89"/>
      <c r="AE192" s="89"/>
      <c r="AF192" s="89"/>
      <c r="AG192" s="89"/>
      <c r="AH192" s="89"/>
      <c r="AI192" s="89"/>
      <c r="AJ192" s="89"/>
      <c r="AK192" s="89"/>
      <c r="AL192" s="89"/>
      <c r="AM192" s="89"/>
      <c r="AN192" s="89"/>
      <c r="AO192" s="89"/>
      <c r="AP192" s="89"/>
      <c r="AQ192" s="90">
        <v>26.812999999999999</v>
      </c>
      <c r="AR192" s="90">
        <v>26.030999999999999</v>
      </c>
      <c r="AS192" s="90">
        <v>25.494</v>
      </c>
      <c r="AT192" s="90">
        <v>25.407</v>
      </c>
      <c r="AU192" s="90">
        <v>25.024000000000001</v>
      </c>
      <c r="AV192" s="90">
        <v>10.645</v>
      </c>
      <c r="AW192" s="83">
        <v>10.64</v>
      </c>
      <c r="AX192" s="90">
        <v>10.638999999999999</v>
      </c>
      <c r="AY192" s="90">
        <v>10.097</v>
      </c>
      <c r="AZ192" s="90">
        <v>9.8949999999999996</v>
      </c>
      <c r="BA192" s="83">
        <v>9.49</v>
      </c>
      <c r="BB192" s="90">
        <v>90.617999999999995</v>
      </c>
      <c r="BC192" s="90">
        <v>88.471999999999994</v>
      </c>
      <c r="BD192" s="90">
        <v>86.162000000000006</v>
      </c>
      <c r="BE192" s="90">
        <v>83.36</v>
      </c>
      <c r="BF192" s="90">
        <v>81.161000000000001</v>
      </c>
      <c r="BG192" s="90">
        <v>78.668999999999997</v>
      </c>
      <c r="BH192" s="90">
        <v>76.116</v>
      </c>
      <c r="BI192" s="90">
        <v>73.451999999999998</v>
      </c>
      <c r="BJ192" s="90">
        <v>71.055999999999997</v>
      </c>
      <c r="BK192" s="90">
        <v>68.421000000000006</v>
      </c>
      <c r="BL192" s="90">
        <v>6.9550000000000001</v>
      </c>
      <c r="BM192" s="90">
        <v>6.92</v>
      </c>
      <c r="BN192" s="90">
        <v>6.5129999999999999</v>
      </c>
      <c r="BO192" s="90">
        <v>6.4690000000000003</v>
      </c>
      <c r="BP192" s="90">
        <v>6.5519999999999996</v>
      </c>
      <c r="BQ192" s="90">
        <v>6.3680000000000003</v>
      </c>
      <c r="BR192" s="85"/>
      <c r="BS192" s="85"/>
      <c r="BT192" s="85"/>
      <c r="BU192" s="87"/>
      <c r="BV192" s="87"/>
      <c r="CK192" s="90">
        <f t="shared" si="297"/>
        <v>25.407</v>
      </c>
      <c r="CL192" s="90">
        <f t="shared" si="298"/>
        <v>10.638999999999999</v>
      </c>
      <c r="CM192" s="90">
        <f t="shared" si="299"/>
        <v>90.617999999999995</v>
      </c>
      <c r="CN192" s="90">
        <f t="shared" si="300"/>
        <v>81.161000000000001</v>
      </c>
      <c r="CO192" s="90">
        <f t="shared" si="301"/>
        <v>71.055999999999997</v>
      </c>
      <c r="CP192" s="90">
        <f t="shared" si="302"/>
        <v>6.5129999999999999</v>
      </c>
      <c r="CQ192" s="84"/>
      <c r="DC192" s="74" t="s">
        <v>2445</v>
      </c>
      <c r="DD192" s="58"/>
      <c r="DE192" s="58"/>
      <c r="DF192" s="75">
        <v>0</v>
      </c>
      <c r="DG192" s="48"/>
      <c r="DH192" s="48"/>
      <c r="DI192" s="48"/>
      <c r="DJ192" s="104" t="s">
        <v>1</v>
      </c>
      <c r="DK192" s="91">
        <v>39.078000000000003</v>
      </c>
      <c r="DL192" s="107"/>
      <c r="DM192" s="84"/>
      <c r="DN192" s="84"/>
      <c r="DO192" s="84"/>
      <c r="DP192" s="84"/>
      <c r="DQ192" s="84"/>
    </row>
    <row r="193" spans="2:121" s="83" customFormat="1" ht="13.5" customHeight="1">
      <c r="B193" s="83" t="s">
        <v>130</v>
      </c>
      <c r="AA193" s="89"/>
      <c r="AB193" s="89"/>
      <c r="AC193" s="89"/>
      <c r="AD193" s="89"/>
      <c r="AE193" s="89"/>
      <c r="AF193" s="89"/>
      <c r="AG193" s="89"/>
      <c r="AH193" s="89"/>
      <c r="AI193" s="89"/>
      <c r="AJ193" s="89"/>
      <c r="AK193" s="89"/>
      <c r="AL193" s="89"/>
      <c r="AM193" s="89"/>
      <c r="AN193" s="89"/>
      <c r="AO193" s="89"/>
      <c r="AP193" s="89"/>
      <c r="AQ193" s="90">
        <v>7.6589999999999998</v>
      </c>
      <c r="AR193" s="90">
        <v>7.7649999999999997</v>
      </c>
      <c r="AS193" s="90">
        <v>7.452</v>
      </c>
      <c r="AT193" s="90">
        <v>7.6559999999999997</v>
      </c>
      <c r="AU193" s="90">
        <v>7.5090000000000003</v>
      </c>
      <c r="AV193" s="90">
        <v>7.665</v>
      </c>
      <c r="AW193" s="83">
        <v>8.0039999999999996</v>
      </c>
      <c r="AX193" s="90">
        <v>8.3719999999999999</v>
      </c>
      <c r="AY193" s="90">
        <v>8.0060000000000002</v>
      </c>
      <c r="AZ193" s="90">
        <v>8.109</v>
      </c>
      <c r="BA193" s="83">
        <v>7.9109999999999996</v>
      </c>
      <c r="BB193" s="90">
        <v>166.38800000000001</v>
      </c>
      <c r="BC193" s="90">
        <v>166.232</v>
      </c>
      <c r="BD193" s="90">
        <v>165.779</v>
      </c>
      <c r="BE193" s="90">
        <v>165.42599999999999</v>
      </c>
      <c r="BF193" s="90">
        <v>166.04599999999999</v>
      </c>
      <c r="BG193" s="90">
        <v>166.161</v>
      </c>
      <c r="BH193" s="90">
        <v>166.166</v>
      </c>
      <c r="BI193" s="90">
        <v>165.95400000000001</v>
      </c>
      <c r="BJ193" s="90">
        <v>166.27</v>
      </c>
      <c r="BK193" s="90">
        <v>166.10300000000001</v>
      </c>
      <c r="BL193" s="90">
        <v>166.05</v>
      </c>
      <c r="BM193" s="90">
        <v>166.35499999999999</v>
      </c>
      <c r="BN193" s="90">
        <v>165.82599999999999</v>
      </c>
      <c r="BO193" s="90">
        <v>166.12299999999999</v>
      </c>
      <c r="BP193" s="90">
        <v>166.75200000000001</v>
      </c>
      <c r="BQ193" s="90">
        <v>166.74799999999999</v>
      </c>
      <c r="BR193" s="85"/>
      <c r="BS193" s="85"/>
      <c r="BT193" s="85"/>
      <c r="BU193" s="87"/>
      <c r="BV193" s="87"/>
      <c r="CK193" s="90">
        <f t="shared" si="297"/>
        <v>7.6559999999999997</v>
      </c>
      <c r="CL193" s="90">
        <f t="shared" si="298"/>
        <v>8.3719999999999999</v>
      </c>
      <c r="CM193" s="90">
        <f t="shared" si="299"/>
        <v>166.38800000000001</v>
      </c>
      <c r="CN193" s="90">
        <f t="shared" si="300"/>
        <v>166.04599999999999</v>
      </c>
      <c r="CO193" s="90">
        <f t="shared" si="301"/>
        <v>166.27</v>
      </c>
      <c r="CP193" s="90">
        <f t="shared" si="302"/>
        <v>165.82599999999999</v>
      </c>
      <c r="CQ193" s="84"/>
      <c r="DC193" s="57"/>
      <c r="DD193" s="57"/>
      <c r="DE193" s="57"/>
      <c r="DF193" s="57"/>
      <c r="DG193" s="48"/>
      <c r="DH193" s="48"/>
      <c r="DI193" s="48"/>
      <c r="DJ193" s="104" t="s">
        <v>2267</v>
      </c>
      <c r="DK193" s="102">
        <f>DK191/DK192</f>
        <v>512.5755794024185</v>
      </c>
      <c r="DL193" s="108"/>
      <c r="DM193" s="84"/>
      <c r="DN193" s="84"/>
      <c r="DO193" s="84"/>
      <c r="DP193" s="84"/>
      <c r="DQ193" s="84"/>
    </row>
    <row r="194" spans="2:121" s="83" customFormat="1" ht="13.5" customHeight="1">
      <c r="B194" s="83" t="s">
        <v>2444</v>
      </c>
      <c r="AA194" s="89"/>
      <c r="AB194" s="89"/>
      <c r="AC194" s="89"/>
      <c r="AD194" s="89"/>
      <c r="AE194" s="89"/>
      <c r="AF194" s="89"/>
      <c r="AG194" s="89"/>
      <c r="AH194" s="89"/>
      <c r="AI194" s="89"/>
      <c r="AJ194" s="89"/>
      <c r="AK194" s="89"/>
      <c r="AL194" s="89"/>
      <c r="AM194" s="89"/>
      <c r="AN194" s="89"/>
      <c r="AO194" s="89"/>
      <c r="AP194" s="89"/>
      <c r="AQ194" s="90">
        <v>31.861999999999998</v>
      </c>
      <c r="AR194" s="90">
        <v>34.661000000000001</v>
      </c>
      <c r="AS194" s="90">
        <v>32.817999999999998</v>
      </c>
      <c r="AT194" s="90">
        <v>31.305</v>
      </c>
      <c r="AU194" s="90">
        <v>32.945</v>
      </c>
      <c r="AV194" s="90">
        <v>36.473999999999997</v>
      </c>
      <c r="AW194" s="83">
        <v>47.91</v>
      </c>
      <c r="AX194" s="90">
        <v>50.139000000000003</v>
      </c>
      <c r="AY194" s="90">
        <v>48.978000000000002</v>
      </c>
      <c r="AZ194" s="90">
        <v>47.67</v>
      </c>
      <c r="BA194" s="83">
        <v>49.454000000000001</v>
      </c>
      <c r="BB194" s="90">
        <v>65.697999999999993</v>
      </c>
      <c r="BC194" s="90">
        <v>70.08</v>
      </c>
      <c r="BD194" s="90">
        <v>68.403999999999996</v>
      </c>
      <c r="BE194" s="90">
        <v>62.826999999999998</v>
      </c>
      <c r="BF194" s="90">
        <v>64.212999999999994</v>
      </c>
      <c r="BG194" s="90">
        <v>65.173000000000002</v>
      </c>
      <c r="BH194" s="90">
        <v>66.671000000000006</v>
      </c>
      <c r="BI194" s="90">
        <v>64.236000000000004</v>
      </c>
      <c r="BJ194" s="90">
        <v>85.158000000000001</v>
      </c>
      <c r="BK194" s="90">
        <v>84.661000000000001</v>
      </c>
      <c r="BL194" s="90">
        <v>108.852</v>
      </c>
      <c r="BM194" s="90">
        <v>105.851</v>
      </c>
      <c r="BN194" s="90">
        <v>100.33199999999999</v>
      </c>
      <c r="BO194" s="90">
        <v>102.355</v>
      </c>
      <c r="BP194" s="90">
        <v>109.14100000000001</v>
      </c>
      <c r="BQ194" s="90">
        <v>94.477999999999994</v>
      </c>
      <c r="BR194" s="85"/>
      <c r="BS194" s="85"/>
      <c r="BT194" s="85"/>
      <c r="BU194" s="87"/>
      <c r="BV194" s="87"/>
      <c r="CK194" s="90">
        <f t="shared" si="297"/>
        <v>31.305</v>
      </c>
      <c r="CL194" s="90">
        <f t="shared" si="298"/>
        <v>50.139000000000003</v>
      </c>
      <c r="CM194" s="90">
        <f t="shared" si="299"/>
        <v>65.697999999999993</v>
      </c>
      <c r="CN194" s="90">
        <f t="shared" si="300"/>
        <v>64.212999999999994</v>
      </c>
      <c r="CO194" s="90">
        <f t="shared" si="301"/>
        <v>85.158000000000001</v>
      </c>
      <c r="CP194" s="90">
        <f t="shared" si="302"/>
        <v>100.33199999999999</v>
      </c>
      <c r="CQ194" s="84"/>
      <c r="DC194" s="58" t="s">
        <v>2402</v>
      </c>
      <c r="DD194" s="57"/>
      <c r="DE194" s="57"/>
      <c r="DF194" s="48"/>
      <c r="DG194" s="64"/>
      <c r="DH194" s="64"/>
      <c r="DI194" s="64"/>
      <c r="DJ194" s="104" t="s">
        <v>2268</v>
      </c>
      <c r="DK194" s="102">
        <v>315.20999999999998</v>
      </c>
      <c r="DL194" s="109"/>
      <c r="DM194" s="84"/>
      <c r="DN194" s="84"/>
      <c r="DO194" s="84"/>
      <c r="DP194" s="84"/>
      <c r="DQ194" s="84"/>
    </row>
    <row r="195" spans="2:121" s="83" customFormat="1" ht="13.5" customHeight="1">
      <c r="B195" s="83" t="s">
        <v>133</v>
      </c>
      <c r="AA195" s="89"/>
      <c r="AB195" s="89"/>
      <c r="AC195" s="89"/>
      <c r="AD195" s="89"/>
      <c r="AE195" s="89"/>
      <c r="AF195" s="89"/>
      <c r="AG195" s="89"/>
      <c r="AH195" s="89"/>
      <c r="AI195" s="89"/>
      <c r="AJ195" s="89"/>
      <c r="AK195" s="89"/>
      <c r="AL195" s="89"/>
      <c r="AM195" s="89"/>
      <c r="AN195" s="89"/>
      <c r="AO195" s="89"/>
      <c r="AP195" s="89"/>
      <c r="AQ195" s="90">
        <v>1.613</v>
      </c>
      <c r="AR195" s="90">
        <v>1.6319999999999999</v>
      </c>
      <c r="AS195" s="90">
        <v>9.6300000000000008</v>
      </c>
      <c r="AT195" s="90">
        <v>2.9460000000000002</v>
      </c>
      <c r="AU195" s="90">
        <v>3.8690000000000002</v>
      </c>
      <c r="AV195" s="90">
        <v>6.7370000000000001</v>
      </c>
      <c r="AW195" s="83">
        <v>8.0690000000000008</v>
      </c>
      <c r="AX195" s="90">
        <v>8.7050000000000001</v>
      </c>
      <c r="AY195" s="90">
        <v>9.9139999999999997</v>
      </c>
      <c r="AZ195" s="90">
        <v>10.756</v>
      </c>
      <c r="BA195" s="83">
        <v>11.37</v>
      </c>
      <c r="BB195" s="90">
        <v>12.984999999999999</v>
      </c>
      <c r="BC195" s="90">
        <v>13.694000000000001</v>
      </c>
      <c r="BD195" s="90">
        <v>13.97</v>
      </c>
      <c r="BE195" s="90">
        <v>13.483000000000001</v>
      </c>
      <c r="BF195" s="90">
        <v>12.792999999999999</v>
      </c>
      <c r="BG195" s="90">
        <v>11.173</v>
      </c>
      <c r="BH195" s="90">
        <v>10.5</v>
      </c>
      <c r="BI195" s="83">
        <v>14.743</v>
      </c>
      <c r="BJ195" s="90">
        <v>25.88</v>
      </c>
      <c r="BK195" s="90">
        <v>33.814</v>
      </c>
      <c r="BL195" s="90">
        <v>38.518000000000001</v>
      </c>
      <c r="BM195" s="90">
        <v>38.514000000000003</v>
      </c>
      <c r="BN195" s="90">
        <v>40.939</v>
      </c>
      <c r="BO195" s="90">
        <v>43.728999999999999</v>
      </c>
      <c r="BP195" s="90">
        <v>40.39</v>
      </c>
      <c r="BQ195" s="90">
        <v>40.020000000000003</v>
      </c>
      <c r="BR195" s="85"/>
      <c r="BS195" s="85"/>
      <c r="BT195" s="85"/>
      <c r="BU195" s="87"/>
      <c r="BV195" s="87"/>
      <c r="CK195" s="90">
        <f t="shared" si="297"/>
        <v>2.9460000000000002</v>
      </c>
      <c r="CL195" s="90">
        <f t="shared" si="298"/>
        <v>8.7050000000000001</v>
      </c>
      <c r="CM195" s="90">
        <f t="shared" si="299"/>
        <v>12.984999999999999</v>
      </c>
      <c r="CN195" s="90">
        <f t="shared" si="300"/>
        <v>12.792999999999999</v>
      </c>
      <c r="CO195" s="90">
        <f t="shared" si="301"/>
        <v>25.88</v>
      </c>
      <c r="CP195" s="90">
        <f t="shared" si="302"/>
        <v>40.939</v>
      </c>
      <c r="CQ195" s="84"/>
      <c r="DC195" s="72" t="s">
        <v>2262</v>
      </c>
      <c r="DD195" s="57"/>
      <c r="DE195" s="57"/>
      <c r="DF195" s="67">
        <v>4.0500000000000001E-2</v>
      </c>
      <c r="DG195" s="48"/>
      <c r="DH195" s="48"/>
      <c r="DI195" s="48"/>
      <c r="DJ195" s="104" t="s">
        <v>2340</v>
      </c>
      <c r="DK195" s="105">
        <f>DK193/DK194-1</f>
        <v>0.62613996828279084</v>
      </c>
      <c r="DL195" s="108" t="str">
        <f>IF(DK195&gt;0,"Upside","Downside")</f>
        <v>Upside</v>
      </c>
      <c r="DM195" s="84"/>
      <c r="DN195" s="84"/>
      <c r="DO195" s="84"/>
      <c r="DP195" s="84"/>
      <c r="DQ195" s="84"/>
    </row>
    <row r="196" spans="2:121" s="85" customFormat="1" ht="13.5" customHeight="1">
      <c r="B196" s="85" t="s">
        <v>134</v>
      </c>
      <c r="AA196" s="92"/>
      <c r="AB196" s="92"/>
      <c r="AC196" s="92"/>
      <c r="AD196" s="92"/>
      <c r="AE196" s="92"/>
      <c r="AF196" s="92"/>
      <c r="AG196" s="92"/>
      <c r="AH196" s="92"/>
      <c r="AI196" s="92"/>
      <c r="AJ196" s="92"/>
      <c r="AK196" s="92"/>
      <c r="AL196" s="92"/>
      <c r="AM196" s="92"/>
      <c r="AN196" s="92"/>
      <c r="AO196" s="92"/>
      <c r="AP196" s="92"/>
      <c r="AQ196" s="86">
        <f t="shared" ref="AQ196:BQ196" si="304">SUM(AQ184:AQ195)</f>
        <v>568.78899999999999</v>
      </c>
      <c r="AR196" s="86">
        <f>SUM(AR184:AR195)</f>
        <v>585.10899999999981</v>
      </c>
      <c r="AS196" s="86">
        <f t="shared" si="304"/>
        <v>614.17000000000007</v>
      </c>
      <c r="AT196" s="86">
        <f t="shared" si="304"/>
        <v>665.90099999999995</v>
      </c>
      <c r="AU196" s="86">
        <f t="shared" si="304"/>
        <v>664.24000000000012</v>
      </c>
      <c r="AV196" s="86">
        <f t="shared" si="304"/>
        <v>780.19999999999982</v>
      </c>
      <c r="AW196" s="86">
        <f t="shared" si="304"/>
        <v>810.30399999999997</v>
      </c>
      <c r="AX196" s="86">
        <f t="shared" si="304"/>
        <v>822.98299999999995</v>
      </c>
      <c r="AY196" s="86">
        <f t="shared" si="304"/>
        <v>840.82399999999996</v>
      </c>
      <c r="AZ196" s="86">
        <f t="shared" si="304"/>
        <v>910.21799999999996</v>
      </c>
      <c r="BA196" s="86">
        <f t="shared" si="304"/>
        <v>973.24099999999987</v>
      </c>
      <c r="BB196" s="86">
        <f t="shared" si="304"/>
        <v>1244.2499999999998</v>
      </c>
      <c r="BC196" s="86">
        <f t="shared" si="304"/>
        <v>1301.5729999999999</v>
      </c>
      <c r="BD196" s="86">
        <f t="shared" si="304"/>
        <v>1327.9</v>
      </c>
      <c r="BE196" s="86">
        <f t="shared" si="304"/>
        <v>1321.6009999999999</v>
      </c>
      <c r="BF196" s="86">
        <f t="shared" si="304"/>
        <v>1370.886</v>
      </c>
      <c r="BG196" s="86">
        <f t="shared" si="304"/>
        <v>1395.298</v>
      </c>
      <c r="BH196" s="86">
        <f t="shared" si="304"/>
        <v>1432.5319999999999</v>
      </c>
      <c r="BI196" s="86">
        <f t="shared" si="304"/>
        <v>1468.377</v>
      </c>
      <c r="BJ196" s="86">
        <f t="shared" si="304"/>
        <v>1556.3050000000003</v>
      </c>
      <c r="BK196" s="86">
        <f t="shared" si="304"/>
        <v>1579.845</v>
      </c>
      <c r="BL196" s="86">
        <f t="shared" si="304"/>
        <v>1534.5609999999999</v>
      </c>
      <c r="BM196" s="86">
        <f t="shared" si="304"/>
        <v>1479.1229999999998</v>
      </c>
      <c r="BN196" s="86">
        <f t="shared" si="304"/>
        <v>1533.1759999999997</v>
      </c>
      <c r="BO196" s="86">
        <f t="shared" si="304"/>
        <v>1593.307</v>
      </c>
      <c r="BP196" s="86">
        <f t="shared" si="304"/>
        <v>1674.809</v>
      </c>
      <c r="BQ196" s="86">
        <f t="shared" si="304"/>
        <v>1744.3689999999999</v>
      </c>
      <c r="BU196" s="87"/>
      <c r="BV196" s="87"/>
      <c r="CK196" s="86">
        <f t="shared" ref="CK196:CP196" si="305">SUM(CK184:CK195)</f>
        <v>665.90099999999995</v>
      </c>
      <c r="CL196" s="86">
        <f t="shared" si="305"/>
        <v>822.98299999999995</v>
      </c>
      <c r="CM196" s="86">
        <f t="shared" si="305"/>
        <v>1244.2499999999998</v>
      </c>
      <c r="CN196" s="86">
        <f t="shared" si="305"/>
        <v>1370.886</v>
      </c>
      <c r="CO196" s="86">
        <f t="shared" si="305"/>
        <v>1556.3050000000003</v>
      </c>
      <c r="CP196" s="86">
        <f t="shared" si="305"/>
        <v>1533.1759999999997</v>
      </c>
      <c r="CQ196" s="84"/>
      <c r="DC196" s="72" t="s">
        <v>2264</v>
      </c>
      <c r="DD196" s="57"/>
      <c r="DE196" s="57"/>
      <c r="DF196" s="55">
        <f>DK188</f>
        <v>0.73</v>
      </c>
      <c r="DG196" s="57"/>
      <c r="DH196" s="57"/>
      <c r="DI196" s="57"/>
      <c r="DJ196" s="117" t="str" cm="1">
        <f t="array" ref="DJ196">_xlfn.IFS(DK195&gt;=25%,"Strong Buy",DK195&gt;=10.00001%,"Buy",AND(DK195&lt;=10%,DK195&gt;=-4.9999%),"Hold",AND(DK195&lt;=-5%,DK195&gt;=-14.999999%),"Sell",DK195&lt;=-15%,"Strong Sell")</f>
        <v>Strong Buy</v>
      </c>
      <c r="DK196" s="117"/>
      <c r="DL196" s="91"/>
      <c r="DM196" s="87"/>
      <c r="DN196" s="87"/>
      <c r="DO196" s="87"/>
      <c r="DP196" s="87"/>
      <c r="DQ196" s="87"/>
    </row>
    <row r="197" spans="2:121" s="83" customFormat="1" ht="13.5" customHeight="1">
      <c r="AA197" s="89"/>
      <c r="AB197" s="89"/>
      <c r="AC197" s="89"/>
      <c r="AD197" s="89"/>
      <c r="AE197" s="89"/>
      <c r="AF197" s="89"/>
      <c r="AG197" s="89"/>
      <c r="AH197" s="89"/>
      <c r="AI197" s="89"/>
      <c r="AJ197" s="89"/>
      <c r="AK197" s="89"/>
      <c r="AL197" s="89"/>
      <c r="AM197" s="89"/>
      <c r="AN197" s="89"/>
      <c r="AO197" s="89"/>
      <c r="AP197" s="89"/>
      <c r="BQ197" s="85"/>
      <c r="BR197" s="85"/>
      <c r="BS197" s="85"/>
      <c r="BT197" s="85"/>
      <c r="BU197" s="87"/>
      <c r="BV197" s="87"/>
      <c r="CL197" s="90"/>
      <c r="CM197" s="90"/>
      <c r="CN197" s="90"/>
      <c r="CO197" s="90"/>
      <c r="CP197" s="90"/>
      <c r="CQ197" s="84"/>
      <c r="DC197" s="71" t="s">
        <v>2403</v>
      </c>
      <c r="DD197" s="57"/>
      <c r="DE197" s="57"/>
      <c r="DF197" s="67">
        <v>0.14330000000000001</v>
      </c>
      <c r="DG197" s="57"/>
      <c r="DH197" s="57"/>
      <c r="DI197" s="57"/>
      <c r="DJ197" s="57"/>
      <c r="DK197" s="57"/>
      <c r="DL197" s="57"/>
      <c r="DM197" s="84"/>
      <c r="DN197" s="84"/>
      <c r="DO197" s="84"/>
      <c r="DP197" s="84"/>
      <c r="DQ197" s="84"/>
    </row>
    <row r="198" spans="2:121" s="83" customFormat="1" ht="13.5" customHeight="1">
      <c r="B198" s="83" t="s">
        <v>2446</v>
      </c>
      <c r="AA198" s="89"/>
      <c r="AB198" s="89"/>
      <c r="AC198" s="89"/>
      <c r="AD198" s="89"/>
      <c r="AE198" s="89"/>
      <c r="AF198" s="89"/>
      <c r="AG198" s="89"/>
      <c r="AH198" s="89"/>
      <c r="AI198" s="89"/>
      <c r="AJ198" s="89"/>
      <c r="AK198" s="89"/>
      <c r="AL198" s="89"/>
      <c r="AM198" s="89"/>
      <c r="AN198" s="89"/>
      <c r="AO198" s="89"/>
      <c r="AP198" s="89"/>
      <c r="AQ198" s="90">
        <v>7.6920000000000002</v>
      </c>
      <c r="AR198" s="90">
        <v>8.7430000000000003</v>
      </c>
      <c r="AS198" s="90">
        <v>11.962</v>
      </c>
      <c r="AT198" s="90">
        <v>15.111000000000001</v>
      </c>
      <c r="AU198" s="90">
        <v>15.843</v>
      </c>
      <c r="AV198" s="90">
        <v>14.432</v>
      </c>
      <c r="AW198" s="90">
        <v>14.544</v>
      </c>
      <c r="AX198" s="90">
        <v>14.109</v>
      </c>
      <c r="AY198" s="90">
        <v>15.388999999999999</v>
      </c>
      <c r="AZ198" s="90">
        <v>13.712</v>
      </c>
      <c r="BA198" s="83">
        <v>13.679</v>
      </c>
      <c r="BB198" s="90">
        <v>13.420999999999999</v>
      </c>
      <c r="BC198" s="90">
        <v>14.137</v>
      </c>
      <c r="BD198" s="90">
        <v>23.096</v>
      </c>
      <c r="BE198" s="90">
        <v>25.364999999999998</v>
      </c>
      <c r="BF198" s="90">
        <v>26.678999999999998</v>
      </c>
      <c r="BG198" s="90">
        <v>28.199000000000002</v>
      </c>
      <c r="BH198" s="90">
        <v>25.818999999999999</v>
      </c>
      <c r="BI198" s="90">
        <v>27.995999999999999</v>
      </c>
      <c r="BJ198" s="90">
        <v>27.155000000000001</v>
      </c>
      <c r="BK198" s="90">
        <v>32.454500000000003</v>
      </c>
      <c r="BL198" s="90">
        <v>32.822000000000003</v>
      </c>
      <c r="BM198" s="90">
        <v>33.151000000000003</v>
      </c>
      <c r="BN198" s="90">
        <v>31.326000000000001</v>
      </c>
      <c r="BO198" s="90">
        <v>31.152999999999999</v>
      </c>
      <c r="BP198" s="90">
        <v>28.120999999999999</v>
      </c>
      <c r="BQ198" s="90">
        <v>29.821000000000002</v>
      </c>
      <c r="BR198" s="85"/>
      <c r="BS198" s="85"/>
      <c r="BT198" s="85"/>
      <c r="BU198" s="87"/>
      <c r="BV198" s="87"/>
      <c r="CK198" s="90">
        <f t="shared" ref="CK198:CK204" si="306">AT198</f>
        <v>15.111000000000001</v>
      </c>
      <c r="CL198" s="90">
        <f t="shared" ref="CL198:CL204" si="307">AX198</f>
        <v>14.109</v>
      </c>
      <c r="CM198" s="90">
        <f t="shared" ref="CM198:CM204" si="308">BB198</f>
        <v>13.420999999999999</v>
      </c>
      <c r="CN198" s="90">
        <f t="shared" ref="CN198:CN204" si="309">BF198</f>
        <v>26.678999999999998</v>
      </c>
      <c r="CO198" s="90">
        <f t="shared" ref="CO198:CO204" si="310">BJ198</f>
        <v>27.155000000000001</v>
      </c>
      <c r="CP198" s="90">
        <f t="shared" ref="CP198:CP204" si="311">BN198</f>
        <v>31.326000000000001</v>
      </c>
      <c r="CQ198" s="91"/>
      <c r="DC198" s="74" t="s">
        <v>2411</v>
      </c>
      <c r="DD198" s="48"/>
      <c r="DE198" s="3"/>
      <c r="DF198" s="75">
        <f>(DF195+DF196)*(DF197-DF195)</f>
        <v>7.9207399999999997E-2</v>
      </c>
      <c r="DG198" s="57"/>
      <c r="DH198" s="57"/>
      <c r="DI198" s="57"/>
      <c r="DJ198" s="57"/>
      <c r="DK198" s="57"/>
      <c r="DL198" s="57"/>
      <c r="DM198" s="84"/>
      <c r="DN198" s="84"/>
      <c r="DO198" s="84"/>
      <c r="DP198" s="84"/>
      <c r="DQ198" s="84"/>
    </row>
    <row r="199" spans="2:121" s="83" customFormat="1" ht="13.5" customHeight="1">
      <c r="B199" s="83" t="s">
        <v>2447</v>
      </c>
      <c r="AA199" s="89"/>
      <c r="AB199" s="89"/>
      <c r="AC199" s="89"/>
      <c r="AD199" s="89"/>
      <c r="AE199" s="89"/>
      <c r="AF199" s="89"/>
      <c r="AG199" s="89"/>
      <c r="AH199" s="89"/>
      <c r="AI199" s="89"/>
      <c r="AJ199" s="89"/>
      <c r="AK199" s="89"/>
      <c r="AL199" s="89"/>
      <c r="AM199" s="89"/>
      <c r="AN199" s="89"/>
      <c r="AO199" s="89"/>
      <c r="AP199" s="89"/>
      <c r="AQ199" s="90">
        <v>58.031999999999996</v>
      </c>
      <c r="AR199" s="90">
        <v>57.276000000000003</v>
      </c>
      <c r="AS199" s="90">
        <v>70.162999999999997</v>
      </c>
      <c r="AT199" s="90">
        <v>67.63</v>
      </c>
      <c r="AU199" s="90">
        <v>65.334999999999994</v>
      </c>
      <c r="AV199" s="90">
        <v>57.718000000000004</v>
      </c>
      <c r="AW199" s="90">
        <v>87.691000000000003</v>
      </c>
      <c r="AX199" s="90">
        <v>85.795000000000002</v>
      </c>
      <c r="AY199" s="90">
        <v>90.213999999999999</v>
      </c>
      <c r="AZ199" s="90">
        <v>86.503</v>
      </c>
      <c r="BA199" s="83">
        <v>93.22</v>
      </c>
      <c r="BB199" s="90">
        <v>99.796000000000006</v>
      </c>
      <c r="BC199" s="90">
        <v>105.533</v>
      </c>
      <c r="BD199" s="90">
        <v>111.405</v>
      </c>
      <c r="BE199" s="90">
        <v>101.672</v>
      </c>
      <c r="BF199" s="90">
        <v>106.3</v>
      </c>
      <c r="BG199" s="90">
        <v>105.869</v>
      </c>
      <c r="BH199" s="90">
        <v>105.60599999999999</v>
      </c>
      <c r="BI199" s="90">
        <v>104.184</v>
      </c>
      <c r="BJ199" s="90">
        <v>110.55500000000001</v>
      </c>
      <c r="BK199" s="90">
        <v>106.54900000000001</v>
      </c>
      <c r="BL199" s="90">
        <v>104.071</v>
      </c>
      <c r="BM199" s="90">
        <v>105.55</v>
      </c>
      <c r="BN199" s="90">
        <v>112.429</v>
      </c>
      <c r="BO199" s="90">
        <v>112.675</v>
      </c>
      <c r="BP199" s="90">
        <v>114.389</v>
      </c>
      <c r="BQ199" s="90">
        <v>124.273</v>
      </c>
      <c r="BR199" s="85"/>
      <c r="BS199" s="85"/>
      <c r="BT199" s="85"/>
      <c r="BU199" s="87"/>
      <c r="BV199" s="87"/>
      <c r="CK199" s="90">
        <f t="shared" si="306"/>
        <v>67.63</v>
      </c>
      <c r="CL199" s="90">
        <f t="shared" si="307"/>
        <v>85.795000000000002</v>
      </c>
      <c r="CM199" s="90">
        <f t="shared" si="308"/>
        <v>99.796000000000006</v>
      </c>
      <c r="CN199" s="90">
        <f t="shared" si="309"/>
        <v>106.3</v>
      </c>
      <c r="CO199" s="90">
        <f t="shared" si="310"/>
        <v>110.55500000000001</v>
      </c>
      <c r="CP199" s="90">
        <f t="shared" si="311"/>
        <v>112.429</v>
      </c>
      <c r="CQ199" s="84"/>
      <c r="DC199" s="37"/>
      <c r="DD199" s="57"/>
      <c r="DE199" s="57"/>
      <c r="DF199" s="57"/>
      <c r="DG199" s="57"/>
      <c r="DH199" s="57"/>
      <c r="DI199" s="57"/>
      <c r="DJ199" s="57"/>
      <c r="DK199" s="57"/>
      <c r="DL199" s="57"/>
      <c r="DM199" s="84"/>
      <c r="DN199" s="84"/>
      <c r="DO199" s="84"/>
      <c r="DP199" s="84"/>
      <c r="DQ199" s="84"/>
    </row>
    <row r="200" spans="2:121" s="83" customFormat="1" ht="13.5" customHeight="1">
      <c r="B200" s="83" t="s">
        <v>2448</v>
      </c>
      <c r="AA200" s="89"/>
      <c r="AB200" s="89"/>
      <c r="AC200" s="89"/>
      <c r="AD200" s="89"/>
      <c r="AE200" s="89"/>
      <c r="AF200" s="89"/>
      <c r="AG200" s="89"/>
      <c r="AH200" s="89"/>
      <c r="AI200" s="89"/>
      <c r="AJ200" s="89"/>
      <c r="AK200" s="89"/>
      <c r="AL200" s="89"/>
      <c r="AM200" s="89"/>
      <c r="AN200" s="89"/>
      <c r="AO200" s="89"/>
      <c r="AP200" s="89"/>
      <c r="AQ200" s="90">
        <v>3.6880000000000002</v>
      </c>
      <c r="AR200" s="90">
        <v>3.742</v>
      </c>
      <c r="AS200" s="90">
        <v>4.0419999999999998</v>
      </c>
      <c r="AT200" s="90">
        <v>4.1420000000000003</v>
      </c>
      <c r="AU200" s="90">
        <v>4.4349999999999996</v>
      </c>
      <c r="AV200" s="90">
        <v>4.4459999999999997</v>
      </c>
      <c r="AW200" s="90">
        <v>4.484</v>
      </c>
      <c r="AX200" s="90">
        <v>4.6970000000000001</v>
      </c>
      <c r="AY200" s="90">
        <v>4.8220000000000001</v>
      </c>
      <c r="AZ200" s="90">
        <v>6.3470000000000004</v>
      </c>
      <c r="BA200" s="83">
        <v>7.5309999999999997</v>
      </c>
      <c r="BB200" s="90">
        <v>8.2669999999999995</v>
      </c>
      <c r="BC200" s="90">
        <v>8.66</v>
      </c>
      <c r="BD200" s="90">
        <v>9.2970000000000006</v>
      </c>
      <c r="BE200" s="90">
        <v>9.4169999999999998</v>
      </c>
      <c r="BF200" s="90">
        <v>10.032999999999999</v>
      </c>
      <c r="BG200" s="90">
        <v>10.303000000000001</v>
      </c>
      <c r="BH200" s="90">
        <v>10.715</v>
      </c>
      <c r="BI200" s="90">
        <v>10.827</v>
      </c>
      <c r="BJ200" s="90">
        <v>11.202999999999999</v>
      </c>
      <c r="BK200" s="90">
        <v>11.52</v>
      </c>
      <c r="BL200" s="90">
        <v>11.776</v>
      </c>
      <c r="BM200" s="90">
        <v>12.068</v>
      </c>
      <c r="BN200" s="90">
        <v>12.221</v>
      </c>
      <c r="BO200" s="90">
        <v>12.51</v>
      </c>
      <c r="BP200" s="90">
        <v>12.855</v>
      </c>
      <c r="BQ200" s="90">
        <v>13.086</v>
      </c>
      <c r="BR200" s="85"/>
      <c r="BS200" s="85"/>
      <c r="BT200" s="85"/>
      <c r="BU200" s="87"/>
      <c r="BV200" s="87"/>
      <c r="CK200" s="90">
        <f t="shared" si="306"/>
        <v>4.1420000000000003</v>
      </c>
      <c r="CL200" s="90">
        <f t="shared" si="307"/>
        <v>4.6970000000000001</v>
      </c>
      <c r="CM200" s="90">
        <f t="shared" si="308"/>
        <v>8.2669999999999995</v>
      </c>
      <c r="CN200" s="90">
        <f t="shared" si="309"/>
        <v>10.032999999999999</v>
      </c>
      <c r="CO200" s="90">
        <f t="shared" si="310"/>
        <v>11.202999999999999</v>
      </c>
      <c r="CP200" s="90">
        <f t="shared" si="311"/>
        <v>12.221</v>
      </c>
      <c r="CQ200" s="84"/>
      <c r="DC200" s="58" t="s">
        <v>2404</v>
      </c>
      <c r="DD200" s="38"/>
      <c r="DE200" s="57"/>
      <c r="DF200" s="69"/>
      <c r="DG200" s="57"/>
      <c r="DH200" s="57"/>
      <c r="DI200" s="57"/>
      <c r="DJ200" s="57"/>
      <c r="DK200" s="57"/>
      <c r="DL200" s="57"/>
      <c r="DM200" s="84"/>
      <c r="DN200" s="84"/>
      <c r="DO200" s="84"/>
      <c r="DP200" s="84"/>
      <c r="DQ200" s="84"/>
    </row>
    <row r="201" spans="2:121" s="83" customFormat="1" ht="13.5" customHeight="1">
      <c r="B201" s="83" t="s">
        <v>2449</v>
      </c>
      <c r="AA201" s="89"/>
      <c r="AB201" s="89"/>
      <c r="AC201" s="89"/>
      <c r="AD201" s="89"/>
      <c r="AE201" s="89"/>
      <c r="AF201" s="89"/>
      <c r="AG201" s="89"/>
      <c r="AH201" s="89"/>
      <c r="AI201" s="89"/>
      <c r="AJ201" s="89"/>
      <c r="AK201" s="89"/>
      <c r="AL201" s="89"/>
      <c r="AM201" s="89"/>
      <c r="AN201" s="89"/>
      <c r="AO201" s="89"/>
      <c r="AP201" s="89"/>
      <c r="AQ201" s="90">
        <v>0</v>
      </c>
      <c r="AR201" s="90">
        <v>0</v>
      </c>
      <c r="AS201" s="90">
        <v>0</v>
      </c>
      <c r="AT201" s="90">
        <v>4.165</v>
      </c>
      <c r="AU201" s="90">
        <v>2.4609999999999999</v>
      </c>
      <c r="AV201" s="90">
        <v>1.016</v>
      </c>
      <c r="AW201" s="90">
        <v>1.3360000000000001</v>
      </c>
      <c r="AX201" s="90">
        <v>1.331</v>
      </c>
      <c r="AY201" s="90">
        <v>1.4370000000000001</v>
      </c>
      <c r="AZ201" s="90">
        <v>1.484</v>
      </c>
      <c r="BA201" s="83">
        <v>1.627</v>
      </c>
      <c r="BB201" s="90">
        <v>1.7130000000000001</v>
      </c>
      <c r="BC201" s="90">
        <v>1.7689999999999999</v>
      </c>
      <c r="BD201" s="90">
        <v>1.806</v>
      </c>
      <c r="BE201" s="90">
        <v>1.8779999999999999</v>
      </c>
      <c r="BF201" s="90">
        <v>1.92</v>
      </c>
      <c r="BG201" s="90">
        <v>1.9570000000000001</v>
      </c>
      <c r="BH201" s="90">
        <v>1.984</v>
      </c>
      <c r="BI201" s="90">
        <v>2.0710000000000002</v>
      </c>
      <c r="BJ201" s="90">
        <v>2.2309999999999999</v>
      </c>
      <c r="BK201" s="90">
        <v>2.2799999999999998</v>
      </c>
      <c r="BL201" s="90">
        <v>2.3250000000000002</v>
      </c>
      <c r="BM201" s="90">
        <v>2.4159999999999999</v>
      </c>
      <c r="BN201" s="90">
        <v>2.3690000000000002</v>
      </c>
      <c r="BO201" s="90">
        <v>2.2919999999999998</v>
      </c>
      <c r="BP201" s="90">
        <v>2.3959999999999999</v>
      </c>
      <c r="BQ201" s="90">
        <v>2.423</v>
      </c>
      <c r="BR201" s="85"/>
      <c r="BS201" s="85"/>
      <c r="BT201" s="85"/>
      <c r="BU201" s="87"/>
      <c r="BV201" s="87"/>
      <c r="CK201" s="90">
        <f t="shared" si="306"/>
        <v>4.165</v>
      </c>
      <c r="CL201" s="90">
        <f t="shared" si="307"/>
        <v>1.331</v>
      </c>
      <c r="CM201" s="90">
        <f t="shared" si="308"/>
        <v>1.7130000000000001</v>
      </c>
      <c r="CN201" s="90">
        <f t="shared" si="309"/>
        <v>1.92</v>
      </c>
      <c r="CO201" s="90">
        <f t="shared" si="310"/>
        <v>2.2309999999999999</v>
      </c>
      <c r="CP201" s="90">
        <f t="shared" si="311"/>
        <v>2.3690000000000002</v>
      </c>
      <c r="CQ201" s="84"/>
      <c r="DC201" s="73" t="s">
        <v>2404</v>
      </c>
      <c r="DD201" s="57"/>
      <c r="DE201" s="57"/>
      <c r="DF201" s="70">
        <v>0</v>
      </c>
      <c r="DG201" s="57"/>
      <c r="DH201" s="65"/>
      <c r="DI201" s="57"/>
      <c r="DJ201" s="35"/>
      <c r="DK201" s="57"/>
      <c r="DL201" s="57"/>
      <c r="DM201" s="84"/>
      <c r="DN201" s="84"/>
      <c r="DO201" s="84"/>
      <c r="DP201" s="84"/>
      <c r="DQ201" s="84"/>
    </row>
    <row r="202" spans="2:121" s="83" customFormat="1" ht="13.5" customHeight="1">
      <c r="B202" s="83" t="s">
        <v>2450</v>
      </c>
      <c r="AA202" s="89"/>
      <c r="AB202" s="89"/>
      <c r="AC202" s="89"/>
      <c r="AD202" s="89"/>
      <c r="AE202" s="89"/>
      <c r="AF202" s="89"/>
      <c r="AG202" s="89"/>
      <c r="AH202" s="89"/>
      <c r="AI202" s="89"/>
      <c r="AJ202" s="89"/>
      <c r="AK202" s="89"/>
      <c r="AL202" s="89"/>
      <c r="AM202" s="89"/>
      <c r="AN202" s="89"/>
      <c r="AO202" s="89"/>
      <c r="AP202" s="89"/>
      <c r="AQ202" s="90">
        <v>46.07</v>
      </c>
      <c r="AR202" s="90">
        <v>46.146000000000001</v>
      </c>
      <c r="AS202" s="90">
        <v>45.4</v>
      </c>
      <c r="AT202" s="90">
        <v>47.241999999999997</v>
      </c>
      <c r="AU202" s="90">
        <v>46.415999999999997</v>
      </c>
      <c r="AV202" s="90">
        <v>45.924999999999997</v>
      </c>
      <c r="AW202" s="90">
        <v>44.997999999999998</v>
      </c>
      <c r="AX202" s="90">
        <v>44.183</v>
      </c>
      <c r="AY202" s="90">
        <v>43.524999999999999</v>
      </c>
      <c r="AZ202" s="90">
        <v>94.444000000000003</v>
      </c>
      <c r="BA202" s="83">
        <v>138.16900000000001</v>
      </c>
      <c r="BB202" s="90">
        <v>137.04499999999999</v>
      </c>
      <c r="BC202" s="90">
        <v>182.43799999999999</v>
      </c>
      <c r="BD202" s="90">
        <v>183.155</v>
      </c>
      <c r="BE202" s="90">
        <v>180.89699999999999</v>
      </c>
      <c r="BF202" s="90">
        <v>198.95500000000001</v>
      </c>
      <c r="BG202" s="90">
        <v>196.83699999999999</v>
      </c>
      <c r="BH202" s="90">
        <v>194.655</v>
      </c>
      <c r="BI202" s="90">
        <v>192.11699999999999</v>
      </c>
      <c r="BJ202" s="90">
        <v>197.22900000000001</v>
      </c>
      <c r="BK202" s="90">
        <v>194.53700000000001</v>
      </c>
      <c r="BL202" s="90">
        <v>192.21600000000001</v>
      </c>
      <c r="BM202" s="90">
        <v>189.96</v>
      </c>
      <c r="BN202" s="90">
        <v>187.06800000000001</v>
      </c>
      <c r="BO202" s="90">
        <v>184.65199999999999</v>
      </c>
      <c r="BP202" s="90">
        <v>183.49299999999999</v>
      </c>
      <c r="BQ202" s="90">
        <v>180.3</v>
      </c>
      <c r="BR202" s="85"/>
      <c r="BS202" s="85"/>
      <c r="BT202" s="85"/>
      <c r="BU202" s="87"/>
      <c r="BV202" s="87"/>
      <c r="CK202" s="90">
        <f t="shared" si="306"/>
        <v>47.241999999999997</v>
      </c>
      <c r="CL202" s="90">
        <f t="shared" si="307"/>
        <v>44.183</v>
      </c>
      <c r="CM202" s="90">
        <f t="shared" si="308"/>
        <v>137.04499999999999</v>
      </c>
      <c r="CN202" s="90">
        <f t="shared" si="309"/>
        <v>198.95500000000001</v>
      </c>
      <c r="CO202" s="90">
        <f t="shared" si="310"/>
        <v>197.22900000000001</v>
      </c>
      <c r="CP202" s="90">
        <f t="shared" si="311"/>
        <v>187.06800000000001</v>
      </c>
      <c r="CQ202" s="84"/>
      <c r="DC202" s="71" t="s">
        <v>2408</v>
      </c>
      <c r="DD202" s="57"/>
      <c r="DE202" s="57"/>
      <c r="DF202" s="67">
        <v>0.2</v>
      </c>
      <c r="DG202" s="57"/>
      <c r="DH202" s="65"/>
      <c r="DI202" s="67"/>
      <c r="DJ202" s="35"/>
      <c r="DK202" s="3"/>
      <c r="DL202" s="3"/>
      <c r="DM202" s="84"/>
      <c r="DN202" s="84"/>
      <c r="DO202" s="84"/>
      <c r="DP202" s="84"/>
      <c r="DQ202" s="84"/>
    </row>
    <row r="203" spans="2:121" s="83" customFormat="1" ht="13.5" customHeight="1">
      <c r="B203" s="83" t="s">
        <v>2451</v>
      </c>
      <c r="AA203" s="89"/>
      <c r="AB203" s="89"/>
      <c r="AC203" s="89"/>
      <c r="AD203" s="89"/>
      <c r="AE203" s="89"/>
      <c r="AF203" s="89"/>
      <c r="AG203" s="89"/>
      <c r="AH203" s="89"/>
      <c r="AI203" s="89"/>
      <c r="AJ203" s="89"/>
      <c r="AK203" s="89"/>
      <c r="AL203" s="89"/>
      <c r="AM203" s="89"/>
      <c r="AN203" s="89"/>
      <c r="AO203" s="89"/>
      <c r="AP203" s="89"/>
      <c r="AQ203" s="90">
        <v>0</v>
      </c>
      <c r="AR203" s="90">
        <v>0</v>
      </c>
      <c r="AS203" s="83">
        <v>0</v>
      </c>
      <c r="AT203" s="83">
        <v>26.748000000000001</v>
      </c>
      <c r="AU203" s="90">
        <v>26.483000000000001</v>
      </c>
      <c r="AV203" s="90">
        <v>26.202000000000002</v>
      </c>
      <c r="AW203" s="90">
        <v>27.390999999999998</v>
      </c>
      <c r="AX203" s="90">
        <v>27.065999999999999</v>
      </c>
      <c r="AY203" s="90">
        <v>27</v>
      </c>
      <c r="AZ203" s="90">
        <v>26.690999999999999</v>
      </c>
      <c r="BA203" s="83">
        <v>26.774999999999999</v>
      </c>
      <c r="BB203" s="90">
        <v>26.523</v>
      </c>
      <c r="BC203" s="90">
        <v>26.122</v>
      </c>
      <c r="BD203" s="90">
        <v>25.654</v>
      </c>
      <c r="BE203" s="90">
        <v>25.324999999999999</v>
      </c>
      <c r="BF203" s="90">
        <v>24.864999999999998</v>
      </c>
      <c r="BG203" s="90">
        <v>24.422999999999998</v>
      </c>
      <c r="BH203" s="90">
        <v>23.922000000000001</v>
      </c>
      <c r="BI203" s="90">
        <v>23.779</v>
      </c>
      <c r="BJ203" s="90">
        <v>23.68</v>
      </c>
      <c r="BK203" s="90">
        <v>23.097999999999999</v>
      </c>
      <c r="BL203" s="90">
        <v>22.501000000000001</v>
      </c>
      <c r="BM203" s="90">
        <v>22.245000000000001</v>
      </c>
      <c r="BN203" s="90">
        <v>21.731000000000002</v>
      </c>
      <c r="BO203" s="90">
        <v>21.201000000000001</v>
      </c>
      <c r="BP203" s="90">
        <v>21.785</v>
      </c>
      <c r="BQ203" s="90">
        <v>21.222999999999999</v>
      </c>
      <c r="BR203" s="85"/>
      <c r="BS203" s="85"/>
      <c r="BT203" s="85"/>
      <c r="BU203" s="87"/>
      <c r="BV203" s="87"/>
      <c r="CK203" s="90">
        <f t="shared" si="306"/>
        <v>26.748000000000001</v>
      </c>
      <c r="CL203" s="90">
        <f t="shared" si="307"/>
        <v>27.065999999999999</v>
      </c>
      <c r="CM203" s="90">
        <f t="shared" si="308"/>
        <v>26.523</v>
      </c>
      <c r="CN203" s="90">
        <f t="shared" si="309"/>
        <v>24.864999999999998</v>
      </c>
      <c r="CO203" s="90">
        <f t="shared" si="310"/>
        <v>23.68</v>
      </c>
      <c r="CP203" s="90">
        <f t="shared" si="311"/>
        <v>21.731000000000002</v>
      </c>
      <c r="CQ203" s="84"/>
      <c r="DC203" s="76" t="s">
        <v>2409</v>
      </c>
      <c r="DD203" s="57"/>
      <c r="DE203" s="57"/>
      <c r="DF203" s="75">
        <f>DF201*(1-DF202)</f>
        <v>0</v>
      </c>
      <c r="DG203" s="57"/>
      <c r="DH203" s="57"/>
      <c r="DI203" s="57"/>
      <c r="DJ203" s="35"/>
      <c r="DK203" s="57"/>
      <c r="DL203" s="57"/>
      <c r="DM203" s="84"/>
      <c r="DN203" s="84"/>
      <c r="DO203" s="84"/>
      <c r="DP203" s="84"/>
      <c r="DQ203" s="84"/>
    </row>
    <row r="204" spans="2:121" s="83" customFormat="1" ht="13.5" customHeight="1">
      <c r="B204" s="83" t="s">
        <v>2452</v>
      </c>
      <c r="AA204" s="89"/>
      <c r="AB204" s="89"/>
      <c r="AC204" s="89"/>
      <c r="AD204" s="89"/>
      <c r="AE204" s="89"/>
      <c r="AF204" s="89"/>
      <c r="AG204" s="89"/>
      <c r="AH204" s="89"/>
      <c r="AI204" s="89"/>
      <c r="AJ204" s="89"/>
      <c r="AK204" s="89"/>
      <c r="AL204" s="89"/>
      <c r="AM204" s="89"/>
      <c r="AN204" s="89"/>
      <c r="AO204" s="89"/>
      <c r="AP204" s="89"/>
      <c r="AQ204" s="90">
        <v>16.643999999999998</v>
      </c>
      <c r="AR204" s="90">
        <v>15.019</v>
      </c>
      <c r="AS204" s="90">
        <v>15.662000000000001</v>
      </c>
      <c r="AT204" s="90">
        <v>15.25</v>
      </c>
      <c r="AU204" s="90">
        <v>15.15</v>
      </c>
      <c r="AV204" s="90">
        <v>7.3</v>
      </c>
      <c r="AW204" s="90">
        <v>10.147</v>
      </c>
      <c r="AX204" s="90">
        <v>8.0139999999999993</v>
      </c>
      <c r="AY204" s="90">
        <v>7.9660000000000002</v>
      </c>
      <c r="AZ204" s="90">
        <v>7.6609999999999996</v>
      </c>
      <c r="BA204" s="83">
        <v>7.6349999999999998</v>
      </c>
      <c r="BB204" s="90">
        <v>3.5579999999999998</v>
      </c>
      <c r="BC204" s="90">
        <v>3.6120000000000001</v>
      </c>
      <c r="BD204" s="90">
        <v>3.472</v>
      </c>
      <c r="BE204" s="90">
        <v>3.2949999999999999</v>
      </c>
      <c r="BF204" s="90">
        <v>3.2759999999999998</v>
      </c>
      <c r="BG204" s="90">
        <v>3.2410000000000001</v>
      </c>
      <c r="BH204" s="90">
        <v>3.2879999999999998</v>
      </c>
      <c r="BI204" s="90">
        <v>3.2650000000000001</v>
      </c>
      <c r="BJ204" s="90">
        <v>5.3079999999999998</v>
      </c>
      <c r="BK204" s="90">
        <v>5.8760000000000003</v>
      </c>
      <c r="BL204" s="90">
        <v>7.6189999999999998</v>
      </c>
      <c r="BM204" s="90">
        <v>9.4529999999999994</v>
      </c>
      <c r="BN204" s="90">
        <v>15.103</v>
      </c>
      <c r="BO204" s="90">
        <v>15.942</v>
      </c>
      <c r="BP204" s="90">
        <v>17.818999999999999</v>
      </c>
      <c r="BQ204" s="90">
        <v>14.53</v>
      </c>
      <c r="BR204" s="85"/>
      <c r="BS204" s="85"/>
      <c r="BT204" s="85"/>
      <c r="BU204" s="87"/>
      <c r="BV204" s="87"/>
      <c r="CK204" s="90">
        <f t="shared" si="306"/>
        <v>15.25</v>
      </c>
      <c r="CL204" s="90">
        <f t="shared" si="307"/>
        <v>8.0139999999999993</v>
      </c>
      <c r="CM204" s="90">
        <f t="shared" si="308"/>
        <v>3.5579999999999998</v>
      </c>
      <c r="CN204" s="90">
        <f t="shared" si="309"/>
        <v>3.2759999999999998</v>
      </c>
      <c r="CO204" s="90">
        <f t="shared" si="310"/>
        <v>5.3079999999999998</v>
      </c>
      <c r="CP204" s="90">
        <f t="shared" si="311"/>
        <v>15.103</v>
      </c>
      <c r="CQ204" s="84"/>
      <c r="DC204" s="84"/>
      <c r="DD204" s="84"/>
      <c r="DE204" s="84"/>
      <c r="DF204" s="84"/>
      <c r="DG204" s="84"/>
      <c r="DH204" s="84"/>
      <c r="DI204" s="84"/>
      <c r="DJ204" s="84"/>
      <c r="DK204" s="84"/>
      <c r="DL204" s="85"/>
      <c r="DM204" s="84"/>
      <c r="DN204" s="84"/>
      <c r="DO204" s="84"/>
      <c r="DP204" s="84"/>
      <c r="DQ204" s="84"/>
    </row>
    <row r="205" spans="2:121" s="85" customFormat="1" ht="13.5" customHeight="1">
      <c r="B205" s="85" t="s">
        <v>2334</v>
      </c>
      <c r="AA205" s="92"/>
      <c r="AB205" s="92"/>
      <c r="AC205" s="92"/>
      <c r="AD205" s="92"/>
      <c r="AE205" s="92"/>
      <c r="AF205" s="92"/>
      <c r="AG205" s="92"/>
      <c r="AH205" s="92"/>
      <c r="AI205" s="92"/>
      <c r="AJ205" s="92"/>
      <c r="AK205" s="92"/>
      <c r="AL205" s="92"/>
      <c r="AM205" s="92"/>
      <c r="AN205" s="92"/>
      <c r="AO205" s="92"/>
      <c r="AP205" s="92"/>
      <c r="AQ205" s="86">
        <f>SUM(AQ198:AQ204)</f>
        <v>132.126</v>
      </c>
      <c r="AR205" s="86">
        <f t="shared" ref="AR205:BQ205" si="312">SUM(AR198:AR204)</f>
        <v>130.92600000000002</v>
      </c>
      <c r="AS205" s="86">
        <f t="shared" si="312"/>
        <v>147.22900000000001</v>
      </c>
      <c r="AT205" s="86">
        <f t="shared" si="312"/>
        <v>180.28799999999998</v>
      </c>
      <c r="AU205" s="86">
        <f t="shared" si="312"/>
        <v>176.12300000000002</v>
      </c>
      <c r="AV205" s="86">
        <f t="shared" si="312"/>
        <v>157.03900000000002</v>
      </c>
      <c r="AW205" s="86">
        <f t="shared" si="312"/>
        <v>190.59099999999998</v>
      </c>
      <c r="AX205" s="86">
        <f t="shared" si="312"/>
        <v>185.19500000000002</v>
      </c>
      <c r="AY205" s="86">
        <f t="shared" si="312"/>
        <v>190.35300000000001</v>
      </c>
      <c r="AZ205" s="86">
        <f t="shared" si="312"/>
        <v>236.84200000000001</v>
      </c>
      <c r="BA205" s="86">
        <f t="shared" si="312"/>
        <v>288.63599999999997</v>
      </c>
      <c r="BB205" s="86">
        <f t="shared" si="312"/>
        <v>290.32299999999998</v>
      </c>
      <c r="BC205" s="86">
        <f t="shared" si="312"/>
        <v>342.27100000000007</v>
      </c>
      <c r="BD205" s="86">
        <f t="shared" si="312"/>
        <v>357.88499999999999</v>
      </c>
      <c r="BE205" s="86">
        <f t="shared" si="312"/>
        <v>347.84899999999993</v>
      </c>
      <c r="BF205" s="86">
        <f t="shared" si="312"/>
        <v>372.02799999999996</v>
      </c>
      <c r="BG205" s="86">
        <f t="shared" si="312"/>
        <v>370.82899999999995</v>
      </c>
      <c r="BH205" s="86">
        <f t="shared" si="312"/>
        <v>365.98900000000003</v>
      </c>
      <c r="BI205" s="86">
        <f t="shared" si="312"/>
        <v>364.23899999999998</v>
      </c>
      <c r="BJ205" s="86">
        <f t="shared" si="312"/>
        <v>377.36100000000005</v>
      </c>
      <c r="BK205" s="86">
        <f t="shared" si="312"/>
        <v>376.31450000000001</v>
      </c>
      <c r="BL205" s="86">
        <f t="shared" si="312"/>
        <v>373.33000000000004</v>
      </c>
      <c r="BM205" s="86">
        <f t="shared" si="312"/>
        <v>374.84299999999996</v>
      </c>
      <c r="BN205" s="86">
        <f t="shared" si="312"/>
        <v>382.24700000000001</v>
      </c>
      <c r="BO205" s="86">
        <f t="shared" si="312"/>
        <v>380.42500000000001</v>
      </c>
      <c r="BP205" s="86">
        <f t="shared" si="312"/>
        <v>380.858</v>
      </c>
      <c r="BQ205" s="86">
        <f t="shared" si="312"/>
        <v>385.65600000000001</v>
      </c>
      <c r="BU205" s="87"/>
      <c r="BV205" s="87"/>
      <c r="CK205" s="86"/>
      <c r="CL205" s="86"/>
      <c r="CM205" s="86"/>
      <c r="CN205" s="86"/>
      <c r="CO205" s="86"/>
      <c r="CP205" s="86"/>
      <c r="CQ205" s="87"/>
      <c r="DC205" s="58" t="s">
        <v>2410</v>
      </c>
      <c r="DD205" s="57"/>
      <c r="DE205" s="57"/>
      <c r="DF205" s="75">
        <f>(DF191*DF198)+(DF190*DF203*(1-DF202))</f>
        <v>7.9207399999999997E-2</v>
      </c>
      <c r="DG205" s="84"/>
      <c r="DH205" s="84"/>
      <c r="DI205" s="84"/>
      <c r="DJ205" s="84"/>
      <c r="DK205" s="84"/>
      <c r="DL205" s="84"/>
      <c r="DM205" s="87"/>
      <c r="DN205" s="87"/>
      <c r="DO205" s="87"/>
      <c r="DP205" s="87"/>
      <c r="DQ205" s="87"/>
    </row>
    <row r="206" spans="2:121" s="83" customFormat="1" ht="13.5" customHeight="1">
      <c r="B206" s="83" t="s">
        <v>142</v>
      </c>
      <c r="AA206" s="89"/>
      <c r="AB206" s="89"/>
      <c r="AC206" s="89"/>
      <c r="AD206" s="89"/>
      <c r="AE206" s="89"/>
      <c r="AF206" s="89"/>
      <c r="AG206" s="89"/>
      <c r="AH206" s="89"/>
      <c r="AI206" s="89"/>
      <c r="AJ206" s="89"/>
      <c r="AK206" s="89"/>
      <c r="AL206" s="89"/>
      <c r="AM206" s="89"/>
      <c r="AN206" s="89"/>
      <c r="AO206" s="89"/>
      <c r="AP206" s="89"/>
      <c r="AQ206" s="90">
        <v>436.66300000000001</v>
      </c>
      <c r="AR206" s="90">
        <v>454.18299999999999</v>
      </c>
      <c r="AS206" s="90">
        <v>466.94099999999997</v>
      </c>
      <c r="AT206" s="90">
        <v>485.613</v>
      </c>
      <c r="AU206" s="90">
        <v>488.11700000000002</v>
      </c>
      <c r="AV206" s="90">
        <v>623.16099999999994</v>
      </c>
      <c r="AW206" s="90">
        <v>619.71199999999999</v>
      </c>
      <c r="AX206" s="90">
        <v>637.78800000000001</v>
      </c>
      <c r="AY206" s="90">
        <v>650.471</v>
      </c>
      <c r="AZ206" s="90">
        <v>673.37599999999998</v>
      </c>
      <c r="BA206" s="83">
        <v>684.60299999999995</v>
      </c>
      <c r="BB206" s="90">
        <v>953.92700000000002</v>
      </c>
      <c r="BC206" s="90">
        <v>959.30200000000002</v>
      </c>
      <c r="BD206" s="90">
        <v>970.01499999999999</v>
      </c>
      <c r="BE206" s="90">
        <v>973.75199999999995</v>
      </c>
      <c r="BF206" s="90">
        <v>998.85799999999995</v>
      </c>
      <c r="BG206" s="90">
        <v>1024.4690000000001</v>
      </c>
      <c r="BH206" s="90">
        <v>1066.5429999999999</v>
      </c>
      <c r="BI206" s="90">
        <v>1104.1379999999999</v>
      </c>
      <c r="BJ206" s="90">
        <v>1178.94</v>
      </c>
      <c r="BK206" s="90">
        <v>1203.5309999999999</v>
      </c>
      <c r="BL206" s="90">
        <v>1161.231</v>
      </c>
      <c r="BM206" s="90">
        <v>1104.28</v>
      </c>
      <c r="BN206" s="90">
        <v>1150.931</v>
      </c>
      <c r="BO206" s="90">
        <v>1212.8820000000001</v>
      </c>
      <c r="BP206" s="90">
        <v>1293.95</v>
      </c>
      <c r="BQ206" s="83">
        <v>1358.6959999999999</v>
      </c>
      <c r="BR206" s="85"/>
      <c r="BS206" s="85"/>
      <c r="BT206" s="85"/>
      <c r="BU206" s="87"/>
      <c r="BV206" s="87"/>
      <c r="CK206" s="90">
        <f>AT206</f>
        <v>485.613</v>
      </c>
      <c r="CL206" s="90">
        <f>AX206</f>
        <v>637.78800000000001</v>
      </c>
      <c r="CM206" s="90">
        <f>BB206</f>
        <v>953.92700000000002</v>
      </c>
      <c r="CN206" s="90">
        <f>BF206</f>
        <v>998.85799999999995</v>
      </c>
      <c r="CO206" s="90">
        <f>BJ206</f>
        <v>1178.94</v>
      </c>
      <c r="CP206" s="90">
        <f>BN206</f>
        <v>1150.931</v>
      </c>
      <c r="CQ206" s="84"/>
      <c r="DM206" s="84"/>
      <c r="DN206" s="84"/>
      <c r="DO206" s="84"/>
      <c r="DP206" s="84"/>
      <c r="DQ206" s="84"/>
    </row>
    <row r="207" spans="2:121" s="85" customFormat="1" ht="13.5" customHeight="1">
      <c r="B207" s="85" t="s">
        <v>2453</v>
      </c>
      <c r="AA207" s="92"/>
      <c r="AB207" s="92"/>
      <c r="AC207" s="92"/>
      <c r="AD207" s="92"/>
      <c r="AE207" s="92"/>
      <c r="AF207" s="92"/>
      <c r="AG207" s="92"/>
      <c r="AH207" s="92"/>
      <c r="AI207" s="92"/>
      <c r="AJ207" s="92"/>
      <c r="AK207" s="92"/>
      <c r="AL207" s="92"/>
      <c r="AM207" s="92"/>
      <c r="AN207" s="92"/>
      <c r="AO207" s="92"/>
      <c r="AP207" s="92"/>
      <c r="AQ207" s="86">
        <f>SUM(AQ205:AQ206)</f>
        <v>568.78899999999999</v>
      </c>
      <c r="AR207" s="86">
        <f t="shared" ref="AR207:BQ207" si="313">SUM(AR205:AR206)</f>
        <v>585.10900000000004</v>
      </c>
      <c r="AS207" s="86">
        <f t="shared" si="313"/>
        <v>614.16999999999996</v>
      </c>
      <c r="AT207" s="86">
        <f t="shared" si="313"/>
        <v>665.90099999999995</v>
      </c>
      <c r="AU207" s="86">
        <f t="shared" si="313"/>
        <v>664.24</v>
      </c>
      <c r="AV207" s="86">
        <f t="shared" si="313"/>
        <v>780.19999999999993</v>
      </c>
      <c r="AW207" s="86">
        <f t="shared" si="313"/>
        <v>810.303</v>
      </c>
      <c r="AX207" s="86">
        <f t="shared" si="313"/>
        <v>822.98300000000006</v>
      </c>
      <c r="AY207" s="86">
        <f t="shared" si="313"/>
        <v>840.82400000000007</v>
      </c>
      <c r="AZ207" s="86">
        <f t="shared" si="313"/>
        <v>910.21799999999996</v>
      </c>
      <c r="BA207" s="86">
        <f t="shared" si="313"/>
        <v>973.23899999999992</v>
      </c>
      <c r="BB207" s="86">
        <f t="shared" si="313"/>
        <v>1244.25</v>
      </c>
      <c r="BC207" s="86">
        <f t="shared" si="313"/>
        <v>1301.5730000000001</v>
      </c>
      <c r="BD207" s="86">
        <f t="shared" si="313"/>
        <v>1327.9</v>
      </c>
      <c r="BE207" s="86">
        <f t="shared" si="313"/>
        <v>1321.6009999999999</v>
      </c>
      <c r="BF207" s="86">
        <f t="shared" si="313"/>
        <v>1370.886</v>
      </c>
      <c r="BG207" s="86">
        <f t="shared" si="313"/>
        <v>1395.298</v>
      </c>
      <c r="BH207" s="86">
        <f t="shared" si="313"/>
        <v>1432.5319999999999</v>
      </c>
      <c r="BI207" s="86">
        <f t="shared" si="313"/>
        <v>1468.377</v>
      </c>
      <c r="BJ207" s="86">
        <f t="shared" si="313"/>
        <v>1556.3010000000002</v>
      </c>
      <c r="BK207" s="86">
        <f t="shared" si="313"/>
        <v>1579.8454999999999</v>
      </c>
      <c r="BL207" s="86">
        <f t="shared" si="313"/>
        <v>1534.5610000000001</v>
      </c>
      <c r="BM207" s="86">
        <f t="shared" si="313"/>
        <v>1479.123</v>
      </c>
      <c r="BN207" s="86">
        <f t="shared" si="313"/>
        <v>1533.1780000000001</v>
      </c>
      <c r="BO207" s="86">
        <f t="shared" si="313"/>
        <v>1593.307</v>
      </c>
      <c r="BP207" s="86">
        <f t="shared" si="313"/>
        <v>1674.808</v>
      </c>
      <c r="BQ207" s="86">
        <f t="shared" si="313"/>
        <v>1744.3519999999999</v>
      </c>
      <c r="BU207" s="87"/>
      <c r="BV207" s="87"/>
      <c r="CK207" s="86">
        <f t="shared" ref="CK207:CO207" si="314">SUM(CK198:CK206)</f>
        <v>665.90099999999995</v>
      </c>
      <c r="CL207" s="86">
        <f t="shared" si="314"/>
        <v>822.98300000000006</v>
      </c>
      <c r="CM207" s="86">
        <f t="shared" si="314"/>
        <v>1244.25</v>
      </c>
      <c r="CN207" s="86">
        <f t="shared" si="314"/>
        <v>1370.886</v>
      </c>
      <c r="CO207" s="86">
        <f t="shared" si="314"/>
        <v>1556.3010000000002</v>
      </c>
      <c r="CP207" s="86">
        <f>SUM(CP198:CP206)</f>
        <v>1533.1780000000001</v>
      </c>
      <c r="CQ207" s="84"/>
      <c r="DM207" s="87"/>
      <c r="DN207" s="87"/>
      <c r="DO207" s="87"/>
      <c r="DP207" s="87"/>
      <c r="DQ207" s="87"/>
    </row>
    <row r="208" spans="2:121" s="83" customFormat="1" ht="13.5" customHeight="1">
      <c r="AA208" s="89"/>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85"/>
      <c r="BS208" s="85"/>
      <c r="BT208" s="85"/>
      <c r="BU208" s="87"/>
      <c r="BV208" s="87"/>
      <c r="CL208" s="90"/>
      <c r="CM208" s="90"/>
      <c r="CN208" s="90"/>
      <c r="CO208" s="90"/>
      <c r="CP208" s="90"/>
      <c r="CQ208" s="84"/>
      <c r="DM208" s="84"/>
      <c r="DN208" s="84"/>
      <c r="DO208" s="84"/>
      <c r="DP208" s="84"/>
      <c r="DQ208" s="84"/>
    </row>
    <row r="209" spans="2:150" s="83" customFormat="1" ht="13.5" customHeight="1">
      <c r="B209" s="83" t="s">
        <v>144</v>
      </c>
      <c r="AA209" s="89"/>
      <c r="AB209" s="89"/>
      <c r="AC209" s="89"/>
      <c r="AD209" s="89"/>
      <c r="AE209" s="89"/>
      <c r="AF209" s="89"/>
      <c r="AG209" s="89"/>
      <c r="AH209" s="89"/>
      <c r="AI209" s="89"/>
      <c r="AJ209" s="89"/>
      <c r="AK209" s="89"/>
      <c r="AL209" s="89"/>
      <c r="AM209" s="89"/>
      <c r="AN209" s="89"/>
      <c r="AO209" s="89"/>
      <c r="AP209" s="89"/>
      <c r="AQ209" s="101">
        <f t="shared" ref="AQ209:BM209" si="315">SUM(AQ184:AQ188)/SUM(AQ198:AQ201)</f>
        <v>6.0952861176741786</v>
      </c>
      <c r="AR209" s="101">
        <f t="shared" si="315"/>
        <v>6.2298992273619929</v>
      </c>
      <c r="AS209" s="101">
        <f t="shared" si="315"/>
        <v>5.2378984994255351</v>
      </c>
      <c r="AT209" s="101">
        <f t="shared" si="315"/>
        <v>5.0867015200773222</v>
      </c>
      <c r="AU209" s="101">
        <f t="shared" si="315"/>
        <v>5.1518041646797013</v>
      </c>
      <c r="AV209" s="101">
        <f t="shared" si="315"/>
        <v>7.4201798690924061</v>
      </c>
      <c r="AW209" s="101">
        <f t="shared" si="315"/>
        <v>5.4620239692749077</v>
      </c>
      <c r="AX209" s="101">
        <f t="shared" si="315"/>
        <v>5.8311180757467049</v>
      </c>
      <c r="AY209" s="101">
        <f t="shared" si="315"/>
        <v>5.6777726126834862</v>
      </c>
      <c r="AZ209" s="101">
        <f t="shared" si="315"/>
        <v>6.0447587138811247</v>
      </c>
      <c r="BA209" s="101">
        <f t="shared" si="315"/>
        <v>5.7556803984249116</v>
      </c>
      <c r="BB209" s="101">
        <f t="shared" si="315"/>
        <v>5.5315795027476309</v>
      </c>
      <c r="BC209" s="101">
        <f t="shared" si="315"/>
        <v>5.3061591557198744</v>
      </c>
      <c r="BD209" s="101">
        <f t="shared" si="315"/>
        <v>4.9309153594681465</v>
      </c>
      <c r="BE209" s="101">
        <f t="shared" si="315"/>
        <v>5.2310745163808825</v>
      </c>
      <c r="BF209" s="101">
        <f t="shared" si="315"/>
        <v>5.214162503794884</v>
      </c>
      <c r="BG209" s="101">
        <f t="shared" si="315"/>
        <v>5.3748428188726685</v>
      </c>
      <c r="BH209" s="101">
        <f t="shared" si="315"/>
        <v>5.7441925009020007</v>
      </c>
      <c r="BI209" s="101">
        <f t="shared" si="315"/>
        <v>5.9862694550517652</v>
      </c>
      <c r="BJ209" s="101">
        <f t="shared" si="315"/>
        <v>6.0564891758852486</v>
      </c>
      <c r="BK209" s="101">
        <f t="shared" si="315"/>
        <v>6.1191203081081245</v>
      </c>
      <c r="BL209" s="101">
        <f t="shared" si="315"/>
        <v>6.2505463793263303</v>
      </c>
      <c r="BM209" s="101">
        <f t="shared" si="315"/>
        <v>5.8214120181479911</v>
      </c>
      <c r="BN209" s="101">
        <f>SUM(BN184:BN188)/SUM(BN198:BN201)</f>
        <v>6.0066310903407114</v>
      </c>
      <c r="BO209" s="101">
        <f t="shared" ref="BO209:BQ209" si="316">SUM(BO184:BO188)/SUM(BO198:BO201)</f>
        <v>6.3021433524554</v>
      </c>
      <c r="BP209" s="101">
        <f t="shared" si="316"/>
        <v>6.7537857898973774</v>
      </c>
      <c r="BQ209" s="101">
        <f t="shared" si="316"/>
        <v>6.7305413229718809</v>
      </c>
      <c r="BR209" s="86"/>
      <c r="BS209" s="86"/>
      <c r="BT209" s="86"/>
      <c r="BU209" s="94"/>
      <c r="BV209" s="94"/>
      <c r="BW209" s="90"/>
      <c r="BX209" s="90"/>
      <c r="BY209" s="90"/>
      <c r="BZ209" s="90"/>
      <c r="CG209" s="90"/>
      <c r="CH209" s="90"/>
      <c r="CI209" s="90"/>
      <c r="CJ209" s="90"/>
      <c r="CK209" s="101">
        <f t="shared" ref="CK209:CO209" si="317">SUM(CK184:CK188)/SUM(CK198:CK201)</f>
        <v>5.0867015200773222</v>
      </c>
      <c r="CL209" s="101">
        <f t="shared" si="317"/>
        <v>5.8311180757467049</v>
      </c>
      <c r="CM209" s="101">
        <f t="shared" si="317"/>
        <v>5.5315795027476309</v>
      </c>
      <c r="CN209" s="101">
        <f t="shared" si="317"/>
        <v>5.214162503794884</v>
      </c>
      <c r="CO209" s="101">
        <f t="shared" si="317"/>
        <v>6.0564891758852486</v>
      </c>
      <c r="CP209" s="101">
        <f>SUM(CP184:CP188)/SUM(CP198:CP201)</f>
        <v>6.0066310903407114</v>
      </c>
      <c r="CQ209" s="84"/>
      <c r="CR209" s="84"/>
      <c r="CS209" s="84"/>
      <c r="CT209" s="84"/>
      <c r="CU209" s="84"/>
      <c r="CV209" s="84"/>
      <c r="CW209" s="84"/>
      <c r="CX209" s="84"/>
      <c r="CY209" s="84"/>
      <c r="CZ209" s="84"/>
      <c r="DA209" s="84"/>
      <c r="DB209" s="84"/>
      <c r="DC209" s="84"/>
      <c r="DD209" s="84"/>
      <c r="DE209" s="84"/>
      <c r="DF209" s="84"/>
      <c r="DG209" s="84"/>
      <c r="DH209" s="84"/>
      <c r="DI209" s="84"/>
      <c r="DJ209" s="84"/>
      <c r="DK209" s="84"/>
      <c r="DL209" s="84"/>
      <c r="DM209" s="84"/>
      <c r="DN209" s="84"/>
      <c r="DO209" s="84"/>
      <c r="DP209" s="84"/>
      <c r="DQ209" s="84"/>
    </row>
    <row r="210" spans="2:150" s="83" customFormat="1" ht="13.5" customHeight="1">
      <c r="B210" s="83" t="s">
        <v>145</v>
      </c>
      <c r="AA210" s="89"/>
      <c r="AB210" s="89"/>
      <c r="AC210" s="89"/>
      <c r="AD210" s="89"/>
      <c r="AE210" s="89"/>
      <c r="AF210" s="89"/>
      <c r="AG210" s="89"/>
      <c r="AH210" s="89"/>
      <c r="AI210" s="89"/>
      <c r="AJ210" s="89"/>
      <c r="AK210" s="89"/>
      <c r="AL210" s="89"/>
      <c r="AM210" s="89"/>
      <c r="AN210" s="89"/>
      <c r="AO210" s="89"/>
      <c r="AP210" s="89"/>
      <c r="AQ210" s="101">
        <f t="shared" ref="AQ210:BM210" si="318">(SUM(AQ184:AQ188)-AQ187)/SUM(AQ198:AQ201)</f>
        <v>4.3421166368927562</v>
      </c>
      <c r="AR210" s="101">
        <f t="shared" si="318"/>
        <v>4.3271885437422055</v>
      </c>
      <c r="AS210" s="101">
        <f t="shared" si="318"/>
        <v>3.6089802360532457</v>
      </c>
      <c r="AT210" s="101">
        <f t="shared" si="318"/>
        <v>3.4063570863720241</v>
      </c>
      <c r="AU210" s="101">
        <f t="shared" si="318"/>
        <v>3.2652996343983474</v>
      </c>
      <c r="AV210" s="101">
        <f t="shared" si="318"/>
        <v>5.0566020718445577</v>
      </c>
      <c r="AW210" s="101">
        <f t="shared" si="318"/>
        <v>3.689343389940309</v>
      </c>
      <c r="AX210" s="101">
        <f t="shared" si="318"/>
        <v>3.7587792168560963</v>
      </c>
      <c r="AY210" s="101">
        <f t="shared" si="318"/>
        <v>3.484704367881855</v>
      </c>
      <c r="AZ210" s="101">
        <f t="shared" si="318"/>
        <v>3.6848657053477223</v>
      </c>
      <c r="BA210" s="101">
        <f t="shared" si="318"/>
        <v>3.5299120259872301</v>
      </c>
      <c r="BB210" s="101">
        <f t="shared" si="318"/>
        <v>3.3926962507203902</v>
      </c>
      <c r="BC210" s="101">
        <f t="shared" si="318"/>
        <v>3.19738814287581</v>
      </c>
      <c r="BD210" s="101">
        <f t="shared" si="318"/>
        <v>2.8988077250624991</v>
      </c>
      <c r="BE210" s="101">
        <f t="shared" si="318"/>
        <v>2.9156015961599637</v>
      </c>
      <c r="BF210" s="101">
        <f t="shared" si="318"/>
        <v>2.9095920845637959</v>
      </c>
      <c r="BG210" s="101">
        <f t="shared" si="318"/>
        <v>3.0236728445683663</v>
      </c>
      <c r="BH210" s="101">
        <f t="shared" si="318"/>
        <v>3.2548777441647472</v>
      </c>
      <c r="BI210" s="101">
        <f t="shared" si="318"/>
        <v>3.406657108589862</v>
      </c>
      <c r="BJ210" s="101">
        <f t="shared" si="318"/>
        <v>3.4892486635261739</v>
      </c>
      <c r="BK210" s="101">
        <f t="shared" si="318"/>
        <v>3.5120726946699512</v>
      </c>
      <c r="BL210" s="101">
        <f t="shared" si="318"/>
        <v>3.7749579453488216</v>
      </c>
      <c r="BM210" s="101">
        <f t="shared" si="318"/>
        <v>3.2531905865456801</v>
      </c>
      <c r="BN210" s="101">
        <f>(SUM(BN184:BN188)-BN187)/SUM(BN198:BN201)</f>
        <v>3.4379550980454061</v>
      </c>
      <c r="BO210" s="101">
        <f>(SUM(BO184:BO188)-BO187)/SUM(BO198:BO201)</f>
        <v>3.6805522284561558</v>
      </c>
      <c r="BP210" s="101">
        <f>(SUM(BP184:BP188)-BP187)/SUM(BP198:BP201)</f>
        <v>4.0431792394825088</v>
      </c>
      <c r="BQ210" s="101">
        <f>(SUM(BQ184:BQ188)-BQ187)/SUM(BQ198:BQ201)</f>
        <v>4.1812644823499578</v>
      </c>
      <c r="BR210" s="86"/>
      <c r="BS210" s="86"/>
      <c r="BT210" s="86"/>
      <c r="BU210" s="94"/>
      <c r="BV210" s="94"/>
      <c r="BW210" s="90"/>
      <c r="BX210" s="90"/>
      <c r="BY210" s="90"/>
      <c r="BZ210" s="90"/>
      <c r="CG210" s="90"/>
      <c r="CH210" s="90"/>
      <c r="CI210" s="90"/>
      <c r="CJ210" s="90"/>
      <c r="CK210" s="101">
        <f t="shared" ref="CK210:CO210" si="319">(SUM(CK184:CK188)-CK187)/SUM(CK198:CK201)</f>
        <v>3.4063570863720241</v>
      </c>
      <c r="CL210" s="101">
        <f t="shared" si="319"/>
        <v>3.7587792168560963</v>
      </c>
      <c r="CM210" s="101">
        <f t="shared" si="319"/>
        <v>3.3926962507203902</v>
      </c>
      <c r="CN210" s="101">
        <f t="shared" si="319"/>
        <v>2.9095920845637959</v>
      </c>
      <c r="CO210" s="101">
        <f t="shared" si="319"/>
        <v>3.4892486635261739</v>
      </c>
      <c r="CP210" s="101">
        <f>(SUM(CP184:CP188)-CP187)/SUM(CP198:CP201)</f>
        <v>3.4379550980454061</v>
      </c>
      <c r="CQ210" s="84"/>
      <c r="CR210" s="84"/>
      <c r="CS210" s="84"/>
      <c r="CT210" s="84"/>
      <c r="CU210" s="84"/>
      <c r="CV210" s="84"/>
      <c r="CW210" s="84"/>
      <c r="CX210" s="84"/>
      <c r="CY210" s="84"/>
      <c r="CZ210" s="84"/>
      <c r="DA210" s="84"/>
      <c r="DB210" s="84"/>
      <c r="DC210" s="84"/>
      <c r="DD210" s="84"/>
      <c r="DE210" s="84"/>
      <c r="DF210" s="84"/>
      <c r="DG210" s="84"/>
      <c r="DH210" s="84"/>
      <c r="DI210" s="84"/>
      <c r="DJ210" s="84"/>
      <c r="DK210" s="84"/>
      <c r="DL210" s="84"/>
      <c r="DM210" s="84"/>
      <c r="DN210" s="84"/>
      <c r="DO210" s="84"/>
      <c r="DP210" s="84"/>
      <c r="DQ210" s="84"/>
    </row>
    <row r="211" spans="2:150" s="83" customFormat="1" ht="13.5" customHeight="1">
      <c r="B211" s="83" t="s">
        <v>146</v>
      </c>
      <c r="AA211" s="89"/>
      <c r="AB211" s="89"/>
      <c r="AC211" s="89"/>
      <c r="AD211" s="89"/>
      <c r="AE211" s="89"/>
      <c r="AF211" s="89"/>
      <c r="AG211" s="89"/>
      <c r="AH211" s="89"/>
      <c r="AI211" s="89"/>
      <c r="AJ211" s="89"/>
      <c r="AK211" s="89"/>
      <c r="AL211" s="89"/>
      <c r="AM211" s="89"/>
      <c r="AN211" s="89"/>
      <c r="AO211" s="89"/>
      <c r="AP211" s="89"/>
      <c r="AQ211" s="101">
        <f t="shared" ref="AQ211:BM211" si="320">AQ184/SUM(AQ198:AQ201)</f>
        <v>1.3773699072206536</v>
      </c>
      <c r="AR211" s="101">
        <f t="shared" si="320"/>
        <v>1.1075099267499031</v>
      </c>
      <c r="AS211" s="101">
        <f t="shared" si="320"/>
        <v>1.2949388977218657</v>
      </c>
      <c r="AT211" s="101">
        <f t="shared" si="320"/>
        <v>0.79934759687197954</v>
      </c>
      <c r="AU211" s="101">
        <f t="shared" si="320"/>
        <v>0.82267184413107164</v>
      </c>
      <c r="AV211" s="101">
        <f t="shared" si="320"/>
        <v>1.731446168118332</v>
      </c>
      <c r="AW211" s="101">
        <f t="shared" si="320"/>
        <v>0.74142797649345238</v>
      </c>
      <c r="AX211" s="101">
        <f t="shared" si="320"/>
        <v>0.65768606275724051</v>
      </c>
      <c r="AY211" s="101">
        <f t="shared" si="320"/>
        <v>0.49732706370349183</v>
      </c>
      <c r="AZ211" s="101">
        <f t="shared" si="320"/>
        <v>0.76149973159580187</v>
      </c>
      <c r="BA211" s="101">
        <f t="shared" si="320"/>
        <v>0.57118484882428466</v>
      </c>
      <c r="BB211" s="101">
        <f t="shared" si="320"/>
        <v>0.48198413922416938</v>
      </c>
      <c r="BC211" s="101">
        <f t="shared" si="320"/>
        <v>0.52393177503285948</v>
      </c>
      <c r="BD211" s="101">
        <f t="shared" si="320"/>
        <v>0.39994780363176835</v>
      </c>
      <c r="BE211" s="101">
        <f t="shared" si="320"/>
        <v>0.39646647196599494</v>
      </c>
      <c r="BF211" s="101">
        <f t="shared" si="320"/>
        <v>0.48200535423508972</v>
      </c>
      <c r="BG211" s="101">
        <f t="shared" si="320"/>
        <v>0.64709419933300527</v>
      </c>
      <c r="BH211" s="101">
        <f t="shared" si="320"/>
        <v>0.79214426466098642</v>
      </c>
      <c r="BI211" s="101">
        <f t="shared" si="320"/>
        <v>0.69450226774562651</v>
      </c>
      <c r="BJ211" s="101">
        <f t="shared" si="320"/>
        <v>1.1081220557878579</v>
      </c>
      <c r="BK211" s="101">
        <f t="shared" si="320"/>
        <v>1.4601367115282045</v>
      </c>
      <c r="BL211" s="101">
        <f t="shared" si="320"/>
        <v>1.9095593202378902</v>
      </c>
      <c r="BM211" s="101">
        <f t="shared" si="320"/>
        <v>1.8309625616085126</v>
      </c>
      <c r="BN211" s="101">
        <f>BN184/SUM(BN198:BN201)</f>
        <v>2.048691149073226</v>
      </c>
      <c r="BO211" s="101">
        <f t="shared" ref="BO211:BQ211" si="321">BO184/SUM(BO198:BO201)</f>
        <v>2.3706360713610288</v>
      </c>
      <c r="BP211" s="101">
        <f t="shared" si="321"/>
        <v>2.6734617554401914</v>
      </c>
      <c r="BQ211" s="101">
        <f t="shared" si="321"/>
        <v>1.8928261882160102</v>
      </c>
      <c r="BR211" s="86"/>
      <c r="BS211" s="86"/>
      <c r="BT211" s="86"/>
      <c r="BU211" s="94"/>
      <c r="BV211" s="94"/>
      <c r="BW211" s="90"/>
      <c r="BX211" s="90"/>
      <c r="BY211" s="90"/>
      <c r="BZ211" s="90"/>
      <c r="CG211" s="90"/>
      <c r="CH211" s="90"/>
      <c r="CI211" s="90"/>
      <c r="CJ211" s="90"/>
      <c r="CK211" s="101">
        <f t="shared" ref="CK211:CO211" si="322">CK184/SUM(CK198:CK201)</f>
        <v>0.79934759687197954</v>
      </c>
      <c r="CL211" s="101">
        <f t="shared" si="322"/>
        <v>0.65768606275724051</v>
      </c>
      <c r="CM211" s="101">
        <f t="shared" si="322"/>
        <v>0.48198413922416938</v>
      </c>
      <c r="CN211" s="101">
        <f t="shared" si="322"/>
        <v>0.48200535423508972</v>
      </c>
      <c r="CO211" s="101">
        <f t="shared" si="322"/>
        <v>1.1081220557878579</v>
      </c>
      <c r="CP211" s="101">
        <f>CP184/SUM(CP198:CP201)</f>
        <v>2.048691149073226</v>
      </c>
      <c r="CQ211" s="84"/>
      <c r="CR211" s="84"/>
      <c r="CS211" s="84"/>
      <c r="CT211" s="84"/>
      <c r="CU211" s="84"/>
      <c r="CV211" s="84"/>
      <c r="CW211" s="84"/>
      <c r="CX211" s="84"/>
      <c r="CY211" s="84"/>
      <c r="CZ211" s="84"/>
      <c r="DA211" s="84"/>
      <c r="DB211" s="84"/>
      <c r="DC211" s="84"/>
      <c r="DD211" s="84"/>
      <c r="DE211" s="84"/>
      <c r="DF211" s="84"/>
      <c r="DG211" s="84"/>
      <c r="DH211" s="84"/>
      <c r="DI211" s="84"/>
      <c r="DJ211" s="84"/>
      <c r="DK211" s="84"/>
      <c r="DL211" s="84"/>
      <c r="DM211" s="84"/>
      <c r="DN211" s="84"/>
      <c r="DO211" s="84"/>
      <c r="DP211" s="84"/>
      <c r="DQ211" s="84"/>
    </row>
    <row r="212" spans="2:150" s="83" customFormat="1" ht="13.5" customHeight="1">
      <c r="B212" s="83" t="s">
        <v>2307</v>
      </c>
      <c r="AA212" s="89"/>
      <c r="AB212" s="89"/>
      <c r="AC212" s="89"/>
      <c r="AD212" s="89"/>
      <c r="AE212" s="89"/>
      <c r="AF212" s="89"/>
      <c r="AG212" s="89"/>
      <c r="AH212" s="89"/>
      <c r="AI212" s="89"/>
      <c r="AJ212" s="89"/>
      <c r="AK212" s="89"/>
      <c r="AL212" s="89"/>
      <c r="AM212" s="89"/>
      <c r="AN212" s="89"/>
      <c r="AO212" s="89"/>
      <c r="AP212" s="89"/>
      <c r="AQ212" s="101">
        <f t="shared" ref="AQ212:BP212" si="323">AQ160/SUM(AQ189:AQ191)</f>
        <v>1.6518210813313441</v>
      </c>
      <c r="AR212" s="101">
        <f t="shared" si="323"/>
        <v>1.6688345602865102</v>
      </c>
      <c r="AS212" s="101">
        <f t="shared" si="323"/>
        <v>1.5953660712243545</v>
      </c>
      <c r="AT212" s="101">
        <f t="shared" si="323"/>
        <v>1.0724088798328577</v>
      </c>
      <c r="AU212" s="101">
        <f t="shared" si="323"/>
        <v>0.97270337860335965</v>
      </c>
      <c r="AV212" s="101">
        <f t="shared" si="323"/>
        <v>0.73607687135813538</v>
      </c>
      <c r="AW212" s="101">
        <f t="shared" si="323"/>
        <v>1.0386164611429591</v>
      </c>
      <c r="AX212" s="101">
        <f t="shared" si="323"/>
        <v>1.3098739660665801</v>
      </c>
      <c r="AY212" s="101">
        <f t="shared" si="323"/>
        <v>1.3146648847725753</v>
      </c>
      <c r="AZ212" s="101">
        <f t="shared" si="323"/>
        <v>1.0200580043835374</v>
      </c>
      <c r="BA212" s="101">
        <f t="shared" si="323"/>
        <v>0.83733796122962267</v>
      </c>
      <c r="BB212" s="101">
        <f t="shared" si="323"/>
        <v>0.89829008265554611</v>
      </c>
      <c r="BC212" s="101">
        <f t="shared" si="323"/>
        <v>0.7475189629320047</v>
      </c>
      <c r="BD212" s="101">
        <f t="shared" si="323"/>
        <v>0.75573970336400309</v>
      </c>
      <c r="BE212" s="101">
        <f t="shared" si="323"/>
        <v>0.78312811492231016</v>
      </c>
      <c r="BF212" s="101">
        <f t="shared" si="323"/>
        <v>0.76031879136967551</v>
      </c>
      <c r="BG212" s="101">
        <f t="shared" si="323"/>
        <v>0.83926684096345328</v>
      </c>
      <c r="BH212" s="101">
        <f t="shared" si="323"/>
        <v>0.91689077604373037</v>
      </c>
      <c r="BI212" s="101">
        <f t="shared" si="323"/>
        <v>0.96228988760851941</v>
      </c>
      <c r="BJ212" s="101">
        <f t="shared" si="323"/>
        <v>0.97327193980973492</v>
      </c>
      <c r="BK212" s="101">
        <f t="shared" si="323"/>
        <v>0.9550309605480034</v>
      </c>
      <c r="BL212" s="101">
        <f t="shared" si="323"/>
        <v>1.1072853756227092</v>
      </c>
      <c r="BM212" s="101">
        <f t="shared" si="323"/>
        <v>1.1159307455603753</v>
      </c>
      <c r="BN212" s="101">
        <f t="shared" si="323"/>
        <v>1.1752829246850389</v>
      </c>
      <c r="BO212" s="101">
        <f t="shared" si="323"/>
        <v>1.1790253235463151</v>
      </c>
      <c r="BP212" s="101">
        <f t="shared" si="323"/>
        <v>1.1848755628468706</v>
      </c>
      <c r="BQ212" s="101">
        <f>BQ160/SUM(BQ189:BQ191)</f>
        <v>1.2013650143106338</v>
      </c>
      <c r="BR212" s="86"/>
      <c r="BS212" s="86"/>
      <c r="BT212" s="86"/>
      <c r="BU212" s="94"/>
      <c r="BV212" s="94"/>
      <c r="BW212" s="90"/>
      <c r="BX212" s="90"/>
      <c r="BY212" s="90"/>
      <c r="BZ212" s="90"/>
      <c r="CG212" s="90"/>
      <c r="CH212" s="90"/>
      <c r="CI212" s="90"/>
      <c r="CJ212" s="90"/>
      <c r="CK212" s="101">
        <f t="shared" ref="CK212:CO212" si="324">CK160/SUM(CK189:CK191)</f>
        <v>4.0412763098639379</v>
      </c>
      <c r="CL212" s="101">
        <f t="shared" si="324"/>
        <v>4.3979407656208318</v>
      </c>
      <c r="CM212" s="101">
        <f t="shared" si="324"/>
        <v>3.2920862929185728</v>
      </c>
      <c r="CN212" s="101">
        <f t="shared" si="324"/>
        <v>2.9113700880491042</v>
      </c>
      <c r="CO212" s="101">
        <f t="shared" si="324"/>
        <v>3.6183893429594005</v>
      </c>
      <c r="CP212" s="101">
        <f>CP160/SUM(CP189:CP191)</f>
        <v>4.4500569947028445</v>
      </c>
      <c r="CQ212" s="84"/>
      <c r="CR212" s="84"/>
      <c r="CS212" s="84"/>
      <c r="CT212" s="84"/>
      <c r="CU212" s="84"/>
      <c r="CV212" s="84"/>
      <c r="CW212" s="84"/>
      <c r="CX212" s="84"/>
      <c r="CY212" s="84"/>
      <c r="CZ212" s="84"/>
      <c r="DA212" s="84"/>
      <c r="DB212" s="84"/>
      <c r="DC212" s="84"/>
      <c r="DD212" s="84"/>
      <c r="DE212" s="84"/>
      <c r="DF212" s="84"/>
      <c r="DG212" s="84"/>
      <c r="DH212" s="84"/>
      <c r="DI212" s="84"/>
      <c r="DJ212" s="84"/>
      <c r="DK212" s="84"/>
      <c r="DL212" s="84"/>
      <c r="DM212" s="84"/>
      <c r="DN212" s="84"/>
      <c r="DO212" s="84"/>
      <c r="DP212" s="84"/>
      <c r="DQ212" s="84"/>
    </row>
    <row r="213" spans="2:150" s="83" customFormat="1" ht="13.5" customHeight="1">
      <c r="B213" s="83" t="s">
        <v>149</v>
      </c>
      <c r="AA213" s="89"/>
      <c r="AB213" s="89"/>
      <c r="AC213" s="89"/>
      <c r="AD213" s="89"/>
      <c r="AE213" s="89"/>
      <c r="AF213" s="89"/>
      <c r="AG213" s="89"/>
      <c r="AH213" s="89"/>
      <c r="AI213" s="89"/>
      <c r="AJ213" s="89"/>
      <c r="AK213" s="89"/>
      <c r="AL213" s="89"/>
      <c r="AM213" s="89"/>
      <c r="AN213" s="89"/>
      <c r="AO213" s="89"/>
      <c r="AP213" s="89"/>
      <c r="AQ213" s="101">
        <f t="shared" ref="AQ213:BQ213" si="325">AQ160/AQ196</f>
        <v>0.2258113289813973</v>
      </c>
      <c r="AR213" s="101">
        <f t="shared" si="325"/>
        <v>0.229360683223126</v>
      </c>
      <c r="AS213" s="101">
        <f t="shared" si="325"/>
        <v>0.22713906573098652</v>
      </c>
      <c r="AT213" s="101">
        <f t="shared" si="325"/>
        <v>0.2181420361284937</v>
      </c>
      <c r="AU213" s="101">
        <f t="shared" si="325"/>
        <v>0.20670239672407562</v>
      </c>
      <c r="AV213" s="101">
        <f t="shared" si="325"/>
        <v>0.13470904896180469</v>
      </c>
      <c r="AW213" s="101">
        <f t="shared" si="325"/>
        <v>0.18647322486375484</v>
      </c>
      <c r="AX213" s="101">
        <f t="shared" si="325"/>
        <v>0.2028134238495814</v>
      </c>
      <c r="AY213" s="101">
        <f t="shared" si="325"/>
        <v>0.20123117323006956</v>
      </c>
      <c r="AZ213" s="101">
        <f t="shared" si="325"/>
        <v>0.20247896657723757</v>
      </c>
      <c r="BA213" s="101">
        <f t="shared" si="325"/>
        <v>0.19532674846209727</v>
      </c>
      <c r="BB213" s="101">
        <f t="shared" si="325"/>
        <v>0.16394615230058271</v>
      </c>
      <c r="BC213" s="101">
        <f t="shared" si="325"/>
        <v>0.15665659936092716</v>
      </c>
      <c r="BD213" s="101">
        <f t="shared" si="325"/>
        <v>0.15686422170344153</v>
      </c>
      <c r="BE213" s="101">
        <f t="shared" si="325"/>
        <v>0.16169781953857482</v>
      </c>
      <c r="BF213" s="101">
        <f t="shared" si="325"/>
        <v>0.16137957496101057</v>
      </c>
      <c r="BG213" s="101">
        <f t="shared" si="325"/>
        <v>0.17300963665109534</v>
      </c>
      <c r="BH213" s="101">
        <f t="shared" si="325"/>
        <v>0.18254391524936267</v>
      </c>
      <c r="BI213" s="101">
        <f t="shared" si="325"/>
        <v>0.18448940564991143</v>
      </c>
      <c r="BJ213" s="101">
        <f t="shared" si="325"/>
        <v>0.18294614487520119</v>
      </c>
      <c r="BK213" s="101">
        <f t="shared" si="325"/>
        <v>0.17640971107925144</v>
      </c>
      <c r="BL213" s="101">
        <f t="shared" si="325"/>
        <v>0.19510465859617179</v>
      </c>
      <c r="BM213" s="101">
        <f t="shared" si="325"/>
        <v>0.20349896526522815</v>
      </c>
      <c r="BN213" s="101">
        <f t="shared" si="325"/>
        <v>0.20578198458624455</v>
      </c>
      <c r="BO213" s="101">
        <f t="shared" si="325"/>
        <v>0.20343850871175484</v>
      </c>
      <c r="BP213" s="101">
        <f t="shared" si="325"/>
        <v>0.20268281338349625</v>
      </c>
      <c r="BQ213" s="101">
        <f t="shared" si="325"/>
        <v>0.20333140522446799</v>
      </c>
      <c r="BR213" s="86"/>
      <c r="BS213" s="86"/>
      <c r="BT213" s="86"/>
      <c r="BU213" s="94"/>
      <c r="BV213" s="94"/>
      <c r="BW213" s="90"/>
      <c r="BX213" s="90"/>
      <c r="BY213" s="90"/>
      <c r="BZ213" s="90"/>
      <c r="CG213" s="90"/>
      <c r="CH213" s="90"/>
      <c r="CI213" s="90"/>
      <c r="CJ213" s="90"/>
      <c r="CK213" s="101">
        <f t="shared" ref="CK213:CP213" si="326">CK160/CK196</f>
        <v>0.82204862284333569</v>
      </c>
      <c r="CL213" s="101">
        <f t="shared" si="326"/>
        <v>0.68095209743093121</v>
      </c>
      <c r="CM213" s="101">
        <f t="shared" si="326"/>
        <v>0.6008358448864779</v>
      </c>
      <c r="CN213" s="101">
        <f t="shared" si="326"/>
        <v>0.61794562056947122</v>
      </c>
      <c r="CO213" s="101">
        <f t="shared" si="326"/>
        <v>0.68014945656539028</v>
      </c>
      <c r="CP213" s="101">
        <f t="shared" si="326"/>
        <v>0.77916690582164094</v>
      </c>
      <c r="CQ213" s="84"/>
      <c r="CR213" s="84"/>
      <c r="CS213" s="84"/>
      <c r="CT213" s="84"/>
      <c r="CU213" s="84"/>
      <c r="CV213" s="84"/>
      <c r="CW213" s="84"/>
      <c r="CX213" s="84"/>
      <c r="CY213" s="84"/>
      <c r="CZ213" s="84"/>
      <c r="DA213" s="84"/>
      <c r="DB213" s="84"/>
      <c r="DC213" s="84"/>
      <c r="DD213" s="84"/>
      <c r="DE213" s="84"/>
      <c r="DF213" s="84"/>
      <c r="DG213" s="84"/>
      <c r="DH213" s="84"/>
      <c r="DI213" s="84"/>
      <c r="DJ213" s="84"/>
      <c r="DK213" s="84"/>
      <c r="DL213" s="84"/>
      <c r="DM213" s="84"/>
      <c r="DN213" s="84"/>
      <c r="DO213" s="84"/>
      <c r="DP213" s="84"/>
      <c r="DQ213" s="84"/>
    </row>
    <row r="214" spans="2:150" s="83" customFormat="1" ht="13.5" customHeight="1">
      <c r="B214" s="83" t="s">
        <v>150</v>
      </c>
      <c r="AA214" s="89"/>
      <c r="AB214" s="89"/>
      <c r="AC214" s="89"/>
      <c r="AD214" s="89"/>
      <c r="AE214" s="89"/>
      <c r="AF214" s="89"/>
      <c r="AG214" s="89"/>
      <c r="AH214" s="89"/>
      <c r="AI214" s="89"/>
      <c r="AJ214" s="89"/>
      <c r="AK214" s="89"/>
      <c r="AL214" s="89"/>
      <c r="AM214" s="89"/>
      <c r="AN214" s="89"/>
      <c r="AO214" s="89"/>
      <c r="AP214" s="89"/>
      <c r="AQ214" s="101"/>
      <c r="AR214" s="101">
        <f>AR161/AVERAGE(A187:AR187)</f>
        <v>0.31657928041945399</v>
      </c>
      <c r="AS214" s="101">
        <f>AS161/AVERAGE(B187:AS187)</f>
        <v>0.33059006801170254</v>
      </c>
      <c r="AT214" s="101">
        <f t="shared" ref="AT214:BQ214" si="327">AT161/AVERAGE(AQ187:AT187)</f>
        <v>0.34419115808075174</v>
      </c>
      <c r="AU214" s="101">
        <f t="shared" si="327"/>
        <v>0.33297424346293208</v>
      </c>
      <c r="AV214" s="101">
        <f t="shared" si="327"/>
        <v>0.25009915311574088</v>
      </c>
      <c r="AW214" s="101">
        <f t="shared" si="327"/>
        <v>0.34663673964499597</v>
      </c>
      <c r="AX214" s="101">
        <f t="shared" si="327"/>
        <v>0.38168557110329349</v>
      </c>
      <c r="AY214" s="101">
        <f t="shared" si="327"/>
        <v>0.27561062444260015</v>
      </c>
      <c r="AZ214" s="101">
        <f t="shared" si="327"/>
        <v>0.28791755726530988</v>
      </c>
      <c r="BA214" s="101">
        <f t="shared" si="327"/>
        <v>0.28707517627826667</v>
      </c>
      <c r="BB214" s="101">
        <f t="shared" si="327"/>
        <v>0.30736568576230944</v>
      </c>
      <c r="BC214" s="101">
        <f t="shared" si="327"/>
        <v>0.29111084473517479</v>
      </c>
      <c r="BD214" s="101">
        <f t="shared" si="327"/>
        <v>0.27214821272247108</v>
      </c>
      <c r="BE214" s="101">
        <f t="shared" si="327"/>
        <v>0.2717410141762851</v>
      </c>
      <c r="BF214" s="101">
        <f t="shared" si="327"/>
        <v>0.27022674599972879</v>
      </c>
      <c r="BG214" s="101">
        <f t="shared" si="327"/>
        <v>0.27908378308421578</v>
      </c>
      <c r="BH214" s="101">
        <f t="shared" si="327"/>
        <v>0.27882533773676943</v>
      </c>
      <c r="BI214" s="101">
        <f t="shared" si="327"/>
        <v>0.26419798407300027</v>
      </c>
      <c r="BJ214" s="101">
        <f t="shared" si="327"/>
        <v>0.26701613563764443</v>
      </c>
      <c r="BK214" s="101">
        <f t="shared" si="327"/>
        <v>0.25667959278769831</v>
      </c>
      <c r="BL214" s="101">
        <f t="shared" si="327"/>
        <v>0.35609244587414374</v>
      </c>
      <c r="BM214" s="101">
        <f t="shared" si="327"/>
        <v>0.25926862817415797</v>
      </c>
      <c r="BN214" s="101">
        <f t="shared" si="327"/>
        <v>0.26661324225743571</v>
      </c>
      <c r="BO214" s="101">
        <f t="shared" si="327"/>
        <v>0.27237685965384584</v>
      </c>
      <c r="BP214" s="101">
        <f t="shared" si="327"/>
        <v>0.28094942873778395</v>
      </c>
      <c r="BQ214" s="101">
        <f t="shared" si="327"/>
        <v>0.27164976913608935</v>
      </c>
      <c r="BR214" s="86"/>
      <c r="BS214" s="86"/>
      <c r="BT214" s="86"/>
      <c r="BU214" s="94"/>
      <c r="BV214" s="94"/>
      <c r="BW214" s="90"/>
      <c r="BX214" s="90"/>
      <c r="BY214" s="90"/>
      <c r="BZ214" s="90"/>
      <c r="CG214" s="90"/>
      <c r="CH214" s="90"/>
      <c r="CI214" s="90"/>
      <c r="CJ214" s="90"/>
      <c r="CK214" s="101">
        <f t="shared" ref="CK214:CO214" si="328">CK161/AVERAGE(CH187:CK187)</f>
        <v>1.1467331625183017</v>
      </c>
      <c r="CL214" s="101">
        <f t="shared" si="328"/>
        <v>1.1931579328839603</v>
      </c>
      <c r="CM214" s="101">
        <f t="shared" si="328"/>
        <v>1.283953567716891</v>
      </c>
      <c r="CN214" s="101">
        <f t="shared" si="328"/>
        <v>1.2862543284788392</v>
      </c>
      <c r="CO214" s="101">
        <f t="shared" si="328"/>
        <v>1.2477387018073789</v>
      </c>
      <c r="CP214" s="101">
        <f>CP161/AVERAGE(CM187:CP187)</f>
        <v>1.2629734175124079</v>
      </c>
      <c r="CQ214" s="84"/>
      <c r="CR214" s="84"/>
      <c r="CS214" s="84"/>
      <c r="CT214" s="84"/>
      <c r="CU214" s="84"/>
      <c r="CV214" s="84"/>
      <c r="CW214" s="84"/>
      <c r="CX214" s="84"/>
      <c r="CY214" s="84"/>
      <c r="CZ214" s="84"/>
      <c r="DA214" s="84"/>
      <c r="DB214" s="84"/>
      <c r="DC214" s="84"/>
      <c r="DD214" s="84"/>
      <c r="DE214" s="84"/>
      <c r="DF214" s="84"/>
      <c r="DG214" s="84"/>
      <c r="DH214" s="84"/>
      <c r="DI214" s="84"/>
      <c r="DJ214" s="84"/>
      <c r="DK214" s="84"/>
      <c r="DL214" s="84"/>
      <c r="DM214" s="84"/>
      <c r="DN214" s="84"/>
      <c r="DO214" s="84"/>
      <c r="DP214" s="84"/>
      <c r="DQ214" s="84"/>
    </row>
    <row r="215" spans="2:150" s="83" customFormat="1" ht="13.5" customHeight="1">
      <c r="B215" s="83" t="s">
        <v>147</v>
      </c>
      <c r="AA215" s="89"/>
      <c r="AB215" s="89"/>
      <c r="AC215" s="89"/>
      <c r="AD215" s="89"/>
      <c r="AE215" s="89"/>
      <c r="AF215" s="89"/>
      <c r="AG215" s="89"/>
      <c r="AH215" s="89"/>
      <c r="AI215" s="89"/>
      <c r="AJ215" s="89"/>
      <c r="AK215" s="89"/>
      <c r="AL215" s="89"/>
      <c r="AM215" s="89"/>
      <c r="AN215" s="89"/>
      <c r="AO215" s="89"/>
      <c r="AP215" s="89"/>
      <c r="AQ215" s="110">
        <f t="shared" ref="AQ215:BQ215" si="329">AQ173/AQ196</f>
        <v>1.8808380612142642E-2</v>
      </c>
      <c r="AR215" s="110">
        <f t="shared" si="329"/>
        <v>2.8688671683395731E-2</v>
      </c>
      <c r="AS215" s="110">
        <f t="shared" si="329"/>
        <v>1.8696777765113894E-2</v>
      </c>
      <c r="AT215" s="110">
        <f t="shared" si="329"/>
        <v>1.4249865971067921E-2</v>
      </c>
      <c r="AU215" s="110">
        <f t="shared" si="329"/>
        <v>2.282307599662792E-3</v>
      </c>
      <c r="AV215" s="110">
        <f t="shared" si="329"/>
        <v>-1.5303768264547575E-2</v>
      </c>
      <c r="AW215" s="110">
        <f t="shared" si="329"/>
        <v>-1.0900847089487405E-2</v>
      </c>
      <c r="AX215" s="110">
        <f t="shared" si="329"/>
        <v>4.4411609960351662E-3</v>
      </c>
      <c r="AY215" s="110">
        <f t="shared" si="329"/>
        <v>1.4071910411691393E-2</v>
      </c>
      <c r="AZ215" s="110">
        <f t="shared" si="329"/>
        <v>1.0167893845210732E-2</v>
      </c>
      <c r="BA215" s="110">
        <f t="shared" si="329"/>
        <v>9.0851084161065777E-3</v>
      </c>
      <c r="BB215" s="110">
        <f t="shared" si="329"/>
        <v>-1.9823186658629765E-2</v>
      </c>
      <c r="BC215" s="110">
        <f t="shared" si="329"/>
        <v>5.5317680990614748E-5</v>
      </c>
      <c r="BD215" s="110">
        <f t="shared" si="329"/>
        <v>-2.7592439189698067E-3</v>
      </c>
      <c r="BE215" s="110">
        <f t="shared" si="329"/>
        <v>-1.7251802926904591E-3</v>
      </c>
      <c r="BF215" s="110">
        <f t="shared" si="329"/>
        <v>2.8229918461490956E-3</v>
      </c>
      <c r="BG215" s="110">
        <f t="shared" si="329"/>
        <v>6.1664246634052658E-3</v>
      </c>
      <c r="BH215" s="110">
        <f t="shared" si="329"/>
        <v>1.333303549240087E-2</v>
      </c>
      <c r="BI215" s="110">
        <f t="shared" si="329"/>
        <v>6.272231177688015E-3</v>
      </c>
      <c r="BJ215" s="110">
        <f t="shared" si="329"/>
        <v>3.4759253488230148E-2</v>
      </c>
      <c r="BK215" s="110">
        <f t="shared" si="329"/>
        <v>7.0260057157505891E-3</v>
      </c>
      <c r="BL215" s="110">
        <f t="shared" si="329"/>
        <v>-3.922946041245675E-2</v>
      </c>
      <c r="BM215" s="110">
        <f t="shared" si="329"/>
        <v>1.9944250748585503E-2</v>
      </c>
      <c r="BN215" s="110">
        <f t="shared" si="329"/>
        <v>2.1908769769419825E-2</v>
      </c>
      <c r="BO215" s="110">
        <f t="shared" si="329"/>
        <v>2.4617352462519778E-2</v>
      </c>
      <c r="BP215" s="110">
        <f t="shared" si="329"/>
        <v>2.7029947892565662E-2</v>
      </c>
      <c r="BQ215" s="110">
        <f t="shared" si="329"/>
        <v>2.6285149529715331E-2</v>
      </c>
      <c r="BR215" s="115"/>
      <c r="BS215" s="115"/>
      <c r="BT215" s="115"/>
      <c r="BU215" s="111"/>
      <c r="BV215" s="111"/>
      <c r="BW215" s="110"/>
      <c r="BX215" s="110"/>
      <c r="BY215" s="110"/>
      <c r="BZ215" s="110"/>
      <c r="CG215" s="110"/>
      <c r="CH215" s="110"/>
      <c r="CI215" s="110"/>
      <c r="CJ215" s="110"/>
      <c r="CK215" s="110">
        <f t="shared" ref="CK215:CO215" si="330">CK173/CK196</f>
        <v>7.2767573558231602E-2</v>
      </c>
      <c r="CL215" s="110">
        <f t="shared" si="330"/>
        <v>-1.8957864257220253E-2</v>
      </c>
      <c r="CM215" s="110">
        <f t="shared" si="330"/>
        <v>4.2467349809121686E-3</v>
      </c>
      <c r="CN215" s="110">
        <f t="shared" si="330"/>
        <v>-1.4603694253204809E-3</v>
      </c>
      <c r="CO215" s="110">
        <f t="shared" si="330"/>
        <v>5.8478254583773738E-2</v>
      </c>
      <c r="CP215" s="110">
        <f>CP173/CP196</f>
        <v>9.1248493323661979E-3</v>
      </c>
      <c r="CQ215" s="84"/>
      <c r="CR215" s="84"/>
      <c r="CS215" s="84"/>
      <c r="CT215" s="84"/>
      <c r="CU215" s="84"/>
      <c r="CV215" s="84"/>
      <c r="CW215" s="84"/>
      <c r="CX215" s="84"/>
      <c r="CY215" s="84"/>
      <c r="CZ215" s="84"/>
      <c r="DA215" s="84"/>
      <c r="DB215" s="84"/>
      <c r="DC215" s="84"/>
      <c r="DD215" s="84"/>
      <c r="DE215" s="84"/>
      <c r="DF215" s="84"/>
      <c r="DG215" s="84"/>
      <c r="DH215" s="84"/>
      <c r="DI215" s="84"/>
      <c r="DJ215" s="84"/>
      <c r="DK215" s="84"/>
      <c r="DL215" s="84"/>
      <c r="DM215" s="84"/>
      <c r="DN215" s="84"/>
      <c r="DO215" s="84"/>
      <c r="DP215" s="84"/>
      <c r="DQ215" s="84"/>
    </row>
    <row r="216" spans="2:150" s="83" customFormat="1" ht="13.5" customHeight="1">
      <c r="B216" s="83" t="s">
        <v>148</v>
      </c>
      <c r="AA216" s="89"/>
      <c r="AB216" s="89"/>
      <c r="AC216" s="89"/>
      <c r="AD216" s="89"/>
      <c r="AE216" s="89"/>
      <c r="AF216" s="89"/>
      <c r="AG216" s="89"/>
      <c r="AH216" s="89"/>
      <c r="AI216" s="89"/>
      <c r="AJ216" s="89"/>
      <c r="AK216" s="89"/>
      <c r="AL216" s="89"/>
      <c r="AM216" s="89"/>
      <c r="AN216" s="89"/>
      <c r="AO216" s="89"/>
      <c r="AP216" s="89"/>
      <c r="AQ216" s="110">
        <f t="shared" ref="AQ216:BQ216" si="331">AQ173/AQ206</f>
        <v>2.4499442361729757E-2</v>
      </c>
      <c r="AR216" s="110">
        <f t="shared" si="331"/>
        <v>3.6958670844131083E-2</v>
      </c>
      <c r="AS216" s="110">
        <f t="shared" si="331"/>
        <v>2.4591972005028474E-2</v>
      </c>
      <c r="AT216" s="110">
        <f t="shared" si="331"/>
        <v>1.9540251187674339E-2</v>
      </c>
      <c r="AU216" s="110">
        <f t="shared" si="331"/>
        <v>3.1058127457146817E-3</v>
      </c>
      <c r="AV216" s="110">
        <f t="shared" si="331"/>
        <v>-1.916037749474055E-2</v>
      </c>
      <c r="AW216" s="110">
        <f t="shared" si="331"/>
        <v>-1.4253395125477644E-2</v>
      </c>
      <c r="AX216" s="110">
        <f t="shared" si="331"/>
        <v>5.7307443852816437E-3</v>
      </c>
      <c r="AY216" s="110">
        <f t="shared" si="331"/>
        <v>1.8189896244413667E-2</v>
      </c>
      <c r="AZ216" s="110">
        <f t="shared" si="331"/>
        <v>1.3744178586703451E-2</v>
      </c>
      <c r="BA216" s="110">
        <f t="shared" si="331"/>
        <v>1.2915514539083208E-2</v>
      </c>
      <c r="BB216" s="110">
        <f t="shared" si="331"/>
        <v>-2.5856276214008073E-2</v>
      </c>
      <c r="BC216" s="110">
        <f t="shared" si="331"/>
        <v>7.5054570927609243E-5</v>
      </c>
      <c r="BD216" s="110">
        <f t="shared" si="331"/>
        <v>-3.7772611763735682E-3</v>
      </c>
      <c r="BE216" s="110">
        <f t="shared" si="331"/>
        <v>-2.341458605476552E-3</v>
      </c>
      <c r="BF216" s="110">
        <f t="shared" si="331"/>
        <v>3.8744245928850241E-3</v>
      </c>
      <c r="BG216" s="110">
        <f t="shared" si="331"/>
        <v>8.3984971726816914E-3</v>
      </c>
      <c r="BH216" s="110">
        <f t="shared" si="331"/>
        <v>1.7908326246574215E-2</v>
      </c>
      <c r="BI216" s="110">
        <f t="shared" si="331"/>
        <v>8.3413486357683496E-3</v>
      </c>
      <c r="BJ216" s="110">
        <f t="shared" si="331"/>
        <v>4.588528678304242E-2</v>
      </c>
      <c r="BK216" s="110">
        <f t="shared" si="331"/>
        <v>9.2228617293613462E-3</v>
      </c>
      <c r="BL216" s="110">
        <f t="shared" si="331"/>
        <v>-5.1841537127410513E-2</v>
      </c>
      <c r="BM216" s="110">
        <f t="shared" si="331"/>
        <v>2.6714239142246562E-2</v>
      </c>
      <c r="BN216" s="110">
        <f t="shared" si="331"/>
        <v>2.9185068435901025E-2</v>
      </c>
      <c r="BO216" s="110">
        <f t="shared" si="331"/>
        <v>3.2338677628986165E-2</v>
      </c>
      <c r="BP216" s="110">
        <f t="shared" si="331"/>
        <v>3.49858959001507E-2</v>
      </c>
      <c r="BQ216" s="110">
        <f t="shared" si="331"/>
        <v>3.3746327360940194E-2</v>
      </c>
      <c r="BR216" s="115"/>
      <c r="BS216" s="115"/>
      <c r="BT216" s="115"/>
      <c r="BU216" s="111"/>
      <c r="BV216" s="111"/>
      <c r="BW216" s="110"/>
      <c r="BX216" s="110"/>
      <c r="BY216" s="110"/>
      <c r="BZ216" s="110"/>
      <c r="CG216" s="110"/>
      <c r="CH216" s="110"/>
      <c r="CI216" s="110"/>
      <c r="CJ216" s="110"/>
      <c r="CK216" s="110">
        <f t="shared" ref="CK216:CP216" si="332">CK173/CK206</f>
        <v>9.9783160664973905E-2</v>
      </c>
      <c r="CL216" s="110">
        <f t="shared" si="332"/>
        <v>-2.4462674117418159E-2</v>
      </c>
      <c r="CM216" s="110">
        <f t="shared" si="332"/>
        <v>5.5392079268119735E-3</v>
      </c>
      <c r="CN216" s="110">
        <f t="shared" si="332"/>
        <v>-2.0042888979213188E-3</v>
      </c>
      <c r="CO216" s="110">
        <f t="shared" si="332"/>
        <v>7.7196464620761018E-2</v>
      </c>
      <c r="CP216" s="110">
        <f t="shared" si="332"/>
        <v>1.2155376821025653E-2</v>
      </c>
      <c r="CQ216" s="84"/>
      <c r="CR216" s="84"/>
      <c r="CS216" s="84"/>
      <c r="CT216" s="84"/>
      <c r="CU216" s="84"/>
      <c r="CV216" s="84"/>
      <c r="CW216" s="84"/>
      <c r="CX216" s="84"/>
      <c r="CY216" s="84"/>
      <c r="CZ216" s="84"/>
      <c r="DA216" s="84"/>
      <c r="DB216" s="84"/>
      <c r="DC216" s="84"/>
      <c r="DD216" s="84"/>
      <c r="DE216" s="84"/>
      <c r="DF216" s="84"/>
      <c r="DG216" s="84"/>
      <c r="DH216" s="84"/>
      <c r="DI216" s="84"/>
      <c r="DJ216" s="84"/>
      <c r="DK216" s="84"/>
      <c r="DL216" s="84"/>
      <c r="DM216" s="84"/>
      <c r="DN216" s="84"/>
      <c r="DO216" s="84"/>
      <c r="DP216" s="84"/>
      <c r="DQ216" s="84"/>
    </row>
    <row r="217" spans="2:150" s="83" customFormat="1" ht="13.5" customHeight="1">
      <c r="AA217" s="89"/>
      <c r="AB217" s="89"/>
      <c r="AC217" s="89"/>
      <c r="AD217" s="89"/>
      <c r="AE217" s="89"/>
      <c r="AF217" s="89"/>
      <c r="AG217" s="89"/>
      <c r="AH217" s="89"/>
      <c r="AI217" s="89"/>
      <c r="AJ217" s="89"/>
      <c r="AK217" s="89"/>
      <c r="AL217" s="89"/>
      <c r="AM217" s="89"/>
      <c r="AN217" s="89"/>
      <c r="AO217" s="89"/>
      <c r="AP217" s="89"/>
      <c r="BQ217" s="85"/>
      <c r="BR217" s="85"/>
      <c r="BS217" s="85"/>
      <c r="BT217" s="85"/>
      <c r="BU217" s="87"/>
      <c r="BV217" s="87"/>
      <c r="CL217" s="90"/>
      <c r="CM217" s="90"/>
      <c r="CN217" s="90"/>
      <c r="CO217" s="90"/>
      <c r="CP217" s="90"/>
      <c r="CQ217" s="84"/>
      <c r="CR217" s="87"/>
      <c r="CS217" s="84"/>
      <c r="CT217" s="84"/>
      <c r="CU217" s="84"/>
      <c r="CV217" s="84"/>
      <c r="CW217" s="84"/>
      <c r="CX217" s="84"/>
      <c r="CY217" s="84"/>
      <c r="CZ217" s="84"/>
      <c r="DA217" s="84"/>
      <c r="DB217" s="84"/>
      <c r="DC217" s="84"/>
      <c r="DD217" s="84"/>
      <c r="DE217" s="84"/>
      <c r="DF217" s="84"/>
      <c r="DG217" s="84"/>
      <c r="DH217" s="84"/>
      <c r="DI217" s="84"/>
      <c r="DJ217" s="84"/>
      <c r="DK217" s="84"/>
      <c r="DL217" s="84"/>
      <c r="DM217" s="84"/>
      <c r="DN217" s="84"/>
      <c r="DO217" s="84"/>
      <c r="DP217" s="84"/>
      <c r="DQ217" s="84"/>
    </row>
    <row r="218" spans="2:150" s="83" customFormat="1" ht="13.5" customHeight="1">
      <c r="B218" s="83" t="s">
        <v>2454</v>
      </c>
      <c r="AA218" s="90">
        <f t="shared" ref="AA218:BQ218" si="333">AA173</f>
        <v>0.5</v>
      </c>
      <c r="AB218" s="90">
        <f t="shared" si="333"/>
        <v>-0.55000000000000027</v>
      </c>
      <c r="AC218" s="90">
        <f t="shared" si="333"/>
        <v>0.32000000000000006</v>
      </c>
      <c r="AD218" s="90">
        <f t="shared" si="333"/>
        <v>0.75000000000000011</v>
      </c>
      <c r="AE218" s="90">
        <f t="shared" si="333"/>
        <v>2.5</v>
      </c>
      <c r="AF218" s="90">
        <f t="shared" si="333"/>
        <v>3</v>
      </c>
      <c r="AG218" s="90">
        <f t="shared" si="333"/>
        <v>12.200000000000001</v>
      </c>
      <c r="AH218" s="90">
        <f t="shared" si="333"/>
        <v>-2.4</v>
      </c>
      <c r="AI218" s="90">
        <f t="shared" si="333"/>
        <v>-3.1</v>
      </c>
      <c r="AJ218" s="90">
        <f t="shared" si="333"/>
        <v>-1.6</v>
      </c>
      <c r="AK218" s="90">
        <f t="shared" si="333"/>
        <v>0.2</v>
      </c>
      <c r="AL218" s="90">
        <f t="shared" si="333"/>
        <v>9.1</v>
      </c>
      <c r="AM218" s="90">
        <f t="shared" si="333"/>
        <v>5.5</v>
      </c>
      <c r="AN218" s="90">
        <f t="shared" si="333"/>
        <v>13.4</v>
      </c>
      <c r="AO218" s="90">
        <f t="shared" si="333"/>
        <v>-18.899999999999999</v>
      </c>
      <c r="AP218" s="90">
        <f t="shared" si="333"/>
        <v>6.52</v>
      </c>
      <c r="AQ218" s="90">
        <f t="shared" si="333"/>
        <v>10.698</v>
      </c>
      <c r="AR218" s="90">
        <f t="shared" si="333"/>
        <v>16.785999999999987</v>
      </c>
      <c r="AS218" s="90">
        <f t="shared" si="333"/>
        <v>11.483000000000001</v>
      </c>
      <c r="AT218" s="90">
        <f t="shared" si="333"/>
        <v>9.4890000000000985</v>
      </c>
      <c r="AU218" s="90">
        <f t="shared" si="333"/>
        <v>1.5160000000000133</v>
      </c>
      <c r="AV218" s="90">
        <f t="shared" si="333"/>
        <v>-11.940000000000015</v>
      </c>
      <c r="AW218" s="90">
        <f t="shared" si="333"/>
        <v>-8.833000000000002</v>
      </c>
      <c r="AX218" s="90">
        <f t="shared" si="333"/>
        <v>3.6550000000000091</v>
      </c>
      <c r="AY218" s="90">
        <f t="shared" si="333"/>
        <v>11.832000000000003</v>
      </c>
      <c r="AZ218" s="90">
        <f t="shared" si="333"/>
        <v>9.2550000000000221</v>
      </c>
      <c r="BA218" s="90">
        <f t="shared" si="333"/>
        <v>8.841999999999981</v>
      </c>
      <c r="BB218" s="90">
        <f t="shared" si="333"/>
        <v>-24.665000000000081</v>
      </c>
      <c r="BC218" s="90">
        <f t="shared" si="333"/>
        <v>7.1999999999997399E-2</v>
      </c>
      <c r="BD218" s="90">
        <f t="shared" si="333"/>
        <v>-3.6640000000000068</v>
      </c>
      <c r="BE218" s="90">
        <f t="shared" si="333"/>
        <v>-2.2800000000000034</v>
      </c>
      <c r="BF218" s="90">
        <f t="shared" si="333"/>
        <v>3.869999999999949</v>
      </c>
      <c r="BG218" s="90">
        <f t="shared" si="333"/>
        <v>8.6040000000000401</v>
      </c>
      <c r="BH218" s="90">
        <f t="shared" si="333"/>
        <v>19.100000000000001</v>
      </c>
      <c r="BI218" s="90">
        <f t="shared" si="333"/>
        <v>9.2099999999999937</v>
      </c>
      <c r="BJ218" s="90">
        <f t="shared" si="333"/>
        <v>54.096000000000032</v>
      </c>
      <c r="BK218" s="90">
        <f t="shared" si="333"/>
        <v>11.099999999999989</v>
      </c>
      <c r="BL218" s="90">
        <f t="shared" si="333"/>
        <v>-60.200000000000038</v>
      </c>
      <c r="BM218" s="90">
        <f t="shared" si="333"/>
        <v>29.500000000000032</v>
      </c>
      <c r="BN218" s="90">
        <f t="shared" si="333"/>
        <v>33.590000000000003</v>
      </c>
      <c r="BO218" s="90">
        <f t="shared" si="333"/>
        <v>39.222999999999999</v>
      </c>
      <c r="BP218" s="90">
        <f t="shared" si="333"/>
        <v>45.27</v>
      </c>
      <c r="BQ218" s="90">
        <f t="shared" si="333"/>
        <v>45.850999999999999</v>
      </c>
      <c r="BR218" s="85"/>
      <c r="BS218" s="85"/>
      <c r="BT218" s="85"/>
      <c r="BU218" s="87"/>
      <c r="BV218" s="87"/>
      <c r="CG218" s="90">
        <f>SUM(AA218:AD218)</f>
        <v>1.02</v>
      </c>
      <c r="CH218" s="90">
        <f>SUM(AE218:AH218)</f>
        <v>15.300000000000002</v>
      </c>
      <c r="CI218" s="90">
        <f>SUM(AI218:AL218)</f>
        <v>4.5999999999999996</v>
      </c>
      <c r="CJ218" s="90">
        <f>SUM(AM218:AP218)</f>
        <v>6.52</v>
      </c>
      <c r="CK218" s="90">
        <f t="shared" ref="CK218:CO218" si="334">CK173</f>
        <v>48.455999999999975</v>
      </c>
      <c r="CL218" s="90">
        <f t="shared" si="334"/>
        <v>-15.601999999999894</v>
      </c>
      <c r="CM218" s="90">
        <f t="shared" si="334"/>
        <v>5.2839999999999652</v>
      </c>
      <c r="CN218" s="90">
        <f t="shared" si="334"/>
        <v>-2.0019999999998928</v>
      </c>
      <c r="CO218" s="90">
        <f t="shared" si="334"/>
        <v>91.01</v>
      </c>
      <c r="CP218" s="90">
        <f>CP173</f>
        <v>13.989999999999876</v>
      </c>
      <c r="CQ218" s="84"/>
      <c r="CR218" s="84"/>
      <c r="CS218" s="84"/>
      <c r="CT218" s="84"/>
      <c r="CU218" s="84"/>
      <c r="CV218" s="84"/>
      <c r="CW218" s="84"/>
      <c r="CX218" s="84"/>
      <c r="CY218" s="84"/>
      <c r="CZ218" s="84"/>
      <c r="DA218" s="84"/>
      <c r="DB218" s="84"/>
      <c r="DC218" s="84"/>
      <c r="DD218" s="84"/>
      <c r="DE218" s="84"/>
      <c r="DF218" s="84"/>
      <c r="DG218" s="84"/>
      <c r="DH218" s="84"/>
      <c r="DI218" s="84"/>
      <c r="DJ218" s="84"/>
      <c r="DK218" s="84"/>
      <c r="DL218" s="84"/>
      <c r="DM218" s="84"/>
      <c r="DN218" s="84"/>
      <c r="DO218" s="84"/>
      <c r="DP218" s="84"/>
      <c r="DQ218" s="84"/>
    </row>
    <row r="219" spans="2:150" s="85" customFormat="1" ht="13.5" customHeight="1">
      <c r="B219" s="85" t="s">
        <v>151</v>
      </c>
      <c r="AA219" s="86">
        <v>-2.7</v>
      </c>
      <c r="AB219" s="86">
        <v>-5.6</v>
      </c>
      <c r="AC219" s="86">
        <v>-4.3</v>
      </c>
      <c r="AD219" s="86">
        <v>-8</v>
      </c>
      <c r="AE219" s="86">
        <v>-2.1</v>
      </c>
      <c r="AF219" s="86">
        <v>-6.1</v>
      </c>
      <c r="AG219" s="86">
        <v>5.7</v>
      </c>
      <c r="AH219" s="86">
        <v>-10.4</v>
      </c>
      <c r="AI219" s="86">
        <v>2.2000000000000002</v>
      </c>
      <c r="AJ219" s="86">
        <v>0.6</v>
      </c>
      <c r="AK219" s="86">
        <v>10.8</v>
      </c>
      <c r="AL219" s="86">
        <v>-0.9</v>
      </c>
      <c r="AM219" s="86">
        <v>10.7</v>
      </c>
      <c r="AN219" s="86">
        <v>0.1</v>
      </c>
      <c r="AO219" s="86">
        <v>10.4</v>
      </c>
      <c r="AP219" s="86">
        <v>7.5</v>
      </c>
      <c r="AQ219" s="86">
        <v>-2.1</v>
      </c>
      <c r="AR219" s="86">
        <v>1.9</v>
      </c>
      <c r="AS219" s="86">
        <v>22</v>
      </c>
      <c r="AT219" s="86">
        <v>4.8</v>
      </c>
      <c r="AU219" s="86">
        <v>-5.92</v>
      </c>
      <c r="AV219" s="86">
        <f>-27.609-AU219</f>
        <v>-21.689</v>
      </c>
      <c r="AW219" s="86">
        <f>-31.159-SUM(AU219:AV219)</f>
        <v>-3.5499999999999972</v>
      </c>
      <c r="AX219" s="86">
        <f>-33.242-SUM(AU219:AW219)</f>
        <v>-2.0829999999999984</v>
      </c>
      <c r="AY219" s="86">
        <v>-14.368</v>
      </c>
      <c r="AZ219" s="86">
        <f>-17.678-AY219</f>
        <v>-3.3100000000000005</v>
      </c>
      <c r="BA219" s="86">
        <f>18.772-SUM(AY219:AZ219)</f>
        <v>36.450000000000003</v>
      </c>
      <c r="BB219" s="86">
        <f>9.502-SUM(AY219:BA219)</f>
        <v>-9.2700000000000014</v>
      </c>
      <c r="BC219" s="86">
        <v>-4.5140000000000002</v>
      </c>
      <c r="BD219" s="86">
        <f>-44.089-BC219</f>
        <v>-39.574999999999996</v>
      </c>
      <c r="BE219" s="86">
        <f>-56.998-SUM(BC219:BD219)</f>
        <v>-12.908999999999999</v>
      </c>
      <c r="BF219" s="86">
        <f>-55.661-SUM(BC219:BE219)</f>
        <v>1.3369999999999962</v>
      </c>
      <c r="BG219" s="86">
        <v>13.129</v>
      </c>
      <c r="BH219" s="86">
        <f>30.228-BG219</f>
        <v>17.099000000000004</v>
      </c>
      <c r="BI219" s="86">
        <f>61.072-SUM(BG219:BH219)</f>
        <v>30.844000000000001</v>
      </c>
      <c r="BJ219" s="86">
        <f>97.333-SUM(BG219:BI219)</f>
        <v>36.260999999999996</v>
      </c>
      <c r="BK219" s="86">
        <v>38.295000000000002</v>
      </c>
      <c r="BL219" s="86">
        <f>60.906-BK219</f>
        <v>22.610999999999997</v>
      </c>
      <c r="BM219" s="86">
        <f>117.373-SUM(BK219:BL219)</f>
        <v>56.467000000000006</v>
      </c>
      <c r="BN219" s="86">
        <f>168.481-SUM(BK219:BM219)</f>
        <v>51.10799999999999</v>
      </c>
      <c r="BO219" s="86">
        <f>48.97</f>
        <v>48.97</v>
      </c>
      <c r="BP219" s="86">
        <f>93.916-BO219</f>
        <v>44.945999999999998</v>
      </c>
      <c r="BQ219" s="86">
        <f>93.916-BP219</f>
        <v>48.97</v>
      </c>
      <c r="BU219" s="87"/>
      <c r="BV219" s="87"/>
      <c r="CG219" s="90">
        <f>SUM(AA219:AD219)</f>
        <v>-20.6</v>
      </c>
      <c r="CH219" s="90">
        <f>SUM(AE219:AH219)</f>
        <v>-12.899999999999999</v>
      </c>
      <c r="CI219" s="90">
        <f>SUM(AI219:AL219)</f>
        <v>12.700000000000001</v>
      </c>
      <c r="CJ219" s="90">
        <f>SUM(AM219:AP219)</f>
        <v>28.7</v>
      </c>
      <c r="CK219" s="90">
        <v>26.652000000000001</v>
      </c>
      <c r="CL219" s="90">
        <f>SUM(AU219:AX219)</f>
        <v>-33.241999999999997</v>
      </c>
      <c r="CM219" s="86">
        <f>SUM(AY219:BB219)</f>
        <v>9.5020000000000007</v>
      </c>
      <c r="CN219" s="86">
        <f>SUM(BC219:BF219)</f>
        <v>-55.661000000000001</v>
      </c>
      <c r="CO219" s="86">
        <f>SUM(BG219:BJ219)</f>
        <v>97.332999999999998</v>
      </c>
      <c r="CP219" s="86">
        <f>SUM(BK219:BN219)</f>
        <v>168.48099999999999</v>
      </c>
      <c r="CQ219" s="94">
        <v>193</v>
      </c>
      <c r="CR219" s="84"/>
      <c r="CS219" s="84"/>
      <c r="CT219" s="84"/>
      <c r="CU219" s="84"/>
      <c r="CV219" s="84"/>
      <c r="CW219" s="84"/>
      <c r="CX219" s="84"/>
      <c r="CY219" s="84"/>
      <c r="CZ219" s="84"/>
      <c r="DB219" s="87"/>
      <c r="DC219" s="87"/>
      <c r="DD219" s="87"/>
      <c r="DE219" s="87"/>
      <c r="DF219" s="87"/>
      <c r="DG219" s="87"/>
      <c r="DH219" s="87"/>
      <c r="DI219" s="87"/>
      <c r="DJ219" s="87"/>
      <c r="DK219" s="87"/>
      <c r="DL219" s="87"/>
      <c r="DM219" s="87"/>
      <c r="DN219" s="87"/>
      <c r="DO219" s="87"/>
      <c r="DP219" s="87"/>
      <c r="DQ219" s="87"/>
    </row>
    <row r="220" spans="2:150" s="83" customFormat="1" ht="13.5" customHeight="1">
      <c r="B220" s="83" t="s">
        <v>2455</v>
      </c>
      <c r="AA220" s="90">
        <v>-1.3</v>
      </c>
      <c r="AB220" s="90">
        <v>-1.8</v>
      </c>
      <c r="AC220" s="90">
        <v>-1.4</v>
      </c>
      <c r="AD220" s="90">
        <v>-1</v>
      </c>
      <c r="AE220" s="90">
        <v>-1.1000000000000001</v>
      </c>
      <c r="AF220" s="90">
        <v>-2.6</v>
      </c>
      <c r="AG220" s="90">
        <v>-3.4</v>
      </c>
      <c r="AH220" s="90">
        <v>-6.6</v>
      </c>
      <c r="AI220" s="90">
        <v>-3.2</v>
      </c>
      <c r="AJ220" s="90">
        <v>-2.2000000000000002</v>
      </c>
      <c r="AK220" s="90">
        <v>-1.4</v>
      </c>
      <c r="AL220" s="90">
        <v>-5.7</v>
      </c>
      <c r="AM220" s="90">
        <v>-2.8</v>
      </c>
      <c r="AN220" s="90">
        <v>-2.2999999999999998</v>
      </c>
      <c r="AO220" s="90">
        <v>-1.5</v>
      </c>
      <c r="AP220" s="90">
        <v>-3</v>
      </c>
      <c r="AQ220" s="90">
        <v>-2.5</v>
      </c>
      <c r="AR220" s="90">
        <v>-3.7</v>
      </c>
      <c r="AS220" s="90">
        <v>-7.9</v>
      </c>
      <c r="AT220" s="90">
        <v>-8</v>
      </c>
      <c r="AU220" s="90">
        <v>-10.131</v>
      </c>
      <c r="AV220" s="90">
        <f>-16.85-AU220</f>
        <v>-6.7190000000000012</v>
      </c>
      <c r="AW220" s="90">
        <f>-21.003-SUM(AU220:AV220)</f>
        <v>-4.1529999999999987</v>
      </c>
      <c r="AX220" s="90">
        <f>-24.756-SUM(AU220:AW220)</f>
        <v>-3.7530000000000001</v>
      </c>
      <c r="AY220" s="90">
        <v>-3.9910000000000001</v>
      </c>
      <c r="AZ220" s="90">
        <f>-7.286-AY220</f>
        <v>-3.2949999999999995</v>
      </c>
      <c r="BA220" s="90">
        <f>-13.088-SUM(AY220:AZ220)</f>
        <v>-5.8019999999999996</v>
      </c>
      <c r="BB220" s="90">
        <f>-21.18-SUM(AY220:BA220)</f>
        <v>-8.0920000000000005</v>
      </c>
      <c r="BC220" s="90">
        <v>-4.9569999999999999</v>
      </c>
      <c r="BD220" s="90">
        <f>-9.388-BC220</f>
        <v>-4.431</v>
      </c>
      <c r="BE220" s="90">
        <f>-15.736-SUM(BC220:BD220)</f>
        <v>-6.3480000000000008</v>
      </c>
      <c r="BF220" s="90">
        <f>-19.298-SUM(BC220:BE220)</f>
        <v>-3.5619999999999976</v>
      </c>
      <c r="BG220" s="90">
        <v>-3.8940000000000001</v>
      </c>
      <c r="BH220" s="90">
        <f>-8.236-BG220</f>
        <v>-4.3420000000000005</v>
      </c>
      <c r="BI220" s="90">
        <f>-12.568-SUM(BG220:BH220)</f>
        <v>-4.331999999999999</v>
      </c>
      <c r="BJ220" s="90">
        <f>-16.213-SUM(BG220:BI220)</f>
        <v>-3.6450000000000014</v>
      </c>
      <c r="BK220" s="90">
        <v>-5.8239999999999998</v>
      </c>
      <c r="BL220" s="90">
        <f>-10.36-BK220</f>
        <v>-4.5359999999999996</v>
      </c>
      <c r="BM220" s="90">
        <f>-15.811-SUM(BK220:BL220)</f>
        <v>-5.4510000000000005</v>
      </c>
      <c r="BN220" s="90">
        <f>-21.182-SUM(BK220:BM220)</f>
        <v>-5.3709999999999987</v>
      </c>
      <c r="BO220" s="90">
        <f>-13.467</f>
        <v>-13.467000000000001</v>
      </c>
      <c r="BP220" s="90">
        <f>-29.046-BO220</f>
        <v>-15.578999999999999</v>
      </c>
      <c r="BQ220" s="90">
        <f>-29.046-BP220</f>
        <v>-13.467000000000001</v>
      </c>
      <c r="BR220" s="85"/>
      <c r="BS220" s="85"/>
      <c r="BT220" s="85"/>
      <c r="BU220" s="87"/>
      <c r="BV220" s="87"/>
      <c r="CG220" s="90">
        <f>SUM(AA220:AD220)</f>
        <v>-5.5</v>
      </c>
      <c r="CH220" s="90">
        <f>SUM(AE220:AH220)</f>
        <v>-13.7</v>
      </c>
      <c r="CI220" s="90">
        <f>SUM(AI220:AL220)</f>
        <v>-12.5</v>
      </c>
      <c r="CJ220" s="90">
        <f>SUM(AM220:AP220)</f>
        <v>-9.6</v>
      </c>
      <c r="CK220" s="90">
        <v>-22.109000000000002</v>
      </c>
      <c r="CL220" s="90">
        <f>SUM(AU220:AX220)</f>
        <v>-24.756</v>
      </c>
      <c r="CM220" s="90">
        <f>SUM(AY220:BB220)</f>
        <v>-21.18</v>
      </c>
      <c r="CN220" s="90">
        <f>SUM(BC220:BF220)</f>
        <v>-19.297999999999998</v>
      </c>
      <c r="CO220" s="90">
        <f>SUM(BG220:BJ220)</f>
        <v>-16.213000000000001</v>
      </c>
      <c r="CP220" s="90">
        <f>SUM(BK220:BN220)</f>
        <v>-21.181999999999999</v>
      </c>
      <c r="CQ220" s="91"/>
      <c r="CR220" s="91"/>
      <c r="CS220" s="84"/>
      <c r="CT220" s="84"/>
      <c r="CU220" s="84"/>
      <c r="CV220" s="84"/>
      <c r="CW220" s="84"/>
      <c r="CX220" s="84"/>
      <c r="CY220" s="84"/>
      <c r="CZ220" s="84"/>
      <c r="DA220" s="84"/>
      <c r="DB220" s="84"/>
      <c r="DC220" s="84"/>
      <c r="DD220" s="84"/>
      <c r="DE220" s="84"/>
      <c r="DF220" s="84"/>
      <c r="DG220" s="84"/>
      <c r="DH220" s="84"/>
      <c r="DI220" s="84"/>
      <c r="DJ220" s="84"/>
      <c r="DK220" s="84"/>
      <c r="DL220" s="84"/>
      <c r="DM220" s="84"/>
      <c r="DN220" s="84"/>
      <c r="DO220" s="84"/>
      <c r="DP220" s="84"/>
      <c r="DQ220" s="84"/>
    </row>
    <row r="221" spans="2:150" s="85" customFormat="1" ht="13.5" customHeight="1">
      <c r="B221" s="85" t="s">
        <v>152</v>
      </c>
      <c r="AA221" s="86">
        <f t="shared" ref="AA221:BM221" si="335">AA219+AA220</f>
        <v>-4</v>
      </c>
      <c r="AB221" s="86">
        <f t="shared" si="335"/>
        <v>-7.3999999999999995</v>
      </c>
      <c r="AC221" s="86">
        <f t="shared" si="335"/>
        <v>-5.6999999999999993</v>
      </c>
      <c r="AD221" s="86">
        <f t="shared" si="335"/>
        <v>-9</v>
      </c>
      <c r="AE221" s="86">
        <f t="shared" si="335"/>
        <v>-3.2</v>
      </c>
      <c r="AF221" s="86">
        <f t="shared" si="335"/>
        <v>-8.6999999999999993</v>
      </c>
      <c r="AG221" s="86">
        <f t="shared" si="335"/>
        <v>2.3000000000000003</v>
      </c>
      <c r="AH221" s="86">
        <f t="shared" si="335"/>
        <v>-17</v>
      </c>
      <c r="AI221" s="86">
        <f t="shared" si="335"/>
        <v>-1</v>
      </c>
      <c r="AJ221" s="86">
        <f t="shared" si="335"/>
        <v>-1.6</v>
      </c>
      <c r="AK221" s="86">
        <f t="shared" si="335"/>
        <v>9.4</v>
      </c>
      <c r="AL221" s="86">
        <f t="shared" si="335"/>
        <v>-6.6000000000000005</v>
      </c>
      <c r="AM221" s="86">
        <f t="shared" si="335"/>
        <v>7.8999999999999995</v>
      </c>
      <c r="AN221" s="86">
        <f t="shared" si="335"/>
        <v>-2.1999999999999997</v>
      </c>
      <c r="AO221" s="86">
        <f t="shared" si="335"/>
        <v>8.9</v>
      </c>
      <c r="AP221" s="86">
        <f t="shared" si="335"/>
        <v>4.5</v>
      </c>
      <c r="AQ221" s="86">
        <f t="shared" si="335"/>
        <v>-4.5999999999999996</v>
      </c>
      <c r="AR221" s="86">
        <f t="shared" si="335"/>
        <v>-1.8000000000000003</v>
      </c>
      <c r="AS221" s="86">
        <f t="shared" si="335"/>
        <v>14.1</v>
      </c>
      <c r="AT221" s="86">
        <f t="shared" si="335"/>
        <v>-3.2</v>
      </c>
      <c r="AU221" s="86">
        <f t="shared" si="335"/>
        <v>-16.051000000000002</v>
      </c>
      <c r="AV221" s="86">
        <f t="shared" si="335"/>
        <v>-28.408000000000001</v>
      </c>
      <c r="AW221" s="86">
        <f t="shared" si="335"/>
        <v>-7.7029999999999959</v>
      </c>
      <c r="AX221" s="86">
        <f t="shared" si="335"/>
        <v>-5.8359999999999985</v>
      </c>
      <c r="AY221" s="86">
        <f t="shared" si="335"/>
        <v>-18.359000000000002</v>
      </c>
      <c r="AZ221" s="86">
        <f t="shared" si="335"/>
        <v>-6.6050000000000004</v>
      </c>
      <c r="BA221" s="86">
        <f t="shared" si="335"/>
        <v>30.648000000000003</v>
      </c>
      <c r="BB221" s="86">
        <f t="shared" si="335"/>
        <v>-17.362000000000002</v>
      </c>
      <c r="BC221" s="86">
        <f t="shared" si="335"/>
        <v>-9.4710000000000001</v>
      </c>
      <c r="BD221" s="86">
        <f t="shared" si="335"/>
        <v>-44.005999999999993</v>
      </c>
      <c r="BE221" s="86">
        <f t="shared" si="335"/>
        <v>-19.256999999999998</v>
      </c>
      <c r="BF221" s="86">
        <f t="shared" si="335"/>
        <v>-2.2250000000000014</v>
      </c>
      <c r="BG221" s="86">
        <f t="shared" si="335"/>
        <v>9.2349999999999994</v>
      </c>
      <c r="BH221" s="86">
        <f t="shared" si="335"/>
        <v>12.757000000000003</v>
      </c>
      <c r="BI221" s="86">
        <f t="shared" si="335"/>
        <v>26.512</v>
      </c>
      <c r="BJ221" s="86">
        <f t="shared" si="335"/>
        <v>32.615999999999993</v>
      </c>
      <c r="BK221" s="86">
        <f t="shared" si="335"/>
        <v>32.471000000000004</v>
      </c>
      <c r="BL221" s="86">
        <f t="shared" si="335"/>
        <v>18.074999999999996</v>
      </c>
      <c r="BM221" s="86">
        <f t="shared" si="335"/>
        <v>51.016000000000005</v>
      </c>
      <c r="BN221" s="86">
        <f>BN219+BN220</f>
        <v>45.736999999999995</v>
      </c>
      <c r="BO221" s="86">
        <f t="shared" ref="BO221:BQ221" si="336">BO219+BO220</f>
        <v>35.503</v>
      </c>
      <c r="BP221" s="86">
        <f t="shared" si="336"/>
        <v>29.366999999999997</v>
      </c>
      <c r="BQ221" s="86">
        <f t="shared" si="336"/>
        <v>35.503</v>
      </c>
      <c r="BU221" s="87"/>
      <c r="BV221" s="87"/>
      <c r="CG221" s="86">
        <f t="shared" ref="CG221:CP221" si="337">CG219+CG220</f>
        <v>-26.1</v>
      </c>
      <c r="CH221" s="86">
        <f t="shared" si="337"/>
        <v>-26.599999999999998</v>
      </c>
      <c r="CI221" s="86">
        <f t="shared" si="337"/>
        <v>0.20000000000000107</v>
      </c>
      <c r="CJ221" s="86">
        <f t="shared" si="337"/>
        <v>19.100000000000001</v>
      </c>
      <c r="CK221" s="86">
        <f t="shared" si="337"/>
        <v>4.5429999999999993</v>
      </c>
      <c r="CL221" s="86">
        <f t="shared" si="337"/>
        <v>-57.997999999999998</v>
      </c>
      <c r="CM221" s="86">
        <f t="shared" si="337"/>
        <v>-11.677999999999999</v>
      </c>
      <c r="CN221" s="86">
        <f t="shared" si="337"/>
        <v>-74.959000000000003</v>
      </c>
      <c r="CO221" s="86">
        <f t="shared" si="337"/>
        <v>81.12</v>
      </c>
      <c r="CP221" s="86">
        <f t="shared" si="337"/>
        <v>147.29900000000001</v>
      </c>
      <c r="CQ221" s="94">
        <v>150</v>
      </c>
      <c r="CR221" s="84"/>
      <c r="CS221" s="84"/>
      <c r="CT221" s="84"/>
      <c r="CU221" s="84"/>
      <c r="CV221" s="84"/>
      <c r="CW221" s="84"/>
      <c r="CX221" s="84"/>
      <c r="CY221" s="84"/>
      <c r="CZ221" s="84"/>
      <c r="DB221" s="87"/>
      <c r="DC221" s="87"/>
      <c r="DD221" s="87"/>
      <c r="DE221" s="87"/>
      <c r="DF221" s="87"/>
      <c r="DG221" s="87"/>
      <c r="DH221" s="87"/>
      <c r="DI221" s="87"/>
      <c r="DJ221" s="87"/>
      <c r="DK221" s="87"/>
      <c r="DL221" s="87"/>
      <c r="DM221" s="87"/>
      <c r="DN221" s="87"/>
      <c r="DO221" s="87"/>
      <c r="DP221" s="87"/>
      <c r="DQ221" s="87"/>
    </row>
    <row r="222" spans="2:150" s="83" customFormat="1" ht="13.5" customHeight="1">
      <c r="B222" s="83" t="s">
        <v>1</v>
      </c>
      <c r="AA222" s="90">
        <f t="shared" ref="AA222:BQ222" si="338">AA174</f>
        <v>5</v>
      </c>
      <c r="AB222" s="90">
        <f t="shared" si="338"/>
        <v>5</v>
      </c>
      <c r="AC222" s="90">
        <f t="shared" si="338"/>
        <v>8</v>
      </c>
      <c r="AD222" s="90">
        <f t="shared" si="338"/>
        <v>12</v>
      </c>
      <c r="AE222" s="90">
        <f t="shared" si="338"/>
        <v>30</v>
      </c>
      <c r="AF222" s="90">
        <f t="shared" si="338"/>
        <v>30</v>
      </c>
      <c r="AG222" s="90">
        <f t="shared" si="338"/>
        <v>31</v>
      </c>
      <c r="AH222" s="90">
        <f t="shared" si="338"/>
        <v>30</v>
      </c>
      <c r="AI222" s="90">
        <f t="shared" si="338"/>
        <v>32</v>
      </c>
      <c r="AJ222" s="90">
        <f t="shared" si="338"/>
        <v>33</v>
      </c>
      <c r="AK222" s="90">
        <f t="shared" si="338"/>
        <v>33</v>
      </c>
      <c r="AL222" s="90">
        <f t="shared" si="338"/>
        <v>33</v>
      </c>
      <c r="AM222" s="90">
        <f t="shared" si="338"/>
        <v>34</v>
      </c>
      <c r="AN222" s="90">
        <f t="shared" si="338"/>
        <v>34</v>
      </c>
      <c r="AO222" s="90">
        <f t="shared" si="338"/>
        <v>34</v>
      </c>
      <c r="AP222" s="90">
        <f t="shared" si="338"/>
        <v>34</v>
      </c>
      <c r="AQ222" s="90">
        <f t="shared" si="338"/>
        <v>34.506999999999998</v>
      </c>
      <c r="AR222" s="90">
        <f t="shared" si="338"/>
        <v>34.694000000000003</v>
      </c>
      <c r="AS222" s="90">
        <f t="shared" si="338"/>
        <v>34.840000000000003</v>
      </c>
      <c r="AT222" s="90">
        <f t="shared" si="338"/>
        <v>35</v>
      </c>
      <c r="AU222" s="90">
        <f t="shared" si="338"/>
        <v>35</v>
      </c>
      <c r="AV222" s="90">
        <f t="shared" si="338"/>
        <v>35.4</v>
      </c>
      <c r="AW222" s="90">
        <f t="shared" si="338"/>
        <v>36.207000000000001</v>
      </c>
      <c r="AX222" s="90">
        <f t="shared" si="338"/>
        <v>37.651000000000003</v>
      </c>
      <c r="AY222" s="90">
        <f t="shared" si="338"/>
        <v>36.454999999999998</v>
      </c>
      <c r="AZ222" s="90">
        <f t="shared" si="338"/>
        <v>36.523000000000003</v>
      </c>
      <c r="BA222" s="90">
        <f t="shared" si="338"/>
        <v>36.616999999999997</v>
      </c>
      <c r="BB222" s="90">
        <f t="shared" si="338"/>
        <v>36.700000000000003</v>
      </c>
      <c r="BC222" s="90">
        <f t="shared" si="338"/>
        <v>37.646000000000001</v>
      </c>
      <c r="BD222" s="90">
        <f t="shared" si="338"/>
        <v>37.767000000000003</v>
      </c>
      <c r="BE222" s="90">
        <f t="shared" si="338"/>
        <v>37.917999999999999</v>
      </c>
      <c r="BF222" s="90">
        <f t="shared" si="338"/>
        <v>37.841000000000001</v>
      </c>
      <c r="BG222" s="90">
        <f t="shared" si="338"/>
        <v>39.07</v>
      </c>
      <c r="BH222" s="90">
        <f t="shared" si="338"/>
        <v>38.15</v>
      </c>
      <c r="BI222" s="90">
        <f t="shared" si="338"/>
        <v>38.956000000000003</v>
      </c>
      <c r="BJ222" s="90">
        <f t="shared" si="338"/>
        <v>38.4</v>
      </c>
      <c r="BK222" s="90">
        <f t="shared" si="338"/>
        <v>39.299999999999997</v>
      </c>
      <c r="BL222" s="90">
        <f t="shared" si="338"/>
        <v>38.799999999999997</v>
      </c>
      <c r="BM222" s="90">
        <f t="shared" si="338"/>
        <v>38.6</v>
      </c>
      <c r="BN222" s="90">
        <f t="shared" si="338"/>
        <v>38.630000000000003</v>
      </c>
      <c r="BO222" s="90">
        <f t="shared" si="338"/>
        <v>38.561999999999998</v>
      </c>
      <c r="BP222" s="90">
        <f t="shared" si="338"/>
        <v>38.834000000000003</v>
      </c>
      <c r="BQ222" s="90">
        <f t="shared" si="338"/>
        <v>39.078000000000003</v>
      </c>
      <c r="BR222" s="85"/>
      <c r="BS222" s="85"/>
      <c r="BT222" s="85"/>
      <c r="BU222" s="87"/>
      <c r="BV222" s="87"/>
      <c r="CG222" s="90">
        <f t="shared" ref="CG222:CI222" si="339">CG174</f>
        <v>12</v>
      </c>
      <c r="CH222" s="90">
        <f t="shared" si="339"/>
        <v>31</v>
      </c>
      <c r="CI222" s="90">
        <f t="shared" si="339"/>
        <v>33</v>
      </c>
      <c r="CJ222" s="90">
        <f>CJ174</f>
        <v>34</v>
      </c>
      <c r="CK222" s="90">
        <f>CK174</f>
        <v>34.799999999999997</v>
      </c>
      <c r="CL222" s="90">
        <f>CL174</f>
        <v>35.5</v>
      </c>
      <c r="CM222" s="90">
        <f>BB222</f>
        <v>36.700000000000003</v>
      </c>
      <c r="CN222" s="90">
        <f>BF222</f>
        <v>37.841000000000001</v>
      </c>
      <c r="CO222" s="90">
        <f>BJ222</f>
        <v>38.4</v>
      </c>
      <c r="CP222" s="90">
        <f>BN222</f>
        <v>38.630000000000003</v>
      </c>
      <c r="CQ222" s="84"/>
      <c r="CR222" s="84"/>
      <c r="CS222" s="84"/>
      <c r="CT222" s="84"/>
      <c r="CU222" s="84"/>
      <c r="CV222" s="84"/>
      <c r="CW222" s="84"/>
      <c r="CX222" s="84"/>
      <c r="CY222" s="84"/>
      <c r="CZ222" s="84"/>
      <c r="DA222" s="84"/>
      <c r="DB222" s="84"/>
      <c r="DC222" s="84"/>
      <c r="DD222" s="84"/>
      <c r="DE222" s="84"/>
      <c r="DF222" s="84"/>
      <c r="DG222" s="84"/>
      <c r="DH222" s="84"/>
      <c r="DI222" s="84"/>
      <c r="DJ222" s="84"/>
      <c r="DK222" s="84"/>
      <c r="DL222" s="84"/>
      <c r="DM222" s="84"/>
      <c r="DN222" s="84"/>
      <c r="DO222" s="84"/>
      <c r="DP222" s="84"/>
      <c r="DQ222" s="84"/>
    </row>
    <row r="223" spans="2:150" s="83" customFormat="1" ht="13.5" customHeight="1">
      <c r="B223" s="83" t="s">
        <v>153</v>
      </c>
      <c r="AA223" s="101">
        <f t="shared" ref="AA223:BM223" si="340">AA221/AA222</f>
        <v>-0.8</v>
      </c>
      <c r="AB223" s="101">
        <f t="shared" si="340"/>
        <v>-1.48</v>
      </c>
      <c r="AC223" s="101">
        <f t="shared" si="340"/>
        <v>-0.71249999999999991</v>
      </c>
      <c r="AD223" s="101">
        <f t="shared" si="340"/>
        <v>-0.75</v>
      </c>
      <c r="AE223" s="101">
        <f t="shared" si="340"/>
        <v>-0.10666666666666667</v>
      </c>
      <c r="AF223" s="101">
        <f t="shared" si="340"/>
        <v>-0.28999999999999998</v>
      </c>
      <c r="AG223" s="101">
        <f t="shared" si="340"/>
        <v>7.4193548387096783E-2</v>
      </c>
      <c r="AH223" s="101">
        <f t="shared" si="340"/>
        <v>-0.56666666666666665</v>
      </c>
      <c r="AI223" s="101">
        <f t="shared" si="340"/>
        <v>-3.125E-2</v>
      </c>
      <c r="AJ223" s="101">
        <f t="shared" si="340"/>
        <v>-4.8484848484848485E-2</v>
      </c>
      <c r="AK223" s="101">
        <f t="shared" si="340"/>
        <v>0.28484848484848485</v>
      </c>
      <c r="AL223" s="101">
        <f t="shared" si="340"/>
        <v>-0.2</v>
      </c>
      <c r="AM223" s="101">
        <f t="shared" si="340"/>
        <v>0.23235294117647057</v>
      </c>
      <c r="AN223" s="101">
        <f t="shared" si="340"/>
        <v>-6.4705882352941169E-2</v>
      </c>
      <c r="AO223" s="101">
        <f t="shared" si="340"/>
        <v>0.26176470588235295</v>
      </c>
      <c r="AP223" s="101">
        <f t="shared" si="340"/>
        <v>0.13235294117647059</v>
      </c>
      <c r="AQ223" s="101">
        <f t="shared" si="340"/>
        <v>-0.13330628568116615</v>
      </c>
      <c r="AR223" s="101">
        <f t="shared" si="340"/>
        <v>-5.1882169827635903E-2</v>
      </c>
      <c r="AS223" s="101">
        <f t="shared" si="340"/>
        <v>0.40470723306544198</v>
      </c>
      <c r="AT223" s="101">
        <f t="shared" si="340"/>
        <v>-9.1428571428571428E-2</v>
      </c>
      <c r="AU223" s="101">
        <f t="shared" si="340"/>
        <v>-0.45860000000000006</v>
      </c>
      <c r="AV223" s="101">
        <f t="shared" si="340"/>
        <v>-0.80248587570621477</v>
      </c>
      <c r="AW223" s="101">
        <f t="shared" si="340"/>
        <v>-0.2127489159554781</v>
      </c>
      <c r="AX223" s="101">
        <f t="shared" si="340"/>
        <v>-0.15500252317335525</v>
      </c>
      <c r="AY223" s="101">
        <f t="shared" si="340"/>
        <v>-0.50360718694280626</v>
      </c>
      <c r="AZ223" s="101">
        <f t="shared" si="340"/>
        <v>-0.18084494701968623</v>
      </c>
      <c r="BA223" s="101">
        <f t="shared" si="340"/>
        <v>0.83698828413032211</v>
      </c>
      <c r="BB223" s="101">
        <f t="shared" si="340"/>
        <v>-0.47307901907356947</v>
      </c>
      <c r="BC223" s="101">
        <f t="shared" si="340"/>
        <v>-0.25158051320193381</v>
      </c>
      <c r="BD223" s="101">
        <f t="shared" si="340"/>
        <v>-1.1651971297693751</v>
      </c>
      <c r="BE223" s="101">
        <f t="shared" si="340"/>
        <v>-0.50785906429664007</v>
      </c>
      <c r="BF223" s="101">
        <f t="shared" si="340"/>
        <v>-5.8798657540762703E-2</v>
      </c>
      <c r="BG223" s="101">
        <f t="shared" si="340"/>
        <v>0.23637061684156641</v>
      </c>
      <c r="BH223" s="101">
        <f t="shared" si="340"/>
        <v>0.33439056356487556</v>
      </c>
      <c r="BI223" s="101">
        <f t="shared" si="340"/>
        <v>0.68056268610740323</v>
      </c>
      <c r="BJ223" s="101">
        <f t="shared" si="340"/>
        <v>0.84937499999999988</v>
      </c>
      <c r="BK223" s="101">
        <f t="shared" si="340"/>
        <v>0.82623409669211212</v>
      </c>
      <c r="BL223" s="101">
        <f t="shared" si="340"/>
        <v>0.46585051546391743</v>
      </c>
      <c r="BM223" s="101">
        <f t="shared" si="340"/>
        <v>1.321658031088083</v>
      </c>
      <c r="BN223" s="101">
        <f>BN221/BN222</f>
        <v>1.1839761843127101</v>
      </c>
      <c r="BO223" s="101">
        <f t="shared" ref="BO223:BQ223" si="341">BO221/BO222</f>
        <v>0.9206732015974276</v>
      </c>
      <c r="BP223" s="101">
        <f t="shared" si="341"/>
        <v>0.75621877736004517</v>
      </c>
      <c r="BQ223" s="101">
        <f t="shared" si="341"/>
        <v>0.90851630073186951</v>
      </c>
      <c r="BR223" s="85"/>
      <c r="BS223" s="85"/>
      <c r="BT223" s="85"/>
      <c r="BU223" s="87"/>
      <c r="BV223" s="87"/>
      <c r="CG223" s="101">
        <f t="shared" ref="CG223:CO223" si="342">CG221/CG222</f>
        <v>-2.1750000000000003</v>
      </c>
      <c r="CH223" s="101">
        <f t="shared" si="342"/>
        <v>-0.85806451612903223</v>
      </c>
      <c r="CI223" s="101">
        <f t="shared" si="342"/>
        <v>6.0606060606060927E-3</v>
      </c>
      <c r="CJ223" s="101">
        <f t="shared" si="342"/>
        <v>0.56176470588235294</v>
      </c>
      <c r="CK223" s="101">
        <f t="shared" si="342"/>
        <v>0.13054597701149423</v>
      </c>
      <c r="CL223" s="101">
        <f t="shared" si="342"/>
        <v>-1.6337464788732394</v>
      </c>
      <c r="CM223" s="101">
        <f t="shared" si="342"/>
        <v>-0.31820163487738412</v>
      </c>
      <c r="CN223" s="101">
        <f t="shared" si="342"/>
        <v>-1.9808937395946196</v>
      </c>
      <c r="CO223" s="101">
        <f t="shared" si="342"/>
        <v>2.1125000000000003</v>
      </c>
      <c r="CP223" s="101">
        <f>CP221/CP222</f>
        <v>3.8130727413926997</v>
      </c>
      <c r="CQ223" s="84"/>
      <c r="CR223" s="84"/>
      <c r="CS223" s="84"/>
      <c r="CT223" s="84"/>
      <c r="CU223" s="84"/>
      <c r="CV223" s="84"/>
      <c r="CW223" s="84"/>
      <c r="CX223" s="84"/>
      <c r="CY223" s="84"/>
      <c r="CZ223" s="84"/>
      <c r="DA223" s="84"/>
      <c r="DB223" s="84"/>
      <c r="DC223" s="84"/>
      <c r="DD223" s="84"/>
      <c r="DE223" s="84"/>
      <c r="DF223" s="84"/>
      <c r="DG223" s="84"/>
      <c r="DH223" s="84"/>
      <c r="DI223" s="84"/>
      <c r="DJ223" s="84"/>
      <c r="DK223" s="84"/>
      <c r="DL223" s="84"/>
      <c r="DM223" s="84"/>
      <c r="DN223" s="84"/>
      <c r="DO223" s="84"/>
      <c r="DP223" s="84"/>
      <c r="DQ223" s="84"/>
    </row>
    <row r="224" spans="2:150">
      <c r="CR224" s="1"/>
      <c r="CS224" s="1"/>
      <c r="CT224" s="1"/>
      <c r="CU224" s="1"/>
      <c r="CV224" s="1"/>
      <c r="CW224" s="1"/>
      <c r="EQ224" s="57"/>
      <c r="ER224" s="57"/>
      <c r="ES224" s="57"/>
      <c r="ET224" s="57"/>
    </row>
    <row r="225" spans="96:150">
      <c r="CR225" s="1"/>
      <c r="CS225" s="1"/>
      <c r="CT225" s="1"/>
      <c r="CU225" s="1"/>
      <c r="CV225" s="1"/>
      <c r="CW225" s="1"/>
      <c r="EQ225" s="57"/>
      <c r="ER225" s="57"/>
      <c r="ES225" s="57"/>
      <c r="ET225" s="57"/>
    </row>
  </sheetData>
  <mergeCells count="2">
    <mergeCell ref="DJ93:DK93"/>
    <mergeCell ref="DJ196:DK196"/>
  </mergeCells>
  <conditionalFormatting sqref="DJ93">
    <cfRule type="colorScale" priority="7">
      <colorScale>
        <cfvo type="min"/>
        <cfvo type="percentile" val="50"/>
        <cfvo type="max"/>
        <color rgb="FFF8696B"/>
        <color rgb="FFFCFCFF"/>
        <color rgb="FF63BE7B"/>
      </colorScale>
    </cfRule>
    <cfRule type="containsText" dxfId="9" priority="8" operator="containsText" text="Strong Sell">
      <formula>NOT(ISERROR(SEARCH("Strong Sell",DJ93)))</formula>
    </cfRule>
    <cfRule type="containsText" dxfId="8" priority="9" operator="containsText" text="Sell">
      <formula>NOT(ISERROR(SEARCH("Sell",DJ93)))</formula>
    </cfRule>
    <cfRule type="containsText" dxfId="7" priority="10" operator="containsText" text="Hold">
      <formula>NOT(ISERROR(SEARCH("Hold",DJ93)))</formula>
    </cfRule>
    <cfRule type="beginsWith" dxfId="6" priority="11" operator="beginsWith" text="Buy">
      <formula>LEFT(DJ93,LEN("Buy"))="Buy"</formula>
    </cfRule>
    <cfRule type="beginsWith" dxfId="5" priority="12" operator="beginsWith" text="Strong">
      <formula>LEFT(DJ93,LEN("Strong"))="Strong"</formula>
    </cfRule>
  </conditionalFormatting>
  <conditionalFormatting sqref="DJ196">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Sell",DJ196)))</formula>
    </cfRule>
    <cfRule type="containsText" dxfId="3" priority="3" operator="containsText" text="Sell">
      <formula>NOT(ISERROR(SEARCH("Sell",DJ196)))</formula>
    </cfRule>
    <cfRule type="containsText" dxfId="2" priority="4" operator="containsText" text="Hold">
      <formula>NOT(ISERROR(SEARCH("Hold",DJ196)))</formula>
    </cfRule>
    <cfRule type="beginsWith" dxfId="1" priority="5" operator="beginsWith" text="Buy">
      <formula>LEFT(DJ196,LEN("Buy"))="Buy"</formula>
    </cfRule>
    <cfRule type="beginsWith" dxfId="0" priority="6" operator="beginsWith" text="Strong">
      <formula>LEFT(DJ196,LEN("Strong"))="Strong"</formula>
    </cfRule>
  </conditionalFormatting>
  <pageMargins left="0.7" right="0.7" top="0.75" bottom="0.75" header="0.3" footer="0.3"/>
  <ignoredErrors>
    <ignoredError sqref="CI7:CP12 CR7:DA12" formula="1"/>
    <ignoredError sqref="CQ7:CQ12 CQ15 CL71:CQ71" formula="1" formulaRange="1"/>
    <ignoredError sqref="CQ4:CQ6 CQ13 CA50:DA50 CA72:DA72 CA71:CK71 CR71:DA71 CQ14 CA52:DA63 CA51:CP51 CQ51:DA51 AM113:BS122 CA65:DA70 CA64:CQ64 CS64:DA64" formulaRange="1"/>
  </ignoredErrors>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20B-86E4-4271-A65B-3362B1B3C1E1}">
  <dimension ref="A1:BU2123"/>
  <sheetViews>
    <sheetView topLeftCell="H1" zoomScale="70" zoomScaleNormal="70" workbookViewId="0">
      <selection activeCell="G199" sqref="A1:G1048576"/>
    </sheetView>
  </sheetViews>
  <sheetFormatPr defaultColWidth="9.140625" defaultRowHeight="14.25"/>
  <cols>
    <col min="1" max="7" width="9.140625" style="1" hidden="1" customWidth="1"/>
    <col min="8" max="8" width="3.140625" style="1" customWidth="1"/>
    <col min="9" max="10" width="9.28515625" style="1" customWidth="1"/>
    <col min="11" max="13" width="10" style="1" bestFit="1" customWidth="1"/>
    <col min="14" max="14" width="10" style="1" customWidth="1"/>
    <col min="15" max="21" width="10" style="1" bestFit="1" customWidth="1"/>
    <col min="22" max="25" width="9.28515625" style="1" bestFit="1" customWidth="1"/>
    <col min="26" max="29" width="9.140625" style="1"/>
    <col min="30" max="30" width="3.42578125" style="1" customWidth="1"/>
    <col min="31" max="35" width="9.140625" style="1"/>
    <col min="36" max="36" width="10" style="1" bestFit="1" customWidth="1"/>
    <col min="37" max="51" width="9.28515625" style="1" bestFit="1" customWidth="1"/>
    <col min="52" max="52" width="9.28515625" style="1" customWidth="1"/>
    <col min="53" max="53" width="9.28515625" style="1" bestFit="1" customWidth="1"/>
    <col min="54" max="16384" width="9.140625" style="1"/>
  </cols>
  <sheetData>
    <row r="1" spans="8:73">
      <c r="BU1" s="1">
        <v>0</v>
      </c>
    </row>
    <row r="2" spans="8:73" ht="15">
      <c r="H2" s="3" t="s">
        <v>2333</v>
      </c>
      <c r="AE2" s="1" t="s">
        <v>164</v>
      </c>
    </row>
    <row r="3" spans="8:73">
      <c r="AF3" s="1" t="s">
        <v>165</v>
      </c>
    </row>
    <row r="4" spans="8:73">
      <c r="AF4" s="1" t="s">
        <v>166</v>
      </c>
    </row>
    <row r="5" spans="8:73">
      <c r="AF5" s="1" t="s">
        <v>2288</v>
      </c>
    </row>
    <row r="6" spans="8:73">
      <c r="AF6" s="1" t="s">
        <v>167</v>
      </c>
    </row>
    <row r="8" spans="8:73">
      <c r="AE8" s="1" t="s">
        <v>171</v>
      </c>
    </row>
    <row r="9" spans="8:73">
      <c r="AF9" s="1" t="s">
        <v>2289</v>
      </c>
    </row>
    <row r="10" spans="8:73">
      <c r="AF10" s="1" t="s">
        <v>2290</v>
      </c>
    </row>
    <row r="11" spans="8:73">
      <c r="AG11" s="1" t="s">
        <v>168</v>
      </c>
    </row>
    <row r="12" spans="8:73">
      <c r="AF12" s="1" t="s">
        <v>2291</v>
      </c>
    </row>
    <row r="13" spans="8:73">
      <c r="AG13" s="1" t="s">
        <v>169</v>
      </c>
    </row>
    <row r="14" spans="8:73">
      <c r="AF14" s="1" t="s">
        <v>170</v>
      </c>
    </row>
    <row r="15" spans="8:73">
      <c r="AF15" s="1" t="s">
        <v>2312</v>
      </c>
    </row>
    <row r="17" spans="30:30" ht="15">
      <c r="AD17" s="3" t="s">
        <v>176</v>
      </c>
    </row>
    <row r="34" spans="8:10">
      <c r="I34" s="1" t="s">
        <v>2329</v>
      </c>
      <c r="J34" s="1" t="s">
        <v>2330</v>
      </c>
    </row>
    <row r="35" spans="8:10">
      <c r="J35" s="1" t="s">
        <v>2331</v>
      </c>
    </row>
    <row r="36" spans="8:10">
      <c r="J36" s="1" t="s">
        <v>2332</v>
      </c>
    </row>
    <row r="38" spans="8:10" ht="15">
      <c r="H38" s="29" t="s">
        <v>177</v>
      </c>
    </row>
    <row r="70" spans="8:30">
      <c r="I70" s="1" t="s">
        <v>2329</v>
      </c>
      <c r="J70" s="1" t="s">
        <v>2330</v>
      </c>
    </row>
    <row r="71" spans="8:30">
      <c r="J71" s="1" t="s">
        <v>2331</v>
      </c>
    </row>
    <row r="72" spans="8:30">
      <c r="J72" s="1" t="s">
        <v>2332</v>
      </c>
    </row>
    <row r="74" spans="8:30" ht="15">
      <c r="H74" s="3" t="s">
        <v>2344</v>
      </c>
      <c r="AD74" s="3" t="s">
        <v>2345</v>
      </c>
    </row>
    <row r="85" ht="13.5" customHeight="1"/>
    <row r="108" spans="8:30">
      <c r="I108" s="1" t="s">
        <v>2329</v>
      </c>
      <c r="J108" s="1" t="s">
        <v>2335</v>
      </c>
    </row>
    <row r="109" spans="8:30">
      <c r="J109" s="1" t="s">
        <v>2336</v>
      </c>
    </row>
    <row r="110" spans="8:30">
      <c r="J110" s="1" t="s">
        <v>2332</v>
      </c>
    </row>
    <row r="112" spans="8:30" ht="15">
      <c r="H112" s="3" t="s">
        <v>2344</v>
      </c>
      <c r="AD112" s="3" t="s">
        <v>2218</v>
      </c>
    </row>
    <row r="113" spans="1:7">
      <c r="A113" s="14" t="s">
        <v>432</v>
      </c>
      <c r="B113" s="14" t="s">
        <v>431</v>
      </c>
      <c r="C113" s="14" t="s">
        <v>430</v>
      </c>
      <c r="D113" s="14" t="s">
        <v>429</v>
      </c>
      <c r="E113" s="14" t="s">
        <v>428</v>
      </c>
      <c r="F113" s="14" t="s">
        <v>427</v>
      </c>
      <c r="G113" s="14" t="s">
        <v>2203</v>
      </c>
    </row>
    <row r="114" spans="1:7">
      <c r="A114" s="13">
        <v>102.74</v>
      </c>
      <c r="B114" s="13">
        <v>103.2</v>
      </c>
      <c r="C114" s="13">
        <v>101.61499999999999</v>
      </c>
      <c r="D114" s="13">
        <v>102.4</v>
      </c>
      <c r="E114" s="13">
        <v>5280884</v>
      </c>
      <c r="F114" s="13" t="s">
        <v>426</v>
      </c>
      <c r="G114" s="18">
        <f>A114/D114-1</f>
        <v>3.3203124999998668E-3</v>
      </c>
    </row>
    <row r="115" spans="1:7" ht="15" customHeight="1">
      <c r="A115" s="13">
        <v>102.18</v>
      </c>
      <c r="B115" s="13">
        <v>102.95</v>
      </c>
      <c r="C115" s="13">
        <v>101.5039</v>
      </c>
      <c r="D115" s="13">
        <v>102.5</v>
      </c>
      <c r="E115" s="13">
        <v>7815974</v>
      </c>
      <c r="F115" s="13" t="s">
        <v>425</v>
      </c>
      <c r="G115" s="18">
        <f t="shared" ref="G115:G177" si="0">A115/D115-1</f>
        <v>-3.1219512195120869E-3</v>
      </c>
    </row>
    <row r="116" spans="1:7">
      <c r="A116" s="13">
        <v>101.9</v>
      </c>
      <c r="B116" s="13">
        <v>102.15</v>
      </c>
      <c r="C116" s="13">
        <v>100.82</v>
      </c>
      <c r="D116" s="13">
        <v>101.39</v>
      </c>
      <c r="E116" s="13">
        <v>5380394</v>
      </c>
      <c r="F116" s="13" t="s">
        <v>424</v>
      </c>
      <c r="G116" s="18">
        <f t="shared" si="0"/>
        <v>5.0300818621167309E-3</v>
      </c>
    </row>
    <row r="117" spans="1:7" ht="15" customHeight="1">
      <c r="A117" s="13">
        <v>101.14</v>
      </c>
      <c r="B117" s="13">
        <v>101.675</v>
      </c>
      <c r="C117" s="13">
        <v>98.93</v>
      </c>
      <c r="D117" s="13">
        <v>99.03</v>
      </c>
      <c r="E117" s="13">
        <v>8984700</v>
      </c>
      <c r="F117" s="13" t="s">
        <v>423</v>
      </c>
      <c r="G117" s="18">
        <f t="shared" si="0"/>
        <v>2.1306674745026788E-2</v>
      </c>
    </row>
    <row r="118" spans="1:7">
      <c r="A118" s="13">
        <v>98.92</v>
      </c>
      <c r="B118" s="13">
        <v>102.37</v>
      </c>
      <c r="C118" s="13">
        <v>98.424999999999997</v>
      </c>
      <c r="D118" s="13">
        <v>100</v>
      </c>
      <c r="E118" s="13">
        <v>12865357</v>
      </c>
      <c r="F118" s="13" t="s">
        <v>422</v>
      </c>
      <c r="G118" s="18">
        <f t="shared" si="0"/>
        <v>-1.0800000000000032E-2</v>
      </c>
    </row>
    <row r="119" spans="1:7">
      <c r="A119" s="13">
        <v>95.05</v>
      </c>
      <c r="B119" s="13">
        <v>95.61</v>
      </c>
      <c r="C119" s="13">
        <v>93.35</v>
      </c>
      <c r="D119" s="13">
        <v>93.9</v>
      </c>
      <c r="E119" s="13">
        <v>8610950</v>
      </c>
      <c r="F119" s="13" t="s">
        <v>421</v>
      </c>
      <c r="G119" s="18">
        <f t="shared" si="0"/>
        <v>1.224707135250247E-2</v>
      </c>
    </row>
    <row r="120" spans="1:7">
      <c r="A120" s="13">
        <v>93.58</v>
      </c>
      <c r="B120" s="13">
        <v>95.18</v>
      </c>
      <c r="C120" s="13">
        <v>92.7</v>
      </c>
      <c r="D120" s="13">
        <v>95.05</v>
      </c>
      <c r="E120" s="13">
        <v>9990446</v>
      </c>
      <c r="F120" s="13" t="s">
        <v>420</v>
      </c>
      <c r="G120" s="18">
        <f t="shared" si="0"/>
        <v>-1.5465544450289359E-2</v>
      </c>
    </row>
    <row r="121" spans="1:7">
      <c r="A121" s="13">
        <v>95.12</v>
      </c>
      <c r="B121" s="13">
        <v>96.061499999999995</v>
      </c>
      <c r="C121" s="13">
        <v>94.67</v>
      </c>
      <c r="D121" s="13">
        <v>95.6</v>
      </c>
      <c r="E121" s="13">
        <v>6673145</v>
      </c>
      <c r="F121" s="13" t="s">
        <v>419</v>
      </c>
      <c r="G121" s="18">
        <f t="shared" si="0"/>
        <v>-5.0209205020919079E-3</v>
      </c>
    </row>
    <row r="122" spans="1:7" ht="15" customHeight="1">
      <c r="A122" s="13">
        <v>95.25</v>
      </c>
      <c r="B122" s="13">
        <v>96.69</v>
      </c>
      <c r="C122" s="13">
        <v>94.04</v>
      </c>
      <c r="D122" s="13">
        <v>94.78</v>
      </c>
      <c r="E122" s="13">
        <v>7874220</v>
      </c>
      <c r="F122" s="13" t="s">
        <v>418</v>
      </c>
      <c r="G122" s="18">
        <f t="shared" si="0"/>
        <v>4.9588520784975554E-3</v>
      </c>
    </row>
    <row r="123" spans="1:7" ht="15" customHeight="1">
      <c r="A123" s="13">
        <v>94.23</v>
      </c>
      <c r="B123" s="13">
        <v>95.12</v>
      </c>
      <c r="C123" s="13">
        <v>93.69</v>
      </c>
      <c r="D123" s="13">
        <v>94.66</v>
      </c>
      <c r="E123" s="13">
        <v>6615643</v>
      </c>
      <c r="F123" s="13" t="s">
        <v>417</v>
      </c>
      <c r="G123" s="18">
        <f t="shared" si="0"/>
        <v>-4.5425734206633317E-3</v>
      </c>
    </row>
    <row r="124" spans="1:7">
      <c r="A124" s="13">
        <v>94.27</v>
      </c>
      <c r="B124" s="13">
        <v>95.63</v>
      </c>
      <c r="C124" s="13">
        <v>93.65</v>
      </c>
      <c r="D124" s="13">
        <v>95.28</v>
      </c>
      <c r="E124" s="13">
        <v>7877155</v>
      </c>
      <c r="F124" s="13" t="s">
        <v>416</v>
      </c>
      <c r="G124" s="18">
        <f t="shared" si="0"/>
        <v>-1.0600335852225085E-2</v>
      </c>
    </row>
    <row r="125" spans="1:7">
      <c r="A125" s="13">
        <v>93.67</v>
      </c>
      <c r="B125" s="13">
        <v>94.48</v>
      </c>
      <c r="C125" s="13">
        <v>91.89</v>
      </c>
      <c r="D125" s="13">
        <v>93.06</v>
      </c>
      <c r="E125" s="13">
        <v>8303735</v>
      </c>
      <c r="F125" s="13" t="s">
        <v>415</v>
      </c>
      <c r="G125" s="18">
        <f t="shared" si="0"/>
        <v>6.5549108102298526E-3</v>
      </c>
    </row>
    <row r="126" spans="1:7">
      <c r="A126" s="13">
        <v>92.64</v>
      </c>
      <c r="B126" s="13">
        <v>95.57</v>
      </c>
      <c r="C126" s="13">
        <v>91.01</v>
      </c>
      <c r="D126" s="13">
        <v>95.23</v>
      </c>
      <c r="E126" s="13">
        <v>11632212</v>
      </c>
      <c r="F126" s="13" t="s">
        <v>414</v>
      </c>
      <c r="G126" s="18">
        <f t="shared" si="0"/>
        <v>-2.7197311771500643E-2</v>
      </c>
    </row>
    <row r="127" spans="1:7">
      <c r="A127" s="13">
        <v>96.77</v>
      </c>
      <c r="B127" s="13">
        <v>97.654899999999998</v>
      </c>
      <c r="C127" s="13">
        <v>86.77</v>
      </c>
      <c r="D127" s="13">
        <v>90.22</v>
      </c>
      <c r="E127" s="13">
        <v>23603259</v>
      </c>
      <c r="F127" s="13" t="s">
        <v>413</v>
      </c>
      <c r="G127" s="18">
        <f t="shared" si="0"/>
        <v>7.260031035247172E-2</v>
      </c>
    </row>
    <row r="128" spans="1:7">
      <c r="A128" s="13">
        <v>90.64</v>
      </c>
      <c r="B128" s="13">
        <v>95.045000000000002</v>
      </c>
      <c r="C128" s="13">
        <v>89.05</v>
      </c>
      <c r="D128" s="13">
        <v>94.5</v>
      </c>
      <c r="E128" s="13">
        <v>10816090</v>
      </c>
      <c r="F128" s="13" t="s">
        <v>412</v>
      </c>
      <c r="G128" s="18">
        <f t="shared" si="0"/>
        <v>-4.0846560846560798E-2</v>
      </c>
    </row>
    <row r="129" spans="1:7">
      <c r="A129" s="13">
        <v>91.54</v>
      </c>
      <c r="B129" s="13">
        <v>93.89</v>
      </c>
      <c r="C129" s="13">
        <v>85.98</v>
      </c>
      <c r="D129" s="13">
        <v>87.04</v>
      </c>
      <c r="E129" s="13">
        <v>14289982</v>
      </c>
      <c r="F129" s="13" t="s">
        <v>411</v>
      </c>
      <c r="G129" s="18">
        <f t="shared" si="0"/>
        <v>5.1700367647058876E-2</v>
      </c>
    </row>
    <row r="130" spans="1:7">
      <c r="A130" s="13">
        <v>89.7</v>
      </c>
      <c r="B130" s="13">
        <v>95.89</v>
      </c>
      <c r="C130" s="13">
        <v>89.650099999999995</v>
      </c>
      <c r="D130" s="13">
        <v>94.73</v>
      </c>
      <c r="E130" s="13">
        <v>22572502</v>
      </c>
      <c r="F130" s="13" t="s">
        <v>410</v>
      </c>
      <c r="G130" s="18">
        <f t="shared" si="0"/>
        <v>-5.3098279320173081E-2</v>
      </c>
    </row>
    <row r="131" spans="1:7">
      <c r="A131" s="13">
        <v>98.5</v>
      </c>
      <c r="B131" s="13">
        <v>99.86</v>
      </c>
      <c r="C131" s="13">
        <v>96.65</v>
      </c>
      <c r="D131" s="13">
        <v>96.94</v>
      </c>
      <c r="E131" s="13">
        <v>10996680</v>
      </c>
      <c r="F131" s="13" t="s">
        <v>409</v>
      </c>
      <c r="G131" s="18">
        <f t="shared" si="0"/>
        <v>1.6092428306168749E-2</v>
      </c>
    </row>
    <row r="132" spans="1:7">
      <c r="A132" s="13">
        <v>100.05</v>
      </c>
      <c r="B132" s="13">
        <v>101.02</v>
      </c>
      <c r="C132" s="13">
        <v>98.44</v>
      </c>
      <c r="D132" s="13">
        <v>99.71</v>
      </c>
      <c r="E132" s="13">
        <v>11755566</v>
      </c>
      <c r="F132" s="13" t="s">
        <v>408</v>
      </c>
      <c r="G132" s="18">
        <f t="shared" si="0"/>
        <v>3.4098886771638526E-3</v>
      </c>
    </row>
    <row r="133" spans="1:7">
      <c r="A133" s="13">
        <v>101.24</v>
      </c>
      <c r="B133" s="13">
        <v>101.28</v>
      </c>
      <c r="C133" s="13">
        <v>99.46</v>
      </c>
      <c r="D133" s="13">
        <v>100.4</v>
      </c>
      <c r="E133" s="13">
        <v>5958004</v>
      </c>
      <c r="F133" s="13" t="s">
        <v>407</v>
      </c>
      <c r="G133" s="18">
        <f t="shared" si="0"/>
        <v>8.3665338645417808E-3</v>
      </c>
    </row>
    <row r="134" spans="1:7">
      <c r="A134" s="13">
        <v>100.88</v>
      </c>
      <c r="B134" s="13">
        <v>101.25</v>
      </c>
      <c r="C134" s="13">
        <v>97.85</v>
      </c>
      <c r="D134" s="13">
        <v>98.56</v>
      </c>
      <c r="E134" s="13">
        <v>8522514</v>
      </c>
      <c r="F134" s="13" t="s">
        <v>406</v>
      </c>
      <c r="G134" s="18">
        <f t="shared" si="0"/>
        <v>2.3538961038960915E-2</v>
      </c>
    </row>
    <row r="135" spans="1:7">
      <c r="A135" s="13">
        <v>99.36</v>
      </c>
      <c r="B135" s="13">
        <v>100.42</v>
      </c>
      <c r="C135" s="13">
        <v>98.02</v>
      </c>
      <c r="D135" s="13">
        <v>99.94</v>
      </c>
      <c r="E135" s="13">
        <v>7404062</v>
      </c>
      <c r="F135" s="13" t="s">
        <v>405</v>
      </c>
      <c r="G135" s="18">
        <f t="shared" si="0"/>
        <v>-5.8034820892535199E-3</v>
      </c>
    </row>
    <row r="136" spans="1:7">
      <c r="A136" s="13">
        <v>100.8</v>
      </c>
      <c r="B136" s="13">
        <v>102.24</v>
      </c>
      <c r="C136" s="13">
        <v>100.26</v>
      </c>
      <c r="D136" s="13">
        <v>102.23</v>
      </c>
      <c r="E136" s="13">
        <v>7610638</v>
      </c>
      <c r="F136" s="13" t="s">
        <v>404</v>
      </c>
      <c r="G136" s="18">
        <f t="shared" si="0"/>
        <v>-1.3988066125403598E-2</v>
      </c>
    </row>
    <row r="137" spans="1:7">
      <c r="A137" s="13">
        <v>102.34</v>
      </c>
      <c r="B137" s="13">
        <v>103.48</v>
      </c>
      <c r="C137" s="13">
        <v>101.02</v>
      </c>
      <c r="D137" s="13">
        <v>103.12</v>
      </c>
      <c r="E137" s="13">
        <v>6645989</v>
      </c>
      <c r="F137" s="13" t="s">
        <v>403</v>
      </c>
      <c r="G137" s="18">
        <f t="shared" si="0"/>
        <v>-7.5640031031807275E-3</v>
      </c>
    </row>
    <row r="138" spans="1:7">
      <c r="A138" s="13">
        <v>103.08</v>
      </c>
      <c r="B138" s="13">
        <v>104.35</v>
      </c>
      <c r="C138" s="13">
        <v>102.6</v>
      </c>
      <c r="D138" s="13">
        <v>102.86</v>
      </c>
      <c r="E138" s="13">
        <v>9346683</v>
      </c>
      <c r="F138" s="13" t="s">
        <v>402</v>
      </c>
      <c r="G138" s="18">
        <f t="shared" si="0"/>
        <v>2.13882947695887E-3</v>
      </c>
    </row>
    <row r="139" spans="1:7">
      <c r="A139" s="13">
        <v>102.67</v>
      </c>
      <c r="B139" s="13">
        <v>102.92</v>
      </c>
      <c r="C139" s="13">
        <v>101.23</v>
      </c>
      <c r="D139" s="13">
        <v>101.72</v>
      </c>
      <c r="E139" s="13">
        <v>5831187</v>
      </c>
      <c r="F139" s="13" t="s">
        <v>401</v>
      </c>
      <c r="G139" s="18">
        <f t="shared" si="0"/>
        <v>9.3393629571372205E-3</v>
      </c>
    </row>
    <row r="140" spans="1:7">
      <c r="A140" s="13">
        <v>100.69</v>
      </c>
      <c r="B140" s="13">
        <v>101</v>
      </c>
      <c r="C140" s="13">
        <v>99.3</v>
      </c>
      <c r="D140" s="13">
        <v>100.85</v>
      </c>
      <c r="E140" s="13">
        <v>8617197</v>
      </c>
      <c r="F140" s="13" t="s">
        <v>400</v>
      </c>
      <c r="G140" s="18">
        <f t="shared" si="0"/>
        <v>-1.586514625681712E-3</v>
      </c>
    </row>
    <row r="141" spans="1:7">
      <c r="A141" s="13">
        <v>101.51</v>
      </c>
      <c r="B141" s="13">
        <v>102.01</v>
      </c>
      <c r="C141" s="13">
        <v>100.101</v>
      </c>
      <c r="D141" s="13">
        <v>100.41</v>
      </c>
      <c r="E141" s="13">
        <v>6282279</v>
      </c>
      <c r="F141" s="13" t="s">
        <v>399</v>
      </c>
      <c r="G141" s="18">
        <f t="shared" si="0"/>
        <v>1.0955084154964823E-2</v>
      </c>
    </row>
    <row r="142" spans="1:7">
      <c r="A142" s="13">
        <v>100.73</v>
      </c>
      <c r="B142" s="13">
        <v>101.49</v>
      </c>
      <c r="C142" s="13">
        <v>98.94</v>
      </c>
      <c r="D142" s="13">
        <v>99.93</v>
      </c>
      <c r="E142" s="13">
        <v>5504731</v>
      </c>
      <c r="F142" s="13" t="s">
        <v>398</v>
      </c>
      <c r="G142" s="18">
        <f t="shared" si="0"/>
        <v>8.005603922745852E-3</v>
      </c>
    </row>
    <row r="143" spans="1:7">
      <c r="A143" s="13">
        <v>99.22</v>
      </c>
      <c r="B143" s="13">
        <v>99.41</v>
      </c>
      <c r="C143" s="13">
        <v>97.93</v>
      </c>
      <c r="D143" s="13">
        <v>98.36</v>
      </c>
      <c r="E143" s="13">
        <v>5370082</v>
      </c>
      <c r="F143" s="13" t="s">
        <v>397</v>
      </c>
      <c r="G143" s="18">
        <f t="shared" si="0"/>
        <v>8.74339162261073E-3</v>
      </c>
    </row>
    <row r="144" spans="1:7">
      <c r="A144" s="13">
        <v>98.9</v>
      </c>
      <c r="B144" s="13">
        <v>99.41</v>
      </c>
      <c r="C144" s="13">
        <v>96.52</v>
      </c>
      <c r="D144" s="13">
        <v>96.76</v>
      </c>
      <c r="E144" s="13">
        <v>5703044</v>
      </c>
      <c r="F144" s="13" t="s">
        <v>396</v>
      </c>
      <c r="G144" s="18">
        <f t="shared" si="0"/>
        <v>2.2116577097974321E-2</v>
      </c>
    </row>
    <row r="145" spans="1:30">
      <c r="A145" s="13">
        <v>97.16</v>
      </c>
      <c r="B145" s="13">
        <v>97.385000000000005</v>
      </c>
      <c r="C145" s="13">
        <v>95.56</v>
      </c>
      <c r="D145" s="13">
        <v>96.07</v>
      </c>
      <c r="E145" s="13">
        <v>4924639</v>
      </c>
      <c r="F145" s="13" t="s">
        <v>395</v>
      </c>
      <c r="G145" s="18">
        <f t="shared" si="0"/>
        <v>1.1345893619236103E-2</v>
      </c>
    </row>
    <row r="146" spans="1:30">
      <c r="A146" s="13">
        <v>95.37</v>
      </c>
      <c r="B146" s="13">
        <v>96.64</v>
      </c>
      <c r="C146" s="13">
        <v>94.85</v>
      </c>
      <c r="D146" s="13">
        <v>96.64</v>
      </c>
      <c r="E146" s="13">
        <v>8056893</v>
      </c>
      <c r="F146" s="13" t="s">
        <v>394</v>
      </c>
      <c r="G146" s="18">
        <f t="shared" si="0"/>
        <v>-1.3141556291390688E-2</v>
      </c>
      <c r="I146" s="1" t="s">
        <v>2329</v>
      </c>
      <c r="J146" s="1" t="s">
        <v>2330</v>
      </c>
    </row>
    <row r="147" spans="1:30">
      <c r="A147" s="13">
        <v>96.42</v>
      </c>
      <c r="B147" s="13">
        <v>98.564999999999998</v>
      </c>
      <c r="C147" s="13">
        <v>96.01</v>
      </c>
      <c r="D147" s="13">
        <v>98.04</v>
      </c>
      <c r="E147" s="13">
        <v>8790915</v>
      </c>
      <c r="F147" s="13" t="s">
        <v>393</v>
      </c>
      <c r="G147" s="18">
        <f t="shared" si="0"/>
        <v>-1.6523867809057569E-2</v>
      </c>
      <c r="J147" s="1" t="s">
        <v>2331</v>
      </c>
    </row>
    <row r="148" spans="1:30">
      <c r="A148" s="13">
        <v>95.52</v>
      </c>
      <c r="B148" s="13">
        <v>96.27</v>
      </c>
      <c r="C148" s="13">
        <v>93.905000000000001</v>
      </c>
      <c r="D148" s="13">
        <v>94.13</v>
      </c>
      <c r="E148" s="13">
        <v>11910727</v>
      </c>
      <c r="F148" s="13" t="s">
        <v>392</v>
      </c>
      <c r="G148" s="18">
        <f t="shared" si="0"/>
        <v>1.4766811855943862E-2</v>
      </c>
      <c r="J148" s="1" t="s">
        <v>2332</v>
      </c>
    </row>
    <row r="149" spans="1:30">
      <c r="A149" s="13">
        <v>94.13</v>
      </c>
      <c r="B149" s="13">
        <v>97.77</v>
      </c>
      <c r="C149" s="13">
        <v>93.290999999999997</v>
      </c>
      <c r="D149" s="13">
        <v>97.765000000000001</v>
      </c>
      <c r="E149" s="13">
        <v>17009291</v>
      </c>
      <c r="F149" s="13" t="s">
        <v>391</v>
      </c>
      <c r="G149" s="18">
        <f t="shared" si="0"/>
        <v>-3.7180995243696668E-2</v>
      </c>
    </row>
    <row r="150" spans="1:30" ht="15">
      <c r="A150" s="13">
        <v>100.8</v>
      </c>
      <c r="B150" s="13">
        <v>103.51</v>
      </c>
      <c r="C150" s="13">
        <v>100.5397</v>
      </c>
      <c r="D150" s="13">
        <v>103.31</v>
      </c>
      <c r="E150" s="13">
        <v>9723019</v>
      </c>
      <c r="F150" s="13" t="s">
        <v>390</v>
      </c>
      <c r="G150" s="18">
        <f t="shared" si="0"/>
        <v>-2.4295808731003787E-2</v>
      </c>
      <c r="H150" s="3" t="s">
        <v>2309</v>
      </c>
      <c r="AD150" s="3" t="s">
        <v>2384</v>
      </c>
    </row>
    <row r="151" spans="1:30">
      <c r="A151" s="13">
        <v>104.71</v>
      </c>
      <c r="B151" s="13">
        <v>105.21</v>
      </c>
      <c r="C151" s="13">
        <v>103.07</v>
      </c>
      <c r="D151" s="13">
        <v>103.24</v>
      </c>
      <c r="E151" s="13">
        <v>6716353</v>
      </c>
      <c r="F151" s="13" t="s">
        <v>389</v>
      </c>
      <c r="G151" s="18">
        <f t="shared" si="0"/>
        <v>1.4238667183262388E-2</v>
      </c>
    </row>
    <row r="152" spans="1:30">
      <c r="A152" s="13">
        <v>103.61</v>
      </c>
      <c r="B152" s="13">
        <v>105.14</v>
      </c>
      <c r="C152" s="13">
        <v>102.53</v>
      </c>
      <c r="D152" s="13">
        <v>104.63</v>
      </c>
      <c r="E152" s="13">
        <v>8374524</v>
      </c>
      <c r="F152" s="13" t="s">
        <v>388</v>
      </c>
      <c r="G152" s="18">
        <f t="shared" si="0"/>
        <v>-9.7486380579183685E-3</v>
      </c>
    </row>
    <row r="153" spans="1:30">
      <c r="A153" s="13">
        <v>104.87</v>
      </c>
      <c r="B153" s="13">
        <v>105.57</v>
      </c>
      <c r="C153" s="13">
        <v>103.83</v>
      </c>
      <c r="D153" s="13">
        <v>104.85</v>
      </c>
      <c r="E153" s="13">
        <v>6349110</v>
      </c>
      <c r="F153" s="13" t="s">
        <v>387</v>
      </c>
      <c r="G153" s="18">
        <f t="shared" si="0"/>
        <v>1.9074868860280425E-4</v>
      </c>
    </row>
    <row r="154" spans="1:30">
      <c r="A154" s="13">
        <v>103.79</v>
      </c>
      <c r="B154" s="13">
        <v>104.1</v>
      </c>
      <c r="C154" s="13">
        <v>101.01</v>
      </c>
      <c r="D154" s="13">
        <v>101.13</v>
      </c>
      <c r="E154" s="13">
        <v>8833246</v>
      </c>
      <c r="F154" s="13" t="s">
        <v>386</v>
      </c>
      <c r="G154" s="18">
        <f t="shared" si="0"/>
        <v>2.6302778601799748E-2</v>
      </c>
    </row>
    <row r="155" spans="1:30">
      <c r="A155" s="13">
        <v>100.8</v>
      </c>
      <c r="B155" s="13">
        <v>103.99</v>
      </c>
      <c r="C155" s="13">
        <v>100.55</v>
      </c>
      <c r="D155" s="13">
        <v>101.64</v>
      </c>
      <c r="E155" s="13">
        <v>9010507</v>
      </c>
      <c r="F155" s="13" t="s">
        <v>385</v>
      </c>
      <c r="G155" s="18">
        <f t="shared" si="0"/>
        <v>-8.2644628099174389E-3</v>
      </c>
    </row>
    <row r="156" spans="1:30">
      <c r="A156" s="13">
        <v>101.56</v>
      </c>
      <c r="B156" s="13">
        <v>102.815</v>
      </c>
      <c r="C156" s="13">
        <v>99.85</v>
      </c>
      <c r="D156" s="13">
        <v>100.43</v>
      </c>
      <c r="E156" s="13">
        <v>8148662</v>
      </c>
      <c r="F156" s="13" t="s">
        <v>384</v>
      </c>
      <c r="G156" s="18">
        <f t="shared" si="0"/>
        <v>1.1251618042417588E-2</v>
      </c>
    </row>
    <row r="157" spans="1:30" ht="15" customHeight="1">
      <c r="A157" s="13">
        <v>100.72</v>
      </c>
      <c r="B157" s="13">
        <v>104.5</v>
      </c>
      <c r="C157" s="13">
        <v>97.08</v>
      </c>
      <c r="D157" s="13">
        <v>104</v>
      </c>
      <c r="E157" s="13">
        <v>18821595</v>
      </c>
      <c r="F157" s="13" t="s">
        <v>383</v>
      </c>
      <c r="G157" s="18">
        <f t="shared" si="0"/>
        <v>-3.1538461538461515E-2</v>
      </c>
    </row>
    <row r="158" spans="1:30">
      <c r="A158" s="13">
        <v>104.39</v>
      </c>
      <c r="B158" s="13">
        <v>104.95</v>
      </c>
      <c r="C158" s="13">
        <v>103.87</v>
      </c>
      <c r="D158" s="13">
        <v>104.25</v>
      </c>
      <c r="E158" s="13">
        <v>5214717</v>
      </c>
      <c r="F158" s="13" t="s">
        <v>382</v>
      </c>
      <c r="G158" s="18">
        <f t="shared" si="0"/>
        <v>1.3429256594723604E-3</v>
      </c>
    </row>
    <row r="159" spans="1:30">
      <c r="A159" s="13">
        <v>104.49</v>
      </c>
      <c r="B159" s="13">
        <v>105.65</v>
      </c>
      <c r="C159" s="13">
        <v>103.98</v>
      </c>
      <c r="D159" s="13">
        <v>104.64</v>
      </c>
      <c r="E159" s="13">
        <v>5513271</v>
      </c>
      <c r="F159" s="13" t="s">
        <v>381</v>
      </c>
      <c r="G159" s="18">
        <f t="shared" si="0"/>
        <v>-1.4334862385321223E-3</v>
      </c>
    </row>
    <row r="160" spans="1:30">
      <c r="A160" s="13">
        <v>105.36</v>
      </c>
      <c r="B160" s="13">
        <v>105.48</v>
      </c>
      <c r="C160" s="13">
        <v>104.35</v>
      </c>
      <c r="D160" s="13">
        <v>105.43</v>
      </c>
      <c r="E160" s="13">
        <v>5977701</v>
      </c>
      <c r="F160" s="13" t="s">
        <v>380</v>
      </c>
      <c r="G160" s="18">
        <f t="shared" si="0"/>
        <v>-6.6394764298594033E-4</v>
      </c>
    </row>
    <row r="161" spans="1:7">
      <c r="A161" s="13">
        <v>105.67</v>
      </c>
      <c r="B161" s="13">
        <v>105.7</v>
      </c>
      <c r="C161" s="13">
        <v>104.7637</v>
      </c>
      <c r="D161" s="13">
        <v>105.35</v>
      </c>
      <c r="E161" s="13">
        <v>4305812</v>
      </c>
      <c r="F161" s="13" t="s">
        <v>379</v>
      </c>
      <c r="G161" s="18">
        <f t="shared" si="0"/>
        <v>3.0374940673945083E-3</v>
      </c>
    </row>
    <row r="162" spans="1:7">
      <c r="A162" s="13">
        <v>105.35</v>
      </c>
      <c r="B162" s="13">
        <v>105.72</v>
      </c>
      <c r="C162" s="13">
        <v>102.919</v>
      </c>
      <c r="D162" s="13">
        <v>103.69</v>
      </c>
      <c r="E162" s="13">
        <v>6505711</v>
      </c>
      <c r="F162" s="13" t="s">
        <v>378</v>
      </c>
      <c r="G162" s="18">
        <f t="shared" si="0"/>
        <v>1.6009258366284085E-2</v>
      </c>
    </row>
    <row r="163" spans="1:7">
      <c r="A163" s="13">
        <v>106.11</v>
      </c>
      <c r="B163" s="13">
        <v>106.715</v>
      </c>
      <c r="C163" s="13">
        <v>105.77</v>
      </c>
      <c r="D163" s="13">
        <v>106.1</v>
      </c>
      <c r="E163" s="13">
        <v>3966659</v>
      </c>
      <c r="F163" s="13" t="s">
        <v>377</v>
      </c>
      <c r="G163" s="18">
        <f t="shared" si="0"/>
        <v>9.4250706880405488E-5</v>
      </c>
    </row>
    <row r="164" spans="1:7">
      <c r="A164" s="13">
        <v>106.14</v>
      </c>
      <c r="B164" s="13">
        <v>106.27</v>
      </c>
      <c r="C164" s="13">
        <v>104.94</v>
      </c>
      <c r="D164" s="13">
        <v>105.98</v>
      </c>
      <c r="E164" s="13">
        <v>6268645</v>
      </c>
      <c r="F164" s="13" t="s">
        <v>376</v>
      </c>
      <c r="G164" s="18">
        <f t="shared" si="0"/>
        <v>1.5097188148707197E-3</v>
      </c>
    </row>
    <row r="165" spans="1:7">
      <c r="A165" s="13">
        <v>105.77</v>
      </c>
      <c r="B165" s="13">
        <v>106.2</v>
      </c>
      <c r="C165" s="13">
        <v>104.75</v>
      </c>
      <c r="D165" s="13">
        <v>105.24</v>
      </c>
      <c r="E165" s="13">
        <v>5456560</v>
      </c>
      <c r="F165" s="13" t="s">
        <v>375</v>
      </c>
      <c r="G165" s="18">
        <f t="shared" si="0"/>
        <v>5.0361079437475365E-3</v>
      </c>
    </row>
    <row r="166" spans="1:7">
      <c r="A166" s="13">
        <v>105.98</v>
      </c>
      <c r="B166" s="13">
        <v>106.15</v>
      </c>
      <c r="C166" s="13">
        <v>105.25</v>
      </c>
      <c r="D166" s="13">
        <v>105.89</v>
      </c>
      <c r="E166" s="13">
        <v>4830180</v>
      </c>
      <c r="F166" s="13" t="s">
        <v>374</v>
      </c>
      <c r="G166" s="18">
        <f t="shared" si="0"/>
        <v>8.4993861554449879E-4</v>
      </c>
    </row>
    <row r="167" spans="1:7">
      <c r="A167" s="13">
        <v>106.18</v>
      </c>
      <c r="B167" s="13">
        <v>106.32</v>
      </c>
      <c r="C167" s="13">
        <v>105.27</v>
      </c>
      <c r="D167" s="13">
        <v>105.72</v>
      </c>
      <c r="E167" s="13">
        <v>5849467</v>
      </c>
      <c r="F167" s="13" t="s">
        <v>373</v>
      </c>
      <c r="G167" s="18">
        <f t="shared" si="0"/>
        <v>4.351116155883572E-3</v>
      </c>
    </row>
    <row r="168" spans="1:7">
      <c r="A168" s="13">
        <v>105.25</v>
      </c>
      <c r="B168" s="13">
        <v>105.92</v>
      </c>
      <c r="C168" s="13">
        <v>104.29</v>
      </c>
      <c r="D168" s="13">
        <v>104.75</v>
      </c>
      <c r="E168" s="13">
        <v>5538335</v>
      </c>
      <c r="F168" s="13" t="s">
        <v>372</v>
      </c>
      <c r="G168" s="18">
        <f t="shared" si="0"/>
        <v>4.7732696897375693E-3</v>
      </c>
    </row>
    <row r="169" spans="1:7">
      <c r="A169" s="13">
        <v>105.02</v>
      </c>
      <c r="B169" s="13">
        <v>105.9</v>
      </c>
      <c r="C169" s="13">
        <v>104.73</v>
      </c>
      <c r="D169" s="13">
        <v>105.72</v>
      </c>
      <c r="E169" s="13">
        <v>6383814</v>
      </c>
      <c r="F169" s="13" t="s">
        <v>371</v>
      </c>
      <c r="G169" s="18">
        <f t="shared" si="0"/>
        <v>-6.6212637154748899E-3</v>
      </c>
    </row>
    <row r="170" spans="1:7">
      <c r="A170" s="13">
        <v>104.97</v>
      </c>
      <c r="B170" s="13">
        <v>107.17</v>
      </c>
      <c r="C170" s="13">
        <v>102.44</v>
      </c>
      <c r="D170" s="13">
        <v>102.94</v>
      </c>
      <c r="E170" s="13">
        <v>10668131</v>
      </c>
      <c r="F170" s="13" t="s">
        <v>370</v>
      </c>
      <c r="G170" s="18">
        <f t="shared" si="0"/>
        <v>1.9720225374004308E-2</v>
      </c>
    </row>
    <row r="171" spans="1:7">
      <c r="A171" s="13">
        <v>103.54</v>
      </c>
      <c r="B171" s="13">
        <v>103.99</v>
      </c>
      <c r="C171" s="13">
        <v>102.85</v>
      </c>
      <c r="D171" s="13">
        <v>103.28</v>
      </c>
      <c r="E171" s="13">
        <v>9761159</v>
      </c>
      <c r="F171" s="13" t="s">
        <v>369</v>
      </c>
      <c r="G171" s="18">
        <f t="shared" si="0"/>
        <v>2.5174283501161465E-3</v>
      </c>
    </row>
    <row r="172" spans="1:7">
      <c r="A172" s="13">
        <v>103.07</v>
      </c>
      <c r="B172" s="13">
        <v>103.86</v>
      </c>
      <c r="C172" s="13">
        <v>100.7</v>
      </c>
      <c r="D172" s="13">
        <v>101.41</v>
      </c>
      <c r="E172" s="13">
        <v>6263840</v>
      </c>
      <c r="F172" s="13" t="s">
        <v>368</v>
      </c>
      <c r="G172" s="18">
        <f t="shared" si="0"/>
        <v>1.6369194359530548E-2</v>
      </c>
    </row>
    <row r="173" spans="1:7">
      <c r="A173" s="13">
        <v>102.36</v>
      </c>
      <c r="B173" s="13">
        <v>103.6</v>
      </c>
      <c r="C173" s="13">
        <v>102.32</v>
      </c>
      <c r="D173" s="13">
        <v>103.4</v>
      </c>
      <c r="E173" s="13">
        <v>6188160</v>
      </c>
      <c r="F173" s="13" t="s">
        <v>367</v>
      </c>
      <c r="G173" s="18">
        <f t="shared" si="0"/>
        <v>-1.00580270793037E-2</v>
      </c>
    </row>
    <row r="174" spans="1:7">
      <c r="A174" s="13">
        <v>103.04</v>
      </c>
      <c r="B174" s="13">
        <v>104.25</v>
      </c>
      <c r="C174" s="13">
        <v>102.83</v>
      </c>
      <c r="D174" s="13">
        <v>103.6</v>
      </c>
      <c r="E174" s="13">
        <v>6344245</v>
      </c>
      <c r="F174" s="13" t="s">
        <v>366</v>
      </c>
      <c r="G174" s="18">
        <f t="shared" si="0"/>
        <v>-5.4054054054052392E-3</v>
      </c>
    </row>
    <row r="175" spans="1:7">
      <c r="A175" s="13">
        <v>102.71</v>
      </c>
      <c r="B175" s="13">
        <v>103.17</v>
      </c>
      <c r="C175" s="13">
        <v>102.33</v>
      </c>
      <c r="D175" s="13">
        <v>102.74</v>
      </c>
      <c r="E175" s="13">
        <v>4556862</v>
      </c>
      <c r="F175" s="13" t="s">
        <v>365</v>
      </c>
      <c r="G175" s="18">
        <f t="shared" si="0"/>
        <v>-2.919992213353817E-4</v>
      </c>
    </row>
    <row r="176" spans="1:7">
      <c r="A176" s="13">
        <v>102.32</v>
      </c>
      <c r="B176" s="13">
        <v>102.93</v>
      </c>
      <c r="C176" s="13">
        <v>101.64</v>
      </c>
      <c r="D176" s="13">
        <v>102.28</v>
      </c>
      <c r="E176" s="13">
        <v>7905068</v>
      </c>
      <c r="F176" s="13" t="s">
        <v>364</v>
      </c>
      <c r="G176" s="18">
        <f t="shared" si="0"/>
        <v>3.9108330074300035E-4</v>
      </c>
    </row>
    <row r="177" spans="1:10">
      <c r="A177" s="13">
        <v>102.27</v>
      </c>
      <c r="B177" s="13">
        <v>102.32</v>
      </c>
      <c r="C177" s="13">
        <v>100.5</v>
      </c>
      <c r="D177" s="13">
        <v>101.6</v>
      </c>
      <c r="E177" s="13">
        <v>6799269</v>
      </c>
      <c r="F177" s="13" t="s">
        <v>363</v>
      </c>
      <c r="G177" s="18">
        <f t="shared" si="0"/>
        <v>6.594488188976344E-3</v>
      </c>
    </row>
    <row r="178" spans="1:10">
      <c r="A178" s="13">
        <v>101.94</v>
      </c>
      <c r="B178" s="13">
        <v>102.15</v>
      </c>
      <c r="C178" s="13">
        <v>100.87</v>
      </c>
      <c r="D178" s="13">
        <v>101.01</v>
      </c>
      <c r="E178" s="13">
        <v>4324925</v>
      </c>
      <c r="F178" s="13" t="s">
        <v>362</v>
      </c>
      <c r="G178" s="18">
        <f t="shared" ref="G178:G241" si="1">A178/D178-1</f>
        <v>9.2070092070091203E-3</v>
      </c>
    </row>
    <row r="179" spans="1:10">
      <c r="A179" s="13">
        <v>101.64</v>
      </c>
      <c r="B179" s="13">
        <v>101.75</v>
      </c>
      <c r="C179" s="13">
        <v>99.75</v>
      </c>
      <c r="D179" s="13">
        <v>100.5</v>
      </c>
      <c r="E179" s="13">
        <v>7223578</v>
      </c>
      <c r="F179" s="13" t="s">
        <v>361</v>
      </c>
      <c r="G179" s="18">
        <f t="shared" si="1"/>
        <v>1.134328358208947E-2</v>
      </c>
    </row>
    <row r="180" spans="1:10">
      <c r="A180" s="13">
        <v>100.31</v>
      </c>
      <c r="B180" s="13">
        <v>101.64619999999999</v>
      </c>
      <c r="C180" s="13">
        <v>100.14</v>
      </c>
      <c r="D180" s="13">
        <v>100.91</v>
      </c>
      <c r="E180" s="13">
        <v>8171033</v>
      </c>
      <c r="F180" s="13" t="s">
        <v>360</v>
      </c>
      <c r="G180" s="18">
        <f t="shared" si="1"/>
        <v>-5.9458923793478391E-3</v>
      </c>
    </row>
    <row r="181" spans="1:10">
      <c r="A181" s="13">
        <v>100.91</v>
      </c>
      <c r="B181" s="13">
        <v>101.13500000000001</v>
      </c>
      <c r="C181" s="13">
        <v>99.77</v>
      </c>
      <c r="D181" s="13">
        <v>100.21</v>
      </c>
      <c r="E181" s="13">
        <v>6010213</v>
      </c>
      <c r="F181" s="13" t="s">
        <v>359</v>
      </c>
      <c r="G181" s="18">
        <f t="shared" si="1"/>
        <v>6.9853308053089425E-3</v>
      </c>
    </row>
    <row r="182" spans="1:10">
      <c r="A182" s="13">
        <v>98.66</v>
      </c>
      <c r="B182" s="13">
        <v>99.14</v>
      </c>
      <c r="C182" s="13">
        <v>97.68</v>
      </c>
      <c r="D182" s="13">
        <v>97.93</v>
      </c>
      <c r="E182" s="13">
        <v>7064046</v>
      </c>
      <c r="F182" s="13" t="s">
        <v>358</v>
      </c>
      <c r="G182" s="18">
        <f t="shared" si="1"/>
        <v>7.4543040947614436E-3</v>
      </c>
    </row>
    <row r="183" spans="1:10">
      <c r="A183" s="13">
        <v>98.17</v>
      </c>
      <c r="B183" s="13">
        <v>98.31</v>
      </c>
      <c r="C183" s="13">
        <v>96.97</v>
      </c>
      <c r="D183" s="13">
        <v>97.04</v>
      </c>
      <c r="E183" s="13">
        <v>5020833</v>
      </c>
      <c r="F183" s="13" t="s">
        <v>357</v>
      </c>
      <c r="G183" s="18">
        <f t="shared" si="1"/>
        <v>1.1644682605111312E-2</v>
      </c>
    </row>
    <row r="184" spans="1:10">
      <c r="A184" s="13">
        <v>96.89</v>
      </c>
      <c r="B184" s="13">
        <v>97.36</v>
      </c>
      <c r="C184" s="13">
        <v>95.37</v>
      </c>
      <c r="D184" s="13">
        <v>95.73</v>
      </c>
      <c r="E184" s="13">
        <v>5328883</v>
      </c>
      <c r="F184" s="13" t="s">
        <v>356</v>
      </c>
      <c r="G184" s="18">
        <f t="shared" si="1"/>
        <v>1.2117413558967893E-2</v>
      </c>
    </row>
    <row r="185" spans="1:10">
      <c r="A185" s="13">
        <v>95.65</v>
      </c>
      <c r="B185" s="13">
        <v>96.25</v>
      </c>
      <c r="C185" s="13">
        <v>94.83</v>
      </c>
      <c r="D185" s="13">
        <v>95.08</v>
      </c>
      <c r="E185" s="13">
        <v>5415828</v>
      </c>
      <c r="F185" s="13" t="s">
        <v>355</v>
      </c>
      <c r="G185" s="18">
        <f t="shared" si="1"/>
        <v>5.9949516196886599E-3</v>
      </c>
      <c r="I185" s="1" t="s">
        <v>2329</v>
      </c>
      <c r="J185" s="1" t="s">
        <v>2330</v>
      </c>
    </row>
    <row r="186" spans="1:10">
      <c r="A186" s="13">
        <v>94.61</v>
      </c>
      <c r="B186" s="13">
        <v>95.08</v>
      </c>
      <c r="C186" s="13">
        <v>93.203500000000005</v>
      </c>
      <c r="D186" s="13">
        <v>93.82</v>
      </c>
      <c r="E186" s="13">
        <v>4219067</v>
      </c>
      <c r="F186" s="13" t="s">
        <v>354</v>
      </c>
      <c r="G186" s="18">
        <f t="shared" si="1"/>
        <v>8.4203794500106177E-3</v>
      </c>
      <c r="J186" s="1" t="s">
        <v>2331</v>
      </c>
    </row>
    <row r="187" spans="1:10">
      <c r="A187" s="13">
        <v>94.88</v>
      </c>
      <c r="B187" s="13">
        <v>96.691999999999993</v>
      </c>
      <c r="C187" s="13">
        <v>94.56</v>
      </c>
      <c r="D187" s="13">
        <v>95.474999999999994</v>
      </c>
      <c r="E187" s="13">
        <v>5944484</v>
      </c>
      <c r="F187" s="13" t="s">
        <v>353</v>
      </c>
      <c r="G187" s="18">
        <f t="shared" si="1"/>
        <v>-6.2319979052107843E-3</v>
      </c>
      <c r="J187" s="1" t="s">
        <v>2332</v>
      </c>
    </row>
    <row r="188" spans="1:10">
      <c r="A188" s="13">
        <v>95.95</v>
      </c>
      <c r="B188" s="13">
        <v>97.127300000000005</v>
      </c>
      <c r="C188" s="13">
        <v>94.750100000000003</v>
      </c>
      <c r="D188" s="13">
        <v>96.68</v>
      </c>
      <c r="E188" s="13">
        <v>10747709</v>
      </c>
      <c r="F188" s="13" t="s">
        <v>352</v>
      </c>
      <c r="G188" s="18">
        <f t="shared" si="1"/>
        <v>-7.5506826644601288E-3</v>
      </c>
    </row>
    <row r="189" spans="1:10" ht="15">
      <c r="A189" s="13">
        <v>91.99</v>
      </c>
      <c r="B189" s="13">
        <v>92.42</v>
      </c>
      <c r="C189" s="13">
        <v>90.52</v>
      </c>
      <c r="D189" s="13">
        <v>91.7</v>
      </c>
      <c r="E189" s="13">
        <v>4812189</v>
      </c>
      <c r="F189" s="13" t="s">
        <v>351</v>
      </c>
      <c r="G189" s="18">
        <f t="shared" si="1"/>
        <v>3.1624863685930649E-3</v>
      </c>
      <c r="H189" s="3" t="s">
        <v>2310</v>
      </c>
    </row>
    <row r="190" spans="1:10">
      <c r="A190" s="13">
        <v>91.29</v>
      </c>
      <c r="B190" s="13">
        <v>91.34</v>
      </c>
      <c r="C190" s="13">
        <v>90.43</v>
      </c>
      <c r="D190" s="13">
        <v>90.68</v>
      </c>
      <c r="E190" s="13">
        <v>4981432</v>
      </c>
      <c r="F190" s="13" t="s">
        <v>350</v>
      </c>
      <c r="G190" s="18">
        <f t="shared" si="1"/>
        <v>6.7269519188355442E-3</v>
      </c>
    </row>
    <row r="191" spans="1:10">
      <c r="A191" s="13">
        <v>90.69</v>
      </c>
      <c r="B191" s="13">
        <v>90.96</v>
      </c>
      <c r="C191" s="13">
        <v>89.504999999999995</v>
      </c>
      <c r="D191" s="13">
        <v>89.79</v>
      </c>
      <c r="E191" s="13">
        <v>3439787</v>
      </c>
      <c r="F191" s="13" t="s">
        <v>349</v>
      </c>
      <c r="G191" s="18">
        <f t="shared" si="1"/>
        <v>1.0023387905111925E-2</v>
      </c>
    </row>
    <row r="192" spans="1:10">
      <c r="A192" s="13">
        <v>89.38</v>
      </c>
      <c r="B192" s="13">
        <v>90.16</v>
      </c>
      <c r="C192" s="13">
        <v>88.81</v>
      </c>
      <c r="D192" s="13">
        <v>90.02</v>
      </c>
      <c r="E192" s="13">
        <v>3369054</v>
      </c>
      <c r="F192" s="13" t="s">
        <v>348</v>
      </c>
      <c r="G192" s="18">
        <f t="shared" si="1"/>
        <v>-7.1095312152854584E-3</v>
      </c>
    </row>
    <row r="193" spans="1:7">
      <c r="A193" s="13">
        <v>89.32</v>
      </c>
      <c r="B193" s="13">
        <v>90.21</v>
      </c>
      <c r="C193" s="13">
        <v>89.01</v>
      </c>
      <c r="D193" s="13">
        <v>89.78</v>
      </c>
      <c r="E193" s="13">
        <v>3973044</v>
      </c>
      <c r="F193" s="13" t="s">
        <v>347</v>
      </c>
      <c r="G193" s="18">
        <f t="shared" si="1"/>
        <v>-5.123635553575534E-3</v>
      </c>
    </row>
    <row r="194" spans="1:7">
      <c r="A194" s="13">
        <v>89.68</v>
      </c>
      <c r="B194" s="13">
        <v>90.09</v>
      </c>
      <c r="C194" s="13">
        <v>89.07</v>
      </c>
      <c r="D194" s="13">
        <v>89.66</v>
      </c>
      <c r="E194" s="13">
        <v>3411372</v>
      </c>
      <c r="F194" s="13" t="s">
        <v>346</v>
      </c>
      <c r="G194" s="18">
        <f t="shared" si="1"/>
        <v>2.2306491188950339E-4</v>
      </c>
    </row>
    <row r="195" spans="1:7">
      <c r="A195" s="13">
        <v>90.66</v>
      </c>
      <c r="B195" s="13">
        <v>91.5</v>
      </c>
      <c r="C195" s="13">
        <v>90.23</v>
      </c>
      <c r="D195" s="13">
        <v>90.9</v>
      </c>
      <c r="E195" s="13">
        <v>3177692</v>
      </c>
      <c r="F195" s="13" t="s">
        <v>345</v>
      </c>
      <c r="G195" s="18">
        <f t="shared" si="1"/>
        <v>-2.6402640264027166E-3</v>
      </c>
    </row>
    <row r="196" spans="1:7">
      <c r="A196" s="13">
        <v>91.45</v>
      </c>
      <c r="B196" s="13">
        <v>91.55</v>
      </c>
      <c r="C196" s="13">
        <v>90.59</v>
      </c>
      <c r="D196" s="13">
        <v>90.68</v>
      </c>
      <c r="E196" s="13">
        <v>2601931</v>
      </c>
      <c r="F196" s="13" t="s">
        <v>344</v>
      </c>
      <c r="G196" s="18">
        <f t="shared" si="1"/>
        <v>8.4913983237757673E-3</v>
      </c>
    </row>
    <row r="197" spans="1:7">
      <c r="A197" s="13">
        <v>91.07</v>
      </c>
      <c r="B197" s="13">
        <v>91.09</v>
      </c>
      <c r="C197" s="13">
        <v>89.66</v>
      </c>
      <c r="D197" s="13">
        <v>89.86</v>
      </c>
      <c r="E197" s="13">
        <v>1879976</v>
      </c>
      <c r="F197" s="13" t="s">
        <v>343</v>
      </c>
      <c r="G197" s="18">
        <f t="shared" si="1"/>
        <v>1.3465390607611871E-2</v>
      </c>
    </row>
    <row r="198" spans="1:7">
      <c r="A198" s="13">
        <v>89.86</v>
      </c>
      <c r="B198" s="13">
        <v>89.988</v>
      </c>
      <c r="C198" s="13">
        <v>88.36</v>
      </c>
      <c r="D198" s="13">
        <v>89.27</v>
      </c>
      <c r="E198" s="13">
        <v>3833986</v>
      </c>
      <c r="F198" s="13" t="s">
        <v>342</v>
      </c>
      <c r="G198" s="18">
        <f t="shared" si="1"/>
        <v>6.6091632127254218E-3</v>
      </c>
    </row>
    <row r="199" spans="1:7">
      <c r="A199" s="13">
        <v>88.95</v>
      </c>
      <c r="B199" s="13">
        <v>89.67</v>
      </c>
      <c r="C199" s="13">
        <v>87.25</v>
      </c>
      <c r="D199" s="13">
        <v>88</v>
      </c>
      <c r="E199" s="13">
        <v>15910017</v>
      </c>
      <c r="F199" s="13" t="s">
        <v>341</v>
      </c>
      <c r="G199" s="18">
        <f t="shared" si="1"/>
        <v>1.0795454545454497E-2</v>
      </c>
    </row>
    <row r="200" spans="1:7">
      <c r="A200" s="13">
        <v>88.66</v>
      </c>
      <c r="B200" s="13">
        <v>89.24</v>
      </c>
      <c r="C200" s="13">
        <v>87.719300000000004</v>
      </c>
      <c r="D200" s="13">
        <v>88.04</v>
      </c>
      <c r="E200" s="13">
        <v>5620772</v>
      </c>
      <c r="F200" s="13" t="s">
        <v>340</v>
      </c>
      <c r="G200" s="18">
        <f t="shared" si="1"/>
        <v>7.0422535211267512E-3</v>
      </c>
    </row>
    <row r="201" spans="1:7">
      <c r="A201" s="13">
        <v>88.03</v>
      </c>
      <c r="B201" s="13">
        <v>90.21</v>
      </c>
      <c r="C201" s="13">
        <v>87.95</v>
      </c>
      <c r="D201" s="13">
        <v>90.14</v>
      </c>
      <c r="E201" s="13">
        <v>5167885</v>
      </c>
      <c r="F201" s="13" t="s">
        <v>339</v>
      </c>
      <c r="G201" s="18">
        <f t="shared" si="1"/>
        <v>-2.3408031950299502E-2</v>
      </c>
    </row>
    <row r="202" spans="1:7">
      <c r="A202" s="13">
        <v>90.43</v>
      </c>
      <c r="B202" s="13">
        <v>90.91</v>
      </c>
      <c r="C202" s="13">
        <v>89.71</v>
      </c>
      <c r="D202" s="13">
        <v>90.5</v>
      </c>
      <c r="E202" s="13">
        <v>4903792</v>
      </c>
      <c r="F202" s="13" t="s">
        <v>338</v>
      </c>
      <c r="G202" s="18">
        <f t="shared" si="1"/>
        <v>-7.7348066298332796E-4</v>
      </c>
    </row>
    <row r="203" spans="1:7">
      <c r="A203" s="13">
        <v>90.46</v>
      </c>
      <c r="B203" s="13">
        <v>91.59</v>
      </c>
      <c r="C203" s="13">
        <v>89.490099999999998</v>
      </c>
      <c r="D203" s="13">
        <v>90.78</v>
      </c>
      <c r="E203" s="13">
        <v>5664964</v>
      </c>
      <c r="F203" s="13" t="s">
        <v>337</v>
      </c>
      <c r="G203" s="18">
        <f t="shared" si="1"/>
        <v>-3.5250055078211995E-3</v>
      </c>
    </row>
    <row r="204" spans="1:7">
      <c r="A204" s="13">
        <v>90.11</v>
      </c>
      <c r="B204" s="13">
        <v>91.03</v>
      </c>
      <c r="C204" s="13">
        <v>90.05</v>
      </c>
      <c r="D204" s="13">
        <v>90.54</v>
      </c>
      <c r="E204" s="13">
        <v>3181520</v>
      </c>
      <c r="F204" s="13" t="s">
        <v>336</v>
      </c>
      <c r="G204" s="18">
        <f t="shared" si="1"/>
        <v>-4.7492820852662598E-3</v>
      </c>
    </row>
    <row r="205" spans="1:7">
      <c r="A205" s="13">
        <v>90.42</v>
      </c>
      <c r="B205" s="13">
        <v>91.37</v>
      </c>
      <c r="C205" s="13">
        <v>90.32</v>
      </c>
      <c r="D205" s="13">
        <v>90.71</v>
      </c>
      <c r="E205" s="13">
        <v>4050926</v>
      </c>
      <c r="F205" s="13" t="s">
        <v>335</v>
      </c>
      <c r="G205" s="18">
        <f t="shared" si="1"/>
        <v>-3.1970014331385022E-3</v>
      </c>
    </row>
    <row r="206" spans="1:7">
      <c r="A206" s="13">
        <v>90.56</v>
      </c>
      <c r="B206" s="13">
        <v>90.97</v>
      </c>
      <c r="C206" s="13">
        <v>90.15</v>
      </c>
      <c r="D206" s="13">
        <v>90.61</v>
      </c>
      <c r="E206" s="13">
        <v>3168444</v>
      </c>
      <c r="F206" s="13" t="s">
        <v>334</v>
      </c>
      <c r="G206" s="18">
        <f t="shared" si="1"/>
        <v>-5.5181547290583666E-4</v>
      </c>
    </row>
    <row r="207" spans="1:7">
      <c r="A207" s="13">
        <v>90.2</v>
      </c>
      <c r="B207" s="13">
        <v>90.47</v>
      </c>
      <c r="C207" s="13">
        <v>88.73</v>
      </c>
      <c r="D207" s="13">
        <v>89.29</v>
      </c>
      <c r="E207" s="13">
        <v>4612138</v>
      </c>
      <c r="F207" s="13" t="s">
        <v>333</v>
      </c>
      <c r="G207" s="18">
        <f t="shared" si="1"/>
        <v>1.0191510807481263E-2</v>
      </c>
    </row>
    <row r="208" spans="1:7">
      <c r="A208" s="13">
        <v>88.72</v>
      </c>
      <c r="B208" s="13">
        <v>90.665000000000006</v>
      </c>
      <c r="C208" s="13">
        <v>88.513000000000005</v>
      </c>
      <c r="D208" s="13">
        <v>90.12</v>
      </c>
      <c r="E208" s="13">
        <v>4877303</v>
      </c>
      <c r="F208" s="13" t="s">
        <v>332</v>
      </c>
      <c r="G208" s="18">
        <f t="shared" si="1"/>
        <v>-1.5534842432312512E-2</v>
      </c>
    </row>
    <row r="209" spans="1:10">
      <c r="A209" s="13">
        <v>90.07</v>
      </c>
      <c r="B209" s="13">
        <v>90.8</v>
      </c>
      <c r="C209" s="13">
        <v>89.96</v>
      </c>
      <c r="D209" s="13">
        <v>90.36</v>
      </c>
      <c r="E209" s="13">
        <v>3302016</v>
      </c>
      <c r="F209" s="13" t="s">
        <v>331</v>
      </c>
      <c r="G209" s="18">
        <f t="shared" si="1"/>
        <v>-3.2093846834883033E-3</v>
      </c>
    </row>
    <row r="210" spans="1:10">
      <c r="A210" s="13">
        <v>90.53</v>
      </c>
      <c r="B210" s="13">
        <v>91.06</v>
      </c>
      <c r="C210" s="13">
        <v>89.76</v>
      </c>
      <c r="D210" s="13">
        <v>90</v>
      </c>
      <c r="E210" s="13">
        <v>4173475</v>
      </c>
      <c r="F210" s="13" t="s">
        <v>330</v>
      </c>
      <c r="G210" s="18">
        <f t="shared" si="1"/>
        <v>5.8888888888888324E-3</v>
      </c>
    </row>
    <row r="211" spans="1:10">
      <c r="A211" s="13">
        <v>90.84</v>
      </c>
      <c r="B211" s="13">
        <v>91.31</v>
      </c>
      <c r="C211" s="13">
        <v>90.05</v>
      </c>
      <c r="D211" s="13">
        <v>90.38</v>
      </c>
      <c r="E211" s="13">
        <v>3507289</v>
      </c>
      <c r="F211" s="13" t="s">
        <v>329</v>
      </c>
      <c r="G211" s="18">
        <f t="shared" si="1"/>
        <v>5.089621597698768E-3</v>
      </c>
    </row>
    <row r="212" spans="1:10">
      <c r="A212" s="13">
        <v>90.47</v>
      </c>
      <c r="B212" s="13">
        <v>90.79</v>
      </c>
      <c r="C212" s="13">
        <v>89.62</v>
      </c>
      <c r="D212" s="13">
        <v>90</v>
      </c>
      <c r="E212" s="13">
        <v>3192033</v>
      </c>
      <c r="F212" s="13" t="s">
        <v>328</v>
      </c>
      <c r="G212" s="18">
        <f t="shared" si="1"/>
        <v>5.2222222222222392E-3</v>
      </c>
    </row>
    <row r="213" spans="1:10">
      <c r="A213" s="13">
        <v>90.43</v>
      </c>
      <c r="B213" s="13">
        <v>91.34</v>
      </c>
      <c r="C213" s="13">
        <v>90.2</v>
      </c>
      <c r="D213" s="13">
        <v>90.78</v>
      </c>
      <c r="E213" s="13">
        <v>3388073</v>
      </c>
      <c r="F213" s="13" t="s">
        <v>327</v>
      </c>
      <c r="G213" s="18">
        <f t="shared" si="1"/>
        <v>-3.8554747741792461E-3</v>
      </c>
    </row>
    <row r="214" spans="1:10">
      <c r="A214" s="13">
        <v>90.66</v>
      </c>
      <c r="B214" s="13">
        <v>91.32</v>
      </c>
      <c r="C214" s="13">
        <v>89.89</v>
      </c>
      <c r="D214" s="13">
        <v>90.51</v>
      </c>
      <c r="E214" s="13">
        <v>3446971</v>
      </c>
      <c r="F214" s="13" t="s">
        <v>326</v>
      </c>
      <c r="G214" s="18">
        <f t="shared" si="1"/>
        <v>1.6572754391779299E-3</v>
      </c>
    </row>
    <row r="215" spans="1:10">
      <c r="A215" s="13">
        <v>90.75</v>
      </c>
      <c r="B215" s="13">
        <v>91.03</v>
      </c>
      <c r="C215" s="13">
        <v>90.05</v>
      </c>
      <c r="D215" s="13">
        <v>90.4</v>
      </c>
      <c r="E215" s="13">
        <v>3788570</v>
      </c>
      <c r="F215" s="13" t="s">
        <v>325</v>
      </c>
      <c r="G215" s="18">
        <f t="shared" si="1"/>
        <v>3.8716814159291957E-3</v>
      </c>
    </row>
    <row r="216" spans="1:10">
      <c r="A216" s="13">
        <v>90.21</v>
      </c>
      <c r="B216" s="13">
        <v>90.39</v>
      </c>
      <c r="C216" s="13">
        <v>89.1</v>
      </c>
      <c r="D216" s="13">
        <v>89.78</v>
      </c>
      <c r="E216" s="13">
        <v>4284463</v>
      </c>
      <c r="F216" s="13" t="s">
        <v>324</v>
      </c>
      <c r="G216" s="18">
        <f t="shared" si="1"/>
        <v>4.7894854087768834E-3</v>
      </c>
    </row>
    <row r="217" spans="1:10">
      <c r="A217" s="13">
        <v>89.25</v>
      </c>
      <c r="B217" s="13">
        <v>90.295000000000002</v>
      </c>
      <c r="C217" s="13">
        <v>87.95</v>
      </c>
      <c r="D217" s="13">
        <v>89.69</v>
      </c>
      <c r="E217" s="13">
        <v>10227540</v>
      </c>
      <c r="F217" s="13" t="s">
        <v>323</v>
      </c>
      <c r="G217" s="18">
        <f t="shared" si="1"/>
        <v>-4.9057865982830018E-3</v>
      </c>
    </row>
    <row r="218" spans="1:10">
      <c r="A218" s="13">
        <v>90</v>
      </c>
      <c r="B218" s="13">
        <v>91.93</v>
      </c>
      <c r="C218" s="13">
        <v>89.02</v>
      </c>
      <c r="D218" s="13">
        <v>91.79</v>
      </c>
      <c r="E218" s="13">
        <v>5571738</v>
      </c>
      <c r="F218" s="13" t="s">
        <v>322</v>
      </c>
      <c r="G218" s="18">
        <f t="shared" si="1"/>
        <v>-1.9501034971129871E-2</v>
      </c>
    </row>
    <row r="219" spans="1:10">
      <c r="A219" s="13">
        <v>91.5</v>
      </c>
      <c r="B219" s="13">
        <v>91.72</v>
      </c>
      <c r="C219" s="13">
        <v>90.23</v>
      </c>
      <c r="D219" s="13">
        <v>90.65</v>
      </c>
      <c r="E219" s="13">
        <v>4195288</v>
      </c>
      <c r="F219" s="13" t="s">
        <v>321</v>
      </c>
      <c r="G219" s="18">
        <f t="shared" si="1"/>
        <v>9.3767236624378025E-3</v>
      </c>
    </row>
    <row r="220" spans="1:10">
      <c r="A220" s="13">
        <v>90.17</v>
      </c>
      <c r="B220" s="13">
        <v>90.81</v>
      </c>
      <c r="C220" s="13">
        <v>89.47</v>
      </c>
      <c r="D220" s="13">
        <v>90.81</v>
      </c>
      <c r="E220" s="13">
        <v>4786878</v>
      </c>
      <c r="F220" s="13" t="s">
        <v>320</v>
      </c>
      <c r="G220" s="18">
        <f t="shared" si="1"/>
        <v>-7.0476819733509277E-3</v>
      </c>
    </row>
    <row r="221" spans="1:10">
      <c r="A221" s="13">
        <v>90.33</v>
      </c>
      <c r="B221" s="13">
        <v>90.745000000000005</v>
      </c>
      <c r="C221" s="13">
        <v>89.37</v>
      </c>
      <c r="D221" s="13">
        <v>90.03</v>
      </c>
      <c r="E221" s="13">
        <v>5586227</v>
      </c>
      <c r="F221" s="13" t="s">
        <v>319</v>
      </c>
      <c r="G221" s="18">
        <f t="shared" si="1"/>
        <v>3.3322225924692361E-3</v>
      </c>
    </row>
    <row r="222" spans="1:10">
      <c r="A222" s="13">
        <v>90.45</v>
      </c>
      <c r="B222" s="13">
        <v>91.08</v>
      </c>
      <c r="C222" s="13">
        <v>88.5</v>
      </c>
      <c r="D222" s="13">
        <v>88.75</v>
      </c>
      <c r="E222" s="13">
        <v>9011901</v>
      </c>
      <c r="F222" s="13" t="s">
        <v>318</v>
      </c>
      <c r="G222" s="18">
        <f t="shared" si="1"/>
        <v>1.9154929577464896E-2</v>
      </c>
    </row>
    <row r="223" spans="1:10">
      <c r="A223" s="13">
        <v>86.99</v>
      </c>
      <c r="B223" s="13">
        <v>87.8</v>
      </c>
      <c r="C223" s="13">
        <v>86.01</v>
      </c>
      <c r="D223" s="13">
        <v>87.12</v>
      </c>
      <c r="E223" s="13">
        <v>10230145</v>
      </c>
      <c r="F223" s="13" t="s">
        <v>317</v>
      </c>
      <c r="G223" s="18">
        <f t="shared" si="1"/>
        <v>-1.4921946740129588E-3</v>
      </c>
    </row>
    <row r="224" spans="1:10">
      <c r="A224" s="13">
        <v>87.59</v>
      </c>
      <c r="B224" s="13">
        <v>89.09</v>
      </c>
      <c r="C224" s="13">
        <v>87.48</v>
      </c>
      <c r="D224" s="13">
        <v>88.65</v>
      </c>
      <c r="E224" s="13">
        <v>5120221</v>
      </c>
      <c r="F224" s="13" t="s">
        <v>316</v>
      </c>
      <c r="G224" s="18">
        <f t="shared" si="1"/>
        <v>-1.1957134799774449E-2</v>
      </c>
      <c r="I224" s="1" t="s">
        <v>2329</v>
      </c>
      <c r="J224" s="1" t="s">
        <v>2330</v>
      </c>
    </row>
    <row r="225" spans="1:25">
      <c r="A225" s="13">
        <v>88.77</v>
      </c>
      <c r="B225" s="13">
        <v>89.3</v>
      </c>
      <c r="C225" s="13">
        <v>88.66</v>
      </c>
      <c r="D225" s="13">
        <v>88.75</v>
      </c>
      <c r="E225" s="13">
        <v>4176533</v>
      </c>
      <c r="F225" s="13" t="s">
        <v>315</v>
      </c>
      <c r="G225" s="18">
        <f t="shared" si="1"/>
        <v>2.2535211267604716E-4</v>
      </c>
      <c r="J225" s="1" t="s">
        <v>2331</v>
      </c>
    </row>
    <row r="226" spans="1:25">
      <c r="A226" s="13">
        <v>88.72</v>
      </c>
      <c r="B226" s="13">
        <v>89.004999999999995</v>
      </c>
      <c r="C226" s="13">
        <v>88.01</v>
      </c>
      <c r="D226" s="13">
        <v>88.63</v>
      </c>
      <c r="E226" s="13">
        <v>4989374</v>
      </c>
      <c r="F226" s="13" t="s">
        <v>314</v>
      </c>
      <c r="G226" s="18">
        <f t="shared" si="1"/>
        <v>1.0154575200271854E-3</v>
      </c>
      <c r="J226" s="1" t="s">
        <v>2332</v>
      </c>
    </row>
    <row r="227" spans="1:25">
      <c r="A227" s="13">
        <v>88.48</v>
      </c>
      <c r="B227" s="13">
        <v>88.9</v>
      </c>
      <c r="C227" s="13">
        <v>88.21</v>
      </c>
      <c r="D227" s="13">
        <v>88.65</v>
      </c>
      <c r="E227" s="13">
        <v>4067317</v>
      </c>
      <c r="F227" s="13" t="s">
        <v>313</v>
      </c>
      <c r="G227" s="18">
        <f t="shared" si="1"/>
        <v>-1.9176536943034117E-3</v>
      </c>
    </row>
    <row r="228" spans="1:25" ht="15">
      <c r="A228" s="13">
        <v>88.25</v>
      </c>
      <c r="B228" s="13">
        <v>88.94</v>
      </c>
      <c r="C228" s="13">
        <v>87.18</v>
      </c>
      <c r="D228" s="13">
        <v>87.57</v>
      </c>
      <c r="E228" s="13">
        <v>5242205</v>
      </c>
      <c r="F228" s="13" t="s">
        <v>312</v>
      </c>
      <c r="G228" s="18">
        <f t="shared" si="1"/>
        <v>7.7652163983099598E-3</v>
      </c>
      <c r="H228" s="3" t="s">
        <v>2206</v>
      </c>
    </row>
    <row r="229" spans="1:25">
      <c r="A229" s="13">
        <v>86.88</v>
      </c>
      <c r="B229" s="13">
        <v>87.34</v>
      </c>
      <c r="C229" s="13">
        <v>86.11</v>
      </c>
      <c r="D229" s="13">
        <v>86.83</v>
      </c>
      <c r="E229" s="13">
        <v>4836499</v>
      </c>
      <c r="F229" s="13" t="s">
        <v>311</v>
      </c>
      <c r="G229" s="18">
        <f t="shared" si="1"/>
        <v>5.7583784406300964E-4</v>
      </c>
    </row>
    <row r="230" spans="1:25" ht="15">
      <c r="A230" s="13">
        <v>86.44</v>
      </c>
      <c r="B230" s="13">
        <v>88.02</v>
      </c>
      <c r="C230" s="13">
        <v>85.03</v>
      </c>
      <c r="D230" s="13">
        <v>88</v>
      </c>
      <c r="E230" s="13">
        <v>6203905</v>
      </c>
      <c r="F230" s="13" t="s">
        <v>310</v>
      </c>
      <c r="G230" s="18">
        <f t="shared" si="1"/>
        <v>-1.7727272727272703E-2</v>
      </c>
      <c r="Y230"/>
    </row>
    <row r="231" spans="1:25" ht="14.25" customHeight="1">
      <c r="A231" s="13">
        <v>85.54</v>
      </c>
      <c r="B231" s="13">
        <v>85.69</v>
      </c>
      <c r="C231" s="13">
        <v>84.13</v>
      </c>
      <c r="D231" s="13">
        <v>84.54</v>
      </c>
      <c r="E231" s="13">
        <v>5400651</v>
      </c>
      <c r="F231" s="13" t="s">
        <v>309</v>
      </c>
      <c r="G231" s="18">
        <f t="shared" si="1"/>
        <v>1.1828720132481596E-2</v>
      </c>
      <c r="Y231" s="13"/>
    </row>
    <row r="232" spans="1:25">
      <c r="A232" s="13">
        <v>84.72</v>
      </c>
      <c r="B232" s="13">
        <v>85.24</v>
      </c>
      <c r="C232" s="13">
        <v>83.55</v>
      </c>
      <c r="D232" s="13">
        <v>83.65</v>
      </c>
      <c r="E232" s="13">
        <v>5853107</v>
      </c>
      <c r="F232" s="13" t="s">
        <v>308</v>
      </c>
      <c r="G232" s="18">
        <f t="shared" si="1"/>
        <v>1.2791392707710569E-2</v>
      </c>
      <c r="Y232" s="13"/>
    </row>
    <row r="233" spans="1:25">
      <c r="A233" s="13">
        <v>83.62</v>
      </c>
      <c r="B233" s="13">
        <v>84.77</v>
      </c>
      <c r="C233" s="13">
        <v>83.495000000000005</v>
      </c>
      <c r="D233" s="13">
        <v>84.33</v>
      </c>
      <c r="E233" s="13">
        <v>7051533</v>
      </c>
      <c r="F233" s="13" t="s">
        <v>307</v>
      </c>
      <c r="G233" s="18">
        <f t="shared" si="1"/>
        <v>-8.4193051108738537E-3</v>
      </c>
      <c r="Y233" s="13"/>
    </row>
    <row r="234" spans="1:25" ht="14.25" customHeight="1">
      <c r="A234" s="13">
        <v>84.02</v>
      </c>
      <c r="B234" s="13">
        <v>85.25</v>
      </c>
      <c r="C234" s="13">
        <v>83.375</v>
      </c>
      <c r="D234" s="13">
        <v>83.71</v>
      </c>
      <c r="E234" s="13">
        <v>7444633</v>
      </c>
      <c r="F234" s="13" t="s">
        <v>306</v>
      </c>
      <c r="G234" s="18">
        <f t="shared" si="1"/>
        <v>3.7032612591088032E-3</v>
      </c>
    </row>
    <row r="235" spans="1:25" ht="14.65" customHeight="1">
      <c r="A235" s="13">
        <v>83.99</v>
      </c>
      <c r="B235" s="13">
        <v>84.66</v>
      </c>
      <c r="C235" s="13">
        <v>80.64</v>
      </c>
      <c r="D235" s="13">
        <v>84.51</v>
      </c>
      <c r="E235" s="13">
        <v>12004160</v>
      </c>
      <c r="F235" s="13" t="s">
        <v>305</v>
      </c>
      <c r="G235" s="18">
        <f t="shared" si="1"/>
        <v>-6.1531179742043696E-3</v>
      </c>
    </row>
    <row r="236" spans="1:25">
      <c r="A236" s="13">
        <v>84.56</v>
      </c>
      <c r="B236" s="13">
        <v>85.13</v>
      </c>
      <c r="C236" s="13">
        <v>84.37</v>
      </c>
      <c r="D236" s="13">
        <v>84.75</v>
      </c>
      <c r="E236" s="13">
        <v>7465678</v>
      </c>
      <c r="F236" s="13" t="s">
        <v>304</v>
      </c>
      <c r="G236" s="18">
        <f t="shared" si="1"/>
        <v>-2.2418879056046448E-3</v>
      </c>
    </row>
    <row r="237" spans="1:25" ht="15" customHeight="1">
      <c r="A237" s="13">
        <v>84.76</v>
      </c>
      <c r="B237" s="13">
        <v>85.57</v>
      </c>
      <c r="C237" s="13">
        <v>84.66</v>
      </c>
      <c r="D237" s="13">
        <v>85</v>
      </c>
      <c r="E237" s="13">
        <v>8882736</v>
      </c>
      <c r="F237" s="13" t="s">
        <v>303</v>
      </c>
      <c r="G237" s="18">
        <f t="shared" si="1"/>
        <v>-2.8235294117646692E-3</v>
      </c>
    </row>
    <row r="238" spans="1:25" ht="13.5" customHeight="1">
      <c r="A238" s="13">
        <v>84.73</v>
      </c>
      <c r="B238" s="13">
        <v>85.57</v>
      </c>
      <c r="C238" s="13">
        <v>83.59</v>
      </c>
      <c r="D238" s="13">
        <v>85.25</v>
      </c>
      <c r="E238" s="13">
        <v>6297105</v>
      </c>
      <c r="F238" s="13" t="s">
        <v>302</v>
      </c>
      <c r="G238" s="18">
        <f t="shared" si="1"/>
        <v>-6.0997067448680387E-3</v>
      </c>
    </row>
    <row r="239" spans="1:25">
      <c r="A239" s="13">
        <v>85.1</v>
      </c>
      <c r="B239" s="13">
        <v>88.7</v>
      </c>
      <c r="C239" s="13">
        <v>85.03</v>
      </c>
      <c r="D239" s="13">
        <v>88.37</v>
      </c>
      <c r="E239" s="13">
        <v>10848652</v>
      </c>
      <c r="F239" s="13" t="s">
        <v>301</v>
      </c>
      <c r="G239" s="18">
        <f t="shared" si="1"/>
        <v>-3.7003507977820593E-2</v>
      </c>
    </row>
    <row r="240" spans="1:25">
      <c r="A240" s="13">
        <v>87.45</v>
      </c>
      <c r="B240" s="13">
        <v>87.58</v>
      </c>
      <c r="C240" s="13">
        <v>83.27</v>
      </c>
      <c r="D240" s="13">
        <v>85.28</v>
      </c>
      <c r="E240" s="13">
        <v>19619287</v>
      </c>
      <c r="F240" s="13" t="s">
        <v>300</v>
      </c>
      <c r="G240" s="18">
        <f t="shared" si="1"/>
        <v>2.5445590994371603E-2</v>
      </c>
    </row>
    <row r="241" spans="1:7">
      <c r="A241" s="13">
        <v>88.01</v>
      </c>
      <c r="B241" s="13">
        <v>88.43</v>
      </c>
      <c r="C241" s="13">
        <v>87.12</v>
      </c>
      <c r="D241" s="13">
        <v>87.31</v>
      </c>
      <c r="E241" s="13">
        <v>5822506</v>
      </c>
      <c r="F241" s="13" t="s">
        <v>299</v>
      </c>
      <c r="G241" s="18">
        <f t="shared" si="1"/>
        <v>8.017409231473982E-3</v>
      </c>
    </row>
    <row r="242" spans="1:7">
      <c r="A242" s="13">
        <v>88.05</v>
      </c>
      <c r="B242" s="13">
        <v>88.79</v>
      </c>
      <c r="C242" s="13">
        <v>87.864999999999995</v>
      </c>
      <c r="D242" s="13">
        <v>88.08</v>
      </c>
      <c r="E242" s="13">
        <v>5616700</v>
      </c>
      <c r="F242" s="13" t="s">
        <v>298</v>
      </c>
      <c r="G242" s="18">
        <f t="shared" ref="G242:G305" si="2">A242/D242-1</f>
        <v>-3.4059945504083533E-4</v>
      </c>
    </row>
    <row r="243" spans="1:7">
      <c r="A243" s="13">
        <v>88.07</v>
      </c>
      <c r="B243" s="13">
        <v>88.704999999999998</v>
      </c>
      <c r="C243" s="13">
        <v>85.5</v>
      </c>
      <c r="D243" s="13">
        <v>86.12</v>
      </c>
      <c r="E243" s="13">
        <v>6349645</v>
      </c>
      <c r="F243" s="13" t="s">
        <v>297</v>
      </c>
      <c r="G243" s="18">
        <f t="shared" si="2"/>
        <v>2.2642823966558145E-2</v>
      </c>
    </row>
    <row r="244" spans="1:7">
      <c r="A244" s="13">
        <v>86.42</v>
      </c>
      <c r="B244" s="13">
        <v>87.44</v>
      </c>
      <c r="C244" s="13">
        <v>86.42</v>
      </c>
      <c r="D244" s="13">
        <v>87.31</v>
      </c>
      <c r="E244" s="13">
        <v>4560079</v>
      </c>
      <c r="F244" s="13" t="s">
        <v>296</v>
      </c>
      <c r="G244" s="18">
        <f t="shared" si="2"/>
        <v>-1.0193563165731279E-2</v>
      </c>
    </row>
    <row r="245" spans="1:7">
      <c r="A245" s="13">
        <v>87</v>
      </c>
      <c r="B245" s="13">
        <v>87.43</v>
      </c>
      <c r="C245" s="13">
        <v>86.44</v>
      </c>
      <c r="D245" s="13">
        <v>86.54</v>
      </c>
      <c r="E245" s="13">
        <v>4134614</v>
      </c>
      <c r="F245" s="13" t="s">
        <v>295</v>
      </c>
      <c r="G245" s="18">
        <f t="shared" si="2"/>
        <v>5.3154610584700279E-3</v>
      </c>
    </row>
    <row r="246" spans="1:7">
      <c r="A246" s="13">
        <v>86.77</v>
      </c>
      <c r="B246" s="13">
        <v>88.09</v>
      </c>
      <c r="C246" s="13">
        <v>86.504999999999995</v>
      </c>
      <c r="D246" s="13">
        <v>87.8</v>
      </c>
      <c r="E246" s="13">
        <v>6087458</v>
      </c>
      <c r="F246" s="13" t="s">
        <v>294</v>
      </c>
      <c r="G246" s="18">
        <f t="shared" si="2"/>
        <v>-1.1731207289293888E-2</v>
      </c>
    </row>
    <row r="247" spans="1:7">
      <c r="A247" s="13">
        <v>87.55</v>
      </c>
      <c r="B247" s="13">
        <v>87.79</v>
      </c>
      <c r="C247" s="13">
        <v>86.915000000000006</v>
      </c>
      <c r="D247" s="13">
        <v>87.6</v>
      </c>
      <c r="E247" s="13">
        <v>5360992</v>
      </c>
      <c r="F247" s="13" t="s">
        <v>293</v>
      </c>
      <c r="G247" s="18">
        <f t="shared" si="2"/>
        <v>-5.7077625570778334E-4</v>
      </c>
    </row>
    <row r="248" spans="1:7">
      <c r="A248" s="13">
        <v>87.1</v>
      </c>
      <c r="B248" s="13">
        <v>87.28</v>
      </c>
      <c r="C248" s="13">
        <v>86.19</v>
      </c>
      <c r="D248" s="13">
        <v>86.53</v>
      </c>
      <c r="E248" s="13">
        <v>5960506</v>
      </c>
      <c r="F248" s="13" t="s">
        <v>292</v>
      </c>
      <c r="G248" s="18">
        <f t="shared" si="2"/>
        <v>6.5873107592742119E-3</v>
      </c>
    </row>
    <row r="249" spans="1:7">
      <c r="A249" s="13">
        <v>86.2</v>
      </c>
      <c r="B249" s="13">
        <v>86.77</v>
      </c>
      <c r="C249" s="13">
        <v>85.768000000000001</v>
      </c>
      <c r="D249" s="13">
        <v>86.77</v>
      </c>
      <c r="E249" s="13">
        <v>4920999</v>
      </c>
      <c r="F249" s="13" t="s">
        <v>291</v>
      </c>
      <c r="G249" s="18">
        <f t="shared" si="2"/>
        <v>-6.5690906995504728E-3</v>
      </c>
    </row>
    <row r="250" spans="1:7">
      <c r="A250" s="13">
        <v>86.7</v>
      </c>
      <c r="B250" s="13">
        <v>86.99</v>
      </c>
      <c r="C250" s="13">
        <v>84.27</v>
      </c>
      <c r="D250" s="13">
        <v>84.63</v>
      </c>
      <c r="E250" s="13">
        <v>7039006</v>
      </c>
      <c r="F250" s="13" t="s">
        <v>290</v>
      </c>
      <c r="G250" s="18">
        <f t="shared" si="2"/>
        <v>2.4459411556185806E-2</v>
      </c>
    </row>
    <row r="251" spans="1:7">
      <c r="A251" s="13">
        <v>85.84</v>
      </c>
      <c r="B251" s="13">
        <v>86.085099999999997</v>
      </c>
      <c r="C251" s="13">
        <v>84.71</v>
      </c>
      <c r="D251" s="13">
        <v>85.12</v>
      </c>
      <c r="E251" s="13">
        <v>5347769</v>
      </c>
      <c r="F251" s="13" t="s">
        <v>289</v>
      </c>
      <c r="G251" s="18">
        <f t="shared" si="2"/>
        <v>8.4586466165412766E-3</v>
      </c>
    </row>
    <row r="252" spans="1:7">
      <c r="A252" s="13">
        <v>84.41</v>
      </c>
      <c r="B252" s="13">
        <v>85.26</v>
      </c>
      <c r="C252" s="13">
        <v>83.724999999999994</v>
      </c>
      <c r="D252" s="13">
        <v>84.38</v>
      </c>
      <c r="E252" s="13">
        <v>5806259</v>
      </c>
      <c r="F252" s="13" t="s">
        <v>288</v>
      </c>
      <c r="G252" s="18">
        <f t="shared" si="2"/>
        <v>3.5553448684533251E-4</v>
      </c>
    </row>
    <row r="253" spans="1:7">
      <c r="A253" s="13">
        <v>84.54</v>
      </c>
      <c r="B253" s="13">
        <v>84.66</v>
      </c>
      <c r="C253" s="13">
        <v>83.2</v>
      </c>
      <c r="D253" s="13">
        <v>84.04</v>
      </c>
      <c r="E253" s="13">
        <v>4243643</v>
      </c>
      <c r="F253" s="13" t="s">
        <v>287</v>
      </c>
      <c r="G253" s="18">
        <f t="shared" si="2"/>
        <v>5.9495478343645214E-3</v>
      </c>
    </row>
    <row r="254" spans="1:7">
      <c r="A254" s="13">
        <v>83.82</v>
      </c>
      <c r="B254" s="13">
        <v>84.45</v>
      </c>
      <c r="C254" s="13">
        <v>83.44</v>
      </c>
      <c r="D254" s="13">
        <v>84.42</v>
      </c>
      <c r="E254" s="13">
        <v>4580847</v>
      </c>
      <c r="F254" s="13" t="s">
        <v>286</v>
      </c>
      <c r="G254" s="18">
        <f t="shared" si="2"/>
        <v>-7.1073205401565032E-3</v>
      </c>
    </row>
    <row r="255" spans="1:7">
      <c r="A255" s="13">
        <v>84.49</v>
      </c>
      <c r="B255" s="13">
        <v>84.58</v>
      </c>
      <c r="C255" s="13">
        <v>83.16</v>
      </c>
      <c r="D255" s="13">
        <v>84</v>
      </c>
      <c r="E255" s="13">
        <v>4518164</v>
      </c>
      <c r="F255" s="13" t="s">
        <v>285</v>
      </c>
      <c r="G255" s="18">
        <f t="shared" si="2"/>
        <v>5.833333333333357E-3</v>
      </c>
    </row>
    <row r="256" spans="1:7">
      <c r="A256" s="13">
        <v>84.14</v>
      </c>
      <c r="B256" s="13">
        <v>84.25</v>
      </c>
      <c r="C256" s="13">
        <v>83.411000000000001</v>
      </c>
      <c r="D256" s="13">
        <v>83.86</v>
      </c>
      <c r="E256" s="13">
        <v>5537713</v>
      </c>
      <c r="F256" s="13" t="s">
        <v>284</v>
      </c>
      <c r="G256" s="18">
        <f t="shared" si="2"/>
        <v>3.3388981636059967E-3</v>
      </c>
    </row>
    <row r="257" spans="1:24">
      <c r="A257" s="13">
        <v>83.8</v>
      </c>
      <c r="B257" s="13">
        <v>83.86</v>
      </c>
      <c r="C257" s="13">
        <v>82.92</v>
      </c>
      <c r="D257" s="13">
        <v>83.32</v>
      </c>
      <c r="E257" s="13">
        <v>3961900</v>
      </c>
      <c r="F257" s="13" t="s">
        <v>283</v>
      </c>
      <c r="G257" s="18">
        <f t="shared" si="2"/>
        <v>5.7609217474796637E-3</v>
      </c>
    </row>
    <row r="258" spans="1:24">
      <c r="A258" s="13">
        <v>83.35</v>
      </c>
      <c r="B258" s="13">
        <v>83.72</v>
      </c>
      <c r="C258" s="13">
        <v>82.76</v>
      </c>
      <c r="D258" s="13">
        <v>83.01</v>
      </c>
      <c r="E258" s="13">
        <v>4915620</v>
      </c>
      <c r="F258" s="13" t="s">
        <v>282</v>
      </c>
      <c r="G258" s="18">
        <f t="shared" si="2"/>
        <v>4.0958920611973149E-3</v>
      </c>
    </row>
    <row r="259" spans="1:24">
      <c r="A259" s="13">
        <v>83.08</v>
      </c>
      <c r="B259" s="13">
        <v>83.69</v>
      </c>
      <c r="C259" s="13">
        <v>82.59</v>
      </c>
      <c r="D259" s="13">
        <v>83.57</v>
      </c>
      <c r="E259" s="13">
        <v>4066935</v>
      </c>
      <c r="F259" s="13" t="s">
        <v>281</v>
      </c>
      <c r="G259" s="18">
        <f t="shared" si="2"/>
        <v>-5.8633480914203062E-3</v>
      </c>
    </row>
    <row r="260" spans="1:24">
      <c r="A260" s="13">
        <v>83.5</v>
      </c>
      <c r="B260" s="13">
        <v>84.07</v>
      </c>
      <c r="C260" s="13">
        <v>83.08</v>
      </c>
      <c r="D260" s="13">
        <v>83.96</v>
      </c>
      <c r="E260" s="13">
        <v>3239832</v>
      </c>
      <c r="F260" s="13" t="s">
        <v>280</v>
      </c>
      <c r="G260" s="18">
        <f t="shared" si="2"/>
        <v>-5.4787994282990971E-3</v>
      </c>
    </row>
    <row r="261" spans="1:24">
      <c r="A261" s="13">
        <v>83.51</v>
      </c>
      <c r="B261" s="13">
        <v>83.73</v>
      </c>
      <c r="C261" s="13">
        <v>83.05</v>
      </c>
      <c r="D261" s="13">
        <v>83.46</v>
      </c>
      <c r="E261" s="13">
        <v>5115206</v>
      </c>
      <c r="F261" s="13" t="s">
        <v>279</v>
      </c>
      <c r="G261" s="18">
        <f t="shared" si="2"/>
        <v>5.9908938413633095E-4</v>
      </c>
    </row>
    <row r="262" spans="1:24">
      <c r="A262" s="13">
        <v>84</v>
      </c>
      <c r="B262" s="13">
        <v>84.71</v>
      </c>
      <c r="C262" s="13">
        <v>83.63</v>
      </c>
      <c r="D262" s="13">
        <v>84.27</v>
      </c>
      <c r="E262" s="13">
        <v>5657774</v>
      </c>
      <c r="F262" s="13" t="s">
        <v>278</v>
      </c>
      <c r="G262" s="18">
        <f t="shared" si="2"/>
        <v>-3.2039871840512379E-3</v>
      </c>
    </row>
    <row r="263" spans="1:24">
      <c r="A263" s="13">
        <v>83.92</v>
      </c>
      <c r="B263" s="13">
        <v>84.045000000000002</v>
      </c>
      <c r="C263" s="13">
        <v>83.1</v>
      </c>
      <c r="D263" s="13">
        <v>83.56</v>
      </c>
      <c r="E263" s="13">
        <v>6968191</v>
      </c>
      <c r="F263" s="13" t="s">
        <v>277</v>
      </c>
      <c r="G263" s="18">
        <f t="shared" si="2"/>
        <v>4.3082814743895526E-3</v>
      </c>
      <c r="I263" s="15"/>
      <c r="J263" s="15" t="s">
        <v>434</v>
      </c>
      <c r="K263" s="16">
        <f>MIN(G114:G2123)</f>
        <v>-7.1428571428571508E-2</v>
      </c>
      <c r="L263" s="1" t="s">
        <v>2343</v>
      </c>
    </row>
    <row r="264" spans="1:24">
      <c r="A264" s="13">
        <v>83.71</v>
      </c>
      <c r="B264" s="13">
        <v>84.89</v>
      </c>
      <c r="C264" s="13">
        <v>83.33</v>
      </c>
      <c r="D264" s="13">
        <v>83.41</v>
      </c>
      <c r="E264" s="13">
        <v>7860788</v>
      </c>
      <c r="F264" s="13" t="s">
        <v>276</v>
      </c>
      <c r="G264" s="18">
        <f t="shared" si="2"/>
        <v>3.5966910442393196E-3</v>
      </c>
      <c r="I264" s="15"/>
      <c r="J264" s="15" t="s">
        <v>433</v>
      </c>
      <c r="K264" s="16">
        <f>MAX(G114:G2123)</f>
        <v>7.3506412261495235E-2</v>
      </c>
      <c r="L264" s="1" t="s">
        <v>435</v>
      </c>
    </row>
    <row r="265" spans="1:24">
      <c r="A265" s="13">
        <v>82.57</v>
      </c>
      <c r="B265" s="13">
        <v>83.38</v>
      </c>
      <c r="C265" s="13">
        <v>81.819999999999993</v>
      </c>
      <c r="D265" s="13">
        <v>82.5</v>
      </c>
      <c r="E265" s="13">
        <v>7749476</v>
      </c>
      <c r="F265" s="13" t="s">
        <v>275</v>
      </c>
      <c r="G265" s="18">
        <f t="shared" si="2"/>
        <v>8.4848484848487615E-4</v>
      </c>
      <c r="I265" s="15"/>
      <c r="J265" s="15" t="s">
        <v>2213</v>
      </c>
      <c r="K265" s="16">
        <f>AVERAGE(G114:G2123)</f>
        <v>1.7193071624249672E-4</v>
      </c>
    </row>
    <row r="266" spans="1:24">
      <c r="A266" s="13">
        <v>82.52</v>
      </c>
      <c r="B266" s="13">
        <v>83.46</v>
      </c>
      <c r="C266" s="13">
        <v>81.540000000000006</v>
      </c>
      <c r="D266" s="13">
        <v>83.33</v>
      </c>
      <c r="E266" s="13">
        <v>7092244</v>
      </c>
      <c r="F266" s="13" t="s">
        <v>274</v>
      </c>
      <c r="G266" s="18">
        <f t="shared" si="2"/>
        <v>-9.7203888155525942E-3</v>
      </c>
      <c r="I266" s="15"/>
      <c r="J266" s="15" t="s">
        <v>2207</v>
      </c>
      <c r="K266" s="16">
        <f>MEDIAN(G115:G2124)</f>
        <v>4.8449612403089759E-4</v>
      </c>
    </row>
    <row r="267" spans="1:24" ht="15">
      <c r="A267" s="13">
        <v>83.51</v>
      </c>
      <c r="B267" s="13">
        <v>84.004999999999995</v>
      </c>
      <c r="C267" s="13">
        <v>82.86</v>
      </c>
      <c r="D267" s="13">
        <v>83.8</v>
      </c>
      <c r="E267" s="13">
        <v>4908256</v>
      </c>
      <c r="F267" s="13" t="s">
        <v>273</v>
      </c>
      <c r="G267" s="18">
        <f t="shared" si="2"/>
        <v>-3.4606205250595767E-3</v>
      </c>
      <c r="I267" s="15"/>
      <c r="J267" s="15" t="s">
        <v>436</v>
      </c>
      <c r="K267" s="16">
        <f>_xlfn.STDEV.P(G114:G2123)</f>
        <v>1.3825918647331648E-2</v>
      </c>
      <c r="M267" s="3"/>
    </row>
    <row r="268" spans="1:24" ht="15">
      <c r="A268" s="13">
        <v>83.31</v>
      </c>
      <c r="B268" s="13">
        <v>84.114999999999995</v>
      </c>
      <c r="C268" s="13">
        <v>83.165000000000006</v>
      </c>
      <c r="D268" s="13">
        <v>83.8</v>
      </c>
      <c r="E268" s="13">
        <v>3602458</v>
      </c>
      <c r="F268" s="13" t="s">
        <v>272</v>
      </c>
      <c r="G268" s="18">
        <f t="shared" si="2"/>
        <v>-5.8472553699283614E-3</v>
      </c>
      <c r="I268" s="15"/>
      <c r="J268" s="17" t="s">
        <v>2219</v>
      </c>
      <c r="K268" s="16">
        <f>3*K267</f>
        <v>4.1477755941994945E-2</v>
      </c>
      <c r="L268" s="15"/>
      <c r="M268" s="3" t="s">
        <v>2226</v>
      </c>
    </row>
    <row r="269" spans="1:24" ht="15">
      <c r="A269" s="13">
        <v>83.83</v>
      </c>
      <c r="B269" s="13">
        <v>83.84</v>
      </c>
      <c r="C269" s="13">
        <v>82.46</v>
      </c>
      <c r="D269" s="13">
        <v>82.95</v>
      </c>
      <c r="E269" s="13">
        <v>3661534</v>
      </c>
      <c r="F269" s="13" t="s">
        <v>271</v>
      </c>
      <c r="G269" s="18">
        <f t="shared" si="2"/>
        <v>1.0608800482218239E-2</v>
      </c>
      <c r="I269" s="15"/>
      <c r="J269" s="17" t="s">
        <v>2217</v>
      </c>
      <c r="K269" s="15">
        <v>0.73</v>
      </c>
      <c r="L269" s="15"/>
      <c r="M269" s="3" t="s">
        <v>438</v>
      </c>
    </row>
    <row r="270" spans="1:24">
      <c r="A270" s="13">
        <v>82.94</v>
      </c>
      <c r="B270" s="13">
        <v>83.27</v>
      </c>
      <c r="C270" s="13">
        <v>81.5</v>
      </c>
      <c r="D270" s="13">
        <v>82.88</v>
      </c>
      <c r="E270" s="13">
        <v>4832501</v>
      </c>
      <c r="F270" s="13" t="s">
        <v>270</v>
      </c>
      <c r="G270" s="18">
        <f t="shared" si="2"/>
        <v>7.2393822393834739E-4</v>
      </c>
      <c r="X270" s="23"/>
    </row>
    <row r="271" spans="1:24">
      <c r="A271" s="13">
        <v>83.06</v>
      </c>
      <c r="B271" s="13">
        <v>83.224999999999994</v>
      </c>
      <c r="C271" s="13">
        <v>82.465000000000003</v>
      </c>
      <c r="D271" s="13">
        <v>82.9</v>
      </c>
      <c r="E271" s="13">
        <v>5088678</v>
      </c>
      <c r="F271" s="13" t="s">
        <v>269</v>
      </c>
      <c r="G271" s="18">
        <f t="shared" si="2"/>
        <v>1.9300361881784411E-3</v>
      </c>
      <c r="I271" s="26" t="s">
        <v>2221</v>
      </c>
      <c r="J271" s="30">
        <v>1994</v>
      </c>
    </row>
    <row r="272" spans="1:24" ht="15" thickBot="1">
      <c r="A272" s="13">
        <v>82.65</v>
      </c>
      <c r="B272" s="13">
        <v>82.8</v>
      </c>
      <c r="C272" s="13">
        <v>81.790000000000006</v>
      </c>
      <c r="D272" s="13">
        <v>82.3</v>
      </c>
      <c r="E272" s="13">
        <v>5436567</v>
      </c>
      <c r="F272" s="13" t="s">
        <v>268</v>
      </c>
      <c r="G272" s="18">
        <f t="shared" si="2"/>
        <v>4.2527339003646247E-3</v>
      </c>
      <c r="I272" s="1" t="s">
        <v>2224</v>
      </c>
      <c r="L272" s="1" t="s">
        <v>2223</v>
      </c>
      <c r="P272" s="1" t="s">
        <v>2222</v>
      </c>
    </row>
    <row r="273" spans="1:20" ht="15" customHeight="1">
      <c r="A273" s="13">
        <v>81.599999999999994</v>
      </c>
      <c r="B273" s="13">
        <v>81.974999999999994</v>
      </c>
      <c r="C273" s="13">
        <v>80.790000000000006</v>
      </c>
      <c r="D273" s="13">
        <v>81.400000000000006</v>
      </c>
      <c r="E273" s="13">
        <v>4618961</v>
      </c>
      <c r="F273" s="13" t="s">
        <v>267</v>
      </c>
      <c r="G273" s="18">
        <f t="shared" si="2"/>
        <v>2.4570024570023108E-3</v>
      </c>
      <c r="I273" s="22" t="s">
        <v>439</v>
      </c>
      <c r="J273" s="22" t="s">
        <v>441</v>
      </c>
      <c r="L273" s="24" t="s">
        <v>2209</v>
      </c>
      <c r="M273" s="25" t="s">
        <v>2208</v>
      </c>
      <c r="P273" s="24" t="s">
        <v>2204</v>
      </c>
      <c r="Q273" s="25" t="s">
        <v>2205</v>
      </c>
    </row>
    <row r="274" spans="1:20" ht="15">
      <c r="A274" s="13">
        <v>81.37</v>
      </c>
      <c r="B274" s="13">
        <v>81.88</v>
      </c>
      <c r="C274" s="13">
        <v>80.5</v>
      </c>
      <c r="D274" s="13">
        <v>81.77</v>
      </c>
      <c r="E274" s="13">
        <v>4462169</v>
      </c>
      <c r="F274" s="13" t="s">
        <v>266</v>
      </c>
      <c r="G274" s="18">
        <f t="shared" si="2"/>
        <v>-4.8917695976518072E-3</v>
      </c>
      <c r="I274" s="20">
        <v>-0.05</v>
      </c>
      <c r="J274">
        <v>1</v>
      </c>
      <c r="L274" s="47">
        <v>-5.0999999999999997E-2</v>
      </c>
      <c r="M274" s="1">
        <f t="shared" ref="M274:M305" si="3">_xlfn.NORM.DIST(L274,$K$265,$K$267,FALSE)</f>
        <v>3.0591924132819574E-2</v>
      </c>
      <c r="O274" s="1" t="s">
        <v>437</v>
      </c>
      <c r="P274" s="9">
        <f>K265</f>
        <v>1.7193071624249672E-4</v>
      </c>
      <c r="Q274" s="1">
        <v>0</v>
      </c>
    </row>
    <row r="275" spans="1:20" ht="15">
      <c r="A275" s="13">
        <v>81.96</v>
      </c>
      <c r="B275" s="13">
        <v>82.47</v>
      </c>
      <c r="C275" s="13">
        <v>81.180000000000007</v>
      </c>
      <c r="D275" s="13">
        <v>81.349999999999994</v>
      </c>
      <c r="E275" s="13">
        <v>4711777</v>
      </c>
      <c r="F275" s="13" t="s">
        <v>265</v>
      </c>
      <c r="G275" s="18">
        <f t="shared" si="2"/>
        <v>7.498463429625124E-3</v>
      </c>
      <c r="I275" s="20">
        <v>-4.9000000000000002E-2</v>
      </c>
      <c r="J275">
        <v>2</v>
      </c>
      <c r="L275" s="47">
        <v>-0.05</v>
      </c>
      <c r="M275" s="1">
        <f t="shared" si="3"/>
        <v>3.9877712361680778E-2</v>
      </c>
      <c r="N275" s="26"/>
      <c r="P275" s="9">
        <f>$K$265</f>
        <v>1.7193071624249672E-4</v>
      </c>
      <c r="Q275" s="1">
        <v>30</v>
      </c>
      <c r="S275" s="9"/>
      <c r="T275" s="18"/>
    </row>
    <row r="276" spans="1:20" ht="15">
      <c r="A276" s="13">
        <v>81.14</v>
      </c>
      <c r="B276" s="13">
        <v>82.08</v>
      </c>
      <c r="C276" s="13">
        <v>80.790000000000006</v>
      </c>
      <c r="D276" s="13">
        <v>81.7</v>
      </c>
      <c r="E276" s="13">
        <v>5456527</v>
      </c>
      <c r="F276" s="13" t="s">
        <v>264</v>
      </c>
      <c r="G276" s="18">
        <f t="shared" si="2"/>
        <v>-6.854345165238751E-3</v>
      </c>
      <c r="I276" s="20">
        <v>-4.8000000000000001E-2</v>
      </c>
      <c r="J276">
        <v>2</v>
      </c>
      <c r="L276" s="47">
        <f t="shared" ref="L276:L284" si="4">L275+0.001</f>
        <v>-4.9000000000000002E-2</v>
      </c>
      <c r="M276" s="1">
        <f t="shared" si="3"/>
        <v>5.1710857815749703E-2</v>
      </c>
      <c r="O276" s="27" t="s">
        <v>2214</v>
      </c>
      <c r="P276" s="9">
        <f>P274+-K267*3</f>
        <v>-4.1305825225752449E-2</v>
      </c>
      <c r="Q276" s="1">
        <v>0</v>
      </c>
      <c r="S276" s="9"/>
      <c r="T276" s="18"/>
    </row>
    <row r="277" spans="1:20" ht="15">
      <c r="A277" s="13">
        <v>81.790000000000006</v>
      </c>
      <c r="B277" s="13">
        <v>82.094999999999999</v>
      </c>
      <c r="C277" s="13">
        <v>80.7</v>
      </c>
      <c r="D277" s="13">
        <v>80.83</v>
      </c>
      <c r="E277" s="13">
        <v>7639891</v>
      </c>
      <c r="F277" s="13" t="s">
        <v>263</v>
      </c>
      <c r="G277" s="18">
        <f t="shared" si="2"/>
        <v>1.1876778423852707E-2</v>
      </c>
      <c r="I277" s="20">
        <v>-4.7E-2</v>
      </c>
      <c r="J277">
        <v>0</v>
      </c>
      <c r="L277" s="47">
        <f t="shared" si="4"/>
        <v>-4.8000000000000001E-2</v>
      </c>
      <c r="M277" s="1">
        <f t="shared" si="3"/>
        <v>6.6705448845555404E-2</v>
      </c>
      <c r="N277" s="26"/>
      <c r="O277" s="10"/>
      <c r="P277" s="9">
        <f>P274+-K267*3</f>
        <v>-4.1305825225752449E-2</v>
      </c>
      <c r="Q277" s="1">
        <v>2</v>
      </c>
      <c r="S277" s="9"/>
      <c r="T277" s="18"/>
    </row>
    <row r="278" spans="1:20" ht="15">
      <c r="A278" s="13">
        <v>80.67</v>
      </c>
      <c r="B278" s="13">
        <v>80.959999999999994</v>
      </c>
      <c r="C278" s="13">
        <v>79.53</v>
      </c>
      <c r="D278" s="13">
        <v>79.67</v>
      </c>
      <c r="E278" s="13">
        <v>5519692</v>
      </c>
      <c r="F278" s="13" t="s">
        <v>262</v>
      </c>
      <c r="G278" s="18">
        <f t="shared" si="2"/>
        <v>1.2551776076314747E-2</v>
      </c>
      <c r="I278" s="20">
        <v>-4.5999999999999999E-2</v>
      </c>
      <c r="J278">
        <v>1</v>
      </c>
      <c r="L278" s="47">
        <f t="shared" si="4"/>
        <v>-4.7E-2</v>
      </c>
      <c r="M278" s="1">
        <f t="shared" si="3"/>
        <v>8.5599049485127199E-2</v>
      </c>
      <c r="O278" s="27" t="s">
        <v>2215</v>
      </c>
      <c r="P278" s="9">
        <f>P274-K267*2</f>
        <v>-2.7479906578420799E-2</v>
      </c>
      <c r="Q278" s="1">
        <v>0</v>
      </c>
      <c r="S278" s="9"/>
      <c r="T278" s="18"/>
    </row>
    <row r="279" spans="1:20" ht="15">
      <c r="A279" s="13">
        <v>79.52</v>
      </c>
      <c r="B279" s="13">
        <v>80.02</v>
      </c>
      <c r="C279" s="13">
        <v>79.03</v>
      </c>
      <c r="D279" s="13">
        <v>80</v>
      </c>
      <c r="E279" s="13">
        <v>4196085</v>
      </c>
      <c r="F279" s="13" t="s">
        <v>261</v>
      </c>
      <c r="G279" s="18">
        <f t="shared" si="2"/>
        <v>-6.0000000000000053E-3</v>
      </c>
      <c r="I279" s="20">
        <v>-4.4999999999999998E-2</v>
      </c>
      <c r="J279">
        <v>1</v>
      </c>
      <c r="L279" s="47">
        <f t="shared" si="4"/>
        <v>-4.5999999999999999E-2</v>
      </c>
      <c r="M279" s="1">
        <f t="shared" si="3"/>
        <v>0.10927092925939848</v>
      </c>
      <c r="N279" s="26"/>
      <c r="O279" s="10"/>
      <c r="P279" s="9">
        <f>P274-K267*2</f>
        <v>-2.7479906578420799E-2</v>
      </c>
      <c r="Q279" s="1">
        <v>5</v>
      </c>
      <c r="S279" s="9"/>
      <c r="T279" s="18"/>
    </row>
    <row r="280" spans="1:20" ht="15">
      <c r="A280" s="13">
        <v>79.83</v>
      </c>
      <c r="B280" s="13">
        <v>79.989999999999995</v>
      </c>
      <c r="C280" s="13">
        <v>79.45</v>
      </c>
      <c r="D280" s="13">
        <v>79.5</v>
      </c>
      <c r="E280" s="13">
        <v>3240527</v>
      </c>
      <c r="F280" s="13" t="s">
        <v>260</v>
      </c>
      <c r="G280" s="18">
        <f t="shared" si="2"/>
        <v>4.1509433962263476E-3</v>
      </c>
      <c r="I280" s="20">
        <v>-4.3999999999999997E-2</v>
      </c>
      <c r="J280">
        <v>1</v>
      </c>
      <c r="L280" s="47">
        <f t="shared" si="4"/>
        <v>-4.4999999999999998E-2</v>
      </c>
      <c r="M280" s="1">
        <f t="shared" si="3"/>
        <v>0.13876131071779618</v>
      </c>
      <c r="O280" s="28" t="s">
        <v>2216</v>
      </c>
      <c r="P280" s="9">
        <f>P274-K267</f>
        <v>-1.3653987931089151E-2</v>
      </c>
      <c r="Q280" s="1">
        <v>0</v>
      </c>
      <c r="T280" s="18"/>
    </row>
    <row r="281" spans="1:20" ht="15">
      <c r="A281" s="13">
        <v>79.47</v>
      </c>
      <c r="B281" s="13">
        <v>79.94</v>
      </c>
      <c r="C281" s="13">
        <v>78.897000000000006</v>
      </c>
      <c r="D281" s="13">
        <v>79.09</v>
      </c>
      <c r="E281" s="13">
        <v>2792071</v>
      </c>
      <c r="F281" s="13" t="s">
        <v>259</v>
      </c>
      <c r="G281" s="18">
        <f t="shared" si="2"/>
        <v>4.8046529270451277E-3</v>
      </c>
      <c r="I281" s="20">
        <v>-4.2999999999999997E-2</v>
      </c>
      <c r="J281">
        <v>0</v>
      </c>
      <c r="L281" s="47">
        <f t="shared" si="4"/>
        <v>-4.3999999999999997E-2</v>
      </c>
      <c r="M281" s="1">
        <f t="shared" si="3"/>
        <v>0.175291240056516</v>
      </c>
      <c r="P281" s="9">
        <f>P274-K267</f>
        <v>-1.3653987931089151E-2</v>
      </c>
      <c r="Q281" s="1">
        <v>20</v>
      </c>
      <c r="T281" s="18"/>
    </row>
    <row r="282" spans="1:20" ht="15">
      <c r="A282" s="13">
        <v>79.17</v>
      </c>
      <c r="B282" s="13">
        <v>79.900000000000006</v>
      </c>
      <c r="C282" s="13">
        <v>78.53</v>
      </c>
      <c r="D282" s="13">
        <v>79.8</v>
      </c>
      <c r="E282" s="13">
        <v>4006157</v>
      </c>
      <c r="F282" s="13" t="s">
        <v>258</v>
      </c>
      <c r="G282" s="18">
        <f t="shared" si="2"/>
        <v>-7.8947368421051767E-3</v>
      </c>
      <c r="I282" s="20">
        <v>-4.1999999999999996E-2</v>
      </c>
      <c r="J282">
        <v>0</v>
      </c>
      <c r="L282" s="47">
        <f t="shared" si="4"/>
        <v>-4.2999999999999997E-2</v>
      </c>
      <c r="M282" s="1">
        <f t="shared" si="3"/>
        <v>0.22028255041662292</v>
      </c>
      <c r="O282" s="1" t="s">
        <v>2211</v>
      </c>
      <c r="P282" s="9">
        <f>P274+K267</f>
        <v>1.3997849363574144E-2</v>
      </c>
      <c r="Q282" s="1">
        <v>0</v>
      </c>
      <c r="T282" s="18"/>
    </row>
    <row r="283" spans="1:20" ht="15">
      <c r="A283" s="13">
        <v>79.58</v>
      </c>
      <c r="B283" s="13">
        <v>79.92</v>
      </c>
      <c r="C283" s="13">
        <v>79</v>
      </c>
      <c r="D283" s="13">
        <v>79.36</v>
      </c>
      <c r="E283" s="13">
        <v>3874343</v>
      </c>
      <c r="F283" s="13" t="s">
        <v>257</v>
      </c>
      <c r="G283" s="18">
        <f t="shared" si="2"/>
        <v>2.7721774193547599E-3</v>
      </c>
      <c r="I283" s="20">
        <v>-4.0999999999999995E-2</v>
      </c>
      <c r="J283">
        <v>1</v>
      </c>
      <c r="L283" s="47">
        <f t="shared" si="4"/>
        <v>-4.1999999999999996E-2</v>
      </c>
      <c r="M283" s="1">
        <f t="shared" si="3"/>
        <v>0.27537723921566615</v>
      </c>
      <c r="P283" s="9">
        <f>P274+K267</f>
        <v>1.3997849363574144E-2</v>
      </c>
      <c r="Q283" s="1">
        <v>20</v>
      </c>
      <c r="S283" s="9"/>
      <c r="T283" s="18"/>
    </row>
    <row r="284" spans="1:20" ht="15">
      <c r="A284" s="13">
        <v>78.81</v>
      </c>
      <c r="B284" s="13">
        <v>78.95</v>
      </c>
      <c r="C284" s="13">
        <v>78.295000000000002</v>
      </c>
      <c r="D284" s="13">
        <v>78.53</v>
      </c>
      <c r="E284" s="13">
        <v>3232615</v>
      </c>
      <c r="F284" s="13" t="s">
        <v>256</v>
      </c>
      <c r="G284" s="18">
        <f t="shared" si="2"/>
        <v>3.5655163631733711E-3</v>
      </c>
      <c r="I284" s="20">
        <v>-0.04</v>
      </c>
      <c r="J284">
        <v>6</v>
      </c>
      <c r="L284" s="47">
        <f t="shared" si="4"/>
        <v>-4.0999999999999995E-2</v>
      </c>
      <c r="M284" s="1">
        <f t="shared" si="3"/>
        <v>0.34245542462452749</v>
      </c>
      <c r="O284" s="23" t="s">
        <v>2210</v>
      </c>
      <c r="P284" s="9">
        <f>P274+K267*2</f>
        <v>2.7823768010905792E-2</v>
      </c>
      <c r="Q284" s="1">
        <v>0</v>
      </c>
      <c r="S284" s="9"/>
      <c r="T284" s="18"/>
    </row>
    <row r="285" spans="1:20" ht="15">
      <c r="A285" s="13">
        <v>78.48</v>
      </c>
      <c r="B285" s="13">
        <v>79.05</v>
      </c>
      <c r="C285" s="13">
        <v>78.080100000000002</v>
      </c>
      <c r="D285" s="13">
        <v>78.900000000000006</v>
      </c>
      <c r="E285" s="13">
        <v>3154194</v>
      </c>
      <c r="F285" s="13" t="s">
        <v>255</v>
      </c>
      <c r="G285" s="18">
        <f t="shared" si="2"/>
        <v>-5.3231939163498332E-3</v>
      </c>
      <c r="I285" s="20">
        <v>-3.9E-2</v>
      </c>
      <c r="J285">
        <v>2</v>
      </c>
      <c r="L285" s="47">
        <v>-0.04</v>
      </c>
      <c r="M285" s="1">
        <f t="shared" si="3"/>
        <v>0.42365088813731527</v>
      </c>
      <c r="P285" s="9">
        <f>P274+K267*2</f>
        <v>2.7823768010905792E-2</v>
      </c>
      <c r="Q285" s="1">
        <v>5</v>
      </c>
      <c r="S285" s="9"/>
      <c r="T285" s="18"/>
    </row>
    <row r="286" spans="1:20" ht="15">
      <c r="A286" s="13">
        <v>78.680000000000007</v>
      </c>
      <c r="B286" s="13">
        <v>78.989999999999995</v>
      </c>
      <c r="C286" s="13">
        <v>77.709999999999994</v>
      </c>
      <c r="D286" s="13">
        <v>78.099999999999994</v>
      </c>
      <c r="E286" s="13">
        <v>4277664</v>
      </c>
      <c r="F286" s="13" t="s">
        <v>254</v>
      </c>
      <c r="G286" s="18">
        <f t="shared" si="2"/>
        <v>7.4263764404611798E-3</v>
      </c>
      <c r="I286" s="20">
        <v>-3.7999999999999999E-2</v>
      </c>
      <c r="J286">
        <v>2</v>
      </c>
      <c r="L286" s="47">
        <f t="shared" ref="L286:L317" si="5">L285+0.001</f>
        <v>-3.9E-2</v>
      </c>
      <c r="M286" s="1">
        <f t="shared" si="3"/>
        <v>0.52136305790835646</v>
      </c>
      <c r="O286" s="23" t="s">
        <v>2212</v>
      </c>
      <c r="P286" s="9">
        <f>P274+K267*3</f>
        <v>4.1649686658237442E-2</v>
      </c>
      <c r="Q286" s="1">
        <v>0</v>
      </c>
      <c r="S286" s="9"/>
      <c r="T286" s="18"/>
    </row>
    <row r="287" spans="1:20" ht="15">
      <c r="A287" s="13">
        <v>78.25</v>
      </c>
      <c r="B287" s="13">
        <v>78.31</v>
      </c>
      <c r="C287" s="13">
        <v>77.287499999999994</v>
      </c>
      <c r="D287" s="13">
        <v>77.680000000000007</v>
      </c>
      <c r="E287" s="13">
        <v>4414404</v>
      </c>
      <c r="F287" s="13" t="s">
        <v>253</v>
      </c>
      <c r="G287" s="18">
        <f t="shared" si="2"/>
        <v>7.3377960865086411E-3</v>
      </c>
      <c r="I287" s="20">
        <v>-3.6999999999999998E-2</v>
      </c>
      <c r="J287">
        <v>3</v>
      </c>
      <c r="L287" s="47">
        <f t="shared" si="5"/>
        <v>-3.7999999999999999E-2</v>
      </c>
      <c r="M287" s="1">
        <f t="shared" si="3"/>
        <v>0.63826415060640307</v>
      </c>
      <c r="O287" s="23"/>
      <c r="P287" s="9">
        <f>P274+K267*3</f>
        <v>4.1649686658237442E-2</v>
      </c>
      <c r="Q287" s="1">
        <v>2</v>
      </c>
      <c r="S287" s="9"/>
      <c r="T287" s="18"/>
    </row>
    <row r="288" spans="1:20" ht="15">
      <c r="A288" s="13">
        <v>77.58</v>
      </c>
      <c r="B288" s="13">
        <v>77.814999999999998</v>
      </c>
      <c r="C288" s="13">
        <v>76.599999999999994</v>
      </c>
      <c r="D288" s="13">
        <v>76.75</v>
      </c>
      <c r="E288" s="13">
        <v>4730327</v>
      </c>
      <c r="F288" s="13" t="s">
        <v>252</v>
      </c>
      <c r="G288" s="18">
        <f t="shared" si="2"/>
        <v>1.0814332247556901E-2</v>
      </c>
      <c r="I288" s="20">
        <v>-3.5999999999999997E-2</v>
      </c>
      <c r="J288">
        <v>3</v>
      </c>
      <c r="L288" s="47">
        <f t="shared" si="5"/>
        <v>-3.6999999999999998E-2</v>
      </c>
      <c r="M288" s="1">
        <f t="shared" si="3"/>
        <v>0.77730007888510488</v>
      </c>
      <c r="S288" s="9"/>
      <c r="T288" s="18"/>
    </row>
    <row r="289" spans="1:20" ht="15">
      <c r="A289" s="13">
        <v>76.42</v>
      </c>
      <c r="B289" s="13">
        <v>76.55</v>
      </c>
      <c r="C289" s="13">
        <v>75.53</v>
      </c>
      <c r="D289" s="13">
        <v>75.94</v>
      </c>
      <c r="E289" s="13">
        <v>3623263</v>
      </c>
      <c r="F289" s="13" t="s">
        <v>251</v>
      </c>
      <c r="G289" s="18">
        <f t="shared" si="2"/>
        <v>6.3207795628128505E-3</v>
      </c>
      <c r="I289" s="20">
        <v>-3.4999999999999996E-2</v>
      </c>
      <c r="J289">
        <v>2</v>
      </c>
      <c r="L289" s="47">
        <f t="shared" si="5"/>
        <v>-3.5999999999999997E-2</v>
      </c>
      <c r="M289" s="1">
        <f t="shared" si="3"/>
        <v>0.94168365924039099</v>
      </c>
      <c r="O289" s="23"/>
      <c r="S289" s="9"/>
      <c r="T289" s="18"/>
    </row>
    <row r="290" spans="1:20" ht="15">
      <c r="A290" s="13">
        <v>75.92</v>
      </c>
      <c r="B290" s="13">
        <v>76.224999999999994</v>
      </c>
      <c r="C290" s="13">
        <v>75.599999999999994</v>
      </c>
      <c r="D290" s="13">
        <v>76.099999999999994</v>
      </c>
      <c r="E290" s="13">
        <v>4011629</v>
      </c>
      <c r="F290" s="13" t="s">
        <v>250</v>
      </c>
      <c r="G290" s="18">
        <f t="shared" si="2"/>
        <v>-2.3653088042049353E-3</v>
      </c>
      <c r="I290" s="20">
        <v>-3.3999999999999996E-2</v>
      </c>
      <c r="J290">
        <v>0</v>
      </c>
      <c r="L290" s="47">
        <f t="shared" si="5"/>
        <v>-3.4999999999999996E-2</v>
      </c>
      <c r="M290" s="1">
        <f t="shared" si="3"/>
        <v>1.1348786337001096</v>
      </c>
      <c r="O290" s="23"/>
      <c r="S290" s="9"/>
      <c r="T290" s="18"/>
    </row>
    <row r="291" spans="1:20" ht="15">
      <c r="A291" s="13">
        <v>75.94</v>
      </c>
      <c r="B291" s="13">
        <v>76.25</v>
      </c>
      <c r="C291" s="13">
        <v>75.44</v>
      </c>
      <c r="D291" s="13">
        <v>75.959999999999994</v>
      </c>
      <c r="E291" s="13">
        <v>4042970</v>
      </c>
      <c r="F291" s="13" t="s">
        <v>249</v>
      </c>
      <c r="G291" s="18">
        <f t="shared" si="2"/>
        <v>-2.6329647182721239E-4</v>
      </c>
      <c r="I291" s="20">
        <v>-3.2999999999999995E-2</v>
      </c>
      <c r="J291">
        <v>2</v>
      </c>
      <c r="L291" s="47">
        <f t="shared" si="5"/>
        <v>-3.3999999999999996E-2</v>
      </c>
      <c r="M291" s="1">
        <f t="shared" si="3"/>
        <v>1.3605730611231091</v>
      </c>
      <c r="O291" s="23"/>
      <c r="S291" s="9"/>
      <c r="T291" s="18"/>
    </row>
    <row r="292" spans="1:20" ht="15">
      <c r="A292" s="13">
        <v>76.19</v>
      </c>
      <c r="B292" s="13">
        <v>76.325000000000003</v>
      </c>
      <c r="C292" s="13">
        <v>74.995000000000005</v>
      </c>
      <c r="D292" s="13">
        <v>75.53</v>
      </c>
      <c r="E292" s="13">
        <v>3835101</v>
      </c>
      <c r="F292" s="13" t="s">
        <v>248</v>
      </c>
      <c r="G292" s="18">
        <f t="shared" si="2"/>
        <v>8.7382497021051275E-3</v>
      </c>
      <c r="I292" s="20">
        <v>-3.1999999999999994E-2</v>
      </c>
      <c r="J292">
        <v>2</v>
      </c>
      <c r="L292" s="47">
        <f t="shared" si="5"/>
        <v>-3.2999999999999995E-2</v>
      </c>
      <c r="M292" s="1">
        <f t="shared" si="3"/>
        <v>1.6226407516959294</v>
      </c>
      <c r="O292" s="23"/>
      <c r="S292" s="9"/>
      <c r="T292" s="18"/>
    </row>
    <row r="293" spans="1:20" ht="15">
      <c r="A293" s="13">
        <v>75.55</v>
      </c>
      <c r="B293" s="13">
        <v>75.775000000000006</v>
      </c>
      <c r="C293" s="13">
        <v>74.010000000000005</v>
      </c>
      <c r="D293" s="13">
        <v>74.28</v>
      </c>
      <c r="E293" s="13">
        <v>4505035</v>
      </c>
      <c r="F293" s="13" t="s">
        <v>247</v>
      </c>
      <c r="G293" s="18">
        <f t="shared" si="2"/>
        <v>1.7097469036079671E-2</v>
      </c>
      <c r="I293" s="20">
        <v>-3.0999999999999993E-2</v>
      </c>
      <c r="J293">
        <v>2</v>
      </c>
      <c r="L293" s="47">
        <f t="shared" si="5"/>
        <v>-3.1999999999999994E-2</v>
      </c>
      <c r="M293" s="1">
        <f t="shared" si="3"/>
        <v>1.9250896215676325</v>
      </c>
      <c r="O293" s="23"/>
      <c r="S293" s="9"/>
      <c r="T293" s="18"/>
    </row>
    <row r="294" spans="1:20" ht="15">
      <c r="A294" s="13">
        <v>73.78</v>
      </c>
      <c r="B294" s="13">
        <v>74.739999999999995</v>
      </c>
      <c r="C294" s="13">
        <v>73.61</v>
      </c>
      <c r="D294" s="13">
        <v>73.8</v>
      </c>
      <c r="E294" s="13">
        <v>4624210</v>
      </c>
      <c r="F294" s="13" t="s">
        <v>246</v>
      </c>
      <c r="G294" s="18">
        <f t="shared" si="2"/>
        <v>-2.7100271002700183E-4</v>
      </c>
      <c r="I294" s="20">
        <v>-2.9999999999999992E-2</v>
      </c>
      <c r="J294">
        <v>6</v>
      </c>
      <c r="L294" s="47">
        <f t="shared" si="5"/>
        <v>-3.0999999999999993E-2</v>
      </c>
      <c r="M294" s="1">
        <f t="shared" si="3"/>
        <v>2.2719961407504448</v>
      </c>
      <c r="O294" s="23"/>
      <c r="S294" s="9"/>
      <c r="T294" s="18"/>
    </row>
    <row r="295" spans="1:20" ht="15">
      <c r="A295" s="13">
        <v>73.760000000000005</v>
      </c>
      <c r="B295" s="13">
        <v>74.77</v>
      </c>
      <c r="C295" s="13">
        <v>73.02</v>
      </c>
      <c r="D295" s="13">
        <v>73.58</v>
      </c>
      <c r="E295" s="13">
        <v>5107344</v>
      </c>
      <c r="F295" s="13" t="s">
        <v>245</v>
      </c>
      <c r="G295" s="18">
        <f t="shared" si="2"/>
        <v>2.4463169339494772E-3</v>
      </c>
      <c r="I295" s="20">
        <v>-2.8999999999999991E-2</v>
      </c>
      <c r="J295">
        <v>5</v>
      </c>
      <c r="L295" s="47">
        <f t="shared" si="5"/>
        <v>-2.9999999999999992E-2</v>
      </c>
      <c r="M295" s="1">
        <f t="shared" si="3"/>
        <v>2.6674254399306507</v>
      </c>
      <c r="O295" s="23"/>
      <c r="S295" s="9"/>
      <c r="T295" s="18"/>
    </row>
    <row r="296" spans="1:20" ht="15">
      <c r="A296" s="13">
        <v>72.959999999999994</v>
      </c>
      <c r="B296" s="13">
        <v>73.575000000000003</v>
      </c>
      <c r="C296" s="13">
        <v>71.88</v>
      </c>
      <c r="D296" s="13">
        <v>73.459999999999994</v>
      </c>
      <c r="E296" s="13">
        <v>7241498</v>
      </c>
      <c r="F296" s="13" t="s">
        <v>244</v>
      </c>
      <c r="G296" s="18">
        <f t="shared" si="2"/>
        <v>-6.8064252654506108E-3</v>
      </c>
      <c r="I296" s="20">
        <v>-2.799999999999999E-2</v>
      </c>
      <c r="J296">
        <v>5</v>
      </c>
      <c r="L296" s="47">
        <f t="shared" si="5"/>
        <v>-2.8999999999999991E-2</v>
      </c>
      <c r="M296" s="1">
        <f t="shared" si="3"/>
        <v>3.1153371293936116</v>
      </c>
      <c r="O296" s="23"/>
      <c r="S296" s="9"/>
      <c r="T296" s="18"/>
    </row>
    <row r="297" spans="1:20" ht="15">
      <c r="A297" s="13">
        <v>74.5</v>
      </c>
      <c r="B297" s="13">
        <v>75.36</v>
      </c>
      <c r="C297" s="13">
        <v>73.34</v>
      </c>
      <c r="D297" s="13">
        <v>75.12</v>
      </c>
      <c r="E297" s="13">
        <v>5500518</v>
      </c>
      <c r="F297" s="13" t="s">
        <v>243</v>
      </c>
      <c r="G297" s="18">
        <f t="shared" si="2"/>
        <v>-8.2534611288604953E-3</v>
      </c>
      <c r="I297" s="20">
        <v>-2.6999999999999989E-2</v>
      </c>
      <c r="J297">
        <v>5</v>
      </c>
      <c r="L297" s="47">
        <f t="shared" si="5"/>
        <v>-2.799999999999999E-2</v>
      </c>
      <c r="M297" s="1">
        <f t="shared" si="3"/>
        <v>3.6194774589502758</v>
      </c>
      <c r="O297" s="23"/>
      <c r="S297" s="9"/>
      <c r="T297" s="18"/>
    </row>
    <row r="298" spans="1:20" ht="15">
      <c r="A298" s="13">
        <v>75.16</v>
      </c>
      <c r="B298" s="13">
        <v>75.180000000000007</v>
      </c>
      <c r="C298" s="13">
        <v>73.86</v>
      </c>
      <c r="D298" s="13">
        <v>74.12</v>
      </c>
      <c r="E298" s="13">
        <v>5946254</v>
      </c>
      <c r="F298" s="13" t="s">
        <v>242</v>
      </c>
      <c r="G298" s="18">
        <f t="shared" si="2"/>
        <v>1.403130059363189E-2</v>
      </c>
      <c r="I298" s="20">
        <v>-2.5999999999999988E-2</v>
      </c>
      <c r="J298">
        <v>7</v>
      </c>
      <c r="L298" s="47">
        <f t="shared" si="5"/>
        <v>-2.6999999999999989E-2</v>
      </c>
      <c r="M298" s="1">
        <f t="shared" si="3"/>
        <v>4.1832590983783016</v>
      </c>
      <c r="O298" s="23"/>
      <c r="S298" s="9"/>
      <c r="T298" s="18"/>
    </row>
    <row r="299" spans="1:20" ht="15">
      <c r="A299" s="13">
        <v>73.88</v>
      </c>
      <c r="B299" s="13">
        <v>74.566000000000003</v>
      </c>
      <c r="C299" s="13">
        <v>73.47</v>
      </c>
      <c r="D299" s="13">
        <v>74.5</v>
      </c>
      <c r="E299" s="13">
        <v>8446689</v>
      </c>
      <c r="F299" s="13" t="s">
        <v>241</v>
      </c>
      <c r="G299" s="18">
        <f t="shared" si="2"/>
        <v>-8.322147651006806E-3</v>
      </c>
      <c r="I299" s="20">
        <v>-2.4999999999999988E-2</v>
      </c>
      <c r="J299">
        <v>7</v>
      </c>
      <c r="L299" s="47">
        <f t="shared" si="5"/>
        <v>-2.5999999999999988E-2</v>
      </c>
      <c r="M299" s="1">
        <f t="shared" si="3"/>
        <v>4.8096305236886279</v>
      </c>
      <c r="O299" s="23"/>
      <c r="S299" s="9"/>
      <c r="T299" s="18"/>
    </row>
    <row r="300" spans="1:20" ht="15">
      <c r="A300" s="13">
        <v>74.03</v>
      </c>
      <c r="B300" s="13">
        <v>75.489999999999995</v>
      </c>
      <c r="C300" s="13">
        <v>73.424999999999997</v>
      </c>
      <c r="D300" s="13">
        <v>75.3</v>
      </c>
      <c r="E300" s="13">
        <v>9997486</v>
      </c>
      <c r="F300" s="13" t="s">
        <v>240</v>
      </c>
      <c r="G300" s="18">
        <f t="shared" si="2"/>
        <v>-1.6865869853917581E-2</v>
      </c>
      <c r="I300" s="20">
        <v>-2.3999999999999987E-2</v>
      </c>
      <c r="J300">
        <v>6</v>
      </c>
      <c r="L300" s="47">
        <f t="shared" si="5"/>
        <v>-2.4999999999999988E-2</v>
      </c>
      <c r="M300" s="1">
        <f t="shared" si="3"/>
        <v>5.500937729202823</v>
      </c>
      <c r="O300" s="23"/>
      <c r="S300" s="9"/>
      <c r="T300" s="18"/>
    </row>
    <row r="301" spans="1:20" ht="15">
      <c r="A301" s="13">
        <v>75.59</v>
      </c>
      <c r="B301" s="13">
        <v>75.704999999999998</v>
      </c>
      <c r="C301" s="13">
        <v>74.459999999999994</v>
      </c>
      <c r="D301" s="13">
        <v>75.22</v>
      </c>
      <c r="E301" s="13">
        <v>6993250</v>
      </c>
      <c r="F301" s="13" t="s">
        <v>239</v>
      </c>
      <c r="G301" s="18">
        <f t="shared" si="2"/>
        <v>4.9189045466631054E-3</v>
      </c>
      <c r="I301" s="20">
        <v>-2.2999999999999986E-2</v>
      </c>
      <c r="J301">
        <v>8</v>
      </c>
      <c r="L301" s="47">
        <f t="shared" si="5"/>
        <v>-2.3999999999999987E-2</v>
      </c>
      <c r="M301" s="1">
        <f t="shared" si="3"/>
        <v>6.2587817166679685</v>
      </c>
      <c r="O301" s="23"/>
      <c r="S301" s="9"/>
      <c r="T301" s="18"/>
    </row>
    <row r="302" spans="1:20" ht="15">
      <c r="A302" s="13">
        <v>74.92</v>
      </c>
      <c r="B302" s="13">
        <v>75.673699999999997</v>
      </c>
      <c r="C302" s="13">
        <v>74.42</v>
      </c>
      <c r="D302" s="13">
        <v>74.5</v>
      </c>
      <c r="E302" s="13">
        <v>7973424</v>
      </c>
      <c r="F302" s="13" t="s">
        <v>238</v>
      </c>
      <c r="G302" s="18">
        <f t="shared" si="2"/>
        <v>5.6375838926174815E-3</v>
      </c>
      <c r="I302" s="20">
        <v>-2.1999999999999985E-2</v>
      </c>
      <c r="J302">
        <v>6</v>
      </c>
      <c r="L302" s="47">
        <f t="shared" si="5"/>
        <v>-2.2999999999999986E-2</v>
      </c>
      <c r="M302" s="1">
        <f t="shared" si="3"/>
        <v>7.083875903123368</v>
      </c>
      <c r="O302" s="23"/>
      <c r="S302" s="9"/>
      <c r="T302" s="18"/>
    </row>
    <row r="303" spans="1:20" ht="15">
      <c r="A303" s="13">
        <v>74.260000000000005</v>
      </c>
      <c r="B303" s="13">
        <v>78.760000000000005</v>
      </c>
      <c r="C303" s="13">
        <v>74.13</v>
      </c>
      <c r="D303" s="13">
        <v>78.25</v>
      </c>
      <c r="E303" s="13">
        <v>10960810</v>
      </c>
      <c r="F303" s="13" t="s">
        <v>237</v>
      </c>
      <c r="G303" s="18">
        <f t="shared" si="2"/>
        <v>-5.0990415335463224E-2</v>
      </c>
      <c r="I303" s="20">
        <v>-2.0999999999999984E-2</v>
      </c>
      <c r="J303">
        <v>10</v>
      </c>
      <c r="L303" s="47">
        <f t="shared" si="5"/>
        <v>-2.1999999999999985E-2</v>
      </c>
      <c r="M303" s="1">
        <f t="shared" si="3"/>
        <v>7.975908198131517</v>
      </c>
      <c r="O303" s="23"/>
      <c r="S303" s="9"/>
      <c r="T303" s="18"/>
    </row>
    <row r="304" spans="1:20" ht="15">
      <c r="A304" s="13">
        <v>77.760000000000005</v>
      </c>
      <c r="B304" s="13">
        <v>78.09</v>
      </c>
      <c r="C304" s="13">
        <v>75.41</v>
      </c>
      <c r="D304" s="13">
        <v>76.599999999999994</v>
      </c>
      <c r="E304" s="13">
        <v>15546852</v>
      </c>
      <c r="F304" s="13" t="s">
        <v>236</v>
      </c>
      <c r="G304" s="18">
        <f t="shared" si="2"/>
        <v>1.5143603133159322E-2</v>
      </c>
      <c r="I304" s="20">
        <v>-1.9999999999999983E-2</v>
      </c>
      <c r="J304">
        <v>10</v>
      </c>
      <c r="L304" s="47">
        <f t="shared" si="5"/>
        <v>-2.0999999999999984E-2</v>
      </c>
      <c r="M304" s="1">
        <f t="shared" si="3"/>
        <v>8.9334129859111631</v>
      </c>
      <c r="O304" s="23"/>
      <c r="S304" s="9"/>
      <c r="T304" s="18"/>
    </row>
    <row r="305" spans="1:25" ht="15">
      <c r="A305" s="13">
        <v>78.59</v>
      </c>
      <c r="B305" s="13">
        <v>79.430000000000007</v>
      </c>
      <c r="C305" s="13">
        <v>78.19</v>
      </c>
      <c r="D305" s="13">
        <v>78.56</v>
      </c>
      <c r="E305" s="13">
        <v>6718960</v>
      </c>
      <c r="F305" s="13" t="s">
        <v>235</v>
      </c>
      <c r="G305" s="18">
        <f t="shared" si="2"/>
        <v>3.8187372708753387E-4</v>
      </c>
      <c r="I305" s="20">
        <v>-1.8999999999999982E-2</v>
      </c>
      <c r="J305">
        <v>18</v>
      </c>
      <c r="L305" s="47">
        <f t="shared" si="5"/>
        <v>-1.9999999999999983E-2</v>
      </c>
      <c r="M305" s="1">
        <f t="shared" si="3"/>
        <v>9.9536585672914555</v>
      </c>
      <c r="O305" s="23"/>
      <c r="S305" s="9"/>
      <c r="T305" s="18"/>
    </row>
    <row r="306" spans="1:25" ht="15">
      <c r="A306" s="13">
        <v>78.27</v>
      </c>
      <c r="B306" s="13">
        <v>78.635000000000005</v>
      </c>
      <c r="C306" s="13">
        <v>77.47</v>
      </c>
      <c r="D306" s="13">
        <v>77.67</v>
      </c>
      <c r="E306" s="13">
        <v>6471013</v>
      </c>
      <c r="F306" s="13" t="s">
        <v>234</v>
      </c>
      <c r="G306" s="18">
        <f t="shared" ref="G306:G369" si="6">A306/D306-1</f>
        <v>7.7249903437619505E-3</v>
      </c>
      <c r="I306" s="20">
        <v>-1.7999999999999981E-2</v>
      </c>
      <c r="J306">
        <v>12</v>
      </c>
      <c r="L306" s="47">
        <f t="shared" si="5"/>
        <v>-1.8999999999999982E-2</v>
      </c>
      <c r="M306" s="1">
        <f t="shared" ref="M306:M337" si="7">_xlfn.NORM.DIST(L306,$K$265,$K$267,FALSE)</f>
        <v>11.032555732128332</v>
      </c>
      <c r="O306" s="23"/>
      <c r="S306" s="9"/>
      <c r="T306" s="18"/>
    </row>
    <row r="307" spans="1:25" ht="15">
      <c r="A307" s="13">
        <v>77.56</v>
      </c>
      <c r="B307" s="13">
        <v>77.685000000000002</v>
      </c>
      <c r="C307" s="13">
        <v>76.22</v>
      </c>
      <c r="D307" s="13">
        <v>76.900000000000006</v>
      </c>
      <c r="E307" s="13">
        <v>7913032</v>
      </c>
      <c r="F307" s="13" t="s">
        <v>233</v>
      </c>
      <c r="G307" s="18">
        <f t="shared" si="6"/>
        <v>8.5825747724317392E-3</v>
      </c>
      <c r="I307" s="20">
        <v>-1.699999999999998E-2</v>
      </c>
      <c r="J307">
        <v>11</v>
      </c>
      <c r="L307" s="47">
        <f t="shared" si="5"/>
        <v>-1.7999999999999981E-2</v>
      </c>
      <c r="M307" s="1">
        <f t="shared" si="7"/>
        <v>12.164593013007199</v>
      </c>
      <c r="O307" s="23"/>
      <c r="S307" s="9"/>
      <c r="T307" s="18"/>
    </row>
    <row r="308" spans="1:25" ht="15">
      <c r="A308" s="13">
        <v>75.55</v>
      </c>
      <c r="B308" s="13">
        <v>77.650000000000006</v>
      </c>
      <c r="C308" s="13">
        <v>74.152900000000002</v>
      </c>
      <c r="D308" s="13">
        <v>77.2</v>
      </c>
      <c r="E308" s="13">
        <v>9579826</v>
      </c>
      <c r="F308" s="13" t="s">
        <v>232</v>
      </c>
      <c r="G308" s="18">
        <f t="shared" si="6"/>
        <v>-2.1373056994818729E-2</v>
      </c>
      <c r="I308" s="20">
        <v>-1.599999999999998E-2</v>
      </c>
      <c r="J308">
        <v>23</v>
      </c>
      <c r="L308" s="47">
        <f t="shared" si="5"/>
        <v>-1.699999999999998E-2</v>
      </c>
      <c r="M308" s="1">
        <f t="shared" si="7"/>
        <v>13.342803792782865</v>
      </c>
      <c r="O308" s="23"/>
      <c r="S308" s="9"/>
      <c r="T308" s="18"/>
    </row>
    <row r="309" spans="1:25" ht="15">
      <c r="A309" s="13">
        <v>77.41</v>
      </c>
      <c r="B309" s="13">
        <v>78.39</v>
      </c>
      <c r="C309" s="13">
        <v>77.08</v>
      </c>
      <c r="D309" s="13">
        <v>78.069999999999993</v>
      </c>
      <c r="E309" s="13">
        <v>5215180</v>
      </c>
      <c r="F309" s="13" t="s">
        <v>231</v>
      </c>
      <c r="G309" s="18">
        <f t="shared" si="6"/>
        <v>-8.4539515819136435E-3</v>
      </c>
      <c r="I309" s="20">
        <v>-1.4999999999999979E-2</v>
      </c>
      <c r="J309">
        <v>20</v>
      </c>
      <c r="L309" s="47">
        <f t="shared" si="5"/>
        <v>-1.599999999999998E-2</v>
      </c>
      <c r="M309" s="1">
        <f t="shared" si="7"/>
        <v>14.558769790307135</v>
      </c>
      <c r="O309" s="23"/>
      <c r="S309" s="9"/>
      <c r="T309" s="18"/>
    </row>
    <row r="310" spans="1:25" ht="15">
      <c r="A310" s="13">
        <v>78.14</v>
      </c>
      <c r="B310" s="13">
        <v>78.459999999999994</v>
      </c>
      <c r="C310" s="13">
        <v>77.64</v>
      </c>
      <c r="D310" s="13">
        <v>78.010000000000005</v>
      </c>
      <c r="E310" s="13">
        <v>4243343</v>
      </c>
      <c r="F310" s="13" t="s">
        <v>230</v>
      </c>
      <c r="G310" s="18">
        <f t="shared" si="6"/>
        <v>1.6664530188437165E-3</v>
      </c>
      <c r="I310" s="20">
        <v>-1.3999999999999978E-2</v>
      </c>
      <c r="J310">
        <v>29</v>
      </c>
      <c r="L310" s="47">
        <f t="shared" si="5"/>
        <v>-1.4999999999999979E-2</v>
      </c>
      <c r="M310" s="1">
        <f t="shared" si="7"/>
        <v>15.802664532564007</v>
      </c>
      <c r="O310" s="23"/>
      <c r="S310" s="9"/>
      <c r="T310" s="18"/>
    </row>
    <row r="311" spans="1:25" ht="15">
      <c r="A311" s="13">
        <v>78.02</v>
      </c>
      <c r="B311" s="13">
        <v>78.98</v>
      </c>
      <c r="C311" s="13">
        <v>77.709999999999994</v>
      </c>
      <c r="D311" s="13">
        <v>78</v>
      </c>
      <c r="E311" s="13">
        <v>6481831</v>
      </c>
      <c r="F311" s="13" t="s">
        <v>229</v>
      </c>
      <c r="G311" s="18">
        <f t="shared" si="6"/>
        <v>2.5641025641021109E-4</v>
      </c>
      <c r="I311" s="20">
        <v>-1.2999999999999977E-2</v>
      </c>
      <c r="J311">
        <v>18</v>
      </c>
      <c r="L311" s="47">
        <f t="shared" si="5"/>
        <v>-1.3999999999999978E-2</v>
      </c>
      <c r="M311" s="1">
        <f t="shared" si="7"/>
        <v>17.063339254211055</v>
      </c>
      <c r="O311" s="23"/>
      <c r="S311" s="9"/>
      <c r="T311" s="18"/>
    </row>
    <row r="312" spans="1:25" ht="15">
      <c r="A312" s="13">
        <v>77.69</v>
      </c>
      <c r="B312" s="13">
        <v>77.879900000000006</v>
      </c>
      <c r="C312" s="13">
        <v>76.67</v>
      </c>
      <c r="D312" s="13">
        <v>76.88</v>
      </c>
      <c r="E312" s="13">
        <v>4430852</v>
      </c>
      <c r="F312" s="13" t="s">
        <v>228</v>
      </c>
      <c r="G312" s="18">
        <f t="shared" si="6"/>
        <v>1.053590010405836E-2</v>
      </c>
      <c r="I312" s="20">
        <v>-1.1999999999999976E-2</v>
      </c>
      <c r="J312">
        <v>30</v>
      </c>
      <c r="L312" s="47">
        <f t="shared" si="5"/>
        <v>-1.2999999999999977E-2</v>
      </c>
      <c r="M312" s="1">
        <f t="shared" si="7"/>
        <v>18.328452279441191</v>
      </c>
      <c r="O312" s="23"/>
      <c r="S312" s="9"/>
      <c r="T312" s="18"/>
    </row>
    <row r="313" spans="1:25" ht="15">
      <c r="A313" s="13">
        <v>76.89</v>
      </c>
      <c r="B313" s="13">
        <v>77.234999999999999</v>
      </c>
      <c r="C313" s="13">
        <v>76.607799999999997</v>
      </c>
      <c r="D313" s="13">
        <v>77.08</v>
      </c>
      <c r="E313" s="13">
        <v>5818465</v>
      </c>
      <c r="F313" s="13" t="s">
        <v>227</v>
      </c>
      <c r="G313" s="18">
        <f t="shared" si="6"/>
        <v>-2.464971458225218E-3</v>
      </c>
      <c r="I313" s="20">
        <v>-1.0999999999999975E-2</v>
      </c>
      <c r="J313">
        <v>44</v>
      </c>
      <c r="L313" s="47">
        <f t="shared" si="5"/>
        <v>-1.1999999999999976E-2</v>
      </c>
      <c r="M313" s="1">
        <f t="shared" si="7"/>
        <v>19.584641383352356</v>
      </c>
      <c r="O313" s="23"/>
      <c r="S313" s="9"/>
      <c r="T313" s="18"/>
    </row>
    <row r="314" spans="1:25" ht="15">
      <c r="A314" s="13">
        <v>77.11</v>
      </c>
      <c r="B314" s="13">
        <v>77.150000000000006</v>
      </c>
      <c r="C314" s="13">
        <v>76.03</v>
      </c>
      <c r="D314" s="13">
        <v>76.55</v>
      </c>
      <c r="E314" s="13">
        <v>3335061</v>
      </c>
      <c r="F314" s="13" t="s">
        <v>226</v>
      </c>
      <c r="G314" s="18">
        <f t="shared" si="6"/>
        <v>7.315480078380121E-3</v>
      </c>
      <c r="I314" s="20">
        <v>-9.9999999999999742E-3</v>
      </c>
      <c r="J314">
        <v>37</v>
      </c>
      <c r="L314" s="47">
        <f t="shared" si="5"/>
        <v>-1.0999999999999975E-2</v>
      </c>
      <c r="M314" s="1">
        <f t="shared" si="7"/>
        <v>20.817736961441405</v>
      </c>
      <c r="O314" s="23"/>
      <c r="S314" s="9"/>
      <c r="T314" s="18"/>
    </row>
    <row r="315" spans="1:25" ht="15">
      <c r="A315" s="13">
        <v>76.510000000000005</v>
      </c>
      <c r="B315" s="13">
        <v>76.75</v>
      </c>
      <c r="C315" s="13">
        <v>76.069999999999993</v>
      </c>
      <c r="D315" s="13">
        <v>76.45</v>
      </c>
      <c r="E315" s="13">
        <v>3954708</v>
      </c>
      <c r="F315" s="13" t="s">
        <v>225</v>
      </c>
      <c r="G315" s="18">
        <f t="shared" si="6"/>
        <v>7.8482668410728706E-4</v>
      </c>
      <c r="I315" s="20">
        <v>-8.9999999999999733E-3</v>
      </c>
      <c r="J315">
        <v>41</v>
      </c>
      <c r="L315" s="47">
        <f t="shared" si="5"/>
        <v>-9.9999999999999742E-3</v>
      </c>
      <c r="M315" s="1">
        <f t="shared" si="7"/>
        <v>22.013012128380719</v>
      </c>
      <c r="O315" s="23"/>
      <c r="S315" s="9"/>
      <c r="T315" s="18"/>
    </row>
    <row r="316" spans="1:25" ht="15">
      <c r="A316" s="13">
        <v>76.11</v>
      </c>
      <c r="B316" s="13">
        <v>76.430000000000007</v>
      </c>
      <c r="C316" s="13">
        <v>75.989999999999995</v>
      </c>
      <c r="D316" s="13">
        <v>76.37</v>
      </c>
      <c r="E316" s="13">
        <v>4537746</v>
      </c>
      <c r="F316" s="13" t="s">
        <v>224</v>
      </c>
      <c r="G316" s="18">
        <f t="shared" si="6"/>
        <v>-3.4044781982454086E-3</v>
      </c>
      <c r="I316" s="20">
        <v>-7.9999999999999724E-3</v>
      </c>
      <c r="J316">
        <v>54</v>
      </c>
      <c r="L316" s="47">
        <f t="shared" si="5"/>
        <v>-8.9999999999999733E-3</v>
      </c>
      <c r="M316" s="1">
        <f t="shared" si="7"/>
        <v>23.155464200656759</v>
      </c>
      <c r="O316" s="23"/>
      <c r="S316" s="9"/>
      <c r="T316" s="18"/>
    </row>
    <row r="317" spans="1:25" ht="15">
      <c r="A317" s="13">
        <v>76.400000000000006</v>
      </c>
      <c r="B317" s="13">
        <v>76.680000000000007</v>
      </c>
      <c r="C317" s="13">
        <v>75.77</v>
      </c>
      <c r="D317" s="13">
        <v>76.56</v>
      </c>
      <c r="E317" s="13">
        <v>4641155</v>
      </c>
      <c r="F317" s="13" t="s">
        <v>223</v>
      </c>
      <c r="G317" s="18">
        <f t="shared" si="6"/>
        <v>-2.089864158829613E-3</v>
      </c>
      <c r="I317" s="20">
        <v>-6.9999999999999724E-3</v>
      </c>
      <c r="J317">
        <v>55</v>
      </c>
      <c r="L317" s="47">
        <f t="shared" si="5"/>
        <v>-7.9999999999999724E-3</v>
      </c>
      <c r="M317" s="1">
        <f t="shared" si="7"/>
        <v>24.230120475407347</v>
      </c>
      <c r="O317" s="23"/>
      <c r="S317" s="9"/>
      <c r="T317" s="18"/>
    </row>
    <row r="318" spans="1:25" ht="15">
      <c r="A318" s="13">
        <v>76.11</v>
      </c>
      <c r="B318" s="13">
        <v>77</v>
      </c>
      <c r="C318" s="13">
        <v>75.709999999999994</v>
      </c>
      <c r="D318" s="13">
        <v>76.8</v>
      </c>
      <c r="E318" s="13">
        <v>2144448</v>
      </c>
      <c r="F318" s="13" t="s">
        <v>222</v>
      </c>
      <c r="G318" s="18">
        <f t="shared" si="6"/>
        <v>-8.9843749999999334E-3</v>
      </c>
      <c r="I318" s="20">
        <v>-5.9999999999999724E-3</v>
      </c>
      <c r="J318">
        <v>62</v>
      </c>
      <c r="L318" s="47">
        <f t="shared" ref="L318:L349" si="8">L317+0.001</f>
        <v>-6.9999999999999724E-3</v>
      </c>
      <c r="M318" s="1">
        <f t="shared" si="7"/>
        <v>25.222359882376647</v>
      </c>
      <c r="O318" s="23"/>
      <c r="S318" s="9"/>
      <c r="T318" s="18"/>
      <c r="Y318" s="18"/>
    </row>
    <row r="319" spans="1:25" ht="15">
      <c r="A319" s="13">
        <v>76.55</v>
      </c>
      <c r="B319" s="13">
        <v>76.73</v>
      </c>
      <c r="C319" s="13">
        <v>75.91</v>
      </c>
      <c r="D319" s="13">
        <v>76.39</v>
      </c>
      <c r="E319" s="13">
        <v>3321846</v>
      </c>
      <c r="F319" s="13" t="s">
        <v>221</v>
      </c>
      <c r="G319" s="18">
        <f t="shared" si="6"/>
        <v>2.0945149888729198E-3</v>
      </c>
      <c r="I319" s="20">
        <v>-4.9999999999999723E-3</v>
      </c>
      <c r="J319">
        <v>53</v>
      </c>
      <c r="L319" s="47">
        <f t="shared" si="8"/>
        <v>-5.9999999999999724E-3</v>
      </c>
      <c r="M319" s="1">
        <f t="shared" si="7"/>
        <v>26.118241033919514</v>
      </c>
      <c r="O319" s="23"/>
      <c r="S319" s="9"/>
      <c r="T319" s="18"/>
      <c r="Y319" s="18"/>
    </row>
    <row r="320" spans="1:25" ht="15">
      <c r="A320" s="13">
        <v>76.41</v>
      </c>
      <c r="B320" s="13">
        <v>77.95</v>
      </c>
      <c r="C320" s="13">
        <v>76.239999999999995</v>
      </c>
      <c r="D320" s="13">
        <v>77.3</v>
      </c>
      <c r="E320" s="13">
        <v>4234519</v>
      </c>
      <c r="F320" s="13" t="s">
        <v>220</v>
      </c>
      <c r="G320" s="18">
        <f t="shared" si="6"/>
        <v>-1.1513583441138397E-2</v>
      </c>
      <c r="I320" s="20">
        <v>-3.9999999999999723E-3</v>
      </c>
      <c r="J320">
        <v>59</v>
      </c>
      <c r="L320" s="47">
        <f t="shared" si="8"/>
        <v>-4.9999999999999723E-3</v>
      </c>
      <c r="M320" s="1">
        <f t="shared" si="7"/>
        <v>26.904826495305016</v>
      </c>
      <c r="O320" s="23"/>
      <c r="S320" s="9"/>
      <c r="T320" s="18"/>
      <c r="Y320" s="18"/>
    </row>
    <row r="321" spans="1:25" ht="15">
      <c r="A321" s="13">
        <v>77.010000000000005</v>
      </c>
      <c r="B321" s="13">
        <v>77.435000000000002</v>
      </c>
      <c r="C321" s="13">
        <v>76.7</v>
      </c>
      <c r="D321" s="13">
        <v>77.010000000000005</v>
      </c>
      <c r="E321" s="13">
        <v>7714856</v>
      </c>
      <c r="F321" s="13" t="s">
        <v>219</v>
      </c>
      <c r="G321" s="18">
        <f t="shared" si="6"/>
        <v>0</v>
      </c>
      <c r="I321" s="20">
        <v>-2.9999999999999723E-3</v>
      </c>
      <c r="J321">
        <v>70</v>
      </c>
      <c r="L321" s="47">
        <f t="shared" si="8"/>
        <v>-3.9999999999999723E-3</v>
      </c>
      <c r="M321" s="1">
        <f t="shared" si="7"/>
        <v>27.570492794901046</v>
      </c>
      <c r="O321" s="23"/>
      <c r="S321" s="9"/>
      <c r="T321" s="18"/>
      <c r="Y321" s="18"/>
    </row>
    <row r="322" spans="1:25" ht="15">
      <c r="A322" s="13">
        <v>77</v>
      </c>
      <c r="B322" s="13">
        <v>77.5</v>
      </c>
      <c r="C322" s="13">
        <v>76.650000000000006</v>
      </c>
      <c r="D322" s="13">
        <v>77.150000000000006</v>
      </c>
      <c r="E322" s="13">
        <v>4196200</v>
      </c>
      <c r="F322" s="13" t="s">
        <v>218</v>
      </c>
      <c r="G322" s="18">
        <f t="shared" si="6"/>
        <v>-1.9442644199612058E-3</v>
      </c>
      <c r="I322" s="20">
        <v>-1.9999999999999723E-3</v>
      </c>
      <c r="J322">
        <v>69</v>
      </c>
      <c r="L322" s="47">
        <f t="shared" si="8"/>
        <v>-2.9999999999999723E-3</v>
      </c>
      <c r="M322" s="1">
        <f t="shared" si="7"/>
        <v>28.105215823006972</v>
      </c>
      <c r="O322" s="23"/>
      <c r="S322" s="9"/>
      <c r="T322" s="18"/>
      <c r="Y322" s="18"/>
    </row>
    <row r="323" spans="1:25" ht="15">
      <c r="A323" s="13">
        <v>77.099999999999994</v>
      </c>
      <c r="B323" s="13">
        <v>77.424999999999997</v>
      </c>
      <c r="C323" s="13">
        <v>76.760000000000005</v>
      </c>
      <c r="D323" s="13">
        <v>77.17</v>
      </c>
      <c r="E323" s="13">
        <v>6013179</v>
      </c>
      <c r="F323" s="13" t="s">
        <v>217</v>
      </c>
      <c r="G323" s="18">
        <f t="shared" si="6"/>
        <v>-9.0708824672813826E-4</v>
      </c>
      <c r="I323" s="20">
        <v>-9.9999999999997227E-4</v>
      </c>
      <c r="J323">
        <v>72</v>
      </c>
      <c r="L323" s="47">
        <f t="shared" si="8"/>
        <v>-1.9999999999999723E-3</v>
      </c>
      <c r="M323" s="1">
        <f t="shared" si="7"/>
        <v>28.500821839438292</v>
      </c>
      <c r="O323" s="23"/>
      <c r="S323" s="9"/>
      <c r="T323" s="18"/>
      <c r="Y323" s="18"/>
    </row>
    <row r="324" spans="1:25" ht="15">
      <c r="A324" s="13">
        <v>77.510000000000005</v>
      </c>
      <c r="B324" s="13">
        <v>77.599999999999994</v>
      </c>
      <c r="C324" s="13">
        <v>76.635000000000005</v>
      </c>
      <c r="D324" s="13">
        <v>76.900000000000006</v>
      </c>
      <c r="E324" s="13">
        <v>6238098</v>
      </c>
      <c r="F324" s="13" t="s">
        <v>216</v>
      </c>
      <c r="G324" s="18">
        <f t="shared" si="6"/>
        <v>7.9323797139141394E-3</v>
      </c>
      <c r="I324" s="20">
        <v>2.7755575615628914E-17</v>
      </c>
      <c r="J324">
        <v>83</v>
      </c>
      <c r="L324" s="47">
        <f t="shared" si="8"/>
        <v>-9.9999999999997227E-4</v>
      </c>
      <c r="M324" s="1">
        <f t="shared" si="7"/>
        <v>28.751195310794607</v>
      </c>
      <c r="O324" s="23"/>
      <c r="S324" s="9"/>
      <c r="T324" s="18"/>
      <c r="Y324" s="18"/>
    </row>
    <row r="325" spans="1:25" ht="15">
      <c r="A325" s="13">
        <v>76.709999999999994</v>
      </c>
      <c r="B325" s="13">
        <v>77.989999999999995</v>
      </c>
      <c r="C325" s="13">
        <v>76.540000000000006</v>
      </c>
      <c r="D325" s="13">
        <v>77.7</v>
      </c>
      <c r="E325" s="13">
        <v>5594645</v>
      </c>
      <c r="F325" s="13" t="s">
        <v>215</v>
      </c>
      <c r="G325" s="18">
        <f t="shared" si="6"/>
        <v>-1.2741312741312849E-2</v>
      </c>
      <c r="I325" s="20">
        <v>1.0000000000000278E-3</v>
      </c>
      <c r="J325">
        <v>62</v>
      </c>
      <c r="L325" s="47">
        <f t="shared" si="8"/>
        <v>2.7755575615628914E-17</v>
      </c>
      <c r="M325" s="1">
        <f t="shared" si="7"/>
        <v>28.852436193024193</v>
      </c>
      <c r="O325" s="23"/>
      <c r="S325" s="9"/>
      <c r="T325" s="18"/>
      <c r="Y325" s="18"/>
    </row>
    <row r="326" spans="1:25" ht="15">
      <c r="A326" s="13">
        <v>77.709999999999994</v>
      </c>
      <c r="B326" s="13">
        <v>77.81</v>
      </c>
      <c r="C326" s="13">
        <v>76.900000000000006</v>
      </c>
      <c r="D326" s="13">
        <v>77.099999999999994</v>
      </c>
      <c r="E326" s="13">
        <v>9938194</v>
      </c>
      <c r="F326" s="13" t="s">
        <v>214</v>
      </c>
      <c r="G326" s="18">
        <f t="shared" si="6"/>
        <v>7.9118028534370666E-3</v>
      </c>
      <c r="I326" s="20">
        <v>2.0000000000000278E-3</v>
      </c>
      <c r="J326">
        <v>80</v>
      </c>
      <c r="L326" s="47">
        <f t="shared" si="8"/>
        <v>1.0000000000000278E-3</v>
      </c>
      <c r="M326" s="1">
        <f t="shared" si="7"/>
        <v>28.802961006253643</v>
      </c>
      <c r="O326" s="23"/>
      <c r="S326" s="9"/>
      <c r="T326" s="18"/>
      <c r="Y326" s="18"/>
    </row>
    <row r="327" spans="1:25" ht="15">
      <c r="A327" s="13">
        <v>77</v>
      </c>
      <c r="B327" s="13">
        <v>77.260000000000005</v>
      </c>
      <c r="C327" s="13">
        <v>76.400000000000006</v>
      </c>
      <c r="D327" s="13">
        <v>76.599999999999994</v>
      </c>
      <c r="E327" s="13">
        <v>8725728</v>
      </c>
      <c r="F327" s="13" t="s">
        <v>213</v>
      </c>
      <c r="G327" s="18">
        <f t="shared" si="6"/>
        <v>5.2219321148825326E-3</v>
      </c>
      <c r="I327" s="20">
        <v>3.0000000000000278E-3</v>
      </c>
      <c r="J327">
        <v>73</v>
      </c>
      <c r="L327" s="47">
        <f t="shared" si="8"/>
        <v>2.0000000000000278E-3</v>
      </c>
      <c r="M327" s="1">
        <f t="shared" si="7"/>
        <v>28.603544040973865</v>
      </c>
      <c r="O327" s="23"/>
      <c r="S327" s="9"/>
      <c r="T327" s="18"/>
      <c r="Y327" s="18"/>
    </row>
    <row r="328" spans="1:25" ht="15">
      <c r="A328" s="13">
        <v>76.31</v>
      </c>
      <c r="B328" s="13">
        <v>76.489999999999995</v>
      </c>
      <c r="C328" s="13">
        <v>75.38</v>
      </c>
      <c r="D328" s="13">
        <v>76.13</v>
      </c>
      <c r="E328" s="13">
        <v>5365864</v>
      </c>
      <c r="F328" s="13" t="s">
        <v>212</v>
      </c>
      <c r="G328" s="18">
        <f t="shared" si="6"/>
        <v>2.3643767240246749E-3</v>
      </c>
      <c r="I328" s="20">
        <v>4.0000000000000278E-3</v>
      </c>
      <c r="J328">
        <v>63</v>
      </c>
      <c r="L328" s="47">
        <f t="shared" si="8"/>
        <v>3.0000000000000278E-3</v>
      </c>
      <c r="M328" s="1">
        <f t="shared" si="7"/>
        <v>28.257297196982872</v>
      </c>
      <c r="O328" s="23"/>
      <c r="S328" s="9"/>
      <c r="T328" s="18"/>
      <c r="Y328" s="18"/>
    </row>
    <row r="329" spans="1:25" ht="15">
      <c r="A329" s="13">
        <v>76.19</v>
      </c>
      <c r="B329" s="13">
        <v>76.72</v>
      </c>
      <c r="C329" s="13">
        <v>75.959999999999994</v>
      </c>
      <c r="D329" s="13">
        <v>76.38</v>
      </c>
      <c r="E329" s="13">
        <v>6443574</v>
      </c>
      <c r="F329" s="13" t="s">
        <v>211</v>
      </c>
      <c r="G329" s="18">
        <f t="shared" si="6"/>
        <v>-2.4875621890546595E-3</v>
      </c>
      <c r="I329" s="20">
        <v>5.0000000000000279E-3</v>
      </c>
      <c r="J329">
        <v>83</v>
      </c>
      <c r="L329" s="47">
        <f t="shared" si="8"/>
        <v>4.0000000000000278E-3</v>
      </c>
      <c r="M329" s="1">
        <f t="shared" si="7"/>
        <v>27.769589188746785</v>
      </c>
      <c r="O329" s="23"/>
      <c r="S329" s="9"/>
      <c r="T329" s="18"/>
    </row>
    <row r="330" spans="1:25" ht="15">
      <c r="A330" s="13">
        <v>76.760000000000005</v>
      </c>
      <c r="B330" s="13">
        <v>77.03</v>
      </c>
      <c r="C330" s="13">
        <v>76.430000000000007</v>
      </c>
      <c r="D330" s="13">
        <v>76.849999999999994</v>
      </c>
      <c r="E330" s="13">
        <v>3540518</v>
      </c>
      <c r="F330" s="13" t="s">
        <v>210</v>
      </c>
      <c r="G330" s="18">
        <f t="shared" si="6"/>
        <v>-1.1711125569289216E-3</v>
      </c>
      <c r="I330" s="20">
        <v>6.0000000000000279E-3</v>
      </c>
      <c r="J330">
        <v>70</v>
      </c>
      <c r="L330" s="47">
        <f t="shared" si="8"/>
        <v>5.0000000000000279E-3</v>
      </c>
      <c r="M330" s="1">
        <f t="shared" si="7"/>
        <v>27.147907048834838</v>
      </c>
      <c r="O330" s="23"/>
      <c r="S330" s="9"/>
      <c r="T330" s="18"/>
    </row>
    <row r="331" spans="1:25" ht="15">
      <c r="A331" s="13">
        <v>76.959999999999994</v>
      </c>
      <c r="B331" s="13">
        <v>77.3</v>
      </c>
      <c r="C331" s="13">
        <v>76.25</v>
      </c>
      <c r="D331" s="13">
        <v>77.11</v>
      </c>
      <c r="E331" s="13">
        <v>4054303</v>
      </c>
      <c r="F331" s="13" t="s">
        <v>209</v>
      </c>
      <c r="G331" s="18">
        <f t="shared" si="6"/>
        <v>-1.9452729866424878E-3</v>
      </c>
      <c r="I331" s="20">
        <v>7.0000000000000279E-3</v>
      </c>
      <c r="J331">
        <v>76</v>
      </c>
      <c r="L331" s="47">
        <f t="shared" si="8"/>
        <v>6.0000000000000279E-3</v>
      </c>
      <c r="M331" s="1">
        <f t="shared" si="7"/>
        <v>26.401664922547127</v>
      </c>
      <c r="O331" s="23"/>
      <c r="S331" s="9"/>
      <c r="T331" s="18"/>
    </row>
    <row r="332" spans="1:25" ht="15">
      <c r="A332" s="13">
        <v>77.41</v>
      </c>
      <c r="B332" s="13">
        <v>77.64</v>
      </c>
      <c r="C332" s="13">
        <v>76.680000000000007</v>
      </c>
      <c r="D332" s="13">
        <v>77.2</v>
      </c>
      <c r="E332" s="13">
        <v>3219862</v>
      </c>
      <c r="F332" s="13" t="s">
        <v>208</v>
      </c>
      <c r="G332" s="18">
        <f t="shared" si="6"/>
        <v>2.7202072538858868E-3</v>
      </c>
      <c r="I332" s="20">
        <v>8.0000000000000279E-3</v>
      </c>
      <c r="J332">
        <v>59</v>
      </c>
      <c r="L332" s="47">
        <f t="shared" si="8"/>
        <v>7.0000000000000279E-3</v>
      </c>
      <c r="M332" s="1">
        <f t="shared" si="7"/>
        <v>25.541966977276854</v>
      </c>
      <c r="O332" s="23"/>
      <c r="S332" s="9"/>
      <c r="T332" s="18"/>
    </row>
    <row r="333" spans="1:25" ht="15">
      <c r="A333" s="13">
        <v>77.150000000000006</v>
      </c>
      <c r="B333" s="13">
        <v>77.465000000000003</v>
      </c>
      <c r="C333" s="13">
        <v>76.75</v>
      </c>
      <c r="D333" s="13">
        <v>77.44</v>
      </c>
      <c r="E333" s="13">
        <v>3754702</v>
      </c>
      <c r="F333" s="13" t="s">
        <v>207</v>
      </c>
      <c r="G333" s="18">
        <f t="shared" si="6"/>
        <v>-3.7448347107437163E-3</v>
      </c>
      <c r="I333" s="20">
        <v>9.0000000000000288E-3</v>
      </c>
      <c r="J333">
        <v>46</v>
      </c>
      <c r="L333" s="47">
        <f t="shared" si="8"/>
        <v>8.0000000000000279E-3</v>
      </c>
      <c r="M333" s="1">
        <f t="shared" si="7"/>
        <v>24.581332768068599</v>
      </c>
      <c r="O333" s="23"/>
      <c r="S333" s="9"/>
      <c r="T333" s="18"/>
    </row>
    <row r="334" spans="1:25" ht="15">
      <c r="A334" s="13">
        <v>77.42</v>
      </c>
      <c r="B334" s="13">
        <v>77.53</v>
      </c>
      <c r="C334" s="13">
        <v>76.7</v>
      </c>
      <c r="D334" s="13">
        <v>76.95</v>
      </c>
      <c r="E334" s="13">
        <v>3471789</v>
      </c>
      <c r="F334" s="13" t="s">
        <v>206</v>
      </c>
      <c r="G334" s="18">
        <f t="shared" si="6"/>
        <v>6.1078622482131362E-3</v>
      </c>
      <c r="I334" s="20">
        <v>1.000000000000003E-2</v>
      </c>
      <c r="J334">
        <v>43</v>
      </c>
      <c r="L334" s="47">
        <f t="shared" si="8"/>
        <v>9.0000000000000288E-3</v>
      </c>
      <c r="M334" s="1">
        <f t="shared" si="7"/>
        <v>23.53339454224594</v>
      </c>
      <c r="O334" s="23"/>
      <c r="S334" s="9"/>
      <c r="T334" s="18"/>
    </row>
    <row r="335" spans="1:25" ht="15">
      <c r="A335" s="13">
        <v>77.11</v>
      </c>
      <c r="B335" s="13">
        <v>77.555000000000007</v>
      </c>
      <c r="C335" s="13">
        <v>76.349999999999994</v>
      </c>
      <c r="D335" s="13">
        <v>76.599999999999994</v>
      </c>
      <c r="E335" s="13">
        <v>6919038</v>
      </c>
      <c r="F335" s="13" t="s">
        <v>205</v>
      </c>
      <c r="G335" s="18">
        <f t="shared" si="6"/>
        <v>6.6579634464751791E-3</v>
      </c>
      <c r="I335" s="20">
        <v>1.1000000000000031E-2</v>
      </c>
      <c r="J335">
        <v>42</v>
      </c>
      <c r="L335" s="47">
        <f t="shared" si="8"/>
        <v>1.000000000000003E-2</v>
      </c>
      <c r="M335" s="1">
        <f t="shared" si="7"/>
        <v>22.412576687606812</v>
      </c>
      <c r="O335" s="23"/>
      <c r="S335" s="9"/>
      <c r="T335" s="18"/>
    </row>
    <row r="336" spans="1:25" ht="15">
      <c r="A336" s="13">
        <v>76.12</v>
      </c>
      <c r="B336" s="13">
        <v>76.309100000000001</v>
      </c>
      <c r="C336" s="13">
        <v>75.349999999999994</v>
      </c>
      <c r="D336" s="13">
        <v>75.75</v>
      </c>
      <c r="E336" s="13">
        <v>5979075</v>
      </c>
      <c r="F336" s="13" t="s">
        <v>204</v>
      </c>
      <c r="G336" s="18">
        <f t="shared" si="6"/>
        <v>4.8844884488450369E-3</v>
      </c>
      <c r="I336" s="20">
        <v>1.2000000000000031E-2</v>
      </c>
      <c r="J336">
        <v>53</v>
      </c>
      <c r="L336" s="47">
        <f t="shared" si="8"/>
        <v>1.1000000000000031E-2</v>
      </c>
      <c r="M336" s="1">
        <f t="shared" si="7"/>
        <v>21.233767809891518</v>
      </c>
      <c r="O336" s="23"/>
      <c r="S336" s="9"/>
      <c r="T336" s="18"/>
    </row>
    <row r="337" spans="1:25" ht="15">
      <c r="A337" s="13">
        <v>75.89</v>
      </c>
      <c r="B337" s="13">
        <v>76.040000000000006</v>
      </c>
      <c r="C337" s="13">
        <v>75.48</v>
      </c>
      <c r="D337" s="13">
        <v>76</v>
      </c>
      <c r="E337" s="13">
        <v>5194012</v>
      </c>
      <c r="F337" s="13" t="s">
        <v>203</v>
      </c>
      <c r="G337" s="18">
        <f t="shared" si="6"/>
        <v>-1.4473684210526416E-3</v>
      </c>
      <c r="I337" s="20">
        <v>1.3000000000000032E-2</v>
      </c>
      <c r="J337">
        <v>28</v>
      </c>
      <c r="L337" s="47">
        <f t="shared" si="8"/>
        <v>1.2000000000000031E-2</v>
      </c>
      <c r="M337" s="1">
        <f t="shared" si="7"/>
        <v>20.011995768509944</v>
      </c>
      <c r="O337" s="23"/>
      <c r="S337" s="9"/>
      <c r="T337" s="18"/>
    </row>
    <row r="338" spans="1:25" ht="15">
      <c r="A338" s="13">
        <v>75.92</v>
      </c>
      <c r="B338" s="13">
        <v>76.11</v>
      </c>
      <c r="C338" s="13">
        <v>75.16</v>
      </c>
      <c r="D338" s="13">
        <v>75.38</v>
      </c>
      <c r="E338" s="13">
        <v>3245818</v>
      </c>
      <c r="F338" s="13" t="s">
        <v>202</v>
      </c>
      <c r="G338" s="18">
        <f t="shared" si="6"/>
        <v>7.1637039002387937E-3</v>
      </c>
      <c r="I338" s="20">
        <v>1.4000000000000033E-2</v>
      </c>
      <c r="J338">
        <v>26</v>
      </c>
      <c r="L338" s="47">
        <f t="shared" si="8"/>
        <v>1.3000000000000032E-2</v>
      </c>
      <c r="M338" s="1">
        <f t="shared" ref="M338:M369" si="9">_xlfn.NORM.DIST(L338,$K$265,$K$267,FALSE)</f>
        <v>18.762115429546839</v>
      </c>
      <c r="O338" s="23"/>
      <c r="S338" s="9"/>
      <c r="T338" s="18"/>
    </row>
    <row r="339" spans="1:25" ht="15">
      <c r="A339" s="13">
        <v>75.5</v>
      </c>
      <c r="B339" s="13">
        <v>75.92</v>
      </c>
      <c r="C339" s="13">
        <v>74.84</v>
      </c>
      <c r="D339" s="13">
        <v>75.36</v>
      </c>
      <c r="E339" s="13">
        <v>3217224</v>
      </c>
      <c r="F339" s="13" t="s">
        <v>201</v>
      </c>
      <c r="G339" s="18">
        <f t="shared" si="6"/>
        <v>1.8577494692144647E-3</v>
      </c>
      <c r="I339" s="20">
        <v>1.5000000000000034E-2</v>
      </c>
      <c r="J339">
        <v>28</v>
      </c>
      <c r="L339" s="47">
        <f t="shared" si="8"/>
        <v>1.4000000000000033E-2</v>
      </c>
      <c r="M339" s="1">
        <f t="shared" si="9"/>
        <v>17.498517956437325</v>
      </c>
      <c r="O339" s="23"/>
      <c r="S339" s="9"/>
      <c r="T339" s="18"/>
    </row>
    <row r="340" spans="1:25" ht="15">
      <c r="A340" s="13">
        <v>75.569999999999993</v>
      </c>
      <c r="B340" s="13">
        <v>75.680000000000007</v>
      </c>
      <c r="C340" s="13">
        <v>74.430000000000007</v>
      </c>
      <c r="D340" s="13">
        <v>75.180000000000007</v>
      </c>
      <c r="E340" s="13">
        <v>8825296</v>
      </c>
      <c r="F340" s="13" t="s">
        <v>200</v>
      </c>
      <c r="G340" s="18">
        <f t="shared" si="6"/>
        <v>5.1875498802871345E-3</v>
      </c>
      <c r="I340" s="20">
        <v>1.6000000000000035E-2</v>
      </c>
      <c r="J340">
        <v>17</v>
      </c>
      <c r="L340" s="47">
        <f t="shared" si="8"/>
        <v>1.5000000000000034E-2</v>
      </c>
      <c r="M340" s="1">
        <f t="shared" si="9"/>
        <v>16.234869212549331</v>
      </c>
      <c r="O340" s="23"/>
      <c r="S340" s="9"/>
      <c r="T340" s="18"/>
    </row>
    <row r="341" spans="1:25" ht="15">
      <c r="A341" s="13">
        <v>75</v>
      </c>
      <c r="B341" s="13">
        <v>75.5</v>
      </c>
      <c r="C341" s="13">
        <v>74.62</v>
      </c>
      <c r="D341" s="13">
        <v>75.11</v>
      </c>
      <c r="E341" s="13">
        <v>5150739</v>
      </c>
      <c r="F341" s="13" t="s">
        <v>199</v>
      </c>
      <c r="G341" s="18">
        <f t="shared" si="6"/>
        <v>-1.4645187058980325E-3</v>
      </c>
      <c r="I341" s="20">
        <v>1.7000000000000036E-2</v>
      </c>
      <c r="J341">
        <v>21</v>
      </c>
      <c r="L341" s="47">
        <f t="shared" si="8"/>
        <v>1.6000000000000035E-2</v>
      </c>
      <c r="M341" s="1">
        <f t="shared" si="9"/>
        <v>14.98388336967434</v>
      </c>
      <c r="O341" s="23"/>
      <c r="S341" s="9"/>
      <c r="T341" s="18"/>
    </row>
    <row r="342" spans="1:25" ht="15">
      <c r="A342" s="13">
        <v>74.98</v>
      </c>
      <c r="B342" s="13">
        <v>75.38</v>
      </c>
      <c r="C342" s="13">
        <v>74.78</v>
      </c>
      <c r="D342" s="13">
        <v>74.78</v>
      </c>
      <c r="E342" s="13">
        <v>6809504</v>
      </c>
      <c r="F342" s="13" t="s">
        <v>198</v>
      </c>
      <c r="G342" s="18">
        <f t="shared" si="6"/>
        <v>2.6745119015780805E-3</v>
      </c>
      <c r="I342" s="20">
        <v>1.8000000000000037E-2</v>
      </c>
      <c r="J342">
        <v>20</v>
      </c>
      <c r="L342" s="47">
        <f t="shared" si="8"/>
        <v>1.7000000000000036E-2</v>
      </c>
      <c r="M342" s="1">
        <f t="shared" si="9"/>
        <v>13.757136183135959</v>
      </c>
      <c r="O342" s="23"/>
      <c r="S342" s="9"/>
      <c r="T342" s="18"/>
    </row>
    <row r="343" spans="1:25" ht="15">
      <c r="A343" s="13">
        <v>75.17</v>
      </c>
      <c r="B343" s="13">
        <v>75.819999999999993</v>
      </c>
      <c r="C343" s="13">
        <v>74.86</v>
      </c>
      <c r="D343" s="13">
        <v>75.59</v>
      </c>
      <c r="E343" s="13">
        <v>4252437</v>
      </c>
      <c r="F343" s="13" t="s">
        <v>197</v>
      </c>
      <c r="G343" s="18">
        <f t="shared" si="6"/>
        <v>-5.5562905146183672E-3</v>
      </c>
      <c r="I343" s="20">
        <v>1.9000000000000038E-2</v>
      </c>
      <c r="J343">
        <v>15</v>
      </c>
      <c r="L343" s="47">
        <f t="shared" si="8"/>
        <v>1.8000000000000037E-2</v>
      </c>
      <c r="M343" s="1">
        <f t="shared" si="9"/>
        <v>12.564920691546931</v>
      </c>
      <c r="O343" s="23"/>
      <c r="S343" s="9"/>
      <c r="T343" s="18"/>
    </row>
    <row r="344" spans="1:25" ht="15">
      <c r="A344" s="13">
        <v>75.63</v>
      </c>
      <c r="B344" s="13">
        <v>76.13</v>
      </c>
      <c r="C344" s="13">
        <v>74.540000000000006</v>
      </c>
      <c r="D344" s="13">
        <v>74.540000000000006</v>
      </c>
      <c r="E344" s="13">
        <v>4786625</v>
      </c>
      <c r="F344" s="13" t="s">
        <v>196</v>
      </c>
      <c r="G344" s="18">
        <f t="shared" si="6"/>
        <v>1.4623021196672692E-2</v>
      </c>
      <c r="I344" s="20">
        <v>2.0000000000000039E-2</v>
      </c>
      <c r="J344">
        <v>12</v>
      </c>
      <c r="L344" s="47">
        <f t="shared" si="8"/>
        <v>1.9000000000000038E-2</v>
      </c>
      <c r="M344" s="1">
        <f t="shared" si="9"/>
        <v>11.416146408711956</v>
      </c>
      <c r="O344" s="23"/>
      <c r="S344" s="9"/>
      <c r="T344" s="18"/>
    </row>
    <row r="345" spans="1:25" ht="15">
      <c r="A345" s="13">
        <v>74.38</v>
      </c>
      <c r="B345" s="13">
        <v>75.52</v>
      </c>
      <c r="C345" s="13">
        <v>74.290000000000006</v>
      </c>
      <c r="D345" s="13">
        <v>75.47</v>
      </c>
      <c r="E345" s="13">
        <v>5581323</v>
      </c>
      <c r="F345" s="13" t="s">
        <v>195</v>
      </c>
      <c r="G345" s="18">
        <f t="shared" si="6"/>
        <v>-1.4442824963561751E-2</v>
      </c>
      <c r="I345" s="20">
        <v>2.1000000000000039E-2</v>
      </c>
      <c r="J345">
        <v>11</v>
      </c>
      <c r="L345" s="47">
        <f t="shared" si="8"/>
        <v>2.0000000000000039E-2</v>
      </c>
      <c r="M345" s="1">
        <f t="shared" si="9"/>
        <v>10.318281471848838</v>
      </c>
      <c r="O345" s="23"/>
      <c r="S345" s="9"/>
      <c r="T345" s="18"/>
      <c r="Y345" s="18"/>
    </row>
    <row r="346" spans="1:25" ht="15">
      <c r="A346" s="13">
        <v>75.37</v>
      </c>
      <c r="B346" s="13">
        <v>76.25</v>
      </c>
      <c r="C346" s="13">
        <v>75.144999999999996</v>
      </c>
      <c r="D346" s="13">
        <v>75.95</v>
      </c>
      <c r="E346" s="13">
        <v>6390277</v>
      </c>
      <c r="F346" s="13" t="s">
        <v>194</v>
      </c>
      <c r="G346" s="18">
        <f t="shared" si="6"/>
        <v>-7.6366030283080422E-3</v>
      </c>
      <c r="I346" s="20">
        <v>2.200000000000004E-2</v>
      </c>
      <c r="J346">
        <v>15</v>
      </c>
      <c r="L346" s="47">
        <f t="shared" si="8"/>
        <v>2.1000000000000039E-2</v>
      </c>
      <c r="M346" s="1">
        <f t="shared" si="9"/>
        <v>9.2773357591423071</v>
      </c>
      <c r="O346" s="23"/>
      <c r="S346" s="9"/>
      <c r="T346" s="18"/>
      <c r="Y346" s="18"/>
    </row>
    <row r="347" spans="1:25" ht="15">
      <c r="A347" s="13">
        <v>75.67</v>
      </c>
      <c r="B347" s="13">
        <v>76.114999999999995</v>
      </c>
      <c r="C347" s="13">
        <v>75.45</v>
      </c>
      <c r="D347" s="13">
        <v>75.56</v>
      </c>
      <c r="E347" s="13">
        <v>5801543</v>
      </c>
      <c r="F347" s="13" t="s">
        <v>193</v>
      </c>
      <c r="G347" s="18">
        <f t="shared" si="6"/>
        <v>1.4557967178401299E-3</v>
      </c>
      <c r="I347" s="20">
        <v>2.3000000000000041E-2</v>
      </c>
      <c r="J347">
        <v>11</v>
      </c>
      <c r="L347" s="47">
        <f t="shared" si="8"/>
        <v>2.200000000000004E-2</v>
      </c>
      <c r="M347" s="1">
        <f t="shared" si="9"/>
        <v>8.2978817427535461</v>
      </c>
      <c r="O347" s="23"/>
      <c r="S347" s="9"/>
      <c r="T347" s="18"/>
      <c r="Y347" s="18"/>
    </row>
    <row r="348" spans="1:25" ht="15">
      <c r="A348" s="13">
        <v>75.36</v>
      </c>
      <c r="B348" s="13">
        <v>76.069999999999993</v>
      </c>
      <c r="C348" s="13">
        <v>74.81</v>
      </c>
      <c r="D348" s="13">
        <v>74.81</v>
      </c>
      <c r="E348" s="13">
        <v>6534124</v>
      </c>
      <c r="F348" s="13" t="s">
        <v>192</v>
      </c>
      <c r="G348" s="18">
        <f t="shared" si="6"/>
        <v>7.3519582943455397E-3</v>
      </c>
      <c r="I348" s="20">
        <v>2.4000000000000042E-2</v>
      </c>
      <c r="J348">
        <v>6</v>
      </c>
      <c r="L348" s="47">
        <f t="shared" si="8"/>
        <v>2.3000000000000041E-2</v>
      </c>
      <c r="M348" s="1">
        <f t="shared" si="9"/>
        <v>7.3831088382628316</v>
      </c>
      <c r="O348" s="23"/>
      <c r="S348" s="9"/>
      <c r="T348" s="18"/>
      <c r="Y348" s="18"/>
    </row>
    <row r="349" spans="1:25" ht="15">
      <c r="A349" s="13">
        <v>74.650000000000006</v>
      </c>
      <c r="B349" s="13">
        <v>74.94</v>
      </c>
      <c r="C349" s="13">
        <v>74.06</v>
      </c>
      <c r="D349" s="13">
        <v>74.94</v>
      </c>
      <c r="E349" s="13">
        <v>6978299</v>
      </c>
      <c r="F349" s="13" t="s">
        <v>191</v>
      </c>
      <c r="G349" s="18">
        <f t="shared" si="6"/>
        <v>-3.8697624766478311E-3</v>
      </c>
      <c r="I349" s="20">
        <v>2.5000000000000043E-2</v>
      </c>
      <c r="J349">
        <v>10</v>
      </c>
      <c r="L349" s="47">
        <f t="shared" si="8"/>
        <v>2.4000000000000042E-2</v>
      </c>
      <c r="M349" s="1">
        <f t="shared" si="9"/>
        <v>6.5349062702372782</v>
      </c>
      <c r="O349" s="23"/>
      <c r="S349" s="9"/>
      <c r="T349" s="18"/>
      <c r="Y349" s="18"/>
    </row>
    <row r="350" spans="1:25" ht="15">
      <c r="A350" s="13">
        <v>74.55</v>
      </c>
      <c r="B350" s="13">
        <v>74.765000000000001</v>
      </c>
      <c r="C350" s="13">
        <v>74.174999999999997</v>
      </c>
      <c r="D350" s="13">
        <v>74.430000000000007</v>
      </c>
      <c r="E350" s="13">
        <v>5636940</v>
      </c>
      <c r="F350" s="13" t="s">
        <v>190</v>
      </c>
      <c r="G350" s="18">
        <f t="shared" si="6"/>
        <v>1.6122531237403592E-3</v>
      </c>
      <c r="I350" s="20">
        <v>2.6000000000000044E-2</v>
      </c>
      <c r="J350">
        <v>7</v>
      </c>
      <c r="L350" s="47">
        <f t="shared" ref="L350:L376" si="10">L349+0.001</f>
        <v>2.5000000000000043E-2</v>
      </c>
      <c r="M350" s="1">
        <f t="shared" si="9"/>
        <v>5.7539690031753361</v>
      </c>
      <c r="O350" s="23"/>
      <c r="S350" s="9"/>
      <c r="T350" s="18"/>
      <c r="Y350" s="18"/>
    </row>
    <row r="351" spans="1:25" ht="15">
      <c r="A351" s="13">
        <v>74.45</v>
      </c>
      <c r="B351" s="13">
        <v>74.671300000000002</v>
      </c>
      <c r="C351" s="13">
        <v>73.86</v>
      </c>
      <c r="D351" s="13">
        <v>73.86</v>
      </c>
      <c r="E351" s="13">
        <v>4492569</v>
      </c>
      <c r="F351" s="13" t="s">
        <v>189</v>
      </c>
      <c r="G351" s="18">
        <f t="shared" si="6"/>
        <v>7.9880855672895823E-3</v>
      </c>
      <c r="I351" s="20">
        <v>2.7000000000000045E-2</v>
      </c>
      <c r="J351">
        <v>2</v>
      </c>
      <c r="L351" s="47">
        <f t="shared" si="10"/>
        <v>2.6000000000000044E-2</v>
      </c>
      <c r="M351" s="1">
        <f t="shared" si="9"/>
        <v>5.0399210804445067</v>
      </c>
      <c r="O351" s="23"/>
      <c r="S351" s="9"/>
      <c r="T351" s="18"/>
      <c r="Y351" s="18"/>
    </row>
    <row r="352" spans="1:25" ht="15">
      <c r="A352" s="13">
        <v>73.489999999999995</v>
      </c>
      <c r="B352" s="13">
        <v>73.64</v>
      </c>
      <c r="C352" s="13">
        <v>72.31</v>
      </c>
      <c r="D352" s="13">
        <v>72.599999999999994</v>
      </c>
      <c r="E352" s="13">
        <v>5848511</v>
      </c>
      <c r="F352" s="13" t="s">
        <v>188</v>
      </c>
      <c r="G352" s="18">
        <f t="shared" si="6"/>
        <v>1.2258953168044151E-2</v>
      </c>
      <c r="I352" s="20">
        <v>2.8000000000000046E-2</v>
      </c>
      <c r="J352">
        <v>3</v>
      </c>
      <c r="L352" s="47">
        <f t="shared" si="10"/>
        <v>2.7000000000000045E-2</v>
      </c>
      <c r="M352" s="1">
        <f t="shared" si="9"/>
        <v>4.3914507517572954</v>
      </c>
      <c r="O352" s="23"/>
      <c r="S352" s="9"/>
      <c r="T352" s="18"/>
      <c r="Y352" s="18"/>
    </row>
    <row r="353" spans="1:25" ht="15">
      <c r="A353" s="13">
        <v>72.81</v>
      </c>
      <c r="B353" s="13">
        <v>73.83</v>
      </c>
      <c r="C353" s="13">
        <v>72.66</v>
      </c>
      <c r="D353" s="13">
        <v>73.680000000000007</v>
      </c>
      <c r="E353" s="13">
        <v>6182025</v>
      </c>
      <c r="F353" s="13" t="s">
        <v>187</v>
      </c>
      <c r="G353" s="18">
        <f t="shared" si="6"/>
        <v>-1.1807817589576608E-2</v>
      </c>
      <c r="I353" s="20">
        <v>2.9000000000000047E-2</v>
      </c>
      <c r="J353">
        <v>8</v>
      </c>
      <c r="L353" s="47">
        <f t="shared" si="10"/>
        <v>2.8000000000000046E-2</v>
      </c>
      <c r="M353" s="1">
        <f t="shared" si="9"/>
        <v>3.8064520231241104</v>
      </c>
      <c r="O353" s="23"/>
      <c r="S353" s="9"/>
      <c r="T353" s="18"/>
      <c r="X353" s="9"/>
      <c r="Y353" s="18"/>
    </row>
    <row r="354" spans="1:25" ht="15">
      <c r="A354" s="13">
        <v>73.69</v>
      </c>
      <c r="B354" s="13">
        <v>74.3</v>
      </c>
      <c r="C354" s="13">
        <v>73.534999999999997</v>
      </c>
      <c r="D354" s="13">
        <v>74.2</v>
      </c>
      <c r="E354" s="13">
        <v>3790579</v>
      </c>
      <c r="F354" s="13" t="s">
        <v>186</v>
      </c>
      <c r="G354" s="18">
        <f t="shared" si="6"/>
        <v>-6.8733153638814715E-3</v>
      </c>
      <c r="I354" s="20">
        <v>3.0000000000000047E-2</v>
      </c>
      <c r="J354">
        <v>1</v>
      </c>
      <c r="L354" s="47">
        <f t="shared" si="10"/>
        <v>2.9000000000000047E-2</v>
      </c>
      <c r="M354" s="1">
        <f t="shared" si="9"/>
        <v>3.2821676957953958</v>
      </c>
      <c r="O354" s="23"/>
      <c r="S354" s="9"/>
      <c r="T354" s="18"/>
      <c r="X354" s="9"/>
      <c r="Y354" s="18"/>
    </row>
    <row r="355" spans="1:25" ht="15">
      <c r="A355" s="13">
        <v>74.099999999999994</v>
      </c>
      <c r="B355" s="13">
        <v>74.144999999999996</v>
      </c>
      <c r="C355" s="13">
        <v>72.739999999999995</v>
      </c>
      <c r="D355" s="13">
        <v>72.739999999999995</v>
      </c>
      <c r="E355" s="13">
        <v>6134777</v>
      </c>
      <c r="F355" s="13" t="s">
        <v>185</v>
      </c>
      <c r="G355" s="18">
        <f t="shared" si="6"/>
        <v>1.8696728072587376E-2</v>
      </c>
      <c r="I355" s="20">
        <v>3.1000000000000048E-2</v>
      </c>
      <c r="J355">
        <v>2</v>
      </c>
      <c r="L355" s="47">
        <f t="shared" si="10"/>
        <v>3.0000000000000047E-2</v>
      </c>
      <c r="M355" s="1">
        <f t="shared" si="9"/>
        <v>2.8153295317669818</v>
      </c>
      <c r="O355" s="23"/>
      <c r="S355" s="9"/>
      <c r="T355" s="18"/>
      <c r="X355" s="9"/>
      <c r="Y355" s="18"/>
    </row>
    <row r="356" spans="1:25" ht="15">
      <c r="A356" s="13">
        <v>72.72</v>
      </c>
      <c r="B356" s="13">
        <v>73.66</v>
      </c>
      <c r="C356" s="13">
        <v>72.61</v>
      </c>
      <c r="D356" s="13">
        <v>73.510000000000005</v>
      </c>
      <c r="E356" s="13">
        <v>5054088</v>
      </c>
      <c r="F356" s="13" t="s">
        <v>184</v>
      </c>
      <c r="G356" s="18">
        <f t="shared" si="6"/>
        <v>-1.074683716501168E-2</v>
      </c>
      <c r="I356" s="20">
        <v>3.2000000000000049E-2</v>
      </c>
      <c r="J356">
        <v>3</v>
      </c>
      <c r="L356" s="47">
        <f t="shared" si="10"/>
        <v>3.1000000000000048E-2</v>
      </c>
      <c r="M356" s="1">
        <f t="shared" si="9"/>
        <v>2.4022918505849429</v>
      </c>
      <c r="O356" s="23"/>
      <c r="S356" s="9"/>
      <c r="T356" s="18"/>
      <c r="X356" s="9"/>
      <c r="Y356" s="18"/>
    </row>
    <row r="357" spans="1:25" ht="15">
      <c r="A357" s="13">
        <v>73.430000000000007</v>
      </c>
      <c r="B357" s="13">
        <v>73.5</v>
      </c>
      <c r="C357" s="13">
        <v>72.62</v>
      </c>
      <c r="D357" s="13">
        <v>72.7</v>
      </c>
      <c r="E357" s="13">
        <v>4151544</v>
      </c>
      <c r="F357" s="13" t="s">
        <v>183</v>
      </c>
      <c r="G357" s="18">
        <f t="shared" si="6"/>
        <v>1.0041265474552974E-2</v>
      </c>
      <c r="I357" s="20">
        <v>3.300000000000005E-2</v>
      </c>
      <c r="J357">
        <v>2</v>
      </c>
      <c r="L357" s="47">
        <f t="shared" si="10"/>
        <v>3.2000000000000049E-2</v>
      </c>
      <c r="M357" s="1">
        <f t="shared" si="9"/>
        <v>2.0391555838380411</v>
      </c>
      <c r="O357" s="23"/>
      <c r="S357" s="19"/>
      <c r="T357" s="19"/>
      <c r="X357" s="9"/>
      <c r="Y357" s="18"/>
    </row>
    <row r="358" spans="1:25" ht="15">
      <c r="A358" s="13">
        <v>72.55</v>
      </c>
      <c r="B358" s="13">
        <v>73.27</v>
      </c>
      <c r="C358" s="13">
        <v>72.42</v>
      </c>
      <c r="D358" s="13">
        <v>73.040000000000006</v>
      </c>
      <c r="E358" s="13">
        <v>4922960</v>
      </c>
      <c r="F358" s="13" t="s">
        <v>182</v>
      </c>
      <c r="G358" s="18">
        <f t="shared" si="6"/>
        <v>-6.7086527929902662E-3</v>
      </c>
      <c r="I358" s="20">
        <v>3.4000000000000051E-2</v>
      </c>
      <c r="J358">
        <v>6</v>
      </c>
      <c r="L358" s="47">
        <f t="shared" si="10"/>
        <v>3.300000000000005E-2</v>
      </c>
      <c r="M358" s="1">
        <f t="shared" si="9"/>
        <v>1.7218805511436099</v>
      </c>
      <c r="O358" s="23"/>
      <c r="S358" s="19"/>
      <c r="T358" s="19"/>
      <c r="X358" s="9"/>
      <c r="Y358" s="18"/>
    </row>
    <row r="359" spans="1:25" ht="15">
      <c r="A359" s="13">
        <v>72.849999999999994</v>
      </c>
      <c r="B359" s="13">
        <v>73.075000000000003</v>
      </c>
      <c r="C359" s="13">
        <v>71.819999999999993</v>
      </c>
      <c r="D359" s="13">
        <v>72.22</v>
      </c>
      <c r="E359" s="13">
        <v>7452084</v>
      </c>
      <c r="F359" s="13" t="s">
        <v>181</v>
      </c>
      <c r="G359" s="18">
        <f t="shared" si="6"/>
        <v>8.723345333702559E-3</v>
      </c>
      <c r="I359" s="20">
        <v>3.5000000000000052E-2</v>
      </c>
      <c r="J359">
        <v>3</v>
      </c>
      <c r="L359" s="47">
        <f t="shared" si="10"/>
        <v>3.4000000000000051E-2</v>
      </c>
      <c r="M359" s="1">
        <f t="shared" si="9"/>
        <v>1.4463844404460273</v>
      </c>
      <c r="O359" s="23"/>
      <c r="S359" s="19"/>
      <c r="T359" s="19"/>
      <c r="X359" s="9"/>
      <c r="Y359" s="18"/>
    </row>
    <row r="360" spans="1:25" ht="15">
      <c r="A360" s="13">
        <v>72.03</v>
      </c>
      <c r="B360" s="13">
        <v>72.56</v>
      </c>
      <c r="C360" s="13">
        <v>70.97</v>
      </c>
      <c r="D360" s="13">
        <v>72.47</v>
      </c>
      <c r="E360" s="13">
        <v>7610487</v>
      </c>
      <c r="F360" s="13" t="s">
        <v>180</v>
      </c>
      <c r="G360" s="18">
        <f t="shared" si="6"/>
        <v>-6.0714778529046276E-3</v>
      </c>
      <c r="I360" s="20">
        <v>3.6000000000000053E-2</v>
      </c>
      <c r="J360">
        <v>5</v>
      </c>
      <c r="L360" s="47">
        <f t="shared" si="10"/>
        <v>3.5000000000000052E-2</v>
      </c>
      <c r="M360" s="1">
        <f t="shared" si="9"/>
        <v>1.2086276476094449</v>
      </c>
      <c r="O360" s="23"/>
      <c r="S360" s="19"/>
      <c r="T360" s="19"/>
      <c r="X360" s="9"/>
      <c r="Y360" s="18"/>
    </row>
    <row r="361" spans="1:25" ht="15">
      <c r="A361" s="13">
        <v>72.209999999999994</v>
      </c>
      <c r="B361" s="13">
        <v>72.989999999999995</v>
      </c>
      <c r="C361" s="13">
        <v>71.144000000000005</v>
      </c>
      <c r="D361" s="13">
        <v>71.61</v>
      </c>
      <c r="E361" s="13">
        <v>6021096</v>
      </c>
      <c r="F361" s="13" t="s">
        <v>179</v>
      </c>
      <c r="G361" s="18">
        <f t="shared" si="6"/>
        <v>8.3787180561374353E-3</v>
      </c>
      <c r="I361" s="20">
        <v>3.7000000000000054E-2</v>
      </c>
      <c r="J361">
        <v>4</v>
      </c>
      <c r="L361" s="47">
        <f t="shared" si="10"/>
        <v>3.6000000000000053E-2</v>
      </c>
      <c r="M361" s="1">
        <f t="shared" si="9"/>
        <v>1.0046837335565351</v>
      </c>
      <c r="O361" s="23"/>
      <c r="S361" s="19"/>
      <c r="T361" s="19"/>
      <c r="X361" s="9"/>
      <c r="Y361" s="18"/>
    </row>
    <row r="362" spans="1:25" ht="15">
      <c r="A362" s="13">
        <v>71.87</v>
      </c>
      <c r="B362" s="13">
        <v>72.790000000000006</v>
      </c>
      <c r="C362" s="13">
        <v>71.734999999999999</v>
      </c>
      <c r="D362" s="13">
        <v>72.34</v>
      </c>
      <c r="E362" s="13">
        <v>8718137</v>
      </c>
      <c r="F362" s="13" t="s">
        <v>178</v>
      </c>
      <c r="G362" s="18">
        <f t="shared" si="6"/>
        <v>-6.4970970417472795E-3</v>
      </c>
      <c r="I362" s="20">
        <v>3.8000000000000055E-2</v>
      </c>
      <c r="J362">
        <v>1</v>
      </c>
      <c r="L362" s="47">
        <f t="shared" si="10"/>
        <v>3.7000000000000054E-2</v>
      </c>
      <c r="M362" s="1">
        <f t="shared" si="9"/>
        <v>0.83079577615326938</v>
      </c>
      <c r="O362" s="23"/>
      <c r="S362" s="19"/>
      <c r="T362" s="19"/>
      <c r="X362" s="9"/>
      <c r="Y362" s="18"/>
    </row>
    <row r="363" spans="1:25" ht="15">
      <c r="A363" s="13">
        <v>72.5</v>
      </c>
      <c r="B363" s="13">
        <v>73.125</v>
      </c>
      <c r="C363" s="13">
        <v>71.75</v>
      </c>
      <c r="D363" s="13">
        <v>73.08</v>
      </c>
      <c r="E363" s="13">
        <v>9463878</v>
      </c>
      <c r="F363" s="13" t="s">
        <v>2202</v>
      </c>
      <c r="G363" s="18">
        <f t="shared" si="6"/>
        <v>-7.9365079365079083E-3</v>
      </c>
      <c r="I363" s="20">
        <v>3.9000000000000055E-2</v>
      </c>
      <c r="J363">
        <v>1</v>
      </c>
      <c r="L363" s="47">
        <f t="shared" si="10"/>
        <v>3.8000000000000055E-2</v>
      </c>
      <c r="M363" s="1">
        <f t="shared" si="9"/>
        <v>0.68341931965171021</v>
      </c>
      <c r="O363" s="23"/>
      <c r="S363" s="19"/>
      <c r="T363" s="19"/>
      <c r="X363" s="9"/>
      <c r="Y363" s="18"/>
    </row>
    <row r="364" spans="1:25" ht="15">
      <c r="A364" s="13">
        <v>73.17</v>
      </c>
      <c r="B364" s="13">
        <v>73.613</v>
      </c>
      <c r="C364" s="13">
        <v>72.64</v>
      </c>
      <c r="D364" s="13">
        <v>72.88</v>
      </c>
      <c r="E364" s="13">
        <v>8786294</v>
      </c>
      <c r="F364" s="13" t="s">
        <v>2201</v>
      </c>
      <c r="G364" s="18">
        <f t="shared" si="6"/>
        <v>3.9791437980243316E-3</v>
      </c>
      <c r="I364" s="20">
        <v>4.0000000000000056E-2</v>
      </c>
      <c r="J364">
        <v>1</v>
      </c>
      <c r="L364" s="47">
        <f t="shared" si="10"/>
        <v>3.9000000000000055E-2</v>
      </c>
      <c r="M364" s="1">
        <f t="shared" si="9"/>
        <v>0.55925295364183469</v>
      </c>
      <c r="O364" s="23"/>
      <c r="S364" s="19"/>
      <c r="T364" s="19"/>
      <c r="Y364" s="18"/>
    </row>
    <row r="365" spans="1:25" ht="15">
      <c r="A365" s="13">
        <v>73.260000000000005</v>
      </c>
      <c r="B365" s="13">
        <v>73.635000000000005</v>
      </c>
      <c r="C365" s="13">
        <v>72.91</v>
      </c>
      <c r="D365" s="13">
        <v>73.13</v>
      </c>
      <c r="E365" s="13">
        <v>8172200</v>
      </c>
      <c r="F365" s="13" t="s">
        <v>2200</v>
      </c>
      <c r="G365" s="18">
        <f t="shared" si="6"/>
        <v>1.777656228634017E-3</v>
      </c>
      <c r="I365" s="20">
        <v>4.1000000000000057E-2</v>
      </c>
      <c r="J365">
        <v>3</v>
      </c>
      <c r="L365" s="47">
        <f t="shared" si="10"/>
        <v>4.0000000000000056E-2</v>
      </c>
      <c r="M365" s="1">
        <f t="shared" si="9"/>
        <v>0.45525778808573852</v>
      </c>
      <c r="O365" s="23"/>
      <c r="S365" s="19"/>
      <c r="T365" s="19"/>
      <c r="Y365" s="18"/>
    </row>
    <row r="366" spans="1:25" ht="15">
      <c r="A366" s="13">
        <v>72.91</v>
      </c>
      <c r="B366" s="13">
        <v>74.39</v>
      </c>
      <c r="C366" s="13">
        <v>72.55</v>
      </c>
      <c r="D366" s="13">
        <v>73.14</v>
      </c>
      <c r="E366" s="13">
        <v>15276470</v>
      </c>
      <c r="F366" s="13" t="s">
        <v>2199</v>
      </c>
      <c r="G366" s="18">
        <f t="shared" si="6"/>
        <v>-3.1446540880503138E-3</v>
      </c>
      <c r="I366" s="20">
        <v>4.2000000000000058E-2</v>
      </c>
      <c r="J366">
        <v>1</v>
      </c>
      <c r="L366" s="47">
        <f t="shared" si="10"/>
        <v>4.1000000000000057E-2</v>
      </c>
      <c r="M366" s="1">
        <f t="shared" si="9"/>
        <v>0.36866723721618644</v>
      </c>
      <c r="O366" s="23"/>
      <c r="S366" s="19"/>
      <c r="T366" s="19"/>
      <c r="Y366" s="18"/>
    </row>
    <row r="367" spans="1:25" ht="15">
      <c r="A367" s="13">
        <v>68.989999999999995</v>
      </c>
      <c r="B367" s="13">
        <v>69</v>
      </c>
      <c r="C367" s="13">
        <v>67.8</v>
      </c>
      <c r="D367" s="13">
        <v>68.319999999999993</v>
      </c>
      <c r="E367" s="13">
        <v>9075682</v>
      </c>
      <c r="F367" s="13" t="s">
        <v>2198</v>
      </c>
      <c r="G367" s="18">
        <f t="shared" si="6"/>
        <v>9.8067915690867036E-3</v>
      </c>
      <c r="I367" s="20">
        <v>4.3000000000000059E-2</v>
      </c>
      <c r="J367">
        <v>0</v>
      </c>
      <c r="L367" s="47">
        <f t="shared" si="10"/>
        <v>4.2000000000000058E-2</v>
      </c>
      <c r="M367" s="1">
        <f t="shared" si="9"/>
        <v>0.29698859210252299</v>
      </c>
      <c r="O367" s="23"/>
      <c r="S367" s="19"/>
      <c r="T367" s="19"/>
      <c r="Y367" s="18"/>
    </row>
    <row r="368" spans="1:25" ht="15">
      <c r="A368" s="13">
        <v>68.02</v>
      </c>
      <c r="B368" s="13">
        <v>68.605000000000004</v>
      </c>
      <c r="C368" s="13">
        <v>66.8</v>
      </c>
      <c r="D368" s="13">
        <v>67.63</v>
      </c>
      <c r="E368" s="13">
        <v>7659790</v>
      </c>
      <c r="F368" s="13" t="s">
        <v>2197</v>
      </c>
      <c r="G368" s="18">
        <f t="shared" si="6"/>
        <v>5.7666715954458603E-3</v>
      </c>
      <c r="I368" s="20">
        <v>4.400000000000006E-2</v>
      </c>
      <c r="J368">
        <v>0</v>
      </c>
      <c r="L368" s="47">
        <f t="shared" si="10"/>
        <v>4.3000000000000059E-2</v>
      </c>
      <c r="M368" s="1">
        <f t="shared" si="9"/>
        <v>0.2379978608472092</v>
      </c>
      <c r="O368" s="23"/>
      <c r="S368" s="19"/>
      <c r="T368" s="19"/>
      <c r="Y368" s="18"/>
    </row>
    <row r="369" spans="1:25" ht="15">
      <c r="A369" s="13">
        <v>67.33</v>
      </c>
      <c r="B369" s="13">
        <v>68.08</v>
      </c>
      <c r="C369" s="13">
        <v>66.905000000000001</v>
      </c>
      <c r="D369" s="13">
        <v>67.87</v>
      </c>
      <c r="E369" s="13">
        <v>6966282</v>
      </c>
      <c r="F369" s="13" t="s">
        <v>2196</v>
      </c>
      <c r="G369" s="18">
        <f t="shared" si="6"/>
        <v>-7.9563872108443512E-3</v>
      </c>
      <c r="I369" s="20">
        <v>4.5000000000000061E-2</v>
      </c>
      <c r="J369">
        <v>3</v>
      </c>
      <c r="L369" s="47">
        <f t="shared" si="10"/>
        <v>4.400000000000006E-2</v>
      </c>
      <c r="M369" s="1">
        <f t="shared" si="9"/>
        <v>0.18972929914146222</v>
      </c>
      <c r="O369" s="23"/>
      <c r="Y369" s="18"/>
    </row>
    <row r="370" spans="1:25" ht="15">
      <c r="A370" s="13">
        <v>67.42</v>
      </c>
      <c r="B370" s="13">
        <v>68.2</v>
      </c>
      <c r="C370" s="13">
        <v>67.215000000000003</v>
      </c>
      <c r="D370" s="13">
        <v>68.05</v>
      </c>
      <c r="E370" s="13">
        <v>5946798</v>
      </c>
      <c r="F370" s="13" t="s">
        <v>2195</v>
      </c>
      <c r="G370" s="18">
        <f t="shared" ref="G370:G433" si="11">A370/D370-1</f>
        <v>-9.2578986039676403E-3</v>
      </c>
      <c r="I370" s="20">
        <v>4.6000000000000062E-2</v>
      </c>
      <c r="J370">
        <v>0</v>
      </c>
      <c r="L370" s="47">
        <f t="shared" si="10"/>
        <v>4.5000000000000061E-2</v>
      </c>
      <c r="M370" s="1">
        <f t="shared" ref="M370:M376" si="12">_xlfn.NORM.DIST(L370,$K$265,$K$267,FALSE)</f>
        <v>0.15046095503185336</v>
      </c>
      <c r="O370" s="23"/>
      <c r="Y370" s="18"/>
    </row>
    <row r="371" spans="1:25" ht="15">
      <c r="A371" s="13">
        <v>67.959999999999994</v>
      </c>
      <c r="B371" s="13">
        <v>68.33</v>
      </c>
      <c r="C371" s="13">
        <v>67.454999999999998</v>
      </c>
      <c r="D371" s="13">
        <v>68.17</v>
      </c>
      <c r="E371" s="13">
        <v>6177611</v>
      </c>
      <c r="F371" s="13" t="s">
        <v>2194</v>
      </c>
      <c r="G371" s="18">
        <f t="shared" si="11"/>
        <v>-3.0805339592197001E-3</v>
      </c>
      <c r="I371" s="20">
        <v>4.7000000000000063E-2</v>
      </c>
      <c r="J371">
        <v>0</v>
      </c>
      <c r="L371" s="47">
        <f t="shared" si="10"/>
        <v>4.6000000000000062E-2</v>
      </c>
      <c r="M371" s="1">
        <f t="shared" si="12"/>
        <v>0.11869742256229208</v>
      </c>
      <c r="O371" s="23"/>
      <c r="Y371" s="18"/>
    </row>
    <row r="372" spans="1:25" ht="15">
      <c r="A372" s="13">
        <v>68.12</v>
      </c>
      <c r="B372" s="13">
        <v>68.665000000000006</v>
      </c>
      <c r="C372" s="13">
        <v>67.37</v>
      </c>
      <c r="D372" s="13">
        <v>67.709999999999994</v>
      </c>
      <c r="E372" s="13">
        <v>6619233</v>
      </c>
      <c r="F372" s="13" t="s">
        <v>2193</v>
      </c>
      <c r="G372" s="18">
        <f t="shared" si="11"/>
        <v>6.0552355634324595E-3</v>
      </c>
      <c r="I372" s="20">
        <v>4.8000000000000063E-2</v>
      </c>
      <c r="J372">
        <v>0</v>
      </c>
      <c r="L372" s="47">
        <f t="shared" si="10"/>
        <v>4.7000000000000063E-2</v>
      </c>
      <c r="M372" s="1">
        <f t="shared" si="12"/>
        <v>9.3150850813840558E-2</v>
      </c>
      <c r="O372" s="23"/>
      <c r="Y372" s="18"/>
    </row>
    <row r="373" spans="1:25" ht="15">
      <c r="A373" s="13">
        <v>67.44</v>
      </c>
      <c r="B373" s="13">
        <v>68.959999999999994</v>
      </c>
      <c r="C373" s="13">
        <v>67.400000000000006</v>
      </c>
      <c r="D373" s="13">
        <v>68.73</v>
      </c>
      <c r="E373" s="13">
        <v>6527104</v>
      </c>
      <c r="F373" s="13" t="s">
        <v>2192</v>
      </c>
      <c r="G373" s="18">
        <f t="shared" si="11"/>
        <v>-1.8769096464426149E-2</v>
      </c>
      <c r="I373" s="20">
        <v>4.9000000000000064E-2</v>
      </c>
      <c r="J373">
        <v>0</v>
      </c>
      <c r="L373" s="47">
        <f t="shared" si="10"/>
        <v>4.8000000000000063E-2</v>
      </c>
      <c r="M373" s="1">
        <f t="shared" si="12"/>
        <v>7.2721097759600339E-2</v>
      </c>
      <c r="O373" s="23"/>
      <c r="Y373" s="18"/>
    </row>
    <row r="374" spans="1:25" ht="15">
      <c r="A374" s="13">
        <v>68.069999999999993</v>
      </c>
      <c r="B374" s="13">
        <v>68.53</v>
      </c>
      <c r="C374" s="13">
        <v>67.760000000000005</v>
      </c>
      <c r="D374" s="13">
        <v>68.27</v>
      </c>
      <c r="E374" s="13">
        <v>4995155</v>
      </c>
      <c r="F374" s="13" t="s">
        <v>2191</v>
      </c>
      <c r="G374" s="18">
        <f t="shared" si="11"/>
        <v>-2.929544455837152E-3</v>
      </c>
      <c r="I374" s="20">
        <v>5.0000000000000065E-2</v>
      </c>
      <c r="J374">
        <v>0</v>
      </c>
      <c r="L374" s="47">
        <f t="shared" si="10"/>
        <v>4.9000000000000064E-2</v>
      </c>
      <c r="M374" s="1">
        <f t="shared" si="12"/>
        <v>5.6475760672150807E-2</v>
      </c>
      <c r="O374" s="23"/>
      <c r="Y374" s="18"/>
    </row>
    <row r="375" spans="1:25" ht="15.75" thickBot="1">
      <c r="A375" s="13">
        <v>68.84</v>
      </c>
      <c r="B375" s="13">
        <v>69.209999999999994</v>
      </c>
      <c r="C375" s="13">
        <v>68.534999999999997</v>
      </c>
      <c r="D375" s="13">
        <v>68.930000000000007</v>
      </c>
      <c r="E375" s="13">
        <v>6439168</v>
      </c>
      <c r="F375" s="13" t="s">
        <v>2190</v>
      </c>
      <c r="G375" s="18">
        <f t="shared" si="11"/>
        <v>-1.3056724212969772E-3</v>
      </c>
      <c r="I375" s="21" t="s">
        <v>440</v>
      </c>
      <c r="J375" s="21">
        <v>8</v>
      </c>
      <c r="L375" s="47">
        <f t="shared" si="10"/>
        <v>5.0000000000000065E-2</v>
      </c>
      <c r="M375" s="1">
        <f t="shared" si="12"/>
        <v>4.3630663252486018E-2</v>
      </c>
      <c r="O375" s="23"/>
      <c r="Y375" s="18"/>
    </row>
    <row r="376" spans="1:25">
      <c r="A376" s="13">
        <v>68.650000000000006</v>
      </c>
      <c r="B376" s="13">
        <v>68.795000000000002</v>
      </c>
      <c r="C376" s="13">
        <v>67.942999999999998</v>
      </c>
      <c r="D376" s="13">
        <v>68.02</v>
      </c>
      <c r="E376" s="13">
        <v>5200008</v>
      </c>
      <c r="F376" s="13" t="s">
        <v>2189</v>
      </c>
      <c r="G376" s="18">
        <f t="shared" si="11"/>
        <v>9.261981770067873E-3</v>
      </c>
      <c r="L376" s="47">
        <f t="shared" si="10"/>
        <v>5.1000000000000066E-2</v>
      </c>
      <c r="M376" s="1">
        <f t="shared" si="12"/>
        <v>3.3531239189735898E-2</v>
      </c>
      <c r="Y376" s="18"/>
    </row>
    <row r="377" spans="1:25">
      <c r="A377" s="13">
        <v>68.66</v>
      </c>
      <c r="B377" s="13">
        <v>68.94</v>
      </c>
      <c r="C377" s="13">
        <v>67.95</v>
      </c>
      <c r="D377" s="13">
        <v>68.94</v>
      </c>
      <c r="E377" s="13">
        <v>4917465</v>
      </c>
      <c r="F377" s="13" t="s">
        <v>2188</v>
      </c>
      <c r="G377" s="18">
        <f t="shared" si="11"/>
        <v>-4.0615027560197969E-3</v>
      </c>
      <c r="Y377" s="18"/>
    </row>
    <row r="378" spans="1:25">
      <c r="A378" s="13">
        <v>68.69</v>
      </c>
      <c r="B378" s="13">
        <v>68.795000000000002</v>
      </c>
      <c r="C378" s="13">
        <v>68.031000000000006</v>
      </c>
      <c r="D378" s="13">
        <v>68.52</v>
      </c>
      <c r="E378" s="13">
        <v>4912625</v>
      </c>
      <c r="F378" s="13" t="s">
        <v>2187</v>
      </c>
      <c r="G378" s="18">
        <f t="shared" si="11"/>
        <v>2.4810274372446539E-3</v>
      </c>
      <c r="S378" s="19"/>
      <c r="T378" s="19"/>
      <c r="Y378" s="18"/>
    </row>
    <row r="379" spans="1:25">
      <c r="A379" s="13">
        <v>68.56</v>
      </c>
      <c r="B379" s="13">
        <v>68.784999999999997</v>
      </c>
      <c r="C379" s="13">
        <v>67.83</v>
      </c>
      <c r="D379" s="13">
        <v>67.98</v>
      </c>
      <c r="E379" s="13">
        <v>5342333</v>
      </c>
      <c r="F379" s="13" t="s">
        <v>2186</v>
      </c>
      <c r="G379" s="18">
        <f t="shared" si="11"/>
        <v>8.5319211532803862E-3</v>
      </c>
      <c r="S379" s="19"/>
      <c r="T379" s="19"/>
      <c r="Y379" s="18"/>
    </row>
    <row r="380" spans="1:25">
      <c r="A380" s="13">
        <v>67.75</v>
      </c>
      <c r="B380" s="13">
        <v>69.2</v>
      </c>
      <c r="C380" s="13">
        <v>67.685000000000002</v>
      </c>
      <c r="D380" s="13">
        <v>68.7</v>
      </c>
      <c r="E380" s="13">
        <v>5834144</v>
      </c>
      <c r="F380" s="13" t="s">
        <v>2185</v>
      </c>
      <c r="G380" s="18">
        <f t="shared" si="11"/>
        <v>-1.3828238719068464E-2</v>
      </c>
      <c r="S380" s="19"/>
      <c r="T380" s="19"/>
      <c r="X380" s="9"/>
      <c r="Y380" s="18"/>
    </row>
    <row r="381" spans="1:25">
      <c r="A381" s="13">
        <v>68.13</v>
      </c>
      <c r="B381" s="13">
        <v>68.569999999999993</v>
      </c>
      <c r="C381" s="13">
        <v>67.564999999999998</v>
      </c>
      <c r="D381" s="13">
        <v>67.7</v>
      </c>
      <c r="E381" s="13">
        <v>6590938</v>
      </c>
      <c r="F381" s="13" t="s">
        <v>2184</v>
      </c>
      <c r="G381" s="18">
        <f t="shared" si="11"/>
        <v>6.3515509601179687E-3</v>
      </c>
      <c r="S381" s="19"/>
      <c r="T381" s="19"/>
      <c r="X381" s="9"/>
      <c r="Y381" s="18"/>
    </row>
    <row r="382" spans="1:25">
      <c r="A382" s="13">
        <v>67.45</v>
      </c>
      <c r="B382" s="13">
        <v>67.92</v>
      </c>
      <c r="C382" s="13">
        <v>67.09</v>
      </c>
      <c r="D382" s="13">
        <v>67.69</v>
      </c>
      <c r="E382" s="13">
        <v>4895374</v>
      </c>
      <c r="F382" s="13" t="s">
        <v>2183</v>
      </c>
      <c r="G382" s="18">
        <f t="shared" si="11"/>
        <v>-3.5455754173436826E-3</v>
      </c>
      <c r="S382" s="19"/>
      <c r="T382" s="19"/>
      <c r="X382" s="13"/>
      <c r="Y382" s="18"/>
    </row>
    <row r="383" spans="1:25">
      <c r="A383" s="13">
        <v>68.099999999999994</v>
      </c>
      <c r="B383" s="13">
        <v>68.540000000000006</v>
      </c>
      <c r="C383" s="13">
        <v>67.900000000000006</v>
      </c>
      <c r="D383" s="13">
        <v>68.42</v>
      </c>
      <c r="E383" s="13">
        <v>2970096</v>
      </c>
      <c r="F383" s="13" t="s">
        <v>2182</v>
      </c>
      <c r="G383" s="18">
        <f t="shared" si="11"/>
        <v>-4.6769950306928543E-3</v>
      </c>
      <c r="S383" s="19"/>
      <c r="T383" s="19"/>
      <c r="X383" s="13"/>
      <c r="Y383" s="18"/>
    </row>
    <row r="384" spans="1:25">
      <c r="A384" s="13">
        <v>68.489999999999995</v>
      </c>
      <c r="B384" s="13">
        <v>68.915000000000006</v>
      </c>
      <c r="C384" s="13">
        <v>68.33</v>
      </c>
      <c r="D384" s="13">
        <v>68.72</v>
      </c>
      <c r="E384" s="13">
        <v>6533625</v>
      </c>
      <c r="F384" s="13" t="s">
        <v>2181</v>
      </c>
      <c r="G384" s="18">
        <f t="shared" si="11"/>
        <v>-3.3469150174622042E-3</v>
      </c>
      <c r="S384" s="19"/>
      <c r="T384" s="19"/>
      <c r="X384" s="13"/>
      <c r="Y384" s="18"/>
    </row>
    <row r="385" spans="1:25">
      <c r="A385" s="13">
        <v>68.62</v>
      </c>
      <c r="B385" s="13">
        <v>68.66</v>
      </c>
      <c r="C385" s="13">
        <v>67.900000000000006</v>
      </c>
      <c r="D385" s="13">
        <v>68.260000000000005</v>
      </c>
      <c r="E385" s="13">
        <v>4069747</v>
      </c>
      <c r="F385" s="13" t="s">
        <v>2180</v>
      </c>
      <c r="G385" s="18">
        <f t="shared" si="11"/>
        <v>5.2739525344271954E-3</v>
      </c>
      <c r="S385" s="19"/>
      <c r="T385" s="19"/>
      <c r="X385" s="13"/>
      <c r="Y385" s="18"/>
    </row>
    <row r="386" spans="1:25">
      <c r="A386" s="13">
        <v>67.94</v>
      </c>
      <c r="B386" s="13">
        <v>68.125</v>
      </c>
      <c r="C386" s="13">
        <v>67.37</v>
      </c>
      <c r="D386" s="13">
        <v>67.37</v>
      </c>
      <c r="E386" s="13">
        <v>5308830</v>
      </c>
      <c r="F386" s="13" t="s">
        <v>2179</v>
      </c>
      <c r="G386" s="18">
        <f t="shared" si="11"/>
        <v>8.4607392014248717E-3</v>
      </c>
      <c r="S386" s="19"/>
      <c r="T386" s="19"/>
      <c r="X386" s="13"/>
      <c r="Y386" s="18"/>
    </row>
    <row r="387" spans="1:25">
      <c r="A387" s="13">
        <v>67.290000000000006</v>
      </c>
      <c r="B387" s="13">
        <v>67.849999999999994</v>
      </c>
      <c r="C387" s="13">
        <v>67.275000000000006</v>
      </c>
      <c r="D387" s="13">
        <v>67.650000000000006</v>
      </c>
      <c r="E387" s="13">
        <v>3321802</v>
      </c>
      <c r="F387" s="13" t="s">
        <v>2178</v>
      </c>
      <c r="G387" s="18">
        <f t="shared" si="11"/>
        <v>-5.3215077605321959E-3</v>
      </c>
      <c r="S387" s="19"/>
      <c r="T387" s="19"/>
      <c r="X387" s="13"/>
      <c r="Y387" s="18"/>
    </row>
    <row r="388" spans="1:25">
      <c r="A388" s="13">
        <v>67.62</v>
      </c>
      <c r="B388" s="13">
        <v>67.864999999999995</v>
      </c>
      <c r="C388" s="13">
        <v>66.911000000000001</v>
      </c>
      <c r="D388" s="13">
        <v>67.209999999999994</v>
      </c>
      <c r="E388" s="13">
        <v>4463370</v>
      </c>
      <c r="F388" s="13" t="s">
        <v>2177</v>
      </c>
      <c r="G388" s="18">
        <f t="shared" si="11"/>
        <v>6.1002826960274703E-3</v>
      </c>
      <c r="S388" s="19"/>
      <c r="T388" s="19"/>
      <c r="X388" s="13"/>
      <c r="Y388" s="18"/>
    </row>
    <row r="389" spans="1:25">
      <c r="A389" s="13">
        <v>67.56</v>
      </c>
      <c r="B389" s="13">
        <v>67.84</v>
      </c>
      <c r="C389" s="13">
        <v>67.31</v>
      </c>
      <c r="D389" s="13">
        <v>67.430000000000007</v>
      </c>
      <c r="E389" s="13">
        <v>4165681</v>
      </c>
      <c r="F389" s="13" t="s">
        <v>2176</v>
      </c>
      <c r="G389" s="18">
        <f t="shared" si="11"/>
        <v>1.9279252558208615E-3</v>
      </c>
      <c r="S389" s="19"/>
      <c r="T389" s="19"/>
      <c r="U389" s="19"/>
      <c r="V389" s="19"/>
      <c r="W389" s="13"/>
      <c r="X389" s="13"/>
      <c r="Y389" s="18"/>
    </row>
    <row r="390" spans="1:25">
      <c r="A390" s="13">
        <v>67.44</v>
      </c>
      <c r="B390" s="13">
        <v>67.825000000000003</v>
      </c>
      <c r="C390" s="13">
        <v>67.034999999999997</v>
      </c>
      <c r="D390" s="13">
        <v>67.72</v>
      </c>
      <c r="E390" s="13">
        <v>3882507</v>
      </c>
      <c r="F390" s="13" t="s">
        <v>2175</v>
      </c>
      <c r="G390" s="18">
        <f t="shared" si="11"/>
        <v>-4.1346721795628705E-3</v>
      </c>
      <c r="S390" s="19"/>
      <c r="T390" s="19"/>
      <c r="U390" s="19"/>
      <c r="V390" s="19"/>
      <c r="W390" s="13"/>
      <c r="X390" s="13"/>
      <c r="Y390" s="18"/>
    </row>
    <row r="391" spans="1:25">
      <c r="A391" s="13">
        <v>67.790000000000006</v>
      </c>
      <c r="B391" s="13">
        <v>67.84</v>
      </c>
      <c r="C391" s="13">
        <v>67.03</v>
      </c>
      <c r="D391" s="13">
        <v>67.44</v>
      </c>
      <c r="E391" s="13">
        <v>5417145</v>
      </c>
      <c r="F391" s="13" t="s">
        <v>2174</v>
      </c>
      <c r="G391" s="18">
        <f t="shared" si="11"/>
        <v>5.1897983392645841E-3</v>
      </c>
      <c r="S391" s="19"/>
      <c r="T391" s="19"/>
      <c r="U391" s="19"/>
      <c r="V391" s="19"/>
      <c r="W391" s="13"/>
      <c r="X391" s="13"/>
      <c r="Y391" s="18"/>
    </row>
    <row r="392" spans="1:25">
      <c r="A392" s="13">
        <v>67.239999999999995</v>
      </c>
      <c r="B392" s="13">
        <v>67.424999999999997</v>
      </c>
      <c r="C392" s="13">
        <v>66.16</v>
      </c>
      <c r="D392" s="13">
        <v>66.19</v>
      </c>
      <c r="E392" s="13">
        <v>5833683</v>
      </c>
      <c r="F392" s="13" t="s">
        <v>2173</v>
      </c>
      <c r="G392" s="18">
        <f t="shared" si="11"/>
        <v>1.5863423477866734E-2</v>
      </c>
      <c r="S392" s="19"/>
      <c r="T392" s="19"/>
      <c r="U392" s="19"/>
      <c r="V392" s="19"/>
      <c r="W392" s="13"/>
      <c r="X392" s="13"/>
      <c r="Y392" s="18"/>
    </row>
    <row r="393" spans="1:25">
      <c r="A393" s="13">
        <v>66.23</v>
      </c>
      <c r="B393" s="13">
        <v>66.91</v>
      </c>
      <c r="C393" s="13">
        <v>65.87</v>
      </c>
      <c r="D393" s="13">
        <v>66.06</v>
      </c>
      <c r="E393" s="13">
        <v>8850950</v>
      </c>
      <c r="F393" s="13" t="s">
        <v>2172</v>
      </c>
      <c r="G393" s="18">
        <f t="shared" si="11"/>
        <v>2.5734181047532001E-3</v>
      </c>
      <c r="U393" s="19"/>
      <c r="V393" s="19"/>
      <c r="W393" s="13"/>
      <c r="X393" s="13"/>
      <c r="Y393" s="18"/>
    </row>
    <row r="394" spans="1:25">
      <c r="A394" s="13">
        <v>66.86</v>
      </c>
      <c r="B394" s="13">
        <v>66.91</v>
      </c>
      <c r="C394" s="13">
        <v>65.52</v>
      </c>
      <c r="D394" s="13">
        <v>65.94</v>
      </c>
      <c r="E394" s="13">
        <v>7327729</v>
      </c>
      <c r="F394" s="13" t="s">
        <v>2171</v>
      </c>
      <c r="G394" s="18">
        <f t="shared" si="11"/>
        <v>1.3952077646345096E-2</v>
      </c>
      <c r="U394" s="19"/>
      <c r="V394" s="19"/>
      <c r="W394" s="13"/>
      <c r="X394" s="13"/>
      <c r="Y394" s="18"/>
    </row>
    <row r="395" spans="1:25">
      <c r="A395" s="13">
        <v>66.040000000000006</v>
      </c>
      <c r="B395" s="13">
        <v>67.600099999999998</v>
      </c>
      <c r="C395" s="13">
        <v>65.98</v>
      </c>
      <c r="D395" s="13">
        <v>67.599999999999994</v>
      </c>
      <c r="E395" s="13">
        <v>9236134</v>
      </c>
      <c r="F395" s="13" t="s">
        <v>2170</v>
      </c>
      <c r="G395" s="18">
        <f t="shared" si="11"/>
        <v>-2.3076923076922884E-2</v>
      </c>
      <c r="S395" s="19"/>
      <c r="T395" s="19"/>
      <c r="U395" s="19"/>
      <c r="V395" s="19"/>
      <c r="W395" s="13"/>
      <c r="X395" s="13"/>
      <c r="Y395" s="18"/>
    </row>
    <row r="396" spans="1:25">
      <c r="A396" s="13">
        <v>67.489999999999995</v>
      </c>
      <c r="B396" s="13">
        <v>67.680000000000007</v>
      </c>
      <c r="C396" s="13">
        <v>66.040000000000006</v>
      </c>
      <c r="D396" s="13">
        <v>66.05</v>
      </c>
      <c r="E396" s="13">
        <v>6462540</v>
      </c>
      <c r="F396" s="13" t="s">
        <v>2169</v>
      </c>
      <c r="G396" s="18">
        <f t="shared" si="11"/>
        <v>2.1801665404996173E-2</v>
      </c>
      <c r="S396" s="19"/>
      <c r="T396" s="19"/>
      <c r="U396" s="19"/>
      <c r="V396" s="19"/>
      <c r="W396" s="13"/>
      <c r="X396" s="13"/>
      <c r="Y396" s="18"/>
    </row>
    <row r="397" spans="1:25">
      <c r="A397" s="13">
        <v>66.12</v>
      </c>
      <c r="B397" s="13">
        <v>67.69</v>
      </c>
      <c r="C397" s="13">
        <v>66.034999999999997</v>
      </c>
      <c r="D397" s="13">
        <v>67.53</v>
      </c>
      <c r="E397" s="13">
        <v>7995762</v>
      </c>
      <c r="F397" s="13" t="s">
        <v>2168</v>
      </c>
      <c r="G397" s="18">
        <f t="shared" si="11"/>
        <v>-2.0879609062638749E-2</v>
      </c>
      <c r="S397" s="19"/>
      <c r="T397" s="19"/>
      <c r="U397" s="19"/>
      <c r="V397" s="19"/>
      <c r="W397" s="13"/>
      <c r="X397" s="13"/>
      <c r="Y397" s="18"/>
    </row>
    <row r="398" spans="1:25">
      <c r="A398" s="13">
        <v>67.66</v>
      </c>
      <c r="B398" s="13">
        <v>68.064999999999998</v>
      </c>
      <c r="C398" s="13">
        <v>67.33</v>
      </c>
      <c r="D398" s="13">
        <v>67.78</v>
      </c>
      <c r="E398" s="13">
        <v>6257814</v>
      </c>
      <c r="F398" s="13" t="s">
        <v>2167</v>
      </c>
      <c r="G398" s="18">
        <f t="shared" si="11"/>
        <v>-1.7704337562703953E-3</v>
      </c>
      <c r="S398" s="19"/>
      <c r="T398" s="19"/>
      <c r="U398" s="19"/>
      <c r="V398" s="19"/>
      <c r="W398" s="13"/>
      <c r="X398" s="13"/>
      <c r="Y398" s="18"/>
    </row>
    <row r="399" spans="1:25">
      <c r="A399" s="13">
        <v>67.819999999999993</v>
      </c>
      <c r="B399" s="13">
        <v>68</v>
      </c>
      <c r="C399" s="13">
        <v>67.42</v>
      </c>
      <c r="D399" s="13">
        <v>67.7</v>
      </c>
      <c r="E399" s="13">
        <v>5283101</v>
      </c>
      <c r="F399" s="13" t="s">
        <v>2166</v>
      </c>
      <c r="G399" s="18">
        <f t="shared" si="11"/>
        <v>1.7725258493350715E-3</v>
      </c>
      <c r="S399" s="19"/>
      <c r="T399" s="19"/>
      <c r="U399" s="19"/>
      <c r="V399" s="19"/>
      <c r="W399" s="13"/>
      <c r="X399" s="13"/>
      <c r="Y399" s="18"/>
    </row>
    <row r="400" spans="1:25">
      <c r="A400" s="13">
        <v>67.42</v>
      </c>
      <c r="B400" s="13">
        <v>67.435000000000002</v>
      </c>
      <c r="C400" s="13">
        <v>66.84</v>
      </c>
      <c r="D400" s="13">
        <v>67.099999999999994</v>
      </c>
      <c r="E400" s="13">
        <v>6401048</v>
      </c>
      <c r="F400" s="13" t="s">
        <v>2165</v>
      </c>
      <c r="G400" s="18">
        <f t="shared" si="11"/>
        <v>4.7690014903130074E-3</v>
      </c>
      <c r="S400" s="19"/>
      <c r="T400" s="19"/>
      <c r="U400" s="19"/>
      <c r="V400" s="19"/>
      <c r="W400" s="13"/>
      <c r="X400" s="13"/>
      <c r="Y400" s="18"/>
    </row>
    <row r="401" spans="1:25">
      <c r="A401" s="13">
        <v>67.02</v>
      </c>
      <c r="B401" s="13">
        <v>67.672499999999999</v>
      </c>
      <c r="C401" s="13">
        <v>66.77</v>
      </c>
      <c r="D401" s="13">
        <v>67.599999999999994</v>
      </c>
      <c r="E401" s="13">
        <v>7039289</v>
      </c>
      <c r="F401" s="13" t="s">
        <v>2164</v>
      </c>
      <c r="G401" s="18">
        <f t="shared" si="11"/>
        <v>-8.5798816568046776E-3</v>
      </c>
      <c r="S401" s="19"/>
      <c r="T401" s="19"/>
      <c r="U401" s="19"/>
      <c r="V401" s="19"/>
      <c r="W401" s="13"/>
      <c r="X401" s="13"/>
      <c r="Y401" s="18"/>
    </row>
    <row r="402" spans="1:25">
      <c r="A402" s="13">
        <v>67.430000000000007</v>
      </c>
      <c r="B402" s="13">
        <v>67.45</v>
      </c>
      <c r="C402" s="13">
        <v>66.8</v>
      </c>
      <c r="D402" s="13">
        <v>67.11</v>
      </c>
      <c r="E402" s="13">
        <v>7853647</v>
      </c>
      <c r="F402" s="13" t="s">
        <v>2163</v>
      </c>
      <c r="G402" s="18">
        <f t="shared" si="11"/>
        <v>4.7682908657429302E-3</v>
      </c>
      <c r="S402" s="19"/>
      <c r="T402" s="19"/>
      <c r="U402" s="19"/>
      <c r="V402" s="19"/>
      <c r="W402" s="13"/>
      <c r="X402" s="13"/>
      <c r="Y402" s="18"/>
    </row>
    <row r="403" spans="1:25">
      <c r="A403" s="13">
        <v>67.13</v>
      </c>
      <c r="B403" s="13">
        <v>67.400000000000006</v>
      </c>
      <c r="C403" s="13">
        <v>66.3</v>
      </c>
      <c r="D403" s="13">
        <v>66.349999999999994</v>
      </c>
      <c r="E403" s="13">
        <v>5664190</v>
      </c>
      <c r="F403" s="13" t="s">
        <v>2162</v>
      </c>
      <c r="G403" s="18">
        <f t="shared" si="11"/>
        <v>1.175584024114551E-2</v>
      </c>
      <c r="S403" s="19"/>
      <c r="T403" s="19"/>
      <c r="U403" s="19"/>
      <c r="V403" s="19"/>
      <c r="W403" s="13"/>
      <c r="X403" s="13"/>
      <c r="Y403" s="18"/>
    </row>
    <row r="404" spans="1:25">
      <c r="A404" s="13">
        <v>66.209999999999994</v>
      </c>
      <c r="B404" s="13">
        <v>66.83</v>
      </c>
      <c r="C404" s="13">
        <v>65.995000000000005</v>
      </c>
      <c r="D404" s="13">
        <v>66.83</v>
      </c>
      <c r="E404" s="13">
        <v>9710756</v>
      </c>
      <c r="F404" s="13" t="s">
        <v>2161</v>
      </c>
      <c r="G404" s="18">
        <f t="shared" si="11"/>
        <v>-9.2772706868173849E-3</v>
      </c>
      <c r="S404" s="19"/>
      <c r="T404" s="19"/>
      <c r="U404" s="19"/>
      <c r="V404" s="19"/>
      <c r="W404" s="13"/>
      <c r="X404" s="13"/>
      <c r="Y404" s="18"/>
    </row>
    <row r="405" spans="1:25">
      <c r="A405" s="13">
        <v>66.989999999999995</v>
      </c>
      <c r="B405" s="13">
        <v>67</v>
      </c>
      <c r="C405" s="13">
        <v>66.296999999999997</v>
      </c>
      <c r="D405" s="13">
        <v>66.459999999999994</v>
      </c>
      <c r="E405" s="13">
        <v>4740486</v>
      </c>
      <c r="F405" s="13" t="s">
        <v>2160</v>
      </c>
      <c r="G405" s="18">
        <f t="shared" si="11"/>
        <v>7.9747216370749108E-3</v>
      </c>
      <c r="S405" s="19"/>
      <c r="T405" s="19"/>
      <c r="U405" s="19"/>
      <c r="V405" s="19"/>
      <c r="W405" s="13"/>
      <c r="X405" s="13"/>
      <c r="Y405" s="18"/>
    </row>
    <row r="406" spans="1:25">
      <c r="A406" s="13">
        <v>66.430000000000007</v>
      </c>
      <c r="B406" s="13">
        <v>66.709999999999994</v>
      </c>
      <c r="C406" s="13">
        <v>66.150000000000006</v>
      </c>
      <c r="D406" s="13">
        <v>66.260000000000005</v>
      </c>
      <c r="E406" s="13">
        <v>4021009</v>
      </c>
      <c r="F406" s="13" t="s">
        <v>2159</v>
      </c>
      <c r="G406" s="18">
        <f t="shared" si="11"/>
        <v>2.5656504678539527E-3</v>
      </c>
      <c r="S406" s="19"/>
      <c r="T406" s="19"/>
      <c r="U406" s="19"/>
      <c r="V406" s="19"/>
      <c r="W406" s="13"/>
      <c r="X406" s="13"/>
      <c r="Y406" s="18"/>
    </row>
    <row r="407" spans="1:25">
      <c r="A407" s="13">
        <v>66.67</v>
      </c>
      <c r="B407" s="13">
        <v>67.319999999999993</v>
      </c>
      <c r="C407" s="13">
        <v>66.64</v>
      </c>
      <c r="D407" s="13">
        <v>67.069999999999993</v>
      </c>
      <c r="E407" s="13">
        <v>4368914</v>
      </c>
      <c r="F407" s="13" t="s">
        <v>2158</v>
      </c>
      <c r="G407" s="18">
        <f t="shared" si="11"/>
        <v>-5.9639182943191926E-3</v>
      </c>
      <c r="S407" s="19"/>
      <c r="T407" s="19"/>
      <c r="U407" s="19"/>
      <c r="V407" s="19"/>
      <c r="W407" s="13"/>
      <c r="X407" s="13"/>
      <c r="Y407" s="18"/>
    </row>
    <row r="408" spans="1:25">
      <c r="A408" s="13">
        <v>67</v>
      </c>
      <c r="B408" s="13">
        <v>67.319999999999993</v>
      </c>
      <c r="C408" s="13">
        <v>66.650000000000006</v>
      </c>
      <c r="D408" s="13">
        <v>66.89</v>
      </c>
      <c r="E408" s="13">
        <v>4599932</v>
      </c>
      <c r="F408" s="13" t="s">
        <v>2157</v>
      </c>
      <c r="G408" s="18">
        <f t="shared" si="11"/>
        <v>1.6444909552997267E-3</v>
      </c>
      <c r="S408" s="19"/>
      <c r="T408" s="19"/>
      <c r="U408" s="19"/>
      <c r="V408" s="19"/>
      <c r="W408" s="13"/>
      <c r="X408" s="13"/>
      <c r="Y408" s="18"/>
    </row>
    <row r="409" spans="1:25">
      <c r="A409" s="13">
        <v>66.739999999999995</v>
      </c>
      <c r="B409" s="13">
        <v>66.907499999999999</v>
      </c>
      <c r="C409" s="13">
        <v>65.75</v>
      </c>
      <c r="D409" s="13">
        <v>65.760000000000005</v>
      </c>
      <c r="E409" s="13">
        <v>4872379</v>
      </c>
      <c r="F409" s="13" t="s">
        <v>2156</v>
      </c>
      <c r="G409" s="18">
        <f t="shared" si="11"/>
        <v>1.4902676399026538E-2</v>
      </c>
      <c r="S409" s="19"/>
      <c r="T409" s="19"/>
      <c r="U409" s="19"/>
      <c r="V409" s="19"/>
      <c r="W409" s="13"/>
      <c r="X409" s="13"/>
      <c r="Y409" s="18"/>
    </row>
    <row r="410" spans="1:25">
      <c r="A410" s="13">
        <v>65.75</v>
      </c>
      <c r="B410" s="13">
        <v>66.349999999999994</v>
      </c>
      <c r="C410" s="13">
        <v>65.334999999999994</v>
      </c>
      <c r="D410" s="13">
        <v>66.150000000000006</v>
      </c>
      <c r="E410" s="13">
        <v>6759860</v>
      </c>
      <c r="F410" s="13" t="s">
        <v>2155</v>
      </c>
      <c r="G410" s="18">
        <f t="shared" si="11"/>
        <v>-6.046863189720364E-3</v>
      </c>
      <c r="S410" s="19"/>
      <c r="T410" s="19"/>
      <c r="U410" s="19"/>
      <c r="V410" s="19"/>
      <c r="W410" s="13"/>
      <c r="X410" s="13"/>
      <c r="Y410" s="18"/>
    </row>
    <row r="411" spans="1:25">
      <c r="A411" s="13">
        <v>66.22</v>
      </c>
      <c r="B411" s="13">
        <v>66.66</v>
      </c>
      <c r="C411" s="13">
        <v>65.790000000000006</v>
      </c>
      <c r="D411" s="13">
        <v>65.86</v>
      </c>
      <c r="E411" s="13">
        <v>7580418</v>
      </c>
      <c r="F411" s="13" t="s">
        <v>2154</v>
      </c>
      <c r="G411" s="18">
        <f t="shared" si="11"/>
        <v>5.4661402976010631E-3</v>
      </c>
      <c r="S411" s="19"/>
      <c r="T411" s="19"/>
      <c r="U411" s="19"/>
      <c r="V411" s="19"/>
      <c r="W411" s="13"/>
      <c r="X411" s="13"/>
      <c r="Y411" s="18"/>
    </row>
    <row r="412" spans="1:25">
      <c r="A412" s="13">
        <v>65.819999999999993</v>
      </c>
      <c r="B412" s="13">
        <v>66.86</v>
      </c>
      <c r="C412" s="13">
        <v>65.760000000000005</v>
      </c>
      <c r="D412" s="13">
        <v>66.349999999999994</v>
      </c>
      <c r="E412" s="13">
        <v>7300469</v>
      </c>
      <c r="F412" s="13" t="s">
        <v>2153</v>
      </c>
      <c r="G412" s="18">
        <f t="shared" si="11"/>
        <v>-7.9879427279577753E-3</v>
      </c>
      <c r="S412" s="19"/>
      <c r="T412" s="19"/>
      <c r="U412" s="19"/>
      <c r="V412" s="19"/>
      <c r="W412" s="13"/>
      <c r="X412" s="13"/>
      <c r="Y412" s="18"/>
    </row>
    <row r="413" spans="1:25">
      <c r="A413" s="13">
        <v>66.09</v>
      </c>
      <c r="B413" s="13">
        <v>66.23</v>
      </c>
      <c r="C413" s="13">
        <v>65.484999999999999</v>
      </c>
      <c r="D413" s="13">
        <v>66.12</v>
      </c>
      <c r="E413" s="13">
        <v>5718561</v>
      </c>
      <c r="F413" s="13" t="s">
        <v>2152</v>
      </c>
      <c r="G413" s="18">
        <f t="shared" si="11"/>
        <v>-4.5372050816694376E-4</v>
      </c>
      <c r="S413" s="19"/>
      <c r="T413" s="19"/>
      <c r="U413" s="19"/>
      <c r="V413" s="19"/>
      <c r="W413" s="13"/>
      <c r="X413" s="13"/>
      <c r="Y413" s="18"/>
    </row>
    <row r="414" spans="1:25">
      <c r="A414" s="13">
        <v>65.95</v>
      </c>
      <c r="B414" s="13">
        <v>66</v>
      </c>
      <c r="C414" s="13">
        <v>65.004999999999995</v>
      </c>
      <c r="D414" s="13">
        <v>65.290000000000006</v>
      </c>
      <c r="E414" s="13">
        <v>5498113</v>
      </c>
      <c r="F414" s="13" t="s">
        <v>2151</v>
      </c>
      <c r="G414" s="18">
        <f t="shared" si="11"/>
        <v>1.0108745596569157E-2</v>
      </c>
      <c r="S414" s="19"/>
      <c r="T414" s="19"/>
      <c r="U414" s="19"/>
      <c r="V414" s="19"/>
      <c r="W414" s="13"/>
      <c r="X414" s="13"/>
      <c r="Y414" s="18"/>
    </row>
    <row r="415" spans="1:25">
      <c r="A415" s="13">
        <v>64.97</v>
      </c>
      <c r="B415" s="13">
        <v>65.407499999999999</v>
      </c>
      <c r="C415" s="13">
        <v>64.545000000000002</v>
      </c>
      <c r="D415" s="13">
        <v>64.81</v>
      </c>
      <c r="E415" s="13">
        <v>6911675</v>
      </c>
      <c r="F415" s="13" t="s">
        <v>2150</v>
      </c>
      <c r="G415" s="18">
        <f t="shared" si="11"/>
        <v>2.4687548217867672E-3</v>
      </c>
      <c r="S415" s="19"/>
      <c r="T415" s="19"/>
      <c r="U415" s="19"/>
      <c r="V415" s="19"/>
      <c r="W415" s="13"/>
      <c r="X415" s="13"/>
      <c r="Y415" s="18"/>
    </row>
    <row r="416" spans="1:25">
      <c r="A416" s="13">
        <v>64.989999999999995</v>
      </c>
      <c r="B416" s="13">
        <v>65.435000000000002</v>
      </c>
      <c r="C416" s="13">
        <v>64.56</v>
      </c>
      <c r="D416" s="13">
        <v>65.39</v>
      </c>
      <c r="E416" s="13">
        <v>4659272</v>
      </c>
      <c r="F416" s="13" t="s">
        <v>2149</v>
      </c>
      <c r="G416" s="18">
        <f t="shared" si="11"/>
        <v>-6.1171432940817505E-3</v>
      </c>
      <c r="S416" s="19"/>
      <c r="T416" s="19"/>
      <c r="U416" s="19"/>
      <c r="V416" s="19"/>
      <c r="W416" s="13"/>
      <c r="X416" s="13"/>
      <c r="Y416" s="18"/>
    </row>
    <row r="417" spans="1:25">
      <c r="A417" s="13">
        <v>65.5</v>
      </c>
      <c r="B417" s="13">
        <v>65.605000000000004</v>
      </c>
      <c r="C417" s="13">
        <v>64.849999999999994</v>
      </c>
      <c r="D417" s="13">
        <v>65.06</v>
      </c>
      <c r="E417" s="13">
        <v>7161773</v>
      </c>
      <c r="F417" s="13" t="s">
        <v>2148</v>
      </c>
      <c r="G417" s="18">
        <f t="shared" si="11"/>
        <v>6.7629880110666729E-3</v>
      </c>
      <c r="S417" s="19"/>
      <c r="T417" s="19"/>
      <c r="U417" s="19"/>
      <c r="V417" s="19"/>
      <c r="W417" s="13"/>
      <c r="X417" s="13"/>
      <c r="Y417" s="18"/>
    </row>
    <row r="418" spans="1:25">
      <c r="A418" s="13">
        <v>65.02</v>
      </c>
      <c r="B418" s="13">
        <v>65.135000000000005</v>
      </c>
      <c r="C418" s="13">
        <v>64.39</v>
      </c>
      <c r="D418" s="13">
        <v>65.05</v>
      </c>
      <c r="E418" s="13">
        <v>6823693</v>
      </c>
      <c r="F418" s="13" t="s">
        <v>2147</v>
      </c>
      <c r="G418" s="18">
        <f t="shared" si="11"/>
        <v>-4.6118370484249382E-4</v>
      </c>
      <c r="S418" s="19"/>
      <c r="T418" s="19"/>
      <c r="U418" s="19"/>
      <c r="V418" s="19"/>
      <c r="W418" s="13"/>
      <c r="X418" s="13"/>
      <c r="Y418" s="18"/>
    </row>
    <row r="419" spans="1:25">
      <c r="A419" s="13">
        <v>65.23</v>
      </c>
      <c r="B419" s="13">
        <v>65.430000000000007</v>
      </c>
      <c r="C419" s="13">
        <v>64.784999999999997</v>
      </c>
      <c r="D419" s="13">
        <v>64.849999999999994</v>
      </c>
      <c r="E419" s="13">
        <v>6807876</v>
      </c>
      <c r="F419" s="13" t="s">
        <v>2146</v>
      </c>
      <c r="G419" s="18">
        <f t="shared" si="11"/>
        <v>5.8596761757905291E-3</v>
      </c>
      <c r="S419" s="19"/>
      <c r="T419" s="19"/>
      <c r="U419" s="19"/>
      <c r="V419" s="19"/>
      <c r="W419" s="13"/>
      <c r="X419" s="13"/>
      <c r="Y419" s="18"/>
    </row>
    <row r="420" spans="1:25">
      <c r="A420" s="13">
        <v>64.790000000000006</v>
      </c>
      <c r="B420" s="13">
        <v>64.83</v>
      </c>
      <c r="C420" s="13">
        <v>64.08</v>
      </c>
      <c r="D420" s="13">
        <v>64.680000000000007</v>
      </c>
      <c r="E420" s="13">
        <v>5522155</v>
      </c>
      <c r="F420" s="13" t="s">
        <v>2145</v>
      </c>
      <c r="G420" s="18">
        <f t="shared" si="11"/>
        <v>1.7006802721089009E-3</v>
      </c>
      <c r="S420" s="19"/>
      <c r="T420" s="19"/>
      <c r="U420" s="19"/>
      <c r="V420" s="19"/>
      <c r="W420" s="13"/>
      <c r="X420" s="13"/>
      <c r="Y420" s="18"/>
    </row>
    <row r="421" spans="1:25">
      <c r="A421" s="13">
        <v>64.459999999999994</v>
      </c>
      <c r="B421" s="13">
        <v>65.000100000000003</v>
      </c>
      <c r="C421" s="13">
        <v>64.141999999999996</v>
      </c>
      <c r="D421" s="13">
        <v>64.430000000000007</v>
      </c>
      <c r="E421" s="13">
        <v>7197561</v>
      </c>
      <c r="F421" s="13" t="s">
        <v>2144</v>
      </c>
      <c r="G421" s="18">
        <f t="shared" si="11"/>
        <v>4.656216048422035E-4</v>
      </c>
      <c r="S421" s="19"/>
      <c r="T421" s="19"/>
      <c r="U421" s="19"/>
      <c r="V421" s="19"/>
      <c r="W421" s="13"/>
      <c r="X421" s="13"/>
      <c r="Y421" s="18"/>
    </row>
    <row r="422" spans="1:25">
      <c r="A422" s="13">
        <v>64.37</v>
      </c>
      <c r="B422" s="13">
        <v>65</v>
      </c>
      <c r="C422" s="13">
        <v>64.105000000000004</v>
      </c>
      <c r="D422" s="13">
        <v>65</v>
      </c>
      <c r="E422" s="13">
        <v>10866046</v>
      </c>
      <c r="F422" s="13" t="s">
        <v>2143</v>
      </c>
      <c r="G422" s="18">
        <f t="shared" si="11"/>
        <v>-9.6923076923076668E-3</v>
      </c>
      <c r="S422" s="19"/>
      <c r="T422" s="19"/>
      <c r="U422" s="19"/>
      <c r="V422" s="19"/>
      <c r="W422" s="13"/>
      <c r="X422" s="13"/>
      <c r="Y422" s="18"/>
    </row>
    <row r="423" spans="1:25">
      <c r="A423" s="13">
        <v>64.819999999999993</v>
      </c>
      <c r="B423" s="13">
        <v>64.905000000000001</v>
      </c>
      <c r="C423" s="13">
        <v>63.39</v>
      </c>
      <c r="D423" s="13">
        <v>64.47</v>
      </c>
      <c r="E423" s="13">
        <v>10526971</v>
      </c>
      <c r="F423" s="13" t="s">
        <v>2142</v>
      </c>
      <c r="G423" s="18">
        <f t="shared" si="11"/>
        <v>5.4288816503800241E-3</v>
      </c>
      <c r="S423" s="19"/>
      <c r="T423" s="19"/>
      <c r="U423" s="19"/>
      <c r="V423" s="19"/>
      <c r="W423" s="13"/>
      <c r="X423" s="13"/>
      <c r="Y423" s="18"/>
    </row>
    <row r="424" spans="1:25">
      <c r="A424" s="13">
        <v>63.26</v>
      </c>
      <c r="B424" s="13">
        <v>64.489999999999995</v>
      </c>
      <c r="C424" s="13">
        <v>62.634999999999998</v>
      </c>
      <c r="D424" s="13">
        <v>64</v>
      </c>
      <c r="E424" s="13">
        <v>13910767</v>
      </c>
      <c r="F424" s="13" t="s">
        <v>2141</v>
      </c>
      <c r="G424" s="18">
        <f t="shared" si="11"/>
        <v>-1.1562500000000031E-2</v>
      </c>
      <c r="S424" s="19"/>
      <c r="T424" s="19"/>
      <c r="U424" s="19"/>
      <c r="V424" s="19"/>
      <c r="W424" s="13"/>
      <c r="X424" s="13"/>
      <c r="Y424" s="18"/>
    </row>
    <row r="425" spans="1:25">
      <c r="A425" s="13">
        <v>61.42</v>
      </c>
      <c r="B425" s="13">
        <v>61.47</v>
      </c>
      <c r="C425" s="13">
        <v>61.085000000000001</v>
      </c>
      <c r="D425" s="13">
        <v>61.32</v>
      </c>
      <c r="E425" s="13">
        <v>7257091</v>
      </c>
      <c r="F425" s="13" t="s">
        <v>2140</v>
      </c>
      <c r="G425" s="18">
        <f t="shared" si="11"/>
        <v>1.6307893020222064E-3</v>
      </c>
      <c r="S425" s="19"/>
      <c r="T425" s="19"/>
      <c r="U425" s="19"/>
      <c r="V425" s="19"/>
      <c r="W425" s="13"/>
      <c r="X425" s="13"/>
      <c r="Y425" s="18"/>
    </row>
    <row r="426" spans="1:25">
      <c r="A426" s="13">
        <v>61.31</v>
      </c>
      <c r="B426" s="13">
        <v>61.34</v>
      </c>
      <c r="C426" s="13">
        <v>60.78</v>
      </c>
      <c r="D426" s="13">
        <v>60.91</v>
      </c>
      <c r="E426" s="13">
        <v>5560158</v>
      </c>
      <c r="F426" s="13" t="s">
        <v>2139</v>
      </c>
      <c r="G426" s="18">
        <f t="shared" si="11"/>
        <v>6.5670661631915817E-3</v>
      </c>
      <c r="S426" s="19"/>
      <c r="T426" s="19"/>
      <c r="U426" s="19"/>
      <c r="V426" s="19"/>
      <c r="W426" s="13"/>
      <c r="X426" s="13"/>
      <c r="Y426" s="18"/>
    </row>
    <row r="427" spans="1:25">
      <c r="A427" s="13">
        <v>61.13</v>
      </c>
      <c r="B427" s="13">
        <v>61.31</v>
      </c>
      <c r="C427" s="13">
        <v>60.72</v>
      </c>
      <c r="D427" s="13">
        <v>61.08</v>
      </c>
      <c r="E427" s="13">
        <v>5748411</v>
      </c>
      <c r="F427" s="13" t="s">
        <v>2138</v>
      </c>
      <c r="G427" s="18">
        <f t="shared" si="11"/>
        <v>8.185985592665812E-4</v>
      </c>
      <c r="S427" s="19"/>
      <c r="T427" s="19"/>
      <c r="U427" s="19"/>
      <c r="V427" s="19"/>
      <c r="W427" s="13"/>
      <c r="X427" s="13"/>
      <c r="Y427" s="18"/>
    </row>
    <row r="428" spans="1:25">
      <c r="A428" s="13">
        <v>60.83</v>
      </c>
      <c r="B428" s="13">
        <v>60.86</v>
      </c>
      <c r="C428" s="13">
        <v>59.97</v>
      </c>
      <c r="D428" s="13">
        <v>60.27</v>
      </c>
      <c r="E428" s="13">
        <v>6908078</v>
      </c>
      <c r="F428" s="13" t="s">
        <v>2137</v>
      </c>
      <c r="G428" s="18">
        <f t="shared" si="11"/>
        <v>9.2915214866433615E-3</v>
      </c>
      <c r="S428" s="19"/>
      <c r="T428" s="19"/>
      <c r="U428" s="19"/>
      <c r="V428" s="19"/>
      <c r="W428" s="13"/>
      <c r="X428" s="13"/>
      <c r="Y428" s="18"/>
    </row>
    <row r="429" spans="1:25">
      <c r="A429" s="13">
        <v>59.92</v>
      </c>
      <c r="B429" s="13">
        <v>60.81</v>
      </c>
      <c r="C429" s="13">
        <v>59.85</v>
      </c>
      <c r="D429" s="13">
        <v>60.51</v>
      </c>
      <c r="E429" s="13">
        <v>11290570</v>
      </c>
      <c r="F429" s="13" t="s">
        <v>2136</v>
      </c>
      <c r="G429" s="18">
        <f t="shared" si="11"/>
        <v>-9.7504544703354012E-3</v>
      </c>
    </row>
    <row r="430" spans="1:25">
      <c r="A430" s="13">
        <v>60.62</v>
      </c>
      <c r="B430" s="13">
        <v>60.948999999999998</v>
      </c>
      <c r="C430" s="13">
        <v>60.137</v>
      </c>
      <c r="D430" s="13">
        <v>60.8</v>
      </c>
      <c r="E430" s="13">
        <v>5119296</v>
      </c>
      <c r="F430" s="13" t="s">
        <v>2135</v>
      </c>
      <c r="G430" s="18">
        <f t="shared" si="11"/>
        <v>-2.960526315789469E-3</v>
      </c>
    </row>
    <row r="431" spans="1:25">
      <c r="A431" s="13">
        <v>60.74</v>
      </c>
      <c r="B431" s="13">
        <v>61.4</v>
      </c>
      <c r="C431" s="13">
        <v>60.55</v>
      </c>
      <c r="D431" s="13">
        <v>61.3</v>
      </c>
      <c r="E431" s="13">
        <v>6417822</v>
      </c>
      <c r="F431" s="13" t="s">
        <v>2134</v>
      </c>
      <c r="G431" s="18">
        <f t="shared" si="11"/>
        <v>-9.1353996737356669E-3</v>
      </c>
    </row>
    <row r="432" spans="1:25">
      <c r="A432" s="13">
        <v>60.94</v>
      </c>
      <c r="B432" s="13">
        <v>61.16</v>
      </c>
      <c r="C432" s="13">
        <v>60.604999999999997</v>
      </c>
      <c r="D432" s="13">
        <v>61.08</v>
      </c>
      <c r="E432" s="13">
        <v>6584085</v>
      </c>
      <c r="F432" s="13" t="s">
        <v>2133</v>
      </c>
      <c r="G432" s="18">
        <f t="shared" si="11"/>
        <v>-2.2920759659462719E-3</v>
      </c>
    </row>
    <row r="433" spans="1:7">
      <c r="A433" s="13">
        <v>61.05</v>
      </c>
      <c r="B433" s="13">
        <v>61.46</v>
      </c>
      <c r="C433" s="13">
        <v>60.35</v>
      </c>
      <c r="D433" s="13">
        <v>60.94</v>
      </c>
      <c r="E433" s="13">
        <v>8712282</v>
      </c>
      <c r="F433" s="13" t="s">
        <v>2132</v>
      </c>
      <c r="G433" s="18">
        <f t="shared" si="11"/>
        <v>1.8050541516245744E-3</v>
      </c>
    </row>
    <row r="434" spans="1:7">
      <c r="A434" s="13">
        <v>60.96</v>
      </c>
      <c r="B434" s="13">
        <v>61.005000000000003</v>
      </c>
      <c r="C434" s="13">
        <v>60.01</v>
      </c>
      <c r="D434" s="13">
        <v>60.04</v>
      </c>
      <c r="E434" s="13">
        <v>9442393</v>
      </c>
      <c r="F434" s="13" t="s">
        <v>2131</v>
      </c>
      <c r="G434" s="18">
        <f t="shared" ref="G434:G497" si="13">A434/D434-1</f>
        <v>1.5323117921385743E-2</v>
      </c>
    </row>
    <row r="435" spans="1:7">
      <c r="A435" s="13">
        <v>60.25</v>
      </c>
      <c r="B435" s="13">
        <v>60.484999999999999</v>
      </c>
      <c r="C435" s="13">
        <v>59.61</v>
      </c>
      <c r="D435" s="13">
        <v>59.81</v>
      </c>
      <c r="E435" s="13">
        <v>5780052</v>
      </c>
      <c r="F435" s="13" t="s">
        <v>2130</v>
      </c>
      <c r="G435" s="18">
        <f t="shared" si="13"/>
        <v>7.3566293261995153E-3</v>
      </c>
    </row>
    <row r="436" spans="1:7">
      <c r="A436" s="13">
        <v>59.94</v>
      </c>
      <c r="B436" s="13">
        <v>60.634999999999998</v>
      </c>
      <c r="C436" s="13">
        <v>59.854999999999997</v>
      </c>
      <c r="D436" s="13">
        <v>59.94</v>
      </c>
      <c r="E436" s="13">
        <v>6386158</v>
      </c>
      <c r="F436" s="13" t="s">
        <v>2129</v>
      </c>
      <c r="G436" s="18">
        <f t="shared" si="13"/>
        <v>0</v>
      </c>
    </row>
    <row r="437" spans="1:7">
      <c r="A437" s="13">
        <v>59.61</v>
      </c>
      <c r="B437" s="13">
        <v>59.95</v>
      </c>
      <c r="C437" s="13">
        <v>59.39</v>
      </c>
      <c r="D437" s="13">
        <v>59.61</v>
      </c>
      <c r="E437" s="13">
        <v>4995897</v>
      </c>
      <c r="F437" s="13" t="s">
        <v>2128</v>
      </c>
      <c r="G437" s="18">
        <f t="shared" si="13"/>
        <v>0</v>
      </c>
    </row>
    <row r="438" spans="1:7">
      <c r="A438" s="13">
        <v>59.51</v>
      </c>
      <c r="B438" s="13">
        <v>59.63</v>
      </c>
      <c r="C438" s="13">
        <v>59.08</v>
      </c>
      <c r="D438" s="13">
        <v>59.34</v>
      </c>
      <c r="E438" s="13">
        <v>4853847</v>
      </c>
      <c r="F438" s="13" t="s">
        <v>2127</v>
      </c>
      <c r="G438" s="18">
        <f t="shared" si="13"/>
        <v>2.8648466464440414E-3</v>
      </c>
    </row>
    <row r="439" spans="1:7">
      <c r="A439" s="13">
        <v>59.23</v>
      </c>
      <c r="B439" s="13">
        <v>59.4</v>
      </c>
      <c r="C439" s="13">
        <v>58.09</v>
      </c>
      <c r="D439" s="13">
        <v>58.2</v>
      </c>
      <c r="E439" s="13">
        <v>8180799</v>
      </c>
      <c r="F439" s="13" t="s">
        <v>2126</v>
      </c>
      <c r="G439" s="18">
        <f t="shared" si="13"/>
        <v>1.769759450171815E-2</v>
      </c>
    </row>
    <row r="440" spans="1:7">
      <c r="A440" s="13">
        <v>58.42</v>
      </c>
      <c r="B440" s="13">
        <v>58.57</v>
      </c>
      <c r="C440" s="13">
        <v>57.77</v>
      </c>
      <c r="D440" s="13">
        <v>58.4</v>
      </c>
      <c r="E440" s="13">
        <v>4699363</v>
      </c>
      <c r="F440" s="13" t="s">
        <v>2125</v>
      </c>
      <c r="G440" s="18">
        <f t="shared" si="13"/>
        <v>3.4246575342478103E-4</v>
      </c>
    </row>
    <row r="441" spans="1:7">
      <c r="A441" s="13">
        <v>58.16</v>
      </c>
      <c r="B441" s="13">
        <v>58.475000000000001</v>
      </c>
      <c r="C441" s="13">
        <v>57.79</v>
      </c>
      <c r="D441" s="13">
        <v>57.99</v>
      </c>
      <c r="E441" s="13">
        <v>6020532</v>
      </c>
      <c r="F441" s="13" t="s">
        <v>2124</v>
      </c>
      <c r="G441" s="18">
        <f t="shared" si="13"/>
        <v>2.9315399206759629E-3</v>
      </c>
    </row>
    <row r="442" spans="1:7">
      <c r="A442" s="13">
        <v>58.17</v>
      </c>
      <c r="B442" s="13">
        <v>58.52</v>
      </c>
      <c r="C442" s="13">
        <v>57.58</v>
      </c>
      <c r="D442" s="13">
        <v>57.66</v>
      </c>
      <c r="E442" s="13">
        <v>6083477</v>
      </c>
      <c r="F442" s="13" t="s">
        <v>2123</v>
      </c>
      <c r="G442" s="18">
        <f t="shared" si="13"/>
        <v>8.8449531737773146E-3</v>
      </c>
    </row>
    <row r="443" spans="1:7">
      <c r="A443" s="13">
        <v>57.6</v>
      </c>
      <c r="B443" s="13">
        <v>58.14</v>
      </c>
      <c r="C443" s="13">
        <v>57.33</v>
      </c>
      <c r="D443" s="13">
        <v>57.9</v>
      </c>
      <c r="E443" s="13">
        <v>6593969</v>
      </c>
      <c r="F443" s="13" t="s">
        <v>2122</v>
      </c>
      <c r="G443" s="18">
        <f t="shared" si="13"/>
        <v>-5.1813471502589747E-3</v>
      </c>
    </row>
    <row r="444" spans="1:7">
      <c r="A444" s="13">
        <v>57.84</v>
      </c>
      <c r="B444" s="13">
        <v>57.99</v>
      </c>
      <c r="C444" s="13">
        <v>57.11</v>
      </c>
      <c r="D444" s="13">
        <v>57.46</v>
      </c>
      <c r="E444" s="13">
        <v>6775540</v>
      </c>
      <c r="F444" s="13" t="s">
        <v>2121</v>
      </c>
      <c r="G444" s="18">
        <f t="shared" si="13"/>
        <v>6.6132962060563294E-3</v>
      </c>
    </row>
    <row r="445" spans="1:7">
      <c r="A445" s="13">
        <v>57.81</v>
      </c>
      <c r="B445" s="13">
        <v>58.34</v>
      </c>
      <c r="C445" s="13">
        <v>56.77</v>
      </c>
      <c r="D445" s="13">
        <v>57</v>
      </c>
      <c r="E445" s="13">
        <v>10667450</v>
      </c>
      <c r="F445" s="13" t="s">
        <v>2120</v>
      </c>
      <c r="G445" s="18">
        <f t="shared" si="13"/>
        <v>1.4210526315789451E-2</v>
      </c>
    </row>
    <row r="446" spans="1:7">
      <c r="A446" s="13">
        <v>56.28</v>
      </c>
      <c r="B446" s="13">
        <v>56.47</v>
      </c>
      <c r="C446" s="13">
        <v>55.85</v>
      </c>
      <c r="D446" s="13">
        <v>55.98</v>
      </c>
      <c r="E446" s="13">
        <v>3382432</v>
      </c>
      <c r="F446" s="13" t="s">
        <v>2119</v>
      </c>
      <c r="G446" s="18">
        <f t="shared" si="13"/>
        <v>5.3590568060022381E-3</v>
      </c>
    </row>
    <row r="447" spans="1:7">
      <c r="A447" s="13">
        <v>56.02</v>
      </c>
      <c r="B447" s="13">
        <v>56.085000000000001</v>
      </c>
      <c r="C447" s="13">
        <v>55.75</v>
      </c>
      <c r="D447" s="13">
        <v>55.86</v>
      </c>
      <c r="E447" s="13">
        <v>3186590</v>
      </c>
      <c r="F447" s="13" t="s">
        <v>2118</v>
      </c>
      <c r="G447" s="18">
        <f t="shared" si="13"/>
        <v>2.8643036161832836E-3</v>
      </c>
    </row>
    <row r="448" spans="1:7">
      <c r="A448" s="13">
        <v>55.99</v>
      </c>
      <c r="B448" s="13">
        <v>56.18</v>
      </c>
      <c r="C448" s="13">
        <v>55.685000000000002</v>
      </c>
      <c r="D448" s="13">
        <v>55.82</v>
      </c>
      <c r="E448" s="13">
        <v>2834287</v>
      </c>
      <c r="F448" s="13" t="s">
        <v>2117</v>
      </c>
      <c r="G448" s="18">
        <f t="shared" si="13"/>
        <v>3.0455034037979445E-3</v>
      </c>
    </row>
    <row r="449" spans="1:7">
      <c r="A449" s="13">
        <v>55.9</v>
      </c>
      <c r="B449" s="13">
        <v>56.03</v>
      </c>
      <c r="C449" s="13">
        <v>55.6</v>
      </c>
      <c r="D449" s="13">
        <v>55.85</v>
      </c>
      <c r="E449" s="13">
        <v>5404295</v>
      </c>
      <c r="F449" s="13" t="s">
        <v>2116</v>
      </c>
      <c r="G449" s="18">
        <f t="shared" si="13"/>
        <v>8.9525514771704451E-4</v>
      </c>
    </row>
    <row r="450" spans="1:7">
      <c r="A450" s="13">
        <v>55.65</v>
      </c>
      <c r="B450" s="13">
        <v>55.7</v>
      </c>
      <c r="C450" s="13">
        <v>54.954999999999998</v>
      </c>
      <c r="D450" s="13">
        <v>55.2</v>
      </c>
      <c r="E450" s="13">
        <v>5138564</v>
      </c>
      <c r="F450" s="13" t="s">
        <v>2115</v>
      </c>
      <c r="G450" s="18">
        <f t="shared" si="13"/>
        <v>8.152173913043459E-3</v>
      </c>
    </row>
    <row r="451" spans="1:7">
      <c r="A451" s="13">
        <v>54.98</v>
      </c>
      <c r="B451" s="13">
        <v>55.73</v>
      </c>
      <c r="C451" s="13">
        <v>54.95</v>
      </c>
      <c r="D451" s="13">
        <v>55.56</v>
      </c>
      <c r="E451" s="13">
        <v>5843955</v>
      </c>
      <c r="F451" s="13" t="s">
        <v>2114</v>
      </c>
      <c r="G451" s="18">
        <f t="shared" si="13"/>
        <v>-1.0439164866810735E-2</v>
      </c>
    </row>
    <row r="452" spans="1:7">
      <c r="A452" s="13">
        <v>55.82</v>
      </c>
      <c r="B452" s="13">
        <v>55.87</v>
      </c>
      <c r="C452" s="13">
        <v>55.195</v>
      </c>
      <c r="D452" s="13">
        <v>55.4</v>
      </c>
      <c r="E452" s="13">
        <v>5898163</v>
      </c>
      <c r="F452" s="13" t="s">
        <v>2113</v>
      </c>
      <c r="G452" s="18">
        <f t="shared" si="13"/>
        <v>7.5812274368232124E-3</v>
      </c>
    </row>
    <row r="453" spans="1:7">
      <c r="A453" s="13">
        <v>55.51</v>
      </c>
      <c r="B453" s="13">
        <v>56.03</v>
      </c>
      <c r="C453" s="13">
        <v>55.45</v>
      </c>
      <c r="D453" s="13">
        <v>55.8</v>
      </c>
      <c r="E453" s="13">
        <v>6317604</v>
      </c>
      <c r="F453" s="13" t="s">
        <v>2112</v>
      </c>
      <c r="G453" s="18">
        <f t="shared" si="13"/>
        <v>-5.1971326164874654E-3</v>
      </c>
    </row>
    <row r="454" spans="1:7">
      <c r="A454" s="13">
        <v>55.81</v>
      </c>
      <c r="B454" s="13">
        <v>56.04</v>
      </c>
      <c r="C454" s="13">
        <v>55.1</v>
      </c>
      <c r="D454" s="13">
        <v>55.79</v>
      </c>
      <c r="E454" s="13">
        <v>10461314</v>
      </c>
      <c r="F454" s="13" t="s">
        <v>2111</v>
      </c>
      <c r="G454" s="18">
        <f t="shared" si="13"/>
        <v>3.5848718408315605E-4</v>
      </c>
    </row>
    <row r="455" spans="1:7">
      <c r="A455" s="13">
        <v>56.18</v>
      </c>
      <c r="B455" s="13">
        <v>56.9</v>
      </c>
      <c r="C455" s="13">
        <v>55.784999999999997</v>
      </c>
      <c r="D455" s="13">
        <v>56.89</v>
      </c>
      <c r="E455" s="13">
        <v>8267793</v>
      </c>
      <c r="F455" s="13" t="s">
        <v>2110</v>
      </c>
      <c r="G455" s="18">
        <f t="shared" si="13"/>
        <v>-1.2480224995605527E-2</v>
      </c>
    </row>
    <row r="456" spans="1:7">
      <c r="A456" s="13">
        <v>56.48</v>
      </c>
      <c r="B456" s="13">
        <v>56.545000000000002</v>
      </c>
      <c r="C456" s="13">
        <v>55.94</v>
      </c>
      <c r="D456" s="13">
        <v>56.04</v>
      </c>
      <c r="E456" s="13">
        <v>6764536</v>
      </c>
      <c r="F456" s="13" t="s">
        <v>2109</v>
      </c>
      <c r="G456" s="18">
        <f t="shared" si="13"/>
        <v>7.8515346181298185E-3</v>
      </c>
    </row>
    <row r="457" spans="1:7">
      <c r="A457" s="13">
        <v>55.95</v>
      </c>
      <c r="B457" s="13">
        <v>55.98</v>
      </c>
      <c r="C457" s="13">
        <v>55.134999999999998</v>
      </c>
      <c r="D457" s="13">
        <v>55.41</v>
      </c>
      <c r="E457" s="13">
        <v>4625547</v>
      </c>
      <c r="F457" s="13" t="s">
        <v>2108</v>
      </c>
      <c r="G457" s="18">
        <f t="shared" si="13"/>
        <v>9.7455332972389286E-3</v>
      </c>
    </row>
    <row r="458" spans="1:7">
      <c r="A458" s="13">
        <v>55.26</v>
      </c>
      <c r="B458" s="13">
        <v>55.33</v>
      </c>
      <c r="C458" s="13">
        <v>54.86</v>
      </c>
      <c r="D458" s="13">
        <v>54.86</v>
      </c>
      <c r="E458" s="13">
        <v>3653377</v>
      </c>
      <c r="F458" s="13" t="s">
        <v>2107</v>
      </c>
      <c r="G458" s="18">
        <f t="shared" si="13"/>
        <v>7.2912869121399826E-3</v>
      </c>
    </row>
    <row r="459" spans="1:7">
      <c r="A459" s="13">
        <v>54.95</v>
      </c>
      <c r="B459" s="13">
        <v>55.05</v>
      </c>
      <c r="C459" s="13">
        <v>54.52</v>
      </c>
      <c r="D459" s="13">
        <v>54.87</v>
      </c>
      <c r="E459" s="13">
        <v>4300356</v>
      </c>
      <c r="F459" s="13" t="s">
        <v>2106</v>
      </c>
      <c r="G459" s="18">
        <f t="shared" si="13"/>
        <v>1.4579916165482487E-3</v>
      </c>
    </row>
    <row r="460" spans="1:7">
      <c r="A460" s="13">
        <v>55.03</v>
      </c>
      <c r="B460" s="13">
        <v>55.13</v>
      </c>
      <c r="C460" s="13">
        <v>54.67</v>
      </c>
      <c r="D460" s="13">
        <v>54.98</v>
      </c>
      <c r="E460" s="13">
        <v>4027818</v>
      </c>
      <c r="F460" s="13" t="s">
        <v>2105</v>
      </c>
      <c r="G460" s="18">
        <f t="shared" si="13"/>
        <v>9.0942160785756343E-4</v>
      </c>
    </row>
    <row r="461" spans="1:7">
      <c r="A461" s="13">
        <v>54.82</v>
      </c>
      <c r="B461" s="13">
        <v>55.22</v>
      </c>
      <c r="C461" s="13">
        <v>54.31</v>
      </c>
      <c r="D461" s="13">
        <v>55.03</v>
      </c>
      <c r="E461" s="13">
        <v>4837545</v>
      </c>
      <c r="F461" s="13" t="s">
        <v>2104</v>
      </c>
      <c r="G461" s="18">
        <f t="shared" si="13"/>
        <v>-3.8161003089224321E-3</v>
      </c>
    </row>
    <row r="462" spans="1:7">
      <c r="A462" s="13">
        <v>54.88</v>
      </c>
      <c r="B462" s="13">
        <v>55.01</v>
      </c>
      <c r="C462" s="13">
        <v>53.93</v>
      </c>
      <c r="D462" s="13">
        <v>54.59</v>
      </c>
      <c r="E462" s="13">
        <v>5393248</v>
      </c>
      <c r="F462" s="13" t="s">
        <v>2103</v>
      </c>
      <c r="G462" s="18">
        <f t="shared" si="13"/>
        <v>5.312328265250077E-3</v>
      </c>
    </row>
    <row r="463" spans="1:7">
      <c r="A463" s="13">
        <v>54.77</v>
      </c>
      <c r="B463" s="13">
        <v>55.85</v>
      </c>
      <c r="C463" s="13">
        <v>54.52</v>
      </c>
      <c r="D463" s="13">
        <v>55.85</v>
      </c>
      <c r="E463" s="13">
        <v>9420893</v>
      </c>
      <c r="F463" s="13" t="s">
        <v>2102</v>
      </c>
      <c r="G463" s="18">
        <f t="shared" si="13"/>
        <v>-1.9337511190689272E-2</v>
      </c>
    </row>
    <row r="464" spans="1:7">
      <c r="A464" s="13">
        <v>56.14</v>
      </c>
      <c r="B464" s="13">
        <v>56.215000000000003</v>
      </c>
      <c r="C464" s="13">
        <v>55.57</v>
      </c>
      <c r="D464" s="13">
        <v>55.92</v>
      </c>
      <c r="E464" s="13">
        <v>4730456</v>
      </c>
      <c r="F464" s="13" t="s">
        <v>2101</v>
      </c>
      <c r="G464" s="18">
        <f t="shared" si="13"/>
        <v>3.9341917024320328E-3</v>
      </c>
    </row>
    <row r="465" spans="1:7">
      <c r="A465" s="13">
        <v>55.89</v>
      </c>
      <c r="B465" s="13">
        <v>55.95</v>
      </c>
      <c r="C465" s="13">
        <v>54.94</v>
      </c>
      <c r="D465" s="13">
        <v>55.46</v>
      </c>
      <c r="E465" s="13">
        <v>8346178</v>
      </c>
      <c r="F465" s="13" t="s">
        <v>2100</v>
      </c>
      <c r="G465" s="18">
        <f t="shared" si="13"/>
        <v>7.753335737468392E-3</v>
      </c>
    </row>
    <row r="466" spans="1:7">
      <c r="A466" s="13">
        <v>55.44</v>
      </c>
      <c r="B466" s="13">
        <v>55.64</v>
      </c>
      <c r="C466" s="13">
        <v>55.094999999999999</v>
      </c>
      <c r="D466" s="13">
        <v>55.18</v>
      </c>
      <c r="E466" s="13">
        <v>4780411</v>
      </c>
      <c r="F466" s="13" t="s">
        <v>2099</v>
      </c>
      <c r="G466" s="18">
        <f t="shared" si="13"/>
        <v>4.7118521203333152E-3</v>
      </c>
    </row>
    <row r="467" spans="1:7">
      <c r="A467" s="13">
        <v>54.93</v>
      </c>
      <c r="B467" s="13">
        <v>55.74</v>
      </c>
      <c r="C467" s="13">
        <v>54.91</v>
      </c>
      <c r="D467" s="13">
        <v>55.56</v>
      </c>
      <c r="E467" s="13">
        <v>6450749</v>
      </c>
      <c r="F467" s="13" t="s">
        <v>2098</v>
      </c>
      <c r="G467" s="18">
        <f t="shared" si="13"/>
        <v>-1.1339092872570289E-2</v>
      </c>
    </row>
    <row r="468" spans="1:7">
      <c r="A468" s="13">
        <v>55.69</v>
      </c>
      <c r="B468" s="13">
        <v>55.82</v>
      </c>
      <c r="C468" s="13">
        <v>55.26</v>
      </c>
      <c r="D468" s="13">
        <v>55.33</v>
      </c>
      <c r="E468" s="13">
        <v>5313739</v>
      </c>
      <c r="F468" s="13" t="s">
        <v>2097</v>
      </c>
      <c r="G468" s="18">
        <f t="shared" si="13"/>
        <v>6.5064160491594691E-3</v>
      </c>
    </row>
    <row r="469" spans="1:7">
      <c r="A469" s="13">
        <v>55.63</v>
      </c>
      <c r="B469" s="13">
        <v>55.68</v>
      </c>
      <c r="C469" s="13">
        <v>55.2</v>
      </c>
      <c r="D469" s="13">
        <v>55.5</v>
      </c>
      <c r="E469" s="13">
        <v>2476836</v>
      </c>
      <c r="F469" s="13" t="s">
        <v>2096</v>
      </c>
      <c r="G469" s="18">
        <f t="shared" si="13"/>
        <v>2.3423423423423184E-3</v>
      </c>
    </row>
    <row r="470" spans="1:7">
      <c r="A470" s="13">
        <v>55.43</v>
      </c>
      <c r="B470" s="13">
        <v>55.83</v>
      </c>
      <c r="C470" s="13">
        <v>55.32</v>
      </c>
      <c r="D470" s="13">
        <v>55.58</v>
      </c>
      <c r="E470" s="13">
        <v>5601118</v>
      </c>
      <c r="F470" s="13" t="s">
        <v>2095</v>
      </c>
      <c r="G470" s="18">
        <f t="shared" si="13"/>
        <v>-2.6988125224900461E-3</v>
      </c>
    </row>
    <row r="471" spans="1:7">
      <c r="A471" s="13">
        <v>55.32</v>
      </c>
      <c r="B471" s="13">
        <v>55.35</v>
      </c>
      <c r="C471" s="13">
        <v>54.475000000000001</v>
      </c>
      <c r="D471" s="13">
        <v>54.66</v>
      </c>
      <c r="E471" s="13">
        <v>7228661</v>
      </c>
      <c r="F471" s="13" t="s">
        <v>2094</v>
      </c>
      <c r="G471" s="18">
        <f t="shared" si="13"/>
        <v>1.2074643249176731E-2</v>
      </c>
    </row>
    <row r="472" spans="1:7">
      <c r="A472" s="13">
        <v>54.46</v>
      </c>
      <c r="B472" s="13">
        <v>54.58</v>
      </c>
      <c r="C472" s="13">
        <v>54.05</v>
      </c>
      <c r="D472" s="13">
        <v>54.06</v>
      </c>
      <c r="E472" s="13">
        <v>4708685</v>
      </c>
      <c r="F472" s="13" t="s">
        <v>2093</v>
      </c>
      <c r="G472" s="18">
        <f t="shared" si="13"/>
        <v>7.3991860895301631E-3</v>
      </c>
    </row>
    <row r="473" spans="1:7">
      <c r="A473" s="13">
        <v>54.34</v>
      </c>
      <c r="B473" s="13">
        <v>55.02</v>
      </c>
      <c r="C473" s="13">
        <v>54.195</v>
      </c>
      <c r="D473" s="13">
        <v>54.7</v>
      </c>
      <c r="E473" s="13">
        <v>5200225</v>
      </c>
      <c r="F473" s="13" t="s">
        <v>2092</v>
      </c>
      <c r="G473" s="18">
        <f t="shared" si="13"/>
        <v>-6.5813528336380323E-3</v>
      </c>
    </row>
    <row r="474" spans="1:7">
      <c r="A474" s="13">
        <v>54.67</v>
      </c>
      <c r="B474" s="13">
        <v>54.9</v>
      </c>
      <c r="C474" s="13">
        <v>53.56</v>
      </c>
      <c r="D474" s="13">
        <v>53.95</v>
      </c>
      <c r="E474" s="13">
        <v>10875995</v>
      </c>
      <c r="F474" s="13" t="s">
        <v>2091</v>
      </c>
      <c r="G474" s="18">
        <f t="shared" si="13"/>
        <v>1.3345690454124259E-2</v>
      </c>
    </row>
    <row r="475" spans="1:7">
      <c r="A475" s="13">
        <v>53.85</v>
      </c>
      <c r="B475" s="13">
        <v>54.56</v>
      </c>
      <c r="C475" s="13">
        <v>53.84</v>
      </c>
      <c r="D475" s="13">
        <v>54.01</v>
      </c>
      <c r="E475" s="13">
        <v>5759851</v>
      </c>
      <c r="F475" s="13" t="s">
        <v>2090</v>
      </c>
      <c r="G475" s="18">
        <f t="shared" si="13"/>
        <v>-2.9624143677096093E-3</v>
      </c>
    </row>
    <row r="476" spans="1:7">
      <c r="A476" s="13">
        <v>54.02</v>
      </c>
      <c r="B476" s="13">
        <v>54.37</v>
      </c>
      <c r="C476" s="13">
        <v>53.67</v>
      </c>
      <c r="D476" s="13">
        <v>54.11</v>
      </c>
      <c r="E476" s="13">
        <v>6031360</v>
      </c>
      <c r="F476" s="13" t="s">
        <v>2089</v>
      </c>
      <c r="G476" s="18">
        <f t="shared" si="13"/>
        <v>-1.6632785067454137E-3</v>
      </c>
    </row>
    <row r="477" spans="1:7">
      <c r="A477" s="13">
        <v>53.71</v>
      </c>
      <c r="B477" s="13">
        <v>54.7</v>
      </c>
      <c r="C477" s="13">
        <v>52.99</v>
      </c>
      <c r="D477" s="13">
        <v>53.5</v>
      </c>
      <c r="E477" s="13">
        <v>12619447</v>
      </c>
      <c r="F477" s="13" t="s">
        <v>2088</v>
      </c>
      <c r="G477" s="18">
        <f t="shared" si="13"/>
        <v>3.9252336448598601E-3</v>
      </c>
    </row>
    <row r="478" spans="1:7">
      <c r="A478" s="13">
        <v>51.56</v>
      </c>
      <c r="B478" s="13">
        <v>51.86</v>
      </c>
      <c r="C478" s="13">
        <v>50.84</v>
      </c>
      <c r="D478" s="13">
        <v>51.65</v>
      </c>
      <c r="E478" s="13">
        <v>7496222</v>
      </c>
      <c r="F478" s="13" t="s">
        <v>2087</v>
      </c>
      <c r="G478" s="18">
        <f t="shared" si="13"/>
        <v>-1.7424975798644438E-3</v>
      </c>
    </row>
    <row r="479" spans="1:7">
      <c r="A479" s="13">
        <v>51.43</v>
      </c>
      <c r="B479" s="13">
        <v>52.16</v>
      </c>
      <c r="C479" s="13">
        <v>51.314999999999998</v>
      </c>
      <c r="D479" s="13">
        <v>52.05</v>
      </c>
      <c r="E479" s="13">
        <v>7135166</v>
      </c>
      <c r="F479" s="13" t="s">
        <v>2086</v>
      </c>
      <c r="G479" s="18">
        <f t="shared" si="13"/>
        <v>-1.1911623439000874E-2</v>
      </c>
    </row>
    <row r="480" spans="1:7">
      <c r="A480" s="13">
        <v>52.11</v>
      </c>
      <c r="B480" s="13">
        <v>52.52</v>
      </c>
      <c r="C480" s="13">
        <v>51.734299999999998</v>
      </c>
      <c r="D480" s="13">
        <v>52.44</v>
      </c>
      <c r="E480" s="13">
        <v>6989884</v>
      </c>
      <c r="F480" s="13" t="s">
        <v>2085</v>
      </c>
      <c r="G480" s="18">
        <f t="shared" si="13"/>
        <v>-6.2929061784896545E-3</v>
      </c>
    </row>
    <row r="481" spans="1:7">
      <c r="A481" s="13">
        <v>52.17</v>
      </c>
      <c r="B481" s="13">
        <v>52.92</v>
      </c>
      <c r="C481" s="13">
        <v>52.08</v>
      </c>
      <c r="D481" s="13">
        <v>52.77</v>
      </c>
      <c r="E481" s="13">
        <v>6559534</v>
      </c>
      <c r="F481" s="13" t="s">
        <v>2084</v>
      </c>
      <c r="G481" s="18">
        <f t="shared" si="13"/>
        <v>-1.1370096645821559E-2</v>
      </c>
    </row>
    <row r="482" spans="1:7">
      <c r="A482" s="13">
        <v>52.81</v>
      </c>
      <c r="B482" s="13">
        <v>52.83</v>
      </c>
      <c r="C482" s="13">
        <v>52.164999999999999</v>
      </c>
      <c r="D482" s="13">
        <v>52.61</v>
      </c>
      <c r="E482" s="13">
        <v>6054746</v>
      </c>
      <c r="F482" s="13" t="s">
        <v>2083</v>
      </c>
      <c r="G482" s="18">
        <f t="shared" si="13"/>
        <v>3.8015586390420797E-3</v>
      </c>
    </row>
    <row r="483" spans="1:7">
      <c r="A483" s="13">
        <v>52.53</v>
      </c>
      <c r="B483" s="13">
        <v>53.1</v>
      </c>
      <c r="C483" s="13">
        <v>52.09</v>
      </c>
      <c r="D483" s="13">
        <v>53</v>
      </c>
      <c r="E483" s="13">
        <v>9440527</v>
      </c>
      <c r="F483" s="13" t="s">
        <v>2082</v>
      </c>
      <c r="G483" s="18">
        <f t="shared" si="13"/>
        <v>-8.8679245283018737E-3</v>
      </c>
    </row>
    <row r="484" spans="1:7">
      <c r="A484" s="13">
        <v>52.52</v>
      </c>
      <c r="B484" s="13">
        <v>52.66</v>
      </c>
      <c r="C484" s="13">
        <v>51.8</v>
      </c>
      <c r="D484" s="13">
        <v>51.96</v>
      </c>
      <c r="E484" s="13">
        <v>9901422</v>
      </c>
      <c r="F484" s="13" t="s">
        <v>2081</v>
      </c>
      <c r="G484" s="18">
        <f t="shared" si="13"/>
        <v>1.0777521170130866E-2</v>
      </c>
    </row>
    <row r="485" spans="1:7">
      <c r="A485" s="13">
        <v>51.66</v>
      </c>
      <c r="B485" s="13">
        <v>51.844999999999999</v>
      </c>
      <c r="C485" s="13">
        <v>51.03</v>
      </c>
      <c r="D485" s="13">
        <v>51.29</v>
      </c>
      <c r="E485" s="13">
        <v>7156141</v>
      </c>
      <c r="F485" s="13" t="s">
        <v>2080</v>
      </c>
      <c r="G485" s="18">
        <f t="shared" si="13"/>
        <v>7.2138818483133971E-3</v>
      </c>
    </row>
    <row r="486" spans="1:7">
      <c r="A486" s="13">
        <v>51.19</v>
      </c>
      <c r="B486" s="13">
        <v>51.46</v>
      </c>
      <c r="C486" s="13">
        <v>50.26</v>
      </c>
      <c r="D486" s="13">
        <v>50.4</v>
      </c>
      <c r="E486" s="13">
        <v>10120637</v>
      </c>
      <c r="F486" s="13" t="s">
        <v>2079</v>
      </c>
      <c r="G486" s="18">
        <f t="shared" si="13"/>
        <v>1.5674603174603119E-2</v>
      </c>
    </row>
    <row r="487" spans="1:7">
      <c r="A487" s="13">
        <v>50.05</v>
      </c>
      <c r="B487" s="13">
        <v>50.354999999999997</v>
      </c>
      <c r="C487" s="13">
        <v>49.555</v>
      </c>
      <c r="D487" s="13">
        <v>49.82</v>
      </c>
      <c r="E487" s="13">
        <v>8448179</v>
      </c>
      <c r="F487" s="13" t="s">
        <v>2078</v>
      </c>
      <c r="G487" s="18">
        <f t="shared" si="13"/>
        <v>4.616619831393054E-3</v>
      </c>
    </row>
    <row r="488" spans="1:7">
      <c r="A488" s="13">
        <v>49.52</v>
      </c>
      <c r="B488" s="13">
        <v>50.84</v>
      </c>
      <c r="C488" s="13">
        <v>49.145000000000003</v>
      </c>
      <c r="D488" s="13">
        <v>50.27</v>
      </c>
      <c r="E488" s="13">
        <v>7452165</v>
      </c>
      <c r="F488" s="13" t="s">
        <v>2077</v>
      </c>
      <c r="G488" s="18">
        <f t="shared" si="13"/>
        <v>-1.4919435050726126E-2</v>
      </c>
    </row>
    <row r="489" spans="1:7">
      <c r="A489" s="13">
        <v>49.78</v>
      </c>
      <c r="B489" s="13">
        <v>51.9</v>
      </c>
      <c r="C489" s="13">
        <v>49.77</v>
      </c>
      <c r="D489" s="13">
        <v>50.75</v>
      </c>
      <c r="E489" s="13">
        <v>12274231</v>
      </c>
      <c r="F489" s="13" t="s">
        <v>2076</v>
      </c>
      <c r="G489" s="18">
        <f t="shared" si="13"/>
        <v>-1.9113300492610841E-2</v>
      </c>
    </row>
    <row r="490" spans="1:7">
      <c r="A490" s="13">
        <v>49.99</v>
      </c>
      <c r="B490" s="13">
        <v>51.12</v>
      </c>
      <c r="C490" s="13">
        <v>49.95</v>
      </c>
      <c r="D490" s="13">
        <v>50.86</v>
      </c>
      <c r="E490" s="13">
        <v>9612339</v>
      </c>
      <c r="F490" s="13" t="s">
        <v>2075</v>
      </c>
      <c r="G490" s="18">
        <f t="shared" si="13"/>
        <v>-1.710578057412504E-2</v>
      </c>
    </row>
    <row r="491" spans="1:7">
      <c r="A491" s="13">
        <v>50.96</v>
      </c>
      <c r="B491" s="13">
        <v>51.23</v>
      </c>
      <c r="C491" s="13">
        <v>49.97</v>
      </c>
      <c r="D491" s="13">
        <v>50.04</v>
      </c>
      <c r="E491" s="13">
        <v>10162431</v>
      </c>
      <c r="F491" s="13" t="s">
        <v>2074</v>
      </c>
      <c r="G491" s="18">
        <f t="shared" si="13"/>
        <v>1.8385291766586764E-2</v>
      </c>
    </row>
    <row r="492" spans="1:7">
      <c r="A492" s="13">
        <v>50.13</v>
      </c>
      <c r="B492" s="13">
        <v>50.64</v>
      </c>
      <c r="C492" s="13">
        <v>49.99</v>
      </c>
      <c r="D492" s="13">
        <v>50.03</v>
      </c>
      <c r="E492" s="13">
        <v>5745312</v>
      </c>
      <c r="F492" s="13" t="s">
        <v>2073</v>
      </c>
      <c r="G492" s="18">
        <f t="shared" si="13"/>
        <v>1.9988007195683721E-3</v>
      </c>
    </row>
    <row r="493" spans="1:7">
      <c r="A493" s="13">
        <v>50.05</v>
      </c>
      <c r="B493" s="13">
        <v>50.8</v>
      </c>
      <c r="C493" s="13">
        <v>50.03</v>
      </c>
      <c r="D493" s="13">
        <v>50.55</v>
      </c>
      <c r="E493" s="13">
        <v>6090909</v>
      </c>
      <c r="F493" s="13" t="s">
        <v>2072</v>
      </c>
      <c r="G493" s="18">
        <f t="shared" si="13"/>
        <v>-9.8911968348169843E-3</v>
      </c>
    </row>
    <row r="494" spans="1:7">
      <c r="A494" s="13">
        <v>50.55</v>
      </c>
      <c r="B494" s="13">
        <v>51.43</v>
      </c>
      <c r="C494" s="13">
        <v>50.49</v>
      </c>
      <c r="D494" s="13">
        <v>50.7</v>
      </c>
      <c r="E494" s="13">
        <v>8528333</v>
      </c>
      <c r="F494" s="13" t="s">
        <v>2071</v>
      </c>
      <c r="G494" s="18">
        <f t="shared" si="13"/>
        <v>-2.9585798816569309E-3</v>
      </c>
    </row>
    <row r="495" spans="1:7">
      <c r="A495" s="13">
        <v>50.71</v>
      </c>
      <c r="B495" s="13">
        <v>51.38</v>
      </c>
      <c r="C495" s="13">
        <v>50.12</v>
      </c>
      <c r="D495" s="13">
        <v>51.35</v>
      </c>
      <c r="E495" s="13">
        <v>7164662</v>
      </c>
      <c r="F495" s="13" t="s">
        <v>2070</v>
      </c>
      <c r="G495" s="18">
        <f t="shared" si="13"/>
        <v>-1.2463485881207381E-2</v>
      </c>
    </row>
    <row r="496" spans="1:7">
      <c r="A496" s="13">
        <v>50.46</v>
      </c>
      <c r="B496" s="13">
        <v>51.034999999999997</v>
      </c>
      <c r="C496" s="13">
        <v>49.49</v>
      </c>
      <c r="D496" s="13">
        <v>49.73</v>
      </c>
      <c r="E496" s="13">
        <v>7423868</v>
      </c>
      <c r="F496" s="13" t="s">
        <v>2069</v>
      </c>
      <c r="G496" s="18">
        <f t="shared" si="13"/>
        <v>1.467926804745634E-2</v>
      </c>
    </row>
    <row r="497" spans="1:7">
      <c r="A497" s="13">
        <v>50.1</v>
      </c>
      <c r="B497" s="13">
        <v>50.62</v>
      </c>
      <c r="C497" s="13">
        <v>49.51</v>
      </c>
      <c r="D497" s="13">
        <v>49.81</v>
      </c>
      <c r="E497" s="13">
        <v>7146982</v>
      </c>
      <c r="F497" s="13" t="s">
        <v>2068</v>
      </c>
      <c r="G497" s="18">
        <f t="shared" si="13"/>
        <v>5.822124071471535E-3</v>
      </c>
    </row>
    <row r="498" spans="1:7">
      <c r="A498" s="13">
        <v>49.52</v>
      </c>
      <c r="B498" s="13">
        <v>49.72</v>
      </c>
      <c r="C498" s="13">
        <v>48.35</v>
      </c>
      <c r="D498" s="13">
        <v>48.46</v>
      </c>
      <c r="E498" s="13">
        <v>11188403</v>
      </c>
      <c r="F498" s="13" t="s">
        <v>2067</v>
      </c>
      <c r="G498" s="18">
        <f t="shared" ref="G498:G561" si="14">A498/D498-1</f>
        <v>2.1873710276516745E-2</v>
      </c>
    </row>
    <row r="499" spans="1:7">
      <c r="A499" s="13">
        <v>48.64</v>
      </c>
      <c r="B499" s="13">
        <v>51.034999999999997</v>
      </c>
      <c r="C499" s="13">
        <v>48.57</v>
      </c>
      <c r="D499" s="13">
        <v>50.9</v>
      </c>
      <c r="E499" s="13">
        <v>19234735</v>
      </c>
      <c r="F499" s="13" t="s">
        <v>2066</v>
      </c>
      <c r="G499" s="18">
        <f t="shared" si="14"/>
        <v>-4.440078585461682E-2</v>
      </c>
    </row>
    <row r="500" spans="1:7">
      <c r="A500" s="13">
        <v>50.91</v>
      </c>
      <c r="B500" s="13">
        <v>53.78</v>
      </c>
      <c r="C500" s="13">
        <v>50.25</v>
      </c>
      <c r="D500" s="13">
        <v>53.56</v>
      </c>
      <c r="E500" s="13">
        <v>17763736</v>
      </c>
      <c r="F500" s="13" t="s">
        <v>2065</v>
      </c>
      <c r="G500" s="18">
        <f t="shared" si="14"/>
        <v>-4.947722180731895E-2</v>
      </c>
    </row>
    <row r="501" spans="1:7">
      <c r="A501" s="13">
        <v>53.8</v>
      </c>
      <c r="B501" s="13">
        <v>53.98</v>
      </c>
      <c r="C501" s="13">
        <v>52.3</v>
      </c>
      <c r="D501" s="13">
        <v>52.46</v>
      </c>
      <c r="E501" s="13">
        <v>10592685</v>
      </c>
      <c r="F501" s="13" t="s">
        <v>2064</v>
      </c>
      <c r="G501" s="18">
        <f t="shared" si="14"/>
        <v>2.5543271063667383E-2</v>
      </c>
    </row>
    <row r="502" spans="1:7">
      <c r="A502" s="13">
        <v>52.4</v>
      </c>
      <c r="B502" s="13">
        <v>52.454999999999998</v>
      </c>
      <c r="C502" s="13">
        <v>51.8</v>
      </c>
      <c r="D502" s="13">
        <v>51.83</v>
      </c>
      <c r="E502" s="13">
        <v>5006654</v>
      </c>
      <c r="F502" s="13" t="s">
        <v>2063</v>
      </c>
      <c r="G502" s="18">
        <f t="shared" si="14"/>
        <v>1.0997491800115666E-2</v>
      </c>
    </row>
    <row r="503" spans="1:7">
      <c r="A503" s="13">
        <v>52.12</v>
      </c>
      <c r="B503" s="13">
        <v>52.5</v>
      </c>
      <c r="C503" s="13">
        <v>51.25</v>
      </c>
      <c r="D503" s="13">
        <v>51.5</v>
      </c>
      <c r="E503" s="13">
        <v>6319143</v>
      </c>
      <c r="F503" s="13" t="s">
        <v>2062</v>
      </c>
      <c r="G503" s="18">
        <f t="shared" si="14"/>
        <v>1.203883495145619E-2</v>
      </c>
    </row>
    <row r="504" spans="1:7">
      <c r="A504" s="13">
        <v>51.68</v>
      </c>
      <c r="B504" s="13">
        <v>51.94</v>
      </c>
      <c r="C504" s="13">
        <v>51.274999999999999</v>
      </c>
      <c r="D504" s="13">
        <v>51.67</v>
      </c>
      <c r="E504" s="13">
        <v>5477081</v>
      </c>
      <c r="F504" s="13" t="s">
        <v>2061</v>
      </c>
      <c r="G504" s="18">
        <f t="shared" si="14"/>
        <v>1.935359009095361E-4</v>
      </c>
    </row>
    <row r="505" spans="1:7">
      <c r="A505" s="13">
        <v>51.55</v>
      </c>
      <c r="B505" s="13">
        <v>51.9</v>
      </c>
      <c r="C505" s="13">
        <v>51</v>
      </c>
      <c r="D505" s="13">
        <v>51.7</v>
      </c>
      <c r="E505" s="13">
        <v>10035702</v>
      </c>
      <c r="F505" s="13" t="s">
        <v>2060</v>
      </c>
      <c r="G505" s="18">
        <f t="shared" si="14"/>
        <v>-2.9013539651838727E-3</v>
      </c>
    </row>
    <row r="506" spans="1:7">
      <c r="A506" s="13">
        <v>51.54</v>
      </c>
      <c r="B506" s="13">
        <v>52.8</v>
      </c>
      <c r="C506" s="13">
        <v>51.25</v>
      </c>
      <c r="D506" s="13">
        <v>52.66</v>
      </c>
      <c r="E506" s="13">
        <v>8414792</v>
      </c>
      <c r="F506" s="13" t="s">
        <v>2059</v>
      </c>
      <c r="G506" s="18">
        <f t="shared" si="14"/>
        <v>-2.1268515001898969E-2</v>
      </c>
    </row>
    <row r="507" spans="1:7">
      <c r="A507" s="13">
        <v>52.81</v>
      </c>
      <c r="B507" s="13">
        <v>52.81</v>
      </c>
      <c r="C507" s="13">
        <v>52.27</v>
      </c>
      <c r="D507" s="13">
        <v>52.49</v>
      </c>
      <c r="E507" s="13">
        <v>5259833</v>
      </c>
      <c r="F507" s="13" t="s">
        <v>2058</v>
      </c>
      <c r="G507" s="18">
        <f t="shared" si="14"/>
        <v>6.0963993141551764E-3</v>
      </c>
    </row>
    <row r="508" spans="1:7">
      <c r="A508" s="13">
        <v>52.8</v>
      </c>
      <c r="B508" s="13">
        <v>53.46</v>
      </c>
      <c r="C508" s="13">
        <v>52.695</v>
      </c>
      <c r="D508" s="13">
        <v>53.46</v>
      </c>
      <c r="E508" s="13">
        <v>11501697</v>
      </c>
      <c r="F508" s="13" t="s">
        <v>2057</v>
      </c>
      <c r="G508" s="18">
        <f t="shared" si="14"/>
        <v>-1.2345679012345734E-2</v>
      </c>
    </row>
    <row r="509" spans="1:7">
      <c r="A509" s="13">
        <v>53.37</v>
      </c>
      <c r="B509" s="13">
        <v>53.5</v>
      </c>
      <c r="C509" s="13">
        <v>52.14</v>
      </c>
      <c r="D509" s="13">
        <v>52.42</v>
      </c>
      <c r="E509" s="13">
        <v>6579614</v>
      </c>
      <c r="F509" s="13" t="s">
        <v>2056</v>
      </c>
      <c r="G509" s="18">
        <f t="shared" si="14"/>
        <v>1.8122853872567735E-2</v>
      </c>
    </row>
    <row r="510" spans="1:7">
      <c r="A510" s="13">
        <v>52.1</v>
      </c>
      <c r="B510" s="13">
        <v>53.16</v>
      </c>
      <c r="C510" s="13">
        <v>51.54</v>
      </c>
      <c r="D510" s="13">
        <v>52.78</v>
      </c>
      <c r="E510" s="13">
        <v>8483273</v>
      </c>
      <c r="F510" s="13" t="s">
        <v>2055</v>
      </c>
      <c r="G510" s="18">
        <f t="shared" si="14"/>
        <v>-1.2883668056081876E-2</v>
      </c>
    </row>
    <row r="511" spans="1:7">
      <c r="A511" s="13">
        <v>52.83</v>
      </c>
      <c r="B511" s="13">
        <v>53.89</v>
      </c>
      <c r="C511" s="13">
        <v>52.695</v>
      </c>
      <c r="D511" s="13">
        <v>53.48</v>
      </c>
      <c r="E511" s="13">
        <v>7656016</v>
      </c>
      <c r="F511" s="13" t="s">
        <v>2054</v>
      </c>
      <c r="G511" s="18">
        <f t="shared" si="14"/>
        <v>-1.2154076290201932E-2</v>
      </c>
    </row>
    <row r="512" spans="1:7">
      <c r="A512" s="13">
        <v>53.8</v>
      </c>
      <c r="B512" s="13">
        <v>53.83</v>
      </c>
      <c r="C512" s="13">
        <v>53.42</v>
      </c>
      <c r="D512" s="13">
        <v>53.45</v>
      </c>
      <c r="E512" s="13">
        <v>6747199</v>
      </c>
      <c r="F512" s="13" t="s">
        <v>2053</v>
      </c>
      <c r="G512" s="18">
        <f t="shared" si="14"/>
        <v>6.5481758652945476E-3</v>
      </c>
    </row>
    <row r="513" spans="1:7">
      <c r="A513" s="13">
        <v>53.6</v>
      </c>
      <c r="B513" s="13">
        <v>54.104999999999997</v>
      </c>
      <c r="C513" s="13">
        <v>53.47</v>
      </c>
      <c r="D513" s="13">
        <v>54</v>
      </c>
      <c r="E513" s="13">
        <v>9439902</v>
      </c>
      <c r="F513" s="13" t="s">
        <v>2052</v>
      </c>
      <c r="G513" s="18">
        <f t="shared" si="14"/>
        <v>-7.4074074074074181E-3</v>
      </c>
    </row>
    <row r="514" spans="1:7">
      <c r="A514" s="13">
        <v>53.97</v>
      </c>
      <c r="B514" s="13">
        <v>54.639899999999997</v>
      </c>
      <c r="C514" s="13">
        <v>53.95</v>
      </c>
      <c r="D514" s="13">
        <v>54.02</v>
      </c>
      <c r="E514" s="13">
        <v>10507415</v>
      </c>
      <c r="F514" s="13" t="s">
        <v>2051</v>
      </c>
      <c r="G514" s="18">
        <f t="shared" si="14"/>
        <v>-9.25583117364015E-4</v>
      </c>
    </row>
    <row r="515" spans="1:7">
      <c r="A515" s="13">
        <v>54.1</v>
      </c>
      <c r="B515" s="13">
        <v>55.38</v>
      </c>
      <c r="C515" s="13">
        <v>53.53</v>
      </c>
      <c r="D515" s="13">
        <v>54.7</v>
      </c>
      <c r="E515" s="13">
        <v>15134161</v>
      </c>
      <c r="F515" s="13" t="s">
        <v>2050</v>
      </c>
      <c r="G515" s="18">
        <f t="shared" si="14"/>
        <v>-1.0968921389396757E-2</v>
      </c>
    </row>
    <row r="516" spans="1:7">
      <c r="A516" s="13">
        <v>53.03</v>
      </c>
      <c r="B516" s="13">
        <v>53.21</v>
      </c>
      <c r="C516" s="13">
        <v>52.575000000000003</v>
      </c>
      <c r="D516" s="13">
        <v>53.01</v>
      </c>
      <c r="E516" s="13">
        <v>7549134</v>
      </c>
      <c r="F516" s="13" t="s">
        <v>2049</v>
      </c>
      <c r="G516" s="18">
        <f t="shared" si="14"/>
        <v>3.7728730428221446E-4</v>
      </c>
    </row>
    <row r="517" spans="1:7">
      <c r="A517" s="13">
        <v>53</v>
      </c>
      <c r="B517" s="13">
        <v>53.704999999999998</v>
      </c>
      <c r="C517" s="13">
        <v>52.8</v>
      </c>
      <c r="D517" s="13">
        <v>52.85</v>
      </c>
      <c r="E517" s="13">
        <v>8139689</v>
      </c>
      <c r="F517" s="13" t="s">
        <v>2048</v>
      </c>
      <c r="G517" s="18">
        <f t="shared" si="14"/>
        <v>2.8382213812676582E-3</v>
      </c>
    </row>
    <row r="518" spans="1:7">
      <c r="A518" s="13">
        <v>52.9</v>
      </c>
      <c r="B518" s="13">
        <v>53.23</v>
      </c>
      <c r="C518" s="13">
        <v>52.475000000000001</v>
      </c>
      <c r="D518" s="13">
        <v>52.99</v>
      </c>
      <c r="E518" s="13">
        <v>14535192</v>
      </c>
      <c r="F518" s="13" t="s">
        <v>2047</v>
      </c>
      <c r="G518" s="18">
        <f t="shared" si="14"/>
        <v>-1.6984336667296152E-3</v>
      </c>
    </row>
    <row r="519" spans="1:7">
      <c r="A519" s="13">
        <v>52.92</v>
      </c>
      <c r="B519" s="13">
        <v>53.46</v>
      </c>
      <c r="C519" s="13">
        <v>52.67</v>
      </c>
      <c r="D519" s="13">
        <v>53.38</v>
      </c>
      <c r="E519" s="13">
        <v>5574932</v>
      </c>
      <c r="F519" s="13" t="s">
        <v>2046</v>
      </c>
      <c r="G519" s="18">
        <f t="shared" si="14"/>
        <v>-8.6174597227426375E-3</v>
      </c>
    </row>
    <row r="520" spans="1:7">
      <c r="A520" s="13">
        <v>53.2</v>
      </c>
      <c r="B520" s="13">
        <v>53.62</v>
      </c>
      <c r="C520" s="13">
        <v>53.05</v>
      </c>
      <c r="D520" s="13">
        <v>53.38</v>
      </c>
      <c r="E520" s="13">
        <v>5710223</v>
      </c>
      <c r="F520" s="13" t="s">
        <v>2045</v>
      </c>
      <c r="G520" s="18">
        <f t="shared" si="14"/>
        <v>-3.3720494567253123E-3</v>
      </c>
    </row>
    <row r="521" spans="1:7">
      <c r="A521" s="13">
        <v>53.42</v>
      </c>
      <c r="B521" s="13">
        <v>54.57</v>
      </c>
      <c r="C521" s="13">
        <v>53.35</v>
      </c>
      <c r="D521" s="13">
        <v>54.47</v>
      </c>
      <c r="E521" s="13">
        <v>5643940</v>
      </c>
      <c r="F521" s="13" t="s">
        <v>2044</v>
      </c>
      <c r="G521" s="18">
        <f t="shared" si="14"/>
        <v>-1.9276666054709013E-2</v>
      </c>
    </row>
    <row r="522" spans="1:7">
      <c r="A522" s="13">
        <v>54.56</v>
      </c>
      <c r="B522" s="13">
        <v>54.825000000000003</v>
      </c>
      <c r="C522" s="13">
        <v>53.81</v>
      </c>
      <c r="D522" s="13">
        <v>54.06</v>
      </c>
      <c r="E522" s="13">
        <v>6415931</v>
      </c>
      <c r="F522" s="13" t="s">
        <v>2043</v>
      </c>
      <c r="G522" s="18">
        <f t="shared" si="14"/>
        <v>9.2489826119126484E-3</v>
      </c>
    </row>
    <row r="523" spans="1:7">
      <c r="A523" s="13">
        <v>53.87</v>
      </c>
      <c r="B523" s="13">
        <v>54.41</v>
      </c>
      <c r="C523" s="13">
        <v>53.54</v>
      </c>
      <c r="D523" s="13">
        <v>53.59</v>
      </c>
      <c r="E523" s="13">
        <v>4419340</v>
      </c>
      <c r="F523" s="13" t="s">
        <v>2042</v>
      </c>
      <c r="G523" s="18">
        <f t="shared" si="14"/>
        <v>5.2248553834668421E-3</v>
      </c>
    </row>
    <row r="524" spans="1:7">
      <c r="A524" s="13">
        <v>53.89</v>
      </c>
      <c r="B524" s="13">
        <v>54.755000000000003</v>
      </c>
      <c r="C524" s="13">
        <v>53.78</v>
      </c>
      <c r="D524" s="13">
        <v>54.46</v>
      </c>
      <c r="E524" s="13">
        <v>7994198</v>
      </c>
      <c r="F524" s="13" t="s">
        <v>2041</v>
      </c>
      <c r="G524" s="18">
        <f t="shared" si="14"/>
        <v>-1.0466397355857526E-2</v>
      </c>
    </row>
    <row r="525" spans="1:7">
      <c r="A525" s="13">
        <v>53.86</v>
      </c>
      <c r="B525" s="13">
        <v>54.2</v>
      </c>
      <c r="C525" s="13">
        <v>52.814999999999998</v>
      </c>
      <c r="D525" s="13">
        <v>53.12</v>
      </c>
      <c r="E525" s="13">
        <v>7705042</v>
      </c>
      <c r="F525" s="13" t="s">
        <v>2040</v>
      </c>
      <c r="G525" s="18">
        <f t="shared" si="14"/>
        <v>1.3930722891566383E-2</v>
      </c>
    </row>
    <row r="526" spans="1:7">
      <c r="A526" s="13">
        <v>53.3</v>
      </c>
      <c r="B526" s="13">
        <v>53.85</v>
      </c>
      <c r="C526" s="13">
        <v>52.77</v>
      </c>
      <c r="D526" s="13">
        <v>53.79</v>
      </c>
      <c r="E526" s="13">
        <v>6330647</v>
      </c>
      <c r="F526" s="13" t="s">
        <v>2039</v>
      </c>
      <c r="G526" s="18">
        <f t="shared" si="14"/>
        <v>-9.1094999070459037E-3</v>
      </c>
    </row>
    <row r="527" spans="1:7">
      <c r="A527" s="13">
        <v>53.62</v>
      </c>
      <c r="B527" s="13">
        <v>54.26</v>
      </c>
      <c r="C527" s="13">
        <v>53.34</v>
      </c>
      <c r="D527" s="13">
        <v>54.26</v>
      </c>
      <c r="E527" s="13">
        <v>6879849</v>
      </c>
      <c r="F527" s="13" t="s">
        <v>2038</v>
      </c>
      <c r="G527" s="18">
        <f t="shared" si="14"/>
        <v>-1.179506081828241E-2</v>
      </c>
    </row>
    <row r="528" spans="1:7">
      <c r="A528" s="13">
        <v>53.94</v>
      </c>
      <c r="B528" s="13">
        <v>54.76</v>
      </c>
      <c r="C528" s="13">
        <v>53.94</v>
      </c>
      <c r="D528" s="13">
        <v>54.56</v>
      </c>
      <c r="E528" s="13">
        <v>8083157</v>
      </c>
      <c r="F528" s="13" t="s">
        <v>2037</v>
      </c>
      <c r="G528" s="18">
        <f t="shared" si="14"/>
        <v>-1.1363636363636465E-2</v>
      </c>
    </row>
    <row r="529" spans="1:7">
      <c r="A529" s="13">
        <v>54.27</v>
      </c>
      <c r="B529" s="13">
        <v>54.99</v>
      </c>
      <c r="C529" s="13">
        <v>54.200200000000002</v>
      </c>
      <c r="D529" s="13">
        <v>54.75</v>
      </c>
      <c r="E529" s="13">
        <v>9036957</v>
      </c>
      <c r="F529" s="13" t="s">
        <v>2036</v>
      </c>
      <c r="G529" s="18">
        <f t="shared" si="14"/>
        <v>-8.7671232876711525E-3</v>
      </c>
    </row>
    <row r="530" spans="1:7">
      <c r="A530" s="13">
        <v>54.68</v>
      </c>
      <c r="B530" s="13">
        <v>54.87</v>
      </c>
      <c r="C530" s="13">
        <v>53.55</v>
      </c>
      <c r="D530" s="13">
        <v>53.8</v>
      </c>
      <c r="E530" s="13">
        <v>12856443</v>
      </c>
      <c r="F530" s="13" t="s">
        <v>2035</v>
      </c>
      <c r="G530" s="18">
        <f t="shared" si="14"/>
        <v>1.6356877323420171E-2</v>
      </c>
    </row>
    <row r="531" spans="1:7">
      <c r="A531" s="13">
        <v>53.79</v>
      </c>
      <c r="B531" s="13">
        <v>53.97</v>
      </c>
      <c r="C531" s="13">
        <v>52.91</v>
      </c>
      <c r="D531" s="13">
        <v>53.2</v>
      </c>
      <c r="E531" s="13">
        <v>21042883</v>
      </c>
      <c r="F531" s="13" t="s">
        <v>2034</v>
      </c>
      <c r="G531" s="18">
        <f t="shared" si="14"/>
        <v>1.1090225563909595E-2</v>
      </c>
    </row>
    <row r="532" spans="1:7">
      <c r="A532" s="13">
        <v>50.76</v>
      </c>
      <c r="B532" s="13">
        <v>50.814999999999998</v>
      </c>
      <c r="C532" s="13">
        <v>50.085000000000001</v>
      </c>
      <c r="D532" s="13">
        <v>50.57</v>
      </c>
      <c r="E532" s="13">
        <v>6581706</v>
      </c>
      <c r="F532" s="13" t="s">
        <v>2033</v>
      </c>
      <c r="G532" s="18">
        <f t="shared" si="14"/>
        <v>3.7571682815897844E-3</v>
      </c>
    </row>
    <row r="533" spans="1:7">
      <c r="A533" s="13">
        <v>50.43</v>
      </c>
      <c r="B533" s="13">
        <v>51.15</v>
      </c>
      <c r="C533" s="13">
        <v>50.12</v>
      </c>
      <c r="D533" s="13">
        <v>50.32</v>
      </c>
      <c r="E533" s="13">
        <v>7946314</v>
      </c>
      <c r="F533" s="13" t="s">
        <v>2032</v>
      </c>
      <c r="G533" s="18">
        <f t="shared" si="14"/>
        <v>2.1860095389507617E-3</v>
      </c>
    </row>
    <row r="534" spans="1:7">
      <c r="A534" s="13">
        <v>50.35</v>
      </c>
      <c r="B534" s="13">
        <v>50.81</v>
      </c>
      <c r="C534" s="13">
        <v>50.02</v>
      </c>
      <c r="D534" s="13">
        <v>50.7</v>
      </c>
      <c r="E534" s="13">
        <v>7909145</v>
      </c>
      <c r="F534" s="13" t="s">
        <v>2031</v>
      </c>
      <c r="G534" s="18">
        <f t="shared" si="14"/>
        <v>-6.9033530571992463E-3</v>
      </c>
    </row>
    <row r="535" spans="1:7">
      <c r="A535" s="13">
        <v>50.41</v>
      </c>
      <c r="B535" s="13">
        <v>50.615000000000002</v>
      </c>
      <c r="C535" s="13">
        <v>50.18</v>
      </c>
      <c r="D535" s="13">
        <v>50.44</v>
      </c>
      <c r="E535" s="13">
        <v>6010652</v>
      </c>
      <c r="F535" s="13" t="s">
        <v>2030</v>
      </c>
      <c r="G535" s="18">
        <f t="shared" si="14"/>
        <v>-5.9476605868358234E-4</v>
      </c>
    </row>
    <row r="536" spans="1:7">
      <c r="A536" s="13">
        <v>50.42</v>
      </c>
      <c r="B536" s="13">
        <v>50.57</v>
      </c>
      <c r="C536" s="13">
        <v>50.05</v>
      </c>
      <c r="D536" s="13">
        <v>50.26</v>
      </c>
      <c r="E536" s="13">
        <v>6199769</v>
      </c>
      <c r="F536" s="13" t="s">
        <v>2029</v>
      </c>
      <c r="G536" s="18">
        <f t="shared" si="14"/>
        <v>3.1834460803821241E-3</v>
      </c>
    </row>
    <row r="537" spans="1:7">
      <c r="A537" s="13">
        <v>50.19</v>
      </c>
      <c r="B537" s="13">
        <v>50.97</v>
      </c>
      <c r="C537" s="13">
        <v>50.03</v>
      </c>
      <c r="D537" s="13">
        <v>50.91</v>
      </c>
      <c r="E537" s="13">
        <v>7174700</v>
      </c>
      <c r="F537" s="13" t="s">
        <v>2028</v>
      </c>
      <c r="G537" s="18">
        <f t="shared" si="14"/>
        <v>-1.414260459634642E-2</v>
      </c>
    </row>
    <row r="538" spans="1:7">
      <c r="A538" s="13">
        <v>50.94</v>
      </c>
      <c r="B538" s="13">
        <v>51.89</v>
      </c>
      <c r="C538" s="13">
        <v>50.9</v>
      </c>
      <c r="D538" s="13">
        <v>51.63</v>
      </c>
      <c r="E538" s="13">
        <v>7076298</v>
      </c>
      <c r="F538" s="13" t="s">
        <v>2027</v>
      </c>
      <c r="G538" s="18">
        <f t="shared" si="14"/>
        <v>-1.3364323067983852E-2</v>
      </c>
    </row>
    <row r="539" spans="1:7">
      <c r="A539" s="13">
        <v>51.46</v>
      </c>
      <c r="B539" s="13">
        <v>52.05</v>
      </c>
      <c r="C539" s="13">
        <v>51.44</v>
      </c>
      <c r="D539" s="13">
        <v>51.7</v>
      </c>
      <c r="E539" s="13">
        <v>5995963</v>
      </c>
      <c r="F539" s="13" t="s">
        <v>2026</v>
      </c>
      <c r="G539" s="18">
        <f t="shared" si="14"/>
        <v>-4.6421663442940408E-3</v>
      </c>
    </row>
    <row r="540" spans="1:7">
      <c r="A540" s="13">
        <v>51.68</v>
      </c>
      <c r="B540" s="13">
        <v>51.88</v>
      </c>
      <c r="C540" s="13">
        <v>51.17</v>
      </c>
      <c r="D540" s="13">
        <v>51.28</v>
      </c>
      <c r="E540" s="13">
        <v>5613618</v>
      </c>
      <c r="F540" s="13" t="s">
        <v>2025</v>
      </c>
      <c r="G540" s="18">
        <f t="shared" si="14"/>
        <v>7.8003120124805481E-3</v>
      </c>
    </row>
    <row r="541" spans="1:7">
      <c r="A541" s="13">
        <v>51.33</v>
      </c>
      <c r="B541" s="13">
        <v>51.67</v>
      </c>
      <c r="C541" s="13">
        <v>50.97</v>
      </c>
      <c r="D541" s="13">
        <v>51.08</v>
      </c>
      <c r="E541" s="13">
        <v>4907521</v>
      </c>
      <c r="F541" s="13" t="s">
        <v>2024</v>
      </c>
      <c r="G541" s="18">
        <f t="shared" si="14"/>
        <v>4.8942834768990195E-3</v>
      </c>
    </row>
    <row r="542" spans="1:7">
      <c r="A542" s="13">
        <v>51.03</v>
      </c>
      <c r="B542" s="13">
        <v>51.134999999999998</v>
      </c>
      <c r="C542" s="13">
        <v>50.77</v>
      </c>
      <c r="D542" s="13">
        <v>50.82</v>
      </c>
      <c r="E542" s="13">
        <v>4816559</v>
      </c>
      <c r="F542" s="13" t="s">
        <v>2023</v>
      </c>
      <c r="G542" s="18">
        <f t="shared" si="14"/>
        <v>4.1322314049587749E-3</v>
      </c>
    </row>
    <row r="543" spans="1:7">
      <c r="A543" s="13">
        <v>50.86</v>
      </c>
      <c r="B543" s="13">
        <v>51.54</v>
      </c>
      <c r="C543" s="13">
        <v>50.83</v>
      </c>
      <c r="D543" s="13">
        <v>51.1</v>
      </c>
      <c r="E543" s="13">
        <v>4508141</v>
      </c>
      <c r="F543" s="13" t="s">
        <v>2022</v>
      </c>
      <c r="G543" s="18">
        <f t="shared" si="14"/>
        <v>-4.6966731898239189E-3</v>
      </c>
    </row>
    <row r="544" spans="1:7">
      <c r="A544" s="13">
        <v>51.06</v>
      </c>
      <c r="B544" s="13">
        <v>51.43</v>
      </c>
      <c r="C544" s="13">
        <v>50.66</v>
      </c>
      <c r="D544" s="13">
        <v>50.67</v>
      </c>
      <c r="E544" s="13">
        <v>5878381</v>
      </c>
      <c r="F544" s="13" t="s">
        <v>2021</v>
      </c>
      <c r="G544" s="18">
        <f t="shared" si="14"/>
        <v>7.6968620485493577E-3</v>
      </c>
    </row>
    <row r="545" spans="1:7">
      <c r="A545" s="13">
        <v>50.58</v>
      </c>
      <c r="B545" s="13">
        <v>50.69</v>
      </c>
      <c r="C545" s="13">
        <v>49.69</v>
      </c>
      <c r="D545" s="13">
        <v>50.03</v>
      </c>
      <c r="E545" s="13">
        <v>10957077</v>
      </c>
      <c r="F545" s="13" t="s">
        <v>2020</v>
      </c>
      <c r="G545" s="18">
        <f t="shared" si="14"/>
        <v>1.0993403957625381E-2</v>
      </c>
    </row>
    <row r="546" spans="1:7">
      <c r="A546" s="13">
        <v>50.73</v>
      </c>
      <c r="B546" s="13">
        <v>51.238999999999997</v>
      </c>
      <c r="C546" s="13">
        <v>50.39</v>
      </c>
      <c r="D546" s="13">
        <v>50.92</v>
      </c>
      <c r="E546" s="13">
        <v>8710369</v>
      </c>
      <c r="F546" s="13" t="s">
        <v>2019</v>
      </c>
      <c r="G546" s="18">
        <f t="shared" si="14"/>
        <v>-3.7313432835821558E-3</v>
      </c>
    </row>
    <row r="547" spans="1:7">
      <c r="A547" s="13">
        <v>50.72</v>
      </c>
      <c r="B547" s="13">
        <v>51.405000000000001</v>
      </c>
      <c r="C547" s="13">
        <v>50.65</v>
      </c>
      <c r="D547" s="13">
        <v>50.8</v>
      </c>
      <c r="E547" s="13">
        <v>6327421</v>
      </c>
      <c r="F547" s="13" t="s">
        <v>2018</v>
      </c>
      <c r="G547" s="18">
        <f t="shared" si="14"/>
        <v>-1.5748031496062298E-3</v>
      </c>
    </row>
    <row r="548" spans="1:7">
      <c r="A548" s="13">
        <v>50.88</v>
      </c>
      <c r="B548" s="13">
        <v>51.234999999999999</v>
      </c>
      <c r="C548" s="13">
        <v>50.46</v>
      </c>
      <c r="D548" s="13">
        <v>50.54</v>
      </c>
      <c r="E548" s="13">
        <v>6174920</v>
      </c>
      <c r="F548" s="13" t="s">
        <v>2017</v>
      </c>
      <c r="G548" s="18">
        <f t="shared" si="14"/>
        <v>6.7273446774831491E-3</v>
      </c>
    </row>
    <row r="549" spans="1:7">
      <c r="A549" s="13">
        <v>50.62</v>
      </c>
      <c r="B549" s="13">
        <v>51.84</v>
      </c>
      <c r="C549" s="13">
        <v>50.555</v>
      </c>
      <c r="D549" s="13">
        <v>51.73</v>
      </c>
      <c r="E549" s="13">
        <v>8031733</v>
      </c>
      <c r="F549" s="13" t="s">
        <v>2016</v>
      </c>
      <c r="G549" s="18">
        <f t="shared" si="14"/>
        <v>-2.1457568142277172E-2</v>
      </c>
    </row>
    <row r="550" spans="1:7">
      <c r="A550" s="13">
        <v>51.89</v>
      </c>
      <c r="B550" s="13">
        <v>51.965000000000003</v>
      </c>
      <c r="C550" s="13">
        <v>51.405000000000001</v>
      </c>
      <c r="D550" s="13">
        <v>51.57</v>
      </c>
      <c r="E550" s="13">
        <v>4859642</v>
      </c>
      <c r="F550" s="13" t="s">
        <v>2015</v>
      </c>
      <c r="G550" s="18">
        <f t="shared" si="14"/>
        <v>6.2051580376187854E-3</v>
      </c>
    </row>
    <row r="551" spans="1:7">
      <c r="A551" s="13">
        <v>51.85</v>
      </c>
      <c r="B551" s="13">
        <v>52.27</v>
      </c>
      <c r="C551" s="13">
        <v>51.6</v>
      </c>
      <c r="D551" s="13">
        <v>51.87</v>
      </c>
      <c r="E551" s="13">
        <v>6513695</v>
      </c>
      <c r="F551" s="13" t="s">
        <v>2014</v>
      </c>
      <c r="G551" s="18">
        <f t="shared" si="14"/>
        <v>-3.855793329476942E-4</v>
      </c>
    </row>
    <row r="552" spans="1:7">
      <c r="A552" s="13">
        <v>51.69</v>
      </c>
      <c r="B552" s="13">
        <v>53.11</v>
      </c>
      <c r="C552" s="13">
        <v>51.16</v>
      </c>
      <c r="D552" s="13">
        <v>53.05</v>
      </c>
      <c r="E552" s="13">
        <v>10509430</v>
      </c>
      <c r="F552" s="13" t="s">
        <v>2013</v>
      </c>
      <c r="G552" s="18">
        <f t="shared" si="14"/>
        <v>-2.5636192271441982E-2</v>
      </c>
    </row>
    <row r="553" spans="1:7">
      <c r="A553" s="13">
        <v>52.64</v>
      </c>
      <c r="B553" s="13">
        <v>53.96</v>
      </c>
      <c r="C553" s="13">
        <v>52.03</v>
      </c>
      <c r="D553" s="13">
        <v>53.2</v>
      </c>
      <c r="E553" s="13">
        <v>11333828</v>
      </c>
      <c r="F553" s="13" t="s">
        <v>2012</v>
      </c>
      <c r="G553" s="18">
        <f t="shared" si="14"/>
        <v>-1.0526315789473717E-2</v>
      </c>
    </row>
    <row r="554" spans="1:7">
      <c r="A554" s="13">
        <v>52.4</v>
      </c>
      <c r="B554" s="13">
        <v>52.47</v>
      </c>
      <c r="C554" s="13">
        <v>51.755000000000003</v>
      </c>
      <c r="D554" s="13">
        <v>52.1</v>
      </c>
      <c r="E554" s="13">
        <v>8374757</v>
      </c>
      <c r="F554" s="13" t="s">
        <v>2011</v>
      </c>
      <c r="G554" s="18">
        <f t="shared" si="14"/>
        <v>5.7581573896352545E-3</v>
      </c>
    </row>
    <row r="555" spans="1:7">
      <c r="A555" s="13">
        <v>52.41</v>
      </c>
      <c r="B555" s="13">
        <v>53.15</v>
      </c>
      <c r="C555" s="13">
        <v>51.51</v>
      </c>
      <c r="D555" s="13">
        <v>51.7</v>
      </c>
      <c r="E555" s="13">
        <v>7327430</v>
      </c>
      <c r="F555" s="13" t="s">
        <v>2010</v>
      </c>
      <c r="G555" s="18">
        <f t="shared" si="14"/>
        <v>1.3733075435202968E-2</v>
      </c>
    </row>
    <row r="556" spans="1:7">
      <c r="A556" s="13">
        <v>52.17</v>
      </c>
      <c r="B556" s="13">
        <v>53.25</v>
      </c>
      <c r="C556" s="13">
        <v>51.89</v>
      </c>
      <c r="D556" s="13">
        <v>53.15</v>
      </c>
      <c r="E556" s="13">
        <v>9391509</v>
      </c>
      <c r="F556" s="13" t="s">
        <v>2009</v>
      </c>
      <c r="G556" s="18">
        <f t="shared" si="14"/>
        <v>-1.8438381937911474E-2</v>
      </c>
    </row>
    <row r="557" spans="1:7">
      <c r="A557" s="13">
        <v>53.16</v>
      </c>
      <c r="B557" s="13">
        <v>53.78</v>
      </c>
      <c r="C557" s="13">
        <v>53.15</v>
      </c>
      <c r="D557" s="13">
        <v>53.58</v>
      </c>
      <c r="E557" s="13">
        <v>6207431</v>
      </c>
      <c r="F557" s="13" t="s">
        <v>2008</v>
      </c>
      <c r="G557" s="18">
        <f t="shared" si="14"/>
        <v>-7.838745800671898E-3</v>
      </c>
    </row>
    <row r="558" spans="1:7">
      <c r="A558" s="13">
        <v>53.46</v>
      </c>
      <c r="B558" s="13">
        <v>53.67</v>
      </c>
      <c r="C558" s="13">
        <v>52.53</v>
      </c>
      <c r="D558" s="13">
        <v>52.63</v>
      </c>
      <c r="E558" s="13">
        <v>7127001</v>
      </c>
      <c r="F558" s="13" t="s">
        <v>2007</v>
      </c>
      <c r="G558" s="18">
        <f t="shared" si="14"/>
        <v>1.577047311419344E-2</v>
      </c>
    </row>
    <row r="559" spans="1:7">
      <c r="A559" s="13">
        <v>52.34</v>
      </c>
      <c r="B559" s="13">
        <v>53.2</v>
      </c>
      <c r="C559" s="13">
        <v>52.21</v>
      </c>
      <c r="D559" s="13">
        <v>52.98</v>
      </c>
      <c r="E559" s="13">
        <v>7254025</v>
      </c>
      <c r="F559" s="13" t="s">
        <v>2006</v>
      </c>
      <c r="G559" s="18">
        <f t="shared" si="14"/>
        <v>-1.208003020007542E-2</v>
      </c>
    </row>
    <row r="560" spans="1:7">
      <c r="A560" s="13">
        <v>52.81</v>
      </c>
      <c r="B560" s="13">
        <v>52.86</v>
      </c>
      <c r="C560" s="13">
        <v>51.91</v>
      </c>
      <c r="D560" s="13">
        <v>52.28</v>
      </c>
      <c r="E560" s="13">
        <v>5491706</v>
      </c>
      <c r="F560" s="13" t="s">
        <v>2005</v>
      </c>
      <c r="G560" s="18">
        <f t="shared" si="14"/>
        <v>1.0137719969395498E-2</v>
      </c>
    </row>
    <row r="561" spans="1:7">
      <c r="A561" s="13">
        <v>52.61</v>
      </c>
      <c r="B561" s="13">
        <v>53.24</v>
      </c>
      <c r="C561" s="13">
        <v>52.43</v>
      </c>
      <c r="D561" s="13">
        <v>52.98</v>
      </c>
      <c r="E561" s="13">
        <v>4713860</v>
      </c>
      <c r="F561" s="13" t="s">
        <v>2004</v>
      </c>
      <c r="G561" s="18">
        <f t="shared" si="14"/>
        <v>-6.9837674594186439E-3</v>
      </c>
    </row>
    <row r="562" spans="1:7">
      <c r="A562" s="13">
        <v>53.03</v>
      </c>
      <c r="B562" s="13">
        <v>53.15</v>
      </c>
      <c r="C562" s="13">
        <v>52.72</v>
      </c>
      <c r="D562" s="13">
        <v>52.81</v>
      </c>
      <c r="E562" s="13">
        <v>3515467</v>
      </c>
      <c r="F562" s="13" t="s">
        <v>2003</v>
      </c>
      <c r="G562" s="18">
        <f t="shared" ref="G562:G625" si="15">A562/D562-1</f>
        <v>4.1658776746829052E-3</v>
      </c>
    </row>
    <row r="563" spans="1:7">
      <c r="A563" s="13">
        <v>52.79</v>
      </c>
      <c r="B563" s="13">
        <v>53.005000000000003</v>
      </c>
      <c r="C563" s="13">
        <v>52.07</v>
      </c>
      <c r="D563" s="13">
        <v>52.37</v>
      </c>
      <c r="E563" s="13">
        <v>5174175</v>
      </c>
      <c r="F563" s="13" t="s">
        <v>2002</v>
      </c>
      <c r="G563" s="18">
        <f t="shared" si="15"/>
        <v>8.0198586977278108E-3</v>
      </c>
    </row>
    <row r="564" spans="1:7">
      <c r="A564" s="13">
        <v>52.46</v>
      </c>
      <c r="B564" s="13">
        <v>52.975000000000001</v>
      </c>
      <c r="C564" s="13">
        <v>52.36</v>
      </c>
      <c r="D564" s="13">
        <v>52.59</v>
      </c>
      <c r="E564" s="13">
        <v>5522051</v>
      </c>
      <c r="F564" s="13" t="s">
        <v>2001</v>
      </c>
      <c r="G564" s="18">
        <f t="shared" si="15"/>
        <v>-2.4719528427458171E-3</v>
      </c>
    </row>
    <row r="565" spans="1:7">
      <c r="A565" s="13">
        <v>52.45</v>
      </c>
      <c r="B565" s="13">
        <v>53.12</v>
      </c>
      <c r="C565" s="13">
        <v>52.13</v>
      </c>
      <c r="D565" s="13">
        <v>52.63</v>
      </c>
      <c r="E565" s="13">
        <v>5115876</v>
      </c>
      <c r="F565" s="13" t="s">
        <v>2000</v>
      </c>
      <c r="G565" s="18">
        <f t="shared" si="15"/>
        <v>-3.4201026030781234E-3</v>
      </c>
    </row>
    <row r="566" spans="1:7">
      <c r="A566" s="13">
        <v>52.7</v>
      </c>
      <c r="B566" s="13">
        <v>52.835000000000001</v>
      </c>
      <c r="C566" s="13">
        <v>52.24</v>
      </c>
      <c r="D566" s="13">
        <v>52.44</v>
      </c>
      <c r="E566" s="13">
        <v>6054591</v>
      </c>
      <c r="F566" s="13" t="s">
        <v>1999</v>
      </c>
      <c r="G566" s="18">
        <f t="shared" si="15"/>
        <v>4.9580472921435526E-3</v>
      </c>
    </row>
    <row r="567" spans="1:7">
      <c r="A567" s="13">
        <v>52.29</v>
      </c>
      <c r="B567" s="13">
        <v>52.914999999999999</v>
      </c>
      <c r="C567" s="13">
        <v>52.17</v>
      </c>
      <c r="D567" s="13">
        <v>52.65</v>
      </c>
      <c r="E567" s="13">
        <v>6370297</v>
      </c>
      <c r="F567" s="13" t="s">
        <v>1998</v>
      </c>
      <c r="G567" s="18">
        <f t="shared" si="15"/>
        <v>-6.8376068376068133E-3</v>
      </c>
    </row>
    <row r="568" spans="1:7">
      <c r="A568" s="13">
        <v>52.88</v>
      </c>
      <c r="B568" s="13">
        <v>53.1</v>
      </c>
      <c r="C568" s="13">
        <v>52.662500000000001</v>
      </c>
      <c r="D568" s="13">
        <v>52.98</v>
      </c>
      <c r="E568" s="13">
        <v>4461292</v>
      </c>
      <c r="F568" s="13" t="s">
        <v>1997</v>
      </c>
      <c r="G568" s="18">
        <f t="shared" si="15"/>
        <v>-1.8875047187616456E-3</v>
      </c>
    </row>
    <row r="569" spans="1:7">
      <c r="A569" s="13">
        <v>53.25</v>
      </c>
      <c r="B569" s="13">
        <v>53.28</v>
      </c>
      <c r="C569" s="13">
        <v>52.68</v>
      </c>
      <c r="D569" s="13">
        <v>53.1</v>
      </c>
      <c r="E569" s="13">
        <v>9640359</v>
      </c>
      <c r="F569" s="13" t="s">
        <v>1996</v>
      </c>
      <c r="G569" s="18">
        <f t="shared" si="15"/>
        <v>2.8248587570620654E-3</v>
      </c>
    </row>
    <row r="570" spans="1:7">
      <c r="A570" s="13">
        <v>53.54</v>
      </c>
      <c r="B570" s="13">
        <v>53.81</v>
      </c>
      <c r="C570" s="13">
        <v>53.08</v>
      </c>
      <c r="D570" s="13">
        <v>53.72</v>
      </c>
      <c r="E570" s="13">
        <v>3017837</v>
      </c>
      <c r="F570" s="13" t="s">
        <v>1995</v>
      </c>
      <c r="G570" s="18">
        <f t="shared" si="15"/>
        <v>-3.350707371556183E-3</v>
      </c>
    </row>
    <row r="571" spans="1:7">
      <c r="A571" s="13">
        <v>54.09</v>
      </c>
      <c r="B571" s="13">
        <v>54.45</v>
      </c>
      <c r="C571" s="13">
        <v>53.65</v>
      </c>
      <c r="D571" s="13">
        <v>53.79</v>
      </c>
      <c r="E571" s="13">
        <v>7238826</v>
      </c>
      <c r="F571" s="13" t="s">
        <v>1994</v>
      </c>
      <c r="G571" s="18">
        <f t="shared" si="15"/>
        <v>5.5772448410487119E-3</v>
      </c>
    </row>
    <row r="572" spans="1:7">
      <c r="A572" s="13">
        <v>53.29</v>
      </c>
      <c r="B572" s="13">
        <v>53.72</v>
      </c>
      <c r="C572" s="13">
        <v>53.134999999999998</v>
      </c>
      <c r="D572" s="13">
        <v>53.32</v>
      </c>
      <c r="E572" s="13">
        <v>6896517</v>
      </c>
      <c r="F572" s="13" t="s">
        <v>1993</v>
      </c>
      <c r="G572" s="18">
        <f t="shared" si="15"/>
        <v>-5.626406601650924E-4</v>
      </c>
    </row>
    <row r="573" spans="1:7">
      <c r="A573" s="13">
        <v>53.45</v>
      </c>
      <c r="B573" s="13">
        <v>53.92</v>
      </c>
      <c r="C573" s="13">
        <v>53.34</v>
      </c>
      <c r="D573" s="13">
        <v>53.58</v>
      </c>
      <c r="E573" s="13">
        <v>5305955</v>
      </c>
      <c r="F573" s="13" t="s">
        <v>1992</v>
      </c>
      <c r="G573" s="18">
        <f t="shared" si="15"/>
        <v>-2.4262784621126299E-3</v>
      </c>
    </row>
    <row r="574" spans="1:7">
      <c r="A574" s="13">
        <v>53.49</v>
      </c>
      <c r="B574" s="13">
        <v>53.69</v>
      </c>
      <c r="C574" s="13">
        <v>53.034999999999997</v>
      </c>
      <c r="D574" s="13">
        <v>53.5</v>
      </c>
      <c r="E574" s="13">
        <v>6084905</v>
      </c>
      <c r="F574" s="13" t="s">
        <v>1991</v>
      </c>
      <c r="G574" s="18">
        <f t="shared" si="15"/>
        <v>-1.8691588785046953E-4</v>
      </c>
    </row>
    <row r="575" spans="1:7">
      <c r="A575" s="13">
        <v>53.5</v>
      </c>
      <c r="B575" s="13">
        <v>53.97</v>
      </c>
      <c r="C575" s="13">
        <v>53.2</v>
      </c>
      <c r="D575" s="13">
        <v>53.92</v>
      </c>
      <c r="E575" s="13">
        <v>6553068</v>
      </c>
      <c r="F575" s="13" t="s">
        <v>1990</v>
      </c>
      <c r="G575" s="18">
        <f t="shared" si="15"/>
        <v>-7.7893175074184029E-3</v>
      </c>
    </row>
    <row r="576" spans="1:7">
      <c r="A576" s="13">
        <v>53.97</v>
      </c>
      <c r="B576" s="13">
        <v>54.744999999999997</v>
      </c>
      <c r="C576" s="13">
        <v>53.85</v>
      </c>
      <c r="D576" s="13">
        <v>54.5</v>
      </c>
      <c r="E576" s="13">
        <v>9538142</v>
      </c>
      <c r="F576" s="13" t="s">
        <v>1989</v>
      </c>
      <c r="G576" s="18">
        <f t="shared" si="15"/>
        <v>-9.7247706422018965E-3</v>
      </c>
    </row>
    <row r="577" spans="1:7">
      <c r="A577" s="13">
        <v>54.64</v>
      </c>
      <c r="B577" s="13">
        <v>54.66</v>
      </c>
      <c r="C577" s="13">
        <v>54</v>
      </c>
      <c r="D577" s="13">
        <v>54.13</v>
      </c>
      <c r="E577" s="13">
        <v>4083613</v>
      </c>
      <c r="F577" s="13" t="s">
        <v>1988</v>
      </c>
      <c r="G577" s="18">
        <f t="shared" si="15"/>
        <v>9.4217624237944442E-3</v>
      </c>
    </row>
    <row r="578" spans="1:7">
      <c r="A578" s="13">
        <v>53.96</v>
      </c>
      <c r="B578" s="13">
        <v>54.1</v>
      </c>
      <c r="C578" s="13">
        <v>53.585000000000001</v>
      </c>
      <c r="D578" s="13">
        <v>53.94</v>
      </c>
      <c r="E578" s="13">
        <v>5770027</v>
      </c>
      <c r="F578" s="13" t="s">
        <v>1987</v>
      </c>
      <c r="G578" s="18">
        <f t="shared" si="15"/>
        <v>3.7078235076015709E-4</v>
      </c>
    </row>
    <row r="579" spans="1:7">
      <c r="A579" s="13">
        <v>54.04</v>
      </c>
      <c r="B579" s="13">
        <v>54.23</v>
      </c>
      <c r="C579" s="13">
        <v>53.55</v>
      </c>
      <c r="D579" s="13">
        <v>53.79</v>
      </c>
      <c r="E579" s="13">
        <v>7100947</v>
      </c>
      <c r="F579" s="13" t="s">
        <v>1986</v>
      </c>
      <c r="G579" s="18">
        <f t="shared" si="15"/>
        <v>4.6477040342070008E-3</v>
      </c>
    </row>
    <row r="580" spans="1:7">
      <c r="A580" s="13">
        <v>54.32</v>
      </c>
      <c r="B580" s="13">
        <v>54.69</v>
      </c>
      <c r="C580" s="13">
        <v>54.045000000000002</v>
      </c>
      <c r="D580" s="13">
        <v>54.51</v>
      </c>
      <c r="E580" s="13">
        <v>13022919</v>
      </c>
      <c r="F580" s="13" t="s">
        <v>1985</v>
      </c>
      <c r="G580" s="18">
        <f t="shared" si="15"/>
        <v>-3.4855989726655379E-3</v>
      </c>
    </row>
    <row r="581" spans="1:7">
      <c r="A581" s="13">
        <v>53.98</v>
      </c>
      <c r="B581" s="13">
        <v>54.09</v>
      </c>
      <c r="C581" s="13">
        <v>52.91</v>
      </c>
      <c r="D581" s="13">
        <v>53.23</v>
      </c>
      <c r="E581" s="13">
        <v>7402995</v>
      </c>
      <c r="F581" s="13" t="s">
        <v>1984</v>
      </c>
      <c r="G581" s="18">
        <f t="shared" si="15"/>
        <v>1.4089798985534419E-2</v>
      </c>
    </row>
    <row r="582" spans="1:7">
      <c r="A582" s="13">
        <v>53.31</v>
      </c>
      <c r="B582" s="13">
        <v>53.9</v>
      </c>
      <c r="C582" s="13">
        <v>52.69</v>
      </c>
      <c r="D582" s="13">
        <v>53.6</v>
      </c>
      <c r="E582" s="13">
        <v>11002743</v>
      </c>
      <c r="F582" s="13" t="s">
        <v>1983</v>
      </c>
      <c r="G582" s="18">
        <f t="shared" si="15"/>
        <v>-5.4104477611940371E-3</v>
      </c>
    </row>
    <row r="583" spans="1:7">
      <c r="A583" s="13">
        <v>51.16</v>
      </c>
      <c r="B583" s="13">
        <v>51.45</v>
      </c>
      <c r="C583" s="13">
        <v>50.93</v>
      </c>
      <c r="D583" s="13">
        <v>51.05</v>
      </c>
      <c r="E583" s="13">
        <v>5802075</v>
      </c>
      <c r="F583" s="13" t="s">
        <v>1982</v>
      </c>
      <c r="G583" s="18">
        <f t="shared" si="15"/>
        <v>2.1547502448580058E-3</v>
      </c>
    </row>
    <row r="584" spans="1:7">
      <c r="A584" s="13">
        <v>51.2</v>
      </c>
      <c r="B584" s="13">
        <v>51.484999999999999</v>
      </c>
      <c r="C584" s="13">
        <v>50.840699999999998</v>
      </c>
      <c r="D584" s="13">
        <v>51.22</v>
      </c>
      <c r="E584" s="13">
        <v>5694818</v>
      </c>
      <c r="F584" s="13" t="s">
        <v>1981</v>
      </c>
      <c r="G584" s="18">
        <f t="shared" si="15"/>
        <v>-3.9047247169066157E-4</v>
      </c>
    </row>
    <row r="585" spans="1:7">
      <c r="A585" s="13">
        <v>51.28</v>
      </c>
      <c r="B585" s="13">
        <v>51.54</v>
      </c>
      <c r="C585" s="13">
        <v>50.91</v>
      </c>
      <c r="D585" s="13">
        <v>51.13</v>
      </c>
      <c r="E585" s="13">
        <v>5210575</v>
      </c>
      <c r="F585" s="13" t="s">
        <v>1980</v>
      </c>
      <c r="G585" s="18">
        <f t="shared" si="15"/>
        <v>2.9336984158028212E-3</v>
      </c>
    </row>
    <row r="586" spans="1:7">
      <c r="A586" s="13">
        <v>51.07</v>
      </c>
      <c r="B586" s="13">
        <v>51.12</v>
      </c>
      <c r="C586" s="13">
        <v>50.4</v>
      </c>
      <c r="D586" s="13">
        <v>50.63</v>
      </c>
      <c r="E586" s="13">
        <v>4288318</v>
      </c>
      <c r="F586" s="13" t="s">
        <v>1979</v>
      </c>
      <c r="G586" s="18">
        <f t="shared" si="15"/>
        <v>8.6904997037329235E-3</v>
      </c>
    </row>
    <row r="587" spans="1:7">
      <c r="A587" s="13">
        <v>50.7</v>
      </c>
      <c r="B587" s="13">
        <v>50.84</v>
      </c>
      <c r="C587" s="13">
        <v>50.43</v>
      </c>
      <c r="D587" s="13">
        <v>50.58</v>
      </c>
      <c r="E587" s="13">
        <v>6631414</v>
      </c>
      <c r="F587" s="13" t="s">
        <v>1978</v>
      </c>
      <c r="G587" s="18">
        <f t="shared" si="15"/>
        <v>2.3724792408066353E-3</v>
      </c>
    </row>
    <row r="588" spans="1:7">
      <c r="A588" s="13">
        <v>50.67</v>
      </c>
      <c r="B588" s="13">
        <v>51.52</v>
      </c>
      <c r="C588" s="13">
        <v>50.34</v>
      </c>
      <c r="D588" s="13">
        <v>51.33</v>
      </c>
      <c r="E588" s="13">
        <v>12634074</v>
      </c>
      <c r="F588" s="13" t="s">
        <v>1977</v>
      </c>
      <c r="G588" s="18">
        <f t="shared" si="15"/>
        <v>-1.2857977790765585E-2</v>
      </c>
    </row>
    <row r="589" spans="1:7">
      <c r="A589" s="13">
        <v>51.4</v>
      </c>
      <c r="B589" s="13">
        <v>52.05</v>
      </c>
      <c r="C589" s="13">
        <v>51.234999999999999</v>
      </c>
      <c r="D589" s="13">
        <v>51.96</v>
      </c>
      <c r="E589" s="13">
        <v>6616814</v>
      </c>
      <c r="F589" s="13" t="s">
        <v>1976</v>
      </c>
      <c r="G589" s="18">
        <f t="shared" si="15"/>
        <v>-1.0777521170130866E-2</v>
      </c>
    </row>
    <row r="590" spans="1:7">
      <c r="A590" s="13">
        <v>51.82</v>
      </c>
      <c r="B590" s="13">
        <v>51.94</v>
      </c>
      <c r="C590" s="13">
        <v>51.48</v>
      </c>
      <c r="D590" s="13">
        <v>51.59</v>
      </c>
      <c r="E590" s="13">
        <v>5608177</v>
      </c>
      <c r="F590" s="13" t="s">
        <v>1975</v>
      </c>
      <c r="G590" s="18">
        <f t="shared" si="15"/>
        <v>4.4582283388252542E-3</v>
      </c>
    </row>
    <row r="591" spans="1:7">
      <c r="A591" s="13">
        <v>51.5</v>
      </c>
      <c r="B591" s="13">
        <v>51.844999999999999</v>
      </c>
      <c r="C591" s="13">
        <v>50.98</v>
      </c>
      <c r="D591" s="13">
        <v>51.3</v>
      </c>
      <c r="E591" s="13">
        <v>8584089</v>
      </c>
      <c r="F591" s="13" t="s">
        <v>1974</v>
      </c>
      <c r="G591" s="18">
        <f t="shared" si="15"/>
        <v>3.8986354775829568E-3</v>
      </c>
    </row>
    <row r="592" spans="1:7">
      <c r="A592" s="13">
        <v>51.48</v>
      </c>
      <c r="B592" s="13">
        <v>51.75</v>
      </c>
      <c r="C592" s="13">
        <v>50.09</v>
      </c>
      <c r="D592" s="13">
        <v>50.46</v>
      </c>
      <c r="E592" s="13">
        <v>15443853</v>
      </c>
      <c r="F592" s="13" t="s">
        <v>1973</v>
      </c>
      <c r="G592" s="18">
        <f t="shared" si="15"/>
        <v>2.0214030915576719E-2</v>
      </c>
    </row>
    <row r="593" spans="1:7">
      <c r="A593" s="13">
        <v>50.49</v>
      </c>
      <c r="B593" s="13">
        <v>51.53</v>
      </c>
      <c r="C593" s="13">
        <v>50.405000000000001</v>
      </c>
      <c r="D593" s="13">
        <v>51.22</v>
      </c>
      <c r="E593" s="13">
        <v>9862892</v>
      </c>
      <c r="F593" s="13" t="s">
        <v>1972</v>
      </c>
      <c r="G593" s="18">
        <f t="shared" si="15"/>
        <v>-1.42522452167122E-2</v>
      </c>
    </row>
    <row r="594" spans="1:7">
      <c r="A594" s="13">
        <v>51.06</v>
      </c>
      <c r="B594" s="13">
        <v>51.92</v>
      </c>
      <c r="C594" s="13">
        <v>50.93</v>
      </c>
      <c r="D594" s="13">
        <v>51.51</v>
      </c>
      <c r="E594" s="13">
        <v>8497676</v>
      </c>
      <c r="F594" s="13" t="s">
        <v>1971</v>
      </c>
      <c r="G594" s="18">
        <f t="shared" si="15"/>
        <v>-8.7361677344204303E-3</v>
      </c>
    </row>
    <row r="595" spans="1:7">
      <c r="A595" s="13">
        <v>51.54</v>
      </c>
      <c r="B595" s="13">
        <v>51.96</v>
      </c>
      <c r="C595" s="13">
        <v>51.335000000000001</v>
      </c>
      <c r="D595" s="13">
        <v>51.96</v>
      </c>
      <c r="E595" s="13">
        <v>8922771</v>
      </c>
      <c r="F595" s="13" t="s">
        <v>1970</v>
      </c>
      <c r="G595" s="18">
        <f t="shared" si="15"/>
        <v>-8.083140877598205E-3</v>
      </c>
    </row>
    <row r="596" spans="1:7">
      <c r="A596" s="13">
        <v>51.93</v>
      </c>
      <c r="B596" s="13">
        <v>52.31</v>
      </c>
      <c r="C596" s="13">
        <v>51.23</v>
      </c>
      <c r="D596" s="13">
        <v>51.4</v>
      </c>
      <c r="E596" s="13">
        <v>10569017</v>
      </c>
      <c r="F596" s="13" t="s">
        <v>1969</v>
      </c>
      <c r="G596" s="18">
        <f t="shared" si="15"/>
        <v>1.031128404669257E-2</v>
      </c>
    </row>
    <row r="597" spans="1:7">
      <c r="A597" s="13">
        <v>51.5</v>
      </c>
      <c r="B597" s="13">
        <v>53.58</v>
      </c>
      <c r="C597" s="13">
        <v>51.38</v>
      </c>
      <c r="D597" s="13">
        <v>53.26</v>
      </c>
      <c r="E597" s="13">
        <v>12851257</v>
      </c>
      <c r="F597" s="13" t="s">
        <v>1968</v>
      </c>
      <c r="G597" s="18">
        <f t="shared" si="15"/>
        <v>-3.3045437476530215E-2</v>
      </c>
    </row>
    <row r="598" spans="1:7">
      <c r="A598" s="13">
        <v>53.68</v>
      </c>
      <c r="B598" s="13">
        <v>54.17</v>
      </c>
      <c r="C598" s="13">
        <v>53.6</v>
      </c>
      <c r="D598" s="13">
        <v>53.64</v>
      </c>
      <c r="E598" s="13">
        <v>7007804</v>
      </c>
      <c r="F598" s="13" t="s">
        <v>1967</v>
      </c>
      <c r="G598" s="18">
        <f t="shared" si="15"/>
        <v>7.4571215510821354E-4</v>
      </c>
    </row>
    <row r="599" spans="1:7">
      <c r="A599" s="13">
        <v>53.64</v>
      </c>
      <c r="B599" s="13">
        <v>53.78</v>
      </c>
      <c r="C599" s="13">
        <v>53.18</v>
      </c>
      <c r="D599" s="13">
        <v>53.53</v>
      </c>
      <c r="E599" s="13">
        <v>8495921</v>
      </c>
      <c r="F599" s="13" t="s">
        <v>1966</v>
      </c>
      <c r="G599" s="18">
        <f t="shared" si="15"/>
        <v>2.0549224733794613E-3</v>
      </c>
    </row>
    <row r="600" spans="1:7">
      <c r="A600" s="13">
        <v>53.44</v>
      </c>
      <c r="B600" s="13">
        <v>53.58</v>
      </c>
      <c r="C600" s="13">
        <v>53.21</v>
      </c>
      <c r="D600" s="13">
        <v>53.41</v>
      </c>
      <c r="E600" s="13">
        <v>8038658</v>
      </c>
      <c r="F600" s="13" t="s">
        <v>1965</v>
      </c>
      <c r="G600" s="18">
        <f t="shared" si="15"/>
        <v>5.6169256693494596E-4</v>
      </c>
    </row>
    <row r="601" spans="1:7">
      <c r="A601" s="13">
        <v>53.41</v>
      </c>
      <c r="B601" s="13">
        <v>54.04</v>
      </c>
      <c r="C601" s="13">
        <v>52.86</v>
      </c>
      <c r="D601" s="13">
        <v>53.93</v>
      </c>
      <c r="E601" s="13">
        <v>7134403</v>
      </c>
      <c r="F601" s="13" t="s">
        <v>1964</v>
      </c>
      <c r="G601" s="18">
        <f t="shared" si="15"/>
        <v>-9.6421286853328736E-3</v>
      </c>
    </row>
    <row r="602" spans="1:7">
      <c r="A602" s="13">
        <v>53.77</v>
      </c>
      <c r="B602" s="13">
        <v>54.08</v>
      </c>
      <c r="C602" s="13">
        <v>53.36</v>
      </c>
      <c r="D602" s="13">
        <v>53.71</v>
      </c>
      <c r="E602" s="13">
        <v>5515473</v>
      </c>
      <c r="F602" s="13" t="s">
        <v>1963</v>
      </c>
      <c r="G602" s="18">
        <f t="shared" si="15"/>
        <v>1.1171104077454252E-3</v>
      </c>
    </row>
    <row r="603" spans="1:7">
      <c r="A603" s="13">
        <v>53.68</v>
      </c>
      <c r="B603" s="13">
        <v>53.994999999999997</v>
      </c>
      <c r="C603" s="13">
        <v>53.37</v>
      </c>
      <c r="D603" s="13">
        <v>53.37</v>
      </c>
      <c r="E603" s="13">
        <v>11013718</v>
      </c>
      <c r="F603" s="13" t="s">
        <v>1962</v>
      </c>
      <c r="G603" s="18">
        <f t="shared" si="15"/>
        <v>5.8085066516770922E-3</v>
      </c>
    </row>
    <row r="604" spans="1:7">
      <c r="A604" s="13">
        <v>53.34</v>
      </c>
      <c r="B604" s="13">
        <v>53.47</v>
      </c>
      <c r="C604" s="13">
        <v>52.94</v>
      </c>
      <c r="D604" s="13">
        <v>53.41</v>
      </c>
      <c r="E604" s="13">
        <v>8251115</v>
      </c>
      <c r="F604" s="13" t="s">
        <v>1961</v>
      </c>
      <c r="G604" s="18">
        <f t="shared" si="15"/>
        <v>-1.3106159895149849E-3</v>
      </c>
    </row>
    <row r="605" spans="1:7">
      <c r="A605" s="13">
        <v>53.39</v>
      </c>
      <c r="B605" s="13">
        <v>53.65</v>
      </c>
      <c r="C605" s="13">
        <v>52.994999999999997</v>
      </c>
      <c r="D605" s="13">
        <v>53.16</v>
      </c>
      <c r="E605" s="13">
        <v>9018361</v>
      </c>
      <c r="F605" s="13" t="s">
        <v>1960</v>
      </c>
      <c r="G605" s="18">
        <f t="shared" si="15"/>
        <v>4.3265613243039791E-3</v>
      </c>
    </row>
    <row r="606" spans="1:7">
      <c r="A606" s="13">
        <v>53.22</v>
      </c>
      <c r="B606" s="13">
        <v>53.67</v>
      </c>
      <c r="C606" s="13">
        <v>52.82</v>
      </c>
      <c r="D606" s="13">
        <v>53.34</v>
      </c>
      <c r="E606" s="13">
        <v>6123025</v>
      </c>
      <c r="F606" s="13" t="s">
        <v>1959</v>
      </c>
      <c r="G606" s="18">
        <f t="shared" si="15"/>
        <v>-2.2497187851518996E-3</v>
      </c>
    </row>
    <row r="607" spans="1:7">
      <c r="A607" s="13">
        <v>53.09</v>
      </c>
      <c r="B607" s="13">
        <v>53.515000000000001</v>
      </c>
      <c r="C607" s="13">
        <v>52.75</v>
      </c>
      <c r="D607" s="13">
        <v>53.14</v>
      </c>
      <c r="E607" s="13">
        <v>11125195</v>
      </c>
      <c r="F607" s="13" t="s">
        <v>1958</v>
      </c>
      <c r="G607" s="18">
        <f t="shared" si="15"/>
        <v>-9.4091080165592533E-4</v>
      </c>
    </row>
    <row r="608" spans="1:7">
      <c r="A608" s="13">
        <v>53.12</v>
      </c>
      <c r="B608" s="13">
        <v>53.42</v>
      </c>
      <c r="C608" s="13">
        <v>51.17</v>
      </c>
      <c r="D608" s="13">
        <v>51.24</v>
      </c>
      <c r="E608" s="13">
        <v>14045417</v>
      </c>
      <c r="F608" s="13" t="s">
        <v>1957</v>
      </c>
      <c r="G608" s="18">
        <f t="shared" si="15"/>
        <v>3.6690085870413558E-2</v>
      </c>
    </row>
    <row r="609" spans="1:7">
      <c r="A609" s="13">
        <v>51.54</v>
      </c>
      <c r="B609" s="13">
        <v>52.12</v>
      </c>
      <c r="C609" s="13">
        <v>51.12</v>
      </c>
      <c r="D609" s="13">
        <v>52.05</v>
      </c>
      <c r="E609" s="13">
        <v>9163108</v>
      </c>
      <c r="F609" s="13" t="s">
        <v>1956</v>
      </c>
      <c r="G609" s="18">
        <f t="shared" si="15"/>
        <v>-9.7982708933717078E-3</v>
      </c>
    </row>
    <row r="610" spans="1:7">
      <c r="A610" s="13">
        <v>51.94</v>
      </c>
      <c r="B610" s="13">
        <v>52.771000000000001</v>
      </c>
      <c r="C610" s="13">
        <v>51.91</v>
      </c>
      <c r="D610" s="13">
        <v>52.43</v>
      </c>
      <c r="E610" s="13">
        <v>8878420</v>
      </c>
      <c r="F610" s="13" t="s">
        <v>1955</v>
      </c>
      <c r="G610" s="18">
        <f t="shared" si="15"/>
        <v>-9.3457943925233655E-3</v>
      </c>
    </row>
    <row r="611" spans="1:7">
      <c r="A611" s="13">
        <v>52.69</v>
      </c>
      <c r="B611" s="13">
        <v>53.475000000000001</v>
      </c>
      <c r="C611" s="13">
        <v>52.58</v>
      </c>
      <c r="D611" s="13">
        <v>53.13</v>
      </c>
      <c r="E611" s="13">
        <v>7358701</v>
      </c>
      <c r="F611" s="13" t="s">
        <v>1954</v>
      </c>
      <c r="G611" s="18">
        <f t="shared" si="15"/>
        <v>-8.281573498964856E-3</v>
      </c>
    </row>
    <row r="612" spans="1:7">
      <c r="A612" s="13">
        <v>52.9</v>
      </c>
      <c r="B612" s="13">
        <v>53.47</v>
      </c>
      <c r="C612" s="13">
        <v>52.24</v>
      </c>
      <c r="D612" s="13">
        <v>52.82</v>
      </c>
      <c r="E612" s="13">
        <v>8739244</v>
      </c>
      <c r="F612" s="13" t="s">
        <v>1953</v>
      </c>
      <c r="G612" s="18">
        <f t="shared" si="15"/>
        <v>1.5145778114349362E-3</v>
      </c>
    </row>
    <row r="613" spans="1:7">
      <c r="A613" s="13">
        <v>52.8</v>
      </c>
      <c r="B613" s="13">
        <v>52.86</v>
      </c>
      <c r="C613" s="13">
        <v>52.085000000000001</v>
      </c>
      <c r="D613" s="13">
        <v>52.2</v>
      </c>
      <c r="E613" s="13">
        <v>7483554</v>
      </c>
      <c r="F613" s="13" t="s">
        <v>1952</v>
      </c>
      <c r="G613" s="18">
        <f t="shared" si="15"/>
        <v>1.1494252873563093E-2</v>
      </c>
    </row>
    <row r="614" spans="1:7">
      <c r="A614" s="13">
        <v>52.12</v>
      </c>
      <c r="B614" s="13">
        <v>52.86</v>
      </c>
      <c r="C614" s="13">
        <v>51.72</v>
      </c>
      <c r="D614" s="13">
        <v>51.88</v>
      </c>
      <c r="E614" s="13">
        <v>13505155</v>
      </c>
      <c r="F614" s="13" t="s">
        <v>1951</v>
      </c>
      <c r="G614" s="18">
        <f t="shared" si="15"/>
        <v>4.6260601387817513E-3</v>
      </c>
    </row>
    <row r="615" spans="1:7">
      <c r="A615" s="13">
        <v>52.03</v>
      </c>
      <c r="B615" s="13">
        <v>52.07</v>
      </c>
      <c r="C615" s="13">
        <v>50.64</v>
      </c>
      <c r="D615" s="13">
        <v>50.9</v>
      </c>
      <c r="E615" s="13">
        <v>9057276</v>
      </c>
      <c r="F615" s="13" t="s">
        <v>1950</v>
      </c>
      <c r="G615" s="18">
        <f t="shared" si="15"/>
        <v>2.2200392927308465E-2</v>
      </c>
    </row>
    <row r="616" spans="1:7">
      <c r="A616" s="13">
        <v>51.1</v>
      </c>
      <c r="B616" s="13">
        <v>52.6999</v>
      </c>
      <c r="C616" s="13">
        <v>50</v>
      </c>
      <c r="D616" s="13">
        <v>52.6999</v>
      </c>
      <c r="E616" s="13">
        <v>20199109</v>
      </c>
      <c r="F616" s="13" t="s">
        <v>1949</v>
      </c>
      <c r="G616" s="18">
        <f t="shared" si="15"/>
        <v>-3.0358691382716074E-2</v>
      </c>
    </row>
    <row r="617" spans="1:7">
      <c r="A617" s="13">
        <v>51.11</v>
      </c>
      <c r="B617" s="13">
        <v>51.779899999999998</v>
      </c>
      <c r="C617" s="13">
        <v>50.975000000000001</v>
      </c>
      <c r="D617" s="13">
        <v>51.45</v>
      </c>
      <c r="E617" s="13">
        <v>14788081</v>
      </c>
      <c r="F617" s="13" t="s">
        <v>1948</v>
      </c>
      <c r="G617" s="18">
        <f t="shared" si="15"/>
        <v>-6.6083576287658818E-3</v>
      </c>
    </row>
    <row r="618" spans="1:7">
      <c r="A618" s="13">
        <v>51.34</v>
      </c>
      <c r="B618" s="13">
        <v>51.54</v>
      </c>
      <c r="C618" s="13">
        <v>50.43</v>
      </c>
      <c r="D618" s="13">
        <v>51.2</v>
      </c>
      <c r="E618" s="13">
        <v>11731706</v>
      </c>
      <c r="F618" s="13" t="s">
        <v>1947</v>
      </c>
      <c r="G618" s="18">
        <f t="shared" si="15"/>
        <v>2.7343749999999556E-3</v>
      </c>
    </row>
    <row r="619" spans="1:7">
      <c r="A619" s="13">
        <v>51.11</v>
      </c>
      <c r="B619" s="13">
        <v>53.21</v>
      </c>
      <c r="C619" s="13">
        <v>50.59</v>
      </c>
      <c r="D619" s="13">
        <v>53.05</v>
      </c>
      <c r="E619" s="13">
        <v>24525083</v>
      </c>
      <c r="F619" s="13" t="s">
        <v>1946</v>
      </c>
      <c r="G619" s="18">
        <f t="shared" si="15"/>
        <v>-3.6569274269557028E-2</v>
      </c>
    </row>
    <row r="620" spans="1:7">
      <c r="A620" s="13">
        <v>52.62</v>
      </c>
      <c r="B620" s="13">
        <v>53.195</v>
      </c>
      <c r="C620" s="13">
        <v>52.47</v>
      </c>
      <c r="D620" s="13">
        <v>52.85</v>
      </c>
      <c r="E620" s="13">
        <v>11486843</v>
      </c>
      <c r="F620" s="13" t="s">
        <v>1945</v>
      </c>
      <c r="G620" s="18">
        <f t="shared" si="15"/>
        <v>-4.3519394512773202E-3</v>
      </c>
    </row>
    <row r="621" spans="1:7">
      <c r="A621" s="13">
        <v>52.89</v>
      </c>
      <c r="B621" s="13">
        <v>52.92</v>
      </c>
      <c r="C621" s="13">
        <v>52.061</v>
      </c>
      <c r="D621" s="13">
        <v>52.25</v>
      </c>
      <c r="E621" s="13">
        <v>10602311</v>
      </c>
      <c r="F621" s="13" t="s">
        <v>1944</v>
      </c>
      <c r="G621" s="18">
        <f t="shared" si="15"/>
        <v>1.2248803827751287E-2</v>
      </c>
    </row>
    <row r="622" spans="1:7">
      <c r="A622" s="13">
        <v>51.61</v>
      </c>
      <c r="B622" s="13">
        <v>52.05</v>
      </c>
      <c r="C622" s="13">
        <v>51.41</v>
      </c>
      <c r="D622" s="13">
        <v>51.96</v>
      </c>
      <c r="E622" s="13">
        <v>7082812</v>
      </c>
      <c r="F622" s="13" t="s">
        <v>1943</v>
      </c>
      <c r="G622" s="18">
        <f t="shared" si="15"/>
        <v>-6.735950731331819E-3</v>
      </c>
    </row>
    <row r="623" spans="1:7">
      <c r="A623" s="13">
        <v>51.74</v>
      </c>
      <c r="B623" s="13">
        <v>52.21</v>
      </c>
      <c r="C623" s="13">
        <v>51.51</v>
      </c>
      <c r="D623" s="13">
        <v>51.98</v>
      </c>
      <c r="E623" s="13">
        <v>5930754</v>
      </c>
      <c r="F623" s="13" t="s">
        <v>1942</v>
      </c>
      <c r="G623" s="18">
        <f t="shared" si="15"/>
        <v>-4.6171604463254301E-3</v>
      </c>
    </row>
    <row r="624" spans="1:7">
      <c r="A624" s="13">
        <v>51.77</v>
      </c>
      <c r="B624" s="13">
        <v>51.83</v>
      </c>
      <c r="C624" s="13">
        <v>51.39</v>
      </c>
      <c r="D624" s="13">
        <v>51.39</v>
      </c>
      <c r="E624" s="13">
        <v>9464958</v>
      </c>
      <c r="F624" s="13" t="s">
        <v>1941</v>
      </c>
      <c r="G624" s="18">
        <f t="shared" si="15"/>
        <v>7.3944347149250689E-3</v>
      </c>
    </row>
    <row r="625" spans="1:7">
      <c r="A625" s="13">
        <v>51.5</v>
      </c>
      <c r="B625" s="13">
        <v>51.76</v>
      </c>
      <c r="C625" s="13">
        <v>51.2</v>
      </c>
      <c r="D625" s="13">
        <v>51.3</v>
      </c>
      <c r="E625" s="13">
        <v>6397661</v>
      </c>
      <c r="F625" s="13" t="s">
        <v>1940</v>
      </c>
      <c r="G625" s="18">
        <f t="shared" si="15"/>
        <v>3.8986354775829568E-3</v>
      </c>
    </row>
    <row r="626" spans="1:7">
      <c r="A626" s="13">
        <v>51.11</v>
      </c>
      <c r="B626" s="13">
        <v>51.69</v>
      </c>
      <c r="C626" s="13">
        <v>50.95</v>
      </c>
      <c r="D626" s="13">
        <v>51.04</v>
      </c>
      <c r="E626" s="13">
        <v>9666747</v>
      </c>
      <c r="F626" s="13" t="s">
        <v>1939</v>
      </c>
      <c r="G626" s="18">
        <f t="shared" ref="G626:G689" si="16">A626/D626-1</f>
        <v>1.3714733542320445E-3</v>
      </c>
    </row>
    <row r="627" spans="1:7">
      <c r="A627" s="13">
        <v>50.73</v>
      </c>
      <c r="B627" s="13">
        <v>50.86</v>
      </c>
      <c r="C627" s="13">
        <v>50.44</v>
      </c>
      <c r="D627" s="13">
        <v>50.46</v>
      </c>
      <c r="E627" s="13">
        <v>5832841</v>
      </c>
      <c r="F627" s="13" t="s">
        <v>1938</v>
      </c>
      <c r="G627" s="18">
        <f t="shared" si="16"/>
        <v>5.3507728894173212E-3</v>
      </c>
    </row>
    <row r="628" spans="1:7">
      <c r="A628" s="13">
        <v>50.34</v>
      </c>
      <c r="B628" s="13">
        <v>50.35</v>
      </c>
      <c r="C628" s="13">
        <v>49.67</v>
      </c>
      <c r="D628" s="13">
        <v>49.9</v>
      </c>
      <c r="E628" s="13">
        <v>5185737</v>
      </c>
      <c r="F628" s="13" t="s">
        <v>1937</v>
      </c>
      <c r="G628" s="18">
        <f t="shared" si="16"/>
        <v>8.8176352705411354E-3</v>
      </c>
    </row>
    <row r="629" spans="1:7">
      <c r="A629" s="13">
        <v>50.08</v>
      </c>
      <c r="B629" s="13">
        <v>50.8</v>
      </c>
      <c r="C629" s="13">
        <v>49.74</v>
      </c>
      <c r="D629" s="13">
        <v>50.8</v>
      </c>
      <c r="E629" s="13">
        <v>9622888</v>
      </c>
      <c r="F629" s="13" t="s">
        <v>1936</v>
      </c>
      <c r="G629" s="18">
        <f t="shared" si="16"/>
        <v>-1.4173228346456623E-2</v>
      </c>
    </row>
    <row r="630" spans="1:7">
      <c r="A630" s="13">
        <v>50.74</v>
      </c>
      <c r="B630" s="13">
        <v>50.87</v>
      </c>
      <c r="C630" s="13">
        <v>50.14</v>
      </c>
      <c r="D630" s="13">
        <v>50.18</v>
      </c>
      <c r="E630" s="13">
        <v>7175363</v>
      </c>
      <c r="F630" s="13" t="s">
        <v>1935</v>
      </c>
      <c r="G630" s="18">
        <f t="shared" si="16"/>
        <v>1.1159824631327364E-2</v>
      </c>
    </row>
    <row r="631" spans="1:7">
      <c r="A631" s="13">
        <v>50.07</v>
      </c>
      <c r="B631" s="13">
        <v>50.39</v>
      </c>
      <c r="C631" s="13">
        <v>49.67</v>
      </c>
      <c r="D631" s="13">
        <v>49.77</v>
      </c>
      <c r="E631" s="13">
        <v>9726853</v>
      </c>
      <c r="F631" s="13" t="s">
        <v>1934</v>
      </c>
      <c r="G631" s="18">
        <f t="shared" si="16"/>
        <v>6.0277275467148783E-3</v>
      </c>
    </row>
    <row r="632" spans="1:7">
      <c r="A632" s="13">
        <v>49.72</v>
      </c>
      <c r="B632" s="13">
        <v>49.98</v>
      </c>
      <c r="C632" s="13">
        <v>49.38</v>
      </c>
      <c r="D632" s="13">
        <v>49.98</v>
      </c>
      <c r="E632" s="13">
        <v>11373042</v>
      </c>
      <c r="F632" s="13" t="s">
        <v>1933</v>
      </c>
      <c r="G632" s="18">
        <f t="shared" si="16"/>
        <v>-5.2020808323328671E-3</v>
      </c>
    </row>
    <row r="633" spans="1:7">
      <c r="A633" s="13">
        <v>50.03</v>
      </c>
      <c r="B633" s="13">
        <v>50.204999999999998</v>
      </c>
      <c r="C633" s="13">
        <v>49.69</v>
      </c>
      <c r="D633" s="13">
        <v>49.8</v>
      </c>
      <c r="E633" s="13">
        <v>11585749</v>
      </c>
      <c r="F633" s="13" t="s">
        <v>1932</v>
      </c>
      <c r="G633" s="18">
        <f t="shared" si="16"/>
        <v>4.6184738955823423E-3</v>
      </c>
    </row>
    <row r="634" spans="1:7">
      <c r="A634" s="13">
        <v>49.6</v>
      </c>
      <c r="B634" s="13">
        <v>49.66</v>
      </c>
      <c r="C634" s="13">
        <v>49.094999999999999</v>
      </c>
      <c r="D634" s="13">
        <v>49.305</v>
      </c>
      <c r="E634" s="13">
        <v>8146421</v>
      </c>
      <c r="F634" s="13" t="s">
        <v>1931</v>
      </c>
      <c r="G634" s="18">
        <f t="shared" si="16"/>
        <v>5.9831660075042592E-3</v>
      </c>
    </row>
    <row r="635" spans="1:7">
      <c r="A635" s="13">
        <v>49.08</v>
      </c>
      <c r="B635" s="13">
        <v>49.46</v>
      </c>
      <c r="C635" s="13">
        <v>48.92</v>
      </c>
      <c r="D635" s="13">
        <v>49</v>
      </c>
      <c r="E635" s="13">
        <v>9333250</v>
      </c>
      <c r="F635" s="13" t="s">
        <v>1930</v>
      </c>
      <c r="G635" s="18">
        <f t="shared" si="16"/>
        <v>1.6326530612245094E-3</v>
      </c>
    </row>
    <row r="636" spans="1:7">
      <c r="A636" s="13">
        <v>48.6</v>
      </c>
      <c r="B636" s="13">
        <v>48.87</v>
      </c>
      <c r="C636" s="13">
        <v>48.1</v>
      </c>
      <c r="D636" s="13">
        <v>48.49</v>
      </c>
      <c r="E636" s="13">
        <v>7820126</v>
      </c>
      <c r="F636" s="13" t="s">
        <v>1929</v>
      </c>
      <c r="G636" s="18">
        <f t="shared" si="16"/>
        <v>2.2685089709217898E-3</v>
      </c>
    </row>
    <row r="637" spans="1:7">
      <c r="A637" s="13">
        <v>48.33</v>
      </c>
      <c r="B637" s="13">
        <v>48.61</v>
      </c>
      <c r="C637" s="13">
        <v>48.145000000000003</v>
      </c>
      <c r="D637" s="13">
        <v>48.414999999999999</v>
      </c>
      <c r="E637" s="13">
        <v>5754235</v>
      </c>
      <c r="F637" s="13" t="s">
        <v>1928</v>
      </c>
      <c r="G637" s="18">
        <f t="shared" si="16"/>
        <v>-1.7556542393886154E-3</v>
      </c>
    </row>
    <row r="638" spans="1:7">
      <c r="A638" s="13">
        <v>48.22</v>
      </c>
      <c r="B638" s="13">
        <v>48.31</v>
      </c>
      <c r="C638" s="13">
        <v>47.515000000000001</v>
      </c>
      <c r="D638" s="13">
        <v>47.9</v>
      </c>
      <c r="E638" s="13">
        <v>10069269</v>
      </c>
      <c r="F638" s="13" t="s">
        <v>1927</v>
      </c>
      <c r="G638" s="18">
        <f t="shared" si="16"/>
        <v>6.6805845511481721E-3</v>
      </c>
    </row>
    <row r="639" spans="1:7">
      <c r="A639" s="13">
        <v>47.94</v>
      </c>
      <c r="B639" s="13">
        <v>48.4</v>
      </c>
      <c r="C639" s="13">
        <v>47.634999999999998</v>
      </c>
      <c r="D639" s="13">
        <v>47.97</v>
      </c>
      <c r="E639" s="13">
        <v>7203649</v>
      </c>
      <c r="F639" s="13" t="s">
        <v>1926</v>
      </c>
      <c r="G639" s="18">
        <f t="shared" si="16"/>
        <v>-6.2539086929336296E-4</v>
      </c>
    </row>
    <row r="640" spans="1:7">
      <c r="A640" s="13">
        <v>48.07</v>
      </c>
      <c r="B640" s="13">
        <v>49.22</v>
      </c>
      <c r="C640" s="13">
        <v>48.06</v>
      </c>
      <c r="D640" s="13">
        <v>48.83</v>
      </c>
      <c r="E640" s="13">
        <v>10462003</v>
      </c>
      <c r="F640" s="13" t="s">
        <v>1925</v>
      </c>
      <c r="G640" s="18">
        <f t="shared" si="16"/>
        <v>-1.5564202334630295E-2</v>
      </c>
    </row>
    <row r="641" spans="1:7">
      <c r="A641" s="13">
        <v>48.84</v>
      </c>
      <c r="B641" s="13">
        <v>48.95</v>
      </c>
      <c r="C641" s="13">
        <v>48.375</v>
      </c>
      <c r="D641" s="13">
        <v>48.83</v>
      </c>
      <c r="E641" s="13">
        <v>6580585</v>
      </c>
      <c r="F641" s="13" t="s">
        <v>1924</v>
      </c>
      <c r="G641" s="18">
        <f t="shared" si="16"/>
        <v>2.0479213598201262E-4</v>
      </c>
    </row>
    <row r="642" spans="1:7">
      <c r="A642" s="13">
        <v>48.83</v>
      </c>
      <c r="B642" s="13">
        <v>48.85</v>
      </c>
      <c r="C642" s="13">
        <v>47.93</v>
      </c>
      <c r="D642" s="13">
        <v>48.05</v>
      </c>
      <c r="E642" s="13">
        <v>9053930</v>
      </c>
      <c r="F642" s="13" t="s">
        <v>1923</v>
      </c>
      <c r="G642" s="18">
        <f t="shared" si="16"/>
        <v>1.6233090530697325E-2</v>
      </c>
    </row>
    <row r="643" spans="1:7">
      <c r="A643" s="13">
        <v>47.95</v>
      </c>
      <c r="B643" s="13">
        <v>48.29</v>
      </c>
      <c r="C643" s="13">
        <v>47.795000000000002</v>
      </c>
      <c r="D643" s="13">
        <v>48.18</v>
      </c>
      <c r="E643" s="13">
        <v>10689322</v>
      </c>
      <c r="F643" s="13" t="s">
        <v>1922</v>
      </c>
      <c r="G643" s="18">
        <f t="shared" si="16"/>
        <v>-4.7737650477376325E-3</v>
      </c>
    </row>
    <row r="644" spans="1:7">
      <c r="A644" s="13">
        <v>48.3</v>
      </c>
      <c r="B644" s="13">
        <v>48.397500000000001</v>
      </c>
      <c r="C644" s="13">
        <v>47.32</v>
      </c>
      <c r="D644" s="13">
        <v>47.55</v>
      </c>
      <c r="E644" s="13">
        <v>7845500</v>
      </c>
      <c r="F644" s="13" t="s">
        <v>1921</v>
      </c>
      <c r="G644" s="18">
        <f t="shared" si="16"/>
        <v>1.577287066246047E-2</v>
      </c>
    </row>
    <row r="645" spans="1:7">
      <c r="A645" s="13">
        <v>47.97</v>
      </c>
      <c r="B645" s="13">
        <v>48</v>
      </c>
      <c r="C645" s="13">
        <v>47.405000000000001</v>
      </c>
      <c r="D645" s="13">
        <v>47.7</v>
      </c>
      <c r="E645" s="13">
        <v>10654267</v>
      </c>
      <c r="F645" s="13" t="s">
        <v>1920</v>
      </c>
      <c r="G645" s="18">
        <f t="shared" si="16"/>
        <v>5.6603773584904538E-3</v>
      </c>
    </row>
    <row r="646" spans="1:7">
      <c r="A646" s="13">
        <v>48.31</v>
      </c>
      <c r="B646" s="13">
        <v>48.41</v>
      </c>
      <c r="C646" s="13">
        <v>47.77</v>
      </c>
      <c r="D646" s="13">
        <v>47.99</v>
      </c>
      <c r="E646" s="13">
        <v>10208346</v>
      </c>
      <c r="F646" s="13" t="s">
        <v>1919</v>
      </c>
      <c r="G646" s="18">
        <f t="shared" si="16"/>
        <v>6.6680558449676575E-3</v>
      </c>
    </row>
    <row r="647" spans="1:7">
      <c r="A647" s="13">
        <v>47.6</v>
      </c>
      <c r="B647" s="13">
        <v>48.05</v>
      </c>
      <c r="C647" s="13">
        <v>46.21</v>
      </c>
      <c r="D647" s="13">
        <v>46.33</v>
      </c>
      <c r="E647" s="13">
        <v>10575727</v>
      </c>
      <c r="F647" s="13" t="s">
        <v>1918</v>
      </c>
      <c r="G647" s="18">
        <f t="shared" si="16"/>
        <v>2.7412044031944749E-2</v>
      </c>
    </row>
    <row r="648" spans="1:7">
      <c r="A648" s="13">
        <v>46.48</v>
      </c>
      <c r="B648" s="13">
        <v>47.39</v>
      </c>
      <c r="C648" s="13">
        <v>46.2</v>
      </c>
      <c r="D648" s="13">
        <v>47.06</v>
      </c>
      <c r="E648" s="13">
        <v>7840424</v>
      </c>
      <c r="F648" s="13" t="s">
        <v>1917</v>
      </c>
      <c r="G648" s="18">
        <f t="shared" si="16"/>
        <v>-1.2324691882703021E-2</v>
      </c>
    </row>
    <row r="649" spans="1:7">
      <c r="A649" s="13">
        <v>47.06</v>
      </c>
      <c r="B649" s="13">
        <v>47.52</v>
      </c>
      <c r="C649" s="13">
        <v>46.715000000000003</v>
      </c>
      <c r="D649" s="13">
        <v>47.19</v>
      </c>
      <c r="E649" s="13">
        <v>6083591</v>
      </c>
      <c r="F649" s="13" t="s">
        <v>1916</v>
      </c>
      <c r="G649" s="18">
        <f t="shared" si="16"/>
        <v>-2.7548209366390353E-3</v>
      </c>
    </row>
    <row r="650" spans="1:7">
      <c r="A650" s="13">
        <v>46.89</v>
      </c>
      <c r="B650" s="13">
        <v>47.064999999999998</v>
      </c>
      <c r="C650" s="13">
        <v>46.674999999999997</v>
      </c>
      <c r="D650" s="13">
        <v>46.84</v>
      </c>
      <c r="E650" s="13">
        <v>5738598</v>
      </c>
      <c r="F650" s="13" t="s">
        <v>1915</v>
      </c>
      <c r="G650" s="18">
        <f t="shared" si="16"/>
        <v>1.0674637062340064E-3</v>
      </c>
    </row>
    <row r="651" spans="1:7">
      <c r="A651" s="13">
        <v>47.02</v>
      </c>
      <c r="B651" s="13">
        <v>47.95</v>
      </c>
      <c r="C651" s="13">
        <v>46.8</v>
      </c>
      <c r="D651" s="13">
        <v>47.77</v>
      </c>
      <c r="E651" s="13">
        <v>7311539</v>
      </c>
      <c r="F651" s="13" t="s">
        <v>1914</v>
      </c>
      <c r="G651" s="18">
        <f t="shared" si="16"/>
        <v>-1.5700230270043969E-2</v>
      </c>
    </row>
    <row r="652" spans="1:7">
      <c r="A652" s="13">
        <v>47.74</v>
      </c>
      <c r="B652" s="13">
        <v>48.11</v>
      </c>
      <c r="C652" s="13">
        <v>47.555</v>
      </c>
      <c r="D652" s="13">
        <v>47.79</v>
      </c>
      <c r="E652" s="13">
        <v>6288882</v>
      </c>
      <c r="F652" s="13" t="s">
        <v>1913</v>
      </c>
      <c r="G652" s="18">
        <f t="shared" si="16"/>
        <v>-1.0462439840970283E-3</v>
      </c>
    </row>
    <row r="653" spans="1:7">
      <c r="A653" s="13">
        <v>47.82</v>
      </c>
      <c r="B653" s="13">
        <v>47.95</v>
      </c>
      <c r="C653" s="13">
        <v>47.22</v>
      </c>
      <c r="D653" s="13">
        <v>47.38</v>
      </c>
      <c r="E653" s="13">
        <v>8236845</v>
      </c>
      <c r="F653" s="13" t="s">
        <v>1912</v>
      </c>
      <c r="G653" s="18">
        <f t="shared" si="16"/>
        <v>9.2866188265090521E-3</v>
      </c>
    </row>
    <row r="654" spans="1:7">
      <c r="A654" s="13">
        <v>47.25</v>
      </c>
      <c r="B654" s="13">
        <v>47.4</v>
      </c>
      <c r="C654" s="13">
        <v>46.56</v>
      </c>
      <c r="D654" s="13">
        <v>46.69</v>
      </c>
      <c r="E654" s="13">
        <v>4591865</v>
      </c>
      <c r="F654" s="13" t="s">
        <v>1911</v>
      </c>
      <c r="G654" s="18">
        <f t="shared" si="16"/>
        <v>1.1994002998500841E-2</v>
      </c>
    </row>
    <row r="655" spans="1:7">
      <c r="A655" s="13">
        <v>46.82</v>
      </c>
      <c r="B655" s="13">
        <v>46.88</v>
      </c>
      <c r="C655" s="13">
        <v>46.436999999999998</v>
      </c>
      <c r="D655" s="13">
        <v>46.76</v>
      </c>
      <c r="E655" s="13">
        <v>7522624</v>
      </c>
      <c r="F655" s="13" t="s">
        <v>1910</v>
      </c>
      <c r="G655" s="18">
        <f t="shared" si="16"/>
        <v>1.2831479897348341E-3</v>
      </c>
    </row>
    <row r="656" spans="1:7">
      <c r="A656" s="13">
        <v>46.72</v>
      </c>
      <c r="B656" s="13">
        <v>47.03</v>
      </c>
      <c r="C656" s="13">
        <v>46.71</v>
      </c>
      <c r="D656" s="13">
        <v>46.8</v>
      </c>
      <c r="E656" s="13">
        <v>7207203</v>
      </c>
      <c r="F656" s="13" t="s">
        <v>1909</v>
      </c>
      <c r="G656" s="18">
        <f t="shared" si="16"/>
        <v>-1.7094017094017033E-3</v>
      </c>
    </row>
    <row r="657" spans="1:7">
      <c r="A657" s="13">
        <v>46.82</v>
      </c>
      <c r="B657" s="13">
        <v>47.484999999999999</v>
      </c>
      <c r="C657" s="13">
        <v>46.685000000000002</v>
      </c>
      <c r="D657" s="13">
        <v>47.29</v>
      </c>
      <c r="E657" s="13">
        <v>7524551</v>
      </c>
      <c r="F657" s="13" t="s">
        <v>1908</v>
      </c>
      <c r="G657" s="18">
        <f t="shared" si="16"/>
        <v>-9.9386762529075634E-3</v>
      </c>
    </row>
    <row r="658" spans="1:7">
      <c r="A658" s="13">
        <v>47.01</v>
      </c>
      <c r="B658" s="13">
        <v>47.2</v>
      </c>
      <c r="C658" s="13">
        <v>46.470100000000002</v>
      </c>
      <c r="D658" s="13">
        <v>46.79</v>
      </c>
      <c r="E658" s="13">
        <v>8910858</v>
      </c>
      <c r="F658" s="13" t="s">
        <v>1907</v>
      </c>
      <c r="G658" s="18">
        <f t="shared" si="16"/>
        <v>4.7018593716605661E-3</v>
      </c>
    </row>
    <row r="659" spans="1:7">
      <c r="A659" s="13">
        <v>47.18</v>
      </c>
      <c r="B659" s="13">
        <v>47.27</v>
      </c>
      <c r="C659" s="13">
        <v>46.384999999999998</v>
      </c>
      <c r="D659" s="13">
        <v>46.61</v>
      </c>
      <c r="E659" s="13">
        <v>7733972</v>
      </c>
      <c r="F659" s="13" t="s">
        <v>1906</v>
      </c>
      <c r="G659" s="18">
        <f t="shared" si="16"/>
        <v>1.2229135378674094E-2</v>
      </c>
    </row>
    <row r="660" spans="1:7">
      <c r="A660" s="13">
        <v>46.61</v>
      </c>
      <c r="B660" s="13">
        <v>46.99</v>
      </c>
      <c r="C660" s="13">
        <v>46.07</v>
      </c>
      <c r="D660" s="13">
        <v>46.07</v>
      </c>
      <c r="E660" s="13">
        <v>10653719</v>
      </c>
      <c r="F660" s="13" t="s">
        <v>1905</v>
      </c>
      <c r="G660" s="18">
        <f t="shared" si="16"/>
        <v>1.1721293683525147E-2</v>
      </c>
    </row>
    <row r="661" spans="1:7">
      <c r="A661" s="13">
        <v>46.23</v>
      </c>
      <c r="B661" s="13">
        <v>46.37</v>
      </c>
      <c r="C661" s="13">
        <v>45.924999999999997</v>
      </c>
      <c r="D661" s="13">
        <v>46.15</v>
      </c>
      <c r="E661" s="13">
        <v>8177309</v>
      </c>
      <c r="F661" s="13" t="s">
        <v>1904</v>
      </c>
      <c r="G661" s="18">
        <f t="shared" si="16"/>
        <v>1.7334777898156961E-3</v>
      </c>
    </row>
    <row r="662" spans="1:7">
      <c r="A662" s="13">
        <v>46.54</v>
      </c>
      <c r="B662" s="13">
        <v>46.79</v>
      </c>
      <c r="C662" s="13">
        <v>46.24</v>
      </c>
      <c r="D662" s="13">
        <v>46.35</v>
      </c>
      <c r="E662" s="13">
        <v>7973396</v>
      </c>
      <c r="F662" s="13" t="s">
        <v>1903</v>
      </c>
      <c r="G662" s="18">
        <f t="shared" si="16"/>
        <v>4.0992448759438194E-3</v>
      </c>
    </row>
    <row r="663" spans="1:7">
      <c r="A663" s="13">
        <v>46.48</v>
      </c>
      <c r="B663" s="13">
        <v>46.98</v>
      </c>
      <c r="C663" s="13">
        <v>46.424999999999997</v>
      </c>
      <c r="D663" s="13">
        <v>46.79</v>
      </c>
      <c r="E663" s="13">
        <v>6152224</v>
      </c>
      <c r="F663" s="13" t="s">
        <v>1902</v>
      </c>
      <c r="G663" s="18">
        <f t="shared" si="16"/>
        <v>-6.625347296430939E-3</v>
      </c>
    </row>
    <row r="664" spans="1:7">
      <c r="A664" s="13">
        <v>47.29</v>
      </c>
      <c r="B664" s="13">
        <v>47.42</v>
      </c>
      <c r="C664" s="13">
        <v>46.960700000000003</v>
      </c>
      <c r="D664" s="13">
        <v>47.08</v>
      </c>
      <c r="E664" s="13">
        <v>4057600</v>
      </c>
      <c r="F664" s="13" t="s">
        <v>1901</v>
      </c>
      <c r="G664" s="18">
        <f t="shared" si="16"/>
        <v>4.4604927782498915E-3</v>
      </c>
    </row>
    <row r="665" spans="1:7">
      <c r="A665" s="13">
        <v>47.28</v>
      </c>
      <c r="B665" s="13">
        <v>47.965000000000003</v>
      </c>
      <c r="C665" s="13">
        <v>46.975000000000001</v>
      </c>
      <c r="D665" s="13">
        <v>47.64</v>
      </c>
      <c r="E665" s="13">
        <v>5390043</v>
      </c>
      <c r="F665" s="13" t="s">
        <v>1900</v>
      </c>
      <c r="G665" s="18">
        <f t="shared" si="16"/>
        <v>-7.5566750629723067E-3</v>
      </c>
    </row>
    <row r="666" spans="1:7">
      <c r="A666" s="13">
        <v>47.69</v>
      </c>
      <c r="B666" s="13">
        <v>47.97</v>
      </c>
      <c r="C666" s="13">
        <v>47.37</v>
      </c>
      <c r="D666" s="13">
        <v>47.37</v>
      </c>
      <c r="E666" s="13">
        <v>6177138</v>
      </c>
      <c r="F666" s="13" t="s">
        <v>1899</v>
      </c>
      <c r="G666" s="18">
        <f t="shared" si="16"/>
        <v>6.7553303778762341E-3</v>
      </c>
    </row>
    <row r="667" spans="1:7">
      <c r="A667" s="13">
        <v>47.23</v>
      </c>
      <c r="B667" s="13">
        <v>47.335000000000001</v>
      </c>
      <c r="C667" s="13">
        <v>46.86</v>
      </c>
      <c r="D667" s="13">
        <v>47.09</v>
      </c>
      <c r="E667" s="13">
        <v>5400498</v>
      </c>
      <c r="F667" s="13" t="s">
        <v>1898</v>
      </c>
      <c r="G667" s="18">
        <f t="shared" si="16"/>
        <v>2.9730303673813907E-3</v>
      </c>
    </row>
    <row r="668" spans="1:7">
      <c r="A668" s="13">
        <v>47.06</v>
      </c>
      <c r="B668" s="13">
        <v>47.95</v>
      </c>
      <c r="C668" s="13">
        <v>46.965000000000003</v>
      </c>
      <c r="D668" s="13">
        <v>47.77</v>
      </c>
      <c r="E668" s="13">
        <v>4633104</v>
      </c>
      <c r="F668" s="13" t="s">
        <v>1897</v>
      </c>
      <c r="G668" s="18">
        <f t="shared" si="16"/>
        <v>-1.4862884655641673E-2</v>
      </c>
    </row>
    <row r="669" spans="1:7">
      <c r="A669" s="13">
        <v>47.59</v>
      </c>
      <c r="B669" s="13">
        <v>48.25</v>
      </c>
      <c r="C669" s="13">
        <v>47.39</v>
      </c>
      <c r="D669" s="13">
        <v>47.94</v>
      </c>
      <c r="E669" s="13">
        <v>6169465</v>
      </c>
      <c r="F669" s="13" t="s">
        <v>1896</v>
      </c>
      <c r="G669" s="18">
        <f t="shared" si="16"/>
        <v>-7.3007926574883975E-3</v>
      </c>
    </row>
    <row r="670" spans="1:7">
      <c r="A670" s="13">
        <v>48.09</v>
      </c>
      <c r="B670" s="13">
        <v>48.27</v>
      </c>
      <c r="C670" s="13">
        <v>47.05</v>
      </c>
      <c r="D670" s="13">
        <v>47.07</v>
      </c>
      <c r="E670" s="13">
        <v>5284060</v>
      </c>
      <c r="F670" s="13" t="s">
        <v>1895</v>
      </c>
      <c r="G670" s="18">
        <f t="shared" si="16"/>
        <v>2.1669853409815198E-2</v>
      </c>
    </row>
    <row r="671" spans="1:7">
      <c r="A671" s="13">
        <v>47.66</v>
      </c>
      <c r="B671" s="13">
        <v>48.23</v>
      </c>
      <c r="C671" s="13">
        <v>47.55</v>
      </c>
      <c r="D671" s="13">
        <v>48.23</v>
      </c>
      <c r="E671" s="13">
        <v>6015478</v>
      </c>
      <c r="F671" s="13" t="s">
        <v>1894</v>
      </c>
      <c r="G671" s="18">
        <f t="shared" si="16"/>
        <v>-1.1818370308936399E-2</v>
      </c>
    </row>
    <row r="672" spans="1:7">
      <c r="A672" s="13">
        <v>48.5</v>
      </c>
      <c r="B672" s="13">
        <v>48.865000000000002</v>
      </c>
      <c r="C672" s="13">
        <v>47.87</v>
      </c>
      <c r="D672" s="13">
        <v>48</v>
      </c>
      <c r="E672" s="13">
        <v>13028754</v>
      </c>
      <c r="F672" s="13" t="s">
        <v>1893</v>
      </c>
      <c r="G672" s="18">
        <f t="shared" si="16"/>
        <v>1.0416666666666741E-2</v>
      </c>
    </row>
    <row r="673" spans="1:7">
      <c r="A673" s="13">
        <v>48.07</v>
      </c>
      <c r="B673" s="13">
        <v>48.19</v>
      </c>
      <c r="C673" s="13">
        <v>47.1</v>
      </c>
      <c r="D673" s="13">
        <v>47.65</v>
      </c>
      <c r="E673" s="13">
        <v>12435207</v>
      </c>
      <c r="F673" s="13" t="s">
        <v>1892</v>
      </c>
      <c r="G673" s="18">
        <f t="shared" si="16"/>
        <v>8.8142707240295159E-3</v>
      </c>
    </row>
    <row r="674" spans="1:7">
      <c r="A674" s="13">
        <v>47.54</v>
      </c>
      <c r="B674" s="13">
        <v>47.704999999999998</v>
      </c>
      <c r="C674" s="13">
        <v>46.5</v>
      </c>
      <c r="D674" s="13">
        <v>46.62</v>
      </c>
      <c r="E674" s="13">
        <v>15305040</v>
      </c>
      <c r="F674" s="13" t="s">
        <v>1891</v>
      </c>
      <c r="G674" s="18">
        <f t="shared" si="16"/>
        <v>1.973401973401967E-2</v>
      </c>
    </row>
    <row r="675" spans="1:7">
      <c r="A675" s="13">
        <v>46.25</v>
      </c>
      <c r="B675" s="13">
        <v>46.36</v>
      </c>
      <c r="C675" s="13">
        <v>45.57</v>
      </c>
      <c r="D675" s="13">
        <v>45.88</v>
      </c>
      <c r="E675" s="13">
        <v>10902460</v>
      </c>
      <c r="F675" s="13" t="s">
        <v>1890</v>
      </c>
      <c r="G675" s="18">
        <f t="shared" si="16"/>
        <v>8.0645161290322509E-3</v>
      </c>
    </row>
    <row r="676" spans="1:7">
      <c r="A676" s="13">
        <v>45.81</v>
      </c>
      <c r="B676" s="13">
        <v>45.965000000000003</v>
      </c>
      <c r="C676" s="13">
        <v>45.64</v>
      </c>
      <c r="D676" s="13">
        <v>45.84</v>
      </c>
      <c r="E676" s="13">
        <v>7455775</v>
      </c>
      <c r="F676" s="13" t="s">
        <v>1889</v>
      </c>
      <c r="G676" s="18">
        <f t="shared" si="16"/>
        <v>-6.5445026178012622E-4</v>
      </c>
    </row>
    <row r="677" spans="1:7">
      <c r="A677" s="13">
        <v>45.91</v>
      </c>
      <c r="B677" s="13">
        <v>46.35</v>
      </c>
      <c r="C677" s="13">
        <v>45.734999999999999</v>
      </c>
      <c r="D677" s="13">
        <v>46.21</v>
      </c>
      <c r="E677" s="13">
        <v>7336490</v>
      </c>
      <c r="F677" s="13" t="s">
        <v>1888</v>
      </c>
      <c r="G677" s="18">
        <f t="shared" si="16"/>
        <v>-6.4921012767800157E-3</v>
      </c>
    </row>
    <row r="678" spans="1:7">
      <c r="A678" s="13">
        <v>46.35</v>
      </c>
      <c r="B678" s="13">
        <v>46.375</v>
      </c>
      <c r="C678" s="13">
        <v>45.83</v>
      </c>
      <c r="D678" s="13">
        <v>46.26</v>
      </c>
      <c r="E678" s="13">
        <v>4858259</v>
      </c>
      <c r="F678" s="13" t="s">
        <v>1887</v>
      </c>
      <c r="G678" s="18">
        <f t="shared" si="16"/>
        <v>1.9455252918287869E-3</v>
      </c>
    </row>
    <row r="679" spans="1:7">
      <c r="A679" s="13">
        <v>46.12</v>
      </c>
      <c r="B679" s="13">
        <v>46.13</v>
      </c>
      <c r="C679" s="13">
        <v>45.44</v>
      </c>
      <c r="D679" s="13">
        <v>45.51</v>
      </c>
      <c r="E679" s="13">
        <v>5050280</v>
      </c>
      <c r="F679" s="13" t="s">
        <v>1886</v>
      </c>
      <c r="G679" s="18">
        <f t="shared" si="16"/>
        <v>1.3403647549989017E-2</v>
      </c>
    </row>
    <row r="680" spans="1:7">
      <c r="A680" s="13">
        <v>45.84</v>
      </c>
      <c r="B680" s="13">
        <v>45.945</v>
      </c>
      <c r="C680" s="13">
        <v>45.44</v>
      </c>
      <c r="D680" s="13">
        <v>45.84</v>
      </c>
      <c r="E680" s="13">
        <v>6100880</v>
      </c>
      <c r="F680" s="13" t="s">
        <v>1885</v>
      </c>
      <c r="G680" s="18">
        <f t="shared" si="16"/>
        <v>0</v>
      </c>
    </row>
    <row r="681" spans="1:7">
      <c r="A681" s="13">
        <v>45.85</v>
      </c>
      <c r="B681" s="13">
        <v>46.07</v>
      </c>
      <c r="C681" s="13">
        <v>45.555</v>
      </c>
      <c r="D681" s="13">
        <v>45.62</v>
      </c>
      <c r="E681" s="13">
        <v>5085154</v>
      </c>
      <c r="F681" s="13" t="s">
        <v>1884</v>
      </c>
      <c r="G681" s="18">
        <f t="shared" si="16"/>
        <v>5.0416483998247941E-3</v>
      </c>
    </row>
    <row r="682" spans="1:7">
      <c r="A682" s="13">
        <v>45.62</v>
      </c>
      <c r="B682" s="13">
        <v>45.704999999999998</v>
      </c>
      <c r="C682" s="13">
        <v>45.01</v>
      </c>
      <c r="D682" s="13">
        <v>45.54</v>
      </c>
      <c r="E682" s="13">
        <v>5414390</v>
      </c>
      <c r="F682" s="13" t="s">
        <v>1883</v>
      </c>
      <c r="G682" s="18">
        <f t="shared" si="16"/>
        <v>1.7566974088711884E-3</v>
      </c>
    </row>
    <row r="683" spans="1:7">
      <c r="A683" s="13">
        <v>45.46</v>
      </c>
      <c r="B683" s="13">
        <v>45.81</v>
      </c>
      <c r="C683" s="13">
        <v>44.79</v>
      </c>
      <c r="D683" s="13">
        <v>44.79</v>
      </c>
      <c r="E683" s="13">
        <v>7546084</v>
      </c>
      <c r="F683" s="13" t="s">
        <v>1882</v>
      </c>
      <c r="G683" s="18">
        <f t="shared" si="16"/>
        <v>1.4958696137530758E-2</v>
      </c>
    </row>
    <row r="684" spans="1:7">
      <c r="A684" s="13">
        <v>45.09</v>
      </c>
      <c r="B684" s="13">
        <v>46.17</v>
      </c>
      <c r="C684" s="13">
        <v>45.01</v>
      </c>
      <c r="D684" s="13">
        <v>46.05</v>
      </c>
      <c r="E684" s="13">
        <v>6572540</v>
      </c>
      <c r="F684" s="13" t="s">
        <v>1881</v>
      </c>
      <c r="G684" s="18">
        <f t="shared" si="16"/>
        <v>-2.0846905537459159E-2</v>
      </c>
    </row>
    <row r="685" spans="1:7">
      <c r="A685" s="13">
        <v>46.04</v>
      </c>
      <c r="B685" s="13">
        <v>46.55</v>
      </c>
      <c r="C685" s="13">
        <v>45.99</v>
      </c>
      <c r="D685" s="13">
        <v>46.47</v>
      </c>
      <c r="E685" s="13">
        <v>6707467</v>
      </c>
      <c r="F685" s="13" t="s">
        <v>1880</v>
      </c>
      <c r="G685" s="18">
        <f t="shared" si="16"/>
        <v>-9.2532816871099266E-3</v>
      </c>
    </row>
    <row r="686" spans="1:7">
      <c r="A686" s="13">
        <v>46.53</v>
      </c>
      <c r="B686" s="13">
        <v>46.79</v>
      </c>
      <c r="C686" s="13">
        <v>46.27</v>
      </c>
      <c r="D686" s="13">
        <v>46.75</v>
      </c>
      <c r="E686" s="13">
        <v>6060151</v>
      </c>
      <c r="F686" s="13" t="s">
        <v>1879</v>
      </c>
      <c r="G686" s="18">
        <f t="shared" si="16"/>
        <v>-4.7058823529411153E-3</v>
      </c>
    </row>
    <row r="687" spans="1:7">
      <c r="A687" s="13">
        <v>46.71</v>
      </c>
      <c r="B687" s="13">
        <v>46.73</v>
      </c>
      <c r="C687" s="13">
        <v>45.76</v>
      </c>
      <c r="D687" s="13">
        <v>45.85</v>
      </c>
      <c r="E687" s="13">
        <v>10165525</v>
      </c>
      <c r="F687" s="13" t="s">
        <v>1878</v>
      </c>
      <c r="G687" s="18">
        <f t="shared" si="16"/>
        <v>1.8756815703380614E-2</v>
      </c>
    </row>
    <row r="688" spans="1:7">
      <c r="A688" s="13">
        <v>45.81</v>
      </c>
      <c r="B688" s="13">
        <v>46.19</v>
      </c>
      <c r="C688" s="13">
        <v>44.35</v>
      </c>
      <c r="D688" s="13">
        <v>46.19</v>
      </c>
      <c r="E688" s="13">
        <v>11767250</v>
      </c>
      <c r="F688" s="13" t="s">
        <v>1877</v>
      </c>
      <c r="G688" s="18">
        <f t="shared" si="16"/>
        <v>-8.2268889369992992E-3</v>
      </c>
    </row>
    <row r="689" spans="1:7">
      <c r="A689" s="13">
        <v>46.06</v>
      </c>
      <c r="B689" s="13">
        <v>46.19</v>
      </c>
      <c r="C689" s="13">
        <v>45.59</v>
      </c>
      <c r="D689" s="13">
        <v>45.7</v>
      </c>
      <c r="E689" s="13">
        <v>5892271</v>
      </c>
      <c r="F689" s="13" t="s">
        <v>1876</v>
      </c>
      <c r="G689" s="18">
        <f t="shared" si="16"/>
        <v>7.8774617067833841E-3</v>
      </c>
    </row>
    <row r="690" spans="1:7">
      <c r="A690" s="13">
        <v>45.59</v>
      </c>
      <c r="B690" s="13">
        <v>46.47</v>
      </c>
      <c r="C690" s="13">
        <v>45.57</v>
      </c>
      <c r="D690" s="13">
        <v>46.43</v>
      </c>
      <c r="E690" s="13">
        <v>7688389</v>
      </c>
      <c r="F690" s="13" t="s">
        <v>1875</v>
      </c>
      <c r="G690" s="18">
        <f t="shared" ref="G690:G753" si="17">A690/D690-1</f>
        <v>-1.8091751023045388E-2</v>
      </c>
    </row>
    <row r="691" spans="1:7">
      <c r="A691" s="13">
        <v>46.33</v>
      </c>
      <c r="B691" s="13">
        <v>46.365000000000002</v>
      </c>
      <c r="C691" s="13">
        <v>45.47</v>
      </c>
      <c r="D691" s="13">
        <v>46.15</v>
      </c>
      <c r="E691" s="13">
        <v>8980864</v>
      </c>
      <c r="F691" s="13" t="s">
        <v>1874</v>
      </c>
      <c r="G691" s="18">
        <f t="shared" si="17"/>
        <v>3.9003250270854828E-3</v>
      </c>
    </row>
    <row r="692" spans="1:7">
      <c r="A692" s="13">
        <v>45.76</v>
      </c>
      <c r="B692" s="13">
        <v>46.55</v>
      </c>
      <c r="C692" s="13">
        <v>45.674999999999997</v>
      </c>
      <c r="D692" s="13">
        <v>46.31</v>
      </c>
      <c r="E692" s="13">
        <v>6346237</v>
      </c>
      <c r="F692" s="13" t="s">
        <v>1873</v>
      </c>
      <c r="G692" s="18">
        <f t="shared" si="17"/>
        <v>-1.1876484560570111E-2</v>
      </c>
    </row>
    <row r="693" spans="1:7">
      <c r="A693" s="13">
        <v>46.5</v>
      </c>
      <c r="B693" s="13">
        <v>46.68</v>
      </c>
      <c r="C693" s="13">
        <v>46.045000000000002</v>
      </c>
      <c r="D693" s="13">
        <v>46.41</v>
      </c>
      <c r="E693" s="13">
        <v>6197601</v>
      </c>
      <c r="F693" s="13" t="s">
        <v>1872</v>
      </c>
      <c r="G693" s="18">
        <f t="shared" si="17"/>
        <v>1.9392372333548735E-3</v>
      </c>
    </row>
    <row r="694" spans="1:7">
      <c r="A694" s="13">
        <v>46.01</v>
      </c>
      <c r="B694" s="13">
        <v>46.74</v>
      </c>
      <c r="C694" s="13">
        <v>45.755000000000003</v>
      </c>
      <c r="D694" s="13">
        <v>46.48</v>
      </c>
      <c r="E694" s="13">
        <v>6282744</v>
      </c>
      <c r="F694" s="13" t="s">
        <v>1871</v>
      </c>
      <c r="G694" s="18">
        <f t="shared" si="17"/>
        <v>-1.0111876075731496E-2</v>
      </c>
    </row>
    <row r="695" spans="1:7">
      <c r="A695" s="13">
        <v>46.27</v>
      </c>
      <c r="B695" s="13">
        <v>46.42</v>
      </c>
      <c r="C695" s="13">
        <v>45.865000000000002</v>
      </c>
      <c r="D695" s="13">
        <v>46.19</v>
      </c>
      <c r="E695" s="13">
        <v>3223814</v>
      </c>
      <c r="F695" s="13" t="s">
        <v>1870</v>
      </c>
      <c r="G695" s="18">
        <f t="shared" si="17"/>
        <v>1.7319766183157004E-3</v>
      </c>
    </row>
    <row r="696" spans="1:7">
      <c r="A696" s="13">
        <v>46.35</v>
      </c>
      <c r="B696" s="13">
        <v>46.7</v>
      </c>
      <c r="C696" s="13">
        <v>45.86</v>
      </c>
      <c r="D696" s="13">
        <v>46.05</v>
      </c>
      <c r="E696" s="13">
        <v>3282401</v>
      </c>
      <c r="F696" s="13" t="s">
        <v>1869</v>
      </c>
      <c r="G696" s="18">
        <f t="shared" si="17"/>
        <v>6.514657980456029E-3</v>
      </c>
    </row>
    <row r="697" spans="1:7">
      <c r="A697" s="13">
        <v>45.78</v>
      </c>
      <c r="B697" s="13">
        <v>46.774999999999999</v>
      </c>
      <c r="C697" s="13">
        <v>45.76</v>
      </c>
      <c r="D697" s="13">
        <v>46.41</v>
      </c>
      <c r="E697" s="13">
        <v>3662727</v>
      </c>
      <c r="F697" s="13" t="s">
        <v>1868</v>
      </c>
      <c r="G697" s="18">
        <f t="shared" si="17"/>
        <v>-1.3574660633484115E-2</v>
      </c>
    </row>
    <row r="698" spans="1:7">
      <c r="A698" s="13">
        <v>46.24</v>
      </c>
      <c r="B698" s="13">
        <v>46.454999999999998</v>
      </c>
      <c r="C698" s="13">
        <v>45.89</v>
      </c>
      <c r="D698" s="13">
        <v>46.19</v>
      </c>
      <c r="E698" s="13">
        <v>2836542</v>
      </c>
      <c r="F698" s="13" t="s">
        <v>1867</v>
      </c>
      <c r="G698" s="18">
        <f t="shared" si="17"/>
        <v>1.082485386447285E-3</v>
      </c>
    </row>
    <row r="699" spans="1:7">
      <c r="A699" s="13">
        <v>46.06</v>
      </c>
      <c r="B699" s="13">
        <v>46.18</v>
      </c>
      <c r="C699" s="13">
        <v>45.78</v>
      </c>
      <c r="D699" s="13">
        <v>46</v>
      </c>
      <c r="E699" s="13">
        <v>4026161</v>
      </c>
      <c r="F699" s="13" t="s">
        <v>1866</v>
      </c>
      <c r="G699" s="18">
        <f t="shared" si="17"/>
        <v>1.3043478260870156E-3</v>
      </c>
    </row>
    <row r="700" spans="1:7">
      <c r="A700" s="13">
        <v>46.15</v>
      </c>
      <c r="B700" s="13">
        <v>46.16</v>
      </c>
      <c r="C700" s="13">
        <v>45.38</v>
      </c>
      <c r="D700" s="13">
        <v>45.84</v>
      </c>
      <c r="E700" s="13">
        <v>4236795</v>
      </c>
      <c r="F700" s="13" t="s">
        <v>1865</v>
      </c>
      <c r="G700" s="18">
        <f t="shared" si="17"/>
        <v>6.7626527050610452E-3</v>
      </c>
    </row>
    <row r="701" spans="1:7">
      <c r="A701" s="13">
        <v>46.08</v>
      </c>
      <c r="B701" s="13">
        <v>46.625</v>
      </c>
      <c r="C701" s="13">
        <v>45.942999999999998</v>
      </c>
      <c r="D701" s="13">
        <v>46.05</v>
      </c>
      <c r="E701" s="13">
        <v>6220000</v>
      </c>
      <c r="F701" s="13" t="s">
        <v>1864</v>
      </c>
      <c r="G701" s="18">
        <f t="shared" si="17"/>
        <v>6.514657980456473E-4</v>
      </c>
    </row>
    <row r="702" spans="1:7">
      <c r="A702" s="13">
        <v>45.84</v>
      </c>
      <c r="B702" s="13">
        <v>46.03</v>
      </c>
      <c r="C702" s="13">
        <v>45.57</v>
      </c>
      <c r="D702" s="13">
        <v>45.79</v>
      </c>
      <c r="E702" s="13">
        <v>4403184</v>
      </c>
      <c r="F702" s="13" t="s">
        <v>1863</v>
      </c>
      <c r="G702" s="18">
        <f t="shared" si="17"/>
        <v>1.0919414719372522E-3</v>
      </c>
    </row>
    <row r="703" spans="1:7">
      <c r="A703" s="13">
        <v>45.8</v>
      </c>
      <c r="B703" s="13">
        <v>46.034999999999997</v>
      </c>
      <c r="C703" s="13">
        <v>45.47</v>
      </c>
      <c r="D703" s="13">
        <v>45.77</v>
      </c>
      <c r="E703" s="13">
        <v>6134726</v>
      </c>
      <c r="F703" s="13" t="s">
        <v>1862</v>
      </c>
      <c r="G703" s="18">
        <f t="shared" si="17"/>
        <v>6.5545116888787724E-4</v>
      </c>
    </row>
    <row r="704" spans="1:7">
      <c r="A704" s="13">
        <v>45.81</v>
      </c>
      <c r="B704" s="13">
        <v>46.11</v>
      </c>
      <c r="C704" s="13">
        <v>45.29</v>
      </c>
      <c r="D704" s="13">
        <v>45.82</v>
      </c>
      <c r="E704" s="13">
        <v>12154722</v>
      </c>
      <c r="F704" s="13" t="s">
        <v>1861</v>
      </c>
      <c r="G704" s="18">
        <f t="shared" si="17"/>
        <v>-2.182453077258506E-4</v>
      </c>
    </row>
    <row r="705" spans="1:7">
      <c r="A705" s="13">
        <v>46.32</v>
      </c>
      <c r="B705" s="13">
        <v>46.795000000000002</v>
      </c>
      <c r="C705" s="13">
        <v>46.02</v>
      </c>
      <c r="D705" s="13">
        <v>46.5</v>
      </c>
      <c r="E705" s="13">
        <v>8374376</v>
      </c>
      <c r="F705" s="13" t="s">
        <v>1860</v>
      </c>
      <c r="G705" s="18">
        <f t="shared" si="17"/>
        <v>-3.870967741935516E-3</v>
      </c>
    </row>
    <row r="706" spans="1:7">
      <c r="A706" s="13">
        <v>47.18</v>
      </c>
      <c r="B706" s="13">
        <v>47.61</v>
      </c>
      <c r="C706" s="13">
        <v>46.78</v>
      </c>
      <c r="D706" s="13">
        <v>47.2</v>
      </c>
      <c r="E706" s="13">
        <v>7322082</v>
      </c>
      <c r="F706" s="13" t="s">
        <v>1859</v>
      </c>
      <c r="G706" s="18">
        <f t="shared" si="17"/>
        <v>-4.2372881355934311E-4</v>
      </c>
    </row>
    <row r="707" spans="1:7">
      <c r="A707" s="13">
        <v>47.2</v>
      </c>
      <c r="B707" s="13">
        <v>47.95</v>
      </c>
      <c r="C707" s="13">
        <v>47.02</v>
      </c>
      <c r="D707" s="13">
        <v>47.78</v>
      </c>
      <c r="E707" s="13">
        <v>8670675</v>
      </c>
      <c r="F707" s="13" t="s">
        <v>1858</v>
      </c>
      <c r="G707" s="18">
        <f t="shared" si="17"/>
        <v>-1.2138970280452077E-2</v>
      </c>
    </row>
    <row r="708" spans="1:7">
      <c r="A708" s="13">
        <v>47.13</v>
      </c>
      <c r="B708" s="13">
        <v>47.17</v>
      </c>
      <c r="C708" s="13">
        <v>46.18</v>
      </c>
      <c r="D708" s="13">
        <v>46.3</v>
      </c>
      <c r="E708" s="13">
        <v>6350530</v>
      </c>
      <c r="F708" s="13" t="s">
        <v>1857</v>
      </c>
      <c r="G708" s="18">
        <f t="shared" si="17"/>
        <v>1.7926565874730072E-2</v>
      </c>
    </row>
    <row r="709" spans="1:7">
      <c r="A709" s="13">
        <v>46.23</v>
      </c>
      <c r="B709" s="13">
        <v>46.56</v>
      </c>
      <c r="C709" s="13">
        <v>45.95</v>
      </c>
      <c r="D709" s="13">
        <v>46.12</v>
      </c>
      <c r="E709" s="13">
        <v>7863637</v>
      </c>
      <c r="F709" s="13" t="s">
        <v>1856</v>
      </c>
      <c r="G709" s="18">
        <f t="shared" si="17"/>
        <v>2.3850823937554555E-3</v>
      </c>
    </row>
    <row r="710" spans="1:7">
      <c r="A710" s="13">
        <v>46.32</v>
      </c>
      <c r="B710" s="13">
        <v>46.389099999999999</v>
      </c>
      <c r="C710" s="13">
        <v>45.52</v>
      </c>
      <c r="D710" s="13">
        <v>45.72</v>
      </c>
      <c r="E710" s="13">
        <v>5930267</v>
      </c>
      <c r="F710" s="13" t="s">
        <v>1855</v>
      </c>
      <c r="G710" s="18">
        <f t="shared" si="17"/>
        <v>1.3123359580052618E-2</v>
      </c>
    </row>
    <row r="711" spans="1:7">
      <c r="A711" s="13">
        <v>45.63</v>
      </c>
      <c r="B711" s="13">
        <v>45.91</v>
      </c>
      <c r="C711" s="13">
        <v>45.34</v>
      </c>
      <c r="D711" s="13">
        <v>45.53</v>
      </c>
      <c r="E711" s="13">
        <v>5077155</v>
      </c>
      <c r="F711" s="13" t="s">
        <v>1854</v>
      </c>
      <c r="G711" s="18">
        <f t="shared" si="17"/>
        <v>2.1963540522733638E-3</v>
      </c>
    </row>
    <row r="712" spans="1:7">
      <c r="A712" s="13">
        <v>45.16</v>
      </c>
      <c r="B712" s="13">
        <v>45.54</v>
      </c>
      <c r="C712" s="13">
        <v>44.81</v>
      </c>
      <c r="D712" s="13">
        <v>45.31</v>
      </c>
      <c r="E712" s="13">
        <v>4515436</v>
      </c>
      <c r="F712" s="13" t="s">
        <v>1853</v>
      </c>
      <c r="G712" s="18">
        <f t="shared" si="17"/>
        <v>-3.3105274773781446E-3</v>
      </c>
    </row>
    <row r="713" spans="1:7">
      <c r="A713" s="13">
        <v>45.42</v>
      </c>
      <c r="B713" s="13">
        <v>46.35</v>
      </c>
      <c r="C713" s="13">
        <v>45.37</v>
      </c>
      <c r="D713" s="13">
        <v>46.13</v>
      </c>
      <c r="E713" s="13">
        <v>5236151</v>
      </c>
      <c r="F713" s="13" t="s">
        <v>1852</v>
      </c>
      <c r="G713" s="18">
        <f t="shared" si="17"/>
        <v>-1.5391285497507012E-2</v>
      </c>
    </row>
    <row r="714" spans="1:7">
      <c r="A714" s="13">
        <v>46.6</v>
      </c>
      <c r="B714" s="13">
        <v>46.76</v>
      </c>
      <c r="C714" s="13">
        <v>45.65</v>
      </c>
      <c r="D714" s="13">
        <v>45.8</v>
      </c>
      <c r="E714" s="13">
        <v>7148116</v>
      </c>
      <c r="F714" s="13" t="s">
        <v>1851</v>
      </c>
      <c r="G714" s="18">
        <f t="shared" si="17"/>
        <v>1.7467248908296984E-2</v>
      </c>
    </row>
    <row r="715" spans="1:7">
      <c r="A715" s="13">
        <v>46.12</v>
      </c>
      <c r="B715" s="13">
        <v>46.22</v>
      </c>
      <c r="C715" s="13">
        <v>45.33</v>
      </c>
      <c r="D715" s="13">
        <v>45.5</v>
      </c>
      <c r="E715" s="13">
        <v>6278007</v>
      </c>
      <c r="F715" s="13" t="s">
        <v>1850</v>
      </c>
      <c r="G715" s="18">
        <f t="shared" si="17"/>
        <v>1.3626373626373534E-2</v>
      </c>
    </row>
    <row r="716" spans="1:7">
      <c r="A716" s="13">
        <v>45.27</v>
      </c>
      <c r="B716" s="13">
        <v>45.32</v>
      </c>
      <c r="C716" s="13">
        <v>44.26</v>
      </c>
      <c r="D716" s="13">
        <v>44.54</v>
      </c>
      <c r="E716" s="13">
        <v>9665345</v>
      </c>
      <c r="F716" s="13" t="s">
        <v>1849</v>
      </c>
      <c r="G716" s="18">
        <f t="shared" si="17"/>
        <v>1.638976201167508E-2</v>
      </c>
    </row>
    <row r="717" spans="1:7">
      <c r="A717" s="13">
        <v>44.5</v>
      </c>
      <c r="B717" s="13">
        <v>44.645000000000003</v>
      </c>
      <c r="C717" s="13">
        <v>43.84</v>
      </c>
      <c r="D717" s="13">
        <v>43.87</v>
      </c>
      <c r="E717" s="13">
        <v>5548497</v>
      </c>
      <c r="F717" s="13" t="s">
        <v>1848</v>
      </c>
      <c r="G717" s="18">
        <f t="shared" si="17"/>
        <v>1.436061089582874E-2</v>
      </c>
    </row>
    <row r="718" spans="1:7">
      <c r="A718" s="13">
        <v>43.79</v>
      </c>
      <c r="B718" s="13">
        <v>44.42</v>
      </c>
      <c r="C718" s="13">
        <v>43.62</v>
      </c>
      <c r="D718" s="13">
        <v>44</v>
      </c>
      <c r="E718" s="13">
        <v>3661412</v>
      </c>
      <c r="F718" s="13" t="s">
        <v>1847</v>
      </c>
      <c r="G718" s="18">
        <f t="shared" si="17"/>
        <v>-4.7727272727272618E-3</v>
      </c>
    </row>
    <row r="719" spans="1:7">
      <c r="A719" s="13">
        <v>44.15</v>
      </c>
      <c r="B719" s="13">
        <v>44.29</v>
      </c>
      <c r="C719" s="13">
        <v>44</v>
      </c>
      <c r="D719" s="13">
        <v>44.08</v>
      </c>
      <c r="E719" s="13">
        <v>1313151</v>
      </c>
      <c r="F719" s="13" t="s">
        <v>1846</v>
      </c>
      <c r="G719" s="18">
        <f t="shared" si="17"/>
        <v>1.5880217785844142E-3</v>
      </c>
    </row>
    <row r="720" spans="1:7">
      <c r="A720" s="13">
        <v>43.89</v>
      </c>
      <c r="B720" s="13">
        <v>43.97</v>
      </c>
      <c r="C720" s="13">
        <v>43.44</v>
      </c>
      <c r="D720" s="13">
        <v>43.71</v>
      </c>
      <c r="E720" s="13">
        <v>3264315</v>
      </c>
      <c r="F720" s="13" t="s">
        <v>1845</v>
      </c>
      <c r="G720" s="18">
        <f t="shared" si="17"/>
        <v>4.1180507892930596E-3</v>
      </c>
    </row>
    <row r="721" spans="1:7">
      <c r="A721" s="13">
        <v>43.54</v>
      </c>
      <c r="B721" s="13">
        <v>43.66</v>
      </c>
      <c r="C721" s="13">
        <v>42.73</v>
      </c>
      <c r="D721" s="13">
        <v>43.04</v>
      </c>
      <c r="E721" s="13">
        <v>5299435</v>
      </c>
      <c r="F721" s="13" t="s">
        <v>1844</v>
      </c>
      <c r="G721" s="18">
        <f t="shared" si="17"/>
        <v>1.1617100371747124E-2</v>
      </c>
    </row>
    <row r="722" spans="1:7">
      <c r="A722" s="13">
        <v>42.94</v>
      </c>
      <c r="B722" s="13">
        <v>43.335000000000001</v>
      </c>
      <c r="C722" s="13">
        <v>42.9</v>
      </c>
      <c r="D722" s="13">
        <v>42.95</v>
      </c>
      <c r="E722" s="13">
        <v>4082219</v>
      </c>
      <c r="F722" s="13" t="s">
        <v>1843</v>
      </c>
      <c r="G722" s="18">
        <f t="shared" si="17"/>
        <v>-2.3282887078013292E-4</v>
      </c>
    </row>
    <row r="723" spans="1:7">
      <c r="A723" s="13">
        <v>42.96</v>
      </c>
      <c r="B723" s="13">
        <v>43.18</v>
      </c>
      <c r="C723" s="13">
        <v>42.49</v>
      </c>
      <c r="D723" s="13">
        <v>42.64</v>
      </c>
      <c r="E723" s="13">
        <v>4943695</v>
      </c>
      <c r="F723" s="13" t="s">
        <v>1842</v>
      </c>
      <c r="G723" s="18">
        <f t="shared" si="17"/>
        <v>7.5046904315196894E-3</v>
      </c>
    </row>
    <row r="724" spans="1:7">
      <c r="A724" s="13">
        <v>42.2</v>
      </c>
      <c r="B724" s="13">
        <v>42.57</v>
      </c>
      <c r="C724" s="13">
        <v>41.93</v>
      </c>
      <c r="D724" s="13">
        <v>42.5</v>
      </c>
      <c r="E724" s="13">
        <v>3875682</v>
      </c>
      <c r="F724" s="13" t="s">
        <v>1841</v>
      </c>
      <c r="G724" s="18">
        <f t="shared" si="17"/>
        <v>-7.058823529411673E-3</v>
      </c>
    </row>
    <row r="725" spans="1:7">
      <c r="A725" s="13">
        <v>42.98</v>
      </c>
      <c r="B725" s="13">
        <v>43.145000000000003</v>
      </c>
      <c r="C725" s="13">
        <v>42.51</v>
      </c>
      <c r="D725" s="13">
        <v>42.51</v>
      </c>
      <c r="E725" s="13">
        <v>5250687</v>
      </c>
      <c r="F725" s="13" t="s">
        <v>1840</v>
      </c>
      <c r="G725" s="18">
        <f t="shared" si="17"/>
        <v>1.1056222065396248E-2</v>
      </c>
    </row>
    <row r="726" spans="1:7">
      <c r="A726" s="13">
        <v>42.42</v>
      </c>
      <c r="B726" s="13">
        <v>42.88</v>
      </c>
      <c r="C726" s="13">
        <v>41.89</v>
      </c>
      <c r="D726" s="13">
        <v>42.6</v>
      </c>
      <c r="E726" s="13">
        <v>4696537</v>
      </c>
      <c r="F726" s="13" t="s">
        <v>1839</v>
      </c>
      <c r="G726" s="18">
        <f t="shared" si="17"/>
        <v>-4.2253521126760507E-3</v>
      </c>
    </row>
    <row r="727" spans="1:7">
      <c r="A727" s="13">
        <v>42.24</v>
      </c>
      <c r="B727" s="13">
        <v>42.844999999999999</v>
      </c>
      <c r="C727" s="13">
        <v>42.225000000000001</v>
      </c>
      <c r="D727" s="13">
        <v>42.44</v>
      </c>
      <c r="E727" s="13">
        <v>7574892</v>
      </c>
      <c r="F727" s="13" t="s">
        <v>1838</v>
      </c>
      <c r="G727" s="18">
        <f t="shared" si="17"/>
        <v>-4.7125353440149453E-3</v>
      </c>
    </row>
    <row r="728" spans="1:7">
      <c r="A728" s="13">
        <v>42.52</v>
      </c>
      <c r="B728" s="13">
        <v>43.93</v>
      </c>
      <c r="C728" s="13">
        <v>40.950000000000003</v>
      </c>
      <c r="D728" s="13">
        <v>43.75</v>
      </c>
      <c r="E728" s="13">
        <v>10478700</v>
      </c>
      <c r="F728" s="13" t="s">
        <v>1837</v>
      </c>
      <c r="G728" s="18">
        <f t="shared" si="17"/>
        <v>-2.8114285714285647E-2</v>
      </c>
    </row>
    <row r="729" spans="1:7">
      <c r="A729" s="13">
        <v>43.76</v>
      </c>
      <c r="B729" s="13">
        <v>43.87</v>
      </c>
      <c r="C729" s="13">
        <v>43.12</v>
      </c>
      <c r="D729" s="13">
        <v>43.43</v>
      </c>
      <c r="E729" s="13">
        <v>7615864</v>
      </c>
      <c r="F729" s="13" t="s">
        <v>1836</v>
      </c>
      <c r="G729" s="18">
        <f t="shared" si="17"/>
        <v>7.5984342620307732E-3</v>
      </c>
    </row>
    <row r="730" spans="1:7">
      <c r="A730" s="13">
        <v>42.06</v>
      </c>
      <c r="B730" s="13">
        <v>42.805</v>
      </c>
      <c r="C730" s="13">
        <v>41.7</v>
      </c>
      <c r="D730" s="13">
        <v>41.99</v>
      </c>
      <c r="E730" s="13">
        <v>6168698</v>
      </c>
      <c r="F730" s="13" t="s">
        <v>1835</v>
      </c>
      <c r="G730" s="18">
        <f t="shared" si="17"/>
        <v>1.6670635865683181E-3</v>
      </c>
    </row>
    <row r="731" spans="1:7">
      <c r="A731" s="13">
        <v>41.92</v>
      </c>
      <c r="B731" s="13">
        <v>42.26</v>
      </c>
      <c r="C731" s="13">
        <v>41.28</v>
      </c>
      <c r="D731" s="13">
        <v>41.84</v>
      </c>
      <c r="E731" s="13">
        <v>4950962</v>
      </c>
      <c r="F731" s="13" t="s">
        <v>1834</v>
      </c>
      <c r="G731" s="18">
        <f t="shared" si="17"/>
        <v>1.9120458891013214E-3</v>
      </c>
    </row>
    <row r="732" spans="1:7">
      <c r="A732" s="13">
        <v>41.96</v>
      </c>
      <c r="B732" s="13">
        <v>42.234999999999999</v>
      </c>
      <c r="C732" s="13">
        <v>41.78</v>
      </c>
      <c r="D732" s="13">
        <v>41.825000000000003</v>
      </c>
      <c r="E732" s="13">
        <v>6261468</v>
      </c>
      <c r="F732" s="13" t="s">
        <v>1833</v>
      </c>
      <c r="G732" s="18">
        <f t="shared" si="17"/>
        <v>3.2277346084876868E-3</v>
      </c>
    </row>
    <row r="733" spans="1:7">
      <c r="A733" s="13">
        <v>41.59</v>
      </c>
      <c r="B733" s="13">
        <v>42.284999999999997</v>
      </c>
      <c r="C733" s="13">
        <v>40.96</v>
      </c>
      <c r="D733" s="13">
        <v>42.04</v>
      </c>
      <c r="E733" s="13">
        <v>5918141</v>
      </c>
      <c r="F733" s="13" t="s">
        <v>1832</v>
      </c>
      <c r="G733" s="18">
        <f t="shared" si="17"/>
        <v>-1.0704091341579347E-2</v>
      </c>
    </row>
    <row r="734" spans="1:7">
      <c r="A734" s="13">
        <v>41.53</v>
      </c>
      <c r="B734" s="13">
        <v>41.69</v>
      </c>
      <c r="C734" s="13">
        <v>40.932499999999997</v>
      </c>
      <c r="D734" s="13">
        <v>41.6</v>
      </c>
      <c r="E734" s="13">
        <v>5802424</v>
      </c>
      <c r="F734" s="13" t="s">
        <v>1831</v>
      </c>
      <c r="G734" s="18">
        <f t="shared" si="17"/>
        <v>-1.6826923076923572E-3</v>
      </c>
    </row>
    <row r="735" spans="1:7">
      <c r="A735" s="13">
        <v>41.93</v>
      </c>
      <c r="B735" s="13">
        <v>43.725000000000001</v>
      </c>
      <c r="C735" s="13">
        <v>41.92</v>
      </c>
      <c r="D735" s="13">
        <v>42.53</v>
      </c>
      <c r="E735" s="13">
        <v>12423964</v>
      </c>
      <c r="F735" s="13" t="s">
        <v>1830</v>
      </c>
      <c r="G735" s="18">
        <f t="shared" si="17"/>
        <v>-1.4107688690336295E-2</v>
      </c>
    </row>
    <row r="736" spans="1:7">
      <c r="A736" s="13">
        <v>42.76</v>
      </c>
      <c r="B736" s="13">
        <v>43.17</v>
      </c>
      <c r="C736" s="13">
        <v>41.9</v>
      </c>
      <c r="D736" s="13">
        <v>42.67</v>
      </c>
      <c r="E736" s="13">
        <v>7741840</v>
      </c>
      <c r="F736" s="13" t="s">
        <v>1829</v>
      </c>
      <c r="G736" s="18">
        <f t="shared" si="17"/>
        <v>2.1092102179516292E-3</v>
      </c>
    </row>
    <row r="737" spans="1:7">
      <c r="A737" s="13">
        <v>43.11</v>
      </c>
      <c r="B737" s="13">
        <v>43.33</v>
      </c>
      <c r="C737" s="13">
        <v>42.72</v>
      </c>
      <c r="D737" s="13">
        <v>43.09</v>
      </c>
      <c r="E737" s="13">
        <v>8635786</v>
      </c>
      <c r="F737" s="13" t="s">
        <v>1828</v>
      </c>
      <c r="G737" s="18">
        <f t="shared" si="17"/>
        <v>4.6414481318168832E-4</v>
      </c>
    </row>
    <row r="738" spans="1:7">
      <c r="A738" s="13">
        <v>43.16</v>
      </c>
      <c r="B738" s="13">
        <v>43.17</v>
      </c>
      <c r="C738" s="13">
        <v>41.54</v>
      </c>
      <c r="D738" s="13">
        <v>41.7</v>
      </c>
      <c r="E738" s="13">
        <v>11131115</v>
      </c>
      <c r="F738" s="13" t="s">
        <v>1827</v>
      </c>
      <c r="G738" s="18">
        <f t="shared" si="17"/>
        <v>3.5011990407673776E-2</v>
      </c>
    </row>
    <row r="739" spans="1:7">
      <c r="A739" s="13">
        <v>41.58</v>
      </c>
      <c r="B739" s="13">
        <v>41.92</v>
      </c>
      <c r="C739" s="13">
        <v>41.1</v>
      </c>
      <c r="D739" s="13">
        <v>41.81</v>
      </c>
      <c r="E739" s="13">
        <v>7599827</v>
      </c>
      <c r="F739" s="13" t="s">
        <v>1826</v>
      </c>
      <c r="G739" s="18">
        <f t="shared" si="17"/>
        <v>-5.5010762975366001E-3</v>
      </c>
    </row>
    <row r="740" spans="1:7">
      <c r="A740" s="13">
        <v>41.79</v>
      </c>
      <c r="B740" s="13">
        <v>42.68</v>
      </c>
      <c r="C740" s="13">
        <v>41.32</v>
      </c>
      <c r="D740" s="13">
        <v>41.96</v>
      </c>
      <c r="E740" s="13">
        <v>22187996</v>
      </c>
      <c r="F740" s="13" t="s">
        <v>1825</v>
      </c>
      <c r="G740" s="18">
        <f t="shared" si="17"/>
        <v>-4.0514775977121831E-3</v>
      </c>
    </row>
    <row r="741" spans="1:7">
      <c r="A741" s="13">
        <v>41.3</v>
      </c>
      <c r="B741" s="13">
        <v>41.551000000000002</v>
      </c>
      <c r="C741" s="13">
        <v>40.89</v>
      </c>
      <c r="D741" s="13">
        <v>40.99</v>
      </c>
      <c r="E741" s="13">
        <v>12578224</v>
      </c>
      <c r="F741" s="13" t="s">
        <v>1824</v>
      </c>
      <c r="G741" s="18">
        <f t="shared" si="17"/>
        <v>7.5628202000486144E-3</v>
      </c>
    </row>
    <row r="742" spans="1:7">
      <c r="A742" s="13">
        <v>40.98</v>
      </c>
      <c r="B742" s="13">
        <v>41.12</v>
      </c>
      <c r="C742" s="13">
        <v>40.575000000000003</v>
      </c>
      <c r="D742" s="13">
        <v>40.96</v>
      </c>
      <c r="E742" s="13">
        <v>12287172</v>
      </c>
      <c r="F742" s="13" t="s">
        <v>1823</v>
      </c>
      <c r="G742" s="18">
        <f t="shared" si="17"/>
        <v>4.8828125E-4</v>
      </c>
    </row>
    <row r="743" spans="1:7">
      <c r="A743" s="13">
        <v>40.57</v>
      </c>
      <c r="B743" s="13">
        <v>40.655000000000001</v>
      </c>
      <c r="C743" s="13">
        <v>39.515000000000001</v>
      </c>
      <c r="D743" s="13">
        <v>40.229999999999997</v>
      </c>
      <c r="E743" s="13">
        <v>8690890</v>
      </c>
      <c r="F743" s="13" t="s">
        <v>1822</v>
      </c>
      <c r="G743" s="18">
        <f t="shared" si="17"/>
        <v>8.4514044245589393E-3</v>
      </c>
    </row>
    <row r="744" spans="1:7">
      <c r="A744" s="13">
        <v>40.229999999999997</v>
      </c>
      <c r="B744" s="13">
        <v>41.115000000000002</v>
      </c>
      <c r="C744" s="13">
        <v>40.15</v>
      </c>
      <c r="D744" s="13">
        <v>41.03</v>
      </c>
      <c r="E744" s="13">
        <v>4851822</v>
      </c>
      <c r="F744" s="13" t="s">
        <v>1821</v>
      </c>
      <c r="G744" s="18">
        <f t="shared" si="17"/>
        <v>-1.9497928345113436E-2</v>
      </c>
    </row>
    <row r="745" spans="1:7">
      <c r="A745" s="13">
        <v>40.96</v>
      </c>
      <c r="B745" s="13">
        <v>41</v>
      </c>
      <c r="C745" s="13">
        <v>40.344999999999999</v>
      </c>
      <c r="D745" s="13">
        <v>40.729999999999997</v>
      </c>
      <c r="E745" s="13">
        <v>7064624</v>
      </c>
      <c r="F745" s="13" t="s">
        <v>1820</v>
      </c>
      <c r="G745" s="18">
        <f t="shared" si="17"/>
        <v>5.6469432850478896E-3</v>
      </c>
    </row>
    <row r="746" spans="1:7">
      <c r="A746" s="13">
        <v>41.08</v>
      </c>
      <c r="B746" s="13">
        <v>42.37</v>
      </c>
      <c r="C746" s="13">
        <v>40.81</v>
      </c>
      <c r="D746" s="13">
        <v>42.21</v>
      </c>
      <c r="E746" s="13">
        <v>7190011</v>
      </c>
      <c r="F746" s="13" t="s">
        <v>1819</v>
      </c>
      <c r="G746" s="18">
        <f t="shared" si="17"/>
        <v>-2.6770907367922314E-2</v>
      </c>
    </row>
    <row r="747" spans="1:7">
      <c r="A747" s="13">
        <v>40.86</v>
      </c>
      <c r="B747" s="13">
        <v>41.01</v>
      </c>
      <c r="C747" s="13">
        <v>40.305500000000002</v>
      </c>
      <c r="D747" s="13">
        <v>40.369999999999997</v>
      </c>
      <c r="E747" s="13">
        <v>6901243</v>
      </c>
      <c r="F747" s="13" t="s">
        <v>1818</v>
      </c>
      <c r="G747" s="18">
        <f t="shared" si="17"/>
        <v>1.2137726034183949E-2</v>
      </c>
    </row>
    <row r="748" spans="1:7">
      <c r="A748" s="13">
        <v>39.979999999999997</v>
      </c>
      <c r="B748" s="13">
        <v>40.93</v>
      </c>
      <c r="C748" s="13">
        <v>39.69</v>
      </c>
      <c r="D748" s="13">
        <v>40.65</v>
      </c>
      <c r="E748" s="13">
        <v>7765337</v>
      </c>
      <c r="F748" s="13" t="s">
        <v>1817</v>
      </c>
      <c r="G748" s="18">
        <f t="shared" si="17"/>
        <v>-1.6482164821648215E-2</v>
      </c>
    </row>
    <row r="749" spans="1:7">
      <c r="A749" s="13">
        <v>40.35</v>
      </c>
      <c r="B749" s="13">
        <v>40.79</v>
      </c>
      <c r="C749" s="13">
        <v>38.79</v>
      </c>
      <c r="D749" s="13">
        <v>38.97</v>
      </c>
      <c r="E749" s="13">
        <v>9527500</v>
      </c>
      <c r="F749" s="13" t="s">
        <v>1816</v>
      </c>
      <c r="G749" s="18">
        <f t="shared" si="17"/>
        <v>3.5411855273287163E-2</v>
      </c>
    </row>
    <row r="750" spans="1:7">
      <c r="A750" s="13">
        <v>39.6</v>
      </c>
      <c r="B750" s="13">
        <v>39.85</v>
      </c>
      <c r="C750" s="13">
        <v>39.29</v>
      </c>
      <c r="D750" s="13">
        <v>39.71</v>
      </c>
      <c r="E750" s="13">
        <v>5625836</v>
      </c>
      <c r="F750" s="13" t="s">
        <v>1815</v>
      </c>
      <c r="G750" s="18">
        <f t="shared" si="17"/>
        <v>-2.7700831024930483E-3</v>
      </c>
    </row>
    <row r="751" spans="1:7">
      <c r="A751" s="13">
        <v>39.56</v>
      </c>
      <c r="B751" s="13">
        <v>40.085000000000001</v>
      </c>
      <c r="C751" s="13">
        <v>38.96</v>
      </c>
      <c r="D751" s="13">
        <v>39.68</v>
      </c>
      <c r="E751" s="13">
        <v>6475891</v>
      </c>
      <c r="F751" s="13" t="s">
        <v>1814</v>
      </c>
      <c r="G751" s="18">
        <f t="shared" si="17"/>
        <v>-3.0241935483870108E-3</v>
      </c>
    </row>
    <row r="752" spans="1:7">
      <c r="A752" s="13">
        <v>39.64</v>
      </c>
      <c r="B752" s="13">
        <v>40.234999999999999</v>
      </c>
      <c r="C752" s="13">
        <v>39.520000000000003</v>
      </c>
      <c r="D752" s="13">
        <v>40.03</v>
      </c>
      <c r="E752" s="13">
        <v>5682888</v>
      </c>
      <c r="F752" s="13" t="s">
        <v>1813</v>
      </c>
      <c r="G752" s="18">
        <f t="shared" si="17"/>
        <v>-9.7426929802648665E-3</v>
      </c>
    </row>
    <row r="753" spans="1:7">
      <c r="A753" s="13">
        <v>39.76</v>
      </c>
      <c r="B753" s="13">
        <v>40.43</v>
      </c>
      <c r="C753" s="13">
        <v>39.604999999999997</v>
      </c>
      <c r="D753" s="13">
        <v>40.270000000000003</v>
      </c>
      <c r="E753" s="13">
        <v>9642935</v>
      </c>
      <c r="F753" s="13" t="s">
        <v>1812</v>
      </c>
      <c r="G753" s="18">
        <f t="shared" si="17"/>
        <v>-1.2664514526943282E-2</v>
      </c>
    </row>
    <row r="754" spans="1:7">
      <c r="A754" s="13">
        <v>40.65</v>
      </c>
      <c r="B754" s="13">
        <v>41.3</v>
      </c>
      <c r="C754" s="13">
        <v>40.590000000000003</v>
      </c>
      <c r="D754" s="13">
        <v>41.18</v>
      </c>
      <c r="E754" s="13">
        <v>4657481</v>
      </c>
      <c r="F754" s="13" t="s">
        <v>1811</v>
      </c>
      <c r="G754" s="18">
        <f t="shared" ref="G754:G817" si="18">A754/D754-1</f>
        <v>-1.2870325400680005E-2</v>
      </c>
    </row>
    <row r="755" spans="1:7">
      <c r="A755" s="13">
        <v>41.3</v>
      </c>
      <c r="B755" s="13">
        <v>41.564999999999998</v>
      </c>
      <c r="C755" s="13">
        <v>40.57</v>
      </c>
      <c r="D755" s="13">
        <v>40.6</v>
      </c>
      <c r="E755" s="13">
        <v>4868466</v>
      </c>
      <c r="F755" s="13" t="s">
        <v>1810</v>
      </c>
      <c r="G755" s="18">
        <f t="shared" si="18"/>
        <v>1.7241379310344751E-2</v>
      </c>
    </row>
    <row r="756" spans="1:7">
      <c r="A756" s="13">
        <v>41.03</v>
      </c>
      <c r="B756" s="13">
        <v>41.04</v>
      </c>
      <c r="C756" s="13">
        <v>40.03</v>
      </c>
      <c r="D756" s="13">
        <v>40.369999999999997</v>
      </c>
      <c r="E756" s="13">
        <v>5953808</v>
      </c>
      <c r="F756" s="13" t="s">
        <v>1809</v>
      </c>
      <c r="G756" s="18">
        <f t="shared" si="18"/>
        <v>1.6348773841961872E-2</v>
      </c>
    </row>
    <row r="757" spans="1:7">
      <c r="A757" s="13">
        <v>39.880000000000003</v>
      </c>
      <c r="B757" s="13">
        <v>39.979999999999997</v>
      </c>
      <c r="C757" s="13">
        <v>38.94</v>
      </c>
      <c r="D757" s="13">
        <v>39.21</v>
      </c>
      <c r="E757" s="13">
        <v>6290712</v>
      </c>
      <c r="F757" s="13" t="s">
        <v>1808</v>
      </c>
      <c r="G757" s="18">
        <f t="shared" si="18"/>
        <v>1.7087477684264218E-2</v>
      </c>
    </row>
    <row r="758" spans="1:7">
      <c r="A758" s="13">
        <v>38.729999999999997</v>
      </c>
      <c r="B758" s="13">
        <v>39.99</v>
      </c>
      <c r="C758" s="13">
        <v>38.700000000000003</v>
      </c>
      <c r="D758" s="13">
        <v>39.4</v>
      </c>
      <c r="E758" s="13">
        <v>10030384</v>
      </c>
      <c r="F758" s="13" t="s">
        <v>1807</v>
      </c>
      <c r="G758" s="18">
        <f t="shared" si="18"/>
        <v>-1.7005076142131981E-2</v>
      </c>
    </row>
    <row r="759" spans="1:7">
      <c r="A759" s="13">
        <v>39.340000000000003</v>
      </c>
      <c r="B759" s="13">
        <v>39.494999999999997</v>
      </c>
      <c r="C759" s="13">
        <v>38.54</v>
      </c>
      <c r="D759" s="13">
        <v>38.92</v>
      </c>
      <c r="E759" s="13">
        <v>7292062</v>
      </c>
      <c r="F759" s="13" t="s">
        <v>1806</v>
      </c>
      <c r="G759" s="18">
        <f t="shared" si="18"/>
        <v>1.0791366906474753E-2</v>
      </c>
    </row>
    <row r="760" spans="1:7">
      <c r="A760" s="13">
        <v>39.130000000000003</v>
      </c>
      <c r="B760" s="13">
        <v>39.414999999999999</v>
      </c>
      <c r="C760" s="13">
        <v>38.2239</v>
      </c>
      <c r="D760" s="13">
        <v>38.46</v>
      </c>
      <c r="E760" s="13">
        <v>7736146</v>
      </c>
      <c r="F760" s="13" t="s">
        <v>1805</v>
      </c>
      <c r="G760" s="18">
        <f t="shared" si="18"/>
        <v>1.7420696827873172E-2</v>
      </c>
    </row>
    <row r="761" spans="1:7">
      <c r="A761" s="13">
        <v>38.14</v>
      </c>
      <c r="B761" s="13">
        <v>38.799999999999997</v>
      </c>
      <c r="C761" s="13">
        <v>37.744999999999997</v>
      </c>
      <c r="D761" s="13">
        <v>38.71</v>
      </c>
      <c r="E761" s="13">
        <v>6491864</v>
      </c>
      <c r="F761" s="13" t="s">
        <v>1804</v>
      </c>
      <c r="G761" s="18">
        <f t="shared" si="18"/>
        <v>-1.4724877292689231E-2</v>
      </c>
    </row>
    <row r="762" spans="1:7">
      <c r="A762" s="13">
        <v>38.36</v>
      </c>
      <c r="B762" s="13">
        <v>38.89</v>
      </c>
      <c r="C762" s="13">
        <v>38.03</v>
      </c>
      <c r="D762" s="13">
        <v>38.700000000000003</v>
      </c>
      <c r="E762" s="13">
        <v>5123517</v>
      </c>
      <c r="F762" s="13" t="s">
        <v>1803</v>
      </c>
      <c r="G762" s="18">
        <f t="shared" si="18"/>
        <v>-8.7855297157624079E-3</v>
      </c>
    </row>
    <row r="763" spans="1:7">
      <c r="A763" s="13">
        <v>38.9</v>
      </c>
      <c r="B763" s="13">
        <v>39.08</v>
      </c>
      <c r="C763" s="13">
        <v>38.24</v>
      </c>
      <c r="D763" s="13">
        <v>38.880000000000003</v>
      </c>
      <c r="E763" s="13">
        <v>6221909</v>
      </c>
      <c r="F763" s="13" t="s">
        <v>1802</v>
      </c>
      <c r="G763" s="18">
        <f t="shared" si="18"/>
        <v>5.1440329218088721E-4</v>
      </c>
    </row>
    <row r="764" spans="1:7">
      <c r="A764" s="13">
        <v>39.299999999999997</v>
      </c>
      <c r="B764" s="13">
        <v>39.700000000000003</v>
      </c>
      <c r="C764" s="13">
        <v>39.130000000000003</v>
      </c>
      <c r="D764" s="13">
        <v>39.549999999999997</v>
      </c>
      <c r="E764" s="13">
        <v>4690720</v>
      </c>
      <c r="F764" s="13" t="s">
        <v>1801</v>
      </c>
      <c r="G764" s="18">
        <f t="shared" si="18"/>
        <v>-6.321112515802807E-3</v>
      </c>
    </row>
    <row r="765" spans="1:7">
      <c r="A765" s="13">
        <v>39.76</v>
      </c>
      <c r="B765" s="13">
        <v>40.86</v>
      </c>
      <c r="C765" s="13">
        <v>39.75</v>
      </c>
      <c r="D765" s="13">
        <v>40.56</v>
      </c>
      <c r="E765" s="13">
        <v>6253151</v>
      </c>
      <c r="F765" s="13" t="s">
        <v>1800</v>
      </c>
      <c r="G765" s="18">
        <f t="shared" si="18"/>
        <v>-1.9723865877712132E-2</v>
      </c>
    </row>
    <row r="766" spans="1:7">
      <c r="A766" s="13">
        <v>40.43</v>
      </c>
      <c r="B766" s="13">
        <v>41.03</v>
      </c>
      <c r="C766" s="13">
        <v>40.005000000000003</v>
      </c>
      <c r="D766" s="13">
        <v>40.89</v>
      </c>
      <c r="E766" s="13">
        <v>6257106</v>
      </c>
      <c r="F766" s="13" t="s">
        <v>1799</v>
      </c>
      <c r="G766" s="18">
        <f t="shared" si="18"/>
        <v>-1.1249694301785351E-2</v>
      </c>
    </row>
    <row r="767" spans="1:7">
      <c r="A767" s="13">
        <v>41.18</v>
      </c>
      <c r="B767" s="13">
        <v>41.43</v>
      </c>
      <c r="C767" s="13">
        <v>40.53</v>
      </c>
      <c r="D767" s="13">
        <v>41.39</v>
      </c>
      <c r="E767" s="13">
        <v>7854167</v>
      </c>
      <c r="F767" s="13" t="s">
        <v>1798</v>
      </c>
      <c r="G767" s="18">
        <f t="shared" si="18"/>
        <v>-5.0736892969316383E-3</v>
      </c>
    </row>
    <row r="768" spans="1:7">
      <c r="A768" s="13">
        <v>41.7</v>
      </c>
      <c r="B768" s="13">
        <v>42.02</v>
      </c>
      <c r="C768" s="13">
        <v>41.07</v>
      </c>
      <c r="D768" s="13">
        <v>42.02</v>
      </c>
      <c r="E768" s="13">
        <v>10650758</v>
      </c>
      <c r="F768" s="13" t="s">
        <v>1797</v>
      </c>
      <c r="G768" s="18">
        <f t="shared" si="18"/>
        <v>-7.6154212279866407E-3</v>
      </c>
    </row>
    <row r="769" spans="1:7">
      <c r="A769" s="13">
        <v>42.2</v>
      </c>
      <c r="B769" s="13">
        <v>42.75</v>
      </c>
      <c r="C769" s="13">
        <v>42.11</v>
      </c>
      <c r="D769" s="13">
        <v>42.22</v>
      </c>
      <c r="E769" s="13">
        <v>6684545</v>
      </c>
      <c r="F769" s="13" t="s">
        <v>1796</v>
      </c>
      <c r="G769" s="18">
        <f t="shared" si="18"/>
        <v>-4.7370914258637598E-4</v>
      </c>
    </row>
    <row r="770" spans="1:7">
      <c r="A770" s="13">
        <v>42.07</v>
      </c>
      <c r="B770" s="13">
        <v>42.41</v>
      </c>
      <c r="C770" s="13">
        <v>41.73</v>
      </c>
      <c r="D770" s="13">
        <v>42.2</v>
      </c>
      <c r="E770" s="13">
        <v>5768545</v>
      </c>
      <c r="F770" s="13" t="s">
        <v>1795</v>
      </c>
      <c r="G770" s="18">
        <f t="shared" si="18"/>
        <v>-3.0805687203792065E-3</v>
      </c>
    </row>
    <row r="771" spans="1:7">
      <c r="A771" s="13">
        <v>42.18</v>
      </c>
      <c r="B771" s="13">
        <v>42.8</v>
      </c>
      <c r="C771" s="13">
        <v>42.14</v>
      </c>
      <c r="D771" s="13">
        <v>42.56</v>
      </c>
      <c r="E771" s="13">
        <v>6253310</v>
      </c>
      <c r="F771" s="13" t="s">
        <v>1794</v>
      </c>
      <c r="G771" s="18">
        <f t="shared" si="18"/>
        <v>-8.9285714285715079E-3</v>
      </c>
    </row>
    <row r="772" spans="1:7">
      <c r="A772" s="13">
        <v>43.46</v>
      </c>
      <c r="B772" s="13">
        <v>43.515000000000001</v>
      </c>
      <c r="C772" s="13">
        <v>42.895000000000003</v>
      </c>
      <c r="D772" s="13">
        <v>43.12</v>
      </c>
      <c r="E772" s="13">
        <v>7514686</v>
      </c>
      <c r="F772" s="13" t="s">
        <v>1793</v>
      </c>
      <c r="G772" s="18">
        <f t="shared" si="18"/>
        <v>7.8849721706866216E-3</v>
      </c>
    </row>
    <row r="773" spans="1:7">
      <c r="A773" s="13">
        <v>42.94</v>
      </c>
      <c r="B773" s="13">
        <v>43.155000000000001</v>
      </c>
      <c r="C773" s="13">
        <v>42.64</v>
      </c>
      <c r="D773" s="13">
        <v>42.8</v>
      </c>
      <c r="E773" s="13">
        <v>4423477</v>
      </c>
      <c r="F773" s="13" t="s">
        <v>1792</v>
      </c>
      <c r="G773" s="18">
        <f t="shared" si="18"/>
        <v>3.2710280373831058E-3</v>
      </c>
    </row>
    <row r="774" spans="1:7">
      <c r="A774" s="13">
        <v>42.71</v>
      </c>
      <c r="B774" s="13">
        <v>42.73</v>
      </c>
      <c r="C774" s="13">
        <v>41.07</v>
      </c>
      <c r="D774" s="13">
        <v>41.19</v>
      </c>
      <c r="E774" s="13">
        <v>9980924</v>
      </c>
      <c r="F774" s="13" t="s">
        <v>1791</v>
      </c>
      <c r="G774" s="18">
        <f t="shared" si="18"/>
        <v>3.6902160718621069E-2</v>
      </c>
    </row>
    <row r="775" spans="1:7">
      <c r="A775" s="13">
        <v>41.47</v>
      </c>
      <c r="B775" s="13">
        <v>41.59</v>
      </c>
      <c r="C775" s="13">
        <v>40.28</v>
      </c>
      <c r="D775" s="13">
        <v>40.31</v>
      </c>
      <c r="E775" s="13">
        <v>5012045</v>
      </c>
      <c r="F775" s="13" t="s">
        <v>1790</v>
      </c>
      <c r="G775" s="18">
        <f t="shared" si="18"/>
        <v>2.8776978417266008E-2</v>
      </c>
    </row>
    <row r="776" spans="1:7">
      <c r="A776" s="13">
        <v>40.380000000000003</v>
      </c>
      <c r="B776" s="13">
        <v>40.700000000000003</v>
      </c>
      <c r="C776" s="13">
        <v>40.225000000000001</v>
      </c>
      <c r="D776" s="13">
        <v>40.68</v>
      </c>
      <c r="E776" s="13">
        <v>5416102</v>
      </c>
      <c r="F776" s="13" t="s">
        <v>1789</v>
      </c>
      <c r="G776" s="18">
        <f t="shared" si="18"/>
        <v>-7.3746312684365156E-3</v>
      </c>
    </row>
    <row r="777" spans="1:7">
      <c r="A777" s="13">
        <v>40.49</v>
      </c>
      <c r="B777" s="13">
        <v>41.43</v>
      </c>
      <c r="C777" s="13">
        <v>40.270000000000003</v>
      </c>
      <c r="D777" s="13">
        <v>41.42</v>
      </c>
      <c r="E777" s="13">
        <v>5919641</v>
      </c>
      <c r="F777" s="13" t="s">
        <v>1788</v>
      </c>
      <c r="G777" s="18">
        <f t="shared" si="18"/>
        <v>-2.2452921294060846E-2</v>
      </c>
    </row>
    <row r="778" spans="1:7">
      <c r="A778" s="13">
        <v>40.99</v>
      </c>
      <c r="B778" s="13">
        <v>41.02</v>
      </c>
      <c r="C778" s="13">
        <v>40.130000000000003</v>
      </c>
      <c r="D778" s="13">
        <v>40.32</v>
      </c>
      <c r="E778" s="13">
        <v>6870677</v>
      </c>
      <c r="F778" s="13" t="s">
        <v>1787</v>
      </c>
      <c r="G778" s="18">
        <f t="shared" si="18"/>
        <v>1.6617063492063489E-2</v>
      </c>
    </row>
    <row r="779" spans="1:7">
      <c r="A779" s="13">
        <v>40.31</v>
      </c>
      <c r="B779" s="13">
        <v>40.96</v>
      </c>
      <c r="C779" s="13">
        <v>40.28</v>
      </c>
      <c r="D779" s="13">
        <v>40.39</v>
      </c>
      <c r="E779" s="13">
        <v>6723860</v>
      </c>
      <c r="F779" s="13" t="s">
        <v>1786</v>
      </c>
      <c r="G779" s="18">
        <f t="shared" si="18"/>
        <v>-1.9806882891804101E-3</v>
      </c>
    </row>
    <row r="780" spans="1:7">
      <c r="A780" s="13">
        <v>40.04</v>
      </c>
      <c r="B780" s="13">
        <v>40.57</v>
      </c>
      <c r="C780" s="13">
        <v>39.909999999999997</v>
      </c>
      <c r="D780" s="13">
        <v>40.51</v>
      </c>
      <c r="E780" s="13">
        <v>5274724</v>
      </c>
      <c r="F780" s="13" t="s">
        <v>1785</v>
      </c>
      <c r="G780" s="18">
        <f t="shared" si="18"/>
        <v>-1.1602073562083426E-2</v>
      </c>
    </row>
    <row r="781" spans="1:7">
      <c r="A781" s="13">
        <v>40.39</v>
      </c>
      <c r="B781" s="13">
        <v>40.520000000000003</v>
      </c>
      <c r="C781" s="13">
        <v>40.049999999999997</v>
      </c>
      <c r="D781" s="13">
        <v>40.22</v>
      </c>
      <c r="E781" s="13">
        <v>8609086</v>
      </c>
      <c r="F781" s="13" t="s">
        <v>1784</v>
      </c>
      <c r="G781" s="18">
        <f t="shared" si="18"/>
        <v>4.2267528592740966E-3</v>
      </c>
    </row>
    <row r="782" spans="1:7">
      <c r="A782" s="13">
        <v>40.520000000000003</v>
      </c>
      <c r="B782" s="13">
        <v>41.94</v>
      </c>
      <c r="C782" s="13">
        <v>40.450000000000003</v>
      </c>
      <c r="D782" s="13">
        <v>41.77</v>
      </c>
      <c r="E782" s="13">
        <v>3921555</v>
      </c>
      <c r="F782" s="13" t="s">
        <v>1783</v>
      </c>
      <c r="G782" s="18">
        <f t="shared" si="18"/>
        <v>-2.9925784055542248E-2</v>
      </c>
    </row>
    <row r="783" spans="1:7">
      <c r="A783" s="13">
        <v>41.78</v>
      </c>
      <c r="B783" s="13">
        <v>41.82</v>
      </c>
      <c r="C783" s="13">
        <v>41.07</v>
      </c>
      <c r="D783" s="13">
        <v>41.38</v>
      </c>
      <c r="E783" s="13">
        <v>8953004</v>
      </c>
      <c r="F783" s="13" t="s">
        <v>1782</v>
      </c>
      <c r="G783" s="18">
        <f t="shared" si="18"/>
        <v>9.6665055582405568E-3</v>
      </c>
    </row>
    <row r="784" spans="1:7">
      <c r="A784" s="13">
        <v>41.15</v>
      </c>
      <c r="B784" s="13">
        <v>41.34</v>
      </c>
      <c r="C784" s="13">
        <v>40.68</v>
      </c>
      <c r="D784" s="13">
        <v>40.9</v>
      </c>
      <c r="E784" s="13">
        <v>4552891</v>
      </c>
      <c r="F784" s="13" t="s">
        <v>1781</v>
      </c>
      <c r="G784" s="18">
        <f t="shared" si="18"/>
        <v>6.1124694376528677E-3</v>
      </c>
    </row>
    <row r="785" spans="1:7">
      <c r="A785" s="13">
        <v>40.86</v>
      </c>
      <c r="B785" s="13">
        <v>41.23</v>
      </c>
      <c r="C785" s="13">
        <v>40.58</v>
      </c>
      <c r="D785" s="13">
        <v>41.21</v>
      </c>
      <c r="E785" s="13">
        <v>6864900</v>
      </c>
      <c r="F785" s="13" t="s">
        <v>1780</v>
      </c>
      <c r="G785" s="18">
        <f t="shared" si="18"/>
        <v>-8.4930842028634324E-3</v>
      </c>
    </row>
    <row r="786" spans="1:7">
      <c r="A786" s="13">
        <v>41.26</v>
      </c>
      <c r="B786" s="13">
        <v>41.82</v>
      </c>
      <c r="C786" s="13">
        <v>41.14</v>
      </c>
      <c r="D786" s="13">
        <v>41.62</v>
      </c>
      <c r="E786" s="13">
        <v>5436909</v>
      </c>
      <c r="F786" s="13" t="s">
        <v>1779</v>
      </c>
      <c r="G786" s="18">
        <f t="shared" si="18"/>
        <v>-8.6496876501681585E-3</v>
      </c>
    </row>
    <row r="787" spans="1:7">
      <c r="A787" s="13">
        <v>42.02</v>
      </c>
      <c r="B787" s="13">
        <v>42.8</v>
      </c>
      <c r="C787" s="13">
        <v>41.86</v>
      </c>
      <c r="D787" s="13">
        <v>42.69</v>
      </c>
      <c r="E787" s="13">
        <v>5396832</v>
      </c>
      <c r="F787" s="13" t="s">
        <v>1778</v>
      </c>
      <c r="G787" s="18">
        <f t="shared" si="18"/>
        <v>-1.5694542047317794E-2</v>
      </c>
    </row>
    <row r="788" spans="1:7">
      <c r="A788" s="13">
        <v>42.63</v>
      </c>
      <c r="B788" s="13">
        <v>42.66</v>
      </c>
      <c r="C788" s="13">
        <v>42.195</v>
      </c>
      <c r="D788" s="13">
        <v>42.53</v>
      </c>
      <c r="E788" s="13">
        <v>6058606</v>
      </c>
      <c r="F788" s="13" t="s">
        <v>1777</v>
      </c>
      <c r="G788" s="18">
        <f t="shared" si="18"/>
        <v>2.3512814483894751E-3</v>
      </c>
    </row>
    <row r="789" spans="1:7">
      <c r="A789" s="13">
        <v>42.43</v>
      </c>
      <c r="B789" s="13">
        <v>42.5</v>
      </c>
      <c r="C789" s="13">
        <v>41.96</v>
      </c>
      <c r="D789" s="13">
        <v>42.1</v>
      </c>
      <c r="E789" s="13">
        <v>6091611</v>
      </c>
      <c r="F789" s="13" t="s">
        <v>1776</v>
      </c>
      <c r="G789" s="18">
        <f t="shared" si="18"/>
        <v>7.8384798099762065E-3</v>
      </c>
    </row>
    <row r="790" spans="1:7">
      <c r="A790" s="13">
        <v>42.35</v>
      </c>
      <c r="B790" s="13">
        <v>42.41</v>
      </c>
      <c r="C790" s="13">
        <v>41.76</v>
      </c>
      <c r="D790" s="13">
        <v>41.78</v>
      </c>
      <c r="E790" s="13">
        <v>4230971</v>
      </c>
      <c r="F790" s="13" t="s">
        <v>1775</v>
      </c>
      <c r="G790" s="18">
        <f t="shared" si="18"/>
        <v>1.3642891335567287E-2</v>
      </c>
    </row>
    <row r="791" spans="1:7">
      <c r="A791" s="13">
        <v>42.15</v>
      </c>
      <c r="B791" s="13">
        <v>42.38</v>
      </c>
      <c r="C791" s="13">
        <v>41.92</v>
      </c>
      <c r="D791" s="13">
        <v>42.1</v>
      </c>
      <c r="E791" s="13">
        <v>2475417</v>
      </c>
      <c r="F791" s="13" t="s">
        <v>1774</v>
      </c>
      <c r="G791" s="18">
        <f t="shared" si="18"/>
        <v>1.1876484560569001E-3</v>
      </c>
    </row>
    <row r="792" spans="1:7">
      <c r="A792" s="13">
        <v>42.33</v>
      </c>
      <c r="B792" s="13">
        <v>42.35</v>
      </c>
      <c r="C792" s="13">
        <v>41.685000000000002</v>
      </c>
      <c r="D792" s="13">
        <v>41.95</v>
      </c>
      <c r="E792" s="13">
        <v>4019743</v>
      </c>
      <c r="F792" s="13" t="s">
        <v>1773</v>
      </c>
      <c r="G792" s="18">
        <f t="shared" si="18"/>
        <v>9.0584028605482647E-3</v>
      </c>
    </row>
    <row r="793" spans="1:7">
      <c r="A793" s="13">
        <v>41.76</v>
      </c>
      <c r="B793" s="13">
        <v>42.19</v>
      </c>
      <c r="C793" s="13">
        <v>41.62</v>
      </c>
      <c r="D793" s="13">
        <v>41.99</v>
      </c>
      <c r="E793" s="13">
        <v>3981254</v>
      </c>
      <c r="F793" s="13" t="s">
        <v>1772</v>
      </c>
      <c r="G793" s="18">
        <f t="shared" si="18"/>
        <v>-5.4774946415814263E-3</v>
      </c>
    </row>
    <row r="794" spans="1:7">
      <c r="A794" s="13">
        <v>41.86</v>
      </c>
      <c r="B794" s="13">
        <v>41.9</v>
      </c>
      <c r="C794" s="13">
        <v>41.49</v>
      </c>
      <c r="D794" s="13">
        <v>41.78</v>
      </c>
      <c r="E794" s="13">
        <v>7066028</v>
      </c>
      <c r="F794" s="13" t="s">
        <v>1771</v>
      </c>
      <c r="G794" s="18">
        <f t="shared" si="18"/>
        <v>1.9147917663953073E-3</v>
      </c>
    </row>
    <row r="795" spans="1:7">
      <c r="A795" s="13">
        <v>41.03</v>
      </c>
      <c r="B795" s="13">
        <v>41.155000000000001</v>
      </c>
      <c r="C795" s="13">
        <v>40.795000000000002</v>
      </c>
      <c r="D795" s="13">
        <v>40.9</v>
      </c>
      <c r="E795" s="13">
        <v>5084549</v>
      </c>
      <c r="F795" s="13" t="s">
        <v>1770</v>
      </c>
      <c r="G795" s="18">
        <f t="shared" si="18"/>
        <v>3.1784841075794823E-3</v>
      </c>
    </row>
    <row r="796" spans="1:7">
      <c r="A796" s="13">
        <v>40.97</v>
      </c>
      <c r="B796" s="13">
        <v>41.24</v>
      </c>
      <c r="C796" s="13">
        <v>40.72</v>
      </c>
      <c r="D796" s="13">
        <v>41.01</v>
      </c>
      <c r="E796" s="13">
        <v>6010582</v>
      </c>
      <c r="F796" s="13" t="s">
        <v>1769</v>
      </c>
      <c r="G796" s="18">
        <f t="shared" si="18"/>
        <v>-9.7537186052176761E-4</v>
      </c>
    </row>
    <row r="797" spans="1:7">
      <c r="A797" s="13">
        <v>40.94</v>
      </c>
      <c r="B797" s="13">
        <v>41.185000000000002</v>
      </c>
      <c r="C797" s="13">
        <v>40.844999999999999</v>
      </c>
      <c r="D797" s="13">
        <v>40.94</v>
      </c>
      <c r="E797" s="13">
        <v>5328859</v>
      </c>
      <c r="F797" s="13" t="s">
        <v>1768</v>
      </c>
      <c r="G797" s="18">
        <f t="shared" si="18"/>
        <v>0</v>
      </c>
    </row>
    <row r="798" spans="1:7">
      <c r="A798" s="13">
        <v>41.23</v>
      </c>
      <c r="B798" s="13">
        <v>41.78</v>
      </c>
      <c r="C798" s="13">
        <v>41.14</v>
      </c>
      <c r="D798" s="13">
        <v>41.66</v>
      </c>
      <c r="E798" s="13">
        <v>6390481</v>
      </c>
      <c r="F798" s="13" t="s">
        <v>1767</v>
      </c>
      <c r="G798" s="18">
        <f t="shared" si="18"/>
        <v>-1.0321651464234249E-2</v>
      </c>
    </row>
    <row r="799" spans="1:7">
      <c r="A799" s="13">
        <v>41.62</v>
      </c>
      <c r="B799" s="13">
        <v>41.83</v>
      </c>
      <c r="C799" s="13">
        <v>41.29</v>
      </c>
      <c r="D799" s="13">
        <v>41.63</v>
      </c>
      <c r="E799" s="13">
        <v>5676803</v>
      </c>
      <c r="F799" s="13" t="s">
        <v>1766</v>
      </c>
      <c r="G799" s="18">
        <f t="shared" si="18"/>
        <v>-2.402113860198174E-4</v>
      </c>
    </row>
    <row r="800" spans="1:7">
      <c r="A800" s="13">
        <v>41.46</v>
      </c>
      <c r="B800" s="13">
        <v>41.784999999999997</v>
      </c>
      <c r="C800" s="13">
        <v>41.03</v>
      </c>
      <c r="D800" s="13">
        <v>41.1</v>
      </c>
      <c r="E800" s="13">
        <v>6411383</v>
      </c>
      <c r="F800" s="13" t="s">
        <v>1765</v>
      </c>
      <c r="G800" s="18">
        <f t="shared" si="18"/>
        <v>8.7591240875912746E-3</v>
      </c>
    </row>
    <row r="801" spans="1:7">
      <c r="A801" s="13">
        <v>41.05</v>
      </c>
      <c r="B801" s="13">
        <v>41.26</v>
      </c>
      <c r="C801" s="13">
        <v>40.61</v>
      </c>
      <c r="D801" s="13">
        <v>40.65</v>
      </c>
      <c r="E801" s="13">
        <v>5186772</v>
      </c>
      <c r="F801" s="13" t="s">
        <v>1764</v>
      </c>
      <c r="G801" s="18">
        <f t="shared" si="18"/>
        <v>9.8400984009838766E-3</v>
      </c>
    </row>
    <row r="802" spans="1:7">
      <c r="A802" s="13">
        <v>41.05</v>
      </c>
      <c r="B802" s="13">
        <v>41.25</v>
      </c>
      <c r="C802" s="13">
        <v>40.61</v>
      </c>
      <c r="D802" s="13">
        <v>40.85</v>
      </c>
      <c r="E802" s="13">
        <v>8815967</v>
      </c>
      <c r="F802" s="13" t="s">
        <v>1763</v>
      </c>
      <c r="G802" s="18">
        <f t="shared" si="18"/>
        <v>4.8959608323131398E-3</v>
      </c>
    </row>
    <row r="803" spans="1:7">
      <c r="A803" s="13">
        <v>41.16</v>
      </c>
      <c r="B803" s="13">
        <v>41.424999999999997</v>
      </c>
      <c r="C803" s="13">
        <v>40.04</v>
      </c>
      <c r="D803" s="13">
        <v>40.26</v>
      </c>
      <c r="E803" s="13">
        <v>9068826</v>
      </c>
      <c r="F803" s="13" t="s">
        <v>1762</v>
      </c>
      <c r="G803" s="18">
        <f t="shared" si="18"/>
        <v>2.2354694485841931E-2</v>
      </c>
    </row>
    <row r="804" spans="1:7">
      <c r="A804" s="13">
        <v>40.31</v>
      </c>
      <c r="B804" s="13">
        <v>41.338999999999999</v>
      </c>
      <c r="C804" s="13">
        <v>39.74</v>
      </c>
      <c r="D804" s="13">
        <v>40.625</v>
      </c>
      <c r="E804" s="13">
        <v>18838609</v>
      </c>
      <c r="F804" s="13" t="s">
        <v>1761</v>
      </c>
      <c r="G804" s="18">
        <f t="shared" si="18"/>
        <v>-7.7538461538461112E-3</v>
      </c>
    </row>
    <row r="805" spans="1:7">
      <c r="A805" s="13">
        <v>37.96</v>
      </c>
      <c r="B805" s="13">
        <v>38.229999999999997</v>
      </c>
      <c r="C805" s="13">
        <v>37.695</v>
      </c>
      <c r="D805" s="13">
        <v>38.18</v>
      </c>
      <c r="E805" s="13">
        <v>10690098</v>
      </c>
      <c r="F805" s="13" t="s">
        <v>1760</v>
      </c>
      <c r="G805" s="18">
        <f t="shared" si="18"/>
        <v>-5.7621791513881027E-3</v>
      </c>
    </row>
    <row r="806" spans="1:7">
      <c r="A806" s="13">
        <v>38</v>
      </c>
      <c r="B806" s="13">
        <v>38.24</v>
      </c>
      <c r="C806" s="13">
        <v>37.72</v>
      </c>
      <c r="D806" s="13">
        <v>38.11</v>
      </c>
      <c r="E806" s="13">
        <v>6280038</v>
      </c>
      <c r="F806" s="13" t="s">
        <v>1759</v>
      </c>
      <c r="G806" s="18">
        <f t="shared" si="18"/>
        <v>-2.8863815271582549E-3</v>
      </c>
    </row>
    <row r="807" spans="1:7">
      <c r="A807" s="13">
        <v>38.119999999999997</v>
      </c>
      <c r="B807" s="13">
        <v>38.61</v>
      </c>
      <c r="C807" s="13">
        <v>37.840000000000003</v>
      </c>
      <c r="D807" s="13">
        <v>38.18</v>
      </c>
      <c r="E807" s="13">
        <v>4946826</v>
      </c>
      <c r="F807" s="13" t="s">
        <v>1758</v>
      </c>
      <c r="G807" s="18">
        <f t="shared" si="18"/>
        <v>-1.5715034049240684E-3</v>
      </c>
    </row>
    <row r="808" spans="1:7">
      <c r="A808" s="13">
        <v>38.119999999999997</v>
      </c>
      <c r="B808" s="13">
        <v>38.119999999999997</v>
      </c>
      <c r="C808" s="13">
        <v>37.24</v>
      </c>
      <c r="D808" s="13">
        <v>37.46</v>
      </c>
      <c r="E808" s="13">
        <v>11814803</v>
      </c>
      <c r="F808" s="13" t="s">
        <v>1757</v>
      </c>
      <c r="G808" s="18">
        <f t="shared" si="18"/>
        <v>1.7618793379604814E-2</v>
      </c>
    </row>
    <row r="809" spans="1:7">
      <c r="A809" s="13">
        <v>37.28</v>
      </c>
      <c r="B809" s="13">
        <v>37.807499999999997</v>
      </c>
      <c r="C809" s="13">
        <v>37.04</v>
      </c>
      <c r="D809" s="13">
        <v>37.56</v>
      </c>
      <c r="E809" s="13">
        <v>10868059</v>
      </c>
      <c r="F809" s="13" t="s">
        <v>1756</v>
      </c>
      <c r="G809" s="18">
        <f t="shared" si="18"/>
        <v>-7.4547390841320782E-3</v>
      </c>
    </row>
    <row r="810" spans="1:7">
      <c r="A810" s="13">
        <v>37.71</v>
      </c>
      <c r="B810" s="13">
        <v>37.81</v>
      </c>
      <c r="C810" s="13">
        <v>37.51</v>
      </c>
      <c r="D810" s="13">
        <v>37.65</v>
      </c>
      <c r="E810" s="13">
        <v>9995681</v>
      </c>
      <c r="F810" s="13" t="s">
        <v>1755</v>
      </c>
      <c r="G810" s="18">
        <f t="shared" si="18"/>
        <v>1.5936254980080111E-3</v>
      </c>
    </row>
    <row r="811" spans="1:7">
      <c r="A811" s="13">
        <v>37.17</v>
      </c>
      <c r="B811" s="13">
        <v>38.005000000000003</v>
      </c>
      <c r="C811" s="13">
        <v>37.119999999999997</v>
      </c>
      <c r="D811" s="13">
        <v>37.67</v>
      </c>
      <c r="E811" s="13">
        <v>5403703</v>
      </c>
      <c r="F811" s="13" t="s">
        <v>1754</v>
      </c>
      <c r="G811" s="18">
        <f t="shared" si="18"/>
        <v>-1.3273161667109123E-2</v>
      </c>
    </row>
    <row r="812" spans="1:7">
      <c r="A812" s="13">
        <v>37.549999999999997</v>
      </c>
      <c r="B812" s="13">
        <v>37.594999999999999</v>
      </c>
      <c r="C812" s="13">
        <v>37.094999999999999</v>
      </c>
      <c r="D812" s="13">
        <v>37.28</v>
      </c>
      <c r="E812" s="13">
        <v>7124894</v>
      </c>
      <c r="F812" s="13" t="s">
        <v>1753</v>
      </c>
      <c r="G812" s="18">
        <f t="shared" si="18"/>
        <v>7.2424892703861765E-3</v>
      </c>
    </row>
    <row r="813" spans="1:7">
      <c r="A813" s="13">
        <v>36.71</v>
      </c>
      <c r="B813" s="13">
        <v>36.76</v>
      </c>
      <c r="C813" s="13">
        <v>36.15</v>
      </c>
      <c r="D813" s="13">
        <v>36.299999999999997</v>
      </c>
      <c r="E813" s="13">
        <v>5843477</v>
      </c>
      <c r="F813" s="13" t="s">
        <v>1752</v>
      </c>
      <c r="G813" s="18">
        <f t="shared" si="18"/>
        <v>1.1294765840220489E-2</v>
      </c>
    </row>
    <row r="814" spans="1:7">
      <c r="A814" s="13">
        <v>36.770000000000003</v>
      </c>
      <c r="B814" s="13">
        <v>37</v>
      </c>
      <c r="C814" s="13">
        <v>36.344999999999999</v>
      </c>
      <c r="D814" s="13">
        <v>36.35</v>
      </c>
      <c r="E814" s="13">
        <v>5890764</v>
      </c>
      <c r="F814" s="13" t="s">
        <v>1751</v>
      </c>
      <c r="G814" s="18">
        <f t="shared" si="18"/>
        <v>1.155433287482821E-2</v>
      </c>
    </row>
    <row r="815" spans="1:7">
      <c r="A815" s="13">
        <v>36.880000000000003</v>
      </c>
      <c r="B815" s="13">
        <v>37.805</v>
      </c>
      <c r="C815" s="13">
        <v>36.700000000000003</v>
      </c>
      <c r="D815" s="13">
        <v>37.39</v>
      </c>
      <c r="E815" s="13">
        <v>6163236</v>
      </c>
      <c r="F815" s="13" t="s">
        <v>1750</v>
      </c>
      <c r="G815" s="18">
        <f t="shared" si="18"/>
        <v>-1.3640010698047544E-2</v>
      </c>
    </row>
    <row r="816" spans="1:7">
      <c r="A816" s="13">
        <v>37.51</v>
      </c>
      <c r="B816" s="13">
        <v>37.67</v>
      </c>
      <c r="C816" s="13">
        <v>37.19</v>
      </c>
      <c r="D816" s="13">
        <v>37.340000000000003</v>
      </c>
      <c r="E816" s="13">
        <v>4102006</v>
      </c>
      <c r="F816" s="13" t="s">
        <v>1749</v>
      </c>
      <c r="G816" s="18">
        <f t="shared" si="18"/>
        <v>4.5527584359934536E-3</v>
      </c>
    </row>
    <row r="817" spans="1:7">
      <c r="A817" s="13">
        <v>37.840000000000003</v>
      </c>
      <c r="B817" s="13">
        <v>38.634999999999998</v>
      </c>
      <c r="C817" s="13">
        <v>37.79</v>
      </c>
      <c r="D817" s="13">
        <v>37.79</v>
      </c>
      <c r="E817" s="13">
        <v>6189198</v>
      </c>
      <c r="F817" s="13" t="s">
        <v>1748</v>
      </c>
      <c r="G817" s="18">
        <f t="shared" si="18"/>
        <v>1.3231013495635935E-3</v>
      </c>
    </row>
    <row r="818" spans="1:7">
      <c r="A818" s="13">
        <v>37.85</v>
      </c>
      <c r="B818" s="13">
        <v>37.97</v>
      </c>
      <c r="C818" s="13">
        <v>37.32</v>
      </c>
      <c r="D818" s="13">
        <v>37.6</v>
      </c>
      <c r="E818" s="13">
        <v>6992078</v>
      </c>
      <c r="F818" s="13" t="s">
        <v>1747</v>
      </c>
      <c r="G818" s="18">
        <f t="shared" ref="G818:G881" si="19">A818/D818-1</f>
        <v>6.6489361702126715E-3</v>
      </c>
    </row>
    <row r="819" spans="1:7">
      <c r="A819" s="13">
        <v>37.659999999999997</v>
      </c>
      <c r="B819" s="13">
        <v>38.049999999999997</v>
      </c>
      <c r="C819" s="13">
        <v>37.380000000000003</v>
      </c>
      <c r="D819" s="13">
        <v>38.020000000000003</v>
      </c>
      <c r="E819" s="13">
        <v>5502851</v>
      </c>
      <c r="F819" s="13" t="s">
        <v>1746</v>
      </c>
      <c r="G819" s="18">
        <f t="shared" si="19"/>
        <v>-9.4687006838507504E-3</v>
      </c>
    </row>
    <row r="820" spans="1:7">
      <c r="A820" s="13">
        <v>37.76</v>
      </c>
      <c r="B820" s="13">
        <v>37.83</v>
      </c>
      <c r="C820" s="13">
        <v>37.18</v>
      </c>
      <c r="D820" s="13">
        <v>37.590000000000003</v>
      </c>
      <c r="E820" s="13">
        <v>5790949</v>
      </c>
      <c r="F820" s="13" t="s">
        <v>1745</v>
      </c>
      <c r="G820" s="18">
        <f t="shared" si="19"/>
        <v>4.5224793828144705E-3</v>
      </c>
    </row>
    <row r="821" spans="1:7">
      <c r="A821" s="13">
        <v>38.01</v>
      </c>
      <c r="B821" s="13">
        <v>38.115000000000002</v>
      </c>
      <c r="C821" s="13">
        <v>37.085000000000001</v>
      </c>
      <c r="D821" s="13">
        <v>37.22</v>
      </c>
      <c r="E821" s="13">
        <v>5870032</v>
      </c>
      <c r="F821" s="13" t="s">
        <v>1744</v>
      </c>
      <c r="G821" s="18">
        <f t="shared" si="19"/>
        <v>2.1225147770016051E-2</v>
      </c>
    </row>
    <row r="822" spans="1:7">
      <c r="A822" s="13">
        <v>37.270000000000003</v>
      </c>
      <c r="B822" s="13">
        <v>37.76</v>
      </c>
      <c r="C822" s="13">
        <v>36.975000000000001</v>
      </c>
      <c r="D822" s="13">
        <v>37.47</v>
      </c>
      <c r="E822" s="13">
        <v>8127123</v>
      </c>
      <c r="F822" s="13" t="s">
        <v>1743</v>
      </c>
      <c r="G822" s="18">
        <f t="shared" si="19"/>
        <v>-5.3376034160660391E-3</v>
      </c>
    </row>
    <row r="823" spans="1:7">
      <c r="A823" s="13">
        <v>37.799999999999997</v>
      </c>
      <c r="B823" s="13">
        <v>37.9</v>
      </c>
      <c r="C823" s="13">
        <v>37.270000000000003</v>
      </c>
      <c r="D823" s="13">
        <v>37.549999999999997</v>
      </c>
      <c r="E823" s="13">
        <v>5749598</v>
      </c>
      <c r="F823" s="13" t="s">
        <v>1742</v>
      </c>
      <c r="G823" s="18">
        <f t="shared" si="19"/>
        <v>6.6577896138482195E-3</v>
      </c>
    </row>
    <row r="824" spans="1:7">
      <c r="A824" s="13">
        <v>37.5</v>
      </c>
      <c r="B824" s="13">
        <v>38.270000000000003</v>
      </c>
      <c r="C824" s="13">
        <v>37.4</v>
      </c>
      <c r="D824" s="13">
        <v>38.04</v>
      </c>
      <c r="E824" s="13">
        <v>9890645</v>
      </c>
      <c r="F824" s="13" t="s">
        <v>1741</v>
      </c>
      <c r="G824" s="18">
        <f t="shared" si="19"/>
        <v>-1.4195583596214534E-2</v>
      </c>
    </row>
    <row r="825" spans="1:7">
      <c r="A825" s="13">
        <v>37.82</v>
      </c>
      <c r="B825" s="13">
        <v>38.1</v>
      </c>
      <c r="C825" s="13">
        <v>37.56</v>
      </c>
      <c r="D825" s="13">
        <v>37.979999999999997</v>
      </c>
      <c r="E825" s="13">
        <v>4698965</v>
      </c>
      <c r="F825" s="13" t="s">
        <v>1740</v>
      </c>
      <c r="G825" s="18">
        <f t="shared" si="19"/>
        <v>-4.2127435492363974E-3</v>
      </c>
    </row>
    <row r="826" spans="1:7">
      <c r="A826" s="13">
        <v>38.020000000000003</v>
      </c>
      <c r="B826" s="13">
        <v>38.104999999999997</v>
      </c>
      <c r="C826" s="13">
        <v>36.99</v>
      </c>
      <c r="D826" s="13">
        <v>37.200000000000003</v>
      </c>
      <c r="E826" s="13">
        <v>10453789</v>
      </c>
      <c r="F826" s="13" t="s">
        <v>1739</v>
      </c>
      <c r="G826" s="18">
        <f t="shared" si="19"/>
        <v>2.2043010752688108E-2</v>
      </c>
    </row>
    <row r="827" spans="1:7">
      <c r="A827" s="13">
        <v>36.94</v>
      </c>
      <c r="B827" s="13">
        <v>37.5</v>
      </c>
      <c r="C827" s="13">
        <v>36.72</v>
      </c>
      <c r="D827" s="13">
        <v>37.159999999999997</v>
      </c>
      <c r="E827" s="13">
        <v>6656832</v>
      </c>
      <c r="F827" s="13" t="s">
        <v>1738</v>
      </c>
      <c r="G827" s="18">
        <f t="shared" si="19"/>
        <v>-5.9203444564046581E-3</v>
      </c>
    </row>
    <row r="828" spans="1:7">
      <c r="A828" s="13">
        <v>37.03</v>
      </c>
      <c r="B828" s="13">
        <v>37.33</v>
      </c>
      <c r="C828" s="13">
        <v>35.909999999999997</v>
      </c>
      <c r="D828" s="13">
        <v>36.020000000000003</v>
      </c>
      <c r="E828" s="13">
        <v>9569082</v>
      </c>
      <c r="F828" s="13" t="s">
        <v>1737</v>
      </c>
      <c r="G828" s="18">
        <f t="shared" si="19"/>
        <v>2.8039977790116577E-2</v>
      </c>
    </row>
    <row r="829" spans="1:7">
      <c r="A829" s="13">
        <v>36.299999999999997</v>
      </c>
      <c r="B829" s="13">
        <v>36.67</v>
      </c>
      <c r="C829" s="13">
        <v>36.015000000000001</v>
      </c>
      <c r="D829" s="13">
        <v>36.479999999999997</v>
      </c>
      <c r="E829" s="13">
        <v>10277441</v>
      </c>
      <c r="F829" s="13" t="s">
        <v>1736</v>
      </c>
      <c r="G829" s="18">
        <f t="shared" si="19"/>
        <v>-4.9342105263158187E-3</v>
      </c>
    </row>
    <row r="830" spans="1:7">
      <c r="A830" s="13">
        <v>36.01</v>
      </c>
      <c r="B830" s="13">
        <v>36.35</v>
      </c>
      <c r="C830" s="13">
        <v>35.33</v>
      </c>
      <c r="D830" s="13">
        <v>35.590000000000003</v>
      </c>
      <c r="E830" s="13">
        <v>17432860</v>
      </c>
      <c r="F830" s="13" t="s">
        <v>1735</v>
      </c>
      <c r="G830" s="18">
        <f t="shared" si="19"/>
        <v>1.1801067715650371E-2</v>
      </c>
    </row>
    <row r="831" spans="1:7">
      <c r="A831" s="13">
        <v>35.51</v>
      </c>
      <c r="B831" s="13">
        <v>35.634999999999998</v>
      </c>
      <c r="C831" s="13">
        <v>34.979999999999997</v>
      </c>
      <c r="D831" s="13">
        <v>35.17</v>
      </c>
      <c r="E831" s="13">
        <v>9199919</v>
      </c>
      <c r="F831" s="13" t="s">
        <v>1734</v>
      </c>
      <c r="G831" s="18">
        <f t="shared" si="19"/>
        <v>9.6673301108898269E-3</v>
      </c>
    </row>
    <row r="832" spans="1:7">
      <c r="A832" s="13">
        <v>36.03</v>
      </c>
      <c r="B832" s="13">
        <v>36.68</v>
      </c>
      <c r="C832" s="13">
        <v>35.520000000000003</v>
      </c>
      <c r="D832" s="13">
        <v>36.1</v>
      </c>
      <c r="E832" s="13">
        <v>13548222</v>
      </c>
      <c r="F832" s="13" t="s">
        <v>1733</v>
      </c>
      <c r="G832" s="18">
        <f t="shared" si="19"/>
        <v>-1.9390581717451116E-3</v>
      </c>
    </row>
    <row r="833" spans="1:7">
      <c r="A833" s="13">
        <v>35.24</v>
      </c>
      <c r="B833" s="13">
        <v>36.414999999999999</v>
      </c>
      <c r="C833" s="13">
        <v>35.085000000000001</v>
      </c>
      <c r="D833" s="13">
        <v>36.31</v>
      </c>
      <c r="E833" s="13">
        <v>12615070</v>
      </c>
      <c r="F833" s="13" t="s">
        <v>1732</v>
      </c>
      <c r="G833" s="18">
        <f t="shared" si="19"/>
        <v>-2.9468465987331327E-2</v>
      </c>
    </row>
    <row r="834" spans="1:7">
      <c r="A834" s="13">
        <v>36.409999999999997</v>
      </c>
      <c r="B834" s="13">
        <v>36.89</v>
      </c>
      <c r="C834" s="13">
        <v>36.215000000000003</v>
      </c>
      <c r="D834" s="13">
        <v>36.42</v>
      </c>
      <c r="E834" s="13">
        <v>15115242</v>
      </c>
      <c r="F834" s="13" t="s">
        <v>1731</v>
      </c>
      <c r="G834" s="18">
        <f t="shared" si="19"/>
        <v>-2.7457440966516256E-4</v>
      </c>
    </row>
    <row r="835" spans="1:7">
      <c r="A835" s="13">
        <v>37.229999999999997</v>
      </c>
      <c r="B835" s="13">
        <v>37.6</v>
      </c>
      <c r="C835" s="13">
        <v>36.909999999999997</v>
      </c>
      <c r="D835" s="13">
        <v>37.29</v>
      </c>
      <c r="E835" s="13">
        <v>11071619</v>
      </c>
      <c r="F835" s="13" t="s">
        <v>1730</v>
      </c>
      <c r="G835" s="18">
        <f t="shared" si="19"/>
        <v>-1.6090104585680942E-3</v>
      </c>
    </row>
    <row r="836" spans="1:7">
      <c r="A836" s="13">
        <v>37.97</v>
      </c>
      <c r="B836" s="13">
        <v>38.950000000000003</v>
      </c>
      <c r="C836" s="13">
        <v>37.950000000000003</v>
      </c>
      <c r="D836" s="13">
        <v>38.799999999999997</v>
      </c>
      <c r="E836" s="13">
        <v>5868766</v>
      </c>
      <c r="F836" s="13" t="s">
        <v>1729</v>
      </c>
      <c r="G836" s="18">
        <f t="shared" si="19"/>
        <v>-2.1391752577319512E-2</v>
      </c>
    </row>
    <row r="837" spans="1:7">
      <c r="A837" s="13">
        <v>39.11</v>
      </c>
      <c r="B837" s="13">
        <v>39.479999999999997</v>
      </c>
      <c r="C837" s="13">
        <v>39.005000000000003</v>
      </c>
      <c r="D837" s="13">
        <v>39.4</v>
      </c>
      <c r="E837" s="13">
        <v>6378447</v>
      </c>
      <c r="F837" s="13" t="s">
        <v>1728</v>
      </c>
      <c r="G837" s="18">
        <f t="shared" si="19"/>
        <v>-7.3604060913705638E-3</v>
      </c>
    </row>
    <row r="838" spans="1:7">
      <c r="A838" s="13">
        <v>39.58</v>
      </c>
      <c r="B838" s="13">
        <v>39.590000000000003</v>
      </c>
      <c r="C838" s="13">
        <v>38.909999999999997</v>
      </c>
      <c r="D838" s="13">
        <v>39.19</v>
      </c>
      <c r="E838" s="13">
        <v>6725423</v>
      </c>
      <c r="F838" s="13" t="s">
        <v>1727</v>
      </c>
      <c r="G838" s="18">
        <f t="shared" si="19"/>
        <v>9.9515182444500638E-3</v>
      </c>
    </row>
    <row r="839" spans="1:7">
      <c r="A839" s="13">
        <v>39.380000000000003</v>
      </c>
      <c r="B839" s="13">
        <v>40.36</v>
      </c>
      <c r="C839" s="13">
        <v>39.22</v>
      </c>
      <c r="D839" s="13">
        <v>40.17</v>
      </c>
      <c r="E839" s="13">
        <v>6548541</v>
      </c>
      <c r="F839" s="13" t="s">
        <v>1726</v>
      </c>
      <c r="G839" s="18">
        <f t="shared" si="19"/>
        <v>-1.9666417724670149E-2</v>
      </c>
    </row>
    <row r="840" spans="1:7">
      <c r="A840" s="13">
        <v>39.909999999999997</v>
      </c>
      <c r="B840" s="13">
        <v>40.54</v>
      </c>
      <c r="C840" s="13">
        <v>39.840000000000003</v>
      </c>
      <c r="D840" s="13">
        <v>40.49</v>
      </c>
      <c r="E840" s="13">
        <v>5823399</v>
      </c>
      <c r="F840" s="13" t="s">
        <v>1725</v>
      </c>
      <c r="G840" s="18">
        <f t="shared" si="19"/>
        <v>-1.4324524573969044E-2</v>
      </c>
    </row>
    <row r="841" spans="1:7">
      <c r="A841" s="13">
        <v>40.67</v>
      </c>
      <c r="B841" s="13">
        <v>40.71</v>
      </c>
      <c r="C841" s="13">
        <v>39.04</v>
      </c>
      <c r="D841" s="13">
        <v>39.92</v>
      </c>
      <c r="E841" s="13">
        <v>4443951</v>
      </c>
      <c r="F841" s="13" t="s">
        <v>1724</v>
      </c>
      <c r="G841" s="18">
        <f t="shared" si="19"/>
        <v>1.8787575150300606E-2</v>
      </c>
    </row>
    <row r="842" spans="1:7">
      <c r="A842" s="13">
        <v>39.92</v>
      </c>
      <c r="B842" s="13">
        <v>41.25</v>
      </c>
      <c r="C842" s="13">
        <v>39.53</v>
      </c>
      <c r="D842" s="13">
        <v>41.14</v>
      </c>
      <c r="E842" s="13">
        <v>6546354</v>
      </c>
      <c r="F842" s="13" t="s">
        <v>1723</v>
      </c>
      <c r="G842" s="18">
        <f t="shared" si="19"/>
        <v>-2.9654837141468104E-2</v>
      </c>
    </row>
    <row r="843" spans="1:7">
      <c r="A843" s="13">
        <v>41.01</v>
      </c>
      <c r="B843" s="13">
        <v>41.32</v>
      </c>
      <c r="C843" s="13">
        <v>40.57</v>
      </c>
      <c r="D843" s="13">
        <v>40.75</v>
      </c>
      <c r="E843" s="13">
        <v>7925295</v>
      </c>
      <c r="F843" s="13" t="s">
        <v>1722</v>
      </c>
      <c r="G843" s="18">
        <f t="shared" si="19"/>
        <v>6.3803680981595612E-3</v>
      </c>
    </row>
    <row r="844" spans="1:7">
      <c r="A844" s="13">
        <v>41.2</v>
      </c>
      <c r="B844" s="13">
        <v>41.61</v>
      </c>
      <c r="C844" s="13">
        <v>40.945</v>
      </c>
      <c r="D844" s="13">
        <v>41.61</v>
      </c>
      <c r="E844" s="13">
        <v>6968699</v>
      </c>
      <c r="F844" s="13" t="s">
        <v>1721</v>
      </c>
      <c r="G844" s="18">
        <f t="shared" si="19"/>
        <v>-9.8534006248497397E-3</v>
      </c>
    </row>
    <row r="845" spans="1:7">
      <c r="A845" s="13">
        <v>40.14</v>
      </c>
      <c r="B845" s="13">
        <v>40.365000000000002</v>
      </c>
      <c r="C845" s="13">
        <v>39.570999999999998</v>
      </c>
      <c r="D845" s="13">
        <v>40.119999999999997</v>
      </c>
      <c r="E845" s="13">
        <v>6171328</v>
      </c>
      <c r="F845" s="13" t="s">
        <v>1720</v>
      </c>
      <c r="G845" s="18">
        <f t="shared" si="19"/>
        <v>4.9850448654042978E-4</v>
      </c>
    </row>
    <row r="846" spans="1:7">
      <c r="A846" s="13">
        <v>40.090000000000003</v>
      </c>
      <c r="B846" s="13">
        <v>40.435000000000002</v>
      </c>
      <c r="C846" s="13">
        <v>39.549999999999997</v>
      </c>
      <c r="D846" s="13">
        <v>39.78</v>
      </c>
      <c r="E846" s="13">
        <v>7417429</v>
      </c>
      <c r="F846" s="13" t="s">
        <v>1719</v>
      </c>
      <c r="G846" s="18">
        <f t="shared" si="19"/>
        <v>7.7928607340371769E-3</v>
      </c>
    </row>
    <row r="847" spans="1:7">
      <c r="A847" s="13">
        <v>40.15</v>
      </c>
      <c r="B847" s="13">
        <v>40.340000000000003</v>
      </c>
      <c r="C847" s="13">
        <v>39.29</v>
      </c>
      <c r="D847" s="13">
        <v>39.770000000000003</v>
      </c>
      <c r="E847" s="13">
        <v>5959556</v>
      </c>
      <c r="F847" s="13" t="s">
        <v>1718</v>
      </c>
      <c r="G847" s="18">
        <f t="shared" si="19"/>
        <v>9.554940910233789E-3</v>
      </c>
    </row>
    <row r="848" spans="1:7">
      <c r="A848" s="13">
        <v>39.89</v>
      </c>
      <c r="B848" s="13">
        <v>40.020000000000003</v>
      </c>
      <c r="C848" s="13">
        <v>39.034999999999997</v>
      </c>
      <c r="D848" s="13">
        <v>39.619999999999997</v>
      </c>
      <c r="E848" s="13">
        <v>6662630</v>
      </c>
      <c r="F848" s="13" t="s">
        <v>1717</v>
      </c>
      <c r="G848" s="18">
        <f t="shared" si="19"/>
        <v>6.8147400302878136E-3</v>
      </c>
    </row>
    <row r="849" spans="1:7">
      <c r="A849" s="13">
        <v>39.22</v>
      </c>
      <c r="B849" s="13">
        <v>39.57</v>
      </c>
      <c r="C849" s="13">
        <v>38.24</v>
      </c>
      <c r="D849" s="13">
        <v>39.25</v>
      </c>
      <c r="E849" s="13">
        <v>12397592</v>
      </c>
      <c r="F849" s="13" t="s">
        <v>1716</v>
      </c>
      <c r="G849" s="18">
        <f t="shared" si="19"/>
        <v>-7.6433121019114925E-4</v>
      </c>
    </row>
    <row r="850" spans="1:7">
      <c r="A850" s="13">
        <v>39.49</v>
      </c>
      <c r="B850" s="13">
        <v>40.25</v>
      </c>
      <c r="C850" s="13">
        <v>39.075000000000003</v>
      </c>
      <c r="D850" s="13">
        <v>39.729999999999997</v>
      </c>
      <c r="E850" s="13">
        <v>9555980</v>
      </c>
      <c r="F850" s="13" t="s">
        <v>1715</v>
      </c>
      <c r="G850" s="18">
        <f t="shared" si="19"/>
        <v>-6.040775232821427E-3</v>
      </c>
    </row>
    <row r="851" spans="1:7">
      <c r="A851" s="13">
        <v>40.229999999999997</v>
      </c>
      <c r="B851" s="13">
        <v>41.12</v>
      </c>
      <c r="C851" s="13">
        <v>40.119999999999997</v>
      </c>
      <c r="D851" s="13">
        <v>40.85</v>
      </c>
      <c r="E851" s="13">
        <v>10495412</v>
      </c>
      <c r="F851" s="13" t="s">
        <v>1714</v>
      </c>
      <c r="G851" s="18">
        <f t="shared" si="19"/>
        <v>-1.5177478580171488E-2</v>
      </c>
    </row>
    <row r="852" spans="1:7">
      <c r="A852" s="13">
        <v>41.32</v>
      </c>
      <c r="B852" s="13">
        <v>41.5</v>
      </c>
      <c r="C852" s="13">
        <v>40.25</v>
      </c>
      <c r="D852" s="13">
        <v>40.51</v>
      </c>
      <c r="E852" s="13">
        <v>9315300</v>
      </c>
      <c r="F852" s="13" t="s">
        <v>1713</v>
      </c>
      <c r="G852" s="18">
        <f t="shared" si="19"/>
        <v>1.9995062947420372E-2</v>
      </c>
    </row>
    <row r="853" spans="1:7">
      <c r="A853" s="13">
        <v>39.82</v>
      </c>
      <c r="B853" s="13">
        <v>40.055</v>
      </c>
      <c r="C853" s="13">
        <v>39.340000000000003</v>
      </c>
      <c r="D853" s="13">
        <v>39.43</v>
      </c>
      <c r="E853" s="13">
        <v>5833667</v>
      </c>
      <c r="F853" s="13" t="s">
        <v>1712</v>
      </c>
      <c r="G853" s="18">
        <f t="shared" si="19"/>
        <v>9.8909459802181132E-3</v>
      </c>
    </row>
    <row r="854" spans="1:7">
      <c r="A854" s="13">
        <v>39.659999999999997</v>
      </c>
      <c r="B854" s="13">
        <v>39.92</v>
      </c>
      <c r="C854" s="13">
        <v>39.115000000000002</v>
      </c>
      <c r="D854" s="13">
        <v>39.159999999999997</v>
      </c>
      <c r="E854" s="13">
        <v>7768202</v>
      </c>
      <c r="F854" s="13" t="s">
        <v>1711</v>
      </c>
      <c r="G854" s="18">
        <f t="shared" si="19"/>
        <v>1.2768130745658857E-2</v>
      </c>
    </row>
    <row r="855" spans="1:7">
      <c r="A855" s="13">
        <v>38.79</v>
      </c>
      <c r="B855" s="13">
        <v>39</v>
      </c>
      <c r="C855" s="13">
        <v>38.020000000000003</v>
      </c>
      <c r="D855" s="13">
        <v>38.57</v>
      </c>
      <c r="E855" s="13">
        <v>9925061</v>
      </c>
      <c r="F855" s="13" t="s">
        <v>1710</v>
      </c>
      <c r="G855" s="18">
        <f t="shared" si="19"/>
        <v>5.703914959813261E-3</v>
      </c>
    </row>
    <row r="856" spans="1:7">
      <c r="A856" s="13">
        <v>38.74</v>
      </c>
      <c r="B856" s="13">
        <v>39.65</v>
      </c>
      <c r="C856" s="13">
        <v>38.344999999999999</v>
      </c>
      <c r="D856" s="13">
        <v>38.549999999999997</v>
      </c>
      <c r="E856" s="13">
        <v>11574651</v>
      </c>
      <c r="F856" s="13" t="s">
        <v>1709</v>
      </c>
      <c r="G856" s="18">
        <f t="shared" si="19"/>
        <v>4.9286640726331488E-3</v>
      </c>
    </row>
    <row r="857" spans="1:7">
      <c r="A857" s="13">
        <v>38.65</v>
      </c>
      <c r="B857" s="13">
        <v>39.24</v>
      </c>
      <c r="C857" s="13">
        <v>37.994999999999997</v>
      </c>
      <c r="D857" s="13">
        <v>38.69</v>
      </c>
      <c r="E857" s="13">
        <v>10993761</v>
      </c>
      <c r="F857" s="13" t="s">
        <v>1708</v>
      </c>
      <c r="G857" s="18">
        <f t="shared" si="19"/>
        <v>-1.0338588782631275E-3</v>
      </c>
    </row>
    <row r="858" spans="1:7">
      <c r="A858" s="13">
        <v>38.29</v>
      </c>
      <c r="B858" s="13">
        <v>40.31</v>
      </c>
      <c r="C858" s="13">
        <v>37.984999999999999</v>
      </c>
      <c r="D858" s="13">
        <v>40.26</v>
      </c>
      <c r="E858" s="13">
        <v>13411790</v>
      </c>
      <c r="F858" s="13" t="s">
        <v>1707</v>
      </c>
      <c r="G858" s="18">
        <f t="shared" si="19"/>
        <v>-4.8931942374565329E-2</v>
      </c>
    </row>
    <row r="859" spans="1:7">
      <c r="A859" s="13">
        <v>40.85</v>
      </c>
      <c r="B859" s="13">
        <v>41.91</v>
      </c>
      <c r="C859" s="13">
        <v>40.619999999999997</v>
      </c>
      <c r="D859" s="13">
        <v>41.84</v>
      </c>
      <c r="E859" s="13">
        <v>9138291</v>
      </c>
      <c r="F859" s="13" t="s">
        <v>1706</v>
      </c>
      <c r="G859" s="18">
        <f t="shared" si="19"/>
        <v>-2.3661567877629075E-2</v>
      </c>
    </row>
    <row r="860" spans="1:7">
      <c r="A860" s="13">
        <v>42.03</v>
      </c>
      <c r="B860" s="13">
        <v>42.93</v>
      </c>
      <c r="C860" s="13">
        <v>41.575000000000003</v>
      </c>
      <c r="D860" s="13">
        <v>42.47</v>
      </c>
      <c r="E860" s="13">
        <v>9579476</v>
      </c>
      <c r="F860" s="13" t="s">
        <v>1705</v>
      </c>
      <c r="G860" s="18">
        <f t="shared" si="19"/>
        <v>-1.0360254297150928E-2</v>
      </c>
    </row>
    <row r="861" spans="1:7">
      <c r="A861" s="13">
        <v>42.75</v>
      </c>
      <c r="B861" s="13">
        <v>42.9</v>
      </c>
      <c r="C861" s="13">
        <v>41.4</v>
      </c>
      <c r="D861" s="13">
        <v>41.78</v>
      </c>
      <c r="E861" s="13">
        <v>6111495</v>
      </c>
      <c r="F861" s="13" t="s">
        <v>1704</v>
      </c>
      <c r="G861" s="18">
        <f t="shared" si="19"/>
        <v>2.3216850167544267E-2</v>
      </c>
    </row>
    <row r="862" spans="1:7">
      <c r="A862" s="13">
        <v>41.77</v>
      </c>
      <c r="B862" s="13">
        <v>42.27</v>
      </c>
      <c r="C862" s="13">
        <v>41.5</v>
      </c>
      <c r="D862" s="13">
        <v>41.5</v>
      </c>
      <c r="E862" s="13">
        <v>7410051</v>
      </c>
      <c r="F862" s="13" t="s">
        <v>1703</v>
      </c>
      <c r="G862" s="18">
        <f t="shared" si="19"/>
        <v>6.5060240963856764E-3</v>
      </c>
    </row>
    <row r="863" spans="1:7">
      <c r="A863" s="13">
        <v>41.63</v>
      </c>
      <c r="B863" s="13">
        <v>42.65</v>
      </c>
      <c r="C863" s="13">
        <v>40.78</v>
      </c>
      <c r="D863" s="13">
        <v>42.36</v>
      </c>
      <c r="E863" s="13">
        <v>9896173</v>
      </c>
      <c r="F863" s="13" t="s">
        <v>1702</v>
      </c>
      <c r="G863" s="18">
        <f t="shared" si="19"/>
        <v>-1.7233238904626913E-2</v>
      </c>
    </row>
    <row r="864" spans="1:7">
      <c r="A864" s="13">
        <v>42.11</v>
      </c>
      <c r="B864" s="13">
        <v>42.98</v>
      </c>
      <c r="C864" s="13">
        <v>41.95</v>
      </c>
      <c r="D864" s="13">
        <v>42.52</v>
      </c>
      <c r="E864" s="13">
        <v>15072896</v>
      </c>
      <c r="F864" s="13" t="s">
        <v>1701</v>
      </c>
      <c r="G864" s="18">
        <f t="shared" si="19"/>
        <v>-9.6425211665099875E-3</v>
      </c>
    </row>
    <row r="865" spans="1:7">
      <c r="A865" s="13">
        <v>42.73</v>
      </c>
      <c r="B865" s="13">
        <v>43.61</v>
      </c>
      <c r="C865" s="13">
        <v>42</v>
      </c>
      <c r="D865" s="13">
        <v>43.44</v>
      </c>
      <c r="E865" s="13">
        <v>8550060</v>
      </c>
      <c r="F865" s="13" t="s">
        <v>1700</v>
      </c>
      <c r="G865" s="18">
        <f t="shared" si="19"/>
        <v>-1.6344383057090295E-2</v>
      </c>
    </row>
    <row r="866" spans="1:7">
      <c r="A866" s="13">
        <v>43.06</v>
      </c>
      <c r="B866" s="13">
        <v>44.85</v>
      </c>
      <c r="C866" s="13">
        <v>42.86</v>
      </c>
      <c r="D866" s="13">
        <v>43.55</v>
      </c>
      <c r="E866" s="13">
        <v>14686372</v>
      </c>
      <c r="F866" s="13" t="s">
        <v>1699</v>
      </c>
      <c r="G866" s="18">
        <f t="shared" si="19"/>
        <v>-1.1251435132032084E-2</v>
      </c>
    </row>
    <row r="867" spans="1:7">
      <c r="A867" s="13">
        <v>42.6</v>
      </c>
      <c r="B867" s="13">
        <v>44.17</v>
      </c>
      <c r="C867" s="13">
        <v>42.54</v>
      </c>
      <c r="D867" s="13">
        <v>43.85</v>
      </c>
      <c r="E867" s="13">
        <v>14253448</v>
      </c>
      <c r="F867" s="13" t="s">
        <v>1698</v>
      </c>
      <c r="G867" s="18">
        <f t="shared" si="19"/>
        <v>-2.8506271379703518E-2</v>
      </c>
    </row>
    <row r="868" spans="1:7">
      <c r="A868" s="13">
        <v>44.59</v>
      </c>
      <c r="B868" s="13">
        <v>44.774999999999999</v>
      </c>
      <c r="C868" s="13">
        <v>43.59</v>
      </c>
      <c r="D868" s="13">
        <v>43.76</v>
      </c>
      <c r="E868" s="13">
        <v>10329262</v>
      </c>
      <c r="F868" s="13" t="s">
        <v>1697</v>
      </c>
      <c r="G868" s="18">
        <f t="shared" si="19"/>
        <v>1.89670932358319E-2</v>
      </c>
    </row>
    <row r="869" spans="1:7">
      <c r="A869" s="13">
        <v>43.9</v>
      </c>
      <c r="B869" s="13">
        <v>45.97</v>
      </c>
      <c r="C869" s="13">
        <v>43.725000000000001</v>
      </c>
      <c r="D869" s="13">
        <v>45.8</v>
      </c>
      <c r="E869" s="13">
        <v>11485495</v>
      </c>
      <c r="F869" s="13" t="s">
        <v>1696</v>
      </c>
      <c r="G869" s="18">
        <f t="shared" si="19"/>
        <v>-4.148471615720517E-2</v>
      </c>
    </row>
    <row r="870" spans="1:7">
      <c r="A870" s="13">
        <v>46.31</v>
      </c>
      <c r="B870" s="13">
        <v>47.38</v>
      </c>
      <c r="C870" s="13">
        <v>46.26</v>
      </c>
      <c r="D870" s="13">
        <v>47.33</v>
      </c>
      <c r="E870" s="13">
        <v>8062385</v>
      </c>
      <c r="F870" s="13" t="s">
        <v>1695</v>
      </c>
      <c r="G870" s="18">
        <f t="shared" si="19"/>
        <v>-2.155081343756593E-2</v>
      </c>
    </row>
    <row r="871" spans="1:7">
      <c r="A871" s="13">
        <v>47.1</v>
      </c>
      <c r="B871" s="13">
        <v>47.494999999999997</v>
      </c>
      <c r="C871" s="13">
        <v>45.62</v>
      </c>
      <c r="D871" s="13">
        <v>45.93</v>
      </c>
      <c r="E871" s="13">
        <v>14255697</v>
      </c>
      <c r="F871" s="13" t="s">
        <v>1694</v>
      </c>
      <c r="G871" s="18">
        <f t="shared" si="19"/>
        <v>2.547354670150237E-2</v>
      </c>
    </row>
    <row r="872" spans="1:7">
      <c r="A872" s="13">
        <v>45.72</v>
      </c>
      <c r="B872" s="13">
        <v>45.95</v>
      </c>
      <c r="C872" s="13">
        <v>43.83</v>
      </c>
      <c r="D872" s="13">
        <v>43.92</v>
      </c>
      <c r="E872" s="13">
        <v>9196715</v>
      </c>
      <c r="F872" s="13" t="s">
        <v>1693</v>
      </c>
      <c r="G872" s="18">
        <f t="shared" si="19"/>
        <v>4.0983606557376984E-2</v>
      </c>
    </row>
    <row r="873" spans="1:7">
      <c r="A873" s="13">
        <v>43.74</v>
      </c>
      <c r="B873" s="13">
        <v>44.564999999999998</v>
      </c>
      <c r="C873" s="13">
        <v>43.55</v>
      </c>
      <c r="D873" s="13">
        <v>44.13</v>
      </c>
      <c r="E873" s="13">
        <v>4082718</v>
      </c>
      <c r="F873" s="13" t="s">
        <v>1692</v>
      </c>
      <c r="G873" s="18">
        <f t="shared" si="19"/>
        <v>-8.8375254928619862E-3</v>
      </c>
    </row>
    <row r="874" spans="1:7">
      <c r="A874" s="13">
        <v>44.25</v>
      </c>
      <c r="B874" s="13">
        <v>44.71</v>
      </c>
      <c r="C874" s="13">
        <v>44.03</v>
      </c>
      <c r="D874" s="13">
        <v>44.51</v>
      </c>
      <c r="E874" s="13">
        <v>5172331</v>
      </c>
      <c r="F874" s="13" t="s">
        <v>1691</v>
      </c>
      <c r="G874" s="18">
        <f t="shared" si="19"/>
        <v>-5.8413839586609617E-3</v>
      </c>
    </row>
    <row r="875" spans="1:7">
      <c r="A875" s="13">
        <v>44.43</v>
      </c>
      <c r="B875" s="13">
        <v>44.534999999999997</v>
      </c>
      <c r="C875" s="13">
        <v>43.650100000000002</v>
      </c>
      <c r="D875" s="13">
        <v>43.86</v>
      </c>
      <c r="E875" s="13">
        <v>4151778</v>
      </c>
      <c r="F875" s="13" t="s">
        <v>1690</v>
      </c>
      <c r="G875" s="18">
        <f t="shared" si="19"/>
        <v>1.29958960328318E-2</v>
      </c>
    </row>
    <row r="876" spans="1:7">
      <c r="A876" s="13">
        <v>43.76</v>
      </c>
      <c r="B876" s="13">
        <v>44.534999999999997</v>
      </c>
      <c r="C876" s="13">
        <v>43.615000000000002</v>
      </c>
      <c r="D876" s="13">
        <v>44.22</v>
      </c>
      <c r="E876" s="13">
        <v>4156075</v>
      </c>
      <c r="F876" s="13" t="s">
        <v>1689</v>
      </c>
      <c r="G876" s="18">
        <f t="shared" si="19"/>
        <v>-1.0402532790592556E-2</v>
      </c>
    </row>
    <row r="877" spans="1:7">
      <c r="A877" s="13">
        <v>44.22</v>
      </c>
      <c r="B877" s="13">
        <v>44.91</v>
      </c>
      <c r="C877" s="13">
        <v>44.15</v>
      </c>
      <c r="D877" s="13">
        <v>44.7</v>
      </c>
      <c r="E877" s="13">
        <v>6497875</v>
      </c>
      <c r="F877" s="13" t="s">
        <v>1688</v>
      </c>
      <c r="G877" s="18">
        <f t="shared" si="19"/>
        <v>-1.0738255033557187E-2</v>
      </c>
    </row>
    <row r="878" spans="1:7">
      <c r="A878" s="13">
        <v>44.84</v>
      </c>
      <c r="B878" s="13">
        <v>45.24</v>
      </c>
      <c r="C878" s="13">
        <v>44.66</v>
      </c>
      <c r="D878" s="13">
        <v>44.95</v>
      </c>
      <c r="E878" s="13">
        <v>9615588</v>
      </c>
      <c r="F878" s="13" t="s">
        <v>1687</v>
      </c>
      <c r="G878" s="18">
        <f t="shared" si="19"/>
        <v>-2.4471635150167259E-3</v>
      </c>
    </row>
    <row r="879" spans="1:7">
      <c r="A879" s="13">
        <v>44.96</v>
      </c>
      <c r="B879" s="13">
        <v>45.17</v>
      </c>
      <c r="C879" s="13">
        <v>44.32</v>
      </c>
      <c r="D879" s="13">
        <v>44.44</v>
      </c>
      <c r="E879" s="13">
        <v>5758744</v>
      </c>
      <c r="F879" s="13" t="s">
        <v>1686</v>
      </c>
      <c r="G879" s="18">
        <f t="shared" si="19"/>
        <v>1.1701170117011772E-2</v>
      </c>
    </row>
    <row r="880" spans="1:7">
      <c r="A880" s="13">
        <v>44.58</v>
      </c>
      <c r="B880" s="13">
        <v>44.66</v>
      </c>
      <c r="C880" s="13">
        <v>43.555</v>
      </c>
      <c r="D880" s="13">
        <v>43.97</v>
      </c>
      <c r="E880" s="13">
        <v>7256618</v>
      </c>
      <c r="F880" s="13" t="s">
        <v>1685</v>
      </c>
      <c r="G880" s="18">
        <f t="shared" si="19"/>
        <v>1.3873095292244786E-2</v>
      </c>
    </row>
    <row r="881" spans="1:7">
      <c r="A881" s="13">
        <v>44.35</v>
      </c>
      <c r="B881" s="13">
        <v>44.64</v>
      </c>
      <c r="C881" s="13">
        <v>44.02</v>
      </c>
      <c r="D881" s="13">
        <v>44.05</v>
      </c>
      <c r="E881" s="13">
        <v>11425872</v>
      </c>
      <c r="F881" s="13" t="s">
        <v>1684</v>
      </c>
      <c r="G881" s="18">
        <f t="shared" si="19"/>
        <v>6.8104426787742867E-3</v>
      </c>
    </row>
    <row r="882" spans="1:7">
      <c r="A882" s="13">
        <v>44.16</v>
      </c>
      <c r="B882" s="13">
        <v>45.08</v>
      </c>
      <c r="C882" s="13">
        <v>43.73</v>
      </c>
      <c r="D882" s="13">
        <v>44.83</v>
      </c>
      <c r="E882" s="13">
        <v>10642479</v>
      </c>
      <c r="F882" s="13" t="s">
        <v>1683</v>
      </c>
      <c r="G882" s="18">
        <f t="shared" ref="G882:G945" si="20">A882/D882-1</f>
        <v>-1.4945349096587179E-2</v>
      </c>
    </row>
    <row r="883" spans="1:7">
      <c r="A883" s="13">
        <v>44.99</v>
      </c>
      <c r="B883" s="13">
        <v>45.03</v>
      </c>
      <c r="C883" s="13">
        <v>44.21</v>
      </c>
      <c r="D883" s="13">
        <v>44.55</v>
      </c>
      <c r="E883" s="13">
        <v>5188861</v>
      </c>
      <c r="F883" s="13" t="s">
        <v>1682</v>
      </c>
      <c r="G883" s="18">
        <f t="shared" si="20"/>
        <v>9.8765432098766315E-3</v>
      </c>
    </row>
    <row r="884" spans="1:7">
      <c r="A884" s="13">
        <v>44.29</v>
      </c>
      <c r="B884" s="13">
        <v>45.134999999999998</v>
      </c>
      <c r="C884" s="13">
        <v>44.27</v>
      </c>
      <c r="D884" s="13">
        <v>44.62</v>
      </c>
      <c r="E884" s="13">
        <v>10142338</v>
      </c>
      <c r="F884" s="13" t="s">
        <v>1681</v>
      </c>
      <c r="G884" s="18">
        <f t="shared" si="20"/>
        <v>-7.3957866427610819E-3</v>
      </c>
    </row>
    <row r="885" spans="1:7">
      <c r="A885" s="13">
        <v>44.7</v>
      </c>
      <c r="B885" s="13">
        <v>45.075000000000003</v>
      </c>
      <c r="C885" s="13">
        <v>44.42</v>
      </c>
      <c r="D885" s="13">
        <v>44.65</v>
      </c>
      <c r="E885" s="13">
        <v>6862600</v>
      </c>
      <c r="F885" s="13" t="s">
        <v>1680</v>
      </c>
      <c r="G885" s="18">
        <f t="shared" si="20"/>
        <v>1.1198208286675726E-3</v>
      </c>
    </row>
    <row r="886" spans="1:7">
      <c r="A886" s="13">
        <v>44.85</v>
      </c>
      <c r="B886" s="13">
        <v>45.08</v>
      </c>
      <c r="C886" s="13">
        <v>44.43</v>
      </c>
      <c r="D886" s="13">
        <v>44.87</v>
      </c>
      <c r="E886" s="13">
        <v>6133649</v>
      </c>
      <c r="F886" s="13" t="s">
        <v>1679</v>
      </c>
      <c r="G886" s="18">
        <f t="shared" si="20"/>
        <v>-4.4573211499876475E-4</v>
      </c>
    </row>
    <row r="887" spans="1:7">
      <c r="A887" s="13">
        <v>44.27</v>
      </c>
      <c r="B887" s="13">
        <v>44.3</v>
      </c>
      <c r="C887" s="13">
        <v>43.5</v>
      </c>
      <c r="D887" s="13">
        <v>43.68</v>
      </c>
      <c r="E887" s="13">
        <v>4498434</v>
      </c>
      <c r="F887" s="13" t="s">
        <v>1678</v>
      </c>
      <c r="G887" s="18">
        <f t="shared" si="20"/>
        <v>1.3507326007326181E-2</v>
      </c>
    </row>
    <row r="888" spans="1:7">
      <c r="A888" s="13">
        <v>43.5</v>
      </c>
      <c r="B888" s="13">
        <v>43.52</v>
      </c>
      <c r="C888" s="13">
        <v>42.905000000000001</v>
      </c>
      <c r="D888" s="13">
        <v>43.05</v>
      </c>
      <c r="E888" s="13">
        <v>6033884</v>
      </c>
      <c r="F888" s="13" t="s">
        <v>1677</v>
      </c>
      <c r="G888" s="18">
        <f t="shared" si="20"/>
        <v>1.0452961672474004E-2</v>
      </c>
    </row>
    <row r="889" spans="1:7">
      <c r="A889" s="13">
        <v>42.87</v>
      </c>
      <c r="B889" s="13">
        <v>42.994999999999997</v>
      </c>
      <c r="C889" s="13">
        <v>42.11</v>
      </c>
      <c r="D889" s="13">
        <v>42.36</v>
      </c>
      <c r="E889" s="13">
        <v>5653405</v>
      </c>
      <c r="F889" s="13" t="s">
        <v>1676</v>
      </c>
      <c r="G889" s="18">
        <f t="shared" si="20"/>
        <v>1.2039660056657242E-2</v>
      </c>
    </row>
    <row r="890" spans="1:7">
      <c r="A890" s="13">
        <v>42.3</v>
      </c>
      <c r="B890" s="13">
        <v>43.56</v>
      </c>
      <c r="C890" s="13">
        <v>41.99</v>
      </c>
      <c r="D890" s="13">
        <v>43.54</v>
      </c>
      <c r="E890" s="13">
        <v>11794087</v>
      </c>
      <c r="F890" s="13" t="s">
        <v>1675</v>
      </c>
      <c r="G890" s="18">
        <f t="shared" si="20"/>
        <v>-2.8479559026182821E-2</v>
      </c>
    </row>
    <row r="891" spans="1:7">
      <c r="A891" s="13">
        <v>43.74</v>
      </c>
      <c r="B891" s="13">
        <v>44.59</v>
      </c>
      <c r="C891" s="13">
        <v>43.674999999999997</v>
      </c>
      <c r="D891" s="13">
        <v>44.33</v>
      </c>
      <c r="E891" s="13">
        <v>6584340</v>
      </c>
      <c r="F891" s="13" t="s">
        <v>1674</v>
      </c>
      <c r="G891" s="18">
        <f t="shared" si="20"/>
        <v>-1.3309271373787457E-2</v>
      </c>
    </row>
    <row r="892" spans="1:7">
      <c r="A892" s="13">
        <v>44.32</v>
      </c>
      <c r="B892" s="13">
        <v>44.47</v>
      </c>
      <c r="C892" s="13">
        <v>43.8</v>
      </c>
      <c r="D892" s="13">
        <v>43.87</v>
      </c>
      <c r="E892" s="13">
        <v>5302414</v>
      </c>
      <c r="F892" s="13" t="s">
        <v>1673</v>
      </c>
      <c r="G892" s="18">
        <f t="shared" si="20"/>
        <v>1.0257579211306211E-2</v>
      </c>
    </row>
    <row r="893" spans="1:7">
      <c r="A893" s="13">
        <v>44.22</v>
      </c>
      <c r="B893" s="13">
        <v>44.33</v>
      </c>
      <c r="C893" s="13">
        <v>43.63</v>
      </c>
      <c r="D893" s="13">
        <v>44.19</v>
      </c>
      <c r="E893" s="13">
        <v>10662295</v>
      </c>
      <c r="F893" s="13" t="s">
        <v>1672</v>
      </c>
      <c r="G893" s="18">
        <f t="shared" si="20"/>
        <v>6.788866259335169E-4</v>
      </c>
    </row>
    <row r="894" spans="1:7">
      <c r="A894" s="13">
        <v>44.21</v>
      </c>
      <c r="B894" s="13">
        <v>44.244999999999997</v>
      </c>
      <c r="C894" s="13">
        <v>43.62</v>
      </c>
      <c r="D894" s="13">
        <v>43.62</v>
      </c>
      <c r="E894" s="13">
        <v>8114398</v>
      </c>
      <c r="F894" s="13" t="s">
        <v>1671</v>
      </c>
      <c r="G894" s="18">
        <f t="shared" si="20"/>
        <v>1.3525905547913775E-2</v>
      </c>
    </row>
    <row r="895" spans="1:7">
      <c r="A895" s="13">
        <v>43.84</v>
      </c>
      <c r="B895" s="13">
        <v>44.01</v>
      </c>
      <c r="C895" s="13">
        <v>43</v>
      </c>
      <c r="D895" s="13">
        <v>43.12</v>
      </c>
      <c r="E895" s="13">
        <v>7726660</v>
      </c>
      <c r="F895" s="13" t="s">
        <v>1670</v>
      </c>
      <c r="G895" s="18">
        <f t="shared" si="20"/>
        <v>1.6697588126159735E-2</v>
      </c>
    </row>
    <row r="896" spans="1:7">
      <c r="A896" s="13">
        <v>42.66</v>
      </c>
      <c r="B896" s="13">
        <v>42.85</v>
      </c>
      <c r="C896" s="13">
        <v>42.12</v>
      </c>
      <c r="D896" s="13">
        <v>42.49</v>
      </c>
      <c r="E896" s="13">
        <v>6925942</v>
      </c>
      <c r="F896" s="13" t="s">
        <v>1669</v>
      </c>
      <c r="G896" s="18">
        <f t="shared" si="20"/>
        <v>4.0009413979757991E-3</v>
      </c>
    </row>
    <row r="897" spans="1:7">
      <c r="A897" s="13">
        <v>41.9</v>
      </c>
      <c r="B897" s="13">
        <v>42.39</v>
      </c>
      <c r="C897" s="13">
        <v>41.64</v>
      </c>
      <c r="D897" s="13">
        <v>42.19</v>
      </c>
      <c r="E897" s="13">
        <v>8307525</v>
      </c>
      <c r="F897" s="13" t="s">
        <v>1668</v>
      </c>
      <c r="G897" s="18">
        <f t="shared" si="20"/>
        <v>-6.8736667456743561E-3</v>
      </c>
    </row>
    <row r="898" spans="1:7">
      <c r="A898" s="13">
        <v>41.7</v>
      </c>
      <c r="B898" s="13">
        <v>42.56</v>
      </c>
      <c r="C898" s="13">
        <v>41.66</v>
      </c>
      <c r="D898" s="13">
        <v>42</v>
      </c>
      <c r="E898" s="13">
        <v>6175638</v>
      </c>
      <c r="F898" s="13" t="s">
        <v>1667</v>
      </c>
      <c r="G898" s="18">
        <f t="shared" si="20"/>
        <v>-7.1428571428571175E-3</v>
      </c>
    </row>
    <row r="899" spans="1:7">
      <c r="A899" s="13">
        <v>41.74</v>
      </c>
      <c r="B899" s="13">
        <v>41.86</v>
      </c>
      <c r="C899" s="13">
        <v>41.27</v>
      </c>
      <c r="D899" s="13">
        <v>41.45</v>
      </c>
      <c r="E899" s="13">
        <v>9237456</v>
      </c>
      <c r="F899" s="13" t="s">
        <v>1666</v>
      </c>
      <c r="G899" s="18">
        <f t="shared" si="20"/>
        <v>6.9963811821471822E-3</v>
      </c>
    </row>
    <row r="900" spans="1:7">
      <c r="A900" s="13">
        <v>42.07</v>
      </c>
      <c r="B900" s="13">
        <v>42.295000000000002</v>
      </c>
      <c r="C900" s="13">
        <v>41.295000000000002</v>
      </c>
      <c r="D900" s="13">
        <v>41.76</v>
      </c>
      <c r="E900" s="13">
        <v>10484470</v>
      </c>
      <c r="F900" s="13" t="s">
        <v>1665</v>
      </c>
      <c r="G900" s="18">
        <f t="shared" si="20"/>
        <v>7.4233716475096134E-3</v>
      </c>
    </row>
    <row r="901" spans="1:7">
      <c r="A901" s="13">
        <v>40.9</v>
      </c>
      <c r="B901" s="13">
        <v>42.53</v>
      </c>
      <c r="C901" s="13">
        <v>40.799999999999997</v>
      </c>
      <c r="D901" s="13">
        <v>42.46</v>
      </c>
      <c r="E901" s="13">
        <v>11351230</v>
      </c>
      <c r="F901" s="13" t="s">
        <v>1664</v>
      </c>
      <c r="G901" s="18">
        <f t="shared" si="20"/>
        <v>-3.6740461610928032E-2</v>
      </c>
    </row>
    <row r="902" spans="1:7">
      <c r="A902" s="13">
        <v>42.55</v>
      </c>
      <c r="B902" s="13">
        <v>43.8</v>
      </c>
      <c r="C902" s="13">
        <v>42.49</v>
      </c>
      <c r="D902" s="13">
        <v>43.72</v>
      </c>
      <c r="E902" s="13">
        <v>8479723</v>
      </c>
      <c r="F902" s="13" t="s">
        <v>1663</v>
      </c>
      <c r="G902" s="18">
        <f t="shared" si="20"/>
        <v>-2.6761207685269905E-2</v>
      </c>
    </row>
    <row r="903" spans="1:7">
      <c r="A903" s="13">
        <v>43.96</v>
      </c>
      <c r="B903" s="13">
        <v>44.07</v>
      </c>
      <c r="C903" s="13">
        <v>43.075000000000003</v>
      </c>
      <c r="D903" s="13">
        <v>43.29</v>
      </c>
      <c r="E903" s="13">
        <v>7015738</v>
      </c>
      <c r="F903" s="13" t="s">
        <v>1662</v>
      </c>
      <c r="G903" s="18">
        <f t="shared" si="20"/>
        <v>1.547701547701541E-2</v>
      </c>
    </row>
    <row r="904" spans="1:7">
      <c r="A904" s="13">
        <v>43.96</v>
      </c>
      <c r="B904" s="13">
        <v>44.31</v>
      </c>
      <c r="C904" s="13">
        <v>43.54</v>
      </c>
      <c r="D904" s="13">
        <v>44.17</v>
      </c>
      <c r="E904" s="13">
        <v>6980450</v>
      </c>
      <c r="F904" s="13" t="s">
        <v>1661</v>
      </c>
      <c r="G904" s="18">
        <f t="shared" si="20"/>
        <v>-4.7543581616481534E-3</v>
      </c>
    </row>
    <row r="905" spans="1:7">
      <c r="A905" s="13">
        <v>43.9</v>
      </c>
      <c r="B905" s="13">
        <v>44.44</v>
      </c>
      <c r="C905" s="13">
        <v>43.64</v>
      </c>
      <c r="D905" s="13">
        <v>43.96</v>
      </c>
      <c r="E905" s="13">
        <v>11859577</v>
      </c>
      <c r="F905" s="13" t="s">
        <v>1660</v>
      </c>
      <c r="G905" s="18">
        <f t="shared" si="20"/>
        <v>-1.3648771610555999E-3</v>
      </c>
    </row>
    <row r="906" spans="1:7">
      <c r="A906" s="13">
        <v>43.36</v>
      </c>
      <c r="B906" s="13">
        <v>44.33</v>
      </c>
      <c r="C906" s="13">
        <v>42.98</v>
      </c>
      <c r="D906" s="13">
        <v>44.08</v>
      </c>
      <c r="E906" s="13">
        <v>9789857</v>
      </c>
      <c r="F906" s="13" t="s">
        <v>1659</v>
      </c>
      <c r="G906" s="18">
        <f t="shared" si="20"/>
        <v>-1.6333938294010864E-2</v>
      </c>
    </row>
    <row r="907" spans="1:7">
      <c r="A907" s="13">
        <v>44.17</v>
      </c>
      <c r="B907" s="13">
        <v>44.69</v>
      </c>
      <c r="C907" s="13">
        <v>43.66</v>
      </c>
      <c r="D907" s="13">
        <v>44.49</v>
      </c>
      <c r="E907" s="13">
        <v>10611068</v>
      </c>
      <c r="F907" s="13" t="s">
        <v>1658</v>
      </c>
      <c r="G907" s="18">
        <f t="shared" si="20"/>
        <v>-7.1926275567543163E-3</v>
      </c>
    </row>
    <row r="908" spans="1:7">
      <c r="A908" s="13">
        <v>45.1</v>
      </c>
      <c r="B908" s="13">
        <v>45.17</v>
      </c>
      <c r="C908" s="13">
        <v>43.77</v>
      </c>
      <c r="D908" s="13">
        <v>44</v>
      </c>
      <c r="E908" s="13">
        <v>10716154</v>
      </c>
      <c r="F908" s="13" t="s">
        <v>1657</v>
      </c>
      <c r="G908" s="18">
        <f t="shared" si="20"/>
        <v>2.5000000000000133E-2</v>
      </c>
    </row>
    <row r="909" spans="1:7">
      <c r="A909" s="13">
        <v>43.95</v>
      </c>
      <c r="B909" s="13">
        <v>44.024999999999999</v>
      </c>
      <c r="C909" s="13">
        <v>42.284999999999997</v>
      </c>
      <c r="D909" s="13">
        <v>42.75</v>
      </c>
      <c r="E909" s="13">
        <v>8259159</v>
      </c>
      <c r="F909" s="13" t="s">
        <v>1656</v>
      </c>
      <c r="G909" s="18">
        <f t="shared" si="20"/>
        <v>2.8070175438596578E-2</v>
      </c>
    </row>
    <row r="910" spans="1:7">
      <c r="A910" s="13">
        <v>43.71</v>
      </c>
      <c r="B910" s="13">
        <v>44.375</v>
      </c>
      <c r="C910" s="13">
        <v>43.14</v>
      </c>
      <c r="D910" s="13">
        <v>43.28</v>
      </c>
      <c r="E910" s="13">
        <v>12624712</v>
      </c>
      <c r="F910" s="13" t="s">
        <v>1655</v>
      </c>
      <c r="G910" s="18">
        <f t="shared" si="20"/>
        <v>9.9353049907577873E-3</v>
      </c>
    </row>
    <row r="911" spans="1:7">
      <c r="A911" s="13">
        <v>42.98</v>
      </c>
      <c r="B911" s="13">
        <v>43.37</v>
      </c>
      <c r="C911" s="13">
        <v>42.454999999999998</v>
      </c>
      <c r="D911" s="13">
        <v>42.55</v>
      </c>
      <c r="E911" s="13">
        <v>7835967</v>
      </c>
      <c r="F911" s="13" t="s">
        <v>1654</v>
      </c>
      <c r="G911" s="18">
        <f t="shared" si="20"/>
        <v>1.0105757931844872E-2</v>
      </c>
    </row>
    <row r="912" spans="1:7">
      <c r="A912" s="13">
        <v>42.55</v>
      </c>
      <c r="B912" s="13">
        <v>43.1</v>
      </c>
      <c r="C912" s="13">
        <v>42.19</v>
      </c>
      <c r="D912" s="13">
        <v>42.88</v>
      </c>
      <c r="E912" s="13">
        <v>6878328</v>
      </c>
      <c r="F912" s="13" t="s">
        <v>1653</v>
      </c>
      <c r="G912" s="18">
        <f t="shared" si="20"/>
        <v>-7.6958955223881409E-3</v>
      </c>
    </row>
    <row r="913" spans="1:7">
      <c r="A913" s="13">
        <v>42.83</v>
      </c>
      <c r="B913" s="13">
        <v>44.04</v>
      </c>
      <c r="C913" s="13">
        <v>42.594999999999999</v>
      </c>
      <c r="D913" s="13">
        <v>43.8</v>
      </c>
      <c r="E913" s="13">
        <v>7785450</v>
      </c>
      <c r="F913" s="13" t="s">
        <v>1652</v>
      </c>
      <c r="G913" s="18">
        <f t="shared" si="20"/>
        <v>-2.2146118721461217E-2</v>
      </c>
    </row>
    <row r="914" spans="1:7">
      <c r="A914" s="13">
        <v>44.19</v>
      </c>
      <c r="B914" s="13">
        <v>44.26</v>
      </c>
      <c r="C914" s="13">
        <v>43.234999999999999</v>
      </c>
      <c r="D914" s="13">
        <v>43.81</v>
      </c>
      <c r="E914" s="13">
        <v>6510167</v>
      </c>
      <c r="F914" s="13" t="s">
        <v>1651</v>
      </c>
      <c r="G914" s="18">
        <f t="shared" si="20"/>
        <v>8.6738187628394581E-3</v>
      </c>
    </row>
    <row r="915" spans="1:7">
      <c r="A915" s="13">
        <v>44.01</v>
      </c>
      <c r="B915" s="13">
        <v>44.01</v>
      </c>
      <c r="C915" s="13">
        <v>43.28</v>
      </c>
      <c r="D915" s="13">
        <v>43.38</v>
      </c>
      <c r="E915" s="13">
        <v>8014998</v>
      </c>
      <c r="F915" s="13" t="s">
        <v>1650</v>
      </c>
      <c r="G915" s="18">
        <f t="shared" si="20"/>
        <v>1.4522821576763434E-2</v>
      </c>
    </row>
    <row r="916" spans="1:7">
      <c r="A916" s="13">
        <v>42.73</v>
      </c>
      <c r="B916" s="13">
        <v>43.23</v>
      </c>
      <c r="C916" s="13">
        <v>42.44</v>
      </c>
      <c r="D916" s="13">
        <v>43</v>
      </c>
      <c r="E916" s="13">
        <v>7963578</v>
      </c>
      <c r="F916" s="13" t="s">
        <v>1649</v>
      </c>
      <c r="G916" s="18">
        <f t="shared" si="20"/>
        <v>-6.2790697674419693E-3</v>
      </c>
    </row>
    <row r="917" spans="1:7">
      <c r="A917" s="13">
        <v>43.11</v>
      </c>
      <c r="B917" s="13">
        <v>44</v>
      </c>
      <c r="C917" s="13">
        <v>42.9</v>
      </c>
      <c r="D917" s="13">
        <v>43.84</v>
      </c>
      <c r="E917" s="13">
        <v>6616116</v>
      </c>
      <c r="F917" s="13" t="s">
        <v>1648</v>
      </c>
      <c r="G917" s="18">
        <f t="shared" si="20"/>
        <v>-1.6651459854014727E-2</v>
      </c>
    </row>
    <row r="918" spans="1:7">
      <c r="A918" s="13">
        <v>43.75</v>
      </c>
      <c r="B918" s="13">
        <v>44.54</v>
      </c>
      <c r="C918" s="13">
        <v>43.56</v>
      </c>
      <c r="D918" s="13">
        <v>44.26</v>
      </c>
      <c r="E918" s="13">
        <v>8719369</v>
      </c>
      <c r="F918" s="13" t="s">
        <v>1647</v>
      </c>
      <c r="G918" s="18">
        <f t="shared" si="20"/>
        <v>-1.1522819701762277E-2</v>
      </c>
    </row>
    <row r="919" spans="1:7">
      <c r="A919" s="13">
        <v>44.75</v>
      </c>
      <c r="B919" s="13">
        <v>45</v>
      </c>
      <c r="C919" s="13">
        <v>44.265000000000001</v>
      </c>
      <c r="D919" s="13">
        <v>44.615000000000002</v>
      </c>
      <c r="E919" s="13">
        <v>9732078</v>
      </c>
      <c r="F919" s="13" t="s">
        <v>1646</v>
      </c>
      <c r="G919" s="18">
        <f t="shared" si="20"/>
        <v>3.0258881542082339E-3</v>
      </c>
    </row>
    <row r="920" spans="1:7">
      <c r="A920" s="13">
        <v>44.16</v>
      </c>
      <c r="B920" s="13">
        <v>44.26</v>
      </c>
      <c r="C920" s="13">
        <v>42.98</v>
      </c>
      <c r="D920" s="13">
        <v>43.2</v>
      </c>
      <c r="E920" s="13">
        <v>8019978</v>
      </c>
      <c r="F920" s="13" t="s">
        <v>1645</v>
      </c>
      <c r="G920" s="18">
        <f t="shared" si="20"/>
        <v>2.2222222222222143E-2</v>
      </c>
    </row>
    <row r="921" spans="1:7">
      <c r="A921" s="13">
        <v>42.91</v>
      </c>
      <c r="B921" s="13">
        <v>43.51</v>
      </c>
      <c r="C921" s="13">
        <v>42.54</v>
      </c>
      <c r="D921" s="13">
        <v>42.64</v>
      </c>
      <c r="E921" s="13">
        <v>7259545</v>
      </c>
      <c r="F921" s="13" t="s">
        <v>1644</v>
      </c>
      <c r="G921" s="18">
        <f t="shared" si="20"/>
        <v>6.3320825515946755E-3</v>
      </c>
    </row>
    <row r="922" spans="1:7">
      <c r="A922" s="13">
        <v>42.77</v>
      </c>
      <c r="B922" s="13">
        <v>43.19</v>
      </c>
      <c r="C922" s="13">
        <v>42.29</v>
      </c>
      <c r="D922" s="13">
        <v>42.32</v>
      </c>
      <c r="E922" s="13">
        <v>8924511</v>
      </c>
      <c r="F922" s="13" t="s">
        <v>1643</v>
      </c>
      <c r="G922" s="18">
        <f t="shared" si="20"/>
        <v>1.0633270321361188E-2</v>
      </c>
    </row>
    <row r="923" spans="1:7">
      <c r="A923" s="13">
        <v>42.61</v>
      </c>
      <c r="B923" s="13">
        <v>42.865000000000002</v>
      </c>
      <c r="C923" s="13">
        <v>41.27</v>
      </c>
      <c r="D923" s="13">
        <v>41.3</v>
      </c>
      <c r="E923" s="13">
        <v>16121832</v>
      </c>
      <c r="F923" s="13" t="s">
        <v>1642</v>
      </c>
      <c r="G923" s="18">
        <f t="shared" si="20"/>
        <v>3.1719128329297908E-2</v>
      </c>
    </row>
    <row r="924" spans="1:7">
      <c r="A924" s="13">
        <v>41.44</v>
      </c>
      <c r="B924" s="13">
        <v>42.49</v>
      </c>
      <c r="C924" s="13">
        <v>40.909999999999997</v>
      </c>
      <c r="D924" s="13">
        <v>41.784999999999997</v>
      </c>
      <c r="E924" s="13">
        <v>26586168</v>
      </c>
      <c r="F924" s="13" t="s">
        <v>1641</v>
      </c>
      <c r="G924" s="18">
        <f t="shared" si="20"/>
        <v>-8.2565513940409119E-3</v>
      </c>
    </row>
    <row r="925" spans="1:7">
      <c r="A925" s="13">
        <v>43.5</v>
      </c>
      <c r="B925" s="13">
        <v>43.564999999999998</v>
      </c>
      <c r="C925" s="13">
        <v>42.62</v>
      </c>
      <c r="D925" s="13">
        <v>42.88</v>
      </c>
      <c r="E925" s="13">
        <v>10452019</v>
      </c>
      <c r="F925" s="13" t="s">
        <v>1640</v>
      </c>
      <c r="G925" s="18">
        <f t="shared" si="20"/>
        <v>1.4458955223880521E-2</v>
      </c>
    </row>
    <row r="926" spans="1:7">
      <c r="A926" s="13">
        <v>42.9</v>
      </c>
      <c r="B926" s="13">
        <v>43.134999999999998</v>
      </c>
      <c r="C926" s="13">
        <v>42.29</v>
      </c>
      <c r="D926" s="13">
        <v>42.65</v>
      </c>
      <c r="E926" s="13">
        <v>13622529</v>
      </c>
      <c r="F926" s="13" t="s">
        <v>1639</v>
      </c>
      <c r="G926" s="18">
        <f t="shared" si="20"/>
        <v>5.8616647127784915E-3</v>
      </c>
    </row>
    <row r="927" spans="1:7">
      <c r="A927" s="13">
        <v>42.74</v>
      </c>
      <c r="B927" s="13">
        <v>43.44</v>
      </c>
      <c r="C927" s="13">
        <v>41.744999999999997</v>
      </c>
      <c r="D927" s="13">
        <v>43.14</v>
      </c>
      <c r="E927" s="13">
        <v>12258171</v>
      </c>
      <c r="F927" s="13" t="s">
        <v>1638</v>
      </c>
      <c r="G927" s="18">
        <f t="shared" si="20"/>
        <v>-9.2721372276309832E-3</v>
      </c>
    </row>
    <row r="928" spans="1:7">
      <c r="A928" s="13">
        <v>43.23</v>
      </c>
      <c r="B928" s="13">
        <v>43.95</v>
      </c>
      <c r="C928" s="13">
        <v>42.86</v>
      </c>
      <c r="D928" s="13">
        <v>43.33</v>
      </c>
      <c r="E928" s="13">
        <v>12172789</v>
      </c>
      <c r="F928" s="13" t="s">
        <v>1637</v>
      </c>
      <c r="G928" s="18">
        <f t="shared" si="20"/>
        <v>-2.3078698361412853E-3</v>
      </c>
    </row>
    <row r="929" spans="1:7">
      <c r="A929" s="13">
        <v>43.04</v>
      </c>
      <c r="B929" s="13">
        <v>43.68</v>
      </c>
      <c r="C929" s="13">
        <v>42.47</v>
      </c>
      <c r="D929" s="13">
        <v>42.81</v>
      </c>
      <c r="E929" s="13">
        <v>16803559</v>
      </c>
      <c r="F929" s="13" t="s">
        <v>1636</v>
      </c>
      <c r="G929" s="18">
        <f t="shared" si="20"/>
        <v>5.3725765008174609E-3</v>
      </c>
    </row>
    <row r="930" spans="1:7">
      <c r="A930" s="13">
        <v>42.51</v>
      </c>
      <c r="B930" s="13">
        <v>42.75</v>
      </c>
      <c r="C930" s="13">
        <v>41.29</v>
      </c>
      <c r="D930" s="13">
        <v>41.91</v>
      </c>
      <c r="E930" s="13">
        <v>10837408</v>
      </c>
      <c r="F930" s="13" t="s">
        <v>1635</v>
      </c>
      <c r="G930" s="18">
        <f t="shared" si="20"/>
        <v>1.431639226914827E-2</v>
      </c>
    </row>
    <row r="931" spans="1:7">
      <c r="A931" s="13">
        <v>42.66</v>
      </c>
      <c r="B931" s="13">
        <v>42.75</v>
      </c>
      <c r="C931" s="13">
        <v>41.08</v>
      </c>
      <c r="D931" s="13">
        <v>42.18</v>
      </c>
      <c r="E931" s="13">
        <v>8974595</v>
      </c>
      <c r="F931" s="13" t="s">
        <v>1634</v>
      </c>
      <c r="G931" s="18">
        <f t="shared" si="20"/>
        <v>1.1379800853484889E-2</v>
      </c>
    </row>
    <row r="932" spans="1:7">
      <c r="A932" s="13">
        <v>42.97</v>
      </c>
      <c r="B932" s="13">
        <v>43.545000000000002</v>
      </c>
      <c r="C932" s="13">
        <v>42.685000000000002</v>
      </c>
      <c r="D932" s="13">
        <v>43.47</v>
      </c>
      <c r="E932" s="13">
        <v>11278141</v>
      </c>
      <c r="F932" s="13" t="s">
        <v>1633</v>
      </c>
      <c r="G932" s="18">
        <f t="shared" si="20"/>
        <v>-1.1502185415228849E-2</v>
      </c>
    </row>
    <row r="933" spans="1:7">
      <c r="A933" s="13">
        <v>43.45</v>
      </c>
      <c r="B933" s="13">
        <v>45.04</v>
      </c>
      <c r="C933" s="13">
        <v>43.375</v>
      </c>
      <c r="D933" s="13">
        <v>44.08</v>
      </c>
      <c r="E933" s="13">
        <v>9562486</v>
      </c>
      <c r="F933" s="13" t="s">
        <v>1632</v>
      </c>
      <c r="G933" s="18">
        <f t="shared" si="20"/>
        <v>-1.4292196007259395E-2</v>
      </c>
    </row>
    <row r="934" spans="1:7">
      <c r="A934" s="13">
        <v>44.05</v>
      </c>
      <c r="B934" s="13">
        <v>44.72</v>
      </c>
      <c r="C934" s="13">
        <v>44</v>
      </c>
      <c r="D934" s="13">
        <v>44.17</v>
      </c>
      <c r="E934" s="13">
        <v>8721750</v>
      </c>
      <c r="F934" s="13" t="s">
        <v>1631</v>
      </c>
      <c r="G934" s="18">
        <f t="shared" si="20"/>
        <v>-2.716776092370532E-3</v>
      </c>
    </row>
    <row r="935" spans="1:7">
      <c r="A935" s="13">
        <v>44.22</v>
      </c>
      <c r="B935" s="13">
        <v>44.5</v>
      </c>
      <c r="C935" s="13">
        <v>43.93</v>
      </c>
      <c r="D935" s="13">
        <v>44.29</v>
      </c>
      <c r="E935" s="13">
        <v>10721496</v>
      </c>
      <c r="F935" s="13" t="s">
        <v>1630</v>
      </c>
      <c r="G935" s="18">
        <f t="shared" si="20"/>
        <v>-1.5804922104312169E-3</v>
      </c>
    </row>
    <row r="936" spans="1:7">
      <c r="A936" s="13">
        <v>44.86</v>
      </c>
      <c r="B936" s="13">
        <v>44.95</v>
      </c>
      <c r="C936" s="13">
        <v>43.84</v>
      </c>
      <c r="D936" s="13">
        <v>44.17</v>
      </c>
      <c r="E936" s="13">
        <v>8674993</v>
      </c>
      <c r="F936" s="13" t="s">
        <v>1629</v>
      </c>
      <c r="G936" s="18">
        <f t="shared" si="20"/>
        <v>1.5621462531129726E-2</v>
      </c>
    </row>
    <row r="937" spans="1:7">
      <c r="A937" s="13">
        <v>44.57</v>
      </c>
      <c r="B937" s="13">
        <v>45.314999999999998</v>
      </c>
      <c r="C937" s="13">
        <v>44.07</v>
      </c>
      <c r="D937" s="13">
        <v>44.24</v>
      </c>
      <c r="E937" s="13">
        <v>11883575</v>
      </c>
      <c r="F937" s="13" t="s">
        <v>1628</v>
      </c>
      <c r="G937" s="18">
        <f t="shared" si="20"/>
        <v>7.4593128390596508E-3</v>
      </c>
    </row>
    <row r="938" spans="1:7">
      <c r="A938" s="13">
        <v>44.41</v>
      </c>
      <c r="B938" s="13">
        <v>44.65</v>
      </c>
      <c r="C938" s="13">
        <v>43.42</v>
      </c>
      <c r="D938" s="13">
        <v>43.58</v>
      </c>
      <c r="E938" s="13">
        <v>13543719</v>
      </c>
      <c r="F938" s="13" t="s">
        <v>1627</v>
      </c>
      <c r="G938" s="18">
        <f t="shared" si="20"/>
        <v>1.9045433685176638E-2</v>
      </c>
    </row>
    <row r="939" spans="1:7">
      <c r="A939" s="13">
        <v>43.4</v>
      </c>
      <c r="B939" s="13">
        <v>43.645000000000003</v>
      </c>
      <c r="C939" s="13">
        <v>42.384999999999998</v>
      </c>
      <c r="D939" s="13">
        <v>42.65</v>
      </c>
      <c r="E939" s="13">
        <v>6208579</v>
      </c>
      <c r="F939" s="13" t="s">
        <v>1626</v>
      </c>
      <c r="G939" s="18">
        <f t="shared" si="20"/>
        <v>1.7584994138335253E-2</v>
      </c>
    </row>
    <row r="940" spans="1:7">
      <c r="A940" s="13">
        <v>42.41</v>
      </c>
      <c r="B940" s="13">
        <v>42.43</v>
      </c>
      <c r="C940" s="13">
        <v>41.44</v>
      </c>
      <c r="D940" s="13">
        <v>41.9</v>
      </c>
      <c r="E940" s="13">
        <v>6454552</v>
      </c>
      <c r="F940" s="13" t="s">
        <v>1625</v>
      </c>
      <c r="G940" s="18">
        <f t="shared" si="20"/>
        <v>1.2171837708830457E-2</v>
      </c>
    </row>
    <row r="941" spans="1:7">
      <c r="A941" s="13">
        <v>42.11</v>
      </c>
      <c r="B941" s="13">
        <v>42.76</v>
      </c>
      <c r="C941" s="13">
        <v>42.07</v>
      </c>
      <c r="D941" s="13">
        <v>42.41</v>
      </c>
      <c r="E941" s="13">
        <v>5341314</v>
      </c>
      <c r="F941" s="13" t="s">
        <v>1624</v>
      </c>
      <c r="G941" s="18">
        <f t="shared" si="20"/>
        <v>-7.0738033482669049E-3</v>
      </c>
    </row>
    <row r="942" spans="1:7">
      <c r="A942" s="13">
        <v>42.59</v>
      </c>
      <c r="B942" s="13">
        <v>43.36</v>
      </c>
      <c r="C942" s="13">
        <v>42.54</v>
      </c>
      <c r="D942" s="13">
        <v>43.1</v>
      </c>
      <c r="E942" s="13">
        <v>5510650</v>
      </c>
      <c r="F942" s="13" t="s">
        <v>1623</v>
      </c>
      <c r="G942" s="18">
        <f t="shared" si="20"/>
        <v>-1.1832946635730757E-2</v>
      </c>
    </row>
    <row r="943" spans="1:7">
      <c r="A943" s="13">
        <v>43.05</v>
      </c>
      <c r="B943" s="13">
        <v>44.14</v>
      </c>
      <c r="C943" s="13">
        <v>43.04</v>
      </c>
      <c r="D943" s="13">
        <v>43.5</v>
      </c>
      <c r="E943" s="13">
        <v>6601215</v>
      </c>
      <c r="F943" s="13" t="s">
        <v>1622</v>
      </c>
      <c r="G943" s="18">
        <f t="shared" si="20"/>
        <v>-1.0344827586206917E-2</v>
      </c>
    </row>
    <row r="944" spans="1:7">
      <c r="A944" s="13">
        <v>43.64</v>
      </c>
      <c r="B944" s="13">
        <v>44.63</v>
      </c>
      <c r="C944" s="13">
        <v>43.21</v>
      </c>
      <c r="D944" s="13">
        <v>43.32</v>
      </c>
      <c r="E944" s="13">
        <v>9134979</v>
      </c>
      <c r="F944" s="13" t="s">
        <v>1621</v>
      </c>
      <c r="G944" s="18">
        <f t="shared" si="20"/>
        <v>7.3868882733147956E-3</v>
      </c>
    </row>
    <row r="945" spans="1:7">
      <c r="A945" s="13">
        <v>43.12</v>
      </c>
      <c r="B945" s="13">
        <v>43.15</v>
      </c>
      <c r="C945" s="13">
        <v>42.1</v>
      </c>
      <c r="D945" s="13">
        <v>42.59</v>
      </c>
      <c r="E945" s="13">
        <v>5093518</v>
      </c>
      <c r="F945" s="13" t="s">
        <v>1620</v>
      </c>
      <c r="G945" s="18">
        <f t="shared" si="20"/>
        <v>1.2444235736088105E-2</v>
      </c>
    </row>
    <row r="946" spans="1:7">
      <c r="A946" s="13">
        <v>42.48</v>
      </c>
      <c r="B946" s="13">
        <v>43.064999999999998</v>
      </c>
      <c r="C946" s="13">
        <v>42.465000000000003</v>
      </c>
      <c r="D946" s="13">
        <v>42.81</v>
      </c>
      <c r="E946" s="13">
        <v>4174358</v>
      </c>
      <c r="F946" s="13" t="s">
        <v>1619</v>
      </c>
      <c r="G946" s="18">
        <f t="shared" ref="G946:G1009" si="21">A946/D946-1</f>
        <v>-7.7084793272601537E-3</v>
      </c>
    </row>
    <row r="947" spans="1:7">
      <c r="A947" s="13">
        <v>42.99</v>
      </c>
      <c r="B947" s="13">
        <v>43.42</v>
      </c>
      <c r="C947" s="13">
        <v>42.945</v>
      </c>
      <c r="D947" s="13">
        <v>43.17</v>
      </c>
      <c r="E947" s="13">
        <v>3530538</v>
      </c>
      <c r="F947" s="13" t="s">
        <v>1618</v>
      </c>
      <c r="G947" s="18">
        <f t="shared" si="21"/>
        <v>-4.1695621959694229E-3</v>
      </c>
    </row>
    <row r="948" spans="1:7">
      <c r="A948" s="13">
        <v>43.17</v>
      </c>
      <c r="B948" s="13">
        <v>43.414999999999999</v>
      </c>
      <c r="C948" s="13">
        <v>43.02</v>
      </c>
      <c r="D948" s="13">
        <v>43.31</v>
      </c>
      <c r="E948" s="13">
        <v>3398444</v>
      </c>
      <c r="F948" s="13" t="s">
        <v>1617</v>
      </c>
      <c r="G948" s="18">
        <f t="shared" si="21"/>
        <v>-3.2325098129761809E-3</v>
      </c>
    </row>
    <row r="949" spans="1:7">
      <c r="A949" s="13">
        <v>43.24</v>
      </c>
      <c r="B949" s="13">
        <v>43.59</v>
      </c>
      <c r="C949" s="13">
        <v>43.02</v>
      </c>
      <c r="D949" s="13">
        <v>43.11</v>
      </c>
      <c r="E949" s="13">
        <v>5515023</v>
      </c>
      <c r="F949" s="13" t="s">
        <v>1616</v>
      </c>
      <c r="G949" s="18">
        <f t="shared" si="21"/>
        <v>3.0155416376711486E-3</v>
      </c>
    </row>
    <row r="950" spans="1:7">
      <c r="A950" s="13">
        <v>43.12</v>
      </c>
      <c r="B950" s="13">
        <v>43.18</v>
      </c>
      <c r="C950" s="13">
        <v>42.52</v>
      </c>
      <c r="D950" s="13">
        <v>42.71</v>
      </c>
      <c r="E950" s="13">
        <v>4106436</v>
      </c>
      <c r="F950" s="13" t="s">
        <v>1615</v>
      </c>
      <c r="G950" s="18">
        <f t="shared" si="21"/>
        <v>9.5996253804728759E-3</v>
      </c>
    </row>
    <row r="951" spans="1:7">
      <c r="A951" s="13">
        <v>42.72</v>
      </c>
      <c r="B951" s="13">
        <v>43.04</v>
      </c>
      <c r="C951" s="13">
        <v>42.24</v>
      </c>
      <c r="D951" s="13">
        <v>42.53</v>
      </c>
      <c r="E951" s="13">
        <v>6414886</v>
      </c>
      <c r="F951" s="13" t="s">
        <v>1614</v>
      </c>
      <c r="G951" s="18">
        <f t="shared" si="21"/>
        <v>4.4674347519397806E-3</v>
      </c>
    </row>
    <row r="952" spans="1:7">
      <c r="A952" s="13">
        <v>42.16</v>
      </c>
      <c r="B952" s="13">
        <v>42.2</v>
      </c>
      <c r="C952" s="13">
        <v>41</v>
      </c>
      <c r="D952" s="13">
        <v>41.06</v>
      </c>
      <c r="E952" s="13">
        <v>7722771</v>
      </c>
      <c r="F952" s="13" t="s">
        <v>1613</v>
      </c>
      <c r="G952" s="18">
        <f t="shared" si="21"/>
        <v>2.6790063321967761E-2</v>
      </c>
    </row>
    <row r="953" spans="1:7">
      <c r="A953" s="13">
        <v>41.11</v>
      </c>
      <c r="B953" s="13">
        <v>41.15</v>
      </c>
      <c r="C953" s="13">
        <v>39.83</v>
      </c>
      <c r="D953" s="13">
        <v>39.97</v>
      </c>
      <c r="E953" s="13">
        <v>9391699</v>
      </c>
      <c r="F953" s="13" t="s">
        <v>1612</v>
      </c>
      <c r="G953" s="18">
        <f t="shared" si="21"/>
        <v>2.852139104328244E-2</v>
      </c>
    </row>
    <row r="954" spans="1:7">
      <c r="A954" s="13">
        <v>39.5</v>
      </c>
      <c r="B954" s="13">
        <v>40.31</v>
      </c>
      <c r="C954" s="13">
        <v>39.270000000000003</v>
      </c>
      <c r="D954" s="13">
        <v>40.31</v>
      </c>
      <c r="E954" s="13">
        <v>11673225</v>
      </c>
      <c r="F954" s="13" t="s">
        <v>1611</v>
      </c>
      <c r="G954" s="18">
        <f t="shared" si="21"/>
        <v>-2.0094269412056609E-2</v>
      </c>
    </row>
    <row r="955" spans="1:7">
      <c r="A955" s="13">
        <v>40.86</v>
      </c>
      <c r="B955" s="13">
        <v>41.48</v>
      </c>
      <c r="C955" s="13">
        <v>40.125</v>
      </c>
      <c r="D955" s="13">
        <v>40.380000000000003</v>
      </c>
      <c r="E955" s="13">
        <v>11236111</v>
      </c>
      <c r="F955" s="13" t="s">
        <v>1610</v>
      </c>
      <c r="G955" s="18">
        <f t="shared" si="21"/>
        <v>1.1887072808320909E-2</v>
      </c>
    </row>
    <row r="956" spans="1:7">
      <c r="A956" s="13">
        <v>40.43</v>
      </c>
      <c r="B956" s="13">
        <v>41.164999999999999</v>
      </c>
      <c r="C956" s="13">
        <v>40.225000000000001</v>
      </c>
      <c r="D956" s="13">
        <v>40.28</v>
      </c>
      <c r="E956" s="13">
        <v>13248939</v>
      </c>
      <c r="F956" s="13" t="s">
        <v>1609</v>
      </c>
      <c r="G956" s="18">
        <f t="shared" si="21"/>
        <v>3.7239324726912049E-3</v>
      </c>
    </row>
    <row r="957" spans="1:7">
      <c r="A957" s="13">
        <v>40.24</v>
      </c>
      <c r="B957" s="13">
        <v>41.09</v>
      </c>
      <c r="C957" s="13">
        <v>39.774999999999999</v>
      </c>
      <c r="D957" s="13">
        <v>40.83</v>
      </c>
      <c r="E957" s="13">
        <v>14235227</v>
      </c>
      <c r="F957" s="13" t="s">
        <v>1608</v>
      </c>
      <c r="G957" s="18">
        <f t="shared" si="21"/>
        <v>-1.4450159196669032E-2</v>
      </c>
    </row>
    <row r="958" spans="1:7">
      <c r="A958" s="13">
        <v>40.85</v>
      </c>
      <c r="B958" s="13">
        <v>41.49</v>
      </c>
      <c r="C958" s="13">
        <v>40.700000000000003</v>
      </c>
      <c r="D958" s="13">
        <v>41.284999999999997</v>
      </c>
      <c r="E958" s="13">
        <v>6571213</v>
      </c>
      <c r="F958" s="13" t="s">
        <v>1607</v>
      </c>
      <c r="G958" s="18">
        <f t="shared" si="21"/>
        <v>-1.0536514472568648E-2</v>
      </c>
    </row>
    <row r="959" spans="1:7">
      <c r="A959" s="13">
        <v>41.43</v>
      </c>
      <c r="B959" s="13">
        <v>41.74</v>
      </c>
      <c r="C959" s="13">
        <v>41</v>
      </c>
      <c r="D959" s="13">
        <v>41.05</v>
      </c>
      <c r="E959" s="13">
        <v>5891249</v>
      </c>
      <c r="F959" s="13" t="s">
        <v>1606</v>
      </c>
      <c r="G959" s="18">
        <f t="shared" si="21"/>
        <v>9.2570036540804423E-3</v>
      </c>
    </row>
    <row r="960" spans="1:7">
      <c r="A960" s="13">
        <v>41.17</v>
      </c>
      <c r="B960" s="13">
        <v>41.53</v>
      </c>
      <c r="C960" s="13">
        <v>40.9</v>
      </c>
      <c r="D960" s="13">
        <v>41.38</v>
      </c>
      <c r="E960" s="13">
        <v>4602738</v>
      </c>
      <c r="F960" s="13" t="s">
        <v>1605</v>
      </c>
      <c r="G960" s="18">
        <f t="shared" si="21"/>
        <v>-5.0749154180763645E-3</v>
      </c>
    </row>
    <row r="961" spans="1:7">
      <c r="A961" s="13">
        <v>41.28</v>
      </c>
      <c r="B961" s="13">
        <v>41.865000000000002</v>
      </c>
      <c r="C961" s="13">
        <v>40.950000000000003</v>
      </c>
      <c r="D961" s="13">
        <v>41.38</v>
      </c>
      <c r="E961" s="13">
        <v>5870468</v>
      </c>
      <c r="F961" s="13" t="s">
        <v>1604</v>
      </c>
      <c r="G961" s="18">
        <f t="shared" si="21"/>
        <v>-2.4166263895601947E-3</v>
      </c>
    </row>
    <row r="962" spans="1:7">
      <c r="A962" s="13">
        <v>41.66</v>
      </c>
      <c r="B962" s="13">
        <v>41.87</v>
      </c>
      <c r="C962" s="13">
        <v>41.32</v>
      </c>
      <c r="D962" s="13">
        <v>41.42</v>
      </c>
      <c r="E962" s="13">
        <v>4619963</v>
      </c>
      <c r="F962" s="13" t="s">
        <v>1603</v>
      </c>
      <c r="G962" s="18">
        <f t="shared" si="21"/>
        <v>5.7943022694348922E-3</v>
      </c>
    </row>
    <row r="963" spans="1:7">
      <c r="A963" s="13">
        <v>41.4</v>
      </c>
      <c r="B963" s="13">
        <v>42.06</v>
      </c>
      <c r="C963" s="13">
        <v>41.05</v>
      </c>
      <c r="D963" s="13">
        <v>41.24</v>
      </c>
      <c r="E963" s="13">
        <v>10139236</v>
      </c>
      <c r="F963" s="13" t="s">
        <v>1602</v>
      </c>
      <c r="G963" s="18">
        <f t="shared" si="21"/>
        <v>3.8797284190106307E-3</v>
      </c>
    </row>
    <row r="964" spans="1:7">
      <c r="A964" s="13">
        <v>40.700000000000003</v>
      </c>
      <c r="B964" s="13">
        <v>41.28</v>
      </c>
      <c r="C964" s="13">
        <v>39.76</v>
      </c>
      <c r="D964" s="13">
        <v>39.880000000000003</v>
      </c>
      <c r="E964" s="13">
        <v>8951850</v>
      </c>
      <c r="F964" s="13" t="s">
        <v>1601</v>
      </c>
      <c r="G964" s="18">
        <f t="shared" si="21"/>
        <v>2.0561685055165535E-2</v>
      </c>
    </row>
    <row r="965" spans="1:7">
      <c r="A965" s="13">
        <v>39.46</v>
      </c>
      <c r="B965" s="13">
        <v>40.090000000000003</v>
      </c>
      <c r="C965" s="13">
        <v>38.975000000000001</v>
      </c>
      <c r="D965" s="13">
        <v>39.83</v>
      </c>
      <c r="E965" s="13">
        <v>8704034</v>
      </c>
      <c r="F965" s="13" t="s">
        <v>1600</v>
      </c>
      <c r="G965" s="18">
        <f t="shared" si="21"/>
        <v>-9.2894802912376617E-3</v>
      </c>
    </row>
    <row r="966" spans="1:7">
      <c r="A966" s="13">
        <v>39.6</v>
      </c>
      <c r="B966" s="13">
        <v>39.674999999999997</v>
      </c>
      <c r="C966" s="13">
        <v>38.18</v>
      </c>
      <c r="D966" s="13">
        <v>38.270000000000003</v>
      </c>
      <c r="E966" s="13">
        <v>11094209</v>
      </c>
      <c r="F966" s="13" t="s">
        <v>1599</v>
      </c>
      <c r="G966" s="18">
        <f t="shared" si="21"/>
        <v>3.4753070290044263E-2</v>
      </c>
    </row>
    <row r="967" spans="1:7">
      <c r="A967" s="13">
        <v>38.14</v>
      </c>
      <c r="B967" s="13">
        <v>39.414999999999999</v>
      </c>
      <c r="C967" s="13">
        <v>38.11</v>
      </c>
      <c r="D967" s="13">
        <v>38.71</v>
      </c>
      <c r="E967" s="13">
        <v>10355936</v>
      </c>
      <c r="F967" s="13" t="s">
        <v>1598</v>
      </c>
      <c r="G967" s="18">
        <f t="shared" si="21"/>
        <v>-1.4724877292689231E-2</v>
      </c>
    </row>
    <row r="968" spans="1:7">
      <c r="A968" s="13">
        <v>38.07</v>
      </c>
      <c r="B968" s="13">
        <v>39.07</v>
      </c>
      <c r="C968" s="13">
        <v>37.96</v>
      </c>
      <c r="D968" s="13">
        <v>38.42</v>
      </c>
      <c r="E968" s="13">
        <v>14717385</v>
      </c>
      <c r="F968" s="13" t="s">
        <v>1597</v>
      </c>
      <c r="G968" s="18">
        <f t="shared" si="21"/>
        <v>-9.1098386257157937E-3</v>
      </c>
    </row>
    <row r="969" spans="1:7">
      <c r="A969" s="13">
        <v>38.590000000000003</v>
      </c>
      <c r="B969" s="13">
        <v>39.200000000000003</v>
      </c>
      <c r="C969" s="13">
        <v>38.44</v>
      </c>
      <c r="D969" s="13">
        <v>38.85</v>
      </c>
      <c r="E969" s="13">
        <v>9533542</v>
      </c>
      <c r="F969" s="13" t="s">
        <v>1596</v>
      </c>
      <c r="G969" s="18">
        <f t="shared" si="21"/>
        <v>-6.6924066924066716E-3</v>
      </c>
    </row>
    <row r="970" spans="1:7">
      <c r="A970" s="13">
        <v>38.57</v>
      </c>
      <c r="B970" s="13">
        <v>40.164999999999999</v>
      </c>
      <c r="C970" s="13">
        <v>38.44</v>
      </c>
      <c r="D970" s="13">
        <v>40</v>
      </c>
      <c r="E970" s="13">
        <v>9260589</v>
      </c>
      <c r="F970" s="13" t="s">
        <v>1595</v>
      </c>
      <c r="G970" s="18">
        <f t="shared" si="21"/>
        <v>-3.5749999999999948E-2</v>
      </c>
    </row>
    <row r="971" spans="1:7">
      <c r="A971" s="13">
        <v>40.700000000000003</v>
      </c>
      <c r="B971" s="13">
        <v>40.774999999999999</v>
      </c>
      <c r="C971" s="13">
        <v>40.130000000000003</v>
      </c>
      <c r="D971" s="13">
        <v>40.22</v>
      </c>
      <c r="E971" s="13">
        <v>7812226</v>
      </c>
      <c r="F971" s="13" t="s">
        <v>1594</v>
      </c>
      <c r="G971" s="18">
        <f t="shared" si="21"/>
        <v>1.1934361014420691E-2</v>
      </c>
    </row>
    <row r="972" spans="1:7">
      <c r="A972" s="13">
        <v>40.229999999999997</v>
      </c>
      <c r="B972" s="13">
        <v>41.08</v>
      </c>
      <c r="C972" s="13">
        <v>39.78</v>
      </c>
      <c r="D972" s="13">
        <v>40.549999999999997</v>
      </c>
      <c r="E972" s="13">
        <v>11577687</v>
      </c>
      <c r="F972" s="13" t="s">
        <v>1593</v>
      </c>
      <c r="G972" s="18">
        <f t="shared" si="21"/>
        <v>-7.8914919852034471E-3</v>
      </c>
    </row>
    <row r="973" spans="1:7">
      <c r="A973" s="13">
        <v>40.700000000000003</v>
      </c>
      <c r="B973" s="13">
        <v>41.21</v>
      </c>
      <c r="C973" s="13">
        <v>40.445</v>
      </c>
      <c r="D973" s="13">
        <v>41.12</v>
      </c>
      <c r="E973" s="13">
        <v>6639276</v>
      </c>
      <c r="F973" s="13" t="s">
        <v>1592</v>
      </c>
      <c r="G973" s="18">
        <f t="shared" si="21"/>
        <v>-1.021400778210102E-2</v>
      </c>
    </row>
    <row r="974" spans="1:7">
      <c r="A974" s="13">
        <v>41.03</v>
      </c>
      <c r="B974" s="13">
        <v>41.164999999999999</v>
      </c>
      <c r="C974" s="13">
        <v>40.5</v>
      </c>
      <c r="D974" s="13">
        <v>41.15</v>
      </c>
      <c r="E974" s="13">
        <v>7955645</v>
      </c>
      <c r="F974" s="13" t="s">
        <v>1591</v>
      </c>
      <c r="G974" s="18">
        <f t="shared" si="21"/>
        <v>-2.916160388821365E-3</v>
      </c>
    </row>
    <row r="975" spans="1:7">
      <c r="A975" s="13">
        <v>41.21</v>
      </c>
      <c r="B975" s="13">
        <v>41.65</v>
      </c>
      <c r="C975" s="13">
        <v>40.82</v>
      </c>
      <c r="D975" s="13">
        <v>41.65</v>
      </c>
      <c r="E975" s="13">
        <v>7224559</v>
      </c>
      <c r="F975" s="13" t="s">
        <v>1590</v>
      </c>
      <c r="G975" s="18">
        <f t="shared" si="21"/>
        <v>-1.0564225690276041E-2</v>
      </c>
    </row>
    <row r="976" spans="1:7">
      <c r="A976" s="13">
        <v>41.61</v>
      </c>
      <c r="B976" s="13">
        <v>42.02</v>
      </c>
      <c r="C976" s="13">
        <v>41.384999999999998</v>
      </c>
      <c r="D976" s="13">
        <v>41.82</v>
      </c>
      <c r="E976" s="13">
        <v>6719341</v>
      </c>
      <c r="F976" s="13" t="s">
        <v>1589</v>
      </c>
      <c r="G976" s="18">
        <f t="shared" si="21"/>
        <v>-5.0215208034433134E-3</v>
      </c>
    </row>
    <row r="977" spans="1:7">
      <c r="A977" s="13">
        <v>41.42</v>
      </c>
      <c r="B977" s="13">
        <v>41.643000000000001</v>
      </c>
      <c r="C977" s="13">
        <v>40.880000000000003</v>
      </c>
      <c r="D977" s="13">
        <v>41.31</v>
      </c>
      <c r="E977" s="13">
        <v>9553769</v>
      </c>
      <c r="F977" s="13" t="s">
        <v>1588</v>
      </c>
      <c r="G977" s="18">
        <f t="shared" si="21"/>
        <v>2.6627935124667879E-3</v>
      </c>
    </row>
    <row r="978" spans="1:7">
      <c r="A978" s="13">
        <v>41.34</v>
      </c>
      <c r="B978" s="13">
        <v>42.27</v>
      </c>
      <c r="C978" s="13">
        <v>41.16</v>
      </c>
      <c r="D978" s="13">
        <v>42.18</v>
      </c>
      <c r="E978" s="13">
        <v>9649619</v>
      </c>
      <c r="F978" s="13" t="s">
        <v>1587</v>
      </c>
      <c r="G978" s="18">
        <f t="shared" si="21"/>
        <v>-1.9914651493598723E-2</v>
      </c>
    </row>
    <row r="979" spans="1:7">
      <c r="A979" s="13">
        <v>42.07</v>
      </c>
      <c r="B979" s="13">
        <v>42.27</v>
      </c>
      <c r="C979" s="13">
        <v>41.62</v>
      </c>
      <c r="D979" s="13">
        <v>42.12</v>
      </c>
      <c r="E979" s="13">
        <v>9924321</v>
      </c>
      <c r="F979" s="13" t="s">
        <v>1586</v>
      </c>
      <c r="G979" s="18">
        <f t="shared" si="21"/>
        <v>-1.1870845204178249E-3</v>
      </c>
    </row>
    <row r="980" spans="1:7">
      <c r="A980" s="13">
        <v>41.96</v>
      </c>
      <c r="B980" s="13">
        <v>42.62</v>
      </c>
      <c r="C980" s="13">
        <v>41.67</v>
      </c>
      <c r="D980" s="13">
        <v>42.46</v>
      </c>
      <c r="E980" s="13">
        <v>9437758</v>
      </c>
      <c r="F980" s="13" t="s">
        <v>1585</v>
      </c>
      <c r="G980" s="18">
        <f t="shared" si="21"/>
        <v>-1.1775788977861468E-2</v>
      </c>
    </row>
    <row r="981" spans="1:7">
      <c r="A981" s="13">
        <v>42.45</v>
      </c>
      <c r="B981" s="13">
        <v>43.021999999999998</v>
      </c>
      <c r="C981" s="13">
        <v>42.34</v>
      </c>
      <c r="D981" s="13">
        <v>42.62</v>
      </c>
      <c r="E981" s="13">
        <v>4812943</v>
      </c>
      <c r="F981" s="13" t="s">
        <v>1584</v>
      </c>
      <c r="G981" s="18">
        <f t="shared" si="21"/>
        <v>-3.9887376818393827E-3</v>
      </c>
    </row>
    <row r="982" spans="1:7">
      <c r="A982" s="13">
        <v>42.79</v>
      </c>
      <c r="B982" s="13">
        <v>43.39</v>
      </c>
      <c r="C982" s="13">
        <v>42.555</v>
      </c>
      <c r="D982" s="13">
        <v>43.34</v>
      </c>
      <c r="E982" s="13">
        <v>4935639</v>
      </c>
      <c r="F982" s="13" t="s">
        <v>1583</v>
      </c>
      <c r="G982" s="18">
        <f t="shared" si="21"/>
        <v>-1.2690355329949332E-2</v>
      </c>
    </row>
    <row r="983" spans="1:7">
      <c r="A983" s="13">
        <v>43.35</v>
      </c>
      <c r="B983" s="13">
        <v>43.53</v>
      </c>
      <c r="C983" s="13">
        <v>42.72</v>
      </c>
      <c r="D983" s="13">
        <v>43.3</v>
      </c>
      <c r="E983" s="13">
        <v>7059410</v>
      </c>
      <c r="F983" s="13" t="s">
        <v>1582</v>
      </c>
      <c r="G983" s="18">
        <f t="shared" si="21"/>
        <v>1.1547344110856006E-3</v>
      </c>
    </row>
    <row r="984" spans="1:7">
      <c r="A984" s="13">
        <v>43.16</v>
      </c>
      <c r="B984" s="13">
        <v>44.57</v>
      </c>
      <c r="C984" s="13">
        <v>42.5</v>
      </c>
      <c r="D984" s="13">
        <v>42.55</v>
      </c>
      <c r="E984" s="13">
        <v>14638399</v>
      </c>
      <c r="F984" s="13" t="s">
        <v>1581</v>
      </c>
      <c r="G984" s="18">
        <f t="shared" si="21"/>
        <v>1.4336075205640508E-2</v>
      </c>
    </row>
    <row r="985" spans="1:7">
      <c r="A985" s="13">
        <v>42.5</v>
      </c>
      <c r="B985" s="13">
        <v>43.19</v>
      </c>
      <c r="C985" s="13">
        <v>42.08</v>
      </c>
      <c r="D985" s="13">
        <v>42.98</v>
      </c>
      <c r="E985" s="13">
        <v>7241374</v>
      </c>
      <c r="F985" s="13" t="s">
        <v>1580</v>
      </c>
      <c r="G985" s="18">
        <f t="shared" si="21"/>
        <v>-1.1167985109353129E-2</v>
      </c>
    </row>
    <row r="986" spans="1:7">
      <c r="A986" s="13">
        <v>42.91</v>
      </c>
      <c r="B986" s="13">
        <v>43.31</v>
      </c>
      <c r="C986" s="13">
        <v>42.32</v>
      </c>
      <c r="D986" s="13">
        <v>43.11</v>
      </c>
      <c r="E986" s="13">
        <v>10404688</v>
      </c>
      <c r="F986" s="13" t="s">
        <v>1579</v>
      </c>
      <c r="G986" s="18">
        <f t="shared" si="21"/>
        <v>-4.6392948271862799E-3</v>
      </c>
    </row>
    <row r="987" spans="1:7">
      <c r="A987" s="13">
        <v>43.21</v>
      </c>
      <c r="B987" s="13">
        <v>43.5</v>
      </c>
      <c r="C987" s="13">
        <v>42.56</v>
      </c>
      <c r="D987" s="13">
        <v>43.06</v>
      </c>
      <c r="E987" s="13">
        <v>12976862</v>
      </c>
      <c r="F987" s="13" t="s">
        <v>1578</v>
      </c>
      <c r="G987" s="18">
        <f t="shared" si="21"/>
        <v>3.4835113794704498E-3</v>
      </c>
    </row>
    <row r="988" spans="1:7">
      <c r="A988" s="13">
        <v>42.8</v>
      </c>
      <c r="B988" s="13">
        <v>43.42</v>
      </c>
      <c r="C988" s="13">
        <v>42.76</v>
      </c>
      <c r="D988" s="13">
        <v>43.3</v>
      </c>
      <c r="E988" s="13">
        <v>8231273</v>
      </c>
      <c r="F988" s="13" t="s">
        <v>1577</v>
      </c>
      <c r="G988" s="18">
        <f t="shared" si="21"/>
        <v>-1.1547344110854452E-2</v>
      </c>
    </row>
    <row r="989" spans="1:7">
      <c r="A989" s="13">
        <v>43.13</v>
      </c>
      <c r="B989" s="13">
        <v>43.28</v>
      </c>
      <c r="C989" s="13">
        <v>42.58</v>
      </c>
      <c r="D989" s="13">
        <v>43.08</v>
      </c>
      <c r="E989" s="13">
        <v>7157688</v>
      </c>
      <c r="F989" s="13" t="s">
        <v>1576</v>
      </c>
      <c r="G989" s="18">
        <f t="shared" si="21"/>
        <v>1.1606313834726656E-3</v>
      </c>
    </row>
    <row r="990" spans="1:7">
      <c r="A990" s="13">
        <v>43.24</v>
      </c>
      <c r="B990" s="13">
        <v>43.84</v>
      </c>
      <c r="C990" s="13">
        <v>43.07</v>
      </c>
      <c r="D990" s="13">
        <v>43.53</v>
      </c>
      <c r="E990" s="13">
        <v>5732285</v>
      </c>
      <c r="F990" s="13" t="s">
        <v>1575</v>
      </c>
      <c r="G990" s="18">
        <f t="shared" si="21"/>
        <v>-6.6620721341603684E-3</v>
      </c>
    </row>
    <row r="991" spans="1:7">
      <c r="A991" s="13">
        <v>43.73</v>
      </c>
      <c r="B991" s="13">
        <v>45.43</v>
      </c>
      <c r="C991" s="13">
        <v>43.58</v>
      </c>
      <c r="D991" s="13">
        <v>45.115000000000002</v>
      </c>
      <c r="E991" s="13">
        <v>6993045</v>
      </c>
      <c r="F991" s="13" t="s">
        <v>1574</v>
      </c>
      <c r="G991" s="18">
        <f t="shared" si="21"/>
        <v>-3.0699323949905932E-2</v>
      </c>
    </row>
    <row r="992" spans="1:7">
      <c r="A992" s="13">
        <v>44.32</v>
      </c>
      <c r="B992" s="13">
        <v>44.76</v>
      </c>
      <c r="C992" s="13">
        <v>44.28</v>
      </c>
      <c r="D992" s="13">
        <v>44.66</v>
      </c>
      <c r="E992" s="13">
        <v>5314707</v>
      </c>
      <c r="F992" s="13" t="s">
        <v>1573</v>
      </c>
      <c r="G992" s="18">
        <f t="shared" si="21"/>
        <v>-7.6130765785937804E-3</v>
      </c>
    </row>
    <row r="993" spans="1:7">
      <c r="A993" s="13">
        <v>44.49</v>
      </c>
      <c r="B993" s="13">
        <v>45.02</v>
      </c>
      <c r="C993" s="13">
        <v>44.44</v>
      </c>
      <c r="D993" s="13">
        <v>44.99</v>
      </c>
      <c r="E993" s="13">
        <v>5238934</v>
      </c>
      <c r="F993" s="13" t="s">
        <v>1572</v>
      </c>
      <c r="G993" s="18">
        <f t="shared" si="21"/>
        <v>-1.1113580795732436E-2</v>
      </c>
    </row>
    <row r="994" spans="1:7">
      <c r="A994" s="13">
        <v>44.84</v>
      </c>
      <c r="B994" s="13">
        <v>45.115000000000002</v>
      </c>
      <c r="C994" s="13">
        <v>44.59</v>
      </c>
      <c r="D994" s="13">
        <v>44.8</v>
      </c>
      <c r="E994" s="13">
        <v>3715138</v>
      </c>
      <c r="F994" s="13" t="s">
        <v>1571</v>
      </c>
      <c r="G994" s="18">
        <f t="shared" si="21"/>
        <v>8.9285714285725071E-4</v>
      </c>
    </row>
    <row r="995" spans="1:7">
      <c r="A995" s="13">
        <v>44.87</v>
      </c>
      <c r="B995" s="13">
        <v>44.93</v>
      </c>
      <c r="C995" s="13">
        <v>44.05</v>
      </c>
      <c r="D995" s="13">
        <v>44.3</v>
      </c>
      <c r="E995" s="13">
        <v>5942938</v>
      </c>
      <c r="F995" s="13" t="s">
        <v>1570</v>
      </c>
      <c r="G995" s="18">
        <f t="shared" si="21"/>
        <v>1.2866817155756216E-2</v>
      </c>
    </row>
    <row r="996" spans="1:7">
      <c r="A996" s="13">
        <v>44.47</v>
      </c>
      <c r="B996" s="13">
        <v>45</v>
      </c>
      <c r="C996" s="13">
        <v>44.225000000000001</v>
      </c>
      <c r="D996" s="13">
        <v>44.46</v>
      </c>
      <c r="E996" s="13">
        <v>7840314</v>
      </c>
      <c r="F996" s="13" t="s">
        <v>1569</v>
      </c>
      <c r="G996" s="18">
        <f t="shared" si="21"/>
        <v>2.2492127755291413E-4</v>
      </c>
    </row>
    <row r="997" spans="1:7">
      <c r="A997" s="13">
        <v>44.13</v>
      </c>
      <c r="B997" s="13">
        <v>44.47</v>
      </c>
      <c r="C997" s="13">
        <v>43.11</v>
      </c>
      <c r="D997" s="13">
        <v>43.23</v>
      </c>
      <c r="E997" s="13">
        <v>6097989</v>
      </c>
      <c r="F997" s="13" t="s">
        <v>1568</v>
      </c>
      <c r="G997" s="18">
        <f t="shared" si="21"/>
        <v>2.0818875780707957E-2</v>
      </c>
    </row>
    <row r="998" spans="1:7">
      <c r="A998" s="13">
        <v>42.8</v>
      </c>
      <c r="B998" s="13">
        <v>43.05</v>
      </c>
      <c r="C998" s="13">
        <v>42.26</v>
      </c>
      <c r="D998" s="13">
        <v>43.01</v>
      </c>
      <c r="E998" s="13">
        <v>4144315</v>
      </c>
      <c r="F998" s="13" t="s">
        <v>1567</v>
      </c>
      <c r="G998" s="18">
        <f t="shared" si="21"/>
        <v>-4.8825854452453354E-3</v>
      </c>
    </row>
    <row r="999" spans="1:7">
      <c r="A999" s="13">
        <v>43.4</v>
      </c>
      <c r="B999" s="13">
        <v>43.68</v>
      </c>
      <c r="C999" s="13">
        <v>43.052500000000002</v>
      </c>
      <c r="D999" s="13">
        <v>43.58</v>
      </c>
      <c r="E999" s="13">
        <v>5503455</v>
      </c>
      <c r="F999" s="13" t="s">
        <v>1566</v>
      </c>
      <c r="G999" s="18">
        <f t="shared" si="21"/>
        <v>-4.1303350160624142E-3</v>
      </c>
    </row>
    <row r="1000" spans="1:7">
      <c r="A1000" s="13">
        <v>43.25</v>
      </c>
      <c r="B1000" s="13">
        <v>43.37</v>
      </c>
      <c r="C1000" s="13">
        <v>42.06</v>
      </c>
      <c r="D1000" s="13">
        <v>42.06</v>
      </c>
      <c r="E1000" s="13">
        <v>6771623</v>
      </c>
      <c r="F1000" s="13" t="s">
        <v>1565</v>
      </c>
      <c r="G1000" s="18">
        <f t="shared" si="21"/>
        <v>2.8292914883499609E-2</v>
      </c>
    </row>
    <row r="1001" spans="1:7">
      <c r="A1001" s="13">
        <v>41.79</v>
      </c>
      <c r="B1001" s="13">
        <v>42.33</v>
      </c>
      <c r="C1001" s="13">
        <v>41.75</v>
      </c>
      <c r="D1001" s="13">
        <v>42.15</v>
      </c>
      <c r="E1001" s="13">
        <v>5622445</v>
      </c>
      <c r="F1001" s="13" t="s">
        <v>1564</v>
      </c>
      <c r="G1001" s="18">
        <f t="shared" si="21"/>
        <v>-8.5409252669038649E-3</v>
      </c>
    </row>
    <row r="1002" spans="1:7">
      <c r="A1002" s="13">
        <v>42.09</v>
      </c>
      <c r="B1002" s="13">
        <v>42.484999999999999</v>
      </c>
      <c r="C1002" s="13">
        <v>41.95</v>
      </c>
      <c r="D1002" s="13">
        <v>42.29</v>
      </c>
      <c r="E1002" s="13">
        <v>4114728</v>
      </c>
      <c r="F1002" s="13" t="s">
        <v>1563</v>
      </c>
      <c r="G1002" s="18">
        <f t="shared" si="21"/>
        <v>-4.7292504138093383E-3</v>
      </c>
    </row>
    <row r="1003" spans="1:7">
      <c r="A1003" s="13">
        <v>42.14</v>
      </c>
      <c r="B1003" s="13">
        <v>43.234999999999999</v>
      </c>
      <c r="C1003" s="13">
        <v>42.094999999999999</v>
      </c>
      <c r="D1003" s="13">
        <v>42.98</v>
      </c>
      <c r="E1003" s="13">
        <v>3752052</v>
      </c>
      <c r="F1003" s="13" t="s">
        <v>1562</v>
      </c>
      <c r="G1003" s="18">
        <f t="shared" si="21"/>
        <v>-1.9543973941367976E-2</v>
      </c>
    </row>
    <row r="1004" spans="1:7">
      <c r="A1004" s="13">
        <v>43.16</v>
      </c>
      <c r="B1004" s="13">
        <v>44.02</v>
      </c>
      <c r="C1004" s="13">
        <v>43.1</v>
      </c>
      <c r="D1004" s="13">
        <v>43.63</v>
      </c>
      <c r="E1004" s="13">
        <v>4163627</v>
      </c>
      <c r="F1004" s="13" t="s">
        <v>1561</v>
      </c>
      <c r="G1004" s="18">
        <f t="shared" si="21"/>
        <v>-1.0772404308961869E-2</v>
      </c>
    </row>
    <row r="1005" spans="1:7">
      <c r="A1005" s="13">
        <v>43.62</v>
      </c>
      <c r="B1005" s="13">
        <v>44.244999999999997</v>
      </c>
      <c r="C1005" s="13">
        <v>43.2</v>
      </c>
      <c r="D1005" s="13">
        <v>43.2</v>
      </c>
      <c r="E1005" s="13">
        <v>6783042</v>
      </c>
      <c r="F1005" s="13" t="s">
        <v>1560</v>
      </c>
      <c r="G1005" s="18">
        <f t="shared" si="21"/>
        <v>9.7222222222221877E-3</v>
      </c>
    </row>
    <row r="1006" spans="1:7">
      <c r="A1006" s="13">
        <v>42.86</v>
      </c>
      <c r="B1006" s="13">
        <v>42.91</v>
      </c>
      <c r="C1006" s="13">
        <v>41.86</v>
      </c>
      <c r="D1006" s="13">
        <v>42.18</v>
      </c>
      <c r="E1006" s="13">
        <v>5274473</v>
      </c>
      <c r="F1006" s="13" t="s">
        <v>1559</v>
      </c>
      <c r="G1006" s="18">
        <f t="shared" si="21"/>
        <v>1.6121384542437278E-2</v>
      </c>
    </row>
    <row r="1007" spans="1:7">
      <c r="A1007" s="13">
        <v>42.44</v>
      </c>
      <c r="B1007" s="13">
        <v>43.23</v>
      </c>
      <c r="C1007" s="13">
        <v>42.43</v>
      </c>
      <c r="D1007" s="13">
        <v>42.52</v>
      </c>
      <c r="E1007" s="13">
        <v>5396334</v>
      </c>
      <c r="F1007" s="13" t="s">
        <v>1558</v>
      </c>
      <c r="G1007" s="18">
        <f t="shared" si="21"/>
        <v>-1.8814675446849893E-3</v>
      </c>
    </row>
    <row r="1008" spans="1:7">
      <c r="A1008" s="13">
        <v>42.41</v>
      </c>
      <c r="B1008" s="13">
        <v>43.78</v>
      </c>
      <c r="C1008" s="13">
        <v>42.01</v>
      </c>
      <c r="D1008" s="13">
        <v>43.53</v>
      </c>
      <c r="E1008" s="13">
        <v>8878242</v>
      </c>
      <c r="F1008" s="13" t="s">
        <v>1557</v>
      </c>
      <c r="G1008" s="18">
        <f t="shared" si="21"/>
        <v>-2.5729382035378001E-2</v>
      </c>
    </row>
    <row r="1009" spans="1:7">
      <c r="A1009" s="13">
        <v>43.8</v>
      </c>
      <c r="B1009" s="13">
        <v>44.03</v>
      </c>
      <c r="C1009" s="13">
        <v>43.2</v>
      </c>
      <c r="D1009" s="13">
        <v>43.49</v>
      </c>
      <c r="E1009" s="13">
        <v>4782109</v>
      </c>
      <c r="F1009" s="13" t="s">
        <v>1556</v>
      </c>
      <c r="G1009" s="18">
        <f t="shared" si="21"/>
        <v>7.1280754196365592E-3</v>
      </c>
    </row>
    <row r="1010" spans="1:7">
      <c r="A1010" s="13">
        <v>43.39</v>
      </c>
      <c r="B1010" s="13">
        <v>44.274999999999999</v>
      </c>
      <c r="C1010" s="13">
        <v>43.38</v>
      </c>
      <c r="D1010" s="13">
        <v>43.91</v>
      </c>
      <c r="E1010" s="13">
        <v>6738498</v>
      </c>
      <c r="F1010" s="13" t="s">
        <v>1555</v>
      </c>
      <c r="G1010" s="18">
        <f t="shared" ref="G1010:G1073" si="22">A1010/D1010-1</f>
        <v>-1.1842404919152671E-2</v>
      </c>
    </row>
    <row r="1011" spans="1:7">
      <c r="A1011" s="13">
        <v>43.89</v>
      </c>
      <c r="B1011" s="13">
        <v>44.2</v>
      </c>
      <c r="C1011" s="13">
        <v>43.72</v>
      </c>
      <c r="D1011" s="13">
        <v>43.84</v>
      </c>
      <c r="E1011" s="13">
        <v>5096885</v>
      </c>
      <c r="F1011" s="13" t="s">
        <v>1554</v>
      </c>
      <c r="G1011" s="18">
        <f t="shared" si="22"/>
        <v>1.1405109489051046E-3</v>
      </c>
    </row>
    <row r="1012" spans="1:7">
      <c r="A1012" s="13">
        <v>43.67</v>
      </c>
      <c r="B1012" s="13">
        <v>44.32</v>
      </c>
      <c r="C1012" s="13">
        <v>43.47</v>
      </c>
      <c r="D1012" s="13">
        <v>44.22</v>
      </c>
      <c r="E1012" s="13">
        <v>4867724</v>
      </c>
      <c r="F1012" s="13" t="s">
        <v>1553</v>
      </c>
      <c r="G1012" s="18">
        <f t="shared" si="22"/>
        <v>-1.243781094527352E-2</v>
      </c>
    </row>
    <row r="1013" spans="1:7">
      <c r="A1013" s="13">
        <v>44.46</v>
      </c>
      <c r="B1013" s="13">
        <v>44.81</v>
      </c>
      <c r="C1013" s="13">
        <v>44.23</v>
      </c>
      <c r="D1013" s="13">
        <v>44.51</v>
      </c>
      <c r="E1013" s="13">
        <v>4844915</v>
      </c>
      <c r="F1013" s="13" t="s">
        <v>1552</v>
      </c>
      <c r="G1013" s="18">
        <f t="shared" si="22"/>
        <v>-1.1233430689732149E-3</v>
      </c>
    </row>
    <row r="1014" spans="1:7">
      <c r="A1014" s="13">
        <v>44.7</v>
      </c>
      <c r="B1014" s="13">
        <v>45.1</v>
      </c>
      <c r="C1014" s="13">
        <v>44.384999999999998</v>
      </c>
      <c r="D1014" s="13">
        <v>44.9</v>
      </c>
      <c r="E1014" s="13">
        <v>4332876</v>
      </c>
      <c r="F1014" s="13" t="s">
        <v>1551</v>
      </c>
      <c r="G1014" s="18">
        <f t="shared" si="22"/>
        <v>-4.4543429844097204E-3</v>
      </c>
    </row>
    <row r="1015" spans="1:7">
      <c r="A1015" s="13">
        <v>45</v>
      </c>
      <c r="B1015" s="13">
        <v>45.4</v>
      </c>
      <c r="C1015" s="13">
        <v>44.32</v>
      </c>
      <c r="D1015" s="13">
        <v>44.51</v>
      </c>
      <c r="E1015" s="13">
        <v>8199614</v>
      </c>
      <c r="F1015" s="13" t="s">
        <v>1550</v>
      </c>
      <c r="G1015" s="18">
        <f t="shared" si="22"/>
        <v>1.1008762075938039E-2</v>
      </c>
    </row>
    <row r="1016" spans="1:7">
      <c r="A1016" s="13">
        <v>44.31</v>
      </c>
      <c r="B1016" s="13">
        <v>44.94</v>
      </c>
      <c r="C1016" s="13">
        <v>43.23</v>
      </c>
      <c r="D1016" s="13">
        <v>43.43</v>
      </c>
      <c r="E1016" s="13">
        <v>8946294</v>
      </c>
      <c r="F1016" s="13" t="s">
        <v>1549</v>
      </c>
      <c r="G1016" s="18">
        <f t="shared" si="22"/>
        <v>2.0262491365415691E-2</v>
      </c>
    </row>
    <row r="1017" spans="1:7">
      <c r="A1017" s="13">
        <v>43.36</v>
      </c>
      <c r="B1017" s="13">
        <v>44.354999999999997</v>
      </c>
      <c r="C1017" s="13">
        <v>43.34</v>
      </c>
      <c r="D1017" s="13">
        <v>44.02</v>
      </c>
      <c r="E1017" s="13">
        <v>6336410</v>
      </c>
      <c r="F1017" s="13" t="s">
        <v>1548</v>
      </c>
      <c r="G1017" s="18">
        <f t="shared" si="22"/>
        <v>-1.4993184915947366E-2</v>
      </c>
    </row>
    <row r="1018" spans="1:7">
      <c r="A1018" s="13">
        <v>43.64</v>
      </c>
      <c r="B1018" s="13">
        <v>44.08</v>
      </c>
      <c r="C1018" s="13">
        <v>43.24</v>
      </c>
      <c r="D1018" s="13">
        <v>43.8</v>
      </c>
      <c r="E1018" s="13">
        <v>7566182</v>
      </c>
      <c r="F1018" s="13" t="s">
        <v>1547</v>
      </c>
      <c r="G1018" s="18">
        <f t="shared" si="22"/>
        <v>-3.6529680365295913E-3</v>
      </c>
    </row>
    <row r="1019" spans="1:7">
      <c r="A1019" s="13">
        <v>44.37</v>
      </c>
      <c r="B1019" s="13">
        <v>44.71</v>
      </c>
      <c r="C1019" s="13">
        <v>43.92</v>
      </c>
      <c r="D1019" s="13">
        <v>44.53</v>
      </c>
      <c r="E1019" s="13">
        <v>8419640</v>
      </c>
      <c r="F1019" s="13" t="s">
        <v>1546</v>
      </c>
      <c r="G1019" s="18">
        <f t="shared" si="22"/>
        <v>-3.593083314619494E-3</v>
      </c>
    </row>
    <row r="1020" spans="1:7">
      <c r="A1020" s="13">
        <v>44.9</v>
      </c>
      <c r="B1020" s="13">
        <v>45.12</v>
      </c>
      <c r="C1020" s="13">
        <v>44.64</v>
      </c>
      <c r="D1020" s="13">
        <v>45.01</v>
      </c>
      <c r="E1020" s="13">
        <v>5313532</v>
      </c>
      <c r="F1020" s="13" t="s">
        <v>1545</v>
      </c>
      <c r="G1020" s="18">
        <f t="shared" si="22"/>
        <v>-2.4439013552544075E-3</v>
      </c>
    </row>
    <row r="1021" spans="1:7">
      <c r="A1021" s="13">
        <v>45.01</v>
      </c>
      <c r="B1021" s="13">
        <v>45.365000000000002</v>
      </c>
      <c r="C1021" s="13">
        <v>44.62</v>
      </c>
      <c r="D1021" s="13">
        <v>44.88</v>
      </c>
      <c r="E1021" s="13">
        <v>5266688</v>
      </c>
      <c r="F1021" s="13" t="s">
        <v>1544</v>
      </c>
      <c r="G1021" s="18">
        <f t="shared" si="22"/>
        <v>2.8966131907306458E-3</v>
      </c>
    </row>
    <row r="1022" spans="1:7">
      <c r="A1022" s="13">
        <v>44.85</v>
      </c>
      <c r="B1022" s="13">
        <v>45.008600000000001</v>
      </c>
      <c r="C1022" s="13">
        <v>44.094999999999999</v>
      </c>
      <c r="D1022" s="13">
        <v>44.54</v>
      </c>
      <c r="E1022" s="13">
        <v>4638132</v>
      </c>
      <c r="F1022" s="13" t="s">
        <v>1543</v>
      </c>
      <c r="G1022" s="18">
        <f t="shared" si="22"/>
        <v>6.9600359227661723E-3</v>
      </c>
    </row>
    <row r="1023" spans="1:7">
      <c r="A1023" s="13">
        <v>44.21</v>
      </c>
      <c r="B1023" s="13">
        <v>44.88</v>
      </c>
      <c r="C1023" s="13">
        <v>43.82</v>
      </c>
      <c r="D1023" s="13">
        <v>44.72</v>
      </c>
      <c r="E1023" s="13">
        <v>5816059</v>
      </c>
      <c r="F1023" s="13" t="s">
        <v>1542</v>
      </c>
      <c r="G1023" s="18">
        <f t="shared" si="22"/>
        <v>-1.1404293381037545E-2</v>
      </c>
    </row>
    <row r="1024" spans="1:7">
      <c r="A1024" s="13">
        <v>44.46</v>
      </c>
      <c r="B1024" s="13">
        <v>45.56</v>
      </c>
      <c r="C1024" s="13">
        <v>44.25</v>
      </c>
      <c r="D1024" s="13">
        <v>45.41</v>
      </c>
      <c r="E1024" s="13">
        <v>5105726</v>
      </c>
      <c r="F1024" s="13" t="s">
        <v>1541</v>
      </c>
      <c r="G1024" s="18">
        <f t="shared" si="22"/>
        <v>-2.0920502092050097E-2</v>
      </c>
    </row>
    <row r="1025" spans="1:7">
      <c r="A1025" s="13">
        <v>45.41</v>
      </c>
      <c r="B1025" s="13">
        <v>45.95</v>
      </c>
      <c r="C1025" s="13">
        <v>45.27</v>
      </c>
      <c r="D1025" s="13">
        <v>45.5</v>
      </c>
      <c r="E1025" s="13">
        <v>4944472</v>
      </c>
      <c r="F1025" s="13" t="s">
        <v>1540</v>
      </c>
      <c r="G1025" s="18">
        <f t="shared" si="22"/>
        <v>-1.9780219780221042E-3</v>
      </c>
    </row>
    <row r="1026" spans="1:7">
      <c r="A1026" s="13">
        <v>45.51</v>
      </c>
      <c r="B1026" s="13">
        <v>45.8</v>
      </c>
      <c r="C1026" s="13">
        <v>44.86</v>
      </c>
      <c r="D1026" s="13">
        <v>45.03</v>
      </c>
      <c r="E1026" s="13">
        <v>5470387</v>
      </c>
      <c r="F1026" s="13" t="s">
        <v>1539</v>
      </c>
      <c r="G1026" s="18">
        <f t="shared" si="22"/>
        <v>1.065956029313786E-2</v>
      </c>
    </row>
    <row r="1027" spans="1:7">
      <c r="A1027" s="13">
        <v>45.1</v>
      </c>
      <c r="B1027" s="13">
        <v>45.155000000000001</v>
      </c>
      <c r="C1027" s="13">
        <v>44.27</v>
      </c>
      <c r="D1027" s="13">
        <v>44.66</v>
      </c>
      <c r="E1027" s="13">
        <v>3609979</v>
      </c>
      <c r="F1027" s="13" t="s">
        <v>1538</v>
      </c>
      <c r="G1027" s="18">
        <f t="shared" si="22"/>
        <v>9.8522167487686829E-3</v>
      </c>
    </row>
    <row r="1028" spans="1:7">
      <c r="A1028" s="13">
        <v>44.92</v>
      </c>
      <c r="B1028" s="13">
        <v>45.12</v>
      </c>
      <c r="C1028" s="13">
        <v>44.46</v>
      </c>
      <c r="D1028" s="13">
        <v>45</v>
      </c>
      <c r="E1028" s="13">
        <v>8244342</v>
      </c>
      <c r="F1028" s="13" t="s">
        <v>1537</v>
      </c>
      <c r="G1028" s="18">
        <f t="shared" si="22"/>
        <v>-1.777777777777767E-3</v>
      </c>
    </row>
    <row r="1029" spans="1:7">
      <c r="A1029" s="13">
        <v>45.06</v>
      </c>
      <c r="B1029" s="13">
        <v>45.87</v>
      </c>
      <c r="C1029" s="13">
        <v>44.95</v>
      </c>
      <c r="D1029" s="13">
        <v>45.8</v>
      </c>
      <c r="E1029" s="13">
        <v>7294906</v>
      </c>
      <c r="F1029" s="13" t="s">
        <v>1536</v>
      </c>
      <c r="G1029" s="18">
        <f t="shared" si="22"/>
        <v>-1.615720524017461E-2</v>
      </c>
    </row>
    <row r="1030" spans="1:7">
      <c r="A1030" s="13">
        <v>45.58</v>
      </c>
      <c r="B1030" s="13">
        <v>45.697699999999998</v>
      </c>
      <c r="C1030" s="13">
        <v>44.91</v>
      </c>
      <c r="D1030" s="13">
        <v>45.33</v>
      </c>
      <c r="E1030" s="13">
        <v>5408490</v>
      </c>
      <c r="F1030" s="13" t="s">
        <v>1535</v>
      </c>
      <c r="G1030" s="18">
        <f t="shared" si="22"/>
        <v>5.5151114052502948E-3</v>
      </c>
    </row>
    <row r="1031" spans="1:7">
      <c r="A1031" s="13">
        <v>45.15</v>
      </c>
      <c r="B1031" s="13">
        <v>45.265000000000001</v>
      </c>
      <c r="C1031" s="13">
        <v>44.674999999999997</v>
      </c>
      <c r="D1031" s="13">
        <v>44.89</v>
      </c>
      <c r="E1031" s="13">
        <v>6770035</v>
      </c>
      <c r="F1031" s="13" t="s">
        <v>1534</v>
      </c>
      <c r="G1031" s="18">
        <f t="shared" si="22"/>
        <v>5.791935843172169E-3</v>
      </c>
    </row>
    <row r="1032" spans="1:7">
      <c r="A1032" s="13">
        <v>44.83</v>
      </c>
      <c r="B1032" s="13">
        <v>45.09</v>
      </c>
      <c r="C1032" s="13">
        <v>44.625</v>
      </c>
      <c r="D1032" s="13">
        <v>44.88</v>
      </c>
      <c r="E1032" s="13">
        <v>3659917</v>
      </c>
      <c r="F1032" s="13" t="s">
        <v>1533</v>
      </c>
      <c r="G1032" s="18">
        <f t="shared" si="22"/>
        <v>-1.1140819964350346E-3</v>
      </c>
    </row>
    <row r="1033" spans="1:7">
      <c r="A1033" s="13">
        <v>44.8</v>
      </c>
      <c r="B1033" s="13">
        <v>45.04</v>
      </c>
      <c r="C1033" s="13">
        <v>44.59</v>
      </c>
      <c r="D1033" s="13">
        <v>44.85</v>
      </c>
      <c r="E1033" s="13">
        <v>4027465</v>
      </c>
      <c r="F1033" s="13" t="s">
        <v>1532</v>
      </c>
      <c r="G1033" s="18">
        <f t="shared" si="22"/>
        <v>-1.1148272017837968E-3</v>
      </c>
    </row>
    <row r="1034" spans="1:7">
      <c r="A1034" s="13">
        <v>44.66</v>
      </c>
      <c r="B1034" s="13">
        <v>44.89</v>
      </c>
      <c r="C1034" s="13">
        <v>44.52</v>
      </c>
      <c r="D1034" s="13">
        <v>44.71</v>
      </c>
      <c r="E1034" s="13">
        <v>4011313</v>
      </c>
      <c r="F1034" s="13" t="s">
        <v>1531</v>
      </c>
      <c r="G1034" s="18">
        <f t="shared" si="22"/>
        <v>-1.118318049653455E-3</v>
      </c>
    </row>
    <row r="1035" spans="1:7">
      <c r="A1035" s="13">
        <v>44.81</v>
      </c>
      <c r="B1035" s="13">
        <v>45.305500000000002</v>
      </c>
      <c r="C1035" s="13">
        <v>44.454999999999998</v>
      </c>
      <c r="D1035" s="13">
        <v>44.68</v>
      </c>
      <c r="E1035" s="13">
        <v>4271365</v>
      </c>
      <c r="F1035" s="13" t="s">
        <v>1530</v>
      </c>
      <c r="G1035" s="18">
        <f t="shared" si="22"/>
        <v>2.9095792300806167E-3</v>
      </c>
    </row>
    <row r="1036" spans="1:7">
      <c r="A1036" s="13">
        <v>44.85</v>
      </c>
      <c r="B1036" s="13">
        <v>45.68</v>
      </c>
      <c r="C1036" s="13">
        <v>44.01</v>
      </c>
      <c r="D1036" s="13">
        <v>44.16</v>
      </c>
      <c r="E1036" s="13">
        <v>7916866</v>
      </c>
      <c r="F1036" s="13" t="s">
        <v>1529</v>
      </c>
      <c r="G1036" s="18">
        <f t="shared" si="22"/>
        <v>1.5625E-2</v>
      </c>
    </row>
    <row r="1037" spans="1:7">
      <c r="A1037" s="13">
        <v>43.99</v>
      </c>
      <c r="B1037" s="13">
        <v>44.6</v>
      </c>
      <c r="C1037" s="13">
        <v>43.814999999999998</v>
      </c>
      <c r="D1037" s="13">
        <v>44.5</v>
      </c>
      <c r="E1037" s="13">
        <v>10137968</v>
      </c>
      <c r="F1037" s="13" t="s">
        <v>1528</v>
      </c>
      <c r="G1037" s="18">
        <f t="shared" si="22"/>
        <v>-1.1460674157303341E-2</v>
      </c>
    </row>
    <row r="1038" spans="1:7">
      <c r="A1038" s="13">
        <v>44.44</v>
      </c>
      <c r="B1038" s="13">
        <v>44.51</v>
      </c>
      <c r="C1038" s="13">
        <v>43.94</v>
      </c>
      <c r="D1038" s="13">
        <v>44.2</v>
      </c>
      <c r="E1038" s="13">
        <v>5214889</v>
      </c>
      <c r="F1038" s="13" t="s">
        <v>1527</v>
      </c>
      <c r="G1038" s="18">
        <f t="shared" si="22"/>
        <v>5.4298642533936459E-3</v>
      </c>
    </row>
    <row r="1039" spans="1:7">
      <c r="A1039" s="13">
        <v>44.27</v>
      </c>
      <c r="B1039" s="13">
        <v>44.57</v>
      </c>
      <c r="C1039" s="13">
        <v>43.8</v>
      </c>
      <c r="D1039" s="13">
        <v>43.99</v>
      </c>
      <c r="E1039" s="13">
        <v>4606938</v>
      </c>
      <c r="F1039" s="13" t="s">
        <v>1526</v>
      </c>
      <c r="G1039" s="18">
        <f t="shared" si="22"/>
        <v>6.3650829734029912E-3</v>
      </c>
    </row>
    <row r="1040" spans="1:7">
      <c r="A1040" s="13">
        <v>44.09</v>
      </c>
      <c r="B1040" s="13">
        <v>45.1</v>
      </c>
      <c r="C1040" s="13">
        <v>44.06</v>
      </c>
      <c r="D1040" s="13">
        <v>45.08</v>
      </c>
      <c r="E1040" s="13">
        <v>10536653</v>
      </c>
      <c r="F1040" s="13" t="s">
        <v>1525</v>
      </c>
      <c r="G1040" s="18">
        <f t="shared" si="22"/>
        <v>-2.196095829636191E-2</v>
      </c>
    </row>
    <row r="1041" spans="1:7">
      <c r="A1041" s="13">
        <v>45.15</v>
      </c>
      <c r="B1041" s="13">
        <v>45.38</v>
      </c>
      <c r="C1041" s="13">
        <v>44.37</v>
      </c>
      <c r="D1041" s="13">
        <v>44.63</v>
      </c>
      <c r="E1041" s="13">
        <v>8536511</v>
      </c>
      <c r="F1041" s="13" t="s">
        <v>1524</v>
      </c>
      <c r="G1041" s="18">
        <f t="shared" si="22"/>
        <v>1.1651355590409862E-2</v>
      </c>
    </row>
    <row r="1042" spans="1:7">
      <c r="A1042" s="13">
        <v>44.66</v>
      </c>
      <c r="B1042" s="13">
        <v>44.704999999999998</v>
      </c>
      <c r="C1042" s="13">
        <v>44.09</v>
      </c>
      <c r="D1042" s="13">
        <v>44.3</v>
      </c>
      <c r="E1042" s="13">
        <v>5261929</v>
      </c>
      <c r="F1042" s="13" t="s">
        <v>1523</v>
      </c>
      <c r="G1042" s="18">
        <f t="shared" si="22"/>
        <v>8.1264108352143705E-3</v>
      </c>
    </row>
    <row r="1043" spans="1:7">
      <c r="A1043" s="13">
        <v>44.33</v>
      </c>
      <c r="B1043" s="13">
        <v>44.37</v>
      </c>
      <c r="C1043" s="13">
        <v>43.85</v>
      </c>
      <c r="D1043" s="13">
        <v>44</v>
      </c>
      <c r="E1043" s="13">
        <v>3137363</v>
      </c>
      <c r="F1043" s="13" t="s">
        <v>1522</v>
      </c>
      <c r="G1043" s="18">
        <f t="shared" si="22"/>
        <v>7.5000000000000622E-3</v>
      </c>
    </row>
    <row r="1044" spans="1:7">
      <c r="A1044" s="13">
        <v>44.07</v>
      </c>
      <c r="B1044" s="13">
        <v>44.26</v>
      </c>
      <c r="C1044" s="13">
        <v>43.48</v>
      </c>
      <c r="D1044" s="13">
        <v>43.66</v>
      </c>
      <c r="E1044" s="13">
        <v>5013788</v>
      </c>
      <c r="F1044" s="13" t="s">
        <v>1521</v>
      </c>
      <c r="G1044" s="18">
        <f t="shared" si="22"/>
        <v>9.3907466788822891E-3</v>
      </c>
    </row>
    <row r="1045" spans="1:7">
      <c r="A1045" s="13">
        <v>43.63</v>
      </c>
      <c r="B1045" s="13">
        <v>43.95</v>
      </c>
      <c r="C1045" s="13">
        <v>42.71</v>
      </c>
      <c r="D1045" s="13">
        <v>42.81</v>
      </c>
      <c r="E1045" s="13">
        <v>7582839</v>
      </c>
      <c r="F1045" s="13" t="s">
        <v>1520</v>
      </c>
      <c r="G1045" s="18">
        <f t="shared" si="22"/>
        <v>1.9154403176827817E-2</v>
      </c>
    </row>
    <row r="1046" spans="1:7">
      <c r="A1046" s="13">
        <v>42.65</v>
      </c>
      <c r="B1046" s="13">
        <v>43.98</v>
      </c>
      <c r="C1046" s="13">
        <v>42.125</v>
      </c>
      <c r="D1046" s="13">
        <v>43.84</v>
      </c>
      <c r="E1046" s="13">
        <v>14862653</v>
      </c>
      <c r="F1046" s="13" t="s">
        <v>1519</v>
      </c>
      <c r="G1046" s="18">
        <f t="shared" si="22"/>
        <v>-2.7144160583941757E-2</v>
      </c>
    </row>
    <row r="1047" spans="1:7">
      <c r="A1047" s="13">
        <v>43.81</v>
      </c>
      <c r="B1047" s="13">
        <v>44.869900000000001</v>
      </c>
      <c r="C1047" s="13">
        <v>43.674999999999997</v>
      </c>
      <c r="D1047" s="13">
        <v>44.7</v>
      </c>
      <c r="E1047" s="13">
        <v>5918454</v>
      </c>
      <c r="F1047" s="13" t="s">
        <v>1518</v>
      </c>
      <c r="G1047" s="18">
        <f t="shared" si="22"/>
        <v>-1.9910514541387037E-2</v>
      </c>
    </row>
    <row r="1048" spans="1:7">
      <c r="A1048" s="13">
        <v>44.7</v>
      </c>
      <c r="B1048" s="13">
        <v>44.734999999999999</v>
      </c>
      <c r="C1048" s="13">
        <v>44.284999999999997</v>
      </c>
      <c r="D1048" s="13">
        <v>44.71</v>
      </c>
      <c r="E1048" s="13">
        <v>5607552</v>
      </c>
      <c r="F1048" s="13" t="s">
        <v>1517</v>
      </c>
      <c r="G1048" s="18">
        <f t="shared" si="22"/>
        <v>-2.236636099306466E-4</v>
      </c>
    </row>
    <row r="1049" spans="1:7">
      <c r="A1049" s="13">
        <v>44.65</v>
      </c>
      <c r="B1049" s="13">
        <v>44.66</v>
      </c>
      <c r="C1049" s="13">
        <v>44.06</v>
      </c>
      <c r="D1049" s="13">
        <v>44.45</v>
      </c>
      <c r="E1049" s="13">
        <v>6471048</v>
      </c>
      <c r="F1049" s="13" t="s">
        <v>1516</v>
      </c>
      <c r="G1049" s="18">
        <f t="shared" si="22"/>
        <v>4.4994375703035772E-3</v>
      </c>
    </row>
    <row r="1050" spans="1:7">
      <c r="A1050" s="13">
        <v>44.26</v>
      </c>
      <c r="B1050" s="13">
        <v>45.6</v>
      </c>
      <c r="C1050" s="13">
        <v>44.24</v>
      </c>
      <c r="D1050" s="13">
        <v>45.38</v>
      </c>
      <c r="E1050" s="13">
        <v>8099896</v>
      </c>
      <c r="F1050" s="13" t="s">
        <v>1515</v>
      </c>
      <c r="G1050" s="18">
        <f t="shared" si="22"/>
        <v>-2.4680475980608296E-2</v>
      </c>
    </row>
    <row r="1051" spans="1:7">
      <c r="A1051" s="13">
        <v>45.54</v>
      </c>
      <c r="B1051" s="13">
        <v>45.924999999999997</v>
      </c>
      <c r="C1051" s="13">
        <v>45.16</v>
      </c>
      <c r="D1051" s="13">
        <v>45.9</v>
      </c>
      <c r="E1051" s="13">
        <v>7721539</v>
      </c>
      <c r="F1051" s="13" t="s">
        <v>1514</v>
      </c>
      <c r="G1051" s="18">
        <f t="shared" si="22"/>
        <v>-7.8431372549019329E-3</v>
      </c>
    </row>
    <row r="1052" spans="1:7">
      <c r="A1052" s="13">
        <v>45.88</v>
      </c>
      <c r="B1052" s="13">
        <v>46.284999999999997</v>
      </c>
      <c r="C1052" s="13">
        <v>45.34</v>
      </c>
      <c r="D1052" s="13">
        <v>45.77</v>
      </c>
      <c r="E1052" s="13">
        <v>10041149</v>
      </c>
      <c r="F1052" s="13" t="s">
        <v>1513</v>
      </c>
      <c r="G1052" s="18">
        <f t="shared" si="22"/>
        <v>2.4033209525891053E-3</v>
      </c>
    </row>
    <row r="1053" spans="1:7">
      <c r="A1053" s="13">
        <v>45.6</v>
      </c>
      <c r="B1053" s="13">
        <v>45.93</v>
      </c>
      <c r="C1053" s="13">
        <v>45.011200000000002</v>
      </c>
      <c r="D1053" s="13">
        <v>45.19</v>
      </c>
      <c r="E1053" s="13">
        <v>9108233</v>
      </c>
      <c r="F1053" s="13" t="s">
        <v>1512</v>
      </c>
      <c r="G1053" s="18">
        <f t="shared" si="22"/>
        <v>9.072803717636635E-3</v>
      </c>
    </row>
    <row r="1054" spans="1:7">
      <c r="A1054" s="13">
        <v>45.32</v>
      </c>
      <c r="B1054" s="13">
        <v>45.57</v>
      </c>
      <c r="C1054" s="13">
        <v>44.92</v>
      </c>
      <c r="D1054" s="13">
        <v>45.52</v>
      </c>
      <c r="E1054" s="13">
        <v>5214524</v>
      </c>
      <c r="F1054" s="13" t="s">
        <v>1511</v>
      </c>
      <c r="G1054" s="18">
        <f t="shared" si="22"/>
        <v>-4.3936731107205862E-3</v>
      </c>
    </row>
    <row r="1055" spans="1:7">
      <c r="A1055" s="13">
        <v>45.43</v>
      </c>
      <c r="B1055" s="13">
        <v>45.8</v>
      </c>
      <c r="C1055" s="13">
        <v>44.83</v>
      </c>
      <c r="D1055" s="13">
        <v>45.41</v>
      </c>
      <c r="E1055" s="13">
        <v>8168066</v>
      </c>
      <c r="F1055" s="13" t="s">
        <v>1510</v>
      </c>
      <c r="G1055" s="18">
        <f t="shared" si="22"/>
        <v>4.4043162299067795E-4</v>
      </c>
    </row>
    <row r="1056" spans="1:7">
      <c r="A1056" s="13">
        <v>45.51</v>
      </c>
      <c r="B1056" s="13">
        <v>46.03</v>
      </c>
      <c r="C1056" s="13">
        <v>43.78</v>
      </c>
      <c r="D1056" s="13">
        <v>44.625</v>
      </c>
      <c r="E1056" s="13">
        <v>14100214</v>
      </c>
      <c r="F1056" s="13" t="s">
        <v>1509</v>
      </c>
      <c r="G1056" s="18">
        <f t="shared" si="22"/>
        <v>1.9831932773109129E-2</v>
      </c>
    </row>
    <row r="1057" spans="1:7">
      <c r="A1057" s="13">
        <v>43.97</v>
      </c>
      <c r="B1057" s="13">
        <v>44.08</v>
      </c>
      <c r="C1057" s="13">
        <v>43.68</v>
      </c>
      <c r="D1057" s="13">
        <v>43.87</v>
      </c>
      <c r="E1057" s="13">
        <v>5899489</v>
      </c>
      <c r="F1057" s="13" t="s">
        <v>1508</v>
      </c>
      <c r="G1057" s="18">
        <f t="shared" si="22"/>
        <v>2.2794620469570592E-3</v>
      </c>
    </row>
    <row r="1058" spans="1:7">
      <c r="A1058" s="13">
        <v>44.12</v>
      </c>
      <c r="B1058" s="13">
        <v>44.27</v>
      </c>
      <c r="C1058" s="13">
        <v>43.69</v>
      </c>
      <c r="D1058" s="13">
        <v>43.85</v>
      </c>
      <c r="E1058" s="13">
        <v>5204225</v>
      </c>
      <c r="F1058" s="13" t="s">
        <v>1507</v>
      </c>
      <c r="G1058" s="18">
        <f t="shared" si="22"/>
        <v>6.157354618015809E-3</v>
      </c>
    </row>
    <row r="1059" spans="1:7">
      <c r="A1059" s="13">
        <v>43.55</v>
      </c>
      <c r="B1059" s="13">
        <v>43.92</v>
      </c>
      <c r="C1059" s="13">
        <v>43.18</v>
      </c>
      <c r="D1059" s="13">
        <v>43.63</v>
      </c>
      <c r="E1059" s="13">
        <v>4793715</v>
      </c>
      <c r="F1059" s="13" t="s">
        <v>1506</v>
      </c>
      <c r="G1059" s="18">
        <f t="shared" si="22"/>
        <v>-1.8336007334404103E-3</v>
      </c>
    </row>
    <row r="1060" spans="1:7">
      <c r="A1060" s="13">
        <v>43.58</v>
      </c>
      <c r="B1060" s="13">
        <v>43.825000000000003</v>
      </c>
      <c r="C1060" s="13">
        <v>43.02</v>
      </c>
      <c r="D1060" s="13">
        <v>43.19</v>
      </c>
      <c r="E1060" s="13">
        <v>7571062</v>
      </c>
      <c r="F1060" s="13" t="s">
        <v>1505</v>
      </c>
      <c r="G1060" s="18">
        <f t="shared" si="22"/>
        <v>9.0298680250058272E-3</v>
      </c>
    </row>
    <row r="1061" spans="1:7">
      <c r="A1061" s="13">
        <v>42.79</v>
      </c>
      <c r="B1061" s="13">
        <v>43</v>
      </c>
      <c r="C1061" s="13">
        <v>41.31</v>
      </c>
      <c r="D1061" s="13">
        <v>41.32</v>
      </c>
      <c r="E1061" s="13">
        <v>8007672</v>
      </c>
      <c r="F1061" s="13" t="s">
        <v>1504</v>
      </c>
      <c r="G1061" s="18">
        <f t="shared" si="22"/>
        <v>3.5575992255566291E-2</v>
      </c>
    </row>
    <row r="1062" spans="1:7">
      <c r="A1062" s="13">
        <v>41.23</v>
      </c>
      <c r="B1062" s="13">
        <v>41.83</v>
      </c>
      <c r="C1062" s="13">
        <v>40.93</v>
      </c>
      <c r="D1062" s="13">
        <v>41.66</v>
      </c>
      <c r="E1062" s="13">
        <v>6268248</v>
      </c>
      <c r="F1062" s="13" t="s">
        <v>1503</v>
      </c>
      <c r="G1062" s="18">
        <f t="shared" si="22"/>
        <v>-1.0321651464234249E-2</v>
      </c>
    </row>
    <row r="1063" spans="1:7">
      <c r="A1063" s="13">
        <v>42.1</v>
      </c>
      <c r="B1063" s="13">
        <v>42.43</v>
      </c>
      <c r="C1063" s="13">
        <v>41.983800000000002</v>
      </c>
      <c r="D1063" s="13">
        <v>42.31</v>
      </c>
      <c r="E1063" s="13">
        <v>5539678</v>
      </c>
      <c r="F1063" s="13" t="s">
        <v>1502</v>
      </c>
      <c r="G1063" s="18">
        <f t="shared" si="22"/>
        <v>-4.9633656346017574E-3</v>
      </c>
    </row>
    <row r="1064" spans="1:7">
      <c r="A1064" s="13">
        <v>42.16</v>
      </c>
      <c r="B1064" s="13">
        <v>42.55</v>
      </c>
      <c r="C1064" s="13">
        <v>41.86</v>
      </c>
      <c r="D1064" s="13">
        <v>42.42</v>
      </c>
      <c r="E1064" s="13">
        <v>6079752</v>
      </c>
      <c r="F1064" s="13" t="s">
        <v>1501</v>
      </c>
      <c r="G1064" s="18">
        <f t="shared" si="22"/>
        <v>-6.1291843470062668E-3</v>
      </c>
    </row>
    <row r="1065" spans="1:7">
      <c r="A1065" s="13">
        <v>42.74</v>
      </c>
      <c r="B1065" s="13">
        <v>43.335000000000001</v>
      </c>
      <c r="C1065" s="13">
        <v>42.65</v>
      </c>
      <c r="D1065" s="13">
        <v>43.24</v>
      </c>
      <c r="E1065" s="13">
        <v>4174478</v>
      </c>
      <c r="F1065" s="13" t="s">
        <v>1500</v>
      </c>
      <c r="G1065" s="18">
        <f t="shared" si="22"/>
        <v>-1.1563367252543921E-2</v>
      </c>
    </row>
    <row r="1066" spans="1:7">
      <c r="A1066" s="13">
        <v>43.06</v>
      </c>
      <c r="B1066" s="13">
        <v>43.52</v>
      </c>
      <c r="C1066" s="13">
        <v>43</v>
      </c>
      <c r="D1066" s="13">
        <v>43.39</v>
      </c>
      <c r="E1066" s="13">
        <v>4137070</v>
      </c>
      <c r="F1066" s="13" t="s">
        <v>1499</v>
      </c>
      <c r="G1066" s="18">
        <f t="shared" si="22"/>
        <v>-7.6054390412536588E-3</v>
      </c>
    </row>
    <row r="1067" spans="1:7">
      <c r="A1067" s="13">
        <v>43.49</v>
      </c>
      <c r="B1067" s="13">
        <v>43.62</v>
      </c>
      <c r="C1067" s="13">
        <v>43.36</v>
      </c>
      <c r="D1067" s="13">
        <v>43.36</v>
      </c>
      <c r="E1067" s="13">
        <v>3772667</v>
      </c>
      <c r="F1067" s="13" t="s">
        <v>1498</v>
      </c>
      <c r="G1067" s="18">
        <f t="shared" si="22"/>
        <v>2.998154981549872E-3</v>
      </c>
    </row>
    <row r="1068" spans="1:7">
      <c r="A1068" s="13">
        <v>43.59</v>
      </c>
      <c r="B1068" s="13">
        <v>43.83</v>
      </c>
      <c r="C1068" s="13">
        <v>43.39</v>
      </c>
      <c r="D1068" s="13">
        <v>43.664999999999999</v>
      </c>
      <c r="E1068" s="13">
        <v>4137138</v>
      </c>
      <c r="F1068" s="13" t="s">
        <v>1497</v>
      </c>
      <c r="G1068" s="18">
        <f t="shared" si="22"/>
        <v>-1.7176228100308499E-3</v>
      </c>
    </row>
    <row r="1069" spans="1:7">
      <c r="A1069" s="13">
        <v>43.34</v>
      </c>
      <c r="B1069" s="13">
        <v>43.54</v>
      </c>
      <c r="C1069" s="13">
        <v>42.79</v>
      </c>
      <c r="D1069" s="13">
        <v>43.46</v>
      </c>
      <c r="E1069" s="13">
        <v>6035237</v>
      </c>
      <c r="F1069" s="13" t="s">
        <v>1496</v>
      </c>
      <c r="G1069" s="18">
        <f t="shared" si="22"/>
        <v>-2.7611596870684707E-3</v>
      </c>
    </row>
    <row r="1070" spans="1:7">
      <c r="A1070" s="13">
        <v>43.93</v>
      </c>
      <c r="B1070" s="13">
        <v>43.99</v>
      </c>
      <c r="C1070" s="13">
        <v>43.534999999999997</v>
      </c>
      <c r="D1070" s="13">
        <v>43.72</v>
      </c>
      <c r="E1070" s="13">
        <v>5358311</v>
      </c>
      <c r="F1070" s="13" t="s">
        <v>1495</v>
      </c>
      <c r="G1070" s="18">
        <f t="shared" si="22"/>
        <v>4.8032936870996412E-3</v>
      </c>
    </row>
    <row r="1071" spans="1:7">
      <c r="A1071" s="13">
        <v>43.62</v>
      </c>
      <c r="B1071" s="13">
        <v>43.8</v>
      </c>
      <c r="C1071" s="13">
        <v>43.25</v>
      </c>
      <c r="D1071" s="13">
        <v>43.79</v>
      </c>
      <c r="E1071" s="13">
        <v>6659727</v>
      </c>
      <c r="F1071" s="13" t="s">
        <v>1494</v>
      </c>
      <c r="G1071" s="18">
        <f t="shared" si="22"/>
        <v>-3.8821648778259998E-3</v>
      </c>
    </row>
    <row r="1072" spans="1:7">
      <c r="A1072" s="13">
        <v>43.92</v>
      </c>
      <c r="B1072" s="13">
        <v>44</v>
      </c>
      <c r="C1072" s="13">
        <v>43.21</v>
      </c>
      <c r="D1072" s="13">
        <v>43.4</v>
      </c>
      <c r="E1072" s="13">
        <v>4997758</v>
      </c>
      <c r="F1072" s="13" t="s">
        <v>1493</v>
      </c>
      <c r="G1072" s="18">
        <f t="shared" si="22"/>
        <v>1.1981566820276512E-2</v>
      </c>
    </row>
    <row r="1073" spans="1:7">
      <c r="A1073" s="13">
        <v>43.36</v>
      </c>
      <c r="B1073" s="13">
        <v>43.51</v>
      </c>
      <c r="C1073" s="13">
        <v>42.685000000000002</v>
      </c>
      <c r="D1073" s="13">
        <v>42.78</v>
      </c>
      <c r="E1073" s="13">
        <v>5756424</v>
      </c>
      <c r="F1073" s="13" t="s">
        <v>1492</v>
      </c>
      <c r="G1073" s="18">
        <f t="shared" si="22"/>
        <v>1.3557737260402103E-2</v>
      </c>
    </row>
    <row r="1074" spans="1:7">
      <c r="A1074" s="13">
        <v>42.76</v>
      </c>
      <c r="B1074" s="13">
        <v>43.3</v>
      </c>
      <c r="C1074" s="13">
        <v>42.44</v>
      </c>
      <c r="D1074" s="13">
        <v>43.3</v>
      </c>
      <c r="E1074" s="13">
        <v>8902639</v>
      </c>
      <c r="F1074" s="13" t="s">
        <v>1491</v>
      </c>
      <c r="G1074" s="18">
        <f t="shared" ref="G1074:G1137" si="23">A1074/D1074-1</f>
        <v>-1.2471131639722799E-2</v>
      </c>
    </row>
    <row r="1075" spans="1:7">
      <c r="A1075" s="13">
        <v>43.23</v>
      </c>
      <c r="B1075" s="13">
        <v>43.5</v>
      </c>
      <c r="C1075" s="13">
        <v>42.98</v>
      </c>
      <c r="D1075" s="13">
        <v>43.37</v>
      </c>
      <c r="E1075" s="13">
        <v>5370271</v>
      </c>
      <c r="F1075" s="13" t="s">
        <v>1490</v>
      </c>
      <c r="G1075" s="18">
        <f t="shared" si="23"/>
        <v>-3.2280378141572585E-3</v>
      </c>
    </row>
    <row r="1076" spans="1:7">
      <c r="A1076" s="13">
        <v>43.33</v>
      </c>
      <c r="B1076" s="13">
        <v>44.22</v>
      </c>
      <c r="C1076" s="13">
        <v>43.04</v>
      </c>
      <c r="D1076" s="13">
        <v>44</v>
      </c>
      <c r="E1076" s="13">
        <v>6763013</v>
      </c>
      <c r="F1076" s="13" t="s">
        <v>1489</v>
      </c>
      <c r="G1076" s="18">
        <f t="shared" si="23"/>
        <v>-1.5227272727272756E-2</v>
      </c>
    </row>
    <row r="1077" spans="1:7">
      <c r="A1077" s="13">
        <v>44.1</v>
      </c>
      <c r="B1077" s="13">
        <v>44.265000000000001</v>
      </c>
      <c r="C1077" s="13">
        <v>43.84</v>
      </c>
      <c r="D1077" s="13">
        <v>43.87</v>
      </c>
      <c r="E1077" s="13">
        <v>6884251</v>
      </c>
      <c r="F1077" s="13" t="s">
        <v>1488</v>
      </c>
      <c r="G1077" s="18">
        <f t="shared" si="23"/>
        <v>5.2427627080009476E-3</v>
      </c>
    </row>
    <row r="1078" spans="1:7">
      <c r="A1078" s="13">
        <v>43.71</v>
      </c>
      <c r="B1078" s="13">
        <v>44.2</v>
      </c>
      <c r="C1078" s="13">
        <v>43.71</v>
      </c>
      <c r="D1078" s="13">
        <v>43.99</v>
      </c>
      <c r="E1078" s="13">
        <v>6324874</v>
      </c>
      <c r="F1078" s="13" t="s">
        <v>1487</v>
      </c>
      <c r="G1078" s="18">
        <f t="shared" si="23"/>
        <v>-6.3650829734031023E-3</v>
      </c>
    </row>
    <row r="1079" spans="1:7">
      <c r="A1079" s="13">
        <v>43.79</v>
      </c>
      <c r="B1079" s="13">
        <v>43.97</v>
      </c>
      <c r="C1079" s="13">
        <v>43.62</v>
      </c>
      <c r="D1079" s="13">
        <v>43.79</v>
      </c>
      <c r="E1079" s="13">
        <v>3760378</v>
      </c>
      <c r="F1079" s="13" t="s">
        <v>1486</v>
      </c>
      <c r="G1079" s="18">
        <f t="shared" si="23"/>
        <v>0</v>
      </c>
    </row>
    <row r="1080" spans="1:7">
      <c r="A1080" s="13">
        <v>43.83</v>
      </c>
      <c r="B1080" s="13">
        <v>43.92</v>
      </c>
      <c r="C1080" s="13">
        <v>43.284999999999997</v>
      </c>
      <c r="D1080" s="13">
        <v>43.53</v>
      </c>
      <c r="E1080" s="13">
        <v>5623322</v>
      </c>
      <c r="F1080" s="13" t="s">
        <v>1485</v>
      </c>
      <c r="G1080" s="18">
        <f t="shared" si="23"/>
        <v>6.8917987594760977E-3</v>
      </c>
    </row>
    <row r="1081" spans="1:7">
      <c r="A1081" s="13">
        <v>43.6</v>
      </c>
      <c r="B1081" s="13">
        <v>43.82</v>
      </c>
      <c r="C1081" s="13">
        <v>43.17</v>
      </c>
      <c r="D1081" s="13">
        <v>43.3</v>
      </c>
      <c r="E1081" s="13">
        <v>6705991</v>
      </c>
      <c r="F1081" s="13" t="s">
        <v>1484</v>
      </c>
      <c r="G1081" s="18">
        <f t="shared" si="23"/>
        <v>6.9284064665127154E-3</v>
      </c>
    </row>
    <row r="1082" spans="1:7">
      <c r="A1082" s="13">
        <v>43.02</v>
      </c>
      <c r="B1082" s="13">
        <v>43.36</v>
      </c>
      <c r="C1082" s="13">
        <v>42.81</v>
      </c>
      <c r="D1082" s="13">
        <v>43.11</v>
      </c>
      <c r="E1082" s="13">
        <v>8845311</v>
      </c>
      <c r="F1082" s="13" t="s">
        <v>1483</v>
      </c>
      <c r="G1082" s="18">
        <f t="shared" si="23"/>
        <v>-2.0876826722336927E-3</v>
      </c>
    </row>
    <row r="1083" spans="1:7">
      <c r="A1083" s="13">
        <v>43.35</v>
      </c>
      <c r="B1083" s="13">
        <v>43.5</v>
      </c>
      <c r="C1083" s="13">
        <v>42.7</v>
      </c>
      <c r="D1083" s="13">
        <v>42.72</v>
      </c>
      <c r="E1083" s="13">
        <v>6578656</v>
      </c>
      <c r="F1083" s="13" t="s">
        <v>1482</v>
      </c>
      <c r="G1083" s="18">
        <f t="shared" si="23"/>
        <v>1.4747191011236005E-2</v>
      </c>
    </row>
    <row r="1084" spans="1:7">
      <c r="A1084" s="13">
        <v>42.78</v>
      </c>
      <c r="B1084" s="13">
        <v>43.03</v>
      </c>
      <c r="C1084" s="13">
        <v>42.53</v>
      </c>
      <c r="D1084" s="13">
        <v>42.81</v>
      </c>
      <c r="E1084" s="13">
        <v>4910602</v>
      </c>
      <c r="F1084" s="13" t="s">
        <v>1481</v>
      </c>
      <c r="G1084" s="18">
        <f t="shared" si="23"/>
        <v>-7.0077084793274125E-4</v>
      </c>
    </row>
    <row r="1085" spans="1:7">
      <c r="A1085" s="13">
        <v>42.75</v>
      </c>
      <c r="B1085" s="13">
        <v>42.93</v>
      </c>
      <c r="C1085" s="13">
        <v>42.39</v>
      </c>
      <c r="D1085" s="13">
        <v>42.7</v>
      </c>
      <c r="E1085" s="13">
        <v>6396220</v>
      </c>
      <c r="F1085" s="13" t="s">
        <v>1480</v>
      </c>
      <c r="G1085" s="18">
        <f t="shared" si="23"/>
        <v>1.1709601873535203E-3</v>
      </c>
    </row>
    <row r="1086" spans="1:7">
      <c r="A1086" s="13">
        <v>42.54</v>
      </c>
      <c r="B1086" s="13">
        <v>42.94</v>
      </c>
      <c r="C1086" s="13">
        <v>42.37</v>
      </c>
      <c r="D1086" s="13">
        <v>42.94</v>
      </c>
      <c r="E1086" s="13">
        <v>5034096</v>
      </c>
      <c r="F1086" s="13" t="s">
        <v>1479</v>
      </c>
      <c r="G1086" s="18">
        <f t="shared" si="23"/>
        <v>-9.3153237074987683E-3</v>
      </c>
    </row>
    <row r="1087" spans="1:7">
      <c r="A1087" s="13">
        <v>42.91</v>
      </c>
      <c r="B1087" s="13">
        <v>42.93</v>
      </c>
      <c r="C1087" s="13">
        <v>42.38</v>
      </c>
      <c r="D1087" s="13">
        <v>42.76</v>
      </c>
      <c r="E1087" s="13">
        <v>5352775</v>
      </c>
      <c r="F1087" s="13" t="s">
        <v>1478</v>
      </c>
      <c r="G1087" s="18">
        <f t="shared" si="23"/>
        <v>3.5079513564078013E-3</v>
      </c>
    </row>
    <row r="1088" spans="1:7">
      <c r="A1088" s="13">
        <v>42.84</v>
      </c>
      <c r="B1088" s="13">
        <v>42.91</v>
      </c>
      <c r="C1088" s="13">
        <v>42.39</v>
      </c>
      <c r="D1088" s="13">
        <v>42.49</v>
      </c>
      <c r="E1088" s="13">
        <v>3992009</v>
      </c>
      <c r="F1088" s="13" t="s">
        <v>1477</v>
      </c>
      <c r="G1088" s="18">
        <f t="shared" si="23"/>
        <v>8.2372322899506578E-3</v>
      </c>
    </row>
    <row r="1089" spans="1:7">
      <c r="A1089" s="13">
        <v>42.33</v>
      </c>
      <c r="B1089" s="13">
        <v>42.4</v>
      </c>
      <c r="C1089" s="13">
        <v>42.015000000000001</v>
      </c>
      <c r="D1089" s="13">
        <v>42.05</v>
      </c>
      <c r="E1089" s="13">
        <v>3863518</v>
      </c>
      <c r="F1089" s="13" t="s">
        <v>1476</v>
      </c>
      <c r="G1089" s="18">
        <f t="shared" si="23"/>
        <v>6.6587395957193873E-3</v>
      </c>
    </row>
    <row r="1090" spans="1:7">
      <c r="A1090" s="13">
        <v>42.02</v>
      </c>
      <c r="B1090" s="13">
        <v>42.39</v>
      </c>
      <c r="C1090" s="13">
        <v>41.43</v>
      </c>
      <c r="D1090" s="13">
        <v>42.37</v>
      </c>
      <c r="E1090" s="13">
        <v>4840199</v>
      </c>
      <c r="F1090" s="13" t="s">
        <v>1475</v>
      </c>
      <c r="G1090" s="18">
        <f t="shared" si="23"/>
        <v>-8.2605617181966684E-3</v>
      </c>
    </row>
    <row r="1091" spans="1:7">
      <c r="A1091" s="13">
        <v>42.14</v>
      </c>
      <c r="B1091" s="13">
        <v>42.695</v>
      </c>
      <c r="C1091" s="13">
        <v>42.005000000000003</v>
      </c>
      <c r="D1091" s="13">
        <v>42.21</v>
      </c>
      <c r="E1091" s="13">
        <v>7467356</v>
      </c>
      <c r="F1091" s="13" t="s">
        <v>1474</v>
      </c>
      <c r="G1091" s="18">
        <f t="shared" si="23"/>
        <v>-1.6583747927031434E-3</v>
      </c>
    </row>
    <row r="1092" spans="1:7">
      <c r="A1092" s="13">
        <v>42.03</v>
      </c>
      <c r="B1092" s="13">
        <v>42.12</v>
      </c>
      <c r="C1092" s="13">
        <v>41.4</v>
      </c>
      <c r="D1092" s="13">
        <v>41.78</v>
      </c>
      <c r="E1092" s="13">
        <v>5465346</v>
      </c>
      <c r="F1092" s="13" t="s">
        <v>1473</v>
      </c>
      <c r="G1092" s="18">
        <f t="shared" si="23"/>
        <v>5.983724269985613E-3</v>
      </c>
    </row>
    <row r="1093" spans="1:7">
      <c r="A1093" s="13">
        <v>41.35</v>
      </c>
      <c r="B1093" s="13">
        <v>41.54</v>
      </c>
      <c r="C1093" s="13">
        <v>40.869999999999997</v>
      </c>
      <c r="D1093" s="13">
        <v>41.36</v>
      </c>
      <c r="E1093" s="13">
        <v>5658902</v>
      </c>
      <c r="F1093" s="13" t="s">
        <v>1472</v>
      </c>
      <c r="G1093" s="18">
        <f t="shared" si="23"/>
        <v>-2.4177949709858204E-4</v>
      </c>
    </row>
    <row r="1094" spans="1:7">
      <c r="A1094" s="13">
        <v>41.61</v>
      </c>
      <c r="B1094" s="13">
        <v>43.06</v>
      </c>
      <c r="C1094" s="13">
        <v>41.55</v>
      </c>
      <c r="D1094" s="13">
        <v>43</v>
      </c>
      <c r="E1094" s="13">
        <v>11253654</v>
      </c>
      <c r="F1094" s="13" t="s">
        <v>1471</v>
      </c>
      <c r="G1094" s="18">
        <f t="shared" si="23"/>
        <v>-3.2325581395348801E-2</v>
      </c>
    </row>
    <row r="1095" spans="1:7">
      <c r="A1095" s="13">
        <v>42.93</v>
      </c>
      <c r="B1095" s="13">
        <v>43.2</v>
      </c>
      <c r="C1095" s="13">
        <v>42.5</v>
      </c>
      <c r="D1095" s="13">
        <v>42.82</v>
      </c>
      <c r="E1095" s="13">
        <v>8166472</v>
      </c>
      <c r="F1095" s="13" t="s">
        <v>1470</v>
      </c>
      <c r="G1095" s="18">
        <f t="shared" si="23"/>
        <v>2.5688930406351229E-3</v>
      </c>
    </row>
    <row r="1096" spans="1:7">
      <c r="A1096" s="13">
        <v>42.55</v>
      </c>
      <c r="B1096" s="13">
        <v>42.86</v>
      </c>
      <c r="C1096" s="13">
        <v>42.08</v>
      </c>
      <c r="D1096" s="13">
        <v>42.36</v>
      </c>
      <c r="E1096" s="13">
        <v>5720760</v>
      </c>
      <c r="F1096" s="13" t="s">
        <v>1469</v>
      </c>
      <c r="G1096" s="18">
        <f t="shared" si="23"/>
        <v>4.4853635505193168E-3</v>
      </c>
    </row>
    <row r="1097" spans="1:7">
      <c r="A1097" s="13">
        <v>41.96</v>
      </c>
      <c r="B1097" s="13">
        <v>42.23</v>
      </c>
      <c r="C1097" s="13">
        <v>41.78</v>
      </c>
      <c r="D1097" s="13">
        <v>42.05</v>
      </c>
      <c r="E1097" s="13">
        <v>8004476</v>
      </c>
      <c r="F1097" s="13" t="s">
        <v>1468</v>
      </c>
      <c r="G1097" s="18">
        <f t="shared" si="23"/>
        <v>-2.1403091557669063E-3</v>
      </c>
    </row>
    <row r="1098" spans="1:7">
      <c r="A1098" s="13">
        <v>41.83</v>
      </c>
      <c r="B1098" s="13">
        <v>42.35</v>
      </c>
      <c r="C1098" s="13">
        <v>41.05</v>
      </c>
      <c r="D1098" s="13">
        <v>41.52</v>
      </c>
      <c r="E1098" s="13">
        <v>10531840</v>
      </c>
      <c r="F1098" s="13" t="s">
        <v>1467</v>
      </c>
      <c r="G1098" s="18">
        <f t="shared" si="23"/>
        <v>7.4662813102117642E-3</v>
      </c>
    </row>
    <row r="1099" spans="1:7">
      <c r="A1099" s="13">
        <v>43.03</v>
      </c>
      <c r="B1099" s="13">
        <v>43.34</v>
      </c>
      <c r="C1099" s="13">
        <v>42.68</v>
      </c>
      <c r="D1099" s="13">
        <v>43.01</v>
      </c>
      <c r="E1099" s="13">
        <v>5891519</v>
      </c>
      <c r="F1099" s="13" t="s">
        <v>1466</v>
      </c>
      <c r="G1099" s="18">
        <f t="shared" si="23"/>
        <v>4.6500813764249749E-4</v>
      </c>
    </row>
    <row r="1100" spans="1:7">
      <c r="A1100" s="13">
        <v>42.8</v>
      </c>
      <c r="B1100" s="13">
        <v>42.98</v>
      </c>
      <c r="C1100" s="13">
        <v>42.2</v>
      </c>
      <c r="D1100" s="13">
        <v>42.37</v>
      </c>
      <c r="E1100" s="13">
        <v>7751084</v>
      </c>
      <c r="F1100" s="13" t="s">
        <v>1465</v>
      </c>
      <c r="G1100" s="18">
        <f t="shared" si="23"/>
        <v>1.0148690110927561E-2</v>
      </c>
    </row>
    <row r="1101" spans="1:7">
      <c r="A1101" s="13">
        <v>42.11</v>
      </c>
      <c r="B1101" s="13">
        <v>42.64</v>
      </c>
      <c r="C1101" s="13">
        <v>42.07</v>
      </c>
      <c r="D1101" s="13">
        <v>42.14</v>
      </c>
      <c r="E1101" s="13">
        <v>5203747</v>
      </c>
      <c r="F1101" s="13" t="s">
        <v>1464</v>
      </c>
      <c r="G1101" s="18">
        <f t="shared" si="23"/>
        <v>-7.1191267204562259E-4</v>
      </c>
    </row>
    <row r="1102" spans="1:7">
      <c r="A1102" s="13">
        <v>41.92</v>
      </c>
      <c r="B1102" s="13">
        <v>42.28</v>
      </c>
      <c r="C1102" s="13">
        <v>41.23</v>
      </c>
      <c r="D1102" s="13">
        <v>41.36</v>
      </c>
      <c r="E1102" s="13">
        <v>4427546</v>
      </c>
      <c r="F1102" s="13" t="s">
        <v>1463</v>
      </c>
      <c r="G1102" s="18">
        <f t="shared" si="23"/>
        <v>1.3539651837524147E-2</v>
      </c>
    </row>
    <row r="1103" spans="1:7">
      <c r="A1103" s="13">
        <v>41.43</v>
      </c>
      <c r="B1103" s="13">
        <v>41.494999999999997</v>
      </c>
      <c r="C1103" s="13">
        <v>41.04</v>
      </c>
      <c r="D1103" s="13">
        <v>41.26</v>
      </c>
      <c r="E1103" s="13">
        <v>5900636</v>
      </c>
      <c r="F1103" s="13" t="s">
        <v>1462</v>
      </c>
      <c r="G1103" s="18">
        <f t="shared" si="23"/>
        <v>4.120213281628704E-3</v>
      </c>
    </row>
    <row r="1104" spans="1:7">
      <c r="A1104" s="13">
        <v>41.77</v>
      </c>
      <c r="B1104" s="13">
        <v>42.19</v>
      </c>
      <c r="C1104" s="13">
        <v>41.66</v>
      </c>
      <c r="D1104" s="13">
        <v>41.73</v>
      </c>
      <c r="E1104" s="13">
        <v>5212333</v>
      </c>
      <c r="F1104" s="13" t="s">
        <v>1461</v>
      </c>
      <c r="G1104" s="18">
        <f t="shared" si="23"/>
        <v>9.5854301461795188E-4</v>
      </c>
    </row>
    <row r="1105" spans="1:7">
      <c r="A1105" s="13">
        <v>41.72</v>
      </c>
      <c r="B1105" s="13">
        <v>41.82</v>
      </c>
      <c r="C1105" s="13">
        <v>41.23</v>
      </c>
      <c r="D1105" s="13">
        <v>41.5</v>
      </c>
      <c r="E1105" s="13">
        <v>5552367</v>
      </c>
      <c r="F1105" s="13" t="s">
        <v>1460</v>
      </c>
      <c r="G1105" s="18">
        <f t="shared" si="23"/>
        <v>5.3012048192770944E-3</v>
      </c>
    </row>
    <row r="1106" spans="1:7">
      <c r="A1106" s="13">
        <v>41.55</v>
      </c>
      <c r="B1106" s="13">
        <v>42.04</v>
      </c>
      <c r="C1106" s="13">
        <v>41.54</v>
      </c>
      <c r="D1106" s="13">
        <v>41.84</v>
      </c>
      <c r="E1106" s="13">
        <v>4447561</v>
      </c>
      <c r="F1106" s="13" t="s">
        <v>1459</v>
      </c>
      <c r="G1106" s="18">
        <f t="shared" si="23"/>
        <v>-6.9311663479925123E-3</v>
      </c>
    </row>
    <row r="1107" spans="1:7">
      <c r="A1107" s="13">
        <v>41.61</v>
      </c>
      <c r="B1107" s="13">
        <v>41.88</v>
      </c>
      <c r="C1107" s="13">
        <v>41.325000000000003</v>
      </c>
      <c r="D1107" s="13">
        <v>41.51</v>
      </c>
      <c r="E1107" s="13">
        <v>5005882</v>
      </c>
      <c r="F1107" s="13" t="s">
        <v>1458</v>
      </c>
      <c r="G1107" s="18">
        <f t="shared" si="23"/>
        <v>2.4090580582991628E-3</v>
      </c>
    </row>
    <row r="1108" spans="1:7">
      <c r="A1108" s="13">
        <v>41.35</v>
      </c>
      <c r="B1108" s="13">
        <v>42.34</v>
      </c>
      <c r="C1108" s="13">
        <v>41.23</v>
      </c>
      <c r="D1108" s="13">
        <v>42.34</v>
      </c>
      <c r="E1108" s="13">
        <v>9882777</v>
      </c>
      <c r="F1108" s="13" t="s">
        <v>1457</v>
      </c>
      <c r="G1108" s="18">
        <f t="shared" si="23"/>
        <v>-2.3382144544166317E-2</v>
      </c>
    </row>
    <row r="1109" spans="1:7">
      <c r="A1109" s="13">
        <v>42.53</v>
      </c>
      <c r="B1109" s="13">
        <v>43.38</v>
      </c>
      <c r="C1109" s="13">
        <v>42.37</v>
      </c>
      <c r="D1109" s="13">
        <v>43.15</v>
      </c>
      <c r="E1109" s="13">
        <v>10858519</v>
      </c>
      <c r="F1109" s="13" t="s">
        <v>1456</v>
      </c>
      <c r="G1109" s="18">
        <f t="shared" si="23"/>
        <v>-1.4368482039397446E-2</v>
      </c>
    </row>
    <row r="1110" spans="1:7">
      <c r="A1110" s="13">
        <v>43.25</v>
      </c>
      <c r="B1110" s="13">
        <v>43.61</v>
      </c>
      <c r="C1110" s="13">
        <v>43.08</v>
      </c>
      <c r="D1110" s="13">
        <v>43.16</v>
      </c>
      <c r="E1110" s="13">
        <v>6078422</v>
      </c>
      <c r="F1110" s="13" t="s">
        <v>1455</v>
      </c>
      <c r="G1110" s="18">
        <f t="shared" si="23"/>
        <v>2.0852641334569988E-3</v>
      </c>
    </row>
    <row r="1111" spans="1:7">
      <c r="A1111" s="13">
        <v>43.13</v>
      </c>
      <c r="B1111" s="13">
        <v>43.83</v>
      </c>
      <c r="C1111" s="13">
        <v>42.99</v>
      </c>
      <c r="D1111" s="13">
        <v>43.1</v>
      </c>
      <c r="E1111" s="13">
        <v>6089420</v>
      </c>
      <c r="F1111" s="13" t="s">
        <v>1454</v>
      </c>
      <c r="G1111" s="18">
        <f t="shared" si="23"/>
        <v>6.9605568445485488E-4</v>
      </c>
    </row>
    <row r="1112" spans="1:7">
      <c r="A1112" s="13">
        <v>43.04</v>
      </c>
      <c r="B1112" s="13">
        <v>43.104999999999997</v>
      </c>
      <c r="C1112" s="13">
        <v>42.62</v>
      </c>
      <c r="D1112" s="13">
        <v>43.03</v>
      </c>
      <c r="E1112" s="13">
        <v>8257468</v>
      </c>
      <c r="F1112" s="13" t="s">
        <v>1453</v>
      </c>
      <c r="G1112" s="18">
        <f t="shared" si="23"/>
        <v>2.323960027887928E-4</v>
      </c>
    </row>
    <row r="1113" spans="1:7">
      <c r="A1113" s="13">
        <v>43.09</v>
      </c>
      <c r="B1113" s="13">
        <v>43.47</v>
      </c>
      <c r="C1113" s="13">
        <v>43.05</v>
      </c>
      <c r="D1113" s="13">
        <v>43.47</v>
      </c>
      <c r="E1113" s="13">
        <v>4465118</v>
      </c>
      <c r="F1113" s="13" t="s">
        <v>1452</v>
      </c>
      <c r="G1113" s="18">
        <f t="shared" si="23"/>
        <v>-8.7416609155738234E-3</v>
      </c>
    </row>
    <row r="1114" spans="1:7">
      <c r="A1114" s="13">
        <v>43.33</v>
      </c>
      <c r="B1114" s="13">
        <v>43.5</v>
      </c>
      <c r="C1114" s="13">
        <v>43.09</v>
      </c>
      <c r="D1114" s="13">
        <v>43.5</v>
      </c>
      <c r="E1114" s="13">
        <v>9076459</v>
      </c>
      <c r="F1114" s="13" t="s">
        <v>1451</v>
      </c>
      <c r="G1114" s="18">
        <f t="shared" si="23"/>
        <v>-3.9080459770115539E-3</v>
      </c>
    </row>
    <row r="1115" spans="1:7">
      <c r="A1115" s="13">
        <v>43.63</v>
      </c>
      <c r="B1115" s="13">
        <v>43.79</v>
      </c>
      <c r="C1115" s="13">
        <v>43.44</v>
      </c>
      <c r="D1115" s="13">
        <v>43.6</v>
      </c>
      <c r="E1115" s="13">
        <v>7610605</v>
      </c>
      <c r="F1115" s="13" t="s">
        <v>1450</v>
      </c>
      <c r="G1115" s="18">
        <f t="shared" si="23"/>
        <v>6.8807339449539207E-4</v>
      </c>
    </row>
    <row r="1116" spans="1:7">
      <c r="A1116" s="13">
        <v>43.6</v>
      </c>
      <c r="B1116" s="13">
        <v>43.96</v>
      </c>
      <c r="C1116" s="13">
        <v>43.36</v>
      </c>
      <c r="D1116" s="13">
        <v>43.84</v>
      </c>
      <c r="E1116" s="13">
        <v>12645839</v>
      </c>
      <c r="F1116" s="13" t="s">
        <v>1449</v>
      </c>
      <c r="G1116" s="18">
        <f t="shared" si="23"/>
        <v>-5.4744525547445466E-3</v>
      </c>
    </row>
    <row r="1117" spans="1:7">
      <c r="A1117" s="13">
        <v>44.1</v>
      </c>
      <c r="B1117" s="13">
        <v>44.3</v>
      </c>
      <c r="C1117" s="13">
        <v>43.63</v>
      </c>
      <c r="D1117" s="13">
        <v>44.28</v>
      </c>
      <c r="E1117" s="13">
        <v>8810742</v>
      </c>
      <c r="F1117" s="13" t="s">
        <v>1448</v>
      </c>
      <c r="G1117" s="18">
        <f t="shared" si="23"/>
        <v>-4.0650406504064707E-3</v>
      </c>
    </row>
    <row r="1118" spans="1:7">
      <c r="A1118" s="13">
        <v>44.24</v>
      </c>
      <c r="B1118" s="13">
        <v>44.63</v>
      </c>
      <c r="C1118" s="13">
        <v>43.75</v>
      </c>
      <c r="D1118" s="13">
        <v>43.86</v>
      </c>
      <c r="E1118" s="13">
        <v>16088234</v>
      </c>
      <c r="F1118" s="13" t="s">
        <v>1447</v>
      </c>
      <c r="G1118" s="18">
        <f t="shared" si="23"/>
        <v>8.6639306885545331E-3</v>
      </c>
    </row>
    <row r="1119" spans="1:7">
      <c r="A1119" s="13">
        <v>42.41</v>
      </c>
      <c r="B1119" s="13">
        <v>42.76</v>
      </c>
      <c r="C1119" s="13">
        <v>41.59</v>
      </c>
      <c r="D1119" s="13">
        <v>41.99</v>
      </c>
      <c r="E1119" s="13">
        <v>8400876</v>
      </c>
      <c r="F1119" s="13" t="s">
        <v>1446</v>
      </c>
      <c r="G1119" s="18">
        <f t="shared" si="23"/>
        <v>1.0002381519409242E-2</v>
      </c>
    </row>
    <row r="1120" spans="1:7">
      <c r="A1120" s="13">
        <v>42.27</v>
      </c>
      <c r="B1120" s="13">
        <v>42.905000000000001</v>
      </c>
      <c r="C1120" s="13">
        <v>42.23</v>
      </c>
      <c r="D1120" s="13">
        <v>42.81</v>
      </c>
      <c r="E1120" s="13">
        <v>11175828</v>
      </c>
      <c r="F1120" s="13" t="s">
        <v>1445</v>
      </c>
      <c r="G1120" s="18">
        <f t="shared" si="23"/>
        <v>-1.2613875262789009E-2</v>
      </c>
    </row>
    <row r="1121" spans="1:7">
      <c r="A1121" s="13">
        <v>42.73</v>
      </c>
      <c r="B1121" s="13">
        <v>42.94</v>
      </c>
      <c r="C1121" s="13">
        <v>42.58</v>
      </c>
      <c r="D1121" s="13">
        <v>42.6</v>
      </c>
      <c r="E1121" s="13">
        <v>9906018</v>
      </c>
      <c r="F1121" s="13" t="s">
        <v>1444</v>
      </c>
      <c r="G1121" s="18">
        <f t="shared" si="23"/>
        <v>3.0516431924880738E-3</v>
      </c>
    </row>
    <row r="1122" spans="1:7">
      <c r="A1122" s="13">
        <v>42.57</v>
      </c>
      <c r="B1122" s="13">
        <v>42.8</v>
      </c>
      <c r="C1122" s="13">
        <v>42.03</v>
      </c>
      <c r="D1122" s="13">
        <v>42.31</v>
      </c>
      <c r="E1122" s="13">
        <v>12019317</v>
      </c>
      <c r="F1122" s="13" t="s">
        <v>1443</v>
      </c>
      <c r="G1122" s="18">
        <f t="shared" si="23"/>
        <v>6.1451193571260276E-3</v>
      </c>
    </row>
    <row r="1123" spans="1:7">
      <c r="A1123" s="13">
        <v>42.31</v>
      </c>
      <c r="B1123" s="13">
        <v>42.54</v>
      </c>
      <c r="C1123" s="13">
        <v>41</v>
      </c>
      <c r="D1123" s="13">
        <v>41.24</v>
      </c>
      <c r="E1123" s="13">
        <v>14811371</v>
      </c>
      <c r="F1123" s="13" t="s">
        <v>1442</v>
      </c>
      <c r="G1123" s="18">
        <f t="shared" si="23"/>
        <v>2.5945683802133912E-2</v>
      </c>
    </row>
    <row r="1124" spans="1:7">
      <c r="A1124" s="13">
        <v>41.13</v>
      </c>
      <c r="B1124" s="13">
        <v>41.73</v>
      </c>
      <c r="C1124" s="13">
        <v>40.71</v>
      </c>
      <c r="D1124" s="13">
        <v>40.82</v>
      </c>
      <c r="E1124" s="13">
        <v>10522810</v>
      </c>
      <c r="F1124" s="13" t="s">
        <v>1441</v>
      </c>
      <c r="G1124" s="18">
        <f t="shared" si="23"/>
        <v>7.5943165115139877E-3</v>
      </c>
    </row>
    <row r="1125" spans="1:7">
      <c r="A1125" s="13">
        <v>40.880000000000003</v>
      </c>
      <c r="B1125" s="13">
        <v>40.97</v>
      </c>
      <c r="C1125" s="13">
        <v>40.520000000000003</v>
      </c>
      <c r="D1125" s="13">
        <v>40.79</v>
      </c>
      <c r="E1125" s="13">
        <v>6539365</v>
      </c>
      <c r="F1125" s="13" t="s">
        <v>1440</v>
      </c>
      <c r="G1125" s="18">
        <f t="shared" si="23"/>
        <v>2.206423142927294E-3</v>
      </c>
    </row>
    <row r="1126" spans="1:7">
      <c r="A1126" s="13">
        <v>40.909999999999997</v>
      </c>
      <c r="B1126" s="13">
        <v>41.18</v>
      </c>
      <c r="C1126" s="13">
        <v>40.590000000000003</v>
      </c>
      <c r="D1126" s="13">
        <v>41.14</v>
      </c>
      <c r="E1126" s="13">
        <v>7527774</v>
      </c>
      <c r="F1126" s="13" t="s">
        <v>1439</v>
      </c>
      <c r="G1126" s="18">
        <f t="shared" si="23"/>
        <v>-5.5906660184735779E-3</v>
      </c>
    </row>
    <row r="1127" spans="1:7">
      <c r="A1127" s="13">
        <v>40.86</v>
      </c>
      <c r="B1127" s="13">
        <v>41.06</v>
      </c>
      <c r="C1127" s="13">
        <v>39.840000000000003</v>
      </c>
      <c r="D1127" s="13">
        <v>39.880000000000003</v>
      </c>
      <c r="E1127" s="13">
        <v>8608131</v>
      </c>
      <c r="F1127" s="13" t="s">
        <v>1438</v>
      </c>
      <c r="G1127" s="18">
        <f t="shared" si="23"/>
        <v>2.4573721163490436E-2</v>
      </c>
    </row>
    <row r="1128" spans="1:7">
      <c r="A1128" s="13">
        <v>39.67</v>
      </c>
      <c r="B1128" s="13">
        <v>39.979999999999997</v>
      </c>
      <c r="C1128" s="13">
        <v>39.333199999999998</v>
      </c>
      <c r="D1128" s="13">
        <v>39.340000000000003</v>
      </c>
      <c r="E1128" s="13">
        <v>4093929</v>
      </c>
      <c r="F1128" s="13" t="s">
        <v>1437</v>
      </c>
      <c r="G1128" s="18">
        <f t="shared" si="23"/>
        <v>8.3884087442804844E-3</v>
      </c>
    </row>
    <row r="1129" spans="1:7">
      <c r="A1129" s="13">
        <v>39.409999999999997</v>
      </c>
      <c r="B1129" s="13">
        <v>39.479999999999997</v>
      </c>
      <c r="C1129" s="13">
        <v>39.1</v>
      </c>
      <c r="D1129" s="13">
        <v>39.22</v>
      </c>
      <c r="E1129" s="13">
        <v>6582068</v>
      </c>
      <c r="F1129" s="13" t="s">
        <v>1436</v>
      </c>
      <c r="G1129" s="18">
        <f t="shared" si="23"/>
        <v>4.8444671086180779E-3</v>
      </c>
    </row>
    <row r="1130" spans="1:7">
      <c r="A1130" s="13">
        <v>39.340000000000003</v>
      </c>
      <c r="B1130" s="13">
        <v>39.47</v>
      </c>
      <c r="C1130" s="13">
        <v>38.880000000000003</v>
      </c>
      <c r="D1130" s="13">
        <v>39.26</v>
      </c>
      <c r="E1130" s="13">
        <v>4140699</v>
      </c>
      <c r="F1130" s="13" t="s">
        <v>1435</v>
      </c>
      <c r="G1130" s="18">
        <f t="shared" si="23"/>
        <v>2.037697401936045E-3</v>
      </c>
    </row>
    <row r="1131" spans="1:7">
      <c r="A1131" s="13">
        <v>39.32</v>
      </c>
      <c r="B1131" s="13">
        <v>39.33</v>
      </c>
      <c r="C1131" s="13">
        <v>38.545000000000002</v>
      </c>
      <c r="D1131" s="13">
        <v>38.770000000000003</v>
      </c>
      <c r="E1131" s="13">
        <v>5426070</v>
      </c>
      <c r="F1131" s="13" t="s">
        <v>1434</v>
      </c>
      <c r="G1131" s="18">
        <f t="shared" si="23"/>
        <v>1.4186226463760665E-2</v>
      </c>
    </row>
    <row r="1132" spans="1:7">
      <c r="A1132" s="13">
        <v>38.72</v>
      </c>
      <c r="B1132" s="13">
        <v>39.119999999999997</v>
      </c>
      <c r="C1132" s="13">
        <v>38.645000000000003</v>
      </c>
      <c r="D1132" s="13">
        <v>38.93</v>
      </c>
      <c r="E1132" s="13">
        <v>3992088</v>
      </c>
      <c r="F1132" s="13" t="s">
        <v>1433</v>
      </c>
      <c r="G1132" s="18">
        <f t="shared" si="23"/>
        <v>-5.394297456974062E-3</v>
      </c>
    </row>
    <row r="1133" spans="1:7">
      <c r="A1133" s="13">
        <v>38.85</v>
      </c>
      <c r="B1133" s="13">
        <v>39.22</v>
      </c>
      <c r="C1133" s="13">
        <v>38.74</v>
      </c>
      <c r="D1133" s="13">
        <v>38.96</v>
      </c>
      <c r="E1133" s="13">
        <v>4861625</v>
      </c>
      <c r="F1133" s="13" t="s">
        <v>1432</v>
      </c>
      <c r="G1133" s="18">
        <f t="shared" si="23"/>
        <v>-2.8234086242299172E-3</v>
      </c>
    </row>
    <row r="1134" spans="1:7">
      <c r="A1134" s="13">
        <v>38.950000000000003</v>
      </c>
      <c r="B1134" s="13">
        <v>39.25</v>
      </c>
      <c r="C1134" s="13">
        <v>38.844999999999999</v>
      </c>
      <c r="D1134" s="13">
        <v>39.200000000000003</v>
      </c>
      <c r="E1134" s="13">
        <v>7676527</v>
      </c>
      <c r="F1134" s="13" t="s">
        <v>1431</v>
      </c>
      <c r="G1134" s="18">
        <f t="shared" si="23"/>
        <v>-6.3775510204081565E-3</v>
      </c>
    </row>
    <row r="1135" spans="1:7">
      <c r="A1135" s="13">
        <v>39.04</v>
      </c>
      <c r="B1135" s="13">
        <v>39.130000000000003</v>
      </c>
      <c r="C1135" s="13">
        <v>38.729999999999997</v>
      </c>
      <c r="D1135" s="13">
        <v>38.869999999999997</v>
      </c>
      <c r="E1135" s="13">
        <v>4954706</v>
      </c>
      <c r="F1135" s="13" t="s">
        <v>1430</v>
      </c>
      <c r="G1135" s="18">
        <f t="shared" si="23"/>
        <v>4.3735528685362457E-3</v>
      </c>
    </row>
    <row r="1136" spans="1:7">
      <c r="A1136" s="13">
        <v>38.58</v>
      </c>
      <c r="B1136" s="13">
        <v>38.784999999999997</v>
      </c>
      <c r="C1136" s="13">
        <v>38</v>
      </c>
      <c r="D1136" s="13">
        <v>38.61</v>
      </c>
      <c r="E1136" s="13">
        <v>5615320</v>
      </c>
      <c r="F1136" s="13" t="s">
        <v>1429</v>
      </c>
      <c r="G1136" s="18">
        <f t="shared" si="23"/>
        <v>-7.770007770008247E-4</v>
      </c>
    </row>
    <row r="1137" spans="1:7">
      <c r="A1137" s="13">
        <v>38.65</v>
      </c>
      <c r="B1137" s="13">
        <v>39.1</v>
      </c>
      <c r="C1137" s="13">
        <v>38.534999999999997</v>
      </c>
      <c r="D1137" s="13">
        <v>39</v>
      </c>
      <c r="E1137" s="13">
        <v>5811171</v>
      </c>
      <c r="F1137" s="13" t="s">
        <v>1428</v>
      </c>
      <c r="G1137" s="18">
        <f t="shared" si="23"/>
        <v>-8.9743589743590535E-3</v>
      </c>
    </row>
    <row r="1138" spans="1:7">
      <c r="A1138" s="13">
        <v>38.96</v>
      </c>
      <c r="B1138" s="13">
        <v>39.06</v>
      </c>
      <c r="C1138" s="13">
        <v>38.26</v>
      </c>
      <c r="D1138" s="13">
        <v>38.4</v>
      </c>
      <c r="E1138" s="13">
        <v>5900648</v>
      </c>
      <c r="F1138" s="13" t="s">
        <v>1427</v>
      </c>
      <c r="G1138" s="18">
        <f t="shared" ref="G1138:G1201" si="24">A1138/D1138-1</f>
        <v>1.4583333333333393E-2</v>
      </c>
    </row>
    <row r="1139" spans="1:7">
      <c r="A1139" s="13">
        <v>38.590000000000003</v>
      </c>
      <c r="B1139" s="13">
        <v>38.82</v>
      </c>
      <c r="C1139" s="13">
        <v>38</v>
      </c>
      <c r="D1139" s="13">
        <v>38.04</v>
      </c>
      <c r="E1139" s="13">
        <v>6090996</v>
      </c>
      <c r="F1139" s="13" t="s">
        <v>1426</v>
      </c>
      <c r="G1139" s="18">
        <f t="shared" si="24"/>
        <v>1.4458464773922319E-2</v>
      </c>
    </row>
    <row r="1140" spans="1:7">
      <c r="A1140" s="13">
        <v>38.22</v>
      </c>
      <c r="B1140" s="13">
        <v>38.25</v>
      </c>
      <c r="C1140" s="13">
        <v>37.53</v>
      </c>
      <c r="D1140" s="13">
        <v>37.950000000000003</v>
      </c>
      <c r="E1140" s="13">
        <v>7624441</v>
      </c>
      <c r="F1140" s="13" t="s">
        <v>1425</v>
      </c>
      <c r="G1140" s="18">
        <f t="shared" si="24"/>
        <v>7.1146245059288127E-3</v>
      </c>
    </row>
    <row r="1141" spans="1:7">
      <c r="A1141" s="13">
        <v>37.92</v>
      </c>
      <c r="B1141" s="13">
        <v>37.979999999999997</v>
      </c>
      <c r="C1141" s="13">
        <v>37.130000000000003</v>
      </c>
      <c r="D1141" s="13">
        <v>37.68</v>
      </c>
      <c r="E1141" s="13">
        <v>5708623</v>
      </c>
      <c r="F1141" s="13" t="s">
        <v>1424</v>
      </c>
      <c r="G1141" s="18">
        <f t="shared" si="24"/>
        <v>6.3694267515923553E-3</v>
      </c>
    </row>
    <row r="1142" spans="1:7">
      <c r="A1142" s="13">
        <v>37.58</v>
      </c>
      <c r="B1142" s="13">
        <v>38.01</v>
      </c>
      <c r="C1142" s="13">
        <v>37.200000000000003</v>
      </c>
      <c r="D1142" s="13">
        <v>37.229999999999997</v>
      </c>
      <c r="E1142" s="13">
        <v>7334753</v>
      </c>
      <c r="F1142" s="13" t="s">
        <v>1423</v>
      </c>
      <c r="G1142" s="18">
        <f t="shared" si="24"/>
        <v>9.4010206822454645E-3</v>
      </c>
    </row>
    <row r="1143" spans="1:7">
      <c r="A1143" s="13">
        <v>37.24</v>
      </c>
      <c r="B1143" s="13">
        <v>38.22</v>
      </c>
      <c r="C1143" s="13">
        <v>37.15</v>
      </c>
      <c r="D1143" s="13">
        <v>38.22</v>
      </c>
      <c r="E1143" s="13">
        <v>6119593</v>
      </c>
      <c r="F1143" s="13" t="s">
        <v>1422</v>
      </c>
      <c r="G1143" s="18">
        <f t="shared" si="24"/>
        <v>-2.564102564102555E-2</v>
      </c>
    </row>
    <row r="1144" spans="1:7">
      <c r="A1144" s="13">
        <v>38.229999999999997</v>
      </c>
      <c r="B1144" s="13">
        <v>38.625</v>
      </c>
      <c r="C1144" s="13">
        <v>37.950000000000003</v>
      </c>
      <c r="D1144" s="13">
        <v>38.17</v>
      </c>
      <c r="E1144" s="13">
        <v>5845535</v>
      </c>
      <c r="F1144" s="13" t="s">
        <v>1421</v>
      </c>
      <c r="G1144" s="18">
        <f t="shared" si="24"/>
        <v>1.5719151165836109E-3</v>
      </c>
    </row>
    <row r="1145" spans="1:7">
      <c r="A1145" s="13">
        <v>38.17</v>
      </c>
      <c r="B1145" s="13">
        <v>38.625</v>
      </c>
      <c r="C1145" s="13">
        <v>37.61</v>
      </c>
      <c r="D1145" s="13">
        <v>38.19</v>
      </c>
      <c r="E1145" s="13">
        <v>12334385</v>
      </c>
      <c r="F1145" s="13" t="s">
        <v>1420</v>
      </c>
      <c r="G1145" s="18">
        <f t="shared" si="24"/>
        <v>-5.2369730295875883E-4</v>
      </c>
    </row>
    <row r="1146" spans="1:7">
      <c r="A1146" s="13">
        <v>38.19</v>
      </c>
      <c r="B1146" s="13">
        <v>38.97</v>
      </c>
      <c r="C1146" s="13">
        <v>38.159999999999997</v>
      </c>
      <c r="D1146" s="13">
        <v>38.85</v>
      </c>
      <c r="E1146" s="13">
        <v>8349881</v>
      </c>
      <c r="F1146" s="13" t="s">
        <v>1419</v>
      </c>
      <c r="G1146" s="18">
        <f t="shared" si="24"/>
        <v>-1.6988416988417132E-2</v>
      </c>
    </row>
    <row r="1147" spans="1:7">
      <c r="A1147" s="13">
        <v>38.880000000000003</v>
      </c>
      <c r="B1147" s="13">
        <v>39.234999999999999</v>
      </c>
      <c r="C1147" s="13">
        <v>38.67</v>
      </c>
      <c r="D1147" s="13">
        <v>38.950000000000003</v>
      </c>
      <c r="E1147" s="13">
        <v>6665617</v>
      </c>
      <c r="F1147" s="13" t="s">
        <v>1418</v>
      </c>
      <c r="G1147" s="18">
        <f t="shared" si="24"/>
        <v>-1.7971758664955262E-3</v>
      </c>
    </row>
    <row r="1148" spans="1:7">
      <c r="A1148" s="13">
        <v>38.86</v>
      </c>
      <c r="B1148" s="13">
        <v>39.520000000000003</v>
      </c>
      <c r="C1148" s="13">
        <v>38.604999999999997</v>
      </c>
      <c r="D1148" s="13">
        <v>39.33</v>
      </c>
      <c r="E1148" s="13">
        <v>6172523</v>
      </c>
      <c r="F1148" s="13" t="s">
        <v>1417</v>
      </c>
      <c r="G1148" s="18">
        <f t="shared" si="24"/>
        <v>-1.1950165268242996E-2</v>
      </c>
    </row>
    <row r="1149" spans="1:7">
      <c r="A1149" s="13">
        <v>39.4</v>
      </c>
      <c r="B1149" s="13">
        <v>39.479999999999997</v>
      </c>
      <c r="C1149" s="13">
        <v>38.56</v>
      </c>
      <c r="D1149" s="13">
        <v>39</v>
      </c>
      <c r="E1149" s="13">
        <v>7046169</v>
      </c>
      <c r="F1149" s="13" t="s">
        <v>1416</v>
      </c>
      <c r="G1149" s="18">
        <f t="shared" si="24"/>
        <v>1.025641025641022E-2</v>
      </c>
    </row>
    <row r="1150" spans="1:7">
      <c r="A1150" s="13">
        <v>38.85</v>
      </c>
      <c r="B1150" s="13">
        <v>39.04</v>
      </c>
      <c r="C1150" s="13">
        <v>38.51</v>
      </c>
      <c r="D1150" s="13">
        <v>38.619999999999997</v>
      </c>
      <c r="E1150" s="13">
        <v>5276344</v>
      </c>
      <c r="F1150" s="13" t="s">
        <v>1415</v>
      </c>
      <c r="G1150" s="18">
        <f t="shared" si="24"/>
        <v>5.9554634904195325E-3</v>
      </c>
    </row>
    <row r="1151" spans="1:7">
      <c r="A1151" s="13">
        <v>38.65</v>
      </c>
      <c r="B1151" s="13">
        <v>39.340000000000003</v>
      </c>
      <c r="C1151" s="13">
        <v>38.619999999999997</v>
      </c>
      <c r="D1151" s="13">
        <v>39.29</v>
      </c>
      <c r="E1151" s="13">
        <v>6470724</v>
      </c>
      <c r="F1151" s="13" t="s">
        <v>1414</v>
      </c>
      <c r="G1151" s="18">
        <f t="shared" si="24"/>
        <v>-1.6289132094680636E-2</v>
      </c>
    </row>
    <row r="1152" spans="1:7">
      <c r="A1152" s="13">
        <v>39.340000000000003</v>
      </c>
      <c r="B1152" s="13">
        <v>39.81</v>
      </c>
      <c r="C1152" s="13">
        <v>39.24</v>
      </c>
      <c r="D1152" s="13">
        <v>39.79</v>
      </c>
      <c r="E1152" s="13">
        <v>7696971</v>
      </c>
      <c r="F1152" s="13" t="s">
        <v>1413</v>
      </c>
      <c r="G1152" s="18">
        <f t="shared" si="24"/>
        <v>-1.1309374214626633E-2</v>
      </c>
    </row>
    <row r="1153" spans="1:7">
      <c r="A1153" s="13">
        <v>39.549999999999997</v>
      </c>
      <c r="B1153" s="13">
        <v>40.125</v>
      </c>
      <c r="C1153" s="13">
        <v>39.433999999999997</v>
      </c>
      <c r="D1153" s="13">
        <v>39.5</v>
      </c>
      <c r="E1153" s="13">
        <v>13646708</v>
      </c>
      <c r="F1153" s="13" t="s">
        <v>1412</v>
      </c>
      <c r="G1153" s="18">
        <f t="shared" si="24"/>
        <v>1.2658227848101333E-3</v>
      </c>
    </row>
    <row r="1154" spans="1:7">
      <c r="A1154" s="13">
        <v>39.520000000000003</v>
      </c>
      <c r="B1154" s="13">
        <v>39.984999999999999</v>
      </c>
      <c r="C1154" s="13">
        <v>39.130000000000003</v>
      </c>
      <c r="D1154" s="13">
        <v>39.53</v>
      </c>
      <c r="E1154" s="13">
        <v>9616426</v>
      </c>
      <c r="F1154" s="13" t="s">
        <v>1411</v>
      </c>
      <c r="G1154" s="18">
        <f t="shared" si="24"/>
        <v>-2.5297242600552661E-4</v>
      </c>
    </row>
    <row r="1155" spans="1:7">
      <c r="A1155" s="13">
        <v>39.54</v>
      </c>
      <c r="B1155" s="13">
        <v>39.705300000000001</v>
      </c>
      <c r="C1155" s="13">
        <v>38.19</v>
      </c>
      <c r="D1155" s="13">
        <v>38.36</v>
      </c>
      <c r="E1155" s="13">
        <v>12809414</v>
      </c>
      <c r="F1155" s="13" t="s">
        <v>1410</v>
      </c>
      <c r="G1155" s="18">
        <f t="shared" si="24"/>
        <v>3.0761209593326289E-2</v>
      </c>
    </row>
    <row r="1156" spans="1:7">
      <c r="A1156" s="13">
        <v>37.93</v>
      </c>
      <c r="B1156" s="13">
        <v>39.08</v>
      </c>
      <c r="C1156" s="13">
        <v>37.53</v>
      </c>
      <c r="D1156" s="13">
        <v>39.020000000000003</v>
      </c>
      <c r="E1156" s="13">
        <v>8514216</v>
      </c>
      <c r="F1156" s="13" t="s">
        <v>1409</v>
      </c>
      <c r="G1156" s="18">
        <f t="shared" si="24"/>
        <v>-2.7934392619169746E-2</v>
      </c>
    </row>
    <row r="1157" spans="1:7">
      <c r="A1157" s="13">
        <v>38.82</v>
      </c>
      <c r="B1157" s="13">
        <v>39.01</v>
      </c>
      <c r="C1157" s="13">
        <v>38.311999999999998</v>
      </c>
      <c r="D1157" s="13">
        <v>38.69</v>
      </c>
      <c r="E1157" s="13">
        <v>6666902</v>
      </c>
      <c r="F1157" s="13" t="s">
        <v>1408</v>
      </c>
      <c r="G1157" s="18">
        <f t="shared" si="24"/>
        <v>3.3600413543553032E-3</v>
      </c>
    </row>
    <row r="1158" spans="1:7">
      <c r="A1158" s="13">
        <v>38.76</v>
      </c>
      <c r="B1158" s="13">
        <v>38.99</v>
      </c>
      <c r="C1158" s="13">
        <v>38.57</v>
      </c>
      <c r="D1158" s="13">
        <v>38.9</v>
      </c>
      <c r="E1158" s="13">
        <v>6064524</v>
      </c>
      <c r="F1158" s="13" t="s">
        <v>1407</v>
      </c>
      <c r="G1158" s="18">
        <f t="shared" si="24"/>
        <v>-3.5989717223650075E-3</v>
      </c>
    </row>
    <row r="1159" spans="1:7">
      <c r="A1159" s="13">
        <v>38.9</v>
      </c>
      <c r="B1159" s="13">
        <v>39.176200000000001</v>
      </c>
      <c r="C1159" s="13">
        <v>38.47</v>
      </c>
      <c r="D1159" s="13">
        <v>39.119999999999997</v>
      </c>
      <c r="E1159" s="13">
        <v>7790741</v>
      </c>
      <c r="F1159" s="13" t="s">
        <v>1406</v>
      </c>
      <c r="G1159" s="18">
        <f t="shared" si="24"/>
        <v>-5.6237218813905976E-3</v>
      </c>
    </row>
    <row r="1160" spans="1:7">
      <c r="A1160" s="13">
        <v>38.78</v>
      </c>
      <c r="B1160" s="13">
        <v>39.69</v>
      </c>
      <c r="C1160" s="13">
        <v>38.729999999999997</v>
      </c>
      <c r="D1160" s="13">
        <v>39.51</v>
      </c>
      <c r="E1160" s="13">
        <v>13454713</v>
      </c>
      <c r="F1160" s="13" t="s">
        <v>1405</v>
      </c>
      <c r="G1160" s="18">
        <f t="shared" si="24"/>
        <v>-1.8476335105036656E-2</v>
      </c>
    </row>
    <row r="1161" spans="1:7">
      <c r="A1161" s="13">
        <v>39.67</v>
      </c>
      <c r="B1161" s="13">
        <v>39.954999999999998</v>
      </c>
      <c r="C1161" s="13">
        <v>39.31</v>
      </c>
      <c r="D1161" s="13">
        <v>39.54</v>
      </c>
      <c r="E1161" s="13">
        <v>11652249</v>
      </c>
      <c r="F1161" s="13" t="s">
        <v>1404</v>
      </c>
      <c r="G1161" s="18">
        <f t="shared" si="24"/>
        <v>3.2878098128477085E-3</v>
      </c>
    </row>
    <row r="1162" spans="1:7">
      <c r="A1162" s="13">
        <v>39.53</v>
      </c>
      <c r="B1162" s="13">
        <v>39.86</v>
      </c>
      <c r="C1162" s="13">
        <v>38.67</v>
      </c>
      <c r="D1162" s="13">
        <v>38.75</v>
      </c>
      <c r="E1162" s="13">
        <v>9267051</v>
      </c>
      <c r="F1162" s="13" t="s">
        <v>1403</v>
      </c>
      <c r="G1162" s="18">
        <f t="shared" si="24"/>
        <v>2.0129032258064505E-2</v>
      </c>
    </row>
    <row r="1163" spans="1:7">
      <c r="A1163" s="13">
        <v>38.75</v>
      </c>
      <c r="B1163" s="13">
        <v>39.622500000000002</v>
      </c>
      <c r="C1163" s="13">
        <v>38.729999999999997</v>
      </c>
      <c r="D1163" s="13">
        <v>39.200000000000003</v>
      </c>
      <c r="E1163" s="13">
        <v>10173880</v>
      </c>
      <c r="F1163" s="13" t="s">
        <v>1402</v>
      </c>
      <c r="G1163" s="18">
        <f t="shared" si="24"/>
        <v>-1.1479591836734748E-2</v>
      </c>
    </row>
    <row r="1164" spans="1:7">
      <c r="A1164" s="13">
        <v>39.200000000000003</v>
      </c>
      <c r="B1164" s="13">
        <v>39.340000000000003</v>
      </c>
      <c r="C1164" s="13">
        <v>37.85</v>
      </c>
      <c r="D1164" s="13">
        <v>37.92</v>
      </c>
      <c r="E1164" s="13">
        <v>10922144</v>
      </c>
      <c r="F1164" s="13" t="s">
        <v>1401</v>
      </c>
      <c r="G1164" s="18">
        <f t="shared" si="24"/>
        <v>3.3755274261603407E-2</v>
      </c>
    </row>
    <row r="1165" spans="1:7">
      <c r="A1165" s="13">
        <v>38.03</v>
      </c>
      <c r="B1165" s="13">
        <v>38.064999999999998</v>
      </c>
      <c r="C1165" s="13">
        <v>37.19</v>
      </c>
      <c r="D1165" s="13">
        <v>37.6</v>
      </c>
      <c r="E1165" s="13">
        <v>9407964</v>
      </c>
      <c r="F1165" s="13" t="s">
        <v>1400</v>
      </c>
      <c r="G1165" s="18">
        <f t="shared" si="24"/>
        <v>1.1436170212765884E-2</v>
      </c>
    </row>
    <row r="1166" spans="1:7">
      <c r="A1166" s="13">
        <v>37.520000000000003</v>
      </c>
      <c r="B1166" s="13">
        <v>37.744999999999997</v>
      </c>
      <c r="C1166" s="13">
        <v>36.880000000000003</v>
      </c>
      <c r="D1166" s="13">
        <v>37.28</v>
      </c>
      <c r="E1166" s="13">
        <v>6390210</v>
      </c>
      <c r="F1166" s="13" t="s">
        <v>1399</v>
      </c>
      <c r="G1166" s="18">
        <f t="shared" si="24"/>
        <v>6.4377682403433667E-3</v>
      </c>
    </row>
    <row r="1167" spans="1:7">
      <c r="A1167" s="13">
        <v>37.5</v>
      </c>
      <c r="B1167" s="13">
        <v>37.770000000000003</v>
      </c>
      <c r="C1167" s="13">
        <v>37.369999999999997</v>
      </c>
      <c r="D1167" s="13">
        <v>37.619999999999997</v>
      </c>
      <c r="E1167" s="13">
        <v>6122959</v>
      </c>
      <c r="F1167" s="13" t="s">
        <v>1398</v>
      </c>
      <c r="G1167" s="18">
        <f t="shared" si="24"/>
        <v>-3.1897926634768536E-3</v>
      </c>
    </row>
    <row r="1168" spans="1:7">
      <c r="A1168" s="13">
        <v>37.93</v>
      </c>
      <c r="B1168" s="13">
        <v>38.46</v>
      </c>
      <c r="C1168" s="13">
        <v>37.69</v>
      </c>
      <c r="D1168" s="13">
        <v>38.28</v>
      </c>
      <c r="E1168" s="13">
        <v>8842821</v>
      </c>
      <c r="F1168" s="13" t="s">
        <v>1397</v>
      </c>
      <c r="G1168" s="18">
        <f t="shared" si="24"/>
        <v>-9.1431556948798898E-3</v>
      </c>
    </row>
    <row r="1169" spans="1:7">
      <c r="A1169" s="13">
        <v>38.39</v>
      </c>
      <c r="B1169" s="13">
        <v>38.82</v>
      </c>
      <c r="C1169" s="13">
        <v>38.18</v>
      </c>
      <c r="D1169" s="13">
        <v>38.75</v>
      </c>
      <c r="E1169" s="13">
        <v>12443868</v>
      </c>
      <c r="F1169" s="13" t="s">
        <v>1396</v>
      </c>
      <c r="G1169" s="18">
        <f t="shared" si="24"/>
        <v>-9.2903225806451051E-3</v>
      </c>
    </row>
    <row r="1170" spans="1:7">
      <c r="A1170" s="13">
        <v>38.869999999999997</v>
      </c>
      <c r="B1170" s="13">
        <v>39.15</v>
      </c>
      <c r="C1170" s="13">
        <v>38.6</v>
      </c>
      <c r="D1170" s="13">
        <v>39.01</v>
      </c>
      <c r="E1170" s="13">
        <v>5546573</v>
      </c>
      <c r="F1170" s="13" t="s">
        <v>1395</v>
      </c>
      <c r="G1170" s="18">
        <f t="shared" si="24"/>
        <v>-3.5888233786208756E-3</v>
      </c>
    </row>
    <row r="1171" spans="1:7">
      <c r="A1171" s="13">
        <v>38.85</v>
      </c>
      <c r="B1171" s="13">
        <v>39.5</v>
      </c>
      <c r="C1171" s="13">
        <v>38.520000000000003</v>
      </c>
      <c r="D1171" s="13">
        <v>39.25</v>
      </c>
      <c r="E1171" s="13">
        <v>8847502</v>
      </c>
      <c r="F1171" s="13" t="s">
        <v>1394</v>
      </c>
      <c r="G1171" s="18">
        <f t="shared" si="24"/>
        <v>-1.0191082802547768E-2</v>
      </c>
    </row>
    <row r="1172" spans="1:7">
      <c r="A1172" s="13">
        <v>39.25</v>
      </c>
      <c r="B1172" s="13">
        <v>39.6</v>
      </c>
      <c r="C1172" s="13">
        <v>38.68</v>
      </c>
      <c r="D1172" s="13">
        <v>39.51</v>
      </c>
      <c r="E1172" s="13">
        <v>11600446</v>
      </c>
      <c r="F1172" s="13" t="s">
        <v>1393</v>
      </c>
      <c r="G1172" s="18">
        <f t="shared" si="24"/>
        <v>-6.5806125031636631E-3</v>
      </c>
    </row>
    <row r="1173" spans="1:7">
      <c r="A1173" s="13">
        <v>39.57</v>
      </c>
      <c r="B1173" s="13">
        <v>39.68</v>
      </c>
      <c r="C1173" s="13">
        <v>38.92</v>
      </c>
      <c r="D1173" s="13">
        <v>38.92</v>
      </c>
      <c r="E1173" s="13">
        <v>10354755</v>
      </c>
      <c r="F1173" s="13" t="s">
        <v>1392</v>
      </c>
      <c r="G1173" s="18">
        <f t="shared" si="24"/>
        <v>1.6700924974306197E-2</v>
      </c>
    </row>
    <row r="1174" spans="1:7">
      <c r="A1174" s="13">
        <v>38.96</v>
      </c>
      <c r="B1174" s="13">
        <v>39.4</v>
      </c>
      <c r="C1174" s="13">
        <v>38.81</v>
      </c>
      <c r="D1174" s="13">
        <v>39</v>
      </c>
      <c r="E1174" s="13">
        <v>19216657</v>
      </c>
      <c r="F1174" s="13" t="s">
        <v>1391</v>
      </c>
      <c r="G1174" s="18">
        <f t="shared" si="24"/>
        <v>-1.0256410256409554E-3</v>
      </c>
    </row>
    <row r="1175" spans="1:7">
      <c r="A1175" s="13">
        <v>38.76</v>
      </c>
      <c r="B1175" s="13">
        <v>39.06</v>
      </c>
      <c r="C1175" s="13">
        <v>37.409999999999997</v>
      </c>
      <c r="D1175" s="13">
        <v>37.5</v>
      </c>
      <c r="E1175" s="13">
        <v>16035396</v>
      </c>
      <c r="F1175" s="13" t="s">
        <v>1390</v>
      </c>
      <c r="G1175" s="18">
        <f t="shared" si="24"/>
        <v>3.3599999999999852E-2</v>
      </c>
    </row>
    <row r="1176" spans="1:7">
      <c r="A1176" s="13">
        <v>37.450000000000003</v>
      </c>
      <c r="B1176" s="13">
        <v>37.58</v>
      </c>
      <c r="C1176" s="13">
        <v>36.299999999999997</v>
      </c>
      <c r="D1176" s="13">
        <v>36.450000000000003</v>
      </c>
      <c r="E1176" s="13">
        <v>16681886</v>
      </c>
      <c r="F1176" s="13" t="s">
        <v>1389</v>
      </c>
      <c r="G1176" s="18">
        <f t="shared" si="24"/>
        <v>2.7434842249657088E-2</v>
      </c>
    </row>
    <row r="1177" spans="1:7">
      <c r="A1177" s="13">
        <v>36.64</v>
      </c>
      <c r="B1177" s="13">
        <v>37.064999999999998</v>
      </c>
      <c r="C1177" s="13">
        <v>35.97</v>
      </c>
      <c r="D1177" s="13">
        <v>36.049999999999997</v>
      </c>
      <c r="E1177" s="13">
        <v>12475850</v>
      </c>
      <c r="F1177" s="13" t="s">
        <v>1388</v>
      </c>
      <c r="G1177" s="18">
        <f t="shared" si="24"/>
        <v>1.63661581137311E-2</v>
      </c>
    </row>
    <row r="1178" spans="1:7">
      <c r="A1178" s="13">
        <v>35.950000000000003</v>
      </c>
      <c r="B1178" s="13">
        <v>36.145000000000003</v>
      </c>
      <c r="C1178" s="13">
        <v>35.22</v>
      </c>
      <c r="D1178" s="13">
        <v>35.83</v>
      </c>
      <c r="E1178" s="13">
        <v>12285373</v>
      </c>
      <c r="F1178" s="13" t="s">
        <v>1387</v>
      </c>
      <c r="G1178" s="18">
        <f t="shared" si="24"/>
        <v>3.3491487580241674E-3</v>
      </c>
    </row>
    <row r="1179" spans="1:7">
      <c r="A1179" s="13">
        <v>35.44</v>
      </c>
      <c r="B1179" s="13">
        <v>36.69</v>
      </c>
      <c r="C1179" s="13">
        <v>35.045000000000002</v>
      </c>
      <c r="D1179" s="13">
        <v>36.119999999999997</v>
      </c>
      <c r="E1179" s="13">
        <v>18873502</v>
      </c>
      <c r="F1179" s="13" t="s">
        <v>1386</v>
      </c>
      <c r="G1179" s="18">
        <f t="shared" si="24"/>
        <v>-1.8826135105204811E-2</v>
      </c>
    </row>
    <row r="1180" spans="1:7">
      <c r="A1180" s="13">
        <v>36.340000000000003</v>
      </c>
      <c r="B1180" s="13">
        <v>36.57</v>
      </c>
      <c r="C1180" s="13">
        <v>35.6</v>
      </c>
      <c r="D1180" s="13">
        <v>35.93</v>
      </c>
      <c r="E1180" s="13">
        <v>16495182</v>
      </c>
      <c r="F1180" s="13" t="s">
        <v>1385</v>
      </c>
      <c r="G1180" s="18">
        <f t="shared" si="24"/>
        <v>1.1411077094350297E-2</v>
      </c>
    </row>
    <row r="1181" spans="1:7">
      <c r="A1181" s="13">
        <v>35.82</v>
      </c>
      <c r="B1181" s="13">
        <v>36.380000000000003</v>
      </c>
      <c r="C1181" s="13">
        <v>35.659999999999997</v>
      </c>
      <c r="D1181" s="13">
        <v>36.25</v>
      </c>
      <c r="E1181" s="13">
        <v>15133831</v>
      </c>
      <c r="F1181" s="13" t="s">
        <v>1384</v>
      </c>
      <c r="G1181" s="18">
        <f t="shared" si="24"/>
        <v>-1.1862068965517225E-2</v>
      </c>
    </row>
    <row r="1182" spans="1:7">
      <c r="A1182" s="13">
        <v>36.64</v>
      </c>
      <c r="B1182" s="13">
        <v>36.89</v>
      </c>
      <c r="C1182" s="13">
        <v>36.49</v>
      </c>
      <c r="D1182" s="13">
        <v>36.75</v>
      </c>
      <c r="E1182" s="13">
        <v>5869604</v>
      </c>
      <c r="F1182" s="13" t="s">
        <v>1383</v>
      </c>
      <c r="G1182" s="18">
        <f t="shared" si="24"/>
        <v>-2.9931972789115635E-3</v>
      </c>
    </row>
    <row r="1183" spans="1:7">
      <c r="A1183" s="13">
        <v>36.78</v>
      </c>
      <c r="B1183" s="13">
        <v>37.134999999999998</v>
      </c>
      <c r="C1183" s="13">
        <v>36.435000000000002</v>
      </c>
      <c r="D1183" s="13">
        <v>36.89</v>
      </c>
      <c r="E1183" s="13">
        <v>6157878</v>
      </c>
      <c r="F1183" s="13" t="s">
        <v>1382</v>
      </c>
      <c r="G1183" s="18">
        <f t="shared" si="24"/>
        <v>-2.9818378964489023E-3</v>
      </c>
    </row>
    <row r="1184" spans="1:7">
      <c r="A1184" s="13">
        <v>37.03</v>
      </c>
      <c r="B1184" s="13">
        <v>37.593299999999999</v>
      </c>
      <c r="C1184" s="13">
        <v>37</v>
      </c>
      <c r="D1184" s="13">
        <v>37.53</v>
      </c>
      <c r="E1184" s="13">
        <v>7405570</v>
      </c>
      <c r="F1184" s="13" t="s">
        <v>1381</v>
      </c>
      <c r="G1184" s="18">
        <f t="shared" si="24"/>
        <v>-1.3322675193178757E-2</v>
      </c>
    </row>
    <row r="1185" spans="1:7">
      <c r="A1185" s="13">
        <v>37.520000000000003</v>
      </c>
      <c r="B1185" s="13">
        <v>37.74</v>
      </c>
      <c r="C1185" s="13">
        <v>36.5</v>
      </c>
      <c r="D1185" s="13">
        <v>36.700000000000003</v>
      </c>
      <c r="E1185" s="13">
        <v>12188194</v>
      </c>
      <c r="F1185" s="13" t="s">
        <v>1380</v>
      </c>
      <c r="G1185" s="18">
        <f t="shared" si="24"/>
        <v>2.2343324250681196E-2</v>
      </c>
    </row>
    <row r="1186" spans="1:7">
      <c r="A1186" s="13">
        <v>36.659999999999997</v>
      </c>
      <c r="B1186" s="13">
        <v>36.814999999999998</v>
      </c>
      <c r="C1186" s="13">
        <v>36.07</v>
      </c>
      <c r="D1186" s="13">
        <v>36.28</v>
      </c>
      <c r="E1186" s="13">
        <v>7617814</v>
      </c>
      <c r="F1186" s="13" t="s">
        <v>1379</v>
      </c>
      <c r="G1186" s="18">
        <f t="shared" si="24"/>
        <v>1.0474090407938119E-2</v>
      </c>
    </row>
    <row r="1187" spans="1:7">
      <c r="A1187" s="13">
        <v>36.270000000000003</v>
      </c>
      <c r="B1187" s="13">
        <v>36.89</v>
      </c>
      <c r="C1187" s="13">
        <v>35.935000000000002</v>
      </c>
      <c r="D1187" s="13">
        <v>36.89</v>
      </c>
      <c r="E1187" s="13">
        <v>8081343</v>
      </c>
      <c r="F1187" s="13" t="s">
        <v>1378</v>
      </c>
      <c r="G1187" s="18">
        <f t="shared" si="24"/>
        <v>-1.6806722689075571E-2</v>
      </c>
    </row>
    <row r="1188" spans="1:7">
      <c r="A1188" s="13">
        <v>36.33</v>
      </c>
      <c r="B1188" s="13">
        <v>36.57</v>
      </c>
      <c r="C1188" s="13">
        <v>35.875</v>
      </c>
      <c r="D1188" s="13">
        <v>36.159999999999997</v>
      </c>
      <c r="E1188" s="13">
        <v>15109680</v>
      </c>
      <c r="F1188" s="13" t="s">
        <v>1377</v>
      </c>
      <c r="G1188" s="18">
        <f t="shared" si="24"/>
        <v>4.7013274336282773E-3</v>
      </c>
    </row>
    <row r="1189" spans="1:7">
      <c r="A1189" s="13">
        <v>36.159999999999997</v>
      </c>
      <c r="B1189" s="13">
        <v>36.46</v>
      </c>
      <c r="C1189" s="13">
        <v>35.895000000000003</v>
      </c>
      <c r="D1189" s="13">
        <v>36.1</v>
      </c>
      <c r="E1189" s="13">
        <v>10213169</v>
      </c>
      <c r="F1189" s="13" t="s">
        <v>1376</v>
      </c>
      <c r="G1189" s="18">
        <f t="shared" si="24"/>
        <v>1.6620498614956514E-3</v>
      </c>
    </row>
    <row r="1190" spans="1:7">
      <c r="A1190" s="13">
        <v>36.06</v>
      </c>
      <c r="B1190" s="13">
        <v>36.18</v>
      </c>
      <c r="C1190" s="13">
        <v>35.200000000000003</v>
      </c>
      <c r="D1190" s="13">
        <v>35.25</v>
      </c>
      <c r="E1190" s="13">
        <v>9942223</v>
      </c>
      <c r="F1190" s="13" t="s">
        <v>1375</v>
      </c>
      <c r="G1190" s="18">
        <f t="shared" si="24"/>
        <v>2.297872340425533E-2</v>
      </c>
    </row>
    <row r="1191" spans="1:7">
      <c r="A1191" s="13">
        <v>35.33</v>
      </c>
      <c r="B1191" s="13">
        <v>36.369999999999997</v>
      </c>
      <c r="C1191" s="13">
        <v>34.58</v>
      </c>
      <c r="D1191" s="13">
        <v>36.299999999999997</v>
      </c>
      <c r="E1191" s="13">
        <v>19636540</v>
      </c>
      <c r="F1191" s="13" t="s">
        <v>1374</v>
      </c>
      <c r="G1191" s="18">
        <f t="shared" si="24"/>
        <v>-2.6721763085399419E-2</v>
      </c>
    </row>
    <row r="1192" spans="1:7">
      <c r="A1192" s="13">
        <v>36.44</v>
      </c>
      <c r="B1192" s="13">
        <v>36.54</v>
      </c>
      <c r="C1192" s="13">
        <v>36.17</v>
      </c>
      <c r="D1192" s="13">
        <v>36.380000000000003</v>
      </c>
      <c r="E1192" s="13">
        <v>7228421</v>
      </c>
      <c r="F1192" s="13" t="s">
        <v>1373</v>
      </c>
      <c r="G1192" s="18">
        <f t="shared" si="24"/>
        <v>1.6492578339746267E-3</v>
      </c>
    </row>
    <row r="1193" spans="1:7">
      <c r="A1193" s="13">
        <v>36.75</v>
      </c>
      <c r="B1193" s="13">
        <v>37.04</v>
      </c>
      <c r="C1193" s="13">
        <v>36.520000000000003</v>
      </c>
      <c r="D1193" s="13">
        <v>36.58</v>
      </c>
      <c r="E1193" s="13">
        <v>7288865</v>
      </c>
      <c r="F1193" s="13" t="s">
        <v>1372</v>
      </c>
      <c r="G1193" s="18">
        <f t="shared" si="24"/>
        <v>4.6473482777473762E-3</v>
      </c>
    </row>
    <row r="1194" spans="1:7">
      <c r="A1194" s="13">
        <v>36.56</v>
      </c>
      <c r="B1194" s="13">
        <v>36.81</v>
      </c>
      <c r="C1194" s="13">
        <v>36.344999999999999</v>
      </c>
      <c r="D1194" s="13">
        <v>36.76</v>
      </c>
      <c r="E1194" s="13">
        <v>7267616</v>
      </c>
      <c r="F1194" s="13" t="s">
        <v>1371</v>
      </c>
      <c r="G1194" s="18">
        <f t="shared" si="24"/>
        <v>-5.4406964091402443E-3</v>
      </c>
    </row>
    <row r="1195" spans="1:7">
      <c r="A1195" s="13">
        <v>36.76</v>
      </c>
      <c r="B1195" s="13">
        <v>36.93</v>
      </c>
      <c r="C1195" s="13">
        <v>35.869999999999997</v>
      </c>
      <c r="D1195" s="13">
        <v>35.97</v>
      </c>
      <c r="E1195" s="13">
        <v>13236492</v>
      </c>
      <c r="F1195" s="13" t="s">
        <v>1370</v>
      </c>
      <c r="G1195" s="18">
        <f t="shared" si="24"/>
        <v>2.1962746733388938E-2</v>
      </c>
    </row>
    <row r="1196" spans="1:7">
      <c r="A1196" s="13">
        <v>36.24</v>
      </c>
      <c r="B1196" s="13">
        <v>36.47</v>
      </c>
      <c r="C1196" s="13">
        <v>35.130000000000003</v>
      </c>
      <c r="D1196" s="13">
        <v>35.39</v>
      </c>
      <c r="E1196" s="13">
        <v>14812571</v>
      </c>
      <c r="F1196" s="13" t="s">
        <v>1369</v>
      </c>
      <c r="G1196" s="18">
        <f t="shared" si="24"/>
        <v>2.4018084204577628E-2</v>
      </c>
    </row>
    <row r="1197" spans="1:7">
      <c r="A1197" s="13">
        <v>35.270000000000003</v>
      </c>
      <c r="B1197" s="13">
        <v>36.1</v>
      </c>
      <c r="C1197" s="13">
        <v>35.03</v>
      </c>
      <c r="D1197" s="13">
        <v>36.08</v>
      </c>
      <c r="E1197" s="13">
        <v>14068966</v>
      </c>
      <c r="F1197" s="13" t="s">
        <v>1368</v>
      </c>
      <c r="G1197" s="18">
        <f t="shared" si="24"/>
        <v>-2.245011086474491E-2</v>
      </c>
    </row>
    <row r="1198" spans="1:7">
      <c r="A1198" s="13">
        <v>35.950000000000003</v>
      </c>
      <c r="B1198" s="13">
        <v>36.005000000000003</v>
      </c>
      <c r="C1198" s="13">
        <v>35.369999999999997</v>
      </c>
      <c r="D1198" s="13">
        <v>35.6</v>
      </c>
      <c r="E1198" s="13">
        <v>6214812</v>
      </c>
      <c r="F1198" s="13" t="s">
        <v>1367</v>
      </c>
      <c r="G1198" s="18">
        <f t="shared" si="24"/>
        <v>9.8314606741574107E-3</v>
      </c>
    </row>
    <row r="1199" spans="1:7">
      <c r="A1199" s="13">
        <v>35.549999999999997</v>
      </c>
      <c r="B1199" s="13">
        <v>35.729999999999997</v>
      </c>
      <c r="C1199" s="13">
        <v>35.380000000000003</v>
      </c>
      <c r="D1199" s="13">
        <v>35.5</v>
      </c>
      <c r="E1199" s="13">
        <v>6814040</v>
      </c>
      <c r="F1199" s="13" t="s">
        <v>1366</v>
      </c>
      <c r="G1199" s="18">
        <f t="shared" si="24"/>
        <v>1.4084507042253502E-3</v>
      </c>
    </row>
    <row r="1200" spans="1:7">
      <c r="A1200" s="13">
        <v>35.5</v>
      </c>
      <c r="B1200" s="13">
        <v>35.729999999999997</v>
      </c>
      <c r="C1200" s="13">
        <v>35.08</v>
      </c>
      <c r="D1200" s="13">
        <v>35.200000000000003</v>
      </c>
      <c r="E1200" s="13">
        <v>8787162</v>
      </c>
      <c r="F1200" s="13" t="s">
        <v>1365</v>
      </c>
      <c r="G1200" s="18">
        <f t="shared" si="24"/>
        <v>8.5227272727272929E-3</v>
      </c>
    </row>
    <row r="1201" spans="1:7">
      <c r="A1201" s="13">
        <v>34.92</v>
      </c>
      <c r="B1201" s="13">
        <v>35.064999999999998</v>
      </c>
      <c r="C1201" s="13">
        <v>34.700000000000003</v>
      </c>
      <c r="D1201" s="13">
        <v>34.76</v>
      </c>
      <c r="E1201" s="13">
        <v>4842128</v>
      </c>
      <c r="F1201" s="13" t="s">
        <v>1364</v>
      </c>
      <c r="G1201" s="18">
        <f t="shared" si="24"/>
        <v>4.602991944764101E-3</v>
      </c>
    </row>
    <row r="1202" spans="1:7">
      <c r="A1202" s="13">
        <v>34.590000000000003</v>
      </c>
      <c r="B1202" s="13">
        <v>34.630000000000003</v>
      </c>
      <c r="C1202" s="13">
        <v>34.22</v>
      </c>
      <c r="D1202" s="13">
        <v>34.450000000000003</v>
      </c>
      <c r="E1202" s="13">
        <v>2608757</v>
      </c>
      <c r="F1202" s="13" t="s">
        <v>1363</v>
      </c>
      <c r="G1202" s="18">
        <f t="shared" ref="G1202:G1265" si="25">A1202/D1202-1</f>
        <v>4.0638606676342004E-3</v>
      </c>
    </row>
    <row r="1203" spans="1:7">
      <c r="A1203" s="13">
        <v>34.369999999999997</v>
      </c>
      <c r="B1203" s="13">
        <v>34.909999999999997</v>
      </c>
      <c r="C1203" s="13">
        <v>34.36</v>
      </c>
      <c r="D1203" s="13">
        <v>34.51</v>
      </c>
      <c r="E1203" s="13">
        <v>7381419</v>
      </c>
      <c r="F1203" s="13" t="s">
        <v>1362</v>
      </c>
      <c r="G1203" s="18">
        <f t="shared" si="25"/>
        <v>-4.0567951318458695E-3</v>
      </c>
    </row>
    <row r="1204" spans="1:7">
      <c r="A1204" s="13">
        <v>34.36</v>
      </c>
      <c r="B1204" s="13">
        <v>34.935000000000002</v>
      </c>
      <c r="C1204" s="13">
        <v>34.19</v>
      </c>
      <c r="D1204" s="13">
        <v>34.79</v>
      </c>
      <c r="E1204" s="13">
        <v>9425660</v>
      </c>
      <c r="F1204" s="13" t="s">
        <v>1361</v>
      </c>
      <c r="G1204" s="18">
        <f t="shared" si="25"/>
        <v>-1.2359873526875509E-2</v>
      </c>
    </row>
    <row r="1205" spans="1:7">
      <c r="A1205" s="13">
        <v>34.82</v>
      </c>
      <c r="B1205" s="13">
        <v>35</v>
      </c>
      <c r="C1205" s="13">
        <v>34.159999999999997</v>
      </c>
      <c r="D1205" s="13">
        <v>34.93</v>
      </c>
      <c r="E1205" s="13">
        <v>10484826</v>
      </c>
      <c r="F1205" s="13" t="s">
        <v>1360</v>
      </c>
      <c r="G1205" s="18">
        <f t="shared" si="25"/>
        <v>-3.1491554537647071E-3</v>
      </c>
    </row>
    <row r="1206" spans="1:7">
      <c r="A1206" s="13">
        <v>35.450000000000003</v>
      </c>
      <c r="B1206" s="13">
        <v>36.130000000000003</v>
      </c>
      <c r="C1206" s="13">
        <v>35.305</v>
      </c>
      <c r="D1206" s="13">
        <v>35.549999999999997</v>
      </c>
      <c r="E1206" s="13">
        <v>23166583</v>
      </c>
      <c r="F1206" s="13" t="s">
        <v>1359</v>
      </c>
      <c r="G1206" s="18">
        <f t="shared" si="25"/>
        <v>-2.8129395218001729E-3</v>
      </c>
    </row>
    <row r="1207" spans="1:7">
      <c r="A1207" s="13">
        <v>35.39</v>
      </c>
      <c r="B1207" s="13">
        <v>35.409999999999997</v>
      </c>
      <c r="C1207" s="13">
        <v>35.020000000000003</v>
      </c>
      <c r="D1207" s="13">
        <v>35.19</v>
      </c>
      <c r="E1207" s="13">
        <v>10503038</v>
      </c>
      <c r="F1207" s="13" t="s">
        <v>1358</v>
      </c>
      <c r="G1207" s="18">
        <f t="shared" si="25"/>
        <v>5.6834327934072171E-3</v>
      </c>
    </row>
    <row r="1208" spans="1:7">
      <c r="A1208" s="13">
        <v>35.130000000000003</v>
      </c>
      <c r="B1208" s="13">
        <v>35.645000000000003</v>
      </c>
      <c r="C1208" s="13">
        <v>34.58</v>
      </c>
      <c r="D1208" s="13">
        <v>34.76</v>
      </c>
      <c r="E1208" s="13">
        <v>13985311</v>
      </c>
      <c r="F1208" s="13" t="s">
        <v>1357</v>
      </c>
      <c r="G1208" s="18">
        <f t="shared" si="25"/>
        <v>1.0644418872267192E-2</v>
      </c>
    </row>
    <row r="1209" spans="1:7">
      <c r="A1209" s="13">
        <v>34.67</v>
      </c>
      <c r="B1209" s="13">
        <v>34.965000000000003</v>
      </c>
      <c r="C1209" s="13">
        <v>33.75</v>
      </c>
      <c r="D1209" s="13">
        <v>33.82</v>
      </c>
      <c r="E1209" s="13">
        <v>16700678</v>
      </c>
      <c r="F1209" s="13" t="s">
        <v>1356</v>
      </c>
      <c r="G1209" s="18">
        <f t="shared" si="25"/>
        <v>2.5133057362507483E-2</v>
      </c>
    </row>
    <row r="1210" spans="1:7">
      <c r="A1210" s="13">
        <v>33.450000000000003</v>
      </c>
      <c r="B1210" s="13">
        <v>34.26</v>
      </c>
      <c r="C1210" s="13">
        <v>33.42</v>
      </c>
      <c r="D1210" s="13">
        <v>33.93</v>
      </c>
      <c r="E1210" s="13">
        <v>8712937</v>
      </c>
      <c r="F1210" s="13" t="s">
        <v>1355</v>
      </c>
      <c r="G1210" s="18">
        <f t="shared" si="25"/>
        <v>-1.4146772767462346E-2</v>
      </c>
    </row>
    <row r="1211" spans="1:7">
      <c r="A1211" s="13">
        <v>33.6</v>
      </c>
      <c r="B1211" s="13">
        <v>34.14</v>
      </c>
      <c r="C1211" s="13">
        <v>33.432699999999997</v>
      </c>
      <c r="D1211" s="13">
        <v>33.76</v>
      </c>
      <c r="E1211" s="13">
        <v>14827303</v>
      </c>
      <c r="F1211" s="13" t="s">
        <v>1354</v>
      </c>
      <c r="G1211" s="18">
        <f t="shared" si="25"/>
        <v>-4.7393364928909332E-3</v>
      </c>
    </row>
    <row r="1212" spans="1:7">
      <c r="A1212" s="13">
        <v>34</v>
      </c>
      <c r="B1212" s="13">
        <v>34.265000000000001</v>
      </c>
      <c r="C1212" s="13">
        <v>33.950000000000003</v>
      </c>
      <c r="D1212" s="13">
        <v>34.049999999999997</v>
      </c>
      <c r="E1212" s="13">
        <v>11028976</v>
      </c>
      <c r="F1212" s="13" t="s">
        <v>1353</v>
      </c>
      <c r="G1212" s="18">
        <f t="shared" si="25"/>
        <v>-1.468428781204012E-3</v>
      </c>
    </row>
    <row r="1213" spans="1:7">
      <c r="A1213" s="13">
        <v>34.130000000000003</v>
      </c>
      <c r="B1213" s="13">
        <v>34.340000000000003</v>
      </c>
      <c r="C1213" s="13">
        <v>33.715000000000003</v>
      </c>
      <c r="D1213" s="13">
        <v>34.03</v>
      </c>
      <c r="E1213" s="13">
        <v>14858410</v>
      </c>
      <c r="F1213" s="13" t="s">
        <v>1352</v>
      </c>
      <c r="G1213" s="18">
        <f t="shared" si="25"/>
        <v>2.9385836027036039E-3</v>
      </c>
    </row>
    <row r="1214" spans="1:7">
      <c r="A1214" s="13">
        <v>33.97</v>
      </c>
      <c r="B1214" s="13">
        <v>34.159999999999997</v>
      </c>
      <c r="C1214" s="13">
        <v>33.68</v>
      </c>
      <c r="D1214" s="13">
        <v>34.049999999999997</v>
      </c>
      <c r="E1214" s="13">
        <v>20816506</v>
      </c>
      <c r="F1214" s="13" t="s">
        <v>1351</v>
      </c>
      <c r="G1214" s="18">
        <f t="shared" si="25"/>
        <v>-2.3494860499265746E-3</v>
      </c>
    </row>
    <row r="1215" spans="1:7">
      <c r="A1215" s="13">
        <v>34.25</v>
      </c>
      <c r="B1215" s="13">
        <v>34.49</v>
      </c>
      <c r="C1215" s="13">
        <v>33.905000000000001</v>
      </c>
      <c r="D1215" s="13">
        <v>34.36</v>
      </c>
      <c r="E1215" s="13">
        <v>18398503</v>
      </c>
      <c r="F1215" s="13" t="s">
        <v>1350</v>
      </c>
      <c r="G1215" s="18">
        <f t="shared" si="25"/>
        <v>-3.201396973224635E-3</v>
      </c>
    </row>
    <row r="1216" spans="1:7">
      <c r="A1216" s="13">
        <v>34.409999999999997</v>
      </c>
      <c r="B1216" s="13">
        <v>34.42</v>
      </c>
      <c r="C1216" s="13">
        <v>33.57</v>
      </c>
      <c r="D1216" s="13">
        <v>33.799999999999997</v>
      </c>
      <c r="E1216" s="13">
        <v>26383227</v>
      </c>
      <c r="F1216" s="13" t="s">
        <v>1349</v>
      </c>
      <c r="G1216" s="18">
        <f t="shared" si="25"/>
        <v>1.8047337278106479E-2</v>
      </c>
    </row>
    <row r="1217" spans="1:7">
      <c r="A1217" s="13">
        <v>33.81</v>
      </c>
      <c r="B1217" s="13">
        <v>34.21</v>
      </c>
      <c r="C1217" s="13">
        <v>33.700000000000003</v>
      </c>
      <c r="D1217" s="13">
        <v>34.15</v>
      </c>
      <c r="E1217" s="13">
        <v>21070882</v>
      </c>
      <c r="F1217" s="13" t="s">
        <v>1348</v>
      </c>
      <c r="G1217" s="18">
        <f t="shared" si="25"/>
        <v>-9.9560761346997317E-3</v>
      </c>
    </row>
    <row r="1218" spans="1:7">
      <c r="A1218" s="13">
        <v>34.15</v>
      </c>
      <c r="B1218" s="13">
        <v>34.270000000000003</v>
      </c>
      <c r="C1218" s="13">
        <v>33.26</v>
      </c>
      <c r="D1218" s="13">
        <v>33.6</v>
      </c>
      <c r="E1218" s="13">
        <v>19584262</v>
      </c>
      <c r="F1218" s="13" t="s">
        <v>1347</v>
      </c>
      <c r="G1218" s="18">
        <f t="shared" si="25"/>
        <v>1.636904761904745E-2</v>
      </c>
    </row>
    <row r="1219" spans="1:7">
      <c r="A1219" s="13">
        <v>33.65</v>
      </c>
      <c r="B1219" s="13">
        <v>33.950000000000003</v>
      </c>
      <c r="C1219" s="13">
        <v>33.369999999999997</v>
      </c>
      <c r="D1219" s="13">
        <v>33.5</v>
      </c>
      <c r="E1219" s="13">
        <v>14414632</v>
      </c>
      <c r="F1219" s="13" t="s">
        <v>1346</v>
      </c>
      <c r="G1219" s="18">
        <f t="shared" si="25"/>
        <v>4.4776119402984982E-3</v>
      </c>
    </row>
    <row r="1220" spans="1:7">
      <c r="A1220" s="13">
        <v>33.15</v>
      </c>
      <c r="B1220" s="13">
        <v>33.619999999999997</v>
      </c>
      <c r="C1220" s="13">
        <v>33.01</v>
      </c>
      <c r="D1220" s="13">
        <v>33.61</v>
      </c>
      <c r="E1220" s="13">
        <v>15588589</v>
      </c>
      <c r="F1220" s="13" t="s">
        <v>1345</v>
      </c>
      <c r="G1220" s="18">
        <f t="shared" si="25"/>
        <v>-1.3686402856292745E-2</v>
      </c>
    </row>
    <row r="1221" spans="1:7">
      <c r="A1221" s="13">
        <v>33.6</v>
      </c>
      <c r="B1221" s="13">
        <v>33.9</v>
      </c>
      <c r="C1221" s="13">
        <v>33.44</v>
      </c>
      <c r="D1221" s="13">
        <v>33.9</v>
      </c>
      <c r="E1221" s="13">
        <v>6363646</v>
      </c>
      <c r="F1221" s="13" t="s">
        <v>1344</v>
      </c>
      <c r="G1221" s="18">
        <f t="shared" si="25"/>
        <v>-8.8495575221237965E-3</v>
      </c>
    </row>
    <row r="1222" spans="1:7">
      <c r="A1222" s="13">
        <v>33.549999999999997</v>
      </c>
      <c r="B1222" s="13">
        <v>33.99</v>
      </c>
      <c r="C1222" s="13">
        <v>33.5</v>
      </c>
      <c r="D1222" s="13">
        <v>33.869999999999997</v>
      </c>
      <c r="E1222" s="13">
        <v>9814059</v>
      </c>
      <c r="F1222" s="13" t="s">
        <v>1343</v>
      </c>
      <c r="G1222" s="18">
        <f t="shared" si="25"/>
        <v>-9.4478889873044203E-3</v>
      </c>
    </row>
    <row r="1223" spans="1:7">
      <c r="A1223" s="13">
        <v>33.79</v>
      </c>
      <c r="B1223" s="13">
        <v>34.08</v>
      </c>
      <c r="C1223" s="13">
        <v>33.61</v>
      </c>
      <c r="D1223" s="13">
        <v>33.69</v>
      </c>
      <c r="E1223" s="13">
        <v>18849650</v>
      </c>
      <c r="F1223" s="13" t="s">
        <v>1342</v>
      </c>
      <c r="G1223" s="18">
        <f t="shared" si="25"/>
        <v>2.9682398337786964E-3</v>
      </c>
    </row>
    <row r="1224" spans="1:7">
      <c r="A1224" s="13">
        <v>33.33</v>
      </c>
      <c r="B1224" s="13">
        <v>33.884999999999998</v>
      </c>
      <c r="C1224" s="13">
        <v>32.99</v>
      </c>
      <c r="D1224" s="13">
        <v>33.700000000000003</v>
      </c>
      <c r="E1224" s="13">
        <v>18823425</v>
      </c>
      <c r="F1224" s="13" t="s">
        <v>1341</v>
      </c>
      <c r="G1224" s="18">
        <f t="shared" si="25"/>
        <v>-1.0979228486647008E-2</v>
      </c>
    </row>
    <row r="1225" spans="1:7">
      <c r="A1225" s="13">
        <v>33.700000000000003</v>
      </c>
      <c r="B1225" s="13">
        <v>34.32</v>
      </c>
      <c r="C1225" s="13">
        <v>33.64</v>
      </c>
      <c r="D1225" s="13">
        <v>34.08</v>
      </c>
      <c r="E1225" s="13">
        <v>15402501</v>
      </c>
      <c r="F1225" s="13" t="s">
        <v>1340</v>
      </c>
      <c r="G1225" s="18">
        <f t="shared" si="25"/>
        <v>-1.1150234741783893E-2</v>
      </c>
    </row>
    <row r="1226" spans="1:7">
      <c r="A1226" s="13">
        <v>34.21</v>
      </c>
      <c r="B1226" s="13">
        <v>34.5</v>
      </c>
      <c r="C1226" s="13">
        <v>33.96</v>
      </c>
      <c r="D1226" s="13">
        <v>34.33</v>
      </c>
      <c r="E1226" s="13">
        <v>14816271</v>
      </c>
      <c r="F1226" s="13" t="s">
        <v>1339</v>
      </c>
      <c r="G1226" s="18">
        <f t="shared" si="25"/>
        <v>-3.4954849985434633E-3</v>
      </c>
    </row>
    <row r="1227" spans="1:7">
      <c r="A1227" s="13">
        <v>34.26</v>
      </c>
      <c r="B1227" s="13">
        <v>35.21</v>
      </c>
      <c r="C1227" s="13">
        <v>33.86</v>
      </c>
      <c r="D1227" s="13">
        <v>35.21</v>
      </c>
      <c r="E1227" s="13">
        <v>22512336</v>
      </c>
      <c r="F1227" s="13" t="s">
        <v>1338</v>
      </c>
      <c r="G1227" s="18">
        <f t="shared" si="25"/>
        <v>-2.6980971314967461E-2</v>
      </c>
    </row>
    <row r="1228" spans="1:7">
      <c r="A1228" s="13">
        <v>35.03</v>
      </c>
      <c r="B1228" s="13">
        <v>35.5</v>
      </c>
      <c r="C1228" s="13">
        <v>33.979999999999997</v>
      </c>
      <c r="D1228" s="13">
        <v>35.49</v>
      </c>
      <c r="E1228" s="13">
        <v>34678265</v>
      </c>
      <c r="F1228" s="13" t="s">
        <v>1337</v>
      </c>
      <c r="G1228" s="18">
        <f t="shared" si="25"/>
        <v>-1.2961397576782163E-2</v>
      </c>
    </row>
    <row r="1229" spans="1:7">
      <c r="A1229" s="13">
        <v>38.03</v>
      </c>
      <c r="B1229" s="13">
        <v>38.770000000000003</v>
      </c>
      <c r="C1229" s="13">
        <v>37.700000000000003</v>
      </c>
      <c r="D1229" s="13">
        <v>38.67</v>
      </c>
      <c r="E1229" s="13">
        <v>7849749</v>
      </c>
      <c r="F1229" s="13" t="s">
        <v>1336</v>
      </c>
      <c r="G1229" s="18">
        <f t="shared" si="25"/>
        <v>-1.6550297388156165E-2</v>
      </c>
    </row>
    <row r="1230" spans="1:7">
      <c r="A1230" s="13">
        <v>37.979999999999997</v>
      </c>
      <c r="B1230" s="13">
        <v>38.15</v>
      </c>
      <c r="C1230" s="13">
        <v>36.75</v>
      </c>
      <c r="D1230" s="13">
        <v>36.950000000000003</v>
      </c>
      <c r="E1230" s="13">
        <v>18923603</v>
      </c>
      <c r="F1230" s="13" t="s">
        <v>1335</v>
      </c>
      <c r="G1230" s="18">
        <f t="shared" si="25"/>
        <v>2.7875507442489678E-2</v>
      </c>
    </row>
    <row r="1231" spans="1:7">
      <c r="A1231" s="13">
        <v>36.74</v>
      </c>
      <c r="B1231" s="13">
        <v>37.39</v>
      </c>
      <c r="C1231" s="13">
        <v>36.53</v>
      </c>
      <c r="D1231" s="13">
        <v>37.17</v>
      </c>
      <c r="E1231" s="13">
        <v>15709513</v>
      </c>
      <c r="F1231" s="13" t="s">
        <v>1334</v>
      </c>
      <c r="G1231" s="18">
        <f t="shared" si="25"/>
        <v>-1.1568469195587849E-2</v>
      </c>
    </row>
    <row r="1232" spans="1:7">
      <c r="A1232" s="13">
        <v>37.4</v>
      </c>
      <c r="B1232" s="13">
        <v>38.35</v>
      </c>
      <c r="C1232" s="13">
        <v>37.18</v>
      </c>
      <c r="D1232" s="13">
        <v>38.15</v>
      </c>
      <c r="E1232" s="13">
        <v>9713083</v>
      </c>
      <c r="F1232" s="13" t="s">
        <v>1333</v>
      </c>
      <c r="G1232" s="18">
        <f t="shared" si="25"/>
        <v>-1.9659239842726106E-2</v>
      </c>
    </row>
    <row r="1233" spans="1:7">
      <c r="A1233" s="13">
        <v>38.200000000000003</v>
      </c>
      <c r="B1233" s="13">
        <v>38.524999999999999</v>
      </c>
      <c r="C1233" s="13">
        <v>37.92</v>
      </c>
      <c r="D1233" s="13">
        <v>38.25</v>
      </c>
      <c r="E1233" s="13">
        <v>10274657</v>
      </c>
      <c r="F1233" s="13" t="s">
        <v>1332</v>
      </c>
      <c r="G1233" s="18">
        <f t="shared" si="25"/>
        <v>-1.3071895424835445E-3</v>
      </c>
    </row>
    <row r="1234" spans="1:7">
      <c r="A1234" s="13">
        <v>38.21</v>
      </c>
      <c r="B1234" s="13">
        <v>39.5</v>
      </c>
      <c r="C1234" s="13">
        <v>38.159999999999997</v>
      </c>
      <c r="D1234" s="13">
        <v>38.484999999999999</v>
      </c>
      <c r="E1234" s="13">
        <v>21385049</v>
      </c>
      <c r="F1234" s="13" t="s">
        <v>1331</v>
      </c>
      <c r="G1234" s="18">
        <f t="shared" si="25"/>
        <v>-7.1456411588930457E-3</v>
      </c>
    </row>
    <row r="1235" spans="1:7">
      <c r="A1235" s="13">
        <v>35.700000000000003</v>
      </c>
      <c r="B1235" s="13">
        <v>35.865000000000002</v>
      </c>
      <c r="C1235" s="13">
        <v>35.090000000000003</v>
      </c>
      <c r="D1235" s="13">
        <v>35.31</v>
      </c>
      <c r="E1235" s="13">
        <v>11142837</v>
      </c>
      <c r="F1235" s="13" t="s">
        <v>1330</v>
      </c>
      <c r="G1235" s="18">
        <f t="shared" si="25"/>
        <v>1.1045029736618472E-2</v>
      </c>
    </row>
    <row r="1236" spans="1:7">
      <c r="A1236" s="13">
        <v>35.21</v>
      </c>
      <c r="B1236" s="13">
        <v>36.090000000000003</v>
      </c>
      <c r="C1236" s="13">
        <v>35.1</v>
      </c>
      <c r="D1236" s="13">
        <v>36</v>
      </c>
      <c r="E1236" s="13">
        <v>11132699</v>
      </c>
      <c r="F1236" s="13" t="s">
        <v>1329</v>
      </c>
      <c r="G1236" s="18">
        <f t="shared" si="25"/>
        <v>-2.1944444444444433E-2</v>
      </c>
    </row>
    <row r="1237" spans="1:7">
      <c r="A1237" s="13">
        <v>35.29</v>
      </c>
      <c r="B1237" s="13">
        <v>35.75</v>
      </c>
      <c r="C1237" s="13">
        <v>34.24</v>
      </c>
      <c r="D1237" s="13">
        <v>35.5</v>
      </c>
      <c r="E1237" s="13">
        <v>14830869</v>
      </c>
      <c r="F1237" s="13" t="s">
        <v>1328</v>
      </c>
      <c r="G1237" s="18">
        <f t="shared" si="25"/>
        <v>-5.9154929577465154E-3</v>
      </c>
    </row>
    <row r="1238" spans="1:7">
      <c r="A1238" s="13">
        <v>35.15</v>
      </c>
      <c r="B1238" s="13">
        <v>35.634999999999998</v>
      </c>
      <c r="C1238" s="13">
        <v>34.799999999999997</v>
      </c>
      <c r="D1238" s="13">
        <v>35.06</v>
      </c>
      <c r="E1238" s="13">
        <v>9313489</v>
      </c>
      <c r="F1238" s="13" t="s">
        <v>1327</v>
      </c>
      <c r="G1238" s="18">
        <f t="shared" si="25"/>
        <v>2.5670279520819683E-3</v>
      </c>
    </row>
    <row r="1239" spans="1:7">
      <c r="A1239" s="13">
        <v>34.549999999999997</v>
      </c>
      <c r="B1239" s="13">
        <v>34.909999999999997</v>
      </c>
      <c r="C1239" s="13">
        <v>34.340000000000003</v>
      </c>
      <c r="D1239" s="13">
        <v>34.659999999999997</v>
      </c>
      <c r="E1239" s="13">
        <v>14351818</v>
      </c>
      <c r="F1239" s="13" t="s">
        <v>1326</v>
      </c>
      <c r="G1239" s="18">
        <f t="shared" si="25"/>
        <v>-3.1736872475476297E-3</v>
      </c>
    </row>
    <row r="1240" spans="1:7">
      <c r="A1240" s="13">
        <v>34.270000000000003</v>
      </c>
      <c r="B1240" s="13">
        <v>34.659999999999997</v>
      </c>
      <c r="C1240" s="13">
        <v>33.31</v>
      </c>
      <c r="D1240" s="13">
        <v>33.31</v>
      </c>
      <c r="E1240" s="13">
        <v>20324844</v>
      </c>
      <c r="F1240" s="13" t="s">
        <v>1325</v>
      </c>
      <c r="G1240" s="18">
        <f t="shared" si="25"/>
        <v>2.8820174121885422E-2</v>
      </c>
    </row>
    <row r="1241" spans="1:7">
      <c r="A1241" s="13">
        <v>33.5</v>
      </c>
      <c r="B1241" s="13">
        <v>34.25</v>
      </c>
      <c r="C1241" s="13">
        <v>33.14</v>
      </c>
      <c r="D1241" s="13">
        <v>33.979999999999997</v>
      </c>
      <c r="E1241" s="13">
        <v>27743339</v>
      </c>
      <c r="F1241" s="13" t="s">
        <v>1324</v>
      </c>
      <c r="G1241" s="18">
        <f t="shared" si="25"/>
        <v>-1.4125956444967502E-2</v>
      </c>
    </row>
    <row r="1242" spans="1:7">
      <c r="A1242" s="13">
        <v>34.07</v>
      </c>
      <c r="B1242" s="13">
        <v>35.99</v>
      </c>
      <c r="C1242" s="13">
        <v>33.9</v>
      </c>
      <c r="D1242" s="13">
        <v>35.75</v>
      </c>
      <c r="E1242" s="13">
        <v>17957567</v>
      </c>
      <c r="F1242" s="13" t="s">
        <v>1323</v>
      </c>
      <c r="G1242" s="18">
        <f t="shared" si="25"/>
        <v>-4.6993006993007014E-2</v>
      </c>
    </row>
    <row r="1243" spans="1:7">
      <c r="A1243" s="13">
        <v>36.049999999999997</v>
      </c>
      <c r="B1243" s="13">
        <v>36.99</v>
      </c>
      <c r="C1243" s="13">
        <v>35.994999999999997</v>
      </c>
      <c r="D1243" s="13">
        <v>36.86</v>
      </c>
      <c r="E1243" s="13">
        <v>12082069</v>
      </c>
      <c r="F1243" s="13" t="s">
        <v>1322</v>
      </c>
      <c r="G1243" s="18">
        <f t="shared" si="25"/>
        <v>-2.1975040694519832E-2</v>
      </c>
    </row>
    <row r="1244" spans="1:7">
      <c r="A1244" s="13">
        <v>36.86</v>
      </c>
      <c r="B1244" s="13">
        <v>37.255000000000003</v>
      </c>
      <c r="C1244" s="13">
        <v>36.28</v>
      </c>
      <c r="D1244" s="13">
        <v>36.69</v>
      </c>
      <c r="E1244" s="13">
        <v>9594496</v>
      </c>
      <c r="F1244" s="13" t="s">
        <v>1321</v>
      </c>
      <c r="G1244" s="18">
        <f t="shared" si="25"/>
        <v>4.6334150994822298E-3</v>
      </c>
    </row>
    <row r="1245" spans="1:7">
      <c r="A1245" s="13">
        <v>37.17</v>
      </c>
      <c r="B1245" s="13">
        <v>37.409999999999997</v>
      </c>
      <c r="C1245" s="13">
        <v>36.71</v>
      </c>
      <c r="D1245" s="13">
        <v>37</v>
      </c>
      <c r="E1245" s="13">
        <v>12412633</v>
      </c>
      <c r="F1245" s="13" t="s">
        <v>1320</v>
      </c>
      <c r="G1245" s="18">
        <f t="shared" si="25"/>
        <v>4.5945945945946587E-3</v>
      </c>
    </row>
    <row r="1246" spans="1:7">
      <c r="A1246" s="13">
        <v>36.86</v>
      </c>
      <c r="B1246" s="13">
        <v>37.54</v>
      </c>
      <c r="C1246" s="13">
        <v>36.734999999999999</v>
      </c>
      <c r="D1246" s="13">
        <v>37.19</v>
      </c>
      <c r="E1246" s="13">
        <v>15048324</v>
      </c>
      <c r="F1246" s="13" t="s">
        <v>1319</v>
      </c>
      <c r="G1246" s="18">
        <f t="shared" si="25"/>
        <v>-8.8733530518956272E-3</v>
      </c>
    </row>
    <row r="1247" spans="1:7">
      <c r="A1247" s="13">
        <v>37.15</v>
      </c>
      <c r="B1247" s="13">
        <v>37.72</v>
      </c>
      <c r="C1247" s="13">
        <v>37.119999999999997</v>
      </c>
      <c r="D1247" s="13">
        <v>37.51</v>
      </c>
      <c r="E1247" s="13">
        <v>11643964</v>
      </c>
      <c r="F1247" s="13" t="s">
        <v>1318</v>
      </c>
      <c r="G1247" s="18">
        <f t="shared" si="25"/>
        <v>-9.5974406824846925E-3</v>
      </c>
    </row>
    <row r="1248" spans="1:7">
      <c r="A1248" s="13">
        <v>37.54</v>
      </c>
      <c r="B1248" s="13">
        <v>38.119999999999997</v>
      </c>
      <c r="C1248" s="13">
        <v>37.54</v>
      </c>
      <c r="D1248" s="13">
        <v>37.979999999999997</v>
      </c>
      <c r="E1248" s="13">
        <v>8140363</v>
      </c>
      <c r="F1248" s="13" t="s">
        <v>1317</v>
      </c>
      <c r="G1248" s="18">
        <f t="shared" si="25"/>
        <v>-1.1585044760400121E-2</v>
      </c>
    </row>
    <row r="1249" spans="1:7">
      <c r="A1249" s="13">
        <v>37.770000000000003</v>
      </c>
      <c r="B1249" s="13">
        <v>38.64</v>
      </c>
      <c r="C1249" s="13">
        <v>37.71</v>
      </c>
      <c r="D1249" s="13">
        <v>38.51</v>
      </c>
      <c r="E1249" s="13">
        <v>11197193</v>
      </c>
      <c r="F1249" s="13" t="s">
        <v>1316</v>
      </c>
      <c r="G1249" s="18">
        <f t="shared" si="25"/>
        <v>-1.9215788106985099E-2</v>
      </c>
    </row>
    <row r="1250" spans="1:7">
      <c r="A1250" s="13">
        <v>38.44</v>
      </c>
      <c r="B1250" s="13">
        <v>39.18</v>
      </c>
      <c r="C1250" s="13">
        <v>38.42</v>
      </c>
      <c r="D1250" s="13">
        <v>39</v>
      </c>
      <c r="E1250" s="13">
        <v>18559601</v>
      </c>
      <c r="F1250" s="13" t="s">
        <v>1315</v>
      </c>
      <c r="G1250" s="18">
        <f t="shared" si="25"/>
        <v>-1.4358974358974375E-2</v>
      </c>
    </row>
    <row r="1251" spans="1:7">
      <c r="A1251" s="13">
        <v>39</v>
      </c>
      <c r="B1251" s="13">
        <v>40.67</v>
      </c>
      <c r="C1251" s="13">
        <v>38.5</v>
      </c>
      <c r="D1251" s="13">
        <v>40.119999999999997</v>
      </c>
      <c r="E1251" s="13">
        <v>15112226</v>
      </c>
      <c r="F1251" s="13" t="s">
        <v>1314</v>
      </c>
      <c r="G1251" s="18">
        <f t="shared" si="25"/>
        <v>-2.7916251246261181E-2</v>
      </c>
    </row>
    <row r="1252" spans="1:7">
      <c r="A1252" s="13">
        <v>40.619999999999997</v>
      </c>
      <c r="B1252" s="13">
        <v>40.905000000000001</v>
      </c>
      <c r="C1252" s="13">
        <v>40.195</v>
      </c>
      <c r="D1252" s="13">
        <v>40.770000000000003</v>
      </c>
      <c r="E1252" s="13">
        <v>12537935</v>
      </c>
      <c r="F1252" s="13" t="s">
        <v>1313</v>
      </c>
      <c r="G1252" s="18">
        <f t="shared" si="25"/>
        <v>-3.679175864606421E-3</v>
      </c>
    </row>
    <row r="1253" spans="1:7">
      <c r="A1253" s="13">
        <v>40.92</v>
      </c>
      <c r="B1253" s="13">
        <v>41.92</v>
      </c>
      <c r="C1253" s="13">
        <v>40.695</v>
      </c>
      <c r="D1253" s="13">
        <v>41.82</v>
      </c>
      <c r="E1253" s="13">
        <v>7399736</v>
      </c>
      <c r="F1253" s="13" t="s">
        <v>1312</v>
      </c>
      <c r="G1253" s="18">
        <f t="shared" si="25"/>
        <v>-2.1520803443328518E-2</v>
      </c>
    </row>
    <row r="1254" spans="1:7">
      <c r="A1254" s="13">
        <v>41.97</v>
      </c>
      <c r="B1254" s="13">
        <v>42.13</v>
      </c>
      <c r="C1254" s="13">
        <v>41.22</v>
      </c>
      <c r="D1254" s="13">
        <v>41.44</v>
      </c>
      <c r="E1254" s="13">
        <v>7690268</v>
      </c>
      <c r="F1254" s="13" t="s">
        <v>1311</v>
      </c>
      <c r="G1254" s="18">
        <f t="shared" si="25"/>
        <v>1.278957528957525E-2</v>
      </c>
    </row>
    <row r="1255" spans="1:7">
      <c r="A1255" s="13">
        <v>41.14</v>
      </c>
      <c r="B1255" s="13">
        <v>41.25</v>
      </c>
      <c r="C1255" s="13">
        <v>40.695</v>
      </c>
      <c r="D1255" s="13">
        <v>41.04</v>
      </c>
      <c r="E1255" s="13">
        <v>6020281</v>
      </c>
      <c r="F1255" s="13" t="s">
        <v>1310</v>
      </c>
      <c r="G1255" s="18">
        <f t="shared" si="25"/>
        <v>2.436647173489348E-3</v>
      </c>
    </row>
    <row r="1256" spans="1:7">
      <c r="A1256" s="13">
        <v>40.49</v>
      </c>
      <c r="B1256" s="13">
        <v>40.57</v>
      </c>
      <c r="C1256" s="13">
        <v>40.19</v>
      </c>
      <c r="D1256" s="13">
        <v>40.25</v>
      </c>
      <c r="E1256" s="13">
        <v>4484008</v>
      </c>
      <c r="F1256" s="13" t="s">
        <v>1309</v>
      </c>
      <c r="G1256" s="18">
        <f t="shared" si="25"/>
        <v>5.962732919254643E-3</v>
      </c>
    </row>
    <row r="1257" spans="1:7">
      <c r="A1257" s="13">
        <v>40.18</v>
      </c>
      <c r="B1257" s="13">
        <v>40.435000000000002</v>
      </c>
      <c r="C1257" s="13">
        <v>39.58</v>
      </c>
      <c r="D1257" s="13">
        <v>39.58</v>
      </c>
      <c r="E1257" s="13">
        <v>5785088</v>
      </c>
      <c r="F1257" s="13" t="s">
        <v>1308</v>
      </c>
      <c r="G1257" s="18">
        <f t="shared" si="25"/>
        <v>1.5159171298635643E-2</v>
      </c>
    </row>
    <row r="1258" spans="1:7">
      <c r="A1258" s="13">
        <v>39.33</v>
      </c>
      <c r="B1258" s="13">
        <v>40.4</v>
      </c>
      <c r="C1258" s="13">
        <v>39.25</v>
      </c>
      <c r="D1258" s="13">
        <v>39.799999999999997</v>
      </c>
      <c r="E1258" s="13">
        <v>7833522</v>
      </c>
      <c r="F1258" s="13" t="s">
        <v>1307</v>
      </c>
      <c r="G1258" s="18">
        <f t="shared" si="25"/>
        <v>-1.1809045226130577E-2</v>
      </c>
    </row>
    <row r="1259" spans="1:7">
      <c r="A1259" s="13">
        <v>39.24</v>
      </c>
      <c r="B1259" s="13">
        <v>39.340000000000003</v>
      </c>
      <c r="C1259" s="13">
        <v>38.659999999999997</v>
      </c>
      <c r="D1259" s="13">
        <v>38.75</v>
      </c>
      <c r="E1259" s="13">
        <v>4448907</v>
      </c>
      <c r="F1259" s="13" t="s">
        <v>1306</v>
      </c>
      <c r="G1259" s="18">
        <f t="shared" si="25"/>
        <v>1.2645161290322671E-2</v>
      </c>
    </row>
    <row r="1260" spans="1:7">
      <c r="A1260" s="13">
        <v>38.479999999999997</v>
      </c>
      <c r="B1260" s="13">
        <v>38.659999999999997</v>
      </c>
      <c r="C1260" s="13">
        <v>37.762</v>
      </c>
      <c r="D1260" s="13">
        <v>37.799999999999997</v>
      </c>
      <c r="E1260" s="13">
        <v>6271166</v>
      </c>
      <c r="F1260" s="13" t="s">
        <v>1305</v>
      </c>
      <c r="G1260" s="18">
        <f t="shared" si="25"/>
        <v>1.7989417989418E-2</v>
      </c>
    </row>
    <row r="1261" spans="1:7">
      <c r="A1261" s="13">
        <v>38.42</v>
      </c>
      <c r="B1261" s="13">
        <v>38.94</v>
      </c>
      <c r="C1261" s="13">
        <v>38.185000000000002</v>
      </c>
      <c r="D1261" s="13">
        <v>38.56</v>
      </c>
      <c r="E1261" s="13">
        <v>6098403</v>
      </c>
      <c r="F1261" s="13" t="s">
        <v>1304</v>
      </c>
      <c r="G1261" s="18">
        <f t="shared" si="25"/>
        <v>-3.6307053941908585E-3</v>
      </c>
    </row>
    <row r="1262" spans="1:7">
      <c r="A1262" s="13">
        <v>38.21</v>
      </c>
      <c r="B1262" s="13">
        <v>38.71</v>
      </c>
      <c r="C1262" s="13">
        <v>37.729999999999997</v>
      </c>
      <c r="D1262" s="13">
        <v>37.83</v>
      </c>
      <c r="E1262" s="13">
        <v>7711757</v>
      </c>
      <c r="F1262" s="13" t="s">
        <v>1303</v>
      </c>
      <c r="G1262" s="18">
        <f t="shared" si="25"/>
        <v>1.0044937879989391E-2</v>
      </c>
    </row>
    <row r="1263" spans="1:7">
      <c r="A1263" s="13">
        <v>37.76</v>
      </c>
      <c r="B1263" s="13">
        <v>38.26</v>
      </c>
      <c r="C1263" s="13">
        <v>37.54</v>
      </c>
      <c r="D1263" s="13">
        <v>38.18</v>
      </c>
      <c r="E1263" s="13">
        <v>5951336</v>
      </c>
      <c r="F1263" s="13" t="s">
        <v>1302</v>
      </c>
      <c r="G1263" s="18">
        <f t="shared" si="25"/>
        <v>-1.1000523834468368E-2</v>
      </c>
    </row>
    <row r="1264" spans="1:7">
      <c r="A1264" s="13">
        <v>38</v>
      </c>
      <c r="B1264" s="13">
        <v>38.450000000000003</v>
      </c>
      <c r="C1264" s="13">
        <v>37.982500000000002</v>
      </c>
      <c r="D1264" s="13">
        <v>38.07</v>
      </c>
      <c r="E1264" s="13">
        <v>6436547</v>
      </c>
      <c r="F1264" s="13" t="s">
        <v>1301</v>
      </c>
      <c r="G1264" s="18">
        <f t="shared" si="25"/>
        <v>-1.838718150774854E-3</v>
      </c>
    </row>
    <row r="1265" spans="1:7">
      <c r="A1265" s="13">
        <v>37.340000000000003</v>
      </c>
      <c r="B1265" s="13">
        <v>37.65</v>
      </c>
      <c r="C1265" s="13">
        <v>36.799999999999997</v>
      </c>
      <c r="D1265" s="13">
        <v>36.89</v>
      </c>
      <c r="E1265" s="13">
        <v>7749143</v>
      </c>
      <c r="F1265" s="13" t="s">
        <v>1300</v>
      </c>
      <c r="G1265" s="18">
        <f t="shared" si="25"/>
        <v>1.2198427758200125E-2</v>
      </c>
    </row>
    <row r="1266" spans="1:7">
      <c r="A1266" s="13">
        <v>37.119999999999997</v>
      </c>
      <c r="B1266" s="13">
        <v>37.54</v>
      </c>
      <c r="C1266" s="13">
        <v>36.86</v>
      </c>
      <c r="D1266" s="13">
        <v>37.43</v>
      </c>
      <c r="E1266" s="13">
        <v>9270829</v>
      </c>
      <c r="F1266" s="13" t="s">
        <v>1299</v>
      </c>
      <c r="G1266" s="18">
        <f t="shared" ref="G1266:G1329" si="26">A1266/D1266-1</f>
        <v>-8.2821266363879431E-3</v>
      </c>
    </row>
    <row r="1267" spans="1:7">
      <c r="A1267" s="13">
        <v>37.72</v>
      </c>
      <c r="B1267" s="13">
        <v>38.76</v>
      </c>
      <c r="C1267" s="13">
        <v>37.64</v>
      </c>
      <c r="D1267" s="13">
        <v>38.659999999999997</v>
      </c>
      <c r="E1267" s="13">
        <v>7462105</v>
      </c>
      <c r="F1267" s="13" t="s">
        <v>1298</v>
      </c>
      <c r="G1267" s="18">
        <f t="shared" si="26"/>
        <v>-2.4314536989135993E-2</v>
      </c>
    </row>
    <row r="1268" spans="1:7">
      <c r="A1268" s="13">
        <v>38.6</v>
      </c>
      <c r="B1268" s="13">
        <v>38.64</v>
      </c>
      <c r="C1268" s="13">
        <v>37.9</v>
      </c>
      <c r="D1268" s="13">
        <v>38.51</v>
      </c>
      <c r="E1268" s="13">
        <v>7024827</v>
      </c>
      <c r="F1268" s="13" t="s">
        <v>1297</v>
      </c>
      <c r="G1268" s="18">
        <f t="shared" si="26"/>
        <v>2.337055310309033E-3</v>
      </c>
    </row>
    <row r="1269" spans="1:7">
      <c r="A1269" s="13">
        <v>38.549999999999997</v>
      </c>
      <c r="B1269" s="13">
        <v>38.549999999999997</v>
      </c>
      <c r="C1269" s="13">
        <v>37.520000000000003</v>
      </c>
      <c r="D1269" s="13">
        <v>37.83</v>
      </c>
      <c r="E1269" s="13">
        <v>10625602</v>
      </c>
      <c r="F1269" s="13" t="s">
        <v>1296</v>
      </c>
      <c r="G1269" s="18">
        <f t="shared" si="26"/>
        <v>1.9032513877874635E-2</v>
      </c>
    </row>
    <row r="1270" spans="1:7">
      <c r="A1270" s="13">
        <v>38.479999999999997</v>
      </c>
      <c r="B1270" s="13">
        <v>39.99</v>
      </c>
      <c r="C1270" s="13">
        <v>38.39</v>
      </c>
      <c r="D1270" s="13">
        <v>39.6</v>
      </c>
      <c r="E1270" s="13">
        <v>10720467</v>
      </c>
      <c r="F1270" s="13" t="s">
        <v>1295</v>
      </c>
      <c r="G1270" s="18">
        <f t="shared" si="26"/>
        <v>-2.8282828282828354E-2</v>
      </c>
    </row>
    <row r="1271" spans="1:7">
      <c r="A1271" s="13">
        <v>39.67</v>
      </c>
      <c r="B1271" s="13">
        <v>39.92</v>
      </c>
      <c r="C1271" s="13">
        <v>39.090000000000003</v>
      </c>
      <c r="D1271" s="13">
        <v>39.92</v>
      </c>
      <c r="E1271" s="13">
        <v>10883966</v>
      </c>
      <c r="F1271" s="13" t="s">
        <v>1294</v>
      </c>
      <c r="G1271" s="18">
        <f t="shared" si="26"/>
        <v>-6.262525050100165E-3</v>
      </c>
    </row>
    <row r="1272" spans="1:7">
      <c r="A1272" s="13">
        <v>40.19</v>
      </c>
      <c r="B1272" s="13">
        <v>41.28</v>
      </c>
      <c r="C1272" s="13">
        <v>39.935000000000002</v>
      </c>
      <c r="D1272" s="13">
        <v>41.24</v>
      </c>
      <c r="E1272" s="13">
        <v>8529997</v>
      </c>
      <c r="F1272" s="13" t="s">
        <v>1293</v>
      </c>
      <c r="G1272" s="18">
        <f t="shared" si="26"/>
        <v>-2.5460717749757666E-2</v>
      </c>
    </row>
    <row r="1273" spans="1:7">
      <c r="A1273" s="13">
        <v>41.02</v>
      </c>
      <c r="B1273" s="13">
        <v>41.555</v>
      </c>
      <c r="C1273" s="13">
        <v>40.875</v>
      </c>
      <c r="D1273" s="13">
        <v>41.33</v>
      </c>
      <c r="E1273" s="13">
        <v>3645144</v>
      </c>
      <c r="F1273" s="13" t="s">
        <v>1292</v>
      </c>
      <c r="G1273" s="18">
        <f t="shared" si="26"/>
        <v>-7.5006048874908249E-3</v>
      </c>
    </row>
    <row r="1274" spans="1:7">
      <c r="A1274" s="13">
        <v>41.12</v>
      </c>
      <c r="B1274" s="13">
        <v>41.34</v>
      </c>
      <c r="C1274" s="13">
        <v>40.590000000000003</v>
      </c>
      <c r="D1274" s="13">
        <v>40.659999999999997</v>
      </c>
      <c r="E1274" s="13">
        <v>4797610</v>
      </c>
      <c r="F1274" s="13" t="s">
        <v>1291</v>
      </c>
      <c r="G1274" s="18">
        <f t="shared" si="26"/>
        <v>1.1313330054107285E-2</v>
      </c>
    </row>
    <row r="1275" spans="1:7">
      <c r="A1275" s="13">
        <v>40.29</v>
      </c>
      <c r="B1275" s="13">
        <v>41.05</v>
      </c>
      <c r="C1275" s="13">
        <v>39.979999999999997</v>
      </c>
      <c r="D1275" s="13">
        <v>40.950000000000003</v>
      </c>
      <c r="E1275" s="13">
        <v>7142897</v>
      </c>
      <c r="F1275" s="13" t="s">
        <v>1290</v>
      </c>
      <c r="G1275" s="18">
        <f t="shared" si="26"/>
        <v>-1.6117216117216171E-2</v>
      </c>
    </row>
    <row r="1276" spans="1:7">
      <c r="A1276" s="13">
        <v>40.97</v>
      </c>
      <c r="B1276" s="13">
        <v>41.86</v>
      </c>
      <c r="C1276" s="13">
        <v>40.85</v>
      </c>
      <c r="D1276" s="13">
        <v>41.58</v>
      </c>
      <c r="E1276" s="13">
        <v>5182761</v>
      </c>
      <c r="F1276" s="13" t="s">
        <v>1289</v>
      </c>
      <c r="G1276" s="18">
        <f t="shared" si="26"/>
        <v>-1.4670514670514612E-2</v>
      </c>
    </row>
    <row r="1277" spans="1:7">
      <c r="A1277" s="13">
        <v>41.53</v>
      </c>
      <c r="B1277" s="13">
        <v>41.935000000000002</v>
      </c>
      <c r="C1277" s="13">
        <v>41.14</v>
      </c>
      <c r="D1277" s="13">
        <v>41.27</v>
      </c>
      <c r="E1277" s="13">
        <v>5876943</v>
      </c>
      <c r="F1277" s="13" t="s">
        <v>1288</v>
      </c>
      <c r="G1277" s="18">
        <f t="shared" si="26"/>
        <v>6.2999757693238401E-3</v>
      </c>
    </row>
    <row r="1278" spans="1:7">
      <c r="A1278" s="13">
        <v>40.92</v>
      </c>
      <c r="B1278" s="13">
        <v>41.295000000000002</v>
      </c>
      <c r="C1278" s="13">
        <v>40.61</v>
      </c>
      <c r="D1278" s="13">
        <v>41.06</v>
      </c>
      <c r="E1278" s="13">
        <v>7104888</v>
      </c>
      <c r="F1278" s="13" t="s">
        <v>1287</v>
      </c>
      <c r="G1278" s="18">
        <f t="shared" si="26"/>
        <v>-3.4096444227958989E-3</v>
      </c>
    </row>
    <row r="1279" spans="1:7">
      <c r="A1279" s="13">
        <v>41.48</v>
      </c>
      <c r="B1279" s="13">
        <v>41.96</v>
      </c>
      <c r="C1279" s="13">
        <v>40.85</v>
      </c>
      <c r="D1279" s="13">
        <v>41.59</v>
      </c>
      <c r="E1279" s="13">
        <v>9232451</v>
      </c>
      <c r="F1279" s="13" t="s">
        <v>1286</v>
      </c>
      <c r="G1279" s="18">
        <f t="shared" si="26"/>
        <v>-2.64486655446039E-3</v>
      </c>
    </row>
    <row r="1280" spans="1:7">
      <c r="A1280" s="13">
        <v>41.49</v>
      </c>
      <c r="B1280" s="13">
        <v>42.37</v>
      </c>
      <c r="C1280" s="13">
        <v>41.14</v>
      </c>
      <c r="D1280" s="13">
        <v>42.15</v>
      </c>
      <c r="E1280" s="13">
        <v>9762953</v>
      </c>
      <c r="F1280" s="13" t="s">
        <v>1285</v>
      </c>
      <c r="G1280" s="18">
        <f t="shared" si="26"/>
        <v>-1.5658362989323771E-2</v>
      </c>
    </row>
    <row r="1281" spans="1:7">
      <c r="A1281" s="13">
        <v>42.23</v>
      </c>
      <c r="B1281" s="13">
        <v>42.29</v>
      </c>
      <c r="C1281" s="13">
        <v>41.47</v>
      </c>
      <c r="D1281" s="13">
        <v>41.5</v>
      </c>
      <c r="E1281" s="13">
        <v>9847296</v>
      </c>
      <c r="F1281" s="13" t="s">
        <v>1284</v>
      </c>
      <c r="G1281" s="18">
        <f t="shared" si="26"/>
        <v>1.7590361445783076E-2</v>
      </c>
    </row>
    <row r="1282" spans="1:7">
      <c r="A1282" s="13">
        <v>41.47</v>
      </c>
      <c r="B1282" s="13">
        <v>41.49</v>
      </c>
      <c r="C1282" s="13">
        <v>40.700000000000003</v>
      </c>
      <c r="D1282" s="13">
        <v>40.700000000000003</v>
      </c>
      <c r="E1282" s="13">
        <v>7997286</v>
      </c>
      <c r="F1282" s="13" t="s">
        <v>1283</v>
      </c>
      <c r="G1282" s="18">
        <f t="shared" si="26"/>
        <v>1.8918918918918726E-2</v>
      </c>
    </row>
    <row r="1283" spans="1:7">
      <c r="A1283" s="13">
        <v>41.02</v>
      </c>
      <c r="B1283" s="13">
        <v>41.24</v>
      </c>
      <c r="C1283" s="13">
        <v>40.74</v>
      </c>
      <c r="D1283" s="13">
        <v>40.93</v>
      </c>
      <c r="E1283" s="13">
        <v>7473602</v>
      </c>
      <c r="F1283" s="13" t="s">
        <v>1282</v>
      </c>
      <c r="G1283" s="18">
        <f t="shared" si="26"/>
        <v>2.1988761299780446E-3</v>
      </c>
    </row>
    <row r="1284" spans="1:7">
      <c r="A1284" s="13">
        <v>41.03</v>
      </c>
      <c r="B1284" s="13">
        <v>41.05</v>
      </c>
      <c r="C1284" s="13">
        <v>40.43</v>
      </c>
      <c r="D1284" s="13">
        <v>40.71</v>
      </c>
      <c r="E1284" s="13">
        <v>4542192</v>
      </c>
      <c r="F1284" s="13" t="s">
        <v>1281</v>
      </c>
      <c r="G1284" s="18">
        <f t="shared" si="26"/>
        <v>7.8604765413903266E-3</v>
      </c>
    </row>
    <row r="1285" spans="1:7">
      <c r="A1285" s="13">
        <v>40.78</v>
      </c>
      <c r="B1285" s="13">
        <v>41.01</v>
      </c>
      <c r="C1285" s="13">
        <v>39.4</v>
      </c>
      <c r="D1285" s="13">
        <v>39.4</v>
      </c>
      <c r="E1285" s="13">
        <v>8959687</v>
      </c>
      <c r="F1285" s="13" t="s">
        <v>1280</v>
      </c>
      <c r="G1285" s="18">
        <f t="shared" si="26"/>
        <v>3.502538071065997E-2</v>
      </c>
    </row>
    <row r="1286" spans="1:7">
      <c r="A1286" s="13">
        <v>39.35</v>
      </c>
      <c r="B1286" s="13">
        <v>39.69</v>
      </c>
      <c r="C1286" s="13">
        <v>38.704999999999998</v>
      </c>
      <c r="D1286" s="13">
        <v>39.69</v>
      </c>
      <c r="E1286" s="13">
        <v>4574157</v>
      </c>
      <c r="F1286" s="13" t="s">
        <v>1279</v>
      </c>
      <c r="G1286" s="18">
        <f t="shared" si="26"/>
        <v>-8.5663895187704231E-3</v>
      </c>
    </row>
    <row r="1287" spans="1:7">
      <c r="A1287" s="13">
        <v>39.64</v>
      </c>
      <c r="B1287" s="13">
        <v>39.74</v>
      </c>
      <c r="C1287" s="13">
        <v>39.11</v>
      </c>
      <c r="D1287" s="13">
        <v>39.32</v>
      </c>
      <c r="E1287" s="13">
        <v>8218242</v>
      </c>
      <c r="F1287" s="13" t="s">
        <v>1278</v>
      </c>
      <c r="G1287" s="18">
        <f t="shared" si="26"/>
        <v>8.1383519837232576E-3</v>
      </c>
    </row>
    <row r="1288" spans="1:7">
      <c r="A1288" s="13">
        <v>38.94</v>
      </c>
      <c r="B1288" s="13">
        <v>38.97</v>
      </c>
      <c r="C1288" s="13">
        <v>38.414999999999999</v>
      </c>
      <c r="D1288" s="13">
        <v>38.6</v>
      </c>
      <c r="E1288" s="13">
        <v>7824942</v>
      </c>
      <c r="F1288" s="13" t="s">
        <v>1277</v>
      </c>
      <c r="G1288" s="18">
        <f t="shared" si="26"/>
        <v>8.8082901554402682E-3</v>
      </c>
    </row>
    <row r="1289" spans="1:7">
      <c r="A1289" s="13">
        <v>38.43</v>
      </c>
      <c r="B1289" s="13">
        <v>38.72</v>
      </c>
      <c r="C1289" s="13">
        <v>37.945</v>
      </c>
      <c r="D1289" s="13">
        <v>38.71</v>
      </c>
      <c r="E1289" s="13">
        <v>8239718</v>
      </c>
      <c r="F1289" s="13" t="s">
        <v>1276</v>
      </c>
      <c r="G1289" s="18">
        <f t="shared" si="26"/>
        <v>-7.2332730560579206E-3</v>
      </c>
    </row>
    <row r="1290" spans="1:7">
      <c r="A1290" s="13">
        <v>38.86</v>
      </c>
      <c r="B1290" s="13">
        <v>39.32</v>
      </c>
      <c r="C1290" s="13">
        <v>38.81</v>
      </c>
      <c r="D1290" s="13">
        <v>39</v>
      </c>
      <c r="E1290" s="13">
        <v>4661197</v>
      </c>
      <c r="F1290" s="13" t="s">
        <v>1275</v>
      </c>
      <c r="G1290" s="18">
        <f t="shared" si="26"/>
        <v>-3.5897435897436214E-3</v>
      </c>
    </row>
    <row r="1291" spans="1:7">
      <c r="A1291" s="13">
        <v>39.35</v>
      </c>
      <c r="B1291" s="13">
        <v>39.74</v>
      </c>
      <c r="C1291" s="13">
        <v>39.26</v>
      </c>
      <c r="D1291" s="13">
        <v>39.409999999999997</v>
      </c>
      <c r="E1291" s="13">
        <v>5697756</v>
      </c>
      <c r="F1291" s="13" t="s">
        <v>1274</v>
      </c>
      <c r="G1291" s="18">
        <f t="shared" si="26"/>
        <v>-1.5224562293832955E-3</v>
      </c>
    </row>
    <row r="1292" spans="1:7">
      <c r="A1292" s="13">
        <v>39.33</v>
      </c>
      <c r="B1292" s="13">
        <v>39.6</v>
      </c>
      <c r="C1292" s="13">
        <v>39.145000000000003</v>
      </c>
      <c r="D1292" s="13">
        <v>39.5</v>
      </c>
      <c r="E1292" s="13">
        <v>5267281</v>
      </c>
      <c r="F1292" s="13" t="s">
        <v>1273</v>
      </c>
      <c r="G1292" s="18">
        <f t="shared" si="26"/>
        <v>-4.3037974683545199E-3</v>
      </c>
    </row>
    <row r="1293" spans="1:7">
      <c r="A1293" s="13">
        <v>39.35</v>
      </c>
      <c r="B1293" s="13">
        <v>39.75</v>
      </c>
      <c r="C1293" s="13">
        <v>39.119999999999997</v>
      </c>
      <c r="D1293" s="13">
        <v>39.119999999999997</v>
      </c>
      <c r="E1293" s="13">
        <v>4785939</v>
      </c>
      <c r="F1293" s="13" t="s">
        <v>1272</v>
      </c>
      <c r="G1293" s="18">
        <f t="shared" si="26"/>
        <v>5.8793456032721902E-3</v>
      </c>
    </row>
    <row r="1294" spans="1:7">
      <c r="A1294" s="13">
        <v>39.159999999999997</v>
      </c>
      <c r="B1294" s="13">
        <v>39.51</v>
      </c>
      <c r="C1294" s="13">
        <v>38.945</v>
      </c>
      <c r="D1294" s="13">
        <v>39.369999999999997</v>
      </c>
      <c r="E1294" s="13">
        <v>5708891</v>
      </c>
      <c r="F1294" s="13" t="s">
        <v>1271</v>
      </c>
      <c r="G1294" s="18">
        <f t="shared" si="26"/>
        <v>-5.3340106680213051E-3</v>
      </c>
    </row>
    <row r="1295" spans="1:7">
      <c r="A1295" s="13">
        <v>39.75</v>
      </c>
      <c r="B1295" s="13">
        <v>39.924999999999997</v>
      </c>
      <c r="C1295" s="13">
        <v>39.32</v>
      </c>
      <c r="D1295" s="13">
        <v>39.74</v>
      </c>
      <c r="E1295" s="13">
        <v>4636596</v>
      </c>
      <c r="F1295" s="13" t="s">
        <v>1270</v>
      </c>
      <c r="G1295" s="18">
        <f t="shared" si="26"/>
        <v>2.5163563160535141E-4</v>
      </c>
    </row>
    <row r="1296" spans="1:7">
      <c r="A1296" s="13">
        <v>39.96</v>
      </c>
      <c r="B1296" s="13">
        <v>40.229999999999997</v>
      </c>
      <c r="C1296" s="13">
        <v>39.36</v>
      </c>
      <c r="D1296" s="13">
        <v>39.46</v>
      </c>
      <c r="E1296" s="13">
        <v>6500068</v>
      </c>
      <c r="F1296" s="13" t="s">
        <v>1269</v>
      </c>
      <c r="G1296" s="18">
        <f t="shared" si="26"/>
        <v>1.2671059300557452E-2</v>
      </c>
    </row>
    <row r="1297" spans="1:7">
      <c r="A1297" s="13">
        <v>39.31</v>
      </c>
      <c r="B1297" s="13">
        <v>39.869999999999997</v>
      </c>
      <c r="C1297" s="13">
        <v>39.244999999999997</v>
      </c>
      <c r="D1297" s="13">
        <v>39.46</v>
      </c>
      <c r="E1297" s="13">
        <v>7955080</v>
      </c>
      <c r="F1297" s="13" t="s">
        <v>1268</v>
      </c>
      <c r="G1297" s="18">
        <f t="shared" si="26"/>
        <v>-3.8013177901672357E-3</v>
      </c>
    </row>
    <row r="1298" spans="1:7">
      <c r="A1298" s="13">
        <v>38.979999999999997</v>
      </c>
      <c r="B1298" s="13">
        <v>39.15</v>
      </c>
      <c r="C1298" s="13">
        <v>38.78</v>
      </c>
      <c r="D1298" s="13">
        <v>38.99</v>
      </c>
      <c r="E1298" s="13">
        <v>4329159</v>
      </c>
      <c r="F1298" s="13" t="s">
        <v>1267</v>
      </c>
      <c r="G1298" s="18">
        <f t="shared" si="26"/>
        <v>-2.5647601949230214E-4</v>
      </c>
    </row>
    <row r="1299" spans="1:7">
      <c r="A1299" s="13">
        <v>38.97</v>
      </c>
      <c r="B1299" s="13">
        <v>38.99</v>
      </c>
      <c r="C1299" s="13">
        <v>37.630000000000003</v>
      </c>
      <c r="D1299" s="13">
        <v>37.770000000000003</v>
      </c>
      <c r="E1299" s="13">
        <v>8645594</v>
      </c>
      <c r="F1299" s="13" t="s">
        <v>1266</v>
      </c>
      <c r="G1299" s="18">
        <f t="shared" si="26"/>
        <v>3.1771247021445514E-2</v>
      </c>
    </row>
    <row r="1300" spans="1:7">
      <c r="A1300" s="13">
        <v>37.89</v>
      </c>
      <c r="B1300" s="13">
        <v>37.94</v>
      </c>
      <c r="C1300" s="13">
        <v>37.35</v>
      </c>
      <c r="D1300" s="13">
        <v>37.72</v>
      </c>
      <c r="E1300" s="13">
        <v>4367828</v>
      </c>
      <c r="F1300" s="13" t="s">
        <v>1265</v>
      </c>
      <c r="G1300" s="18">
        <f t="shared" si="26"/>
        <v>4.5068928950160458E-3</v>
      </c>
    </row>
    <row r="1301" spans="1:7">
      <c r="A1301" s="13">
        <v>37.729999999999997</v>
      </c>
      <c r="B1301" s="13">
        <v>38.020000000000003</v>
      </c>
      <c r="C1301" s="13">
        <v>37.17</v>
      </c>
      <c r="D1301" s="13">
        <v>37.299999999999997</v>
      </c>
      <c r="E1301" s="13">
        <v>6480622</v>
      </c>
      <c r="F1301" s="13" t="s">
        <v>1264</v>
      </c>
      <c r="G1301" s="18">
        <f t="shared" si="26"/>
        <v>1.1528150134048287E-2</v>
      </c>
    </row>
    <row r="1302" spans="1:7">
      <c r="A1302" s="13">
        <v>37.15</v>
      </c>
      <c r="B1302" s="13">
        <v>37.99</v>
      </c>
      <c r="C1302" s="13">
        <v>37.08</v>
      </c>
      <c r="D1302" s="13">
        <v>37.78</v>
      </c>
      <c r="E1302" s="13">
        <v>7749603</v>
      </c>
      <c r="F1302" s="13" t="s">
        <v>1263</v>
      </c>
      <c r="G1302" s="18">
        <f t="shared" si="26"/>
        <v>-1.6675489677077882E-2</v>
      </c>
    </row>
    <row r="1303" spans="1:7">
      <c r="A1303" s="13">
        <v>38</v>
      </c>
      <c r="B1303" s="13">
        <v>38.880000000000003</v>
      </c>
      <c r="C1303" s="13">
        <v>37.984999999999999</v>
      </c>
      <c r="D1303" s="13">
        <v>38.69</v>
      </c>
      <c r="E1303" s="13">
        <v>6145807</v>
      </c>
      <c r="F1303" s="13" t="s">
        <v>1262</v>
      </c>
      <c r="G1303" s="18">
        <f t="shared" si="26"/>
        <v>-1.7834065650038755E-2</v>
      </c>
    </row>
    <row r="1304" spans="1:7">
      <c r="A1304" s="13">
        <v>38.57</v>
      </c>
      <c r="B1304" s="13">
        <v>38.9</v>
      </c>
      <c r="C1304" s="13">
        <v>37.950000000000003</v>
      </c>
      <c r="D1304" s="13">
        <v>38.840000000000003</v>
      </c>
      <c r="E1304" s="13">
        <v>7060358</v>
      </c>
      <c r="F1304" s="13" t="s">
        <v>1261</v>
      </c>
      <c r="G1304" s="18">
        <f t="shared" si="26"/>
        <v>-6.9515962924820984E-3</v>
      </c>
    </row>
    <row r="1305" spans="1:7">
      <c r="A1305" s="13">
        <v>38.94</v>
      </c>
      <c r="B1305" s="13">
        <v>39.33</v>
      </c>
      <c r="C1305" s="13">
        <v>38.380000000000003</v>
      </c>
      <c r="D1305" s="13">
        <v>39.159999999999997</v>
      </c>
      <c r="E1305" s="13">
        <v>7300795</v>
      </c>
      <c r="F1305" s="13" t="s">
        <v>1260</v>
      </c>
      <c r="G1305" s="18">
        <f t="shared" si="26"/>
        <v>-5.6179775280899014E-3</v>
      </c>
    </row>
    <row r="1306" spans="1:7">
      <c r="A1306" s="13">
        <v>39.81</v>
      </c>
      <c r="B1306" s="13">
        <v>40.5</v>
      </c>
      <c r="C1306" s="13">
        <v>39.15</v>
      </c>
      <c r="D1306" s="13">
        <v>40</v>
      </c>
      <c r="E1306" s="13">
        <v>15966338</v>
      </c>
      <c r="F1306" s="13" t="s">
        <v>1259</v>
      </c>
      <c r="G1306" s="18">
        <f t="shared" si="26"/>
        <v>-4.749999999999921E-3</v>
      </c>
    </row>
    <row r="1307" spans="1:7">
      <c r="A1307" s="13">
        <v>38.270000000000003</v>
      </c>
      <c r="B1307" s="13">
        <v>38.68</v>
      </c>
      <c r="C1307" s="13">
        <v>37.954999999999998</v>
      </c>
      <c r="D1307" s="13">
        <v>38.229999999999997</v>
      </c>
      <c r="E1307" s="13">
        <v>8617621</v>
      </c>
      <c r="F1307" s="13" t="s">
        <v>1258</v>
      </c>
      <c r="G1307" s="18">
        <f t="shared" si="26"/>
        <v>1.0462987182842109E-3</v>
      </c>
    </row>
    <row r="1308" spans="1:7">
      <c r="A1308" s="13">
        <v>38.35</v>
      </c>
      <c r="B1308" s="13">
        <v>38.68</v>
      </c>
      <c r="C1308" s="13">
        <v>38.159999999999997</v>
      </c>
      <c r="D1308" s="13">
        <v>38.61</v>
      </c>
      <c r="E1308" s="13">
        <v>9552698</v>
      </c>
      <c r="F1308" s="13" t="s">
        <v>1257</v>
      </c>
      <c r="G1308" s="18">
        <f t="shared" si="26"/>
        <v>-6.7340067340067034E-3</v>
      </c>
    </row>
    <row r="1309" spans="1:7">
      <c r="A1309" s="13">
        <v>38.6</v>
      </c>
      <c r="B1309" s="13">
        <v>38.655000000000001</v>
      </c>
      <c r="C1309" s="13">
        <v>38.11</v>
      </c>
      <c r="D1309" s="13">
        <v>38.53</v>
      </c>
      <c r="E1309" s="13">
        <v>6673635</v>
      </c>
      <c r="F1309" s="13" t="s">
        <v>1256</v>
      </c>
      <c r="G1309" s="18">
        <f t="shared" si="26"/>
        <v>1.8167661562418225E-3</v>
      </c>
    </row>
    <row r="1310" spans="1:7">
      <c r="A1310" s="13">
        <v>38.43</v>
      </c>
      <c r="B1310" s="13">
        <v>38.82</v>
      </c>
      <c r="C1310" s="13">
        <v>38.14</v>
      </c>
      <c r="D1310" s="13">
        <v>38.29</v>
      </c>
      <c r="E1310" s="13">
        <v>6623857</v>
      </c>
      <c r="F1310" s="13" t="s">
        <v>1255</v>
      </c>
      <c r="G1310" s="18">
        <f t="shared" si="26"/>
        <v>3.6563071297988081E-3</v>
      </c>
    </row>
    <row r="1311" spans="1:7">
      <c r="A1311" s="13">
        <v>38.39</v>
      </c>
      <c r="B1311" s="13">
        <v>38.76</v>
      </c>
      <c r="C1311" s="13">
        <v>37.51</v>
      </c>
      <c r="D1311" s="13">
        <v>37.57</v>
      </c>
      <c r="E1311" s="13">
        <v>7846173</v>
      </c>
      <c r="F1311" s="13" t="s">
        <v>1254</v>
      </c>
      <c r="G1311" s="18">
        <f t="shared" si="26"/>
        <v>2.1825924940111818E-2</v>
      </c>
    </row>
    <row r="1312" spans="1:7">
      <c r="A1312" s="13">
        <v>37.479999999999997</v>
      </c>
      <c r="B1312" s="13">
        <v>37.854999999999997</v>
      </c>
      <c r="C1312" s="13">
        <v>37.17</v>
      </c>
      <c r="D1312" s="13">
        <v>37.26</v>
      </c>
      <c r="E1312" s="13">
        <v>5778440</v>
      </c>
      <c r="F1312" s="13" t="s">
        <v>1253</v>
      </c>
      <c r="G1312" s="18">
        <f t="shared" si="26"/>
        <v>5.9044551798175249E-3</v>
      </c>
    </row>
    <row r="1313" spans="1:7">
      <c r="A1313" s="13">
        <v>37.17</v>
      </c>
      <c r="B1313" s="13">
        <v>37.895000000000003</v>
      </c>
      <c r="C1313" s="13">
        <v>36.795000000000002</v>
      </c>
      <c r="D1313" s="13">
        <v>37.57</v>
      </c>
      <c r="E1313" s="13">
        <v>8015335</v>
      </c>
      <c r="F1313" s="13" t="s">
        <v>1252</v>
      </c>
      <c r="G1313" s="18">
        <f t="shared" si="26"/>
        <v>-1.0646792653713044E-2</v>
      </c>
    </row>
    <row r="1314" spans="1:7">
      <c r="A1314" s="13">
        <v>37.71</v>
      </c>
      <c r="B1314" s="13">
        <v>37.92</v>
      </c>
      <c r="C1314" s="13">
        <v>36.28</v>
      </c>
      <c r="D1314" s="13">
        <v>36.5</v>
      </c>
      <c r="E1314" s="13">
        <v>8714208</v>
      </c>
      <c r="F1314" s="13" t="s">
        <v>1251</v>
      </c>
      <c r="G1314" s="18">
        <f t="shared" si="26"/>
        <v>3.3150684931506857E-2</v>
      </c>
    </row>
    <row r="1315" spans="1:7">
      <c r="A1315" s="13">
        <v>36.369999999999997</v>
      </c>
      <c r="B1315" s="13">
        <v>37.048299999999998</v>
      </c>
      <c r="C1315" s="13">
        <v>36.19</v>
      </c>
      <c r="D1315" s="13">
        <v>36.869999999999997</v>
      </c>
      <c r="E1315" s="13">
        <v>9383255</v>
      </c>
      <c r="F1315" s="13" t="s">
        <v>1250</v>
      </c>
      <c r="G1315" s="18">
        <f t="shared" si="26"/>
        <v>-1.3561160835367514E-2</v>
      </c>
    </row>
    <row r="1316" spans="1:7">
      <c r="A1316" s="13">
        <v>36.700000000000003</v>
      </c>
      <c r="B1316" s="13">
        <v>36.840000000000003</v>
      </c>
      <c r="C1316" s="13">
        <v>35.86</v>
      </c>
      <c r="D1316" s="13">
        <v>35.94</v>
      </c>
      <c r="E1316" s="13">
        <v>9442598</v>
      </c>
      <c r="F1316" s="13" t="s">
        <v>1249</v>
      </c>
      <c r="G1316" s="18">
        <f t="shared" si="26"/>
        <v>2.114635503617146E-2</v>
      </c>
    </row>
    <row r="1317" spans="1:7">
      <c r="A1317" s="13">
        <v>35.22</v>
      </c>
      <c r="B1317" s="13">
        <v>35.270000000000003</v>
      </c>
      <c r="C1317" s="13">
        <v>34.24</v>
      </c>
      <c r="D1317" s="13">
        <v>34.380000000000003</v>
      </c>
      <c r="E1317" s="13">
        <v>10133236</v>
      </c>
      <c r="F1317" s="13" t="s">
        <v>1248</v>
      </c>
      <c r="G1317" s="18">
        <f t="shared" si="26"/>
        <v>2.4432809773123898E-2</v>
      </c>
    </row>
    <row r="1318" spans="1:7">
      <c r="A1318" s="13">
        <v>34.44</v>
      </c>
      <c r="B1318" s="13">
        <v>35.24</v>
      </c>
      <c r="C1318" s="13">
        <v>34.270000000000003</v>
      </c>
      <c r="D1318" s="13">
        <v>35.090000000000003</v>
      </c>
      <c r="E1318" s="13">
        <v>10120924</v>
      </c>
      <c r="F1318" s="13" t="s">
        <v>1247</v>
      </c>
      <c r="G1318" s="18">
        <f t="shared" si="26"/>
        <v>-1.8523795953263145E-2</v>
      </c>
    </row>
    <row r="1319" spans="1:7">
      <c r="A1319" s="13">
        <v>34.68</v>
      </c>
      <c r="B1319" s="13">
        <v>34.75</v>
      </c>
      <c r="C1319" s="13">
        <v>34.28</v>
      </c>
      <c r="D1319" s="13">
        <v>34.43</v>
      </c>
      <c r="E1319" s="13">
        <v>9757294</v>
      </c>
      <c r="F1319" s="13" t="s">
        <v>1246</v>
      </c>
      <c r="G1319" s="18">
        <f t="shared" si="26"/>
        <v>7.2611094975312263E-3</v>
      </c>
    </row>
    <row r="1320" spans="1:7">
      <c r="A1320" s="13">
        <v>34.5</v>
      </c>
      <c r="B1320" s="13">
        <v>34.75</v>
      </c>
      <c r="C1320" s="13">
        <v>33.770000000000003</v>
      </c>
      <c r="D1320" s="13">
        <v>34.57</v>
      </c>
      <c r="E1320" s="13">
        <v>12329302</v>
      </c>
      <c r="F1320" s="13" t="s">
        <v>1245</v>
      </c>
      <c r="G1320" s="18">
        <f t="shared" si="26"/>
        <v>-2.0248770610356015E-3</v>
      </c>
    </row>
    <row r="1321" spans="1:7">
      <c r="A1321" s="13">
        <v>34.549999999999997</v>
      </c>
      <c r="B1321" s="13">
        <v>34.729999999999997</v>
      </c>
      <c r="C1321" s="13">
        <v>34.195</v>
      </c>
      <c r="D1321" s="13">
        <v>34.67</v>
      </c>
      <c r="E1321" s="13">
        <v>13840448</v>
      </c>
      <c r="F1321" s="13" t="s">
        <v>1244</v>
      </c>
      <c r="G1321" s="18">
        <f t="shared" si="26"/>
        <v>-3.4612056533026569E-3</v>
      </c>
    </row>
    <row r="1322" spans="1:7">
      <c r="A1322" s="13">
        <v>34.64</v>
      </c>
      <c r="B1322" s="13">
        <v>35.520000000000003</v>
      </c>
      <c r="C1322" s="13">
        <v>34.58</v>
      </c>
      <c r="D1322" s="13">
        <v>35.229999999999997</v>
      </c>
      <c r="E1322" s="13">
        <v>9826355</v>
      </c>
      <c r="F1322" s="13" t="s">
        <v>1243</v>
      </c>
      <c r="G1322" s="18">
        <f t="shared" si="26"/>
        <v>-1.6747090547828414E-2</v>
      </c>
    </row>
    <row r="1323" spans="1:7">
      <c r="A1323" s="13">
        <v>35.590000000000003</v>
      </c>
      <c r="B1323" s="13">
        <v>35.96</v>
      </c>
      <c r="C1323" s="13">
        <v>35.340000000000003</v>
      </c>
      <c r="D1323" s="13">
        <v>35.869999999999997</v>
      </c>
      <c r="E1323" s="13">
        <v>6481569</v>
      </c>
      <c r="F1323" s="13" t="s">
        <v>1242</v>
      </c>
      <c r="G1323" s="18">
        <f t="shared" si="26"/>
        <v>-7.8059659882908639E-3</v>
      </c>
    </row>
    <row r="1324" spans="1:7">
      <c r="A1324" s="13">
        <v>35.380000000000003</v>
      </c>
      <c r="B1324" s="13">
        <v>36.049999999999997</v>
      </c>
      <c r="C1324" s="13">
        <v>35.284999999999997</v>
      </c>
      <c r="D1324" s="13">
        <v>35.65</v>
      </c>
      <c r="E1324" s="13">
        <v>4738385</v>
      </c>
      <c r="F1324" s="13" t="s">
        <v>1241</v>
      </c>
      <c r="G1324" s="18">
        <f t="shared" si="26"/>
        <v>-7.5736325385693526E-3</v>
      </c>
    </row>
    <row r="1325" spans="1:7">
      <c r="A1325" s="13">
        <v>35.28</v>
      </c>
      <c r="B1325" s="13">
        <v>35.524999999999999</v>
      </c>
      <c r="C1325" s="13">
        <v>34.755000000000003</v>
      </c>
      <c r="D1325" s="13">
        <v>35.17</v>
      </c>
      <c r="E1325" s="13">
        <v>7642651</v>
      </c>
      <c r="F1325" s="13" t="s">
        <v>1240</v>
      </c>
      <c r="G1325" s="18">
        <f t="shared" si="26"/>
        <v>3.1276656241114864E-3</v>
      </c>
    </row>
    <row r="1326" spans="1:7">
      <c r="A1326" s="13">
        <v>35.11</v>
      </c>
      <c r="B1326" s="13">
        <v>35.31</v>
      </c>
      <c r="C1326" s="13">
        <v>34.229999999999997</v>
      </c>
      <c r="D1326" s="13">
        <v>34.61</v>
      </c>
      <c r="E1326" s="13">
        <v>12027284</v>
      </c>
      <c r="F1326" s="13" t="s">
        <v>1239</v>
      </c>
      <c r="G1326" s="18">
        <f t="shared" si="26"/>
        <v>1.4446691707598935E-2</v>
      </c>
    </row>
    <row r="1327" spans="1:7">
      <c r="A1327" s="13">
        <v>34.65</v>
      </c>
      <c r="B1327" s="13">
        <v>34.65</v>
      </c>
      <c r="C1327" s="13">
        <v>33</v>
      </c>
      <c r="D1327" s="13">
        <v>33.56</v>
      </c>
      <c r="E1327" s="13">
        <v>13311015</v>
      </c>
      <c r="F1327" s="13" t="s">
        <v>1238</v>
      </c>
      <c r="G1327" s="18">
        <f t="shared" si="26"/>
        <v>3.2479141835518366E-2</v>
      </c>
    </row>
    <row r="1328" spans="1:7">
      <c r="A1328" s="13">
        <v>33.28</v>
      </c>
      <c r="B1328" s="13">
        <v>33.909999999999997</v>
      </c>
      <c r="C1328" s="13">
        <v>33.090000000000003</v>
      </c>
      <c r="D1328" s="13">
        <v>33.770000000000003</v>
      </c>
      <c r="E1328" s="13">
        <v>35516096</v>
      </c>
      <c r="F1328" s="13" t="s">
        <v>1237</v>
      </c>
      <c r="G1328" s="18">
        <f t="shared" si="26"/>
        <v>-1.4509920047379388E-2</v>
      </c>
    </row>
    <row r="1329" spans="1:7">
      <c r="A1329" s="13">
        <v>33.89</v>
      </c>
      <c r="B1329" s="13">
        <v>33.99</v>
      </c>
      <c r="C1329" s="13">
        <v>33.134999999999998</v>
      </c>
      <c r="D1329" s="13">
        <v>33.72</v>
      </c>
      <c r="E1329" s="13">
        <v>12503333</v>
      </c>
      <c r="F1329" s="13" t="s">
        <v>1236</v>
      </c>
      <c r="G1329" s="18">
        <f t="shared" si="26"/>
        <v>5.0415183867140723E-3</v>
      </c>
    </row>
    <row r="1330" spans="1:7">
      <c r="A1330" s="13">
        <v>33.85</v>
      </c>
      <c r="B1330" s="13">
        <v>35.97</v>
      </c>
      <c r="C1330" s="13">
        <v>33.32</v>
      </c>
      <c r="D1330" s="13">
        <v>35.97</v>
      </c>
      <c r="E1330" s="13">
        <v>21114908</v>
      </c>
      <c r="F1330" s="13" t="s">
        <v>1235</v>
      </c>
      <c r="G1330" s="18">
        <f t="shared" ref="G1330:G1393" si="27">A1330/D1330-1</f>
        <v>-5.8938003892132218E-2</v>
      </c>
    </row>
    <row r="1331" spans="1:7">
      <c r="A1331" s="13">
        <v>36.25</v>
      </c>
      <c r="B1331" s="13">
        <v>36.700000000000003</v>
      </c>
      <c r="C1331" s="13">
        <v>36.200000000000003</v>
      </c>
      <c r="D1331" s="13">
        <v>36.31</v>
      </c>
      <c r="E1331" s="13">
        <v>7283204</v>
      </c>
      <c r="F1331" s="13" t="s">
        <v>1234</v>
      </c>
      <c r="G1331" s="18">
        <f t="shared" si="27"/>
        <v>-1.6524373450840235E-3</v>
      </c>
    </row>
    <row r="1332" spans="1:7">
      <c r="A1332" s="13">
        <v>35.97</v>
      </c>
      <c r="B1332" s="13">
        <v>36.53</v>
      </c>
      <c r="C1332" s="13">
        <v>35.585000000000001</v>
      </c>
      <c r="D1332" s="13">
        <v>36.44</v>
      </c>
      <c r="E1332" s="13">
        <v>9613285</v>
      </c>
      <c r="F1332" s="13" t="s">
        <v>1233</v>
      </c>
      <c r="G1332" s="18">
        <f t="shared" si="27"/>
        <v>-1.2897914379802367E-2</v>
      </c>
    </row>
    <row r="1333" spans="1:7">
      <c r="A1333" s="13">
        <v>36.590000000000003</v>
      </c>
      <c r="B1333" s="13">
        <v>37.35</v>
      </c>
      <c r="C1333" s="13">
        <v>36.479999999999997</v>
      </c>
      <c r="D1333" s="13">
        <v>37.32</v>
      </c>
      <c r="E1333" s="13">
        <v>20382282</v>
      </c>
      <c r="F1333" s="13" t="s">
        <v>1232</v>
      </c>
      <c r="G1333" s="18">
        <f t="shared" si="27"/>
        <v>-1.9560557341907758E-2</v>
      </c>
    </row>
    <row r="1334" spans="1:7">
      <c r="A1334" s="13">
        <v>36.68</v>
      </c>
      <c r="B1334" s="13">
        <v>36.92</v>
      </c>
      <c r="C1334" s="13">
        <v>36.397500000000001</v>
      </c>
      <c r="D1334" s="13">
        <v>36.65</v>
      </c>
      <c r="E1334" s="13">
        <v>6465492</v>
      </c>
      <c r="F1334" s="13" t="s">
        <v>1231</v>
      </c>
      <c r="G1334" s="18">
        <f t="shared" si="27"/>
        <v>8.185538881309018E-4</v>
      </c>
    </row>
    <row r="1335" spans="1:7">
      <c r="A1335" s="13">
        <v>36.89</v>
      </c>
      <c r="B1335" s="13">
        <v>37.21</v>
      </c>
      <c r="C1335" s="13">
        <v>36.44</v>
      </c>
      <c r="D1335" s="13">
        <v>36.68</v>
      </c>
      <c r="E1335" s="13">
        <v>7938748</v>
      </c>
      <c r="F1335" s="13" t="s">
        <v>1230</v>
      </c>
      <c r="G1335" s="18">
        <f t="shared" si="27"/>
        <v>5.7251908396946938E-3</v>
      </c>
    </row>
    <row r="1336" spans="1:7">
      <c r="A1336" s="13">
        <v>36.700000000000003</v>
      </c>
      <c r="B1336" s="13">
        <v>37.44</v>
      </c>
      <c r="C1336" s="13">
        <v>36.43</v>
      </c>
      <c r="D1336" s="13">
        <v>37.07</v>
      </c>
      <c r="E1336" s="13">
        <v>11106063</v>
      </c>
      <c r="F1336" s="13" t="s">
        <v>1229</v>
      </c>
      <c r="G1336" s="18">
        <f t="shared" si="27"/>
        <v>-9.9811168060425226E-3</v>
      </c>
    </row>
    <row r="1337" spans="1:7">
      <c r="A1337" s="13">
        <v>35.869999999999997</v>
      </c>
      <c r="B1337" s="13">
        <v>36.14</v>
      </c>
      <c r="C1337" s="13">
        <v>34.1</v>
      </c>
      <c r="D1337" s="13">
        <v>34.700000000000003</v>
      </c>
      <c r="E1337" s="13">
        <v>11279724</v>
      </c>
      <c r="F1337" s="13" t="s">
        <v>1228</v>
      </c>
      <c r="G1337" s="18">
        <f t="shared" si="27"/>
        <v>3.3717579250720275E-2</v>
      </c>
    </row>
    <row r="1338" spans="1:7">
      <c r="A1338" s="13">
        <v>35.35</v>
      </c>
      <c r="B1338" s="13">
        <v>36.395000000000003</v>
      </c>
      <c r="C1338" s="13">
        <v>34.659999999999997</v>
      </c>
      <c r="D1338" s="13">
        <v>35.950000000000003</v>
      </c>
      <c r="E1338" s="13">
        <v>13770777</v>
      </c>
      <c r="F1338" s="13" t="s">
        <v>1227</v>
      </c>
      <c r="G1338" s="18">
        <f t="shared" si="27"/>
        <v>-1.6689847009735748E-2</v>
      </c>
    </row>
    <row r="1339" spans="1:7">
      <c r="A1339" s="13">
        <v>35.049999999999997</v>
      </c>
      <c r="B1339" s="13">
        <v>36.700000000000003</v>
      </c>
      <c r="C1339" s="13">
        <v>34.69</v>
      </c>
      <c r="D1339" s="13">
        <v>36.44</v>
      </c>
      <c r="E1339" s="13">
        <v>16345552</v>
      </c>
      <c r="F1339" s="13" t="s">
        <v>1226</v>
      </c>
      <c r="G1339" s="18">
        <f t="shared" si="27"/>
        <v>-3.8144895718990157E-2</v>
      </c>
    </row>
    <row r="1340" spans="1:7">
      <c r="A1340" s="13">
        <v>37.49</v>
      </c>
      <c r="B1340" s="13">
        <v>38.36</v>
      </c>
      <c r="C1340" s="13">
        <v>36.984999999999999</v>
      </c>
      <c r="D1340" s="13">
        <v>38.36</v>
      </c>
      <c r="E1340" s="13">
        <v>10655133</v>
      </c>
      <c r="F1340" s="13" t="s">
        <v>1225</v>
      </c>
      <c r="G1340" s="18">
        <f t="shared" si="27"/>
        <v>-2.2679874869655836E-2</v>
      </c>
    </row>
    <row r="1341" spans="1:7">
      <c r="A1341" s="13">
        <v>38.26</v>
      </c>
      <c r="B1341" s="13">
        <v>38.86</v>
      </c>
      <c r="C1341" s="13">
        <v>38.130000000000003</v>
      </c>
      <c r="D1341" s="13">
        <v>38.86</v>
      </c>
      <c r="E1341" s="13">
        <v>11969649</v>
      </c>
      <c r="F1341" s="13" t="s">
        <v>1224</v>
      </c>
      <c r="G1341" s="18">
        <f t="shared" si="27"/>
        <v>-1.544004117344322E-2</v>
      </c>
    </row>
    <row r="1342" spans="1:7">
      <c r="A1342" s="13">
        <v>39.11</v>
      </c>
      <c r="B1342" s="13">
        <v>39.299999999999997</v>
      </c>
      <c r="C1342" s="13">
        <v>38.67</v>
      </c>
      <c r="D1342" s="13">
        <v>38.68</v>
      </c>
      <c r="E1342" s="13">
        <v>8499750</v>
      </c>
      <c r="F1342" s="13" t="s">
        <v>1223</v>
      </c>
      <c r="G1342" s="18">
        <f t="shared" si="27"/>
        <v>1.1116856256463192E-2</v>
      </c>
    </row>
    <row r="1343" spans="1:7">
      <c r="A1343" s="13">
        <v>38.83</v>
      </c>
      <c r="B1343" s="13">
        <v>39.33</v>
      </c>
      <c r="C1343" s="13">
        <v>38</v>
      </c>
      <c r="D1343" s="13">
        <v>38.15</v>
      </c>
      <c r="E1343" s="13">
        <v>12623039</v>
      </c>
      <c r="F1343" s="13" t="s">
        <v>1222</v>
      </c>
      <c r="G1343" s="18">
        <f t="shared" si="27"/>
        <v>1.782437745740495E-2</v>
      </c>
    </row>
    <row r="1344" spans="1:7">
      <c r="A1344" s="13">
        <v>37.42</v>
      </c>
      <c r="B1344" s="13">
        <v>37.840000000000003</v>
      </c>
      <c r="C1344" s="13">
        <v>37.229999999999997</v>
      </c>
      <c r="D1344" s="13">
        <v>37.840000000000003</v>
      </c>
      <c r="E1344" s="13">
        <v>6797036</v>
      </c>
      <c r="F1344" s="13" t="s">
        <v>1221</v>
      </c>
      <c r="G1344" s="18">
        <f t="shared" si="27"/>
        <v>-1.1099365750528611E-2</v>
      </c>
    </row>
    <row r="1345" spans="1:7">
      <c r="A1345" s="13">
        <v>37.909999999999997</v>
      </c>
      <c r="B1345" s="13">
        <v>38.03</v>
      </c>
      <c r="C1345" s="13">
        <v>37.234999999999999</v>
      </c>
      <c r="D1345" s="13">
        <v>37.75</v>
      </c>
      <c r="E1345" s="13">
        <v>12472102</v>
      </c>
      <c r="F1345" s="13" t="s">
        <v>1220</v>
      </c>
      <c r="G1345" s="18">
        <f t="shared" si="27"/>
        <v>4.2384105960264762E-3</v>
      </c>
    </row>
    <row r="1346" spans="1:7">
      <c r="A1346" s="13">
        <v>37.54</v>
      </c>
      <c r="B1346" s="13">
        <v>37.93</v>
      </c>
      <c r="C1346" s="13">
        <v>37.46</v>
      </c>
      <c r="D1346" s="13">
        <v>37.619999999999997</v>
      </c>
      <c r="E1346" s="13">
        <v>10371243</v>
      </c>
      <c r="F1346" s="13" t="s">
        <v>1219</v>
      </c>
      <c r="G1346" s="18">
        <f t="shared" si="27"/>
        <v>-2.1265284423178654E-3</v>
      </c>
    </row>
    <row r="1347" spans="1:7">
      <c r="A1347" s="13">
        <v>37.5</v>
      </c>
      <c r="B1347" s="13">
        <v>38.18</v>
      </c>
      <c r="C1347" s="13">
        <v>37.42</v>
      </c>
      <c r="D1347" s="13">
        <v>37.71</v>
      </c>
      <c r="E1347" s="13">
        <v>6174670</v>
      </c>
      <c r="F1347" s="13" t="s">
        <v>1218</v>
      </c>
      <c r="G1347" s="18">
        <f t="shared" si="27"/>
        <v>-5.5688146380270531E-3</v>
      </c>
    </row>
    <row r="1348" spans="1:7">
      <c r="A1348" s="13">
        <v>37.99</v>
      </c>
      <c r="B1348" s="13">
        <v>38.04</v>
      </c>
      <c r="C1348" s="13">
        <v>36.700000000000003</v>
      </c>
      <c r="D1348" s="13">
        <v>37.68</v>
      </c>
      <c r="E1348" s="13">
        <v>10062952</v>
      </c>
      <c r="F1348" s="13" t="s">
        <v>1217</v>
      </c>
      <c r="G1348" s="18">
        <f t="shared" si="27"/>
        <v>8.22717622080682E-3</v>
      </c>
    </row>
    <row r="1349" spans="1:7">
      <c r="A1349" s="13">
        <v>37.47</v>
      </c>
      <c r="B1349" s="13">
        <v>37.99</v>
      </c>
      <c r="C1349" s="13">
        <v>37.11</v>
      </c>
      <c r="D1349" s="13">
        <v>37.450000000000003</v>
      </c>
      <c r="E1349" s="13">
        <v>8924318</v>
      </c>
      <c r="F1349" s="13" t="s">
        <v>1216</v>
      </c>
      <c r="G1349" s="18">
        <f t="shared" si="27"/>
        <v>5.3404539385826233E-4</v>
      </c>
    </row>
    <row r="1350" spans="1:7">
      <c r="A1350" s="13">
        <v>37.14</v>
      </c>
      <c r="B1350" s="13">
        <v>37.18</v>
      </c>
      <c r="C1350" s="13">
        <v>36.011699999999998</v>
      </c>
      <c r="D1350" s="13">
        <v>36.36</v>
      </c>
      <c r="E1350" s="13">
        <v>9472886</v>
      </c>
      <c r="F1350" s="13" t="s">
        <v>1215</v>
      </c>
      <c r="G1350" s="18">
        <f t="shared" si="27"/>
        <v>2.1452145214521545E-2</v>
      </c>
    </row>
    <row r="1351" spans="1:7">
      <c r="A1351" s="13">
        <v>36.19</v>
      </c>
      <c r="B1351" s="13">
        <v>37.03</v>
      </c>
      <c r="C1351" s="13">
        <v>35.86</v>
      </c>
      <c r="D1351" s="13">
        <v>37.03</v>
      </c>
      <c r="E1351" s="13">
        <v>12272250</v>
      </c>
      <c r="F1351" s="13" t="s">
        <v>1214</v>
      </c>
      <c r="G1351" s="18">
        <f t="shared" si="27"/>
        <v>-2.2684310018903697E-2</v>
      </c>
    </row>
    <row r="1352" spans="1:7">
      <c r="A1352" s="13">
        <v>35.909999999999997</v>
      </c>
      <c r="B1352" s="13">
        <v>36.32</v>
      </c>
      <c r="C1352" s="13">
        <v>35.270000000000003</v>
      </c>
      <c r="D1352" s="13">
        <v>35.57</v>
      </c>
      <c r="E1352" s="13">
        <v>28426314</v>
      </c>
      <c r="F1352" s="13" t="s">
        <v>1213</v>
      </c>
      <c r="G1352" s="18">
        <f t="shared" si="27"/>
        <v>9.558616811920162E-3</v>
      </c>
    </row>
    <row r="1353" spans="1:7">
      <c r="A1353" s="13">
        <v>34.79</v>
      </c>
      <c r="B1353" s="13">
        <v>36.130000000000003</v>
      </c>
      <c r="C1353" s="13">
        <v>34.450000000000003</v>
      </c>
      <c r="D1353" s="13">
        <v>35.520000000000003</v>
      </c>
      <c r="E1353" s="13">
        <v>24248281</v>
      </c>
      <c r="F1353" s="13" t="s">
        <v>1212</v>
      </c>
      <c r="G1353" s="18">
        <f t="shared" si="27"/>
        <v>-2.0551801801801939E-2</v>
      </c>
    </row>
    <row r="1354" spans="1:7">
      <c r="A1354" s="13">
        <v>37.18</v>
      </c>
      <c r="B1354" s="13">
        <v>37.484999999999999</v>
      </c>
      <c r="C1354" s="13">
        <v>35.770000000000003</v>
      </c>
      <c r="D1354" s="13">
        <v>35.92</v>
      </c>
      <c r="E1354" s="13">
        <v>10708534</v>
      </c>
      <c r="F1354" s="13" t="s">
        <v>1211</v>
      </c>
      <c r="G1354" s="18">
        <f t="shared" si="27"/>
        <v>3.5077951002227215E-2</v>
      </c>
    </row>
    <row r="1355" spans="1:7">
      <c r="A1355" s="13">
        <v>35.43</v>
      </c>
      <c r="B1355" s="13">
        <v>36.57</v>
      </c>
      <c r="C1355" s="13">
        <v>35.4</v>
      </c>
      <c r="D1355" s="13">
        <v>36.39</v>
      </c>
      <c r="E1355" s="13">
        <v>11366804</v>
      </c>
      <c r="F1355" s="13" t="s">
        <v>1210</v>
      </c>
      <c r="G1355" s="18">
        <f t="shared" si="27"/>
        <v>-2.638087386644683E-2</v>
      </c>
    </row>
    <row r="1356" spans="1:7">
      <c r="A1356" s="13">
        <v>36.42</v>
      </c>
      <c r="B1356" s="13">
        <v>36.869999999999997</v>
      </c>
      <c r="C1356" s="13">
        <v>35.76</v>
      </c>
      <c r="D1356" s="13">
        <v>35.76</v>
      </c>
      <c r="E1356" s="13">
        <v>13687177</v>
      </c>
      <c r="F1356" s="13" t="s">
        <v>1209</v>
      </c>
      <c r="G1356" s="18">
        <f t="shared" si="27"/>
        <v>1.8456375838926231E-2</v>
      </c>
    </row>
    <row r="1357" spans="1:7">
      <c r="A1357" s="13">
        <v>34.83</v>
      </c>
      <c r="B1357" s="13">
        <v>35.32</v>
      </c>
      <c r="C1357" s="13">
        <v>34.22</v>
      </c>
      <c r="D1357" s="13">
        <v>35.28</v>
      </c>
      <c r="E1357" s="13">
        <v>10291659</v>
      </c>
      <c r="F1357" s="13" t="s">
        <v>1208</v>
      </c>
      <c r="G1357" s="18">
        <f t="shared" si="27"/>
        <v>-1.2755102040816424E-2</v>
      </c>
    </row>
    <row r="1358" spans="1:7">
      <c r="A1358" s="13">
        <v>35.5</v>
      </c>
      <c r="B1358" s="13">
        <v>35.83</v>
      </c>
      <c r="C1358" s="13">
        <v>34.524999999999999</v>
      </c>
      <c r="D1358" s="13">
        <v>35.32</v>
      </c>
      <c r="E1358" s="13">
        <v>6564869</v>
      </c>
      <c r="F1358" s="13" t="s">
        <v>1207</v>
      </c>
      <c r="G1358" s="18">
        <f t="shared" si="27"/>
        <v>5.0962627406567762E-3</v>
      </c>
    </row>
    <row r="1359" spans="1:7">
      <c r="A1359" s="13">
        <v>35.770000000000003</v>
      </c>
      <c r="B1359" s="13">
        <v>36.94</v>
      </c>
      <c r="C1359" s="13">
        <v>35.475000000000001</v>
      </c>
      <c r="D1359" s="13">
        <v>36.85</v>
      </c>
      <c r="E1359" s="13">
        <v>8053475</v>
      </c>
      <c r="F1359" s="13" t="s">
        <v>1206</v>
      </c>
      <c r="G1359" s="18">
        <f t="shared" si="27"/>
        <v>-2.9308005427408412E-2</v>
      </c>
    </row>
    <row r="1360" spans="1:7">
      <c r="A1360" s="13">
        <v>36.979999999999997</v>
      </c>
      <c r="B1360" s="13">
        <v>37.950000000000003</v>
      </c>
      <c r="C1360" s="13">
        <v>36.97</v>
      </c>
      <c r="D1360" s="13">
        <v>37.909999999999997</v>
      </c>
      <c r="E1360" s="13">
        <v>8027256</v>
      </c>
      <c r="F1360" s="13" t="s">
        <v>1205</v>
      </c>
      <c r="G1360" s="18">
        <f t="shared" si="27"/>
        <v>-2.45317858084938E-2</v>
      </c>
    </row>
    <row r="1361" spans="1:7">
      <c r="A1361" s="13">
        <v>37.78</v>
      </c>
      <c r="B1361" s="13">
        <v>38.33</v>
      </c>
      <c r="C1361" s="13">
        <v>37.01</v>
      </c>
      <c r="D1361" s="13">
        <v>37.86</v>
      </c>
      <c r="E1361" s="13">
        <v>7992349</v>
      </c>
      <c r="F1361" s="13" t="s">
        <v>1204</v>
      </c>
      <c r="G1361" s="18">
        <f t="shared" si="27"/>
        <v>-2.1130480718435374E-3</v>
      </c>
    </row>
    <row r="1362" spans="1:7">
      <c r="A1362" s="13">
        <v>38.18</v>
      </c>
      <c r="B1362" s="13">
        <v>38.36</v>
      </c>
      <c r="C1362" s="13">
        <v>37.15</v>
      </c>
      <c r="D1362" s="13">
        <v>37.5</v>
      </c>
      <c r="E1362" s="13">
        <v>10191938</v>
      </c>
      <c r="F1362" s="13" t="s">
        <v>1203</v>
      </c>
      <c r="G1362" s="18">
        <f t="shared" si="27"/>
        <v>1.8133333333333335E-2</v>
      </c>
    </row>
    <row r="1363" spans="1:7">
      <c r="A1363" s="13">
        <v>37</v>
      </c>
      <c r="B1363" s="13">
        <v>37.090000000000003</v>
      </c>
      <c r="C1363" s="13">
        <v>36.380000000000003</v>
      </c>
      <c r="D1363" s="13">
        <v>36.549999999999997</v>
      </c>
      <c r="E1363" s="13">
        <v>8829250</v>
      </c>
      <c r="F1363" s="13" t="s">
        <v>1202</v>
      </c>
      <c r="G1363" s="18">
        <f t="shared" si="27"/>
        <v>1.2311901504788114E-2</v>
      </c>
    </row>
    <row r="1364" spans="1:7">
      <c r="A1364" s="13">
        <v>35.89</v>
      </c>
      <c r="B1364" s="13">
        <v>37.119999999999997</v>
      </c>
      <c r="C1364" s="13">
        <v>35.869999999999997</v>
      </c>
      <c r="D1364" s="13">
        <v>37</v>
      </c>
      <c r="E1364" s="13">
        <v>6826305</v>
      </c>
      <c r="F1364" s="13" t="s">
        <v>1201</v>
      </c>
      <c r="G1364" s="18">
        <f t="shared" si="27"/>
        <v>-3.0000000000000027E-2</v>
      </c>
    </row>
    <row r="1365" spans="1:7">
      <c r="A1365" s="13">
        <v>36.81</v>
      </c>
      <c r="B1365" s="13">
        <v>37.365000000000002</v>
      </c>
      <c r="C1365" s="13">
        <v>36.06</v>
      </c>
      <c r="D1365" s="13">
        <v>36.06</v>
      </c>
      <c r="E1365" s="13">
        <v>7002236</v>
      </c>
      <c r="F1365" s="13" t="s">
        <v>1200</v>
      </c>
      <c r="G1365" s="18">
        <f t="shared" si="27"/>
        <v>2.0798668885191329E-2</v>
      </c>
    </row>
    <row r="1366" spans="1:7">
      <c r="A1366" s="13">
        <v>35.83</v>
      </c>
      <c r="B1366" s="13">
        <v>36.06</v>
      </c>
      <c r="C1366" s="13">
        <v>35.44</v>
      </c>
      <c r="D1366" s="13">
        <v>35.71</v>
      </c>
      <c r="E1366" s="13">
        <v>5631418</v>
      </c>
      <c r="F1366" s="13" t="s">
        <v>1199</v>
      </c>
      <c r="G1366" s="18">
        <f t="shared" si="27"/>
        <v>3.3604032483898205E-3</v>
      </c>
    </row>
    <row r="1367" spans="1:7">
      <c r="A1367" s="13">
        <v>35.99</v>
      </c>
      <c r="B1367" s="13">
        <v>36.97</v>
      </c>
      <c r="C1367" s="13">
        <v>35.76</v>
      </c>
      <c r="D1367" s="13">
        <v>36.950000000000003</v>
      </c>
      <c r="E1367" s="13">
        <v>7484876</v>
      </c>
      <c r="F1367" s="13" t="s">
        <v>1198</v>
      </c>
      <c r="G1367" s="18">
        <f t="shared" si="27"/>
        <v>-2.5981055480378878E-2</v>
      </c>
    </row>
    <row r="1368" spans="1:7">
      <c r="A1368" s="13">
        <v>37.479999999999997</v>
      </c>
      <c r="B1368" s="13">
        <v>37.770000000000003</v>
      </c>
      <c r="C1368" s="13">
        <v>36.69</v>
      </c>
      <c r="D1368" s="13">
        <v>36.880000000000003</v>
      </c>
      <c r="E1368" s="13">
        <v>11143152</v>
      </c>
      <c r="F1368" s="13" t="s">
        <v>1197</v>
      </c>
      <c r="G1368" s="18">
        <f t="shared" si="27"/>
        <v>1.626898047722336E-2</v>
      </c>
    </row>
    <row r="1369" spans="1:7">
      <c r="A1369" s="13">
        <v>37.43</v>
      </c>
      <c r="B1369" s="13">
        <v>37.880000000000003</v>
      </c>
      <c r="C1369" s="13">
        <v>36.29</v>
      </c>
      <c r="D1369" s="13">
        <v>36.799999999999997</v>
      </c>
      <c r="E1369" s="13">
        <v>12659949</v>
      </c>
      <c r="F1369" s="13" t="s">
        <v>1196</v>
      </c>
      <c r="G1369" s="18">
        <f t="shared" si="27"/>
        <v>1.7119565217391441E-2</v>
      </c>
    </row>
    <row r="1370" spans="1:7">
      <c r="A1370" s="13">
        <v>35.93</v>
      </c>
      <c r="B1370" s="13">
        <v>37.5</v>
      </c>
      <c r="C1370" s="13">
        <v>35.85</v>
      </c>
      <c r="D1370" s="13">
        <v>37.42</v>
      </c>
      <c r="E1370" s="13">
        <v>8984227</v>
      </c>
      <c r="F1370" s="13" t="s">
        <v>1195</v>
      </c>
      <c r="G1370" s="18">
        <f t="shared" si="27"/>
        <v>-3.9818278995189749E-2</v>
      </c>
    </row>
    <row r="1371" spans="1:7">
      <c r="A1371" s="13">
        <v>37</v>
      </c>
      <c r="B1371" s="13">
        <v>37.44</v>
      </c>
      <c r="C1371" s="13">
        <v>36.64</v>
      </c>
      <c r="D1371" s="13">
        <v>37.18</v>
      </c>
      <c r="E1371" s="13">
        <v>10040408</v>
      </c>
      <c r="F1371" s="13" t="s">
        <v>1194</v>
      </c>
      <c r="G1371" s="18">
        <f t="shared" si="27"/>
        <v>-4.8413125336201901E-3</v>
      </c>
    </row>
    <row r="1372" spans="1:7">
      <c r="A1372" s="13">
        <v>36.9</v>
      </c>
      <c r="B1372" s="13">
        <v>37.270000000000003</v>
      </c>
      <c r="C1372" s="13">
        <v>36.46</v>
      </c>
      <c r="D1372" s="13">
        <v>36.78</v>
      </c>
      <c r="E1372" s="13">
        <v>8100873</v>
      </c>
      <c r="F1372" s="13" t="s">
        <v>1193</v>
      </c>
      <c r="G1372" s="18">
        <f t="shared" si="27"/>
        <v>3.2626427406199365E-3</v>
      </c>
    </row>
    <row r="1373" spans="1:7">
      <c r="A1373" s="13">
        <v>36.4</v>
      </c>
      <c r="B1373" s="13">
        <v>36.755000000000003</v>
      </c>
      <c r="C1373" s="13">
        <v>35.805</v>
      </c>
      <c r="D1373" s="13">
        <v>35.89</v>
      </c>
      <c r="E1373" s="13">
        <v>8425173</v>
      </c>
      <c r="F1373" s="13" t="s">
        <v>1192</v>
      </c>
      <c r="G1373" s="18">
        <f t="shared" si="27"/>
        <v>1.4210086375034736E-2</v>
      </c>
    </row>
    <row r="1374" spans="1:7">
      <c r="A1374" s="13">
        <v>35.49</v>
      </c>
      <c r="B1374" s="13">
        <v>35.89</v>
      </c>
      <c r="C1374" s="13">
        <v>34.369999999999997</v>
      </c>
      <c r="D1374" s="13">
        <v>35.53</v>
      </c>
      <c r="E1374" s="13">
        <v>10398185</v>
      </c>
      <c r="F1374" s="13" t="s">
        <v>1191</v>
      </c>
      <c r="G1374" s="18">
        <f t="shared" si="27"/>
        <v>-1.1258091753447719E-3</v>
      </c>
    </row>
    <row r="1375" spans="1:7">
      <c r="A1375" s="13">
        <v>35.049999999999997</v>
      </c>
      <c r="B1375" s="13">
        <v>36.630000000000003</v>
      </c>
      <c r="C1375" s="13">
        <v>35</v>
      </c>
      <c r="D1375" s="13">
        <v>36.19</v>
      </c>
      <c r="E1375" s="13">
        <v>11514937</v>
      </c>
      <c r="F1375" s="13" t="s">
        <v>1190</v>
      </c>
      <c r="G1375" s="18">
        <f t="shared" si="27"/>
        <v>-3.1500414479137873E-2</v>
      </c>
    </row>
    <row r="1376" spans="1:7">
      <c r="A1376" s="13">
        <v>37.25</v>
      </c>
      <c r="B1376" s="13">
        <v>38.479999999999997</v>
      </c>
      <c r="C1376" s="13">
        <v>37.247999999999998</v>
      </c>
      <c r="D1376" s="13">
        <v>37.82</v>
      </c>
      <c r="E1376" s="13">
        <v>10392395</v>
      </c>
      <c r="F1376" s="13" t="s">
        <v>1189</v>
      </c>
      <c r="G1376" s="18">
        <f t="shared" si="27"/>
        <v>-1.5071390798519269E-2</v>
      </c>
    </row>
    <row r="1377" spans="1:7">
      <c r="A1377" s="13">
        <v>38.29</v>
      </c>
      <c r="B1377" s="13">
        <v>38.465000000000003</v>
      </c>
      <c r="C1377" s="13">
        <v>36.65</v>
      </c>
      <c r="D1377" s="13">
        <v>36.65</v>
      </c>
      <c r="E1377" s="13">
        <v>19998042</v>
      </c>
      <c r="F1377" s="13" t="s">
        <v>1188</v>
      </c>
      <c r="G1377" s="18">
        <f t="shared" si="27"/>
        <v>4.4747612551159666E-2</v>
      </c>
    </row>
    <row r="1378" spans="1:7">
      <c r="A1378" s="13">
        <v>35.450000000000003</v>
      </c>
      <c r="B1378" s="13">
        <v>35.58</v>
      </c>
      <c r="C1378" s="13">
        <v>34.82</v>
      </c>
      <c r="D1378" s="13">
        <v>35.03</v>
      </c>
      <c r="E1378" s="13">
        <v>8086402</v>
      </c>
      <c r="F1378" s="13" t="s">
        <v>1187</v>
      </c>
      <c r="G1378" s="18">
        <f t="shared" si="27"/>
        <v>1.1989723094490534E-2</v>
      </c>
    </row>
    <row r="1379" spans="1:7">
      <c r="A1379" s="13">
        <v>34.79</v>
      </c>
      <c r="B1379" s="13">
        <v>35.24</v>
      </c>
      <c r="C1379" s="13">
        <v>34.19</v>
      </c>
      <c r="D1379" s="13">
        <v>35.19</v>
      </c>
      <c r="E1379" s="13">
        <v>9994269</v>
      </c>
      <c r="F1379" s="13" t="s">
        <v>1186</v>
      </c>
      <c r="G1379" s="18">
        <f t="shared" si="27"/>
        <v>-1.1366865586814434E-2</v>
      </c>
    </row>
    <row r="1380" spans="1:7">
      <c r="A1380" s="13">
        <v>35.92</v>
      </c>
      <c r="B1380" s="13">
        <v>36.450000000000003</v>
      </c>
      <c r="C1380" s="13">
        <v>35.43</v>
      </c>
      <c r="D1380" s="13">
        <v>35.81</v>
      </c>
      <c r="E1380" s="13">
        <v>12337161</v>
      </c>
      <c r="F1380" s="13" t="s">
        <v>1185</v>
      </c>
      <c r="G1380" s="18">
        <f t="shared" si="27"/>
        <v>3.0717676626641488E-3</v>
      </c>
    </row>
    <row r="1381" spans="1:7">
      <c r="A1381" s="13">
        <v>35.21</v>
      </c>
      <c r="B1381" s="13">
        <v>36.75</v>
      </c>
      <c r="C1381" s="13">
        <v>34.4</v>
      </c>
      <c r="D1381" s="13">
        <v>36.58</v>
      </c>
      <c r="E1381" s="13">
        <v>11990394</v>
      </c>
      <c r="F1381" s="13" t="s">
        <v>1184</v>
      </c>
      <c r="G1381" s="18">
        <f t="shared" si="27"/>
        <v>-3.7452159650081973E-2</v>
      </c>
    </row>
    <row r="1382" spans="1:7">
      <c r="A1382" s="13">
        <v>36.83</v>
      </c>
      <c r="B1382" s="13">
        <v>37.24</v>
      </c>
      <c r="C1382" s="13">
        <v>34.99</v>
      </c>
      <c r="D1382" s="13">
        <v>35.25</v>
      </c>
      <c r="E1382" s="13">
        <v>19098850</v>
      </c>
      <c r="F1382" s="13" t="s">
        <v>1183</v>
      </c>
      <c r="G1382" s="18">
        <f t="shared" si="27"/>
        <v>4.482269503546088E-2</v>
      </c>
    </row>
    <row r="1383" spans="1:7">
      <c r="A1383" s="13">
        <v>35.130000000000003</v>
      </c>
      <c r="B1383" s="13">
        <v>35.700000000000003</v>
      </c>
      <c r="C1383" s="13">
        <v>33.700000000000003</v>
      </c>
      <c r="D1383" s="13">
        <v>33.99</v>
      </c>
      <c r="E1383" s="13">
        <v>13608696</v>
      </c>
      <c r="F1383" s="13" t="s">
        <v>1182</v>
      </c>
      <c r="G1383" s="18">
        <f t="shared" si="27"/>
        <v>3.3539276257722905E-2</v>
      </c>
    </row>
    <row r="1384" spans="1:7">
      <c r="A1384" s="13">
        <v>33.69</v>
      </c>
      <c r="B1384" s="13">
        <v>35.72</v>
      </c>
      <c r="C1384" s="13">
        <v>33.380000000000003</v>
      </c>
      <c r="D1384" s="13">
        <v>34.33</v>
      </c>
      <c r="E1384" s="13">
        <v>21342429</v>
      </c>
      <c r="F1384" s="13" t="s">
        <v>1181</v>
      </c>
      <c r="G1384" s="18">
        <f t="shared" si="27"/>
        <v>-1.8642586658898952E-2</v>
      </c>
    </row>
    <row r="1385" spans="1:7">
      <c r="A1385" s="13">
        <v>32.880000000000003</v>
      </c>
      <c r="B1385" s="13">
        <v>33.19</v>
      </c>
      <c r="C1385" s="13">
        <v>32.49</v>
      </c>
      <c r="D1385" s="13">
        <v>32.909999999999997</v>
      </c>
      <c r="E1385" s="13">
        <v>13647063</v>
      </c>
      <c r="F1385" s="13" t="s">
        <v>1180</v>
      </c>
      <c r="G1385" s="18">
        <f t="shared" si="27"/>
        <v>-9.1157702825872544E-4</v>
      </c>
    </row>
    <row r="1386" spans="1:7">
      <c r="A1386" s="13">
        <v>31.17</v>
      </c>
      <c r="B1386" s="13">
        <v>31.52</v>
      </c>
      <c r="C1386" s="13">
        <v>30.63</v>
      </c>
      <c r="D1386" s="13">
        <v>30.82</v>
      </c>
      <c r="E1386" s="13">
        <v>10895507</v>
      </c>
      <c r="F1386" s="13" t="s">
        <v>1179</v>
      </c>
      <c r="G1386" s="18">
        <f t="shared" si="27"/>
        <v>1.1356262167423692E-2</v>
      </c>
    </row>
    <row r="1387" spans="1:7">
      <c r="A1387" s="13">
        <v>31.05</v>
      </c>
      <c r="B1387" s="13">
        <v>31.46</v>
      </c>
      <c r="C1387" s="13">
        <v>29.65</v>
      </c>
      <c r="D1387" s="13">
        <v>30.01</v>
      </c>
      <c r="E1387" s="13">
        <v>12401927</v>
      </c>
      <c r="F1387" s="13" t="s">
        <v>1178</v>
      </c>
      <c r="G1387" s="18">
        <f t="shared" si="27"/>
        <v>3.465511496167939E-2</v>
      </c>
    </row>
    <row r="1388" spans="1:7">
      <c r="A1388" s="13">
        <v>30.19</v>
      </c>
      <c r="B1388" s="13">
        <v>31.88</v>
      </c>
      <c r="C1388" s="13">
        <v>29.93</v>
      </c>
      <c r="D1388" s="13">
        <v>31.62</v>
      </c>
      <c r="E1388" s="13">
        <v>9990663</v>
      </c>
      <c r="F1388" s="13" t="s">
        <v>1177</v>
      </c>
      <c r="G1388" s="18">
        <f t="shared" si="27"/>
        <v>-4.5224541429474963E-2</v>
      </c>
    </row>
    <row r="1389" spans="1:7">
      <c r="A1389" s="13">
        <v>32.630000000000003</v>
      </c>
      <c r="B1389" s="13">
        <v>33.25</v>
      </c>
      <c r="C1389" s="13">
        <v>31.03</v>
      </c>
      <c r="D1389" s="13">
        <v>31.54</v>
      </c>
      <c r="E1389" s="13">
        <v>14181014</v>
      </c>
      <c r="F1389" s="13" t="s">
        <v>1176</v>
      </c>
      <c r="G1389" s="18">
        <f t="shared" si="27"/>
        <v>3.4559289790742076E-2</v>
      </c>
    </row>
    <row r="1390" spans="1:7">
      <c r="A1390" s="13">
        <v>31.64</v>
      </c>
      <c r="B1390" s="13">
        <v>31.844999999999999</v>
      </c>
      <c r="C1390" s="13">
        <v>29.56</v>
      </c>
      <c r="D1390" s="13">
        <v>30.77</v>
      </c>
      <c r="E1390" s="13">
        <v>12193031</v>
      </c>
      <c r="F1390" s="13" t="s">
        <v>1175</v>
      </c>
      <c r="G1390" s="18">
        <f t="shared" si="27"/>
        <v>2.8274293142671381E-2</v>
      </c>
    </row>
    <row r="1391" spans="1:7">
      <c r="A1391" s="13">
        <v>30.61</v>
      </c>
      <c r="B1391" s="13">
        <v>31.39</v>
      </c>
      <c r="C1391" s="13">
        <v>29.47</v>
      </c>
      <c r="D1391" s="13">
        <v>30.32</v>
      </c>
      <c r="E1391" s="13">
        <v>11232797</v>
      </c>
      <c r="F1391" s="13" t="s">
        <v>1174</v>
      </c>
      <c r="G1391" s="18">
        <f t="shared" si="27"/>
        <v>9.5646437994723055E-3</v>
      </c>
    </row>
    <row r="1392" spans="1:7">
      <c r="A1392" s="13">
        <v>31.42</v>
      </c>
      <c r="B1392" s="13">
        <v>31.82</v>
      </c>
      <c r="C1392" s="13">
        <v>30.06</v>
      </c>
      <c r="D1392" s="13">
        <v>30.31</v>
      </c>
      <c r="E1392" s="13">
        <v>13137524</v>
      </c>
      <c r="F1392" s="13" t="s">
        <v>1173</v>
      </c>
      <c r="G1392" s="18">
        <f t="shared" si="27"/>
        <v>3.6621577037281527E-2</v>
      </c>
    </row>
    <row r="1393" spans="1:7">
      <c r="A1393" s="13">
        <v>29.92</v>
      </c>
      <c r="B1393" s="13">
        <v>31.24</v>
      </c>
      <c r="C1393" s="13">
        <v>27.28</v>
      </c>
      <c r="D1393" s="13">
        <v>28.12</v>
      </c>
      <c r="E1393" s="13">
        <v>19681678</v>
      </c>
      <c r="F1393" s="13" t="s">
        <v>1172</v>
      </c>
      <c r="G1393" s="18">
        <f t="shared" si="27"/>
        <v>6.4011379800853474E-2</v>
      </c>
    </row>
    <row r="1394" spans="1:7">
      <c r="A1394" s="13">
        <v>28.22</v>
      </c>
      <c r="B1394" s="13">
        <v>28.63</v>
      </c>
      <c r="C1394" s="13">
        <v>26.77</v>
      </c>
      <c r="D1394" s="13">
        <v>26.81</v>
      </c>
      <c r="E1394" s="13">
        <v>16752770</v>
      </c>
      <c r="F1394" s="13" t="s">
        <v>1171</v>
      </c>
      <c r="G1394" s="18">
        <f t="shared" ref="G1394:G1457" si="28">A1394/D1394-1</f>
        <v>5.2592316299888031E-2</v>
      </c>
    </row>
    <row r="1395" spans="1:7">
      <c r="A1395" s="13">
        <v>25.83</v>
      </c>
      <c r="B1395" s="13">
        <v>27.19</v>
      </c>
      <c r="C1395" s="13">
        <v>24.1</v>
      </c>
      <c r="D1395" s="13">
        <v>26.9</v>
      </c>
      <c r="E1395" s="13">
        <v>17190915</v>
      </c>
      <c r="F1395" s="13" t="s">
        <v>1170</v>
      </c>
      <c r="G1395" s="18">
        <f t="shared" si="28"/>
        <v>-3.9776951672862437E-2</v>
      </c>
    </row>
    <row r="1396" spans="1:7">
      <c r="A1396" s="13">
        <v>27.24</v>
      </c>
      <c r="B1396" s="13">
        <v>28.78</v>
      </c>
      <c r="C1396" s="13">
        <v>27.1</v>
      </c>
      <c r="D1396" s="13">
        <v>28.63</v>
      </c>
      <c r="E1396" s="13">
        <v>11223216</v>
      </c>
      <c r="F1396" s="13" t="s">
        <v>1169</v>
      </c>
      <c r="G1396" s="18">
        <f t="shared" si="28"/>
        <v>-4.8550471533356676E-2</v>
      </c>
    </row>
    <row r="1397" spans="1:7">
      <c r="A1397" s="13">
        <v>28.27</v>
      </c>
      <c r="B1397" s="13">
        <v>28.87</v>
      </c>
      <c r="C1397" s="13">
        <v>25.51</v>
      </c>
      <c r="D1397" s="13">
        <v>26.74</v>
      </c>
      <c r="E1397" s="13">
        <v>12088636</v>
      </c>
      <c r="F1397" s="13" t="s">
        <v>1168</v>
      </c>
      <c r="G1397" s="18">
        <f t="shared" si="28"/>
        <v>5.7217651458489227E-2</v>
      </c>
    </row>
    <row r="1398" spans="1:7">
      <c r="A1398" s="13">
        <v>27.24</v>
      </c>
      <c r="B1398" s="13">
        <v>27.7</v>
      </c>
      <c r="C1398" s="13">
        <v>25.41</v>
      </c>
      <c r="D1398" s="13">
        <v>26.98</v>
      </c>
      <c r="E1398" s="13">
        <v>18167777</v>
      </c>
      <c r="F1398" s="13" t="s">
        <v>1167</v>
      </c>
      <c r="G1398" s="18">
        <f t="shared" si="28"/>
        <v>9.6367679762785485E-3</v>
      </c>
    </row>
    <row r="1399" spans="1:7">
      <c r="A1399" s="13">
        <v>28.79</v>
      </c>
      <c r="B1399" s="13">
        <v>29.04</v>
      </c>
      <c r="C1399" s="13">
        <v>26.343</v>
      </c>
      <c r="D1399" s="13">
        <v>28.1</v>
      </c>
      <c r="E1399" s="13">
        <v>18097290</v>
      </c>
      <c r="F1399" s="13" t="s">
        <v>1166</v>
      </c>
      <c r="G1399" s="18">
        <f t="shared" si="28"/>
        <v>2.4555160142348598E-2</v>
      </c>
    </row>
    <row r="1400" spans="1:7">
      <c r="A1400" s="13">
        <v>27.55</v>
      </c>
      <c r="B1400" s="13">
        <v>29.23</v>
      </c>
      <c r="C1400" s="13">
        <v>27.16</v>
      </c>
      <c r="D1400" s="13">
        <v>28.72</v>
      </c>
      <c r="E1400" s="13">
        <v>17232094</v>
      </c>
      <c r="F1400" s="13" t="s">
        <v>1165</v>
      </c>
      <c r="G1400" s="18">
        <f t="shared" si="28"/>
        <v>-4.0738161559888519E-2</v>
      </c>
    </row>
    <row r="1401" spans="1:7">
      <c r="A1401" s="13">
        <v>32.33</v>
      </c>
      <c r="B1401" s="13">
        <v>32.71</v>
      </c>
      <c r="C1401" s="13">
        <v>29.35</v>
      </c>
      <c r="D1401" s="13">
        <v>32.54</v>
      </c>
      <c r="E1401" s="13">
        <v>17420960</v>
      </c>
      <c r="F1401" s="13" t="s">
        <v>1164</v>
      </c>
      <c r="G1401" s="18">
        <f t="shared" si="28"/>
        <v>-6.4535955746773954E-3</v>
      </c>
    </row>
    <row r="1402" spans="1:7">
      <c r="A1402" s="13">
        <v>31</v>
      </c>
      <c r="B1402" s="13">
        <v>33.524999999999999</v>
      </c>
      <c r="C1402" s="13">
        <v>30.57</v>
      </c>
      <c r="D1402" s="13">
        <v>31.63</v>
      </c>
      <c r="E1402" s="13">
        <v>23545595</v>
      </c>
      <c r="F1402" s="13" t="s">
        <v>1163</v>
      </c>
      <c r="G1402" s="18">
        <f t="shared" si="28"/>
        <v>-1.9917799557382154E-2</v>
      </c>
    </row>
    <row r="1403" spans="1:7">
      <c r="A1403" s="13">
        <v>33.86</v>
      </c>
      <c r="B1403" s="13">
        <v>34.79</v>
      </c>
      <c r="C1403" s="13">
        <v>33.47</v>
      </c>
      <c r="D1403" s="13">
        <v>34.17</v>
      </c>
      <c r="E1403" s="13">
        <v>20113337</v>
      </c>
      <c r="F1403" s="13" t="s">
        <v>1162</v>
      </c>
      <c r="G1403" s="18">
        <f t="shared" si="28"/>
        <v>-9.072285630670196E-3</v>
      </c>
    </row>
    <row r="1404" spans="1:7">
      <c r="A1404" s="13">
        <v>35.18</v>
      </c>
      <c r="B1404" s="13">
        <v>35.92</v>
      </c>
      <c r="C1404" s="13">
        <v>33.729999999999997</v>
      </c>
      <c r="D1404" s="13">
        <v>35.92</v>
      </c>
      <c r="E1404" s="13">
        <v>13372160</v>
      </c>
      <c r="F1404" s="13" t="s">
        <v>1161</v>
      </c>
      <c r="G1404" s="18">
        <f t="shared" si="28"/>
        <v>-2.0601336302895401E-2</v>
      </c>
    </row>
    <row r="1405" spans="1:7">
      <c r="A1405" s="13">
        <v>34.090000000000003</v>
      </c>
      <c r="B1405" s="13">
        <v>35.1</v>
      </c>
      <c r="C1405" s="13">
        <v>33.671399999999998</v>
      </c>
      <c r="D1405" s="13">
        <v>34.92</v>
      </c>
      <c r="E1405" s="13">
        <v>15378749</v>
      </c>
      <c r="F1405" s="13" t="s">
        <v>1160</v>
      </c>
      <c r="G1405" s="18">
        <f t="shared" si="28"/>
        <v>-2.3768613974799457E-2</v>
      </c>
    </row>
    <row r="1406" spans="1:7">
      <c r="A1406" s="13">
        <v>37.6</v>
      </c>
      <c r="B1406" s="13">
        <v>37.700000000000003</v>
      </c>
      <c r="C1406" s="13">
        <v>35.880000000000003</v>
      </c>
      <c r="D1406" s="13">
        <v>36.14</v>
      </c>
      <c r="E1406" s="13">
        <v>17949132</v>
      </c>
      <c r="F1406" s="13" t="s">
        <v>1159</v>
      </c>
      <c r="G1406" s="18">
        <f t="shared" si="28"/>
        <v>4.0398450470392921E-2</v>
      </c>
    </row>
    <row r="1407" spans="1:7">
      <c r="A1407" s="13">
        <v>37.46</v>
      </c>
      <c r="B1407" s="13">
        <v>37.99</v>
      </c>
      <c r="C1407" s="13">
        <v>36.35</v>
      </c>
      <c r="D1407" s="13">
        <v>37.99</v>
      </c>
      <c r="E1407" s="13">
        <v>20434807</v>
      </c>
      <c r="F1407" s="13" t="s">
        <v>1158</v>
      </c>
      <c r="G1407" s="18">
        <f t="shared" si="28"/>
        <v>-1.3951039747301941E-2</v>
      </c>
    </row>
    <row r="1408" spans="1:7">
      <c r="A1408" s="13">
        <v>38.75</v>
      </c>
      <c r="B1408" s="13">
        <v>38.78</v>
      </c>
      <c r="C1408" s="13">
        <v>37.229999999999997</v>
      </c>
      <c r="D1408" s="13">
        <v>38.049999999999997</v>
      </c>
      <c r="E1408" s="13">
        <v>10112532</v>
      </c>
      <c r="F1408" s="13" t="s">
        <v>1157</v>
      </c>
      <c r="G1408" s="18">
        <f t="shared" si="28"/>
        <v>1.8396846254927768E-2</v>
      </c>
    </row>
    <row r="1409" spans="1:7">
      <c r="A1409" s="13">
        <v>37.229999999999997</v>
      </c>
      <c r="B1409" s="13">
        <v>39.36</v>
      </c>
      <c r="C1409" s="13">
        <v>36.56</v>
      </c>
      <c r="D1409" s="13">
        <v>38.299999999999997</v>
      </c>
      <c r="E1409" s="13">
        <v>13875542</v>
      </c>
      <c r="F1409" s="13" t="s">
        <v>1156</v>
      </c>
      <c r="G1409" s="18">
        <f t="shared" si="28"/>
        <v>-2.7937336814621405E-2</v>
      </c>
    </row>
    <row r="1410" spans="1:7">
      <c r="A1410" s="13">
        <v>38.270000000000003</v>
      </c>
      <c r="B1410" s="13">
        <v>38.270000000000003</v>
      </c>
      <c r="C1410" s="13">
        <v>36.71</v>
      </c>
      <c r="D1410" s="13">
        <v>37.6</v>
      </c>
      <c r="E1410" s="13">
        <v>14333746</v>
      </c>
      <c r="F1410" s="13" t="s">
        <v>1155</v>
      </c>
      <c r="G1410" s="18">
        <f t="shared" si="28"/>
        <v>1.7819148936170315E-2</v>
      </c>
    </row>
    <row r="1411" spans="1:7">
      <c r="A1411" s="13">
        <v>37.39</v>
      </c>
      <c r="B1411" s="13">
        <v>37.54</v>
      </c>
      <c r="C1411" s="13">
        <v>36.255000000000003</v>
      </c>
      <c r="D1411" s="13">
        <v>37.090000000000003</v>
      </c>
      <c r="E1411" s="13">
        <v>19871242</v>
      </c>
      <c r="F1411" s="13" t="s">
        <v>1154</v>
      </c>
      <c r="G1411" s="18">
        <f t="shared" si="28"/>
        <v>8.0884335400377427E-3</v>
      </c>
    </row>
    <row r="1412" spans="1:7">
      <c r="A1412" s="13">
        <v>37.92</v>
      </c>
      <c r="B1412" s="13">
        <v>39.575000000000003</v>
      </c>
      <c r="C1412" s="13">
        <v>37.89</v>
      </c>
      <c r="D1412" s="13">
        <v>38.619999999999997</v>
      </c>
      <c r="E1412" s="13">
        <v>15338263</v>
      </c>
      <c r="F1412" s="13" t="s">
        <v>1153</v>
      </c>
      <c r="G1412" s="18">
        <f t="shared" si="28"/>
        <v>-1.8125323666493887E-2</v>
      </c>
    </row>
    <row r="1413" spans="1:7">
      <c r="A1413" s="13">
        <v>39.39</v>
      </c>
      <c r="B1413" s="13">
        <v>40.6</v>
      </c>
      <c r="C1413" s="13">
        <v>39.369999999999997</v>
      </c>
      <c r="D1413" s="13">
        <v>40.369999999999997</v>
      </c>
      <c r="E1413" s="13">
        <v>10063275</v>
      </c>
      <c r="F1413" s="13" t="s">
        <v>1152</v>
      </c>
      <c r="G1413" s="18">
        <f t="shared" si="28"/>
        <v>-2.4275452068367565E-2</v>
      </c>
    </row>
    <row r="1414" spans="1:7">
      <c r="A1414" s="13">
        <v>39.909999999999997</v>
      </c>
      <c r="B1414" s="13">
        <v>41.32</v>
      </c>
      <c r="C1414" s="13">
        <v>39.704999999999998</v>
      </c>
      <c r="D1414" s="13">
        <v>41.15</v>
      </c>
      <c r="E1414" s="13">
        <v>8745553</v>
      </c>
      <c r="F1414" s="13" t="s">
        <v>1151</v>
      </c>
      <c r="G1414" s="18">
        <f t="shared" si="28"/>
        <v>-3.0133657351154364E-2</v>
      </c>
    </row>
    <row r="1415" spans="1:7">
      <c r="A1415" s="13">
        <v>41.08</v>
      </c>
      <c r="B1415" s="13">
        <v>41.9</v>
      </c>
      <c r="C1415" s="13">
        <v>40.924999999999997</v>
      </c>
      <c r="D1415" s="13">
        <v>41.48</v>
      </c>
      <c r="E1415" s="13">
        <v>6536660</v>
      </c>
      <c r="F1415" s="13" t="s">
        <v>1150</v>
      </c>
      <c r="G1415" s="18">
        <f t="shared" si="28"/>
        <v>-9.6432015429122053E-3</v>
      </c>
    </row>
    <row r="1416" spans="1:7">
      <c r="A1416" s="13">
        <v>42.62</v>
      </c>
      <c r="B1416" s="13">
        <v>42.85</v>
      </c>
      <c r="C1416" s="13">
        <v>42.04</v>
      </c>
      <c r="D1416" s="13">
        <v>42.26</v>
      </c>
      <c r="E1416" s="13">
        <v>7282369</v>
      </c>
      <c r="F1416" s="13" t="s">
        <v>1149</v>
      </c>
      <c r="G1416" s="18">
        <f t="shared" si="28"/>
        <v>8.5186938002839163E-3</v>
      </c>
    </row>
    <row r="1417" spans="1:7">
      <c r="A1417" s="13">
        <v>42.5</v>
      </c>
      <c r="B1417" s="13">
        <v>43.16</v>
      </c>
      <c r="C1417" s="13">
        <v>42.025799999999997</v>
      </c>
      <c r="D1417" s="13">
        <v>43.02</v>
      </c>
      <c r="E1417" s="13">
        <v>6123492</v>
      </c>
      <c r="F1417" s="13" t="s">
        <v>1148</v>
      </c>
      <c r="G1417" s="18">
        <f t="shared" si="28"/>
        <v>-1.2087401208740189E-2</v>
      </c>
    </row>
    <row r="1418" spans="1:7">
      <c r="A1418" s="13">
        <v>43.02</v>
      </c>
      <c r="B1418" s="13">
        <v>43.44</v>
      </c>
      <c r="C1418" s="13">
        <v>42.28</v>
      </c>
      <c r="D1418" s="13">
        <v>42.31</v>
      </c>
      <c r="E1418" s="13">
        <v>7412015</v>
      </c>
      <c r="F1418" s="13" t="s">
        <v>1147</v>
      </c>
      <c r="G1418" s="18">
        <f t="shared" si="28"/>
        <v>1.6780902859844016E-2</v>
      </c>
    </row>
    <row r="1419" spans="1:7">
      <c r="A1419" s="13">
        <v>42.16</v>
      </c>
      <c r="B1419" s="13">
        <v>42.365000000000002</v>
      </c>
      <c r="C1419" s="13">
        <v>41.65</v>
      </c>
      <c r="D1419" s="13">
        <v>42.25</v>
      </c>
      <c r="E1419" s="13">
        <v>8024501</v>
      </c>
      <c r="F1419" s="13" t="s">
        <v>1146</v>
      </c>
      <c r="G1419" s="18">
        <f t="shared" si="28"/>
        <v>-2.1301775147929414E-3</v>
      </c>
    </row>
    <row r="1420" spans="1:7">
      <c r="A1420" s="13">
        <v>42.31</v>
      </c>
      <c r="B1420" s="13">
        <v>42.41</v>
      </c>
      <c r="C1420" s="13">
        <v>42.075000000000003</v>
      </c>
      <c r="D1420" s="13">
        <v>42.27</v>
      </c>
      <c r="E1420" s="13">
        <v>7289964</v>
      </c>
      <c r="F1420" s="13" t="s">
        <v>1145</v>
      </c>
      <c r="G1420" s="18">
        <f t="shared" si="28"/>
        <v>9.4629761059850104E-4</v>
      </c>
    </row>
    <row r="1421" spans="1:7">
      <c r="A1421" s="13">
        <v>42.18</v>
      </c>
      <c r="B1421" s="13">
        <v>42.47</v>
      </c>
      <c r="C1421" s="13">
        <v>41.81</v>
      </c>
      <c r="D1421" s="13">
        <v>42.17</v>
      </c>
      <c r="E1421" s="13">
        <v>6406653</v>
      </c>
      <c r="F1421" s="13" t="s">
        <v>1144</v>
      </c>
      <c r="G1421" s="18">
        <f t="shared" si="28"/>
        <v>2.3713540431580249E-4</v>
      </c>
    </row>
    <row r="1422" spans="1:7">
      <c r="A1422" s="13">
        <v>42.23</v>
      </c>
      <c r="B1422" s="13">
        <v>42.75</v>
      </c>
      <c r="C1422" s="13">
        <v>42.225000000000001</v>
      </c>
      <c r="D1422" s="13">
        <v>42.61</v>
      </c>
      <c r="E1422" s="13">
        <v>8374140</v>
      </c>
      <c r="F1422" s="13" t="s">
        <v>1143</v>
      </c>
      <c r="G1422" s="18">
        <f t="shared" si="28"/>
        <v>-8.9180943440507754E-3</v>
      </c>
    </row>
    <row r="1423" spans="1:7">
      <c r="A1423" s="13">
        <v>42.57</v>
      </c>
      <c r="B1423" s="13">
        <v>42.664999999999999</v>
      </c>
      <c r="C1423" s="13">
        <v>42.104999999999997</v>
      </c>
      <c r="D1423" s="13">
        <v>42.32</v>
      </c>
      <c r="E1423" s="13">
        <v>4861097</v>
      </c>
      <c r="F1423" s="13" t="s">
        <v>1142</v>
      </c>
      <c r="G1423" s="18">
        <f t="shared" si="28"/>
        <v>5.9073724007561168E-3</v>
      </c>
    </row>
    <row r="1424" spans="1:7">
      <c r="A1424" s="13">
        <v>42.22</v>
      </c>
      <c r="B1424" s="13">
        <v>42.524999999999999</v>
      </c>
      <c r="C1424" s="13">
        <v>41.883600000000001</v>
      </c>
      <c r="D1424" s="13">
        <v>42.02</v>
      </c>
      <c r="E1424" s="13">
        <v>6151669</v>
      </c>
      <c r="F1424" s="13" t="s">
        <v>1141</v>
      </c>
      <c r="G1424" s="18">
        <f t="shared" si="28"/>
        <v>4.7596382674914839E-3</v>
      </c>
    </row>
    <row r="1425" spans="1:7">
      <c r="A1425" s="13">
        <v>42.19</v>
      </c>
      <c r="B1425" s="13">
        <v>42.945</v>
      </c>
      <c r="C1425" s="13">
        <v>41.945</v>
      </c>
      <c r="D1425" s="13">
        <v>42.75</v>
      </c>
      <c r="E1425" s="13">
        <v>8381663</v>
      </c>
      <c r="F1425" s="13" t="s">
        <v>1140</v>
      </c>
      <c r="G1425" s="18">
        <f t="shared" si="28"/>
        <v>-1.3099415204678388E-2</v>
      </c>
    </row>
    <row r="1426" spans="1:7">
      <c r="A1426" s="13">
        <v>43.01</v>
      </c>
      <c r="B1426" s="13">
        <v>43.234999999999999</v>
      </c>
      <c r="C1426" s="13">
        <v>42.24</v>
      </c>
      <c r="D1426" s="13">
        <v>42.6</v>
      </c>
      <c r="E1426" s="13">
        <v>6994231</v>
      </c>
      <c r="F1426" s="13" t="s">
        <v>1139</v>
      </c>
      <c r="G1426" s="18">
        <f t="shared" si="28"/>
        <v>9.6244131455398563E-3</v>
      </c>
    </row>
    <row r="1427" spans="1:7">
      <c r="A1427" s="13">
        <v>42.62</v>
      </c>
      <c r="B1427" s="13">
        <v>43.33</v>
      </c>
      <c r="C1427" s="13">
        <v>42.44</v>
      </c>
      <c r="D1427" s="13">
        <v>43.05</v>
      </c>
      <c r="E1427" s="13">
        <v>13227113</v>
      </c>
      <c r="F1427" s="13" t="s">
        <v>1138</v>
      </c>
      <c r="G1427" s="18">
        <f t="shared" si="28"/>
        <v>-9.9883855981416358E-3</v>
      </c>
    </row>
    <row r="1428" spans="1:7">
      <c r="A1428" s="13">
        <v>42.88</v>
      </c>
      <c r="B1428" s="13">
        <v>43.2</v>
      </c>
      <c r="C1428" s="13">
        <v>42.7</v>
      </c>
      <c r="D1428" s="13">
        <v>42.83</v>
      </c>
      <c r="E1428" s="13">
        <v>9126105</v>
      </c>
      <c r="F1428" s="13" t="s">
        <v>1137</v>
      </c>
      <c r="G1428" s="18">
        <f t="shared" si="28"/>
        <v>1.167406023815154E-3</v>
      </c>
    </row>
    <row r="1429" spans="1:7">
      <c r="A1429" s="13">
        <v>42.23</v>
      </c>
      <c r="B1429" s="13">
        <v>42.56</v>
      </c>
      <c r="C1429" s="13">
        <v>42.1</v>
      </c>
      <c r="D1429" s="13">
        <v>42.17</v>
      </c>
      <c r="E1429" s="13">
        <v>8763371</v>
      </c>
      <c r="F1429" s="13" t="s">
        <v>1136</v>
      </c>
      <c r="G1429" s="18">
        <f t="shared" si="28"/>
        <v>1.422812425895037E-3</v>
      </c>
    </row>
    <row r="1430" spans="1:7">
      <c r="A1430" s="13">
        <v>41.87</v>
      </c>
      <c r="B1430" s="13">
        <v>43.3</v>
      </c>
      <c r="C1430" s="13">
        <v>41.784999999999997</v>
      </c>
      <c r="D1430" s="13">
        <v>43.29</v>
      </c>
      <c r="E1430" s="13">
        <v>12425026</v>
      </c>
      <c r="F1430" s="13" t="s">
        <v>1135</v>
      </c>
      <c r="G1430" s="18">
        <f t="shared" si="28"/>
        <v>-3.2802032802032866E-2</v>
      </c>
    </row>
    <row r="1431" spans="1:7">
      <c r="A1431" s="13">
        <v>43.41</v>
      </c>
      <c r="B1431" s="13">
        <v>43.77</v>
      </c>
      <c r="C1431" s="13">
        <v>43.115000000000002</v>
      </c>
      <c r="D1431" s="13">
        <v>43.5</v>
      </c>
      <c r="E1431" s="13">
        <v>8792451</v>
      </c>
      <c r="F1431" s="13" t="s">
        <v>1134</v>
      </c>
      <c r="G1431" s="18">
        <f t="shared" si="28"/>
        <v>-2.0689655172414501E-3</v>
      </c>
    </row>
    <row r="1432" spans="1:7">
      <c r="A1432" s="13">
        <v>43.95</v>
      </c>
      <c r="B1432" s="13">
        <v>44.2</v>
      </c>
      <c r="C1432" s="13">
        <v>43.42</v>
      </c>
      <c r="D1432" s="13">
        <v>43.63</v>
      </c>
      <c r="E1432" s="13">
        <v>6629622</v>
      </c>
      <c r="F1432" s="13" t="s">
        <v>1133</v>
      </c>
      <c r="G1432" s="18">
        <f t="shared" si="28"/>
        <v>7.3344029337611971E-3</v>
      </c>
    </row>
    <row r="1433" spans="1:7">
      <c r="A1433" s="13">
        <v>43.45</v>
      </c>
      <c r="B1433" s="13">
        <v>43.59</v>
      </c>
      <c r="C1433" s="13">
        <v>42.63</v>
      </c>
      <c r="D1433" s="13">
        <v>42.75</v>
      </c>
      <c r="E1433" s="13">
        <v>7223118</v>
      </c>
      <c r="F1433" s="13" t="s">
        <v>1132</v>
      </c>
      <c r="G1433" s="18">
        <f t="shared" si="28"/>
        <v>1.637426900584793E-2</v>
      </c>
    </row>
    <row r="1434" spans="1:7">
      <c r="A1434" s="13">
        <v>42.65</v>
      </c>
      <c r="B1434" s="13">
        <v>43.125</v>
      </c>
      <c r="C1434" s="13">
        <v>42.35</v>
      </c>
      <c r="D1434" s="13">
        <v>42.5</v>
      </c>
      <c r="E1434" s="13">
        <v>5672445</v>
      </c>
      <c r="F1434" s="13" t="s">
        <v>1131</v>
      </c>
      <c r="G1434" s="18">
        <f t="shared" si="28"/>
        <v>3.529411764705781E-3</v>
      </c>
    </row>
    <row r="1435" spans="1:7">
      <c r="A1435" s="13">
        <v>43.21</v>
      </c>
      <c r="B1435" s="13">
        <v>43.695</v>
      </c>
      <c r="C1435" s="13">
        <v>43.034999999999997</v>
      </c>
      <c r="D1435" s="13">
        <v>43.6</v>
      </c>
      <c r="E1435" s="13">
        <v>4022279</v>
      </c>
      <c r="F1435" s="13" t="s">
        <v>1130</v>
      </c>
      <c r="G1435" s="18">
        <f t="shared" si="28"/>
        <v>-8.9449541284404299E-3</v>
      </c>
    </row>
    <row r="1436" spans="1:7">
      <c r="A1436" s="13">
        <v>43.57</v>
      </c>
      <c r="B1436" s="13">
        <v>44.03</v>
      </c>
      <c r="C1436" s="13">
        <v>43.185000000000002</v>
      </c>
      <c r="D1436" s="13">
        <v>43.92</v>
      </c>
      <c r="E1436" s="13">
        <v>6366664</v>
      </c>
      <c r="F1436" s="13" t="s">
        <v>1129</v>
      </c>
      <c r="G1436" s="18">
        <f t="shared" si="28"/>
        <v>-7.9690346083789443E-3</v>
      </c>
    </row>
    <row r="1437" spans="1:7">
      <c r="A1437" s="13">
        <v>44.05</v>
      </c>
      <c r="B1437" s="13">
        <v>44.435000000000002</v>
      </c>
      <c r="C1437" s="13">
        <v>43.96</v>
      </c>
      <c r="D1437" s="13">
        <v>44.41</v>
      </c>
      <c r="E1437" s="13">
        <v>6515217</v>
      </c>
      <c r="F1437" s="13" t="s">
        <v>1128</v>
      </c>
      <c r="G1437" s="18">
        <f t="shared" si="28"/>
        <v>-8.1062823688358154E-3</v>
      </c>
    </row>
    <row r="1438" spans="1:7">
      <c r="A1438" s="13">
        <v>44.07</v>
      </c>
      <c r="B1438" s="13">
        <v>44.39</v>
      </c>
      <c r="C1438" s="13">
        <v>43.76</v>
      </c>
      <c r="D1438" s="13">
        <v>44.18</v>
      </c>
      <c r="E1438" s="13">
        <v>8589987</v>
      </c>
      <c r="F1438" s="13" t="s">
        <v>1127</v>
      </c>
      <c r="G1438" s="18">
        <f t="shared" si="28"/>
        <v>-2.4898143956540997E-3</v>
      </c>
    </row>
    <row r="1439" spans="1:7">
      <c r="A1439" s="13">
        <v>44.28</v>
      </c>
      <c r="B1439" s="13">
        <v>44.31</v>
      </c>
      <c r="C1439" s="13">
        <v>43.14</v>
      </c>
      <c r="D1439" s="13">
        <v>43.2</v>
      </c>
      <c r="E1439" s="13">
        <v>15909751</v>
      </c>
      <c r="F1439" s="13" t="s">
        <v>1126</v>
      </c>
      <c r="G1439" s="18">
        <f t="shared" si="28"/>
        <v>2.4999999999999911E-2</v>
      </c>
    </row>
    <row r="1440" spans="1:7">
      <c r="A1440" s="13">
        <v>43.2</v>
      </c>
      <c r="B1440" s="13">
        <v>43.33</v>
      </c>
      <c r="C1440" s="13">
        <v>42.66</v>
      </c>
      <c r="D1440" s="13">
        <v>42.71</v>
      </c>
      <c r="E1440" s="13">
        <v>11654556</v>
      </c>
      <c r="F1440" s="13" t="s">
        <v>1125</v>
      </c>
      <c r="G1440" s="18">
        <f t="shared" si="28"/>
        <v>1.1472723015687247E-2</v>
      </c>
    </row>
    <row r="1441" spans="1:7">
      <c r="A1441" s="13">
        <v>42.57</v>
      </c>
      <c r="B1441" s="13">
        <v>42.83</v>
      </c>
      <c r="C1441" s="13">
        <v>42.34</v>
      </c>
      <c r="D1441" s="13">
        <v>42.81</v>
      </c>
      <c r="E1441" s="13">
        <v>12805566</v>
      </c>
      <c r="F1441" s="13" t="s">
        <v>1124</v>
      </c>
      <c r="G1441" s="18">
        <f t="shared" si="28"/>
        <v>-5.606166783461819E-3</v>
      </c>
    </row>
    <row r="1442" spans="1:7">
      <c r="A1442" s="13">
        <v>42.66</v>
      </c>
      <c r="B1442" s="13">
        <v>42.817100000000003</v>
      </c>
      <c r="C1442" s="13">
        <v>41.65</v>
      </c>
      <c r="D1442" s="13">
        <v>42.41</v>
      </c>
      <c r="E1442" s="13">
        <v>27589836</v>
      </c>
      <c r="F1442" s="13" t="s">
        <v>1123</v>
      </c>
      <c r="G1442" s="18">
        <f t="shared" si="28"/>
        <v>5.8948361235557911E-3</v>
      </c>
    </row>
    <row r="1443" spans="1:7">
      <c r="A1443" s="13">
        <v>45.47</v>
      </c>
      <c r="B1443" s="13">
        <v>45.73</v>
      </c>
      <c r="C1443" s="13">
        <v>45.36</v>
      </c>
      <c r="D1443" s="13">
        <v>45.65</v>
      </c>
      <c r="E1443" s="13">
        <v>4877623</v>
      </c>
      <c r="F1443" s="13" t="s">
        <v>1122</v>
      </c>
      <c r="G1443" s="18">
        <f t="shared" si="28"/>
        <v>-3.9430449069003393E-3</v>
      </c>
    </row>
    <row r="1444" spans="1:7">
      <c r="A1444" s="13">
        <v>45.67</v>
      </c>
      <c r="B1444" s="13">
        <v>46.11</v>
      </c>
      <c r="C1444" s="13">
        <v>45.55</v>
      </c>
      <c r="D1444" s="13">
        <v>45.95</v>
      </c>
      <c r="E1444" s="13">
        <v>5492725</v>
      </c>
      <c r="F1444" s="13" t="s">
        <v>1121</v>
      </c>
      <c r="G1444" s="18">
        <f t="shared" si="28"/>
        <v>-6.0935799782372291E-3</v>
      </c>
    </row>
    <row r="1445" spans="1:7">
      <c r="A1445" s="13">
        <v>45.71</v>
      </c>
      <c r="B1445" s="13">
        <v>46.13</v>
      </c>
      <c r="C1445" s="13">
        <v>45.49</v>
      </c>
      <c r="D1445" s="13">
        <v>45.96</v>
      </c>
      <c r="E1445" s="13">
        <v>7225830</v>
      </c>
      <c r="F1445" s="13" t="s">
        <v>1120</v>
      </c>
      <c r="G1445" s="18">
        <f t="shared" si="28"/>
        <v>-5.43951261966924E-3</v>
      </c>
    </row>
    <row r="1446" spans="1:7">
      <c r="A1446" s="13">
        <v>45.64</v>
      </c>
      <c r="B1446" s="13">
        <v>46.06</v>
      </c>
      <c r="C1446" s="13">
        <v>45.47</v>
      </c>
      <c r="D1446" s="13">
        <v>45.6</v>
      </c>
      <c r="E1446" s="13">
        <v>5071839</v>
      </c>
      <c r="F1446" s="13" t="s">
        <v>1119</v>
      </c>
      <c r="G1446" s="18">
        <f t="shared" si="28"/>
        <v>8.7719298245603206E-4</v>
      </c>
    </row>
    <row r="1447" spans="1:7">
      <c r="A1447" s="13">
        <v>45.4</v>
      </c>
      <c r="B1447" s="13">
        <v>45.58</v>
      </c>
      <c r="C1447" s="13">
        <v>44.97</v>
      </c>
      <c r="D1447" s="13">
        <v>45.12</v>
      </c>
      <c r="E1447" s="13">
        <v>4299106</v>
      </c>
      <c r="F1447" s="13" t="s">
        <v>1118</v>
      </c>
      <c r="G1447" s="18">
        <f t="shared" si="28"/>
        <v>6.2056737588653821E-3</v>
      </c>
    </row>
    <row r="1448" spans="1:7">
      <c r="A1448" s="13">
        <v>45.35</v>
      </c>
      <c r="B1448" s="13">
        <v>45.57</v>
      </c>
      <c r="C1448" s="13">
        <v>44.678400000000003</v>
      </c>
      <c r="D1448" s="13">
        <v>44.85</v>
      </c>
      <c r="E1448" s="13">
        <v>5768878</v>
      </c>
      <c r="F1448" s="13" t="s">
        <v>1117</v>
      </c>
      <c r="G1448" s="18">
        <f t="shared" si="28"/>
        <v>1.1148272017837302E-2</v>
      </c>
    </row>
    <row r="1449" spans="1:7">
      <c r="A1449" s="13">
        <v>44.98</v>
      </c>
      <c r="B1449" s="13">
        <v>45.21</v>
      </c>
      <c r="C1449" s="13">
        <v>44.35</v>
      </c>
      <c r="D1449" s="13">
        <v>44.52</v>
      </c>
      <c r="E1449" s="13">
        <v>4704213</v>
      </c>
      <c r="F1449" s="13" t="s">
        <v>1116</v>
      </c>
      <c r="G1449" s="18">
        <f t="shared" si="28"/>
        <v>1.0332434860736539E-2</v>
      </c>
    </row>
    <row r="1450" spans="1:7">
      <c r="A1450" s="13">
        <v>45.33</v>
      </c>
      <c r="B1450" s="13">
        <v>45.59</v>
      </c>
      <c r="C1450" s="13">
        <v>44.935000000000002</v>
      </c>
      <c r="D1450" s="13">
        <v>45.5</v>
      </c>
      <c r="E1450" s="13">
        <v>5761064</v>
      </c>
      <c r="F1450" s="13" t="s">
        <v>1115</v>
      </c>
      <c r="G1450" s="18">
        <f t="shared" si="28"/>
        <v>-3.7362637362637896E-3</v>
      </c>
    </row>
    <row r="1451" spans="1:7">
      <c r="A1451" s="13">
        <v>45.22</v>
      </c>
      <c r="B1451" s="13">
        <v>45.23</v>
      </c>
      <c r="C1451" s="13">
        <v>44.72</v>
      </c>
      <c r="D1451" s="13">
        <v>44.95</v>
      </c>
      <c r="E1451" s="13">
        <v>3725817</v>
      </c>
      <c r="F1451" s="13" t="s">
        <v>1114</v>
      </c>
      <c r="G1451" s="18">
        <f t="shared" si="28"/>
        <v>6.006674082313701E-3</v>
      </c>
    </row>
    <row r="1452" spans="1:7">
      <c r="A1452" s="13">
        <v>44.99</v>
      </c>
      <c r="B1452" s="13">
        <v>45.365000000000002</v>
      </c>
      <c r="C1452" s="13">
        <v>44.94</v>
      </c>
      <c r="D1452" s="13">
        <v>45.31</v>
      </c>
      <c r="E1452" s="13">
        <v>3868241</v>
      </c>
      <c r="F1452" s="13" t="s">
        <v>1113</v>
      </c>
      <c r="G1452" s="18">
        <f t="shared" si="28"/>
        <v>-7.0624586184064864E-3</v>
      </c>
    </row>
    <row r="1453" spans="1:7">
      <c r="A1453" s="13">
        <v>45.22</v>
      </c>
      <c r="B1453" s="13">
        <v>45.42</v>
      </c>
      <c r="C1453" s="13">
        <v>45.11</v>
      </c>
      <c r="D1453" s="13">
        <v>45.4</v>
      </c>
      <c r="E1453" s="13">
        <v>2123408</v>
      </c>
      <c r="F1453" s="13" t="s">
        <v>1112</v>
      </c>
      <c r="G1453" s="18">
        <f t="shared" si="28"/>
        <v>-3.9647577092510877E-3</v>
      </c>
    </row>
    <row r="1454" spans="1:7">
      <c r="A1454" s="13">
        <v>45.26</v>
      </c>
      <c r="B1454" s="13">
        <v>45.34</v>
      </c>
      <c r="C1454" s="13">
        <v>45.01</v>
      </c>
      <c r="D1454" s="13">
        <v>45.34</v>
      </c>
      <c r="E1454" s="13">
        <v>2009166</v>
      </c>
      <c r="F1454" s="13" t="s">
        <v>1111</v>
      </c>
      <c r="G1454" s="18">
        <f t="shared" si="28"/>
        <v>-1.7644464049405562E-3</v>
      </c>
    </row>
    <row r="1455" spans="1:7">
      <c r="A1455" s="13">
        <v>45.31</v>
      </c>
      <c r="B1455" s="13">
        <v>45.41</v>
      </c>
      <c r="C1455" s="13">
        <v>45.14</v>
      </c>
      <c r="D1455" s="13">
        <v>45.22</v>
      </c>
      <c r="E1455" s="13">
        <v>1036798</v>
      </c>
      <c r="F1455" s="13" t="s">
        <v>1110</v>
      </c>
      <c r="G1455" s="18">
        <f t="shared" si="28"/>
        <v>1.9902697921274637E-3</v>
      </c>
    </row>
    <row r="1456" spans="1:7">
      <c r="A1456" s="13">
        <v>45.22</v>
      </c>
      <c r="B1456" s="13">
        <v>45.48</v>
      </c>
      <c r="C1456" s="13">
        <v>44.81</v>
      </c>
      <c r="D1456" s="13">
        <v>45.48</v>
      </c>
      <c r="E1456" s="13">
        <v>5062114</v>
      </c>
      <c r="F1456" s="13" t="s">
        <v>1109</v>
      </c>
      <c r="G1456" s="18">
        <f t="shared" si="28"/>
        <v>-5.7167985927879528E-3</v>
      </c>
    </row>
    <row r="1457" spans="1:7">
      <c r="A1457" s="13">
        <v>45.37</v>
      </c>
      <c r="B1457" s="13">
        <v>46.62</v>
      </c>
      <c r="C1457" s="13">
        <v>45.075000000000003</v>
      </c>
      <c r="D1457" s="13">
        <v>45.26</v>
      </c>
      <c r="E1457" s="13">
        <v>14231759</v>
      </c>
      <c r="F1457" s="13" t="s">
        <v>1108</v>
      </c>
      <c r="G1457" s="18">
        <f t="shared" si="28"/>
        <v>2.4304021210781457E-3</v>
      </c>
    </row>
    <row r="1458" spans="1:7">
      <c r="A1458" s="13">
        <v>44.83</v>
      </c>
      <c r="B1458" s="13">
        <v>44.96</v>
      </c>
      <c r="C1458" s="13">
        <v>44.13</v>
      </c>
      <c r="D1458" s="13">
        <v>44.18</v>
      </c>
      <c r="E1458" s="13">
        <v>6883102</v>
      </c>
      <c r="F1458" s="13" t="s">
        <v>1107</v>
      </c>
      <c r="G1458" s="18">
        <f t="shared" ref="G1458:G1521" si="29">A1458/D1458-1</f>
        <v>1.4712539610683528E-2</v>
      </c>
    </row>
    <row r="1459" spans="1:7">
      <c r="A1459" s="13">
        <v>44.74</v>
      </c>
      <c r="B1459" s="13">
        <v>44.905000000000001</v>
      </c>
      <c r="C1459" s="13">
        <v>44.64</v>
      </c>
      <c r="D1459" s="13">
        <v>44.87</v>
      </c>
      <c r="E1459" s="13">
        <v>4932617</v>
      </c>
      <c r="F1459" s="13" t="s">
        <v>1106</v>
      </c>
      <c r="G1459" s="18">
        <f t="shared" si="29"/>
        <v>-2.8972587474926925E-3</v>
      </c>
    </row>
    <row r="1460" spans="1:7">
      <c r="A1460" s="13">
        <v>44.75</v>
      </c>
      <c r="B1460" s="13">
        <v>45.21</v>
      </c>
      <c r="C1460" s="13">
        <v>44.484999999999999</v>
      </c>
      <c r="D1460" s="13">
        <v>45.11</v>
      </c>
      <c r="E1460" s="13">
        <v>9109463</v>
      </c>
      <c r="F1460" s="13" t="s">
        <v>1105</v>
      </c>
      <c r="G1460" s="18">
        <f t="shared" si="29"/>
        <v>-7.9804921303480159E-3</v>
      </c>
    </row>
    <row r="1461" spans="1:7">
      <c r="A1461" s="13">
        <v>45.2</v>
      </c>
      <c r="B1461" s="13">
        <v>45.68</v>
      </c>
      <c r="C1461" s="13">
        <v>45.14</v>
      </c>
      <c r="D1461" s="13">
        <v>45.45</v>
      </c>
      <c r="E1461" s="13">
        <v>8569449</v>
      </c>
      <c r="F1461" s="13" t="s">
        <v>1104</v>
      </c>
      <c r="G1461" s="18">
        <f t="shared" si="29"/>
        <v>-5.5005500550054931E-3</v>
      </c>
    </row>
    <row r="1462" spans="1:7">
      <c r="A1462" s="13">
        <v>45.09</v>
      </c>
      <c r="B1462" s="13">
        <v>45.27</v>
      </c>
      <c r="C1462" s="13">
        <v>44.4</v>
      </c>
      <c r="D1462" s="13">
        <v>44.45</v>
      </c>
      <c r="E1462" s="13">
        <v>7538964</v>
      </c>
      <c r="F1462" s="13" t="s">
        <v>1103</v>
      </c>
      <c r="G1462" s="18">
        <f t="shared" si="29"/>
        <v>1.4398200224971847E-2</v>
      </c>
    </row>
    <row r="1463" spans="1:7">
      <c r="A1463" s="13">
        <v>44.67</v>
      </c>
      <c r="B1463" s="13">
        <v>44.85</v>
      </c>
      <c r="C1463" s="13">
        <v>43.78</v>
      </c>
      <c r="D1463" s="13">
        <v>43.81</v>
      </c>
      <c r="E1463" s="13">
        <v>7023052</v>
      </c>
      <c r="F1463" s="13" t="s">
        <v>1102</v>
      </c>
      <c r="G1463" s="18">
        <f t="shared" si="29"/>
        <v>1.963022141063675E-2</v>
      </c>
    </row>
    <row r="1464" spans="1:7">
      <c r="A1464" s="13">
        <v>43.82</v>
      </c>
      <c r="B1464" s="13">
        <v>44.04</v>
      </c>
      <c r="C1464" s="13">
        <v>43.765000000000001</v>
      </c>
      <c r="D1464" s="13">
        <v>44</v>
      </c>
      <c r="E1464" s="13">
        <v>5844163</v>
      </c>
      <c r="F1464" s="13" t="s">
        <v>1101</v>
      </c>
      <c r="G1464" s="18">
        <f t="shared" si="29"/>
        <v>-4.090909090909034E-3</v>
      </c>
    </row>
    <row r="1465" spans="1:7">
      <c r="A1465" s="13">
        <v>44.01</v>
      </c>
      <c r="B1465" s="13">
        <v>44.31</v>
      </c>
      <c r="C1465" s="13">
        <v>43.5</v>
      </c>
      <c r="D1465" s="13">
        <v>43.73</v>
      </c>
      <c r="E1465" s="13">
        <v>5704839</v>
      </c>
      <c r="F1465" s="13" t="s">
        <v>1100</v>
      </c>
      <c r="G1465" s="18">
        <f t="shared" si="29"/>
        <v>6.4029270523668913E-3</v>
      </c>
    </row>
    <row r="1466" spans="1:7">
      <c r="A1466" s="13">
        <v>43.71</v>
      </c>
      <c r="B1466" s="13">
        <v>44.17</v>
      </c>
      <c r="C1466" s="13">
        <v>43.66</v>
      </c>
      <c r="D1466" s="13">
        <v>44.07</v>
      </c>
      <c r="E1466" s="13">
        <v>9853398</v>
      </c>
      <c r="F1466" s="13" t="s">
        <v>1099</v>
      </c>
      <c r="G1466" s="18">
        <f t="shared" si="29"/>
        <v>-8.1688223281143335E-3</v>
      </c>
    </row>
    <row r="1467" spans="1:7">
      <c r="A1467" s="13">
        <v>44.08</v>
      </c>
      <c r="B1467" s="13">
        <v>44.215000000000003</v>
      </c>
      <c r="C1467" s="13">
        <v>43.36</v>
      </c>
      <c r="D1467" s="13">
        <v>43.5</v>
      </c>
      <c r="E1467" s="13">
        <v>7951403</v>
      </c>
      <c r="F1467" s="13" t="s">
        <v>1098</v>
      </c>
      <c r="G1467" s="18">
        <f t="shared" si="29"/>
        <v>1.3333333333333197E-2</v>
      </c>
    </row>
    <row r="1468" spans="1:7">
      <c r="A1468" s="13">
        <v>43.26</v>
      </c>
      <c r="B1468" s="13">
        <v>43.41</v>
      </c>
      <c r="C1468" s="13">
        <v>42.57</v>
      </c>
      <c r="D1468" s="13">
        <v>43.06</v>
      </c>
      <c r="E1468" s="13">
        <v>5409225</v>
      </c>
      <c r="F1468" s="13" t="s">
        <v>1097</v>
      </c>
      <c r="G1468" s="18">
        <f t="shared" si="29"/>
        <v>4.644681839294007E-3</v>
      </c>
    </row>
    <row r="1469" spans="1:7">
      <c r="A1469" s="13">
        <v>43.01</v>
      </c>
      <c r="B1469" s="13">
        <v>43.12</v>
      </c>
      <c r="C1469" s="13">
        <v>42.71</v>
      </c>
      <c r="D1469" s="13">
        <v>42.82</v>
      </c>
      <c r="E1469" s="13">
        <v>3657669</v>
      </c>
      <c r="F1469" s="13" t="s">
        <v>1096</v>
      </c>
      <c r="G1469" s="18">
        <f t="shared" si="29"/>
        <v>4.4371788883699192E-3</v>
      </c>
    </row>
    <row r="1470" spans="1:7">
      <c r="A1470" s="13">
        <v>42.61</v>
      </c>
      <c r="B1470" s="13">
        <v>42.784999999999997</v>
      </c>
      <c r="C1470" s="13">
        <v>42.22</v>
      </c>
      <c r="D1470" s="13">
        <v>42.31</v>
      </c>
      <c r="E1470" s="13">
        <v>3262065</v>
      </c>
      <c r="F1470" s="13" t="s">
        <v>1095</v>
      </c>
      <c r="G1470" s="18">
        <f t="shared" si="29"/>
        <v>7.0905223351451774E-3</v>
      </c>
    </row>
    <row r="1471" spans="1:7">
      <c r="A1471" s="13">
        <v>42.72</v>
      </c>
      <c r="B1471" s="13">
        <v>43.4</v>
      </c>
      <c r="C1471" s="13">
        <v>42.35</v>
      </c>
      <c r="D1471" s="13">
        <v>43.33</v>
      </c>
      <c r="E1471" s="13">
        <v>4920773</v>
      </c>
      <c r="F1471" s="13" t="s">
        <v>1094</v>
      </c>
      <c r="G1471" s="18">
        <f t="shared" si="29"/>
        <v>-1.4078006000461607E-2</v>
      </c>
    </row>
    <row r="1472" spans="1:7">
      <c r="A1472" s="13">
        <v>43.25</v>
      </c>
      <c r="B1472" s="13">
        <v>43.35</v>
      </c>
      <c r="C1472" s="13">
        <v>42.87</v>
      </c>
      <c r="D1472" s="13">
        <v>43.15</v>
      </c>
      <c r="E1472" s="13">
        <v>2375455</v>
      </c>
      <c r="F1472" s="13" t="s">
        <v>1093</v>
      </c>
      <c r="G1472" s="18">
        <f t="shared" si="29"/>
        <v>2.3174971031285629E-3</v>
      </c>
    </row>
    <row r="1473" spans="1:7">
      <c r="A1473" s="13">
        <v>43.21</v>
      </c>
      <c r="B1473" s="13">
        <v>43.33</v>
      </c>
      <c r="C1473" s="13">
        <v>42.87</v>
      </c>
      <c r="D1473" s="13">
        <v>43</v>
      </c>
      <c r="E1473" s="13">
        <v>4736007</v>
      </c>
      <c r="F1473" s="13" t="s">
        <v>1092</v>
      </c>
      <c r="G1473" s="18">
        <f t="shared" si="29"/>
        <v>4.8837209302325935E-3</v>
      </c>
    </row>
    <row r="1474" spans="1:7">
      <c r="A1474" s="13">
        <v>42.83</v>
      </c>
      <c r="B1474" s="13">
        <v>42.88</v>
      </c>
      <c r="C1474" s="13">
        <v>42.6</v>
      </c>
      <c r="D1474" s="13">
        <v>42.86</v>
      </c>
      <c r="E1474" s="13">
        <v>5847856</v>
      </c>
      <c r="F1474" s="13" t="s">
        <v>1091</v>
      </c>
      <c r="G1474" s="18">
        <f t="shared" si="29"/>
        <v>-6.9995333644423674E-4</v>
      </c>
    </row>
    <row r="1475" spans="1:7">
      <c r="A1475" s="13">
        <v>42.85</v>
      </c>
      <c r="B1475" s="13">
        <v>42.89</v>
      </c>
      <c r="C1475" s="13">
        <v>41.99</v>
      </c>
      <c r="D1475" s="13">
        <v>42.1</v>
      </c>
      <c r="E1475" s="13">
        <v>5029907</v>
      </c>
      <c r="F1475" s="13" t="s">
        <v>1090</v>
      </c>
      <c r="G1475" s="18">
        <f t="shared" si="29"/>
        <v>1.7814726840855055E-2</v>
      </c>
    </row>
    <row r="1476" spans="1:7">
      <c r="A1476" s="13">
        <v>41.85</v>
      </c>
      <c r="B1476" s="13">
        <v>42.55</v>
      </c>
      <c r="C1476" s="13">
        <v>41.645000000000003</v>
      </c>
      <c r="D1476" s="13">
        <v>42.48</v>
      </c>
      <c r="E1476" s="13">
        <v>5655492</v>
      </c>
      <c r="F1476" s="13" t="s">
        <v>1089</v>
      </c>
      <c r="G1476" s="18">
        <f t="shared" si="29"/>
        <v>-1.4830508474576121E-2</v>
      </c>
    </row>
    <row r="1477" spans="1:7">
      <c r="A1477" s="13">
        <v>42.36</v>
      </c>
      <c r="B1477" s="13">
        <v>42.56</v>
      </c>
      <c r="C1477" s="13">
        <v>41.872</v>
      </c>
      <c r="D1477" s="13">
        <v>42.49</v>
      </c>
      <c r="E1477" s="13">
        <v>3935791</v>
      </c>
      <c r="F1477" s="13" t="s">
        <v>1088</v>
      </c>
      <c r="G1477" s="18">
        <f t="shared" si="29"/>
        <v>-3.0595434219816697E-3</v>
      </c>
    </row>
    <row r="1478" spans="1:7">
      <c r="A1478" s="13">
        <v>42.61</v>
      </c>
      <c r="B1478" s="13">
        <v>42.84</v>
      </c>
      <c r="C1478" s="13">
        <v>42.305</v>
      </c>
      <c r="D1478" s="13">
        <v>42.59</v>
      </c>
      <c r="E1478" s="13">
        <v>5274366</v>
      </c>
      <c r="F1478" s="13" t="s">
        <v>1087</v>
      </c>
      <c r="G1478" s="18">
        <f t="shared" si="29"/>
        <v>4.695938013616896E-4</v>
      </c>
    </row>
    <row r="1479" spans="1:7">
      <c r="A1479" s="13">
        <v>42.63</v>
      </c>
      <c r="B1479" s="13">
        <v>42.725000000000001</v>
      </c>
      <c r="C1479" s="13">
        <v>42.07</v>
      </c>
      <c r="D1479" s="13">
        <v>42.36</v>
      </c>
      <c r="E1479" s="13">
        <v>5389692</v>
      </c>
      <c r="F1479" s="13" t="s">
        <v>1086</v>
      </c>
      <c r="G1479" s="18">
        <f t="shared" si="29"/>
        <v>6.3739376770539646E-3</v>
      </c>
    </row>
    <row r="1480" spans="1:7">
      <c r="A1480" s="13">
        <v>42.29</v>
      </c>
      <c r="B1480" s="13">
        <v>43.49</v>
      </c>
      <c r="C1480" s="13">
        <v>42.17</v>
      </c>
      <c r="D1480" s="13">
        <v>42.36</v>
      </c>
      <c r="E1480" s="13">
        <v>11969782</v>
      </c>
      <c r="F1480" s="13" t="s">
        <v>1085</v>
      </c>
      <c r="G1480" s="18">
        <f t="shared" si="29"/>
        <v>-1.6525023607176781E-3</v>
      </c>
    </row>
    <row r="1481" spans="1:7">
      <c r="A1481" s="13">
        <v>42.31</v>
      </c>
      <c r="B1481" s="13">
        <v>42.32</v>
      </c>
      <c r="C1481" s="13">
        <v>41.56</v>
      </c>
      <c r="D1481" s="13">
        <v>41.89</v>
      </c>
      <c r="E1481" s="13">
        <v>7514497</v>
      </c>
      <c r="F1481" s="13" t="s">
        <v>1084</v>
      </c>
      <c r="G1481" s="18">
        <f t="shared" si="29"/>
        <v>1.002625925041789E-2</v>
      </c>
    </row>
    <row r="1482" spans="1:7">
      <c r="A1482" s="13">
        <v>41.57</v>
      </c>
      <c r="B1482" s="13">
        <v>41.66</v>
      </c>
      <c r="C1482" s="13">
        <v>41.26</v>
      </c>
      <c r="D1482" s="13">
        <v>41.45</v>
      </c>
      <c r="E1482" s="13">
        <v>4674451</v>
      </c>
      <c r="F1482" s="13" t="s">
        <v>1083</v>
      </c>
      <c r="G1482" s="18">
        <f t="shared" si="29"/>
        <v>2.8950542822676617E-3</v>
      </c>
    </row>
    <row r="1483" spans="1:7">
      <c r="A1483" s="13">
        <v>41.42</v>
      </c>
      <c r="B1483" s="13">
        <v>41.55</v>
      </c>
      <c r="C1483" s="13">
        <v>41.01</v>
      </c>
      <c r="D1483" s="13">
        <v>41.28</v>
      </c>
      <c r="E1483" s="13">
        <v>5149881</v>
      </c>
      <c r="F1483" s="13" t="s">
        <v>1082</v>
      </c>
      <c r="G1483" s="18">
        <f t="shared" si="29"/>
        <v>3.3914728682171713E-3</v>
      </c>
    </row>
    <row r="1484" spans="1:7">
      <c r="A1484" s="13">
        <v>41.22</v>
      </c>
      <c r="B1484" s="13">
        <v>41.29</v>
      </c>
      <c r="C1484" s="13">
        <v>40.17</v>
      </c>
      <c r="D1484" s="13">
        <v>40.22</v>
      </c>
      <c r="E1484" s="13">
        <v>7076912</v>
      </c>
      <c r="F1484" s="13" t="s">
        <v>1081</v>
      </c>
      <c r="G1484" s="18">
        <f t="shared" si="29"/>
        <v>2.4863252113376477E-2</v>
      </c>
    </row>
    <row r="1485" spans="1:7">
      <c r="A1485" s="13">
        <v>40.17</v>
      </c>
      <c r="B1485" s="13">
        <v>40.79</v>
      </c>
      <c r="C1485" s="13">
        <v>40.04</v>
      </c>
      <c r="D1485" s="13">
        <v>40.32</v>
      </c>
      <c r="E1485" s="13">
        <v>5199655</v>
      </c>
      <c r="F1485" s="13" t="s">
        <v>1080</v>
      </c>
      <c r="G1485" s="18">
        <f t="shared" si="29"/>
        <v>-3.7202380952380265E-3</v>
      </c>
    </row>
    <row r="1486" spans="1:7">
      <c r="A1486" s="13">
        <v>40.51</v>
      </c>
      <c r="B1486" s="13">
        <v>40.86</v>
      </c>
      <c r="C1486" s="13">
        <v>40.409999999999997</v>
      </c>
      <c r="D1486" s="13">
        <v>40.61</v>
      </c>
      <c r="E1486" s="13">
        <v>3235631</v>
      </c>
      <c r="F1486" s="13" t="s">
        <v>1079</v>
      </c>
      <c r="G1486" s="18">
        <f t="shared" si="29"/>
        <v>-2.4624476729869782E-3</v>
      </c>
    </row>
    <row r="1487" spans="1:7">
      <c r="A1487" s="13">
        <v>40.72</v>
      </c>
      <c r="B1487" s="13">
        <v>41.03</v>
      </c>
      <c r="C1487" s="13">
        <v>40.333100000000002</v>
      </c>
      <c r="D1487" s="13">
        <v>40.76</v>
      </c>
      <c r="E1487" s="13">
        <v>4586078</v>
      </c>
      <c r="F1487" s="13" t="s">
        <v>1078</v>
      </c>
      <c r="G1487" s="18">
        <f t="shared" si="29"/>
        <v>-9.8135426889101041E-4</v>
      </c>
    </row>
    <row r="1488" spans="1:7">
      <c r="A1488" s="13">
        <v>40.72</v>
      </c>
      <c r="B1488" s="13">
        <v>40.97</v>
      </c>
      <c r="C1488" s="13">
        <v>40.19</v>
      </c>
      <c r="D1488" s="13">
        <v>40.75</v>
      </c>
      <c r="E1488" s="13">
        <v>4296049</v>
      </c>
      <c r="F1488" s="13" t="s">
        <v>1077</v>
      </c>
      <c r="G1488" s="18">
        <f t="shared" si="29"/>
        <v>-7.3619631901844507E-4</v>
      </c>
    </row>
    <row r="1489" spans="1:7">
      <c r="A1489" s="13">
        <v>40.590000000000003</v>
      </c>
      <c r="B1489" s="13">
        <v>40.96</v>
      </c>
      <c r="C1489" s="13">
        <v>40.155000000000001</v>
      </c>
      <c r="D1489" s="13">
        <v>40.9</v>
      </c>
      <c r="E1489" s="13">
        <v>5801154</v>
      </c>
      <c r="F1489" s="13" t="s">
        <v>1076</v>
      </c>
      <c r="G1489" s="18">
        <f t="shared" si="29"/>
        <v>-7.5794621026893383E-3</v>
      </c>
    </row>
    <row r="1490" spans="1:7">
      <c r="A1490" s="13">
        <v>40.98</v>
      </c>
      <c r="B1490" s="13">
        <v>41.71</v>
      </c>
      <c r="C1490" s="13">
        <v>40.814999999999998</v>
      </c>
      <c r="D1490" s="13">
        <v>41.71</v>
      </c>
      <c r="E1490" s="13">
        <v>6187154</v>
      </c>
      <c r="F1490" s="13" t="s">
        <v>1075</v>
      </c>
      <c r="G1490" s="18">
        <f t="shared" si="29"/>
        <v>-1.7501798129944901E-2</v>
      </c>
    </row>
    <row r="1491" spans="1:7">
      <c r="A1491" s="13">
        <v>41.51</v>
      </c>
      <c r="B1491" s="13">
        <v>42.42</v>
      </c>
      <c r="C1491" s="13">
        <v>41.41</v>
      </c>
      <c r="D1491" s="13">
        <v>42.05</v>
      </c>
      <c r="E1491" s="13">
        <v>7382379</v>
      </c>
      <c r="F1491" s="13" t="s">
        <v>1074</v>
      </c>
      <c r="G1491" s="18">
        <f t="shared" si="29"/>
        <v>-1.284185493460166E-2</v>
      </c>
    </row>
    <row r="1492" spans="1:7">
      <c r="A1492" s="13">
        <v>41.7</v>
      </c>
      <c r="B1492" s="13">
        <v>42.07</v>
      </c>
      <c r="C1492" s="13">
        <v>41.604999999999997</v>
      </c>
      <c r="D1492" s="13">
        <v>41.92</v>
      </c>
      <c r="E1492" s="13">
        <v>5321689</v>
      </c>
      <c r="F1492" s="13" t="s">
        <v>1073</v>
      </c>
      <c r="G1492" s="18">
        <f t="shared" si="29"/>
        <v>-5.2480916030533953E-3</v>
      </c>
    </row>
    <row r="1493" spans="1:7">
      <c r="A1493" s="13">
        <v>42.01</v>
      </c>
      <c r="B1493" s="13">
        <v>42.04</v>
      </c>
      <c r="C1493" s="13">
        <v>41.37</v>
      </c>
      <c r="D1493" s="13">
        <v>41.86</v>
      </c>
      <c r="E1493" s="13">
        <v>4275049</v>
      </c>
      <c r="F1493" s="13" t="s">
        <v>1072</v>
      </c>
      <c r="G1493" s="18">
        <f t="shared" si="29"/>
        <v>3.5833731485905851E-3</v>
      </c>
    </row>
    <row r="1494" spans="1:7">
      <c r="A1494" s="13">
        <v>41.75</v>
      </c>
      <c r="B1494" s="13">
        <v>42.11</v>
      </c>
      <c r="C1494" s="13">
        <v>41.25</v>
      </c>
      <c r="D1494" s="13">
        <v>41.36</v>
      </c>
      <c r="E1494" s="13">
        <v>4831266</v>
      </c>
      <c r="F1494" s="13" t="s">
        <v>1071</v>
      </c>
      <c r="G1494" s="18">
        <f t="shared" si="29"/>
        <v>9.4294003868471421E-3</v>
      </c>
    </row>
    <row r="1495" spans="1:7">
      <c r="A1495" s="13">
        <v>41.57</v>
      </c>
      <c r="B1495" s="13">
        <v>41.68</v>
      </c>
      <c r="C1495" s="13">
        <v>40.81</v>
      </c>
      <c r="D1495" s="13">
        <v>40.85</v>
      </c>
      <c r="E1495" s="13">
        <v>6527825</v>
      </c>
      <c r="F1495" s="13" t="s">
        <v>1070</v>
      </c>
      <c r="G1495" s="18">
        <f t="shared" si="29"/>
        <v>1.7625458996328058E-2</v>
      </c>
    </row>
    <row r="1496" spans="1:7">
      <c r="A1496" s="13">
        <v>40.85</v>
      </c>
      <c r="B1496" s="13">
        <v>41.24</v>
      </c>
      <c r="C1496" s="13">
        <v>40.26</v>
      </c>
      <c r="D1496" s="13">
        <v>40.479999999999997</v>
      </c>
      <c r="E1496" s="13">
        <v>6548950</v>
      </c>
      <c r="F1496" s="13" t="s">
        <v>1069</v>
      </c>
      <c r="G1496" s="18">
        <f t="shared" si="29"/>
        <v>9.1403162055336828E-3</v>
      </c>
    </row>
    <row r="1497" spans="1:7">
      <c r="A1497" s="13">
        <v>40.54</v>
      </c>
      <c r="B1497" s="13">
        <v>40.72</v>
      </c>
      <c r="C1497" s="13">
        <v>39.89</v>
      </c>
      <c r="D1497" s="13">
        <v>40.22</v>
      </c>
      <c r="E1497" s="13">
        <v>10835350</v>
      </c>
      <c r="F1497" s="13" t="s">
        <v>1068</v>
      </c>
      <c r="G1497" s="18">
        <f t="shared" si="29"/>
        <v>7.9562406762805349E-3</v>
      </c>
    </row>
    <row r="1498" spans="1:7">
      <c r="A1498" s="13">
        <v>40.090000000000003</v>
      </c>
      <c r="B1498" s="13">
        <v>41.24</v>
      </c>
      <c r="C1498" s="13">
        <v>39.770000000000003</v>
      </c>
      <c r="D1498" s="13">
        <v>40.75</v>
      </c>
      <c r="E1498" s="13">
        <v>21369887</v>
      </c>
      <c r="F1498" s="13" t="s">
        <v>1067</v>
      </c>
      <c r="G1498" s="18">
        <f t="shared" si="29"/>
        <v>-1.6196319018404792E-2</v>
      </c>
    </row>
    <row r="1499" spans="1:7">
      <c r="A1499" s="13">
        <v>38.18</v>
      </c>
      <c r="B1499" s="13">
        <v>38.935000000000002</v>
      </c>
      <c r="C1499" s="13">
        <v>38.085000000000001</v>
      </c>
      <c r="D1499" s="13">
        <v>38.9</v>
      </c>
      <c r="E1499" s="13">
        <v>9868865</v>
      </c>
      <c r="F1499" s="13" t="s">
        <v>1066</v>
      </c>
      <c r="G1499" s="18">
        <f t="shared" si="29"/>
        <v>-1.8508997429305896E-2</v>
      </c>
    </row>
    <row r="1500" spans="1:7">
      <c r="A1500" s="13">
        <v>38.65</v>
      </c>
      <c r="B1500" s="13">
        <v>38.950000000000003</v>
      </c>
      <c r="C1500" s="13">
        <v>38.5</v>
      </c>
      <c r="D1500" s="13">
        <v>38.67</v>
      </c>
      <c r="E1500" s="13">
        <v>8770058</v>
      </c>
      <c r="F1500" s="13" t="s">
        <v>1065</v>
      </c>
      <c r="G1500" s="18">
        <f t="shared" si="29"/>
        <v>-5.1719679337991487E-4</v>
      </c>
    </row>
    <row r="1501" spans="1:7">
      <c r="A1501" s="13">
        <v>38.47</v>
      </c>
      <c r="B1501" s="13">
        <v>38.659999999999997</v>
      </c>
      <c r="C1501" s="13">
        <v>38.01</v>
      </c>
      <c r="D1501" s="13">
        <v>38.25</v>
      </c>
      <c r="E1501" s="13">
        <v>10584809</v>
      </c>
      <c r="F1501" s="13" t="s">
        <v>1064</v>
      </c>
      <c r="G1501" s="18">
        <f t="shared" si="29"/>
        <v>5.7516339869281286E-3</v>
      </c>
    </row>
    <row r="1502" spans="1:7">
      <c r="A1502" s="13">
        <v>38.17</v>
      </c>
      <c r="B1502" s="13">
        <v>38.56</v>
      </c>
      <c r="C1502" s="13">
        <v>38.125</v>
      </c>
      <c r="D1502" s="13">
        <v>38.43</v>
      </c>
      <c r="E1502" s="13">
        <v>6337983</v>
      </c>
      <c r="F1502" s="13" t="s">
        <v>1063</v>
      </c>
      <c r="G1502" s="18">
        <f t="shared" si="29"/>
        <v>-6.765547749154277E-3</v>
      </c>
    </row>
    <row r="1503" spans="1:7">
      <c r="A1503" s="13">
        <v>38.18</v>
      </c>
      <c r="B1503" s="13">
        <v>38.4</v>
      </c>
      <c r="C1503" s="13">
        <v>37.868400000000001</v>
      </c>
      <c r="D1503" s="13">
        <v>38.22</v>
      </c>
      <c r="E1503" s="13">
        <v>14838164</v>
      </c>
      <c r="F1503" s="13" t="s">
        <v>1062</v>
      </c>
      <c r="G1503" s="18">
        <f t="shared" si="29"/>
        <v>-1.0465724751438366E-3</v>
      </c>
    </row>
    <row r="1504" spans="1:7">
      <c r="A1504" s="13">
        <v>38.46</v>
      </c>
      <c r="B1504" s="13">
        <v>38.655000000000001</v>
      </c>
      <c r="C1504" s="13">
        <v>37.76</v>
      </c>
      <c r="D1504" s="13">
        <v>38.380000000000003</v>
      </c>
      <c r="E1504" s="13">
        <v>10241455</v>
      </c>
      <c r="F1504" s="13" t="s">
        <v>1061</v>
      </c>
      <c r="G1504" s="18">
        <f t="shared" si="29"/>
        <v>2.0844189682125425E-3</v>
      </c>
    </row>
    <row r="1505" spans="1:7">
      <c r="A1505" s="13">
        <v>37.97</v>
      </c>
      <c r="B1505" s="13">
        <v>38.520000000000003</v>
      </c>
      <c r="C1505" s="13">
        <v>37.950000000000003</v>
      </c>
      <c r="D1505" s="13">
        <v>38.28</v>
      </c>
      <c r="E1505" s="13">
        <v>5517352</v>
      </c>
      <c r="F1505" s="13" t="s">
        <v>1060</v>
      </c>
      <c r="G1505" s="18">
        <f t="shared" si="29"/>
        <v>-8.0982236154650833E-3</v>
      </c>
    </row>
    <row r="1506" spans="1:7">
      <c r="A1506" s="13">
        <v>38.229999999999997</v>
      </c>
      <c r="B1506" s="13">
        <v>38.945</v>
      </c>
      <c r="C1506" s="13">
        <v>38.11</v>
      </c>
      <c r="D1506" s="13">
        <v>38.32</v>
      </c>
      <c r="E1506" s="13">
        <v>16058114</v>
      </c>
      <c r="F1506" s="13" t="s">
        <v>1059</v>
      </c>
      <c r="G1506" s="18">
        <f t="shared" si="29"/>
        <v>-2.3486430062631403E-3</v>
      </c>
    </row>
    <row r="1507" spans="1:7">
      <c r="A1507" s="13">
        <v>37.979999999999997</v>
      </c>
      <c r="B1507" s="13">
        <v>38.57</v>
      </c>
      <c r="C1507" s="13">
        <v>37.645000000000003</v>
      </c>
      <c r="D1507" s="13">
        <v>38.29</v>
      </c>
      <c r="E1507" s="13">
        <v>17401253</v>
      </c>
      <c r="F1507" s="13" t="s">
        <v>1058</v>
      </c>
      <c r="G1507" s="18">
        <f t="shared" si="29"/>
        <v>-8.0961086445547892E-3</v>
      </c>
    </row>
    <row r="1508" spans="1:7">
      <c r="A1508" s="13">
        <v>38.61</v>
      </c>
      <c r="B1508" s="13">
        <v>38.880000000000003</v>
      </c>
      <c r="C1508" s="13">
        <v>38.229999999999997</v>
      </c>
      <c r="D1508" s="13">
        <v>38.299999999999997</v>
      </c>
      <c r="E1508" s="13">
        <v>8652886</v>
      </c>
      <c r="F1508" s="13" t="s">
        <v>1057</v>
      </c>
      <c r="G1508" s="18">
        <f t="shared" si="29"/>
        <v>8.0939947780680477E-3</v>
      </c>
    </row>
    <row r="1509" spans="1:7">
      <c r="A1509" s="13">
        <v>37.869999999999997</v>
      </c>
      <c r="B1509" s="13">
        <v>40.229999999999997</v>
      </c>
      <c r="C1509" s="13">
        <v>37.78</v>
      </c>
      <c r="D1509" s="13">
        <v>40.049999999999997</v>
      </c>
      <c r="E1509" s="13">
        <v>19613371</v>
      </c>
      <c r="F1509" s="13" t="s">
        <v>1056</v>
      </c>
      <c r="G1509" s="18">
        <f t="shared" si="29"/>
        <v>-5.4431960049937556E-2</v>
      </c>
    </row>
    <row r="1510" spans="1:7">
      <c r="A1510" s="13">
        <v>40.35</v>
      </c>
      <c r="B1510" s="13">
        <v>40.51</v>
      </c>
      <c r="C1510" s="13">
        <v>40.104999999999997</v>
      </c>
      <c r="D1510" s="13">
        <v>40.35</v>
      </c>
      <c r="E1510" s="13">
        <v>3616638</v>
      </c>
      <c r="F1510" s="13" t="s">
        <v>1055</v>
      </c>
      <c r="G1510" s="18">
        <f t="shared" si="29"/>
        <v>0</v>
      </c>
    </row>
    <row r="1511" spans="1:7">
      <c r="A1511" s="13">
        <v>40.53</v>
      </c>
      <c r="B1511" s="13">
        <v>40.715000000000003</v>
      </c>
      <c r="C1511" s="13">
        <v>39.89</v>
      </c>
      <c r="D1511" s="13">
        <v>40.04</v>
      </c>
      <c r="E1511" s="13">
        <v>6235817</v>
      </c>
      <c r="F1511" s="13" t="s">
        <v>1054</v>
      </c>
      <c r="G1511" s="18">
        <f t="shared" si="29"/>
        <v>1.2237762237762295E-2</v>
      </c>
    </row>
    <row r="1512" spans="1:7">
      <c r="A1512" s="13">
        <v>39.75</v>
      </c>
      <c r="B1512" s="13">
        <v>39.83</v>
      </c>
      <c r="C1512" s="13">
        <v>38.9</v>
      </c>
      <c r="D1512" s="13">
        <v>39.090000000000003</v>
      </c>
      <c r="E1512" s="13">
        <v>5536149</v>
      </c>
      <c r="F1512" s="13" t="s">
        <v>1053</v>
      </c>
      <c r="G1512" s="18">
        <f t="shared" si="29"/>
        <v>1.6884113584036742E-2</v>
      </c>
    </row>
    <row r="1513" spans="1:7">
      <c r="A1513" s="13">
        <v>39.15</v>
      </c>
      <c r="B1513" s="13">
        <v>39.905000000000001</v>
      </c>
      <c r="C1513" s="13">
        <v>38.9</v>
      </c>
      <c r="D1513" s="13">
        <v>39.770000000000003</v>
      </c>
      <c r="E1513" s="13">
        <v>8431489</v>
      </c>
      <c r="F1513" s="13" t="s">
        <v>1052</v>
      </c>
      <c r="G1513" s="18">
        <f t="shared" si="29"/>
        <v>-1.5589640432486895E-2</v>
      </c>
    </row>
    <row r="1514" spans="1:7">
      <c r="A1514" s="13">
        <v>40.24</v>
      </c>
      <c r="B1514" s="13">
        <v>41.38</v>
      </c>
      <c r="C1514" s="13">
        <v>40.104999999999997</v>
      </c>
      <c r="D1514" s="13">
        <v>40.93</v>
      </c>
      <c r="E1514" s="13">
        <v>6123800</v>
      </c>
      <c r="F1514" s="13" t="s">
        <v>1051</v>
      </c>
      <c r="G1514" s="18">
        <f t="shared" si="29"/>
        <v>-1.6858050329831342E-2</v>
      </c>
    </row>
    <row r="1515" spans="1:7">
      <c r="A1515" s="13">
        <v>40.69</v>
      </c>
      <c r="B1515" s="13">
        <v>41.06</v>
      </c>
      <c r="C1515" s="13">
        <v>40.22</v>
      </c>
      <c r="D1515" s="13">
        <v>40.409999999999997</v>
      </c>
      <c r="E1515" s="13">
        <v>8029296</v>
      </c>
      <c r="F1515" s="13" t="s">
        <v>1050</v>
      </c>
      <c r="G1515" s="18">
        <f t="shared" si="29"/>
        <v>6.9289779757486514E-3</v>
      </c>
    </row>
    <row r="1516" spans="1:7">
      <c r="A1516" s="13">
        <v>40.31</v>
      </c>
      <c r="B1516" s="13">
        <v>42.46</v>
      </c>
      <c r="C1516" s="13">
        <v>39.75</v>
      </c>
      <c r="D1516" s="13">
        <v>42.45</v>
      </c>
      <c r="E1516" s="13">
        <v>10846181</v>
      </c>
      <c r="F1516" s="13" t="s">
        <v>1049</v>
      </c>
      <c r="G1516" s="18">
        <f t="shared" si="29"/>
        <v>-5.0412249705535928E-2</v>
      </c>
    </row>
    <row r="1517" spans="1:7">
      <c r="A1517" s="13">
        <v>42.35</v>
      </c>
      <c r="B1517" s="13">
        <v>42.755000000000003</v>
      </c>
      <c r="C1517" s="13">
        <v>42.02</v>
      </c>
      <c r="D1517" s="13">
        <v>42.44</v>
      </c>
      <c r="E1517" s="13">
        <v>5208332</v>
      </c>
      <c r="F1517" s="13" t="s">
        <v>1048</v>
      </c>
      <c r="G1517" s="18">
        <f t="shared" si="29"/>
        <v>-2.120640904806681E-3</v>
      </c>
    </row>
    <row r="1518" spans="1:7">
      <c r="A1518" s="13">
        <v>42.2</v>
      </c>
      <c r="B1518" s="13">
        <v>42.55</v>
      </c>
      <c r="C1518" s="13">
        <v>41.94</v>
      </c>
      <c r="D1518" s="13">
        <v>42.34</v>
      </c>
      <c r="E1518" s="13">
        <v>4454999</v>
      </c>
      <c r="F1518" s="13" t="s">
        <v>1047</v>
      </c>
      <c r="G1518" s="18">
        <f t="shared" si="29"/>
        <v>-3.3065658951346721E-3</v>
      </c>
    </row>
    <row r="1519" spans="1:7">
      <c r="A1519" s="13">
        <v>42.33</v>
      </c>
      <c r="B1519" s="13">
        <v>43.65</v>
      </c>
      <c r="C1519" s="13">
        <v>42.05</v>
      </c>
      <c r="D1519" s="13">
        <v>43.45</v>
      </c>
      <c r="E1519" s="13">
        <v>6527504</v>
      </c>
      <c r="F1519" s="13" t="s">
        <v>1046</v>
      </c>
      <c r="G1519" s="18">
        <f t="shared" si="29"/>
        <v>-2.5776754890679099E-2</v>
      </c>
    </row>
    <row r="1520" spans="1:7">
      <c r="A1520" s="13">
        <v>43.15</v>
      </c>
      <c r="B1520" s="13">
        <v>43.38</v>
      </c>
      <c r="C1520" s="13">
        <v>42.89</v>
      </c>
      <c r="D1520" s="13">
        <v>43.1</v>
      </c>
      <c r="E1520" s="13">
        <v>4314424</v>
      </c>
      <c r="F1520" s="13" t="s">
        <v>1045</v>
      </c>
      <c r="G1520" s="18">
        <f t="shared" si="29"/>
        <v>1.1600928074244621E-3</v>
      </c>
    </row>
    <row r="1521" spans="1:7">
      <c r="A1521" s="13">
        <v>43.29</v>
      </c>
      <c r="B1521" s="13">
        <v>43.395000000000003</v>
      </c>
      <c r="C1521" s="13">
        <v>42.85</v>
      </c>
      <c r="D1521" s="13">
        <v>43.29</v>
      </c>
      <c r="E1521" s="13">
        <v>8006073</v>
      </c>
      <c r="F1521" s="13" t="s">
        <v>1044</v>
      </c>
      <c r="G1521" s="18">
        <f t="shared" si="29"/>
        <v>0</v>
      </c>
    </row>
    <row r="1522" spans="1:7">
      <c r="A1522" s="13">
        <v>43.06</v>
      </c>
      <c r="B1522" s="13">
        <v>43.15</v>
      </c>
      <c r="C1522" s="13">
        <v>42.79</v>
      </c>
      <c r="D1522" s="13">
        <v>42.97</v>
      </c>
      <c r="E1522" s="13">
        <v>6475996</v>
      </c>
      <c r="F1522" s="13" t="s">
        <v>1043</v>
      </c>
      <c r="G1522" s="18">
        <f t="shared" ref="G1522:G1585" si="30">A1522/D1522-1</f>
        <v>2.0944845240866705E-3</v>
      </c>
    </row>
    <row r="1523" spans="1:7">
      <c r="A1523" s="13">
        <v>42.9</v>
      </c>
      <c r="B1523" s="13">
        <v>42.94</v>
      </c>
      <c r="C1523" s="13">
        <v>42.274999999999999</v>
      </c>
      <c r="D1523" s="13">
        <v>42.42</v>
      </c>
      <c r="E1523" s="13">
        <v>3984372</v>
      </c>
      <c r="F1523" s="13" t="s">
        <v>1042</v>
      </c>
      <c r="G1523" s="18">
        <f t="shared" si="30"/>
        <v>1.1315417256011262E-2</v>
      </c>
    </row>
    <row r="1524" spans="1:7">
      <c r="A1524" s="13">
        <v>42.32</v>
      </c>
      <c r="B1524" s="13">
        <v>42.64</v>
      </c>
      <c r="C1524" s="13">
        <v>41.96</v>
      </c>
      <c r="D1524" s="13">
        <v>42.03</v>
      </c>
      <c r="E1524" s="13">
        <v>3943535</v>
      </c>
      <c r="F1524" s="13" t="s">
        <v>1041</v>
      </c>
      <c r="G1524" s="18">
        <f t="shared" si="30"/>
        <v>6.8998334522960558E-3</v>
      </c>
    </row>
    <row r="1525" spans="1:7">
      <c r="A1525" s="13">
        <v>41.94</v>
      </c>
      <c r="B1525" s="13">
        <v>42.02</v>
      </c>
      <c r="C1525" s="13">
        <v>41.45</v>
      </c>
      <c r="D1525" s="13">
        <v>41.73</v>
      </c>
      <c r="E1525" s="13">
        <v>3097038</v>
      </c>
      <c r="F1525" s="13" t="s">
        <v>1040</v>
      </c>
      <c r="G1525" s="18">
        <f t="shared" si="30"/>
        <v>5.0323508267433592E-3</v>
      </c>
    </row>
    <row r="1526" spans="1:7">
      <c r="A1526" s="13">
        <v>41.81</v>
      </c>
      <c r="B1526" s="13">
        <v>42.45</v>
      </c>
      <c r="C1526" s="13">
        <v>41.56</v>
      </c>
      <c r="D1526" s="13">
        <v>42.11</v>
      </c>
      <c r="E1526" s="13">
        <v>4535393</v>
      </c>
      <c r="F1526" s="13" t="s">
        <v>1039</v>
      </c>
      <c r="G1526" s="18">
        <f t="shared" si="30"/>
        <v>-7.1241985276655484E-3</v>
      </c>
    </row>
    <row r="1527" spans="1:7">
      <c r="A1527" s="13">
        <v>42.24</v>
      </c>
      <c r="B1527" s="13">
        <v>43.05</v>
      </c>
      <c r="C1527" s="13">
        <v>42.2</v>
      </c>
      <c r="D1527" s="13">
        <v>42.67</v>
      </c>
      <c r="E1527" s="13">
        <v>5676761</v>
      </c>
      <c r="F1527" s="13" t="s">
        <v>1038</v>
      </c>
      <c r="G1527" s="18">
        <f t="shared" si="30"/>
        <v>-1.0077337707991574E-2</v>
      </c>
    </row>
    <row r="1528" spans="1:7">
      <c r="A1528" s="13">
        <v>42.3</v>
      </c>
      <c r="B1528" s="13">
        <v>42.38</v>
      </c>
      <c r="C1528" s="13">
        <v>41.23</v>
      </c>
      <c r="D1528" s="13">
        <v>41.56</v>
      </c>
      <c r="E1528" s="13">
        <v>6370370</v>
      </c>
      <c r="F1528" s="13" t="s">
        <v>1037</v>
      </c>
      <c r="G1528" s="18">
        <f t="shared" si="30"/>
        <v>1.7805582290663979E-2</v>
      </c>
    </row>
    <row r="1529" spans="1:7">
      <c r="A1529" s="13">
        <v>41.3</v>
      </c>
      <c r="B1529" s="13">
        <v>41.36</v>
      </c>
      <c r="C1529" s="13">
        <v>39.83</v>
      </c>
      <c r="D1529" s="13">
        <v>41.28</v>
      </c>
      <c r="E1529" s="13">
        <v>10912248</v>
      </c>
      <c r="F1529" s="13" t="s">
        <v>1036</v>
      </c>
      <c r="G1529" s="18">
        <f t="shared" si="30"/>
        <v>4.8449612403089759E-4</v>
      </c>
    </row>
    <row r="1530" spans="1:7">
      <c r="A1530" s="13">
        <v>41.74</v>
      </c>
      <c r="B1530" s="13">
        <v>43.55</v>
      </c>
      <c r="C1530" s="13">
        <v>41.63</v>
      </c>
      <c r="D1530" s="13">
        <v>43.49</v>
      </c>
      <c r="E1530" s="13">
        <v>6171451</v>
      </c>
      <c r="F1530" s="13" t="s">
        <v>1035</v>
      </c>
      <c r="G1530" s="18">
        <f t="shared" si="30"/>
        <v>-4.0239135433432938E-2</v>
      </c>
    </row>
    <row r="1531" spans="1:7">
      <c r="A1531" s="13">
        <v>43.45</v>
      </c>
      <c r="B1531" s="13">
        <v>43.84</v>
      </c>
      <c r="C1531" s="13">
        <v>42.63</v>
      </c>
      <c r="D1531" s="13">
        <v>42.95</v>
      </c>
      <c r="E1531" s="13">
        <v>6349373</v>
      </c>
      <c r="F1531" s="13" t="s">
        <v>1034</v>
      </c>
      <c r="G1531" s="18">
        <f t="shared" si="30"/>
        <v>1.1641443538998875E-2</v>
      </c>
    </row>
    <row r="1532" spans="1:7">
      <c r="A1532" s="13">
        <v>42.61</v>
      </c>
      <c r="B1532" s="13">
        <v>42.674999999999997</v>
      </c>
      <c r="C1532" s="13">
        <v>42.14</v>
      </c>
      <c r="D1532" s="13">
        <v>42.54</v>
      </c>
      <c r="E1532" s="13">
        <v>4867007</v>
      </c>
      <c r="F1532" s="13" t="s">
        <v>1033</v>
      </c>
      <c r="G1532" s="18">
        <f t="shared" si="30"/>
        <v>1.6455101081336299E-3</v>
      </c>
    </row>
    <row r="1533" spans="1:7">
      <c r="A1533" s="13">
        <v>42.05</v>
      </c>
      <c r="B1533" s="13">
        <v>42.09</v>
      </c>
      <c r="C1533" s="13">
        <v>41.37</v>
      </c>
      <c r="D1533" s="13">
        <v>42.04</v>
      </c>
      <c r="E1533" s="13">
        <v>3490907</v>
      </c>
      <c r="F1533" s="13" t="s">
        <v>1032</v>
      </c>
      <c r="G1533" s="18">
        <f t="shared" si="30"/>
        <v>2.3786869647945963E-4</v>
      </c>
    </row>
    <row r="1534" spans="1:7">
      <c r="A1534" s="13">
        <v>41.67</v>
      </c>
      <c r="B1534" s="13">
        <v>42.65</v>
      </c>
      <c r="C1534" s="13">
        <v>41.31</v>
      </c>
      <c r="D1534" s="13">
        <v>42.5</v>
      </c>
      <c r="E1534" s="13">
        <v>4695509</v>
      </c>
      <c r="F1534" s="13" t="s">
        <v>1031</v>
      </c>
      <c r="G1534" s="18">
        <f t="shared" si="30"/>
        <v>-1.9529411764705795E-2</v>
      </c>
    </row>
    <row r="1535" spans="1:7">
      <c r="A1535" s="13">
        <v>42.73</v>
      </c>
      <c r="B1535" s="13">
        <v>43.23</v>
      </c>
      <c r="C1535" s="13">
        <v>42.5</v>
      </c>
      <c r="D1535" s="13">
        <v>43.03</v>
      </c>
      <c r="E1535" s="13">
        <v>3234418</v>
      </c>
      <c r="F1535" s="13" t="s">
        <v>1030</v>
      </c>
      <c r="G1535" s="18">
        <f t="shared" si="30"/>
        <v>-6.9718800836626738E-3</v>
      </c>
    </row>
    <row r="1536" spans="1:7">
      <c r="A1536" s="13">
        <v>42.84</v>
      </c>
      <c r="B1536" s="13">
        <v>43.41</v>
      </c>
      <c r="C1536" s="13">
        <v>42.49</v>
      </c>
      <c r="D1536" s="13">
        <v>42.83</v>
      </c>
      <c r="E1536" s="13">
        <v>5804908</v>
      </c>
      <c r="F1536" s="13" t="s">
        <v>1029</v>
      </c>
      <c r="G1536" s="18">
        <f t="shared" si="30"/>
        <v>2.3348120476307521E-4</v>
      </c>
    </row>
    <row r="1537" spans="1:7">
      <c r="A1537" s="13">
        <v>42.49</v>
      </c>
      <c r="B1537" s="13">
        <v>42.72</v>
      </c>
      <c r="C1537" s="13">
        <v>41.954999999999998</v>
      </c>
      <c r="D1537" s="13">
        <v>42</v>
      </c>
      <c r="E1537" s="13">
        <v>4208132</v>
      </c>
      <c r="F1537" s="13" t="s">
        <v>1028</v>
      </c>
      <c r="G1537" s="18">
        <f t="shared" si="30"/>
        <v>1.1666666666666714E-2</v>
      </c>
    </row>
    <row r="1538" spans="1:7">
      <c r="A1538" s="13">
        <v>42.22</v>
      </c>
      <c r="B1538" s="13">
        <v>42.34</v>
      </c>
      <c r="C1538" s="13">
        <v>41.935000000000002</v>
      </c>
      <c r="D1538" s="13">
        <v>42.03</v>
      </c>
      <c r="E1538" s="13">
        <v>5996740</v>
      </c>
      <c r="F1538" s="13" t="s">
        <v>1027</v>
      </c>
      <c r="G1538" s="18">
        <f t="shared" si="30"/>
        <v>4.5205805377110941E-3</v>
      </c>
    </row>
    <row r="1539" spans="1:7">
      <c r="A1539" s="13">
        <v>41.85</v>
      </c>
      <c r="B1539" s="13">
        <v>41.87</v>
      </c>
      <c r="C1539" s="13">
        <v>41.28</v>
      </c>
      <c r="D1539" s="13">
        <v>41.53</v>
      </c>
      <c r="E1539" s="13">
        <v>3434774</v>
      </c>
      <c r="F1539" s="13" t="s">
        <v>1026</v>
      </c>
      <c r="G1539" s="18">
        <f t="shared" si="30"/>
        <v>7.7052732964122406E-3</v>
      </c>
    </row>
    <row r="1540" spans="1:7">
      <c r="A1540" s="13">
        <v>41.17</v>
      </c>
      <c r="B1540" s="13">
        <v>42.72</v>
      </c>
      <c r="C1540" s="13">
        <v>41</v>
      </c>
      <c r="D1540" s="13">
        <v>42.69</v>
      </c>
      <c r="E1540" s="13">
        <v>5308114</v>
      </c>
      <c r="F1540" s="13" t="s">
        <v>1025</v>
      </c>
      <c r="G1540" s="18">
        <f t="shared" si="30"/>
        <v>-3.5605528226750893E-2</v>
      </c>
    </row>
    <row r="1541" spans="1:7">
      <c r="A1541" s="13">
        <v>42.69</v>
      </c>
      <c r="B1541" s="13">
        <v>42.94</v>
      </c>
      <c r="C1541" s="13">
        <v>42.32</v>
      </c>
      <c r="D1541" s="13">
        <v>42.69</v>
      </c>
      <c r="E1541" s="13">
        <v>3333786</v>
      </c>
      <c r="F1541" s="13" t="s">
        <v>1024</v>
      </c>
      <c r="G1541" s="18">
        <f t="shared" si="30"/>
        <v>0</v>
      </c>
    </row>
    <row r="1542" spans="1:7">
      <c r="A1542" s="13">
        <v>42.55</v>
      </c>
      <c r="B1542" s="13">
        <v>42.86</v>
      </c>
      <c r="C1542" s="13">
        <v>42.32</v>
      </c>
      <c r="D1542" s="13">
        <v>42.78</v>
      </c>
      <c r="E1542" s="13">
        <v>3742733</v>
      </c>
      <c r="F1542" s="13" t="s">
        <v>1023</v>
      </c>
      <c r="G1542" s="18">
        <f t="shared" si="30"/>
        <v>-5.3763440860216116E-3</v>
      </c>
    </row>
    <row r="1543" spans="1:7">
      <c r="A1543" s="13">
        <v>42.5</v>
      </c>
      <c r="B1543" s="13">
        <v>43.2</v>
      </c>
      <c r="C1543" s="13">
        <v>42.47</v>
      </c>
      <c r="D1543" s="13">
        <v>42.74</v>
      </c>
      <c r="E1543" s="13">
        <v>4168875</v>
      </c>
      <c r="F1543" s="13" t="s">
        <v>1022</v>
      </c>
      <c r="G1543" s="18">
        <f t="shared" si="30"/>
        <v>-5.6153486195601454E-3</v>
      </c>
    </row>
    <row r="1544" spans="1:7">
      <c r="A1544" s="13">
        <v>42.74</v>
      </c>
      <c r="B1544" s="13">
        <v>43.07</v>
      </c>
      <c r="C1544" s="13">
        <v>42.45</v>
      </c>
      <c r="D1544" s="13">
        <v>43.07</v>
      </c>
      <c r="E1544" s="13">
        <v>2755449</v>
      </c>
      <c r="F1544" s="13" t="s">
        <v>1021</v>
      </c>
      <c r="G1544" s="18">
        <f t="shared" si="30"/>
        <v>-7.6619456698397981E-3</v>
      </c>
    </row>
    <row r="1545" spans="1:7">
      <c r="A1545" s="13">
        <v>42.15</v>
      </c>
      <c r="B1545" s="13">
        <v>42.42</v>
      </c>
      <c r="C1545" s="13">
        <v>41.87</v>
      </c>
      <c r="D1545" s="13">
        <v>42.18</v>
      </c>
      <c r="E1545" s="13">
        <v>3274945</v>
      </c>
      <c r="F1545" s="13" t="s">
        <v>1020</v>
      </c>
      <c r="G1545" s="18">
        <f t="shared" si="30"/>
        <v>-7.1123755334279171E-4</v>
      </c>
    </row>
    <row r="1546" spans="1:7">
      <c r="A1546" s="13">
        <v>41.87</v>
      </c>
      <c r="B1546" s="13">
        <v>42.09</v>
      </c>
      <c r="C1546" s="13">
        <v>41.35</v>
      </c>
      <c r="D1546" s="13">
        <v>41.48</v>
      </c>
      <c r="E1546" s="13">
        <v>4467252</v>
      </c>
      <c r="F1546" s="13" t="s">
        <v>1019</v>
      </c>
      <c r="G1546" s="18">
        <f t="shared" si="30"/>
        <v>9.4021215043393891E-3</v>
      </c>
    </row>
    <row r="1547" spans="1:7">
      <c r="A1547" s="13">
        <v>41.43</v>
      </c>
      <c r="B1547" s="13">
        <v>42.52</v>
      </c>
      <c r="C1547" s="13">
        <v>41.41</v>
      </c>
      <c r="D1547" s="13">
        <v>42.43</v>
      </c>
      <c r="E1547" s="13">
        <v>5677036</v>
      </c>
      <c r="F1547" s="13" t="s">
        <v>1018</v>
      </c>
      <c r="G1547" s="18">
        <f t="shared" si="30"/>
        <v>-2.3568230025925008E-2</v>
      </c>
    </row>
    <row r="1548" spans="1:7">
      <c r="A1548" s="13">
        <v>42.86</v>
      </c>
      <c r="B1548" s="13">
        <v>43.104999999999997</v>
      </c>
      <c r="C1548" s="13">
        <v>42.17</v>
      </c>
      <c r="D1548" s="13">
        <v>42.28</v>
      </c>
      <c r="E1548" s="13">
        <v>3449020</v>
      </c>
      <c r="F1548" s="13" t="s">
        <v>1017</v>
      </c>
      <c r="G1548" s="18">
        <f t="shared" si="30"/>
        <v>1.3718070009460792E-2</v>
      </c>
    </row>
    <row r="1549" spans="1:7">
      <c r="A1549" s="13">
        <v>42.33</v>
      </c>
      <c r="B1549" s="13">
        <v>42.73</v>
      </c>
      <c r="C1549" s="13">
        <v>42.17</v>
      </c>
      <c r="D1549" s="13">
        <v>42.28</v>
      </c>
      <c r="E1549" s="13">
        <v>3836215</v>
      </c>
      <c r="F1549" s="13" t="s">
        <v>1016</v>
      </c>
      <c r="G1549" s="18">
        <f t="shared" si="30"/>
        <v>1.1825922421948576E-3</v>
      </c>
    </row>
    <row r="1550" spans="1:7">
      <c r="A1550" s="13">
        <v>43.2</v>
      </c>
      <c r="B1550" s="13">
        <v>43.46</v>
      </c>
      <c r="C1550" s="13">
        <v>42.65</v>
      </c>
      <c r="D1550" s="13">
        <v>42.71</v>
      </c>
      <c r="E1550" s="13">
        <v>4827247</v>
      </c>
      <c r="F1550" s="13" t="s">
        <v>1015</v>
      </c>
      <c r="G1550" s="18">
        <f t="shared" si="30"/>
        <v>1.1472723015687247E-2</v>
      </c>
    </row>
    <row r="1551" spans="1:7">
      <c r="A1551" s="13">
        <v>42.76</v>
      </c>
      <c r="B1551" s="13">
        <v>42.86</v>
      </c>
      <c r="C1551" s="13">
        <v>42.24</v>
      </c>
      <c r="D1551" s="13">
        <v>42.25</v>
      </c>
      <c r="E1551" s="13">
        <v>5057700</v>
      </c>
      <c r="F1551" s="13" t="s">
        <v>1014</v>
      </c>
      <c r="G1551" s="18">
        <f t="shared" si="30"/>
        <v>1.2071005917159816E-2</v>
      </c>
    </row>
    <row r="1552" spans="1:7">
      <c r="A1552" s="13">
        <v>42.18</v>
      </c>
      <c r="B1552" s="13">
        <v>42.41</v>
      </c>
      <c r="C1552" s="13">
        <v>41.1</v>
      </c>
      <c r="D1552" s="13">
        <v>42</v>
      </c>
      <c r="E1552" s="13">
        <v>5671917</v>
      </c>
      <c r="F1552" s="13" t="s">
        <v>1013</v>
      </c>
      <c r="G1552" s="18">
        <f t="shared" si="30"/>
        <v>4.2857142857142261E-3</v>
      </c>
    </row>
    <row r="1553" spans="1:7">
      <c r="A1553" s="13">
        <v>42.33</v>
      </c>
      <c r="B1553" s="13">
        <v>42.33</v>
      </c>
      <c r="C1553" s="13">
        <v>41.4</v>
      </c>
      <c r="D1553" s="13">
        <v>41.63</v>
      </c>
      <c r="E1553" s="13">
        <v>4301469</v>
      </c>
      <c r="F1553" s="13" t="s">
        <v>1012</v>
      </c>
      <c r="G1553" s="18">
        <f t="shared" si="30"/>
        <v>1.681479702137878E-2</v>
      </c>
    </row>
    <row r="1554" spans="1:7">
      <c r="A1554" s="13">
        <v>41.36</v>
      </c>
      <c r="B1554" s="13">
        <v>42.32</v>
      </c>
      <c r="C1554" s="13">
        <v>40.905000000000001</v>
      </c>
      <c r="D1554" s="13">
        <v>42.19</v>
      </c>
      <c r="E1554" s="13">
        <v>7200056</v>
      </c>
      <c r="F1554" s="13" t="s">
        <v>1011</v>
      </c>
      <c r="G1554" s="18">
        <f t="shared" si="30"/>
        <v>-1.967290827210233E-2</v>
      </c>
    </row>
    <row r="1555" spans="1:7">
      <c r="A1555" s="13">
        <v>42.75</v>
      </c>
      <c r="B1555" s="13">
        <v>42.83</v>
      </c>
      <c r="C1555" s="13">
        <v>42.16</v>
      </c>
      <c r="D1555" s="13">
        <v>42.66</v>
      </c>
      <c r="E1555" s="13">
        <v>5341256</v>
      </c>
      <c r="F1555" s="13" t="s">
        <v>1010</v>
      </c>
      <c r="G1555" s="18">
        <f t="shared" si="30"/>
        <v>2.1097046413502962E-3</v>
      </c>
    </row>
    <row r="1556" spans="1:7">
      <c r="A1556" s="13">
        <v>42.61</v>
      </c>
      <c r="B1556" s="13">
        <v>43.53</v>
      </c>
      <c r="C1556" s="13">
        <v>41.91</v>
      </c>
      <c r="D1556" s="13">
        <v>42.48</v>
      </c>
      <c r="E1556" s="13">
        <v>7800446</v>
      </c>
      <c r="F1556" s="13" t="s">
        <v>1009</v>
      </c>
      <c r="G1556" s="18">
        <f t="shared" si="30"/>
        <v>3.0602636534839966E-3</v>
      </c>
    </row>
    <row r="1557" spans="1:7">
      <c r="A1557" s="13">
        <v>42.46</v>
      </c>
      <c r="B1557" s="13">
        <v>43.164999999999999</v>
      </c>
      <c r="C1557" s="13">
        <v>42.06</v>
      </c>
      <c r="D1557" s="13">
        <v>42.84</v>
      </c>
      <c r="E1557" s="13">
        <v>6861531</v>
      </c>
      <c r="F1557" s="13" t="s">
        <v>1008</v>
      </c>
      <c r="G1557" s="18">
        <f t="shared" si="30"/>
        <v>-8.8702147525677733E-3</v>
      </c>
    </row>
    <row r="1558" spans="1:7">
      <c r="A1558" s="13">
        <v>42.86</v>
      </c>
      <c r="B1558" s="13">
        <v>42.87</v>
      </c>
      <c r="C1558" s="13">
        <v>41.87</v>
      </c>
      <c r="D1558" s="13">
        <v>42.11</v>
      </c>
      <c r="E1558" s="13">
        <v>4635168</v>
      </c>
      <c r="F1558" s="13" t="s">
        <v>1007</v>
      </c>
      <c r="G1558" s="18">
        <f t="shared" si="30"/>
        <v>1.7810496319164093E-2</v>
      </c>
    </row>
    <row r="1559" spans="1:7">
      <c r="A1559" s="13">
        <v>42.29</v>
      </c>
      <c r="B1559" s="13">
        <v>42.4</v>
      </c>
      <c r="C1559" s="13">
        <v>41.88</v>
      </c>
      <c r="D1559" s="13">
        <v>42</v>
      </c>
      <c r="E1559" s="13">
        <v>3951645</v>
      </c>
      <c r="F1559" s="13" t="s">
        <v>1006</v>
      </c>
      <c r="G1559" s="18">
        <f t="shared" si="30"/>
        <v>6.904761904761969E-3</v>
      </c>
    </row>
    <row r="1560" spans="1:7">
      <c r="A1560" s="13">
        <v>42.08</v>
      </c>
      <c r="B1560" s="13">
        <v>42.56</v>
      </c>
      <c r="C1560" s="13">
        <v>41.87</v>
      </c>
      <c r="D1560" s="13">
        <v>42.39</v>
      </c>
      <c r="E1560" s="13">
        <v>4943200</v>
      </c>
      <c r="F1560" s="13" t="s">
        <v>1005</v>
      </c>
      <c r="G1560" s="18">
        <f t="shared" si="30"/>
        <v>-7.3130455296060992E-3</v>
      </c>
    </row>
    <row r="1561" spans="1:7">
      <c r="A1561" s="13">
        <v>42.01</v>
      </c>
      <c r="B1561" s="13">
        <v>43</v>
      </c>
      <c r="C1561" s="13">
        <v>41.97</v>
      </c>
      <c r="D1561" s="13">
        <v>42.88</v>
      </c>
      <c r="E1561" s="13">
        <v>6209420</v>
      </c>
      <c r="F1561" s="13" t="s">
        <v>1004</v>
      </c>
      <c r="G1561" s="18">
        <f t="shared" si="30"/>
        <v>-2.0289179104477695E-2</v>
      </c>
    </row>
    <row r="1562" spans="1:7">
      <c r="A1562" s="13">
        <v>42.87</v>
      </c>
      <c r="B1562" s="13">
        <v>42.914999999999999</v>
      </c>
      <c r="C1562" s="13">
        <v>41.53</v>
      </c>
      <c r="D1562" s="13">
        <v>42.06</v>
      </c>
      <c r="E1562" s="13">
        <v>8422148</v>
      </c>
      <c r="F1562" s="13" t="s">
        <v>1003</v>
      </c>
      <c r="G1562" s="18">
        <f t="shared" si="30"/>
        <v>1.9258202567760119E-2</v>
      </c>
    </row>
    <row r="1563" spans="1:7">
      <c r="A1563" s="13">
        <v>42.88</v>
      </c>
      <c r="B1563" s="13">
        <v>42.88</v>
      </c>
      <c r="C1563" s="13">
        <v>42.34</v>
      </c>
      <c r="D1563" s="13">
        <v>42.7</v>
      </c>
      <c r="E1563" s="13">
        <v>6836699</v>
      </c>
      <c r="F1563" s="13" t="s">
        <v>1002</v>
      </c>
      <c r="G1563" s="18">
        <f t="shared" si="30"/>
        <v>4.2154566744729838E-3</v>
      </c>
    </row>
    <row r="1564" spans="1:7">
      <c r="A1564" s="13">
        <v>42.5</v>
      </c>
      <c r="B1564" s="13">
        <v>42.75</v>
      </c>
      <c r="C1564" s="13">
        <v>42.31</v>
      </c>
      <c r="D1564" s="13">
        <v>42.47</v>
      </c>
      <c r="E1564" s="13">
        <v>5290999</v>
      </c>
      <c r="F1564" s="13" t="s">
        <v>1001</v>
      </c>
      <c r="G1564" s="18">
        <f t="shared" si="30"/>
        <v>7.0638097480579809E-4</v>
      </c>
    </row>
    <row r="1565" spans="1:7">
      <c r="A1565" s="13">
        <v>42.25</v>
      </c>
      <c r="B1565" s="13">
        <v>42.95</v>
      </c>
      <c r="C1565" s="13">
        <v>42.174999999999997</v>
      </c>
      <c r="D1565" s="13">
        <v>42.85</v>
      </c>
      <c r="E1565" s="13">
        <v>6840053</v>
      </c>
      <c r="F1565" s="13" t="s">
        <v>1000</v>
      </c>
      <c r="G1565" s="18">
        <f t="shared" si="30"/>
        <v>-1.4002333722287097E-2</v>
      </c>
    </row>
    <row r="1566" spans="1:7">
      <c r="A1566" s="13">
        <v>42.64</v>
      </c>
      <c r="B1566" s="13">
        <v>42.94</v>
      </c>
      <c r="C1566" s="13">
        <v>42.04</v>
      </c>
      <c r="D1566" s="13">
        <v>42.13</v>
      </c>
      <c r="E1566" s="13">
        <v>6095906</v>
      </c>
      <c r="F1566" s="13" t="s">
        <v>999</v>
      </c>
      <c r="G1566" s="18">
        <f t="shared" si="30"/>
        <v>1.2105388084500346E-2</v>
      </c>
    </row>
    <row r="1567" spans="1:7">
      <c r="A1567" s="13">
        <v>42.24</v>
      </c>
      <c r="B1567" s="13">
        <v>42.45</v>
      </c>
      <c r="C1567" s="13">
        <v>42.03</v>
      </c>
      <c r="D1567" s="13">
        <v>42.12</v>
      </c>
      <c r="E1567" s="13">
        <v>6087708</v>
      </c>
      <c r="F1567" s="13" t="s">
        <v>998</v>
      </c>
      <c r="G1567" s="18">
        <f t="shared" si="30"/>
        <v>2.8490028490029129E-3</v>
      </c>
    </row>
    <row r="1568" spans="1:7">
      <c r="A1568" s="13">
        <v>41.86</v>
      </c>
      <c r="B1568" s="13">
        <v>42.68</v>
      </c>
      <c r="C1568" s="13">
        <v>41.83</v>
      </c>
      <c r="D1568" s="13">
        <v>42.57</v>
      </c>
      <c r="E1568" s="13">
        <v>4966362</v>
      </c>
      <c r="F1568" s="13" t="s">
        <v>997</v>
      </c>
      <c r="G1568" s="18">
        <f t="shared" si="30"/>
        <v>-1.667841202724929E-2</v>
      </c>
    </row>
    <row r="1569" spans="1:7">
      <c r="A1569" s="13">
        <v>42.45</v>
      </c>
      <c r="B1569" s="13">
        <v>42.67</v>
      </c>
      <c r="C1569" s="13">
        <v>42.1</v>
      </c>
      <c r="D1569" s="13">
        <v>42.27</v>
      </c>
      <c r="E1569" s="13">
        <v>4466068</v>
      </c>
      <c r="F1569" s="13" t="s">
        <v>996</v>
      </c>
      <c r="G1569" s="18">
        <f t="shared" si="30"/>
        <v>4.2583392476933657E-3</v>
      </c>
    </row>
    <row r="1570" spans="1:7">
      <c r="A1570" s="13">
        <v>42.25</v>
      </c>
      <c r="B1570" s="13">
        <v>43.21</v>
      </c>
      <c r="C1570" s="13">
        <v>42.085000000000001</v>
      </c>
      <c r="D1570" s="13">
        <v>43.14</v>
      </c>
      <c r="E1570" s="13">
        <v>8970563</v>
      </c>
      <c r="F1570" s="13" t="s">
        <v>995</v>
      </c>
      <c r="G1570" s="18">
        <f t="shared" si="30"/>
        <v>-2.0630505331478921E-2</v>
      </c>
    </row>
    <row r="1571" spans="1:7">
      <c r="A1571" s="13">
        <v>43.2</v>
      </c>
      <c r="B1571" s="13">
        <v>43.21</v>
      </c>
      <c r="C1571" s="13">
        <v>42.64</v>
      </c>
      <c r="D1571" s="13">
        <v>43.16</v>
      </c>
      <c r="E1571" s="13">
        <v>4745296</v>
      </c>
      <c r="F1571" s="13" t="s">
        <v>994</v>
      </c>
      <c r="G1571" s="18">
        <f t="shared" si="30"/>
        <v>9.2678405931434504E-4</v>
      </c>
    </row>
    <row r="1572" spans="1:7">
      <c r="A1572" s="13">
        <v>42.89</v>
      </c>
      <c r="B1572" s="13">
        <v>43.266399999999997</v>
      </c>
      <c r="C1572" s="13">
        <v>42.62</v>
      </c>
      <c r="D1572" s="13">
        <v>43.07</v>
      </c>
      <c r="E1572" s="13">
        <v>6689522</v>
      </c>
      <c r="F1572" s="13" t="s">
        <v>993</v>
      </c>
      <c r="G1572" s="18">
        <f t="shared" si="30"/>
        <v>-4.1792430926398394E-3</v>
      </c>
    </row>
    <row r="1573" spans="1:7">
      <c r="A1573" s="13">
        <v>43.06</v>
      </c>
      <c r="B1573" s="13">
        <v>43.1</v>
      </c>
      <c r="C1573" s="13">
        <v>42.424999999999997</v>
      </c>
      <c r="D1573" s="13">
        <v>42.45</v>
      </c>
      <c r="E1573" s="13">
        <v>5833922</v>
      </c>
      <c r="F1573" s="13" t="s">
        <v>992</v>
      </c>
      <c r="G1573" s="18">
        <f t="shared" si="30"/>
        <v>1.4369846878680814E-2</v>
      </c>
    </row>
    <row r="1574" spans="1:7">
      <c r="A1574" s="13">
        <v>42.61</v>
      </c>
      <c r="B1574" s="13">
        <v>42.715000000000003</v>
      </c>
      <c r="C1574" s="13">
        <v>42.22</v>
      </c>
      <c r="D1574" s="13">
        <v>42.34</v>
      </c>
      <c r="E1574" s="13">
        <v>6206470</v>
      </c>
      <c r="F1574" s="13" t="s">
        <v>991</v>
      </c>
      <c r="G1574" s="18">
        <f t="shared" si="30"/>
        <v>6.3769485120452885E-3</v>
      </c>
    </row>
    <row r="1575" spans="1:7">
      <c r="A1575" s="13">
        <v>42.62</v>
      </c>
      <c r="B1575" s="13">
        <v>42.7</v>
      </c>
      <c r="C1575" s="13">
        <v>42.3</v>
      </c>
      <c r="D1575" s="13">
        <v>42.42</v>
      </c>
      <c r="E1575" s="13">
        <v>4121651</v>
      </c>
      <c r="F1575" s="13" t="s">
        <v>990</v>
      </c>
      <c r="G1575" s="18">
        <f t="shared" si="30"/>
        <v>4.7147571900045815E-3</v>
      </c>
    </row>
    <row r="1576" spans="1:7">
      <c r="A1576" s="13">
        <v>42.63</v>
      </c>
      <c r="B1576" s="13">
        <v>42.82</v>
      </c>
      <c r="C1576" s="13">
        <v>42.37</v>
      </c>
      <c r="D1576" s="13">
        <v>42.73</v>
      </c>
      <c r="E1576" s="13">
        <v>3683617</v>
      </c>
      <c r="F1576" s="13" t="s">
        <v>989</v>
      </c>
      <c r="G1576" s="18">
        <f t="shared" si="30"/>
        <v>-2.3402761525859184E-3</v>
      </c>
    </row>
    <row r="1577" spans="1:7">
      <c r="A1577" s="13">
        <v>42.69</v>
      </c>
      <c r="B1577" s="13">
        <v>43.27</v>
      </c>
      <c r="C1577" s="13">
        <v>42.354999999999997</v>
      </c>
      <c r="D1577" s="13">
        <v>43.05</v>
      </c>
      <c r="E1577" s="13">
        <v>7757278</v>
      </c>
      <c r="F1577" s="13" t="s">
        <v>988</v>
      </c>
      <c r="G1577" s="18">
        <f t="shared" si="30"/>
        <v>-8.3623693379790698E-3</v>
      </c>
    </row>
    <row r="1578" spans="1:7">
      <c r="A1578" s="13">
        <v>42.9</v>
      </c>
      <c r="B1578" s="13">
        <v>43.66</v>
      </c>
      <c r="C1578" s="13">
        <v>42.63</v>
      </c>
      <c r="D1578" s="13">
        <v>43.41</v>
      </c>
      <c r="E1578" s="13">
        <v>7523287</v>
      </c>
      <c r="F1578" s="13" t="s">
        <v>987</v>
      </c>
      <c r="G1578" s="18">
        <f t="shared" si="30"/>
        <v>-1.1748445058742174E-2</v>
      </c>
    </row>
    <row r="1579" spans="1:7">
      <c r="A1579" s="13">
        <v>42.98</v>
      </c>
      <c r="B1579" s="13">
        <v>43.02</v>
      </c>
      <c r="C1579" s="13">
        <v>41.87</v>
      </c>
      <c r="D1579" s="13">
        <v>41.95</v>
      </c>
      <c r="E1579" s="13">
        <v>12753860</v>
      </c>
      <c r="F1579" s="13" t="s">
        <v>986</v>
      </c>
      <c r="G1579" s="18">
        <f t="shared" si="30"/>
        <v>2.4553039332538606E-2</v>
      </c>
    </row>
    <row r="1580" spans="1:7">
      <c r="A1580" s="13">
        <v>41.93</v>
      </c>
      <c r="B1580" s="13">
        <v>42.27</v>
      </c>
      <c r="C1580" s="13">
        <v>41.52</v>
      </c>
      <c r="D1580" s="13">
        <v>41.77</v>
      </c>
      <c r="E1580" s="13">
        <v>8356886</v>
      </c>
      <c r="F1580" s="13" t="s">
        <v>985</v>
      </c>
      <c r="G1580" s="18">
        <f t="shared" si="30"/>
        <v>3.8305003591092568E-3</v>
      </c>
    </row>
    <row r="1581" spans="1:7">
      <c r="A1581" s="13">
        <v>41.39</v>
      </c>
      <c r="B1581" s="13">
        <v>41.71</v>
      </c>
      <c r="C1581" s="13">
        <v>40.67</v>
      </c>
      <c r="D1581" s="13">
        <v>41.69</v>
      </c>
      <c r="E1581" s="13">
        <v>6176854</v>
      </c>
      <c r="F1581" s="13" t="s">
        <v>984</v>
      </c>
      <c r="G1581" s="18">
        <f t="shared" si="30"/>
        <v>-7.1959702566561923E-3</v>
      </c>
    </row>
    <row r="1582" spans="1:7">
      <c r="A1582" s="13">
        <v>41.72</v>
      </c>
      <c r="B1582" s="13">
        <v>42.32</v>
      </c>
      <c r="C1582" s="13">
        <v>41.7</v>
      </c>
      <c r="D1582" s="13">
        <v>42.06</v>
      </c>
      <c r="E1582" s="13">
        <v>5624524</v>
      </c>
      <c r="F1582" s="13" t="s">
        <v>983</v>
      </c>
      <c r="G1582" s="18">
        <f t="shared" si="30"/>
        <v>-8.0836899667142692E-3</v>
      </c>
    </row>
    <row r="1583" spans="1:7">
      <c r="A1583" s="13">
        <v>42.01</v>
      </c>
      <c r="B1583" s="13">
        <v>42.03</v>
      </c>
      <c r="C1583" s="13">
        <v>41.52</v>
      </c>
      <c r="D1583" s="13">
        <v>41.57</v>
      </c>
      <c r="E1583" s="13">
        <v>5406961</v>
      </c>
      <c r="F1583" s="13" t="s">
        <v>982</v>
      </c>
      <c r="G1583" s="18">
        <f t="shared" si="30"/>
        <v>1.0584556170315063E-2</v>
      </c>
    </row>
    <row r="1584" spans="1:7">
      <c r="A1584" s="13">
        <v>41.69</v>
      </c>
      <c r="B1584" s="13">
        <v>41.86</v>
      </c>
      <c r="C1584" s="13">
        <v>41.32</v>
      </c>
      <c r="D1584" s="13">
        <v>41.8</v>
      </c>
      <c r="E1584" s="13">
        <v>8605754</v>
      </c>
      <c r="F1584" s="13" t="s">
        <v>981</v>
      </c>
      <c r="G1584" s="18">
        <f t="shared" si="30"/>
        <v>-2.6315789473684292E-3</v>
      </c>
    </row>
    <row r="1585" spans="1:7">
      <c r="A1585" s="13">
        <v>41.86</v>
      </c>
      <c r="B1585" s="13">
        <v>42.4</v>
      </c>
      <c r="C1585" s="13">
        <v>41.49</v>
      </c>
      <c r="D1585" s="13">
        <v>41.99</v>
      </c>
      <c r="E1585" s="13">
        <v>6131648</v>
      </c>
      <c r="F1585" s="13" t="s">
        <v>980</v>
      </c>
      <c r="G1585" s="18">
        <f t="shared" si="30"/>
        <v>-3.0959752321981782E-3</v>
      </c>
    </row>
    <row r="1586" spans="1:7">
      <c r="A1586" s="13">
        <v>41.66</v>
      </c>
      <c r="B1586" s="13">
        <v>41.77</v>
      </c>
      <c r="C1586" s="13">
        <v>40.58</v>
      </c>
      <c r="D1586" s="13">
        <v>40.799999999999997</v>
      </c>
      <c r="E1586" s="13">
        <v>6328720</v>
      </c>
      <c r="F1586" s="13" t="s">
        <v>979</v>
      </c>
      <c r="G1586" s="18">
        <f t="shared" ref="G1586:G1649" si="31">A1586/D1586-1</f>
        <v>2.1078431372548945E-2</v>
      </c>
    </row>
    <row r="1587" spans="1:7">
      <c r="A1587" s="13">
        <v>40.94</v>
      </c>
      <c r="B1587" s="13">
        <v>41.685000000000002</v>
      </c>
      <c r="C1587" s="13">
        <v>40.880000000000003</v>
      </c>
      <c r="D1587" s="13">
        <v>41.04</v>
      </c>
      <c r="E1587" s="13">
        <v>5983033</v>
      </c>
      <c r="F1587" s="13" t="s">
        <v>978</v>
      </c>
      <c r="G1587" s="18">
        <f t="shared" si="31"/>
        <v>-2.436647173489348E-3</v>
      </c>
    </row>
    <row r="1588" spans="1:7">
      <c r="A1588" s="13">
        <v>40.68</v>
      </c>
      <c r="B1588" s="13">
        <v>40.74</v>
      </c>
      <c r="C1588" s="13">
        <v>40.32</v>
      </c>
      <c r="D1588" s="13">
        <v>40.46</v>
      </c>
      <c r="E1588" s="13">
        <v>3746010</v>
      </c>
      <c r="F1588" s="13" t="s">
        <v>977</v>
      </c>
      <c r="G1588" s="18">
        <f t="shared" si="31"/>
        <v>5.4374691052891944E-3</v>
      </c>
    </row>
    <row r="1589" spans="1:7">
      <c r="A1589" s="13">
        <v>40.42</v>
      </c>
      <c r="B1589" s="13">
        <v>40.950000000000003</v>
      </c>
      <c r="C1589" s="13">
        <v>40.33</v>
      </c>
      <c r="D1589" s="13">
        <v>40.76</v>
      </c>
      <c r="E1589" s="13">
        <v>5410026</v>
      </c>
      <c r="F1589" s="13" t="s">
        <v>976</v>
      </c>
      <c r="G1589" s="18">
        <f t="shared" si="31"/>
        <v>-8.3415112855740325E-3</v>
      </c>
    </row>
    <row r="1590" spans="1:7">
      <c r="A1590" s="13">
        <v>40.659999999999997</v>
      </c>
      <c r="B1590" s="13">
        <v>40.959899999999998</v>
      </c>
      <c r="C1590" s="13">
        <v>40.380000000000003</v>
      </c>
      <c r="D1590" s="13">
        <v>40.81</v>
      </c>
      <c r="E1590" s="13">
        <v>7260904</v>
      </c>
      <c r="F1590" s="13" t="s">
        <v>975</v>
      </c>
      <c r="G1590" s="18">
        <f t="shared" si="31"/>
        <v>-3.6755697133057375E-3</v>
      </c>
    </row>
    <row r="1591" spans="1:7">
      <c r="A1591" s="13">
        <v>40.799999999999997</v>
      </c>
      <c r="B1591" s="13">
        <v>41.476500000000001</v>
      </c>
      <c r="C1591" s="13">
        <v>40.450000000000003</v>
      </c>
      <c r="D1591" s="13">
        <v>41.14</v>
      </c>
      <c r="E1591" s="13">
        <v>7019089</v>
      </c>
      <c r="F1591" s="13" t="s">
        <v>974</v>
      </c>
      <c r="G1591" s="18">
        <f t="shared" si="31"/>
        <v>-8.2644628099174389E-3</v>
      </c>
    </row>
    <row r="1592" spans="1:7">
      <c r="A1592" s="13">
        <v>41.17</v>
      </c>
      <c r="B1592" s="13">
        <v>41.994999999999997</v>
      </c>
      <c r="C1592" s="13">
        <v>40.82</v>
      </c>
      <c r="D1592" s="13">
        <v>41.68</v>
      </c>
      <c r="E1592" s="13">
        <v>8341713</v>
      </c>
      <c r="F1592" s="13" t="s">
        <v>973</v>
      </c>
      <c r="G1592" s="18">
        <f t="shared" si="31"/>
        <v>-1.2236084452974971E-2</v>
      </c>
    </row>
    <row r="1593" spans="1:7">
      <c r="A1593" s="13">
        <v>41.45</v>
      </c>
      <c r="B1593" s="13">
        <v>41.79</v>
      </c>
      <c r="C1593" s="13">
        <v>41.18</v>
      </c>
      <c r="D1593" s="13">
        <v>41.18</v>
      </c>
      <c r="E1593" s="13">
        <v>8012411</v>
      </c>
      <c r="F1593" s="13" t="s">
        <v>972</v>
      </c>
      <c r="G1593" s="18">
        <f t="shared" si="31"/>
        <v>6.5565808644973966E-3</v>
      </c>
    </row>
    <row r="1594" spans="1:7">
      <c r="A1594" s="13">
        <v>41.28</v>
      </c>
      <c r="B1594" s="13">
        <v>41.64</v>
      </c>
      <c r="C1594" s="13">
        <v>40.75</v>
      </c>
      <c r="D1594" s="13">
        <v>40.83</v>
      </c>
      <c r="E1594" s="13">
        <v>17415488</v>
      </c>
      <c r="F1594" s="13" t="s">
        <v>971</v>
      </c>
      <c r="G1594" s="18">
        <f t="shared" si="31"/>
        <v>1.1021307861866392E-2</v>
      </c>
    </row>
    <row r="1595" spans="1:7">
      <c r="A1595" s="13">
        <v>40.54</v>
      </c>
      <c r="B1595" s="13">
        <v>40.94</v>
      </c>
      <c r="C1595" s="13">
        <v>39.630000000000003</v>
      </c>
      <c r="D1595" s="13">
        <v>40.119999999999997</v>
      </c>
      <c r="E1595" s="13">
        <v>12114685</v>
      </c>
      <c r="F1595" s="13" t="s">
        <v>970</v>
      </c>
      <c r="G1595" s="18">
        <f t="shared" si="31"/>
        <v>1.0468594217347915E-2</v>
      </c>
    </row>
    <row r="1596" spans="1:7">
      <c r="A1596" s="13">
        <v>40.01</v>
      </c>
      <c r="B1596" s="13">
        <v>40.159999999999997</v>
      </c>
      <c r="C1596" s="13">
        <v>39.178600000000003</v>
      </c>
      <c r="D1596" s="13">
        <v>39.19</v>
      </c>
      <c r="E1596" s="13">
        <v>11081602</v>
      </c>
      <c r="F1596" s="13" t="s">
        <v>969</v>
      </c>
      <c r="G1596" s="18">
        <f t="shared" si="31"/>
        <v>2.0923705026792527E-2</v>
      </c>
    </row>
    <row r="1597" spans="1:7">
      <c r="A1597" s="13">
        <v>39.049999999999997</v>
      </c>
      <c r="B1597" s="13">
        <v>39.14</v>
      </c>
      <c r="C1597" s="13">
        <v>38.21</v>
      </c>
      <c r="D1597" s="13">
        <v>38.76</v>
      </c>
      <c r="E1597" s="13">
        <v>6982019</v>
      </c>
      <c r="F1597" s="13" t="s">
        <v>968</v>
      </c>
      <c r="G1597" s="18">
        <f t="shared" si="31"/>
        <v>7.4819401444787825E-3</v>
      </c>
    </row>
    <row r="1598" spans="1:7">
      <c r="A1598" s="13">
        <v>38.29</v>
      </c>
      <c r="B1598" s="13">
        <v>38.67</v>
      </c>
      <c r="C1598" s="13">
        <v>38.08</v>
      </c>
      <c r="D1598" s="13">
        <v>38.479999999999997</v>
      </c>
      <c r="E1598" s="13">
        <v>5730807</v>
      </c>
      <c r="F1598" s="13" t="s">
        <v>967</v>
      </c>
      <c r="G1598" s="18">
        <f t="shared" si="31"/>
        <v>-4.9376299376299171E-3</v>
      </c>
    </row>
    <row r="1599" spans="1:7">
      <c r="A1599" s="13">
        <v>38.409999999999997</v>
      </c>
      <c r="B1599" s="13">
        <v>38.590000000000003</v>
      </c>
      <c r="C1599" s="13">
        <v>37.615000000000002</v>
      </c>
      <c r="D1599" s="13">
        <v>38.159999999999997</v>
      </c>
      <c r="E1599" s="13">
        <v>6825941</v>
      </c>
      <c r="F1599" s="13" t="s">
        <v>966</v>
      </c>
      <c r="G1599" s="18">
        <f t="shared" si="31"/>
        <v>6.5513626834381444E-3</v>
      </c>
    </row>
    <row r="1600" spans="1:7">
      <c r="A1600" s="13">
        <v>38.44</v>
      </c>
      <c r="B1600" s="13">
        <v>38.68</v>
      </c>
      <c r="C1600" s="13">
        <v>38.020000000000003</v>
      </c>
      <c r="D1600" s="13">
        <v>38.21</v>
      </c>
      <c r="E1600" s="13">
        <v>6964456</v>
      </c>
      <c r="F1600" s="13" t="s">
        <v>965</v>
      </c>
      <c r="G1600" s="18">
        <f t="shared" si="31"/>
        <v>6.0193666579428928E-3</v>
      </c>
    </row>
    <row r="1601" spans="1:7">
      <c r="A1601" s="13">
        <v>38.07</v>
      </c>
      <c r="B1601" s="13">
        <v>38.5</v>
      </c>
      <c r="C1601" s="13">
        <v>37.700000000000003</v>
      </c>
      <c r="D1601" s="13">
        <v>38.4</v>
      </c>
      <c r="E1601" s="13">
        <v>6052452</v>
      </c>
      <c r="F1601" s="13" t="s">
        <v>964</v>
      </c>
      <c r="G1601" s="18">
        <f t="shared" si="31"/>
        <v>-8.5937499999999556E-3</v>
      </c>
    </row>
    <row r="1602" spans="1:7">
      <c r="A1602" s="13">
        <v>38.450000000000003</v>
      </c>
      <c r="B1602" s="13">
        <v>39.159999999999997</v>
      </c>
      <c r="C1602" s="13">
        <v>38.335000000000001</v>
      </c>
      <c r="D1602" s="13">
        <v>38.54</v>
      </c>
      <c r="E1602" s="13">
        <v>14470380</v>
      </c>
      <c r="F1602" s="13" t="s">
        <v>963</v>
      </c>
      <c r="G1602" s="18">
        <f t="shared" si="31"/>
        <v>-2.3352361183185399E-3</v>
      </c>
    </row>
    <row r="1603" spans="1:7">
      <c r="A1603" s="13">
        <v>38.47</v>
      </c>
      <c r="B1603" s="13">
        <v>38.65</v>
      </c>
      <c r="C1603" s="13">
        <v>37.674999999999997</v>
      </c>
      <c r="D1603" s="13">
        <v>37.700000000000003</v>
      </c>
      <c r="E1603" s="13">
        <v>8232433</v>
      </c>
      <c r="F1603" s="13" t="s">
        <v>962</v>
      </c>
      <c r="G1603" s="18">
        <f t="shared" si="31"/>
        <v>2.0424403183023854E-2</v>
      </c>
    </row>
    <row r="1604" spans="1:7">
      <c r="A1604" s="13">
        <v>37.79</v>
      </c>
      <c r="B1604" s="13">
        <v>37.81</v>
      </c>
      <c r="C1604" s="13">
        <v>37.29</v>
      </c>
      <c r="D1604" s="13">
        <v>37.68</v>
      </c>
      <c r="E1604" s="13">
        <v>6282454</v>
      </c>
      <c r="F1604" s="13" t="s">
        <v>961</v>
      </c>
      <c r="G1604" s="18">
        <f t="shared" si="31"/>
        <v>2.9193205944797462E-3</v>
      </c>
    </row>
    <row r="1605" spans="1:7">
      <c r="A1605" s="13">
        <v>37.729999999999997</v>
      </c>
      <c r="B1605" s="13">
        <v>37.89</v>
      </c>
      <c r="C1605" s="13">
        <v>37.445</v>
      </c>
      <c r="D1605" s="13">
        <v>37.65</v>
      </c>
      <c r="E1605" s="13">
        <v>3714170</v>
      </c>
      <c r="F1605" s="13" t="s">
        <v>960</v>
      </c>
      <c r="G1605" s="18">
        <f t="shared" si="31"/>
        <v>2.1248339973438668E-3</v>
      </c>
    </row>
    <row r="1606" spans="1:7">
      <c r="A1606" s="13">
        <v>37.700000000000003</v>
      </c>
      <c r="B1606" s="13">
        <v>37.880000000000003</v>
      </c>
      <c r="C1606" s="13">
        <v>37.409999999999997</v>
      </c>
      <c r="D1606" s="13">
        <v>37.630000000000003</v>
      </c>
      <c r="E1606" s="13">
        <v>7933020</v>
      </c>
      <c r="F1606" s="13" t="s">
        <v>959</v>
      </c>
      <c r="G1606" s="18">
        <f t="shared" si="31"/>
        <v>1.8602179112410244E-3</v>
      </c>
    </row>
    <row r="1607" spans="1:7">
      <c r="A1607" s="13">
        <v>37.29</v>
      </c>
      <c r="B1607" s="13">
        <v>37.384999999999998</v>
      </c>
      <c r="C1607" s="13">
        <v>36.807299999999998</v>
      </c>
      <c r="D1607" s="13">
        <v>37.15</v>
      </c>
      <c r="E1607" s="13">
        <v>5053399</v>
      </c>
      <c r="F1607" s="13" t="s">
        <v>958</v>
      </c>
      <c r="G1607" s="18">
        <f t="shared" si="31"/>
        <v>3.7685060565275652E-3</v>
      </c>
    </row>
    <row r="1608" spans="1:7">
      <c r="A1608" s="13">
        <v>37.32</v>
      </c>
      <c r="B1608" s="13">
        <v>37.880000000000003</v>
      </c>
      <c r="C1608" s="13">
        <v>37.07</v>
      </c>
      <c r="D1608" s="13">
        <v>37.08</v>
      </c>
      <c r="E1608" s="13">
        <v>5482060</v>
      </c>
      <c r="F1608" s="13" t="s">
        <v>957</v>
      </c>
      <c r="G1608" s="18">
        <f t="shared" si="31"/>
        <v>6.4724919093852584E-3</v>
      </c>
    </row>
    <row r="1609" spans="1:7">
      <c r="A1609" s="13">
        <v>37.619999999999997</v>
      </c>
      <c r="B1609" s="13">
        <v>38.31</v>
      </c>
      <c r="C1609" s="13">
        <v>37.21</v>
      </c>
      <c r="D1609" s="13">
        <v>37.21</v>
      </c>
      <c r="E1609" s="13">
        <v>7498805</v>
      </c>
      <c r="F1609" s="13" t="s">
        <v>956</v>
      </c>
      <c r="G1609" s="18">
        <f t="shared" si="31"/>
        <v>1.1018543402311121E-2</v>
      </c>
    </row>
    <row r="1610" spans="1:7">
      <c r="A1610" s="13">
        <v>37.07</v>
      </c>
      <c r="B1610" s="13">
        <v>37.380000000000003</v>
      </c>
      <c r="C1610" s="13">
        <v>36.6</v>
      </c>
      <c r="D1610" s="13">
        <v>36.64</v>
      </c>
      <c r="E1610" s="13">
        <v>8536891</v>
      </c>
      <c r="F1610" s="13" t="s">
        <v>955</v>
      </c>
      <c r="G1610" s="18">
        <f t="shared" si="31"/>
        <v>1.1735807860262071E-2</v>
      </c>
    </row>
    <row r="1611" spans="1:7">
      <c r="A1611" s="13">
        <v>36.76</v>
      </c>
      <c r="B1611" s="13">
        <v>37.119999999999997</v>
      </c>
      <c r="C1611" s="13">
        <v>36.1</v>
      </c>
      <c r="D1611" s="13">
        <v>36.200000000000003</v>
      </c>
      <c r="E1611" s="13">
        <v>6567209</v>
      </c>
      <c r="F1611" s="13" t="s">
        <v>954</v>
      </c>
      <c r="G1611" s="18">
        <f t="shared" si="31"/>
        <v>1.5469613259668336E-2</v>
      </c>
    </row>
    <row r="1612" spans="1:7">
      <c r="A1612" s="13">
        <v>35.97</v>
      </c>
      <c r="B1612" s="13">
        <v>36.369999999999997</v>
      </c>
      <c r="C1612" s="13">
        <v>35.880000000000003</v>
      </c>
      <c r="D1612" s="13">
        <v>36.299999999999997</v>
      </c>
      <c r="E1612" s="13">
        <v>5475964</v>
      </c>
      <c r="F1612" s="13" t="s">
        <v>953</v>
      </c>
      <c r="G1612" s="18">
        <f t="shared" si="31"/>
        <v>-9.0909090909090384E-3</v>
      </c>
    </row>
    <row r="1613" spans="1:7">
      <c r="A1613" s="13">
        <v>36.58</v>
      </c>
      <c r="B1613" s="13">
        <v>36.9</v>
      </c>
      <c r="C1613" s="13">
        <v>35.880000000000003</v>
      </c>
      <c r="D1613" s="13">
        <v>36.82</v>
      </c>
      <c r="E1613" s="13">
        <v>7458652</v>
      </c>
      <c r="F1613" s="13" t="s">
        <v>952</v>
      </c>
      <c r="G1613" s="18">
        <f t="shared" si="31"/>
        <v>-6.5181966322651608E-3</v>
      </c>
    </row>
    <row r="1614" spans="1:7">
      <c r="A1614" s="13">
        <v>37.07</v>
      </c>
      <c r="B1614" s="13">
        <v>37.11</v>
      </c>
      <c r="C1614" s="13">
        <v>36.07</v>
      </c>
      <c r="D1614" s="13">
        <v>36.340000000000003</v>
      </c>
      <c r="E1614" s="13">
        <v>8510493</v>
      </c>
      <c r="F1614" s="13" t="s">
        <v>951</v>
      </c>
      <c r="G1614" s="18">
        <f t="shared" si="31"/>
        <v>2.0088057237204193E-2</v>
      </c>
    </row>
    <row r="1615" spans="1:7">
      <c r="A1615" s="13">
        <v>36.700000000000003</v>
      </c>
      <c r="B1615" s="13">
        <v>37.21</v>
      </c>
      <c r="C1615" s="13">
        <v>36.369999999999997</v>
      </c>
      <c r="D1615" s="13">
        <v>36.75</v>
      </c>
      <c r="E1615" s="13">
        <v>7128881</v>
      </c>
      <c r="F1615" s="13" t="s">
        <v>950</v>
      </c>
      <c r="G1615" s="18">
        <f t="shared" si="31"/>
        <v>-1.3605442176869431E-3</v>
      </c>
    </row>
    <row r="1616" spans="1:7">
      <c r="A1616" s="13">
        <v>36.770000000000003</v>
      </c>
      <c r="B1616" s="13">
        <v>37.25</v>
      </c>
      <c r="C1616" s="13">
        <v>36.47</v>
      </c>
      <c r="D1616" s="13">
        <v>37.08</v>
      </c>
      <c r="E1616" s="13">
        <v>6402978</v>
      </c>
      <c r="F1616" s="13" t="s">
        <v>949</v>
      </c>
      <c r="G1616" s="18">
        <f t="shared" si="31"/>
        <v>-8.3603020496223479E-3</v>
      </c>
    </row>
    <row r="1617" spans="1:7">
      <c r="A1617" s="13">
        <v>37.369999999999997</v>
      </c>
      <c r="B1617" s="13">
        <v>37.47</v>
      </c>
      <c r="C1617" s="13">
        <v>36.51</v>
      </c>
      <c r="D1617" s="13">
        <v>36.57</v>
      </c>
      <c r="E1617" s="13">
        <v>7742255</v>
      </c>
      <c r="F1617" s="13" t="s">
        <v>948</v>
      </c>
      <c r="G1617" s="18">
        <f t="shared" si="31"/>
        <v>2.1875854525567284E-2</v>
      </c>
    </row>
    <row r="1618" spans="1:7">
      <c r="A1618" s="13">
        <v>37.200000000000003</v>
      </c>
      <c r="B1618" s="13">
        <v>37.299999999999997</v>
      </c>
      <c r="C1618" s="13">
        <v>36.840000000000003</v>
      </c>
      <c r="D1618" s="13">
        <v>37.049999999999997</v>
      </c>
      <c r="E1618" s="13">
        <v>7869321</v>
      </c>
      <c r="F1618" s="13" t="s">
        <v>947</v>
      </c>
      <c r="G1618" s="18">
        <f t="shared" si="31"/>
        <v>4.0485829959515662E-3</v>
      </c>
    </row>
    <row r="1619" spans="1:7">
      <c r="A1619" s="13">
        <v>36.89</v>
      </c>
      <c r="B1619" s="13">
        <v>36.89</v>
      </c>
      <c r="C1619" s="13">
        <v>36.11</v>
      </c>
      <c r="D1619" s="13">
        <v>36.25</v>
      </c>
      <c r="E1619" s="13">
        <v>10698571</v>
      </c>
      <c r="F1619" s="13" t="s">
        <v>946</v>
      </c>
      <c r="G1619" s="18">
        <f t="shared" si="31"/>
        <v>1.7655172413793219E-2</v>
      </c>
    </row>
    <row r="1620" spans="1:7">
      <c r="A1620" s="13">
        <v>36.380000000000003</v>
      </c>
      <c r="B1620" s="13">
        <v>37.14</v>
      </c>
      <c r="C1620" s="13">
        <v>36.340000000000003</v>
      </c>
      <c r="D1620" s="13">
        <v>37.11</v>
      </c>
      <c r="E1620" s="13">
        <v>6080986</v>
      </c>
      <c r="F1620" s="13" t="s">
        <v>945</v>
      </c>
      <c r="G1620" s="18">
        <f t="shared" si="31"/>
        <v>-1.9671247642144896E-2</v>
      </c>
    </row>
    <row r="1621" spans="1:7">
      <c r="A1621" s="13">
        <v>37.119999999999997</v>
      </c>
      <c r="B1621" s="13">
        <v>37.185000000000002</v>
      </c>
      <c r="C1621" s="13">
        <v>36.590000000000003</v>
      </c>
      <c r="D1621" s="13">
        <v>36.78</v>
      </c>
      <c r="E1621" s="13">
        <v>7938896</v>
      </c>
      <c r="F1621" s="13" t="s">
        <v>944</v>
      </c>
      <c r="G1621" s="18">
        <f t="shared" si="31"/>
        <v>9.2441544317563018E-3</v>
      </c>
    </row>
    <row r="1622" spans="1:7">
      <c r="A1622" s="13">
        <v>36.729999999999997</v>
      </c>
      <c r="B1622" s="13">
        <v>37.56</v>
      </c>
      <c r="C1622" s="13">
        <v>36.65</v>
      </c>
      <c r="D1622" s="13">
        <v>37.270000000000003</v>
      </c>
      <c r="E1622" s="13">
        <v>6017952</v>
      </c>
      <c r="F1622" s="13" t="s">
        <v>943</v>
      </c>
      <c r="G1622" s="18">
        <f t="shared" si="31"/>
        <v>-1.4488865038905452E-2</v>
      </c>
    </row>
    <row r="1623" spans="1:7">
      <c r="A1623" s="13">
        <v>37.380000000000003</v>
      </c>
      <c r="B1623" s="13">
        <v>37.49</v>
      </c>
      <c r="C1623" s="13">
        <v>36.799999999999997</v>
      </c>
      <c r="D1623" s="13">
        <v>37.17</v>
      </c>
      <c r="E1623" s="13">
        <v>9621611</v>
      </c>
      <c r="F1623" s="13" t="s">
        <v>942</v>
      </c>
      <c r="G1623" s="18">
        <f t="shared" si="31"/>
        <v>5.6497175141243527E-3</v>
      </c>
    </row>
    <row r="1624" spans="1:7">
      <c r="A1624" s="13">
        <v>36.93</v>
      </c>
      <c r="B1624" s="13">
        <v>37.15</v>
      </c>
      <c r="C1624" s="13">
        <v>35.43</v>
      </c>
      <c r="D1624" s="13">
        <v>35.47</v>
      </c>
      <c r="E1624" s="13">
        <v>13209911</v>
      </c>
      <c r="F1624" s="13" t="s">
        <v>941</v>
      </c>
      <c r="G1624" s="18">
        <f t="shared" si="31"/>
        <v>4.1161544967578179E-2</v>
      </c>
    </row>
    <row r="1625" spans="1:7">
      <c r="A1625" s="13">
        <v>35.44</v>
      </c>
      <c r="B1625" s="13">
        <v>36.14</v>
      </c>
      <c r="C1625" s="13">
        <v>34.784999999999997</v>
      </c>
      <c r="D1625" s="13">
        <v>35</v>
      </c>
      <c r="E1625" s="13">
        <v>19865526</v>
      </c>
      <c r="F1625" s="13" t="s">
        <v>940</v>
      </c>
      <c r="G1625" s="18">
        <f t="shared" si="31"/>
        <v>1.2571428571428456E-2</v>
      </c>
    </row>
    <row r="1626" spans="1:7">
      <c r="A1626" s="13">
        <v>35.89</v>
      </c>
      <c r="B1626" s="13">
        <v>35.895000000000003</v>
      </c>
      <c r="C1626" s="13">
        <v>34.96</v>
      </c>
      <c r="D1626" s="13">
        <v>35.11</v>
      </c>
      <c r="E1626" s="13">
        <v>13873959</v>
      </c>
      <c r="F1626" s="13" t="s">
        <v>939</v>
      </c>
      <c r="G1626" s="18">
        <f t="shared" si="31"/>
        <v>2.221589290800341E-2</v>
      </c>
    </row>
    <row r="1627" spans="1:7">
      <c r="A1627" s="13">
        <v>34.93</v>
      </c>
      <c r="B1627" s="13">
        <v>35.424999999999997</v>
      </c>
      <c r="C1627" s="13">
        <v>34.630000000000003</v>
      </c>
      <c r="D1627" s="13">
        <v>34.9</v>
      </c>
      <c r="E1627" s="13">
        <v>7824238</v>
      </c>
      <c r="F1627" s="13" t="s">
        <v>938</v>
      </c>
      <c r="G1627" s="18">
        <f t="shared" si="31"/>
        <v>8.5959885386821533E-4</v>
      </c>
    </row>
    <row r="1628" spans="1:7">
      <c r="A1628" s="13">
        <v>35.11</v>
      </c>
      <c r="B1628" s="13">
        <v>35.520000000000003</v>
      </c>
      <c r="C1628" s="13">
        <v>34.344999999999999</v>
      </c>
      <c r="D1628" s="13">
        <v>35.08</v>
      </c>
      <c r="E1628" s="13">
        <v>10280978</v>
      </c>
      <c r="F1628" s="13" t="s">
        <v>937</v>
      </c>
      <c r="G1628" s="18">
        <f t="shared" si="31"/>
        <v>8.5518814139118327E-4</v>
      </c>
    </row>
    <row r="1629" spans="1:7">
      <c r="A1629" s="13">
        <v>34.909999999999997</v>
      </c>
      <c r="B1629" s="13">
        <v>36.33</v>
      </c>
      <c r="C1629" s="13">
        <v>34.847000000000001</v>
      </c>
      <c r="D1629" s="13">
        <v>35.799999999999997</v>
      </c>
      <c r="E1629" s="13">
        <v>16029721</v>
      </c>
      <c r="F1629" s="13" t="s">
        <v>936</v>
      </c>
      <c r="G1629" s="18">
        <f t="shared" si="31"/>
        <v>-2.4860335195530769E-2</v>
      </c>
    </row>
    <row r="1630" spans="1:7">
      <c r="A1630" s="13">
        <v>36.17</v>
      </c>
      <c r="B1630" s="13">
        <v>38.25</v>
      </c>
      <c r="C1630" s="13">
        <v>35.6</v>
      </c>
      <c r="D1630" s="13">
        <v>38.1</v>
      </c>
      <c r="E1630" s="13">
        <v>32945471</v>
      </c>
      <c r="F1630" s="13" t="s">
        <v>935</v>
      </c>
      <c r="G1630" s="18">
        <f t="shared" si="31"/>
        <v>-5.0656167979002631E-2</v>
      </c>
    </row>
    <row r="1631" spans="1:7">
      <c r="A1631" s="13">
        <v>37.81</v>
      </c>
      <c r="B1631" s="13">
        <v>37.905000000000001</v>
      </c>
      <c r="C1631" s="13">
        <v>37.49</v>
      </c>
      <c r="D1631" s="13">
        <v>37.81</v>
      </c>
      <c r="E1631" s="13">
        <v>5124149</v>
      </c>
      <c r="F1631" s="13" t="s">
        <v>934</v>
      </c>
      <c r="G1631" s="18">
        <f t="shared" si="31"/>
        <v>0</v>
      </c>
    </row>
    <row r="1632" spans="1:7">
      <c r="A1632" s="13">
        <v>37.729999999999997</v>
      </c>
      <c r="B1632" s="13">
        <v>38.045000000000002</v>
      </c>
      <c r="C1632" s="13">
        <v>37.57</v>
      </c>
      <c r="D1632" s="13">
        <v>37.950000000000003</v>
      </c>
      <c r="E1632" s="13">
        <v>4800065</v>
      </c>
      <c r="F1632" s="13" t="s">
        <v>933</v>
      </c>
      <c r="G1632" s="18">
        <f t="shared" si="31"/>
        <v>-5.7971014492754769E-3</v>
      </c>
    </row>
    <row r="1633" spans="1:7">
      <c r="A1633" s="13">
        <v>37.92</v>
      </c>
      <c r="B1633" s="13">
        <v>38.51</v>
      </c>
      <c r="C1633" s="13">
        <v>37.865000000000002</v>
      </c>
      <c r="D1633" s="13">
        <v>38.5</v>
      </c>
      <c r="E1633" s="13">
        <v>4887601</v>
      </c>
      <c r="F1633" s="13" t="s">
        <v>932</v>
      </c>
      <c r="G1633" s="18">
        <f t="shared" si="31"/>
        <v>-1.5064935064935003E-2</v>
      </c>
    </row>
    <row r="1634" spans="1:7">
      <c r="A1634" s="13">
        <v>38.36</v>
      </c>
      <c r="B1634" s="13">
        <v>38.58</v>
      </c>
      <c r="C1634" s="13">
        <v>38.1875</v>
      </c>
      <c r="D1634" s="13">
        <v>38.24</v>
      </c>
      <c r="E1634" s="13">
        <v>5896182</v>
      </c>
      <c r="F1634" s="13" t="s">
        <v>931</v>
      </c>
      <c r="G1634" s="18">
        <f t="shared" si="31"/>
        <v>3.1380753138074979E-3</v>
      </c>
    </row>
    <row r="1635" spans="1:7">
      <c r="A1635" s="13">
        <v>38.21</v>
      </c>
      <c r="B1635" s="13">
        <v>38.35</v>
      </c>
      <c r="C1635" s="13">
        <v>37.94</v>
      </c>
      <c r="D1635" s="13">
        <v>38.06</v>
      </c>
      <c r="E1635" s="13">
        <v>4627534</v>
      </c>
      <c r="F1635" s="13" t="s">
        <v>930</v>
      </c>
      <c r="G1635" s="18">
        <f t="shared" si="31"/>
        <v>3.9411455596425338E-3</v>
      </c>
    </row>
    <row r="1636" spans="1:7">
      <c r="A1636" s="13">
        <v>38.15</v>
      </c>
      <c r="B1636" s="13">
        <v>38.21</v>
      </c>
      <c r="C1636" s="13">
        <v>37.700000000000003</v>
      </c>
      <c r="D1636" s="13">
        <v>38.1</v>
      </c>
      <c r="E1636" s="13">
        <v>4870844</v>
      </c>
      <c r="F1636" s="13" t="s">
        <v>929</v>
      </c>
      <c r="G1636" s="18">
        <f t="shared" si="31"/>
        <v>1.312335958005173E-3</v>
      </c>
    </row>
    <row r="1637" spans="1:7">
      <c r="A1637" s="13">
        <v>38.159999999999997</v>
      </c>
      <c r="B1637" s="13">
        <v>38.31</v>
      </c>
      <c r="C1637" s="13">
        <v>37.93</v>
      </c>
      <c r="D1637" s="13">
        <v>38.229999999999997</v>
      </c>
      <c r="E1637" s="13">
        <v>4630187</v>
      </c>
      <c r="F1637" s="13" t="s">
        <v>928</v>
      </c>
      <c r="G1637" s="18">
        <f t="shared" si="31"/>
        <v>-1.8310227569970916E-3</v>
      </c>
    </row>
    <row r="1638" spans="1:7">
      <c r="A1638" s="13">
        <v>38.159999999999997</v>
      </c>
      <c r="B1638" s="13">
        <v>38.450000000000003</v>
      </c>
      <c r="C1638" s="13">
        <v>37.799999999999997</v>
      </c>
      <c r="D1638" s="13">
        <v>38.450000000000003</v>
      </c>
      <c r="E1638" s="13">
        <v>4049865</v>
      </c>
      <c r="F1638" s="13" t="s">
        <v>927</v>
      </c>
      <c r="G1638" s="18">
        <f t="shared" si="31"/>
        <v>-7.5422626788037572E-3</v>
      </c>
    </row>
    <row r="1639" spans="1:7">
      <c r="A1639" s="13">
        <v>38.33</v>
      </c>
      <c r="B1639" s="13">
        <v>38.74</v>
      </c>
      <c r="C1639" s="13">
        <v>38.145000000000003</v>
      </c>
      <c r="D1639" s="13">
        <v>38.700000000000003</v>
      </c>
      <c r="E1639" s="13">
        <v>6895781</v>
      </c>
      <c r="F1639" s="13" t="s">
        <v>926</v>
      </c>
      <c r="G1639" s="18">
        <f t="shared" si="31"/>
        <v>-9.5607235142119995E-3</v>
      </c>
    </row>
    <row r="1640" spans="1:7">
      <c r="A1640" s="13">
        <v>38.520000000000003</v>
      </c>
      <c r="B1640" s="13">
        <v>38.700000000000003</v>
      </c>
      <c r="C1640" s="13">
        <v>38.340000000000003</v>
      </c>
      <c r="D1640" s="13">
        <v>38.700000000000003</v>
      </c>
      <c r="E1640" s="13">
        <v>5725347</v>
      </c>
      <c r="F1640" s="13" t="s">
        <v>925</v>
      </c>
      <c r="G1640" s="18">
        <f t="shared" si="31"/>
        <v>-4.6511627906976605E-3</v>
      </c>
    </row>
    <row r="1641" spans="1:7">
      <c r="A1641" s="13">
        <v>38.659999999999997</v>
      </c>
      <c r="B1641" s="13">
        <v>39</v>
      </c>
      <c r="C1641" s="13">
        <v>38.5</v>
      </c>
      <c r="D1641" s="13">
        <v>38.82</v>
      </c>
      <c r="E1641" s="13">
        <v>11464908</v>
      </c>
      <c r="F1641" s="13" t="s">
        <v>924</v>
      </c>
      <c r="G1641" s="18">
        <f t="shared" si="31"/>
        <v>-4.1215868109223397E-3</v>
      </c>
    </row>
    <row r="1642" spans="1:7">
      <c r="A1642" s="13">
        <v>38.380000000000003</v>
      </c>
      <c r="B1642" s="13">
        <v>38.65</v>
      </c>
      <c r="C1642" s="13">
        <v>37.984999999999999</v>
      </c>
      <c r="D1642" s="13">
        <v>38.15</v>
      </c>
      <c r="E1642" s="13">
        <v>7767907</v>
      </c>
      <c r="F1642" s="13" t="s">
        <v>923</v>
      </c>
      <c r="G1642" s="18">
        <f t="shared" si="31"/>
        <v>6.0288335517695302E-3</v>
      </c>
    </row>
    <row r="1643" spans="1:7">
      <c r="A1643" s="13">
        <v>37.92</v>
      </c>
      <c r="B1643" s="13">
        <v>37.950000000000003</v>
      </c>
      <c r="C1643" s="13">
        <v>37.409999999999997</v>
      </c>
      <c r="D1643" s="13">
        <v>37.64</v>
      </c>
      <c r="E1643" s="13">
        <v>4708811</v>
      </c>
      <c r="F1643" s="13" t="s">
        <v>922</v>
      </c>
      <c r="G1643" s="18">
        <f t="shared" si="31"/>
        <v>7.4388947927737092E-3</v>
      </c>
    </row>
    <row r="1644" spans="1:7">
      <c r="A1644" s="13">
        <v>37.49</v>
      </c>
      <c r="B1644" s="13">
        <v>38.094999999999999</v>
      </c>
      <c r="C1644" s="13">
        <v>37.31</v>
      </c>
      <c r="D1644" s="13">
        <v>37.85</v>
      </c>
      <c r="E1644" s="13">
        <v>4763625</v>
      </c>
      <c r="F1644" s="13" t="s">
        <v>921</v>
      </c>
      <c r="G1644" s="18">
        <f t="shared" si="31"/>
        <v>-9.5112285336855784E-3</v>
      </c>
    </row>
    <row r="1645" spans="1:7">
      <c r="A1645" s="13">
        <v>37.840000000000003</v>
      </c>
      <c r="B1645" s="13">
        <v>38.594999999999999</v>
      </c>
      <c r="C1645" s="13">
        <v>37.74</v>
      </c>
      <c r="D1645" s="13">
        <v>38.07</v>
      </c>
      <c r="E1645" s="13">
        <v>7302504</v>
      </c>
      <c r="F1645" s="13" t="s">
        <v>920</v>
      </c>
      <c r="G1645" s="18">
        <f t="shared" si="31"/>
        <v>-6.0415024954031393E-3</v>
      </c>
    </row>
    <row r="1646" spans="1:7">
      <c r="A1646" s="13">
        <v>37.64</v>
      </c>
      <c r="B1646" s="13">
        <v>37.82</v>
      </c>
      <c r="C1646" s="13">
        <v>37.1</v>
      </c>
      <c r="D1646" s="13">
        <v>37.299999999999997</v>
      </c>
      <c r="E1646" s="13">
        <v>8377955</v>
      </c>
      <c r="F1646" s="13" t="s">
        <v>919</v>
      </c>
      <c r="G1646" s="18">
        <f t="shared" si="31"/>
        <v>9.1152815013406663E-3</v>
      </c>
    </row>
    <row r="1647" spans="1:7">
      <c r="A1647" s="13">
        <v>37.299999999999997</v>
      </c>
      <c r="B1647" s="13">
        <v>38.130000000000003</v>
      </c>
      <c r="C1647" s="13">
        <v>37.28</v>
      </c>
      <c r="D1647" s="13">
        <v>38.1</v>
      </c>
      <c r="E1647" s="13">
        <v>6679932</v>
      </c>
      <c r="F1647" s="13" t="s">
        <v>918</v>
      </c>
      <c r="G1647" s="18">
        <f t="shared" si="31"/>
        <v>-2.09973753280841E-2</v>
      </c>
    </row>
    <row r="1648" spans="1:7">
      <c r="A1648" s="13">
        <v>38.15</v>
      </c>
      <c r="B1648" s="13">
        <v>38.26</v>
      </c>
      <c r="C1648" s="13">
        <v>37.620100000000001</v>
      </c>
      <c r="D1648" s="13">
        <v>37.71</v>
      </c>
      <c r="E1648" s="13">
        <v>8094259</v>
      </c>
      <c r="F1648" s="13" t="s">
        <v>917</v>
      </c>
      <c r="G1648" s="18">
        <f t="shared" si="31"/>
        <v>1.1667992574913688E-2</v>
      </c>
    </row>
    <row r="1649" spans="1:7">
      <c r="A1649" s="13">
        <v>37.86</v>
      </c>
      <c r="B1649" s="13">
        <v>38.265000000000001</v>
      </c>
      <c r="C1649" s="13">
        <v>37.634999999999998</v>
      </c>
      <c r="D1649" s="13">
        <v>38.11</v>
      </c>
      <c r="E1649" s="13">
        <v>9626787</v>
      </c>
      <c r="F1649" s="13" t="s">
        <v>916</v>
      </c>
      <c r="G1649" s="18">
        <f t="shared" si="31"/>
        <v>-6.559958016268741E-3</v>
      </c>
    </row>
    <row r="1650" spans="1:7">
      <c r="A1650" s="13">
        <v>38.17</v>
      </c>
      <c r="B1650" s="13">
        <v>38.534999999999997</v>
      </c>
      <c r="C1650" s="13">
        <v>37.61</v>
      </c>
      <c r="D1650" s="13">
        <v>38.119999999999997</v>
      </c>
      <c r="E1650" s="13">
        <v>10570113</v>
      </c>
      <c r="F1650" s="13" t="s">
        <v>915</v>
      </c>
      <c r="G1650" s="18">
        <f t="shared" ref="G1650:G1713" si="32">A1650/D1650-1</f>
        <v>1.3116474291712255E-3</v>
      </c>
    </row>
    <row r="1651" spans="1:7">
      <c r="A1651" s="13">
        <v>37.97</v>
      </c>
      <c r="B1651" s="13">
        <v>40</v>
      </c>
      <c r="C1651" s="13">
        <v>37.69</v>
      </c>
      <c r="D1651" s="13">
        <v>39.979999999999997</v>
      </c>
      <c r="E1651" s="13">
        <v>19132324</v>
      </c>
      <c r="F1651" s="13" t="s">
        <v>914</v>
      </c>
      <c r="G1651" s="18">
        <f t="shared" si="32"/>
        <v>-5.0275137568784323E-2</v>
      </c>
    </row>
    <row r="1652" spans="1:7">
      <c r="A1652" s="13">
        <v>40.21</v>
      </c>
      <c r="B1652" s="13">
        <v>40.67</v>
      </c>
      <c r="C1652" s="13">
        <v>40.07</v>
      </c>
      <c r="D1652" s="13">
        <v>40.11</v>
      </c>
      <c r="E1652" s="13">
        <v>9811743</v>
      </c>
      <c r="F1652" s="13" t="s">
        <v>913</v>
      </c>
      <c r="G1652" s="18">
        <f t="shared" si="32"/>
        <v>2.4931438544004703E-3</v>
      </c>
    </row>
    <row r="1653" spans="1:7">
      <c r="A1653" s="13">
        <v>40.049999999999997</v>
      </c>
      <c r="B1653" s="13">
        <v>40.229999999999997</v>
      </c>
      <c r="C1653" s="13">
        <v>39.875</v>
      </c>
      <c r="D1653" s="13">
        <v>40.19</v>
      </c>
      <c r="E1653" s="13">
        <v>6345712</v>
      </c>
      <c r="F1653" s="13" t="s">
        <v>912</v>
      </c>
      <c r="G1653" s="18">
        <f t="shared" si="32"/>
        <v>-3.4834535954217927E-3</v>
      </c>
    </row>
    <row r="1654" spans="1:7">
      <c r="A1654" s="13">
        <v>40.229999999999997</v>
      </c>
      <c r="B1654" s="13">
        <v>40.770000000000003</v>
      </c>
      <c r="C1654" s="13">
        <v>40.130000000000003</v>
      </c>
      <c r="D1654" s="13">
        <v>40.42</v>
      </c>
      <c r="E1654" s="13">
        <v>6060477</v>
      </c>
      <c r="F1654" s="13" t="s">
        <v>911</v>
      </c>
      <c r="G1654" s="18">
        <f t="shared" si="32"/>
        <v>-4.7006432459180125E-3</v>
      </c>
    </row>
    <row r="1655" spans="1:7">
      <c r="A1655" s="13">
        <v>40.26</v>
      </c>
      <c r="B1655" s="13">
        <v>40.39</v>
      </c>
      <c r="C1655" s="13">
        <v>39.854999999999997</v>
      </c>
      <c r="D1655" s="13">
        <v>39.99</v>
      </c>
      <c r="E1655" s="13">
        <v>3474191</v>
      </c>
      <c r="F1655" s="13" t="s">
        <v>910</v>
      </c>
      <c r="G1655" s="18">
        <f t="shared" si="32"/>
        <v>6.7516879219804427E-3</v>
      </c>
    </row>
    <row r="1656" spans="1:7">
      <c r="A1656" s="13">
        <v>39.9</v>
      </c>
      <c r="B1656" s="13">
        <v>39.979999999999997</v>
      </c>
      <c r="C1656" s="13">
        <v>39.51</v>
      </c>
      <c r="D1656" s="13">
        <v>39.72</v>
      </c>
      <c r="E1656" s="13">
        <v>4580112</v>
      </c>
      <c r="F1656" s="13" t="s">
        <v>909</v>
      </c>
      <c r="G1656" s="18">
        <f t="shared" si="32"/>
        <v>4.5317220543805714E-3</v>
      </c>
    </row>
    <row r="1657" spans="1:7">
      <c r="A1657" s="13">
        <v>39.51</v>
      </c>
      <c r="B1657" s="13">
        <v>39.56</v>
      </c>
      <c r="C1657" s="13">
        <v>38.984999999999999</v>
      </c>
      <c r="D1657" s="13">
        <v>39.33</v>
      </c>
      <c r="E1657" s="13">
        <v>4583118</v>
      </c>
      <c r="F1657" s="13" t="s">
        <v>908</v>
      </c>
      <c r="G1657" s="18">
        <f t="shared" si="32"/>
        <v>4.5766590389015871E-3</v>
      </c>
    </row>
    <row r="1658" spans="1:7">
      <c r="A1658" s="13">
        <v>39.590000000000003</v>
      </c>
      <c r="B1658" s="13">
        <v>39.909999999999997</v>
      </c>
      <c r="C1658" s="13">
        <v>39.36</v>
      </c>
      <c r="D1658" s="13">
        <v>39.75</v>
      </c>
      <c r="E1658" s="13">
        <v>4793555</v>
      </c>
      <c r="F1658" s="13" t="s">
        <v>907</v>
      </c>
      <c r="G1658" s="18">
        <f t="shared" si="32"/>
        <v>-4.0251572327043572E-3</v>
      </c>
    </row>
    <row r="1659" spans="1:7">
      <c r="A1659" s="13">
        <v>39.78</v>
      </c>
      <c r="B1659" s="13">
        <v>40.270000000000003</v>
      </c>
      <c r="C1659" s="13">
        <v>39.655000000000001</v>
      </c>
      <c r="D1659" s="13">
        <v>40.25</v>
      </c>
      <c r="E1659" s="13">
        <v>3914281</v>
      </c>
      <c r="F1659" s="13" t="s">
        <v>906</v>
      </c>
      <c r="G1659" s="18">
        <f t="shared" si="32"/>
        <v>-1.1677018633540315E-2</v>
      </c>
    </row>
    <row r="1660" spans="1:7">
      <c r="A1660" s="13">
        <v>40.19</v>
      </c>
      <c r="B1660" s="13">
        <v>40.479999999999997</v>
      </c>
      <c r="C1660" s="13">
        <v>40.020000000000003</v>
      </c>
      <c r="D1660" s="13">
        <v>40.31</v>
      </c>
      <c r="E1660" s="13">
        <v>4268687</v>
      </c>
      <c r="F1660" s="13" t="s">
        <v>905</v>
      </c>
      <c r="G1660" s="18">
        <f t="shared" si="32"/>
        <v>-2.9769288017862383E-3</v>
      </c>
    </row>
    <row r="1661" spans="1:7">
      <c r="A1661" s="13">
        <v>40.299999999999997</v>
      </c>
      <c r="B1661" s="13">
        <v>41</v>
      </c>
      <c r="C1661" s="13">
        <v>39.674999999999997</v>
      </c>
      <c r="D1661" s="13">
        <v>40.93</v>
      </c>
      <c r="E1661" s="13">
        <v>7911599</v>
      </c>
      <c r="F1661" s="13" t="s">
        <v>904</v>
      </c>
      <c r="G1661" s="18">
        <f t="shared" si="32"/>
        <v>-1.539213290984609E-2</v>
      </c>
    </row>
    <row r="1662" spans="1:7">
      <c r="A1662" s="13">
        <v>40.75</v>
      </c>
      <c r="B1662" s="13">
        <v>40.9</v>
      </c>
      <c r="C1662" s="13">
        <v>40.14</v>
      </c>
      <c r="D1662" s="13">
        <v>40.479999999999997</v>
      </c>
      <c r="E1662" s="13">
        <v>5828016</v>
      </c>
      <c r="F1662" s="13" t="s">
        <v>903</v>
      </c>
      <c r="G1662" s="18">
        <f t="shared" si="32"/>
        <v>6.6699604743083452E-3</v>
      </c>
    </row>
    <row r="1663" spans="1:7">
      <c r="A1663" s="13">
        <v>40.119999999999997</v>
      </c>
      <c r="B1663" s="13">
        <v>40.32</v>
      </c>
      <c r="C1663" s="13">
        <v>39.76</v>
      </c>
      <c r="D1663" s="13">
        <v>39.880000000000003</v>
      </c>
      <c r="E1663" s="13">
        <v>5797311</v>
      </c>
      <c r="F1663" s="13" t="s">
        <v>902</v>
      </c>
      <c r="G1663" s="18">
        <f t="shared" si="32"/>
        <v>6.0180541624872408E-3</v>
      </c>
    </row>
    <row r="1664" spans="1:7">
      <c r="A1664" s="13">
        <v>39.93</v>
      </c>
      <c r="B1664" s="13">
        <v>40.119999999999997</v>
      </c>
      <c r="C1664" s="13">
        <v>39.6</v>
      </c>
      <c r="D1664" s="13">
        <v>39.64</v>
      </c>
      <c r="E1664" s="13">
        <v>5260191</v>
      </c>
      <c r="F1664" s="13" t="s">
        <v>901</v>
      </c>
      <c r="G1664" s="18">
        <f t="shared" si="32"/>
        <v>7.3158425832491325E-3</v>
      </c>
    </row>
    <row r="1665" spans="1:7">
      <c r="A1665" s="13">
        <v>39.86</v>
      </c>
      <c r="B1665" s="13">
        <v>40</v>
      </c>
      <c r="C1665" s="13">
        <v>39.549999999999997</v>
      </c>
      <c r="D1665" s="13">
        <v>40</v>
      </c>
      <c r="E1665" s="13">
        <v>4397267</v>
      </c>
      <c r="F1665" s="13" t="s">
        <v>900</v>
      </c>
      <c r="G1665" s="18">
        <f t="shared" si="32"/>
        <v>-3.5000000000000586E-3</v>
      </c>
    </row>
    <row r="1666" spans="1:7">
      <c r="A1666" s="13">
        <v>39.99</v>
      </c>
      <c r="B1666" s="13">
        <v>40.75</v>
      </c>
      <c r="C1666" s="13">
        <v>39.99</v>
      </c>
      <c r="D1666" s="13">
        <v>40.65</v>
      </c>
      <c r="E1666" s="13">
        <v>12139015</v>
      </c>
      <c r="F1666" s="13" t="s">
        <v>899</v>
      </c>
      <c r="G1666" s="18">
        <f t="shared" si="32"/>
        <v>-1.6236162361623507E-2</v>
      </c>
    </row>
    <row r="1667" spans="1:7">
      <c r="A1667" s="13">
        <v>40.520000000000003</v>
      </c>
      <c r="B1667" s="13">
        <v>40.81</v>
      </c>
      <c r="C1667" s="13">
        <v>40.17</v>
      </c>
      <c r="D1667" s="13">
        <v>40.270000000000003</v>
      </c>
      <c r="E1667" s="13">
        <v>9321450</v>
      </c>
      <c r="F1667" s="13" t="s">
        <v>898</v>
      </c>
      <c r="G1667" s="18">
        <f t="shared" si="32"/>
        <v>6.2080953563445895E-3</v>
      </c>
    </row>
    <row r="1668" spans="1:7">
      <c r="A1668" s="13">
        <v>40.119999999999997</v>
      </c>
      <c r="B1668" s="13">
        <v>40.22</v>
      </c>
      <c r="C1668" s="13">
        <v>39.835000000000001</v>
      </c>
      <c r="D1668" s="13">
        <v>39.94</v>
      </c>
      <c r="E1668" s="13">
        <v>8418015</v>
      </c>
      <c r="F1668" s="13" t="s">
        <v>897</v>
      </c>
      <c r="G1668" s="18">
        <f t="shared" si="32"/>
        <v>4.5067601402102309E-3</v>
      </c>
    </row>
    <row r="1669" spans="1:7">
      <c r="A1669" s="13">
        <v>40.11</v>
      </c>
      <c r="B1669" s="13">
        <v>40.299999999999997</v>
      </c>
      <c r="C1669" s="13">
        <v>39.61</v>
      </c>
      <c r="D1669" s="13">
        <v>39.86</v>
      </c>
      <c r="E1669" s="13">
        <v>7687455</v>
      </c>
      <c r="F1669" s="13" t="s">
        <v>896</v>
      </c>
      <c r="G1669" s="18">
        <f t="shared" si="32"/>
        <v>6.2719518314098277E-3</v>
      </c>
    </row>
    <row r="1670" spans="1:7">
      <c r="A1670" s="13">
        <v>39.86</v>
      </c>
      <c r="B1670" s="13">
        <v>40.19</v>
      </c>
      <c r="C1670" s="13">
        <v>39.79</v>
      </c>
      <c r="D1670" s="13">
        <v>40.03</v>
      </c>
      <c r="E1670" s="13">
        <v>4050673</v>
      </c>
      <c r="F1670" s="13" t="s">
        <v>895</v>
      </c>
      <c r="G1670" s="18">
        <f t="shared" si="32"/>
        <v>-4.2468148888333834E-3</v>
      </c>
    </row>
    <row r="1671" spans="1:7">
      <c r="A1671" s="13">
        <v>40.01</v>
      </c>
      <c r="B1671" s="13">
        <v>40.32</v>
      </c>
      <c r="C1671" s="13">
        <v>39.700000000000003</v>
      </c>
      <c r="D1671" s="13">
        <v>40.32</v>
      </c>
      <c r="E1671" s="13">
        <v>10376243</v>
      </c>
      <c r="F1671" s="13" t="s">
        <v>894</v>
      </c>
      <c r="G1671" s="18">
        <f t="shared" si="32"/>
        <v>-7.6884920634920917E-3</v>
      </c>
    </row>
    <row r="1672" spans="1:7">
      <c r="A1672" s="13">
        <v>39.92</v>
      </c>
      <c r="B1672" s="13">
        <v>40.07</v>
      </c>
      <c r="C1672" s="13">
        <v>39.36</v>
      </c>
      <c r="D1672" s="13">
        <v>39.5</v>
      </c>
      <c r="E1672" s="13">
        <v>5203278</v>
      </c>
      <c r="F1672" s="13" t="s">
        <v>893</v>
      </c>
      <c r="G1672" s="18">
        <f t="shared" si="32"/>
        <v>1.0632911392405076E-2</v>
      </c>
    </row>
    <row r="1673" spans="1:7">
      <c r="A1673" s="13">
        <v>39.6</v>
      </c>
      <c r="B1673" s="13">
        <v>40.24</v>
      </c>
      <c r="C1673" s="13">
        <v>39.39</v>
      </c>
      <c r="D1673" s="13">
        <v>40.11</v>
      </c>
      <c r="E1673" s="13">
        <v>6236764</v>
      </c>
      <c r="F1673" s="13" t="s">
        <v>892</v>
      </c>
      <c r="G1673" s="18">
        <f t="shared" si="32"/>
        <v>-1.2715033657441976E-2</v>
      </c>
    </row>
    <row r="1674" spans="1:7">
      <c r="A1674" s="13">
        <v>40.04</v>
      </c>
      <c r="B1674" s="13">
        <v>40.329900000000002</v>
      </c>
      <c r="C1674" s="13">
        <v>39.421300000000002</v>
      </c>
      <c r="D1674" s="13">
        <v>39.5</v>
      </c>
      <c r="E1674" s="13">
        <v>7507286</v>
      </c>
      <c r="F1674" s="13" t="s">
        <v>891</v>
      </c>
      <c r="G1674" s="18">
        <f t="shared" si="32"/>
        <v>1.3670886075949351E-2</v>
      </c>
    </row>
    <row r="1675" spans="1:7">
      <c r="A1675" s="13">
        <v>39.31</v>
      </c>
      <c r="B1675" s="13">
        <v>39.590000000000003</v>
      </c>
      <c r="C1675" s="13">
        <v>39.104999999999997</v>
      </c>
      <c r="D1675" s="13">
        <v>39.31</v>
      </c>
      <c r="E1675" s="13">
        <v>5841954</v>
      </c>
      <c r="F1675" s="13" t="s">
        <v>890</v>
      </c>
      <c r="G1675" s="18">
        <f t="shared" si="32"/>
        <v>0</v>
      </c>
    </row>
    <row r="1676" spans="1:7">
      <c r="A1676" s="13">
        <v>39.19</v>
      </c>
      <c r="B1676" s="13">
        <v>39.229999999999997</v>
      </c>
      <c r="C1676" s="13">
        <v>38.39</v>
      </c>
      <c r="D1676" s="13">
        <v>38.44</v>
      </c>
      <c r="E1676" s="13">
        <v>6419654</v>
      </c>
      <c r="F1676" s="13" t="s">
        <v>889</v>
      </c>
      <c r="G1676" s="18">
        <f t="shared" si="32"/>
        <v>1.951092611862637E-2</v>
      </c>
    </row>
    <row r="1677" spans="1:7">
      <c r="A1677" s="13">
        <v>38.85</v>
      </c>
      <c r="B1677" s="13">
        <v>39.090000000000003</v>
      </c>
      <c r="C1677" s="13">
        <v>38.15</v>
      </c>
      <c r="D1677" s="13">
        <v>38.39</v>
      </c>
      <c r="E1677" s="13">
        <v>9183551</v>
      </c>
      <c r="F1677" s="13" t="s">
        <v>888</v>
      </c>
      <c r="G1677" s="18">
        <f t="shared" si="32"/>
        <v>1.1982287053920349E-2</v>
      </c>
    </row>
    <row r="1678" spans="1:7">
      <c r="A1678" s="13">
        <v>38.770000000000003</v>
      </c>
      <c r="B1678" s="13">
        <v>39.020000000000003</v>
      </c>
      <c r="C1678" s="13">
        <v>37.25</v>
      </c>
      <c r="D1678" s="13">
        <v>37.299999999999997</v>
      </c>
      <c r="E1678" s="13">
        <v>11376577</v>
      </c>
      <c r="F1678" s="13" t="s">
        <v>887</v>
      </c>
      <c r="G1678" s="18">
        <f t="shared" si="32"/>
        <v>3.9410187667560548E-2</v>
      </c>
    </row>
    <row r="1679" spans="1:7">
      <c r="A1679" s="13">
        <v>37.75</v>
      </c>
      <c r="B1679" s="13">
        <v>38.14</v>
      </c>
      <c r="C1679" s="13">
        <v>37.58</v>
      </c>
      <c r="D1679" s="13">
        <v>38.07</v>
      </c>
      <c r="E1679" s="13">
        <v>11034201</v>
      </c>
      <c r="F1679" s="13" t="s">
        <v>886</v>
      </c>
      <c r="G1679" s="18">
        <f t="shared" si="32"/>
        <v>-8.4055686892566817E-3</v>
      </c>
    </row>
    <row r="1680" spans="1:7">
      <c r="A1680" s="13">
        <v>37.93</v>
      </c>
      <c r="B1680" s="13">
        <v>38.049999999999997</v>
      </c>
      <c r="C1680" s="13">
        <v>37.590000000000003</v>
      </c>
      <c r="D1680" s="13">
        <v>37.840000000000003</v>
      </c>
      <c r="E1680" s="13">
        <v>6793987</v>
      </c>
      <c r="F1680" s="13" t="s">
        <v>885</v>
      </c>
      <c r="G1680" s="18">
        <f t="shared" si="32"/>
        <v>2.3784355179703454E-3</v>
      </c>
    </row>
    <row r="1681" spans="1:7">
      <c r="A1681" s="13">
        <v>37.93</v>
      </c>
      <c r="B1681" s="13">
        <v>38.380000000000003</v>
      </c>
      <c r="C1681" s="13">
        <v>37.71</v>
      </c>
      <c r="D1681" s="13">
        <v>38.15</v>
      </c>
      <c r="E1681" s="13">
        <v>6005151</v>
      </c>
      <c r="F1681" s="13" t="s">
        <v>884</v>
      </c>
      <c r="G1681" s="18">
        <f t="shared" si="32"/>
        <v>-5.7667103538663333E-3</v>
      </c>
    </row>
    <row r="1682" spans="1:7">
      <c r="A1682" s="13">
        <v>38.15</v>
      </c>
      <c r="B1682" s="13">
        <v>38.244999999999997</v>
      </c>
      <c r="C1682" s="13">
        <v>37.4</v>
      </c>
      <c r="D1682" s="13">
        <v>37.47</v>
      </c>
      <c r="E1682" s="13">
        <v>10807106</v>
      </c>
      <c r="F1682" s="13" t="s">
        <v>883</v>
      </c>
      <c r="G1682" s="18">
        <f t="shared" si="32"/>
        <v>1.8147851614624955E-2</v>
      </c>
    </row>
    <row r="1683" spans="1:7">
      <c r="A1683" s="13">
        <v>37.42</v>
      </c>
      <c r="B1683" s="13">
        <v>37.619999999999997</v>
      </c>
      <c r="C1683" s="13">
        <v>37</v>
      </c>
      <c r="D1683" s="13">
        <v>37.15</v>
      </c>
      <c r="E1683" s="13">
        <v>13212457</v>
      </c>
      <c r="F1683" s="13" t="s">
        <v>882</v>
      </c>
      <c r="G1683" s="18">
        <f t="shared" si="32"/>
        <v>7.2678331090176851E-3</v>
      </c>
    </row>
    <row r="1684" spans="1:7">
      <c r="A1684" s="13">
        <v>37.01</v>
      </c>
      <c r="B1684" s="13">
        <v>37.11</v>
      </c>
      <c r="C1684" s="13">
        <v>36.590000000000003</v>
      </c>
      <c r="D1684" s="13">
        <v>36.83</v>
      </c>
      <c r="E1684" s="13">
        <v>8032924</v>
      </c>
      <c r="F1684" s="13" t="s">
        <v>881</v>
      </c>
      <c r="G1684" s="18">
        <f t="shared" si="32"/>
        <v>4.8873201194679083E-3</v>
      </c>
    </row>
    <row r="1685" spans="1:7">
      <c r="A1685" s="13">
        <v>36.85</v>
      </c>
      <c r="B1685" s="13">
        <v>37.200000000000003</v>
      </c>
      <c r="C1685" s="13">
        <v>36.68</v>
      </c>
      <c r="D1685" s="13">
        <v>37.200000000000003</v>
      </c>
      <c r="E1685" s="13">
        <v>5259010</v>
      </c>
      <c r="F1685" s="13" t="s">
        <v>880</v>
      </c>
      <c r="G1685" s="18">
        <f t="shared" si="32"/>
        <v>-9.4086021505376261E-3</v>
      </c>
    </row>
    <row r="1686" spans="1:7">
      <c r="A1686" s="13">
        <v>37.450000000000003</v>
      </c>
      <c r="B1686" s="13">
        <v>37.700000000000003</v>
      </c>
      <c r="C1686" s="13">
        <v>37.296399999999998</v>
      </c>
      <c r="D1686" s="13">
        <v>37.409999999999997</v>
      </c>
      <c r="E1686" s="13">
        <v>3919156</v>
      </c>
      <c r="F1686" s="13" t="s">
        <v>879</v>
      </c>
      <c r="G1686" s="18">
        <f t="shared" si="32"/>
        <v>1.0692328254480188E-3</v>
      </c>
    </row>
    <row r="1687" spans="1:7">
      <c r="A1687" s="13">
        <v>37.229999999999997</v>
      </c>
      <c r="B1687" s="13">
        <v>37.54</v>
      </c>
      <c r="C1687" s="13">
        <v>37.15</v>
      </c>
      <c r="D1687" s="13">
        <v>37.270000000000003</v>
      </c>
      <c r="E1687" s="13">
        <v>5939762</v>
      </c>
      <c r="F1687" s="13" t="s">
        <v>878</v>
      </c>
      <c r="G1687" s="18">
        <f t="shared" si="32"/>
        <v>-1.0732492621412515E-3</v>
      </c>
    </row>
    <row r="1688" spans="1:7">
      <c r="A1688" s="13">
        <v>37.19</v>
      </c>
      <c r="B1688" s="13">
        <v>37.61</v>
      </c>
      <c r="C1688" s="13">
        <v>36.694299999999998</v>
      </c>
      <c r="D1688" s="13">
        <v>37.46</v>
      </c>
      <c r="E1688" s="13">
        <v>3862688</v>
      </c>
      <c r="F1688" s="13" t="s">
        <v>877</v>
      </c>
      <c r="G1688" s="18">
        <f t="shared" si="32"/>
        <v>-7.2076882007475751E-3</v>
      </c>
    </row>
    <row r="1689" spans="1:7">
      <c r="A1689" s="13">
        <v>37.26</v>
      </c>
      <c r="B1689" s="13">
        <v>37.520000000000003</v>
      </c>
      <c r="C1689" s="13">
        <v>36.92</v>
      </c>
      <c r="D1689" s="13">
        <v>37.14</v>
      </c>
      <c r="E1689" s="13">
        <v>5865945</v>
      </c>
      <c r="F1689" s="13" t="s">
        <v>876</v>
      </c>
      <c r="G1689" s="18">
        <f t="shared" si="32"/>
        <v>3.2310177705976439E-3</v>
      </c>
    </row>
    <row r="1690" spans="1:7">
      <c r="A1690" s="13">
        <v>37.69</v>
      </c>
      <c r="B1690" s="13">
        <v>37.770000000000003</v>
      </c>
      <c r="C1690" s="13">
        <v>36.67</v>
      </c>
      <c r="D1690" s="13">
        <v>37.130000000000003</v>
      </c>
      <c r="E1690" s="13">
        <v>9464760</v>
      </c>
      <c r="F1690" s="13" t="s">
        <v>875</v>
      </c>
      <c r="G1690" s="18">
        <f t="shared" si="32"/>
        <v>1.5082143819014071E-2</v>
      </c>
    </row>
    <row r="1691" spans="1:7">
      <c r="A1691" s="13">
        <v>36.81</v>
      </c>
      <c r="B1691" s="13">
        <v>37.244999999999997</v>
      </c>
      <c r="C1691" s="13">
        <v>36.42</v>
      </c>
      <c r="D1691" s="13">
        <v>36.549999999999997</v>
      </c>
      <c r="E1691" s="13">
        <v>6405165</v>
      </c>
      <c r="F1691" s="13" t="s">
        <v>874</v>
      </c>
      <c r="G1691" s="18">
        <f t="shared" si="32"/>
        <v>7.1135430916553499E-3</v>
      </c>
    </row>
    <row r="1692" spans="1:7">
      <c r="A1692" s="13">
        <v>36.619999999999997</v>
      </c>
      <c r="B1692" s="13">
        <v>36.869999999999997</v>
      </c>
      <c r="C1692" s="13">
        <v>36.465000000000003</v>
      </c>
      <c r="D1692" s="13">
        <v>36.74</v>
      </c>
      <c r="E1692" s="13">
        <v>5535844</v>
      </c>
      <c r="F1692" s="13" t="s">
        <v>873</v>
      </c>
      <c r="G1692" s="18">
        <f t="shared" si="32"/>
        <v>-3.2661948829614262E-3</v>
      </c>
    </row>
    <row r="1693" spans="1:7">
      <c r="A1693" s="13">
        <v>36.72</v>
      </c>
      <c r="B1693" s="13">
        <v>36.89</v>
      </c>
      <c r="C1693" s="13">
        <v>35.409999999999997</v>
      </c>
      <c r="D1693" s="13">
        <v>35.42</v>
      </c>
      <c r="E1693" s="13">
        <v>10873894</v>
      </c>
      <c r="F1693" s="13" t="s">
        <v>872</v>
      </c>
      <c r="G1693" s="18">
        <f t="shared" si="32"/>
        <v>3.6702428006775811E-2</v>
      </c>
    </row>
    <row r="1694" spans="1:7">
      <c r="A1694" s="13">
        <v>35.31</v>
      </c>
      <c r="B1694" s="13">
        <v>35.564999999999998</v>
      </c>
      <c r="C1694" s="13">
        <v>35.08</v>
      </c>
      <c r="D1694" s="13">
        <v>35.270000000000003</v>
      </c>
      <c r="E1694" s="13">
        <v>3817444</v>
      </c>
      <c r="F1694" s="13" t="s">
        <v>871</v>
      </c>
      <c r="G1694" s="18">
        <f t="shared" si="32"/>
        <v>1.1341083073432845E-3</v>
      </c>
    </row>
    <row r="1695" spans="1:7">
      <c r="A1695" s="13">
        <v>35.56</v>
      </c>
      <c r="B1695" s="13">
        <v>35.770000000000003</v>
      </c>
      <c r="C1695" s="13">
        <v>35.19</v>
      </c>
      <c r="D1695" s="13">
        <v>35.64</v>
      </c>
      <c r="E1695" s="13">
        <v>5494505</v>
      </c>
      <c r="F1695" s="13" t="s">
        <v>870</v>
      </c>
      <c r="G1695" s="18">
        <f t="shared" si="32"/>
        <v>-2.2446689113355678E-3</v>
      </c>
    </row>
    <row r="1696" spans="1:7">
      <c r="A1696" s="13">
        <v>35.950000000000003</v>
      </c>
      <c r="B1696" s="13">
        <v>35.984999999999999</v>
      </c>
      <c r="C1696" s="13">
        <v>35.369999999999997</v>
      </c>
      <c r="D1696" s="13">
        <v>35.68</v>
      </c>
      <c r="E1696" s="13">
        <v>5123602</v>
      </c>
      <c r="F1696" s="13" t="s">
        <v>869</v>
      </c>
      <c r="G1696" s="18">
        <f t="shared" si="32"/>
        <v>7.5672645739910394E-3</v>
      </c>
    </row>
    <row r="1697" spans="1:7">
      <c r="A1697" s="13">
        <v>35.880000000000003</v>
      </c>
      <c r="B1697" s="13">
        <v>36.33</v>
      </c>
      <c r="C1697" s="13">
        <v>35.520000000000003</v>
      </c>
      <c r="D1697" s="13">
        <v>35.67</v>
      </c>
      <c r="E1697" s="13">
        <v>7518134</v>
      </c>
      <c r="F1697" s="13" t="s">
        <v>868</v>
      </c>
      <c r="G1697" s="18">
        <f t="shared" si="32"/>
        <v>5.887300252312988E-3</v>
      </c>
    </row>
    <row r="1698" spans="1:7">
      <c r="A1698" s="13">
        <v>35.380000000000003</v>
      </c>
      <c r="B1698" s="13">
        <v>35.505000000000003</v>
      </c>
      <c r="C1698" s="13">
        <v>34.572600000000001</v>
      </c>
      <c r="D1698" s="13">
        <v>34.9</v>
      </c>
      <c r="E1698" s="13">
        <v>10263817</v>
      </c>
      <c r="F1698" s="13" t="s">
        <v>867</v>
      </c>
      <c r="G1698" s="18">
        <f t="shared" si="32"/>
        <v>1.3753581661891223E-2</v>
      </c>
    </row>
    <row r="1699" spans="1:7">
      <c r="A1699" s="13">
        <v>34.42</v>
      </c>
      <c r="B1699" s="13">
        <v>34.954999999999998</v>
      </c>
      <c r="C1699" s="13">
        <v>34.185000000000002</v>
      </c>
      <c r="D1699" s="13">
        <v>34.340000000000003</v>
      </c>
      <c r="E1699" s="13">
        <v>6473938</v>
      </c>
      <c r="F1699" s="13" t="s">
        <v>866</v>
      </c>
      <c r="G1699" s="18">
        <f t="shared" si="32"/>
        <v>2.329644729178737E-3</v>
      </c>
    </row>
    <row r="1700" spans="1:7">
      <c r="A1700" s="13">
        <v>34.21</v>
      </c>
      <c r="B1700" s="13">
        <v>34.4</v>
      </c>
      <c r="C1700" s="13">
        <v>33.42</v>
      </c>
      <c r="D1700" s="13">
        <v>33.42</v>
      </c>
      <c r="E1700" s="13">
        <v>8072508</v>
      </c>
      <c r="F1700" s="13" t="s">
        <v>865</v>
      </c>
      <c r="G1700" s="18">
        <f t="shared" si="32"/>
        <v>2.3638539796529079E-2</v>
      </c>
    </row>
    <row r="1701" spans="1:7">
      <c r="A1701" s="13">
        <v>32.909999999999997</v>
      </c>
      <c r="B1701" s="13">
        <v>34.32</v>
      </c>
      <c r="C1701" s="13">
        <v>32.729999999999997</v>
      </c>
      <c r="D1701" s="13">
        <v>34.24</v>
      </c>
      <c r="E1701" s="13">
        <v>10488852</v>
      </c>
      <c r="F1701" s="13" t="s">
        <v>864</v>
      </c>
      <c r="G1701" s="18">
        <f t="shared" si="32"/>
        <v>-3.8843457943925408E-2</v>
      </c>
    </row>
    <row r="1702" spans="1:7">
      <c r="A1702" s="13">
        <v>34.46</v>
      </c>
      <c r="B1702" s="13">
        <v>34.86</v>
      </c>
      <c r="C1702" s="13">
        <v>34.06</v>
      </c>
      <c r="D1702" s="13">
        <v>34.65</v>
      </c>
      <c r="E1702" s="13">
        <v>6336937</v>
      </c>
      <c r="F1702" s="13" t="s">
        <v>863</v>
      </c>
      <c r="G1702" s="18">
        <f t="shared" si="32"/>
        <v>-5.4834054834054236E-3</v>
      </c>
    </row>
    <row r="1703" spans="1:7">
      <c r="A1703" s="13">
        <v>35.340000000000003</v>
      </c>
      <c r="B1703" s="13">
        <v>35.340000000000003</v>
      </c>
      <c r="C1703" s="13">
        <v>34.79</v>
      </c>
      <c r="D1703" s="13">
        <v>34.92</v>
      </c>
      <c r="E1703" s="13">
        <v>4434571</v>
      </c>
      <c r="F1703" s="13" t="s">
        <v>862</v>
      </c>
      <c r="G1703" s="18">
        <f t="shared" si="32"/>
        <v>1.2027491408934665E-2</v>
      </c>
    </row>
    <row r="1704" spans="1:7">
      <c r="A1704" s="13">
        <v>34.67</v>
      </c>
      <c r="B1704" s="13">
        <v>35.15</v>
      </c>
      <c r="C1704" s="13">
        <v>34.24</v>
      </c>
      <c r="D1704" s="13">
        <v>34.76</v>
      </c>
      <c r="E1704" s="13">
        <v>6442041</v>
      </c>
      <c r="F1704" s="13" t="s">
        <v>861</v>
      </c>
      <c r="G1704" s="18">
        <f t="shared" si="32"/>
        <v>-2.5891829689297374E-3</v>
      </c>
    </row>
    <row r="1705" spans="1:7">
      <c r="A1705" s="13">
        <v>34.479999999999997</v>
      </c>
      <c r="B1705" s="13">
        <v>34.479999999999997</v>
      </c>
      <c r="C1705" s="13">
        <v>33.01</v>
      </c>
      <c r="D1705" s="13">
        <v>33.15</v>
      </c>
      <c r="E1705" s="13">
        <v>7353562</v>
      </c>
      <c r="F1705" s="13" t="s">
        <v>860</v>
      </c>
      <c r="G1705" s="18">
        <f t="shared" si="32"/>
        <v>4.0120663650075272E-2</v>
      </c>
    </row>
    <row r="1706" spans="1:7">
      <c r="A1706" s="13">
        <v>33.68</v>
      </c>
      <c r="B1706" s="13">
        <v>33.68</v>
      </c>
      <c r="C1706" s="13">
        <v>31.78</v>
      </c>
      <c r="D1706" s="13">
        <v>31.9</v>
      </c>
      <c r="E1706" s="13">
        <v>6578184</v>
      </c>
      <c r="F1706" s="13" t="s">
        <v>859</v>
      </c>
      <c r="G1706" s="18">
        <f t="shared" si="32"/>
        <v>5.5799373040752442E-2</v>
      </c>
    </row>
    <row r="1707" spans="1:7">
      <c r="A1707" s="13">
        <v>31.73</v>
      </c>
      <c r="B1707" s="13">
        <v>32.78</v>
      </c>
      <c r="C1707" s="13">
        <v>31.56</v>
      </c>
      <c r="D1707" s="13">
        <v>32.6</v>
      </c>
      <c r="E1707" s="13">
        <v>4004958</v>
      </c>
      <c r="F1707" s="13" t="s">
        <v>858</v>
      </c>
      <c r="G1707" s="18">
        <f t="shared" si="32"/>
        <v>-2.6687116564417246E-2</v>
      </c>
    </row>
    <row r="1708" spans="1:7">
      <c r="A1708" s="13">
        <v>32.83</v>
      </c>
      <c r="B1708" s="13">
        <v>33.67</v>
      </c>
      <c r="C1708" s="13">
        <v>32.564999999999998</v>
      </c>
      <c r="D1708" s="13">
        <v>33.26</v>
      </c>
      <c r="E1708" s="13">
        <v>14305331</v>
      </c>
      <c r="F1708" s="13" t="s">
        <v>857</v>
      </c>
      <c r="G1708" s="18">
        <f t="shared" si="32"/>
        <v>-1.2928442573662102E-2</v>
      </c>
    </row>
    <row r="1709" spans="1:7">
      <c r="A1709" s="13">
        <v>33.26</v>
      </c>
      <c r="B1709" s="13">
        <v>33.949199999999998</v>
      </c>
      <c r="C1709" s="13">
        <v>32.86</v>
      </c>
      <c r="D1709" s="13">
        <v>33.82</v>
      </c>
      <c r="E1709" s="13">
        <v>9200748</v>
      </c>
      <c r="F1709" s="13" t="s">
        <v>856</v>
      </c>
      <c r="G1709" s="18">
        <f t="shared" si="32"/>
        <v>-1.6558249556475557E-2</v>
      </c>
    </row>
    <row r="1710" spans="1:7">
      <c r="A1710" s="13">
        <v>33.979999999999997</v>
      </c>
      <c r="B1710" s="13">
        <v>35.1</v>
      </c>
      <c r="C1710" s="13">
        <v>33.409999999999997</v>
      </c>
      <c r="D1710" s="13">
        <v>34.520000000000003</v>
      </c>
      <c r="E1710" s="13">
        <v>7302858</v>
      </c>
      <c r="F1710" s="13" t="s">
        <v>855</v>
      </c>
      <c r="G1710" s="18">
        <f t="shared" si="32"/>
        <v>-1.5643105446118355E-2</v>
      </c>
    </row>
    <row r="1711" spans="1:7">
      <c r="A1711" s="13">
        <v>34.31</v>
      </c>
      <c r="B1711" s="13">
        <v>35.049999999999997</v>
      </c>
      <c r="C1711" s="13">
        <v>33.99</v>
      </c>
      <c r="D1711" s="13">
        <v>34.61</v>
      </c>
      <c r="E1711" s="13">
        <v>9258645</v>
      </c>
      <c r="F1711" s="13" t="s">
        <v>854</v>
      </c>
      <c r="G1711" s="18">
        <f t="shared" si="32"/>
        <v>-8.6680150245592724E-3</v>
      </c>
    </row>
    <row r="1712" spans="1:7">
      <c r="A1712" s="13">
        <v>34.049999999999997</v>
      </c>
      <c r="B1712" s="13">
        <v>35.479999999999997</v>
      </c>
      <c r="C1712" s="13">
        <v>33.869999999999997</v>
      </c>
      <c r="D1712" s="13">
        <v>35.479999999999997</v>
      </c>
      <c r="E1712" s="13">
        <v>9913194</v>
      </c>
      <c r="F1712" s="13" t="s">
        <v>853</v>
      </c>
      <c r="G1712" s="18">
        <f t="shared" si="32"/>
        <v>-4.0304396843292012E-2</v>
      </c>
    </row>
    <row r="1713" spans="1:7">
      <c r="A1713" s="13">
        <v>35.799999999999997</v>
      </c>
      <c r="B1713" s="13">
        <v>36.6</v>
      </c>
      <c r="C1713" s="13">
        <v>35.54</v>
      </c>
      <c r="D1713" s="13">
        <v>36.6</v>
      </c>
      <c r="E1713" s="13">
        <v>6822494</v>
      </c>
      <c r="F1713" s="13" t="s">
        <v>852</v>
      </c>
      <c r="G1713" s="18">
        <f t="shared" si="32"/>
        <v>-2.1857923497267895E-2</v>
      </c>
    </row>
    <row r="1714" spans="1:7">
      <c r="A1714" s="13">
        <v>36.979999999999997</v>
      </c>
      <c r="B1714" s="13">
        <v>37.520000000000003</v>
      </c>
      <c r="C1714" s="13">
        <v>36.44</v>
      </c>
      <c r="D1714" s="13">
        <v>37.340000000000003</v>
      </c>
      <c r="E1714" s="13">
        <v>5070835</v>
      </c>
      <c r="F1714" s="13" t="s">
        <v>851</v>
      </c>
      <c r="G1714" s="18">
        <f t="shared" ref="G1714:G1777" si="33">A1714/D1714-1</f>
        <v>-9.6411355115160191E-3</v>
      </c>
    </row>
    <row r="1715" spans="1:7">
      <c r="A1715" s="13">
        <v>37.1</v>
      </c>
      <c r="B1715" s="13">
        <v>37.64</v>
      </c>
      <c r="C1715" s="13">
        <v>37</v>
      </c>
      <c r="D1715" s="13">
        <v>37.15</v>
      </c>
      <c r="E1715" s="13">
        <v>6993726</v>
      </c>
      <c r="F1715" s="13" t="s">
        <v>850</v>
      </c>
      <c r="G1715" s="18">
        <f t="shared" si="33"/>
        <v>-1.3458950201883368E-3</v>
      </c>
    </row>
    <row r="1716" spans="1:7">
      <c r="A1716" s="13">
        <v>36.56</v>
      </c>
      <c r="B1716" s="13">
        <v>36.950000000000003</v>
      </c>
      <c r="C1716" s="13">
        <v>36.159999999999997</v>
      </c>
      <c r="D1716" s="13">
        <v>36.590000000000003</v>
      </c>
      <c r="E1716" s="13">
        <v>5806524</v>
      </c>
      <c r="F1716" s="13" t="s">
        <v>849</v>
      </c>
      <c r="G1716" s="18">
        <f t="shared" si="33"/>
        <v>-8.1989614648814158E-4</v>
      </c>
    </row>
    <row r="1717" spans="1:7">
      <c r="A1717" s="13">
        <v>36.15</v>
      </c>
      <c r="B1717" s="13">
        <v>36.200000000000003</v>
      </c>
      <c r="C1717" s="13">
        <v>34.950000000000003</v>
      </c>
      <c r="D1717" s="13">
        <v>35.409999999999997</v>
      </c>
      <c r="E1717" s="13">
        <v>5738952</v>
      </c>
      <c r="F1717" s="13" t="s">
        <v>848</v>
      </c>
      <c r="G1717" s="18">
        <f t="shared" si="33"/>
        <v>2.0898051397910233E-2</v>
      </c>
    </row>
    <row r="1718" spans="1:7">
      <c r="A1718" s="13">
        <v>35.479999999999997</v>
      </c>
      <c r="B1718" s="13">
        <v>36.729999999999997</v>
      </c>
      <c r="C1718" s="13">
        <v>35.049999999999997</v>
      </c>
      <c r="D1718" s="13">
        <v>36.58</v>
      </c>
      <c r="E1718" s="13">
        <v>7395838</v>
      </c>
      <c r="F1718" s="13" t="s">
        <v>847</v>
      </c>
      <c r="G1718" s="18">
        <f t="shared" si="33"/>
        <v>-3.0071077091306742E-2</v>
      </c>
    </row>
    <row r="1719" spans="1:7">
      <c r="A1719" s="13">
        <v>36.770000000000003</v>
      </c>
      <c r="B1719" s="13">
        <v>36.774999999999999</v>
      </c>
      <c r="C1719" s="13">
        <v>35.28</v>
      </c>
      <c r="D1719" s="13">
        <v>36</v>
      </c>
      <c r="E1719" s="13">
        <v>9679674</v>
      </c>
      <c r="F1719" s="13" t="s">
        <v>846</v>
      </c>
      <c r="G1719" s="18">
        <f t="shared" si="33"/>
        <v>2.1388888888888902E-2</v>
      </c>
    </row>
    <row r="1720" spans="1:7">
      <c r="A1720" s="13">
        <v>36.520000000000003</v>
      </c>
      <c r="B1720" s="13">
        <v>38.65</v>
      </c>
      <c r="C1720" s="13">
        <v>36.424999999999997</v>
      </c>
      <c r="D1720" s="13">
        <v>38.53</v>
      </c>
      <c r="E1720" s="13">
        <v>8966181</v>
      </c>
      <c r="F1720" s="13" t="s">
        <v>845</v>
      </c>
      <c r="G1720" s="18">
        <f t="shared" si="33"/>
        <v>-5.2167142486374218E-2</v>
      </c>
    </row>
    <row r="1721" spans="1:7">
      <c r="A1721" s="13">
        <v>38.51</v>
      </c>
      <c r="B1721" s="13">
        <v>38.69</v>
      </c>
      <c r="C1721" s="13">
        <v>37.79</v>
      </c>
      <c r="D1721" s="13">
        <v>38.090000000000003</v>
      </c>
      <c r="E1721" s="13">
        <v>8315210</v>
      </c>
      <c r="F1721" s="13" t="s">
        <v>844</v>
      </c>
      <c r="G1721" s="18">
        <f t="shared" si="33"/>
        <v>1.1026516145969945E-2</v>
      </c>
    </row>
    <row r="1722" spans="1:7">
      <c r="A1722" s="13">
        <v>37.67</v>
      </c>
      <c r="B1722" s="13">
        <v>37.72</v>
      </c>
      <c r="C1722" s="13">
        <v>37.03</v>
      </c>
      <c r="D1722" s="13">
        <v>37.130000000000003</v>
      </c>
      <c r="E1722" s="13">
        <v>9795135</v>
      </c>
      <c r="F1722" s="13" t="s">
        <v>843</v>
      </c>
      <c r="G1722" s="18">
        <f t="shared" si="33"/>
        <v>1.4543495825477981E-2</v>
      </c>
    </row>
    <row r="1723" spans="1:7">
      <c r="A1723" s="13">
        <v>37.04</v>
      </c>
      <c r="B1723" s="13">
        <v>37.299999999999997</v>
      </c>
      <c r="C1723" s="13">
        <v>36.380000000000003</v>
      </c>
      <c r="D1723" s="13">
        <v>36.43</v>
      </c>
      <c r="E1723" s="13">
        <v>6152758</v>
      </c>
      <c r="F1723" s="13" t="s">
        <v>842</v>
      </c>
      <c r="G1723" s="18">
        <f t="shared" si="33"/>
        <v>1.6744441394455079E-2</v>
      </c>
    </row>
    <row r="1724" spans="1:7">
      <c r="A1724" s="13">
        <v>36.65</v>
      </c>
      <c r="B1724" s="13">
        <v>36.695</v>
      </c>
      <c r="C1724" s="13">
        <v>35.47</v>
      </c>
      <c r="D1724" s="13">
        <v>35.47</v>
      </c>
      <c r="E1724" s="13">
        <v>8455156</v>
      </c>
      <c r="F1724" s="13" t="s">
        <v>841</v>
      </c>
      <c r="G1724" s="18">
        <f t="shared" si="33"/>
        <v>3.3267550042289207E-2</v>
      </c>
    </row>
    <row r="1725" spans="1:7">
      <c r="A1725" s="13">
        <v>35.26</v>
      </c>
      <c r="B1725" s="13">
        <v>35.465000000000003</v>
      </c>
      <c r="C1725" s="13">
        <v>34.68</v>
      </c>
      <c r="D1725" s="13">
        <v>34.96</v>
      </c>
      <c r="E1725" s="13">
        <v>7796958</v>
      </c>
      <c r="F1725" s="13" t="s">
        <v>840</v>
      </c>
      <c r="G1725" s="18">
        <f t="shared" si="33"/>
        <v>8.581235697940448E-3</v>
      </c>
    </row>
    <row r="1726" spans="1:7">
      <c r="A1726" s="13">
        <v>35.01</v>
      </c>
      <c r="B1726" s="13">
        <v>35.475000000000001</v>
      </c>
      <c r="C1726" s="13">
        <v>34.68</v>
      </c>
      <c r="D1726" s="13">
        <v>35.17</v>
      </c>
      <c r="E1726" s="13">
        <v>6987574</v>
      </c>
      <c r="F1726" s="13" t="s">
        <v>839</v>
      </c>
      <c r="G1726" s="18">
        <f t="shared" si="33"/>
        <v>-4.5493318168895458E-3</v>
      </c>
    </row>
    <row r="1727" spans="1:7">
      <c r="A1727" s="13">
        <v>34.799999999999997</v>
      </c>
      <c r="B1727" s="13">
        <v>35.130000000000003</v>
      </c>
      <c r="C1727" s="13">
        <v>34.32</v>
      </c>
      <c r="D1727" s="13">
        <v>34.4</v>
      </c>
      <c r="E1727" s="13">
        <v>2313434</v>
      </c>
      <c r="F1727" s="13" t="s">
        <v>838</v>
      </c>
      <c r="G1727" s="18">
        <f t="shared" si="33"/>
        <v>1.1627906976744207E-2</v>
      </c>
    </row>
    <row r="1728" spans="1:7">
      <c r="A1728" s="13">
        <v>34.6</v>
      </c>
      <c r="B1728" s="13">
        <v>35.03</v>
      </c>
      <c r="C1728" s="13">
        <v>34.19</v>
      </c>
      <c r="D1728" s="13">
        <v>34.28</v>
      </c>
      <c r="E1728" s="13">
        <v>6972071</v>
      </c>
      <c r="F1728" s="13" t="s">
        <v>837</v>
      </c>
      <c r="G1728" s="18">
        <f t="shared" si="33"/>
        <v>9.334889148191472E-3</v>
      </c>
    </row>
    <row r="1729" spans="1:7">
      <c r="A1729" s="13">
        <v>34.049999999999997</v>
      </c>
      <c r="B1729" s="13">
        <v>34.75</v>
      </c>
      <c r="C1729" s="13">
        <v>31.58</v>
      </c>
      <c r="D1729" s="13">
        <v>33.24</v>
      </c>
      <c r="E1729" s="13">
        <v>19874368</v>
      </c>
      <c r="F1729" s="13" t="s">
        <v>836</v>
      </c>
      <c r="G1729" s="18">
        <f t="shared" si="33"/>
        <v>2.436823104693131E-2</v>
      </c>
    </row>
    <row r="1730" spans="1:7">
      <c r="A1730" s="13">
        <v>35.29</v>
      </c>
      <c r="B1730" s="13">
        <v>37.15</v>
      </c>
      <c r="C1730" s="13">
        <v>35.17</v>
      </c>
      <c r="D1730" s="13">
        <v>37.15</v>
      </c>
      <c r="E1730" s="13">
        <v>10485543</v>
      </c>
      <c r="F1730" s="13" t="s">
        <v>835</v>
      </c>
      <c r="G1730" s="18">
        <f t="shared" si="33"/>
        <v>-5.0067294751009461E-2</v>
      </c>
    </row>
    <row r="1731" spans="1:7">
      <c r="A1731" s="13">
        <v>37.21</v>
      </c>
      <c r="B1731" s="13">
        <v>37.729999999999997</v>
      </c>
      <c r="C1731" s="13">
        <v>36.340000000000003</v>
      </c>
      <c r="D1731" s="13">
        <v>36.340000000000003</v>
      </c>
      <c r="E1731" s="13">
        <v>7537552</v>
      </c>
      <c r="F1731" s="13" t="s">
        <v>834</v>
      </c>
      <c r="G1731" s="18">
        <f t="shared" si="33"/>
        <v>2.3940561364887092E-2</v>
      </c>
    </row>
    <row r="1732" spans="1:7">
      <c r="A1732" s="13">
        <v>36.47</v>
      </c>
      <c r="B1732" s="13">
        <v>36.64</v>
      </c>
      <c r="C1732" s="13">
        <v>35.479999999999997</v>
      </c>
      <c r="D1732" s="13">
        <v>36</v>
      </c>
      <c r="E1732" s="13">
        <v>9055207</v>
      </c>
      <c r="F1732" s="13" t="s">
        <v>833</v>
      </c>
      <c r="G1732" s="18">
        <f t="shared" si="33"/>
        <v>1.3055555555555598E-2</v>
      </c>
    </row>
    <row r="1733" spans="1:7">
      <c r="A1733" s="13">
        <v>36.21</v>
      </c>
      <c r="B1733" s="13">
        <v>36.979999999999997</v>
      </c>
      <c r="C1733" s="13">
        <v>36.06</v>
      </c>
      <c r="D1733" s="13">
        <v>36.869999999999997</v>
      </c>
      <c r="E1733" s="13">
        <v>5520814</v>
      </c>
      <c r="F1733" s="13" t="s">
        <v>832</v>
      </c>
      <c r="G1733" s="18">
        <f t="shared" si="33"/>
        <v>-1.7900732302685074E-2</v>
      </c>
    </row>
    <row r="1734" spans="1:7">
      <c r="A1734" s="13">
        <v>36.659999999999997</v>
      </c>
      <c r="B1734" s="13">
        <v>37.380000000000003</v>
      </c>
      <c r="C1734" s="13">
        <v>36.520000000000003</v>
      </c>
      <c r="D1734" s="13">
        <v>37.11</v>
      </c>
      <c r="E1734" s="13">
        <v>3622091</v>
      </c>
      <c r="F1734" s="13" t="s">
        <v>831</v>
      </c>
      <c r="G1734" s="18">
        <f t="shared" si="33"/>
        <v>-1.2126111560226471E-2</v>
      </c>
    </row>
    <row r="1735" spans="1:7">
      <c r="A1735" s="13">
        <v>36.93</v>
      </c>
      <c r="B1735" s="13">
        <v>38.5</v>
      </c>
      <c r="C1735" s="13">
        <v>36.79</v>
      </c>
      <c r="D1735" s="13">
        <v>38.47</v>
      </c>
      <c r="E1735" s="13">
        <v>6556669</v>
      </c>
      <c r="F1735" s="13" t="s">
        <v>830</v>
      </c>
      <c r="G1735" s="18">
        <f t="shared" si="33"/>
        <v>-4.0031193137509691E-2</v>
      </c>
    </row>
    <row r="1736" spans="1:7">
      <c r="A1736" s="13">
        <v>38.6</v>
      </c>
      <c r="B1736" s="13">
        <v>38.67</v>
      </c>
      <c r="C1736" s="13">
        <v>37.42</v>
      </c>
      <c r="D1736" s="13">
        <v>38.32</v>
      </c>
      <c r="E1736" s="13">
        <v>9208783</v>
      </c>
      <c r="F1736" s="13" t="s">
        <v>829</v>
      </c>
      <c r="G1736" s="18">
        <f t="shared" si="33"/>
        <v>7.3068893528183132E-3</v>
      </c>
    </row>
    <row r="1737" spans="1:7">
      <c r="A1737" s="13">
        <v>38.44</v>
      </c>
      <c r="B1737" s="13">
        <v>38.44</v>
      </c>
      <c r="C1737" s="13">
        <v>37.770000000000003</v>
      </c>
      <c r="D1737" s="13">
        <v>37.94</v>
      </c>
      <c r="E1737" s="13">
        <v>5021314</v>
      </c>
      <c r="F1737" s="13" t="s">
        <v>828</v>
      </c>
      <c r="G1737" s="18">
        <f t="shared" si="33"/>
        <v>1.317870321560366E-2</v>
      </c>
    </row>
    <row r="1738" spans="1:7">
      <c r="A1738" s="13">
        <v>37.950000000000003</v>
      </c>
      <c r="B1738" s="13">
        <v>37.984999999999999</v>
      </c>
      <c r="C1738" s="13">
        <v>37</v>
      </c>
      <c r="D1738" s="13">
        <v>37.06</v>
      </c>
      <c r="E1738" s="13">
        <v>6746038</v>
      </c>
      <c r="F1738" s="13" t="s">
        <v>827</v>
      </c>
      <c r="G1738" s="18">
        <f t="shared" si="33"/>
        <v>2.4015110631408598E-2</v>
      </c>
    </row>
    <row r="1739" spans="1:7">
      <c r="A1739" s="13">
        <v>36.85</v>
      </c>
      <c r="B1739" s="13">
        <v>36.869900000000001</v>
      </c>
      <c r="C1739" s="13">
        <v>36.21</v>
      </c>
      <c r="D1739" s="13">
        <v>36.26</v>
      </c>
      <c r="E1739" s="13">
        <v>4151044</v>
      </c>
      <c r="F1739" s="13" t="s">
        <v>826</v>
      </c>
      <c r="G1739" s="18">
        <f t="shared" si="33"/>
        <v>1.6271373414230572E-2</v>
      </c>
    </row>
    <row r="1740" spans="1:7">
      <c r="A1740" s="13">
        <v>36.36</v>
      </c>
      <c r="B1740" s="13">
        <v>37.32</v>
      </c>
      <c r="C1740" s="13">
        <v>36.18</v>
      </c>
      <c r="D1740" s="13">
        <v>36.97</v>
      </c>
      <c r="E1740" s="13">
        <v>4764871</v>
      </c>
      <c r="F1740" s="13" t="s">
        <v>825</v>
      </c>
      <c r="G1740" s="18">
        <f t="shared" si="33"/>
        <v>-1.6499864755206928E-2</v>
      </c>
    </row>
    <row r="1741" spans="1:7">
      <c r="A1741" s="13">
        <v>36.81</v>
      </c>
      <c r="B1741" s="13">
        <v>37.590000000000003</v>
      </c>
      <c r="C1741" s="13">
        <v>36.54</v>
      </c>
      <c r="D1741" s="13">
        <v>37.24</v>
      </c>
      <c r="E1741" s="13">
        <v>4560864</v>
      </c>
      <c r="F1741" s="13" t="s">
        <v>824</v>
      </c>
      <c r="G1741" s="18">
        <f t="shared" si="33"/>
        <v>-1.1546723952739035E-2</v>
      </c>
    </row>
    <row r="1742" spans="1:7">
      <c r="A1742" s="13">
        <v>36.99</v>
      </c>
      <c r="B1742" s="13">
        <v>37.090000000000003</v>
      </c>
      <c r="C1742" s="13">
        <v>36.045000000000002</v>
      </c>
      <c r="D1742" s="13">
        <v>36.42</v>
      </c>
      <c r="E1742" s="13">
        <v>9581174</v>
      </c>
      <c r="F1742" s="13" t="s">
        <v>823</v>
      </c>
      <c r="G1742" s="18">
        <f t="shared" si="33"/>
        <v>1.5650741350906161E-2</v>
      </c>
    </row>
    <row r="1743" spans="1:7">
      <c r="A1743" s="13">
        <v>36.14</v>
      </c>
      <c r="B1743" s="13">
        <v>36.86</v>
      </c>
      <c r="C1743" s="13">
        <v>35.965000000000003</v>
      </c>
      <c r="D1743" s="13">
        <v>36.32</v>
      </c>
      <c r="E1743" s="13">
        <v>9220556</v>
      </c>
      <c r="F1743" s="13" t="s">
        <v>822</v>
      </c>
      <c r="G1743" s="18">
        <f t="shared" si="33"/>
        <v>-4.9559471365638874E-3</v>
      </c>
    </row>
    <row r="1744" spans="1:7">
      <c r="A1744" s="13">
        <v>35.909999999999997</v>
      </c>
      <c r="B1744" s="13">
        <v>35.950000000000003</v>
      </c>
      <c r="C1744" s="13">
        <v>35.01</v>
      </c>
      <c r="D1744" s="13">
        <v>35.19</v>
      </c>
      <c r="E1744" s="13">
        <v>8167260</v>
      </c>
      <c r="F1744" s="13" t="s">
        <v>821</v>
      </c>
      <c r="G1744" s="18">
        <f t="shared" si="33"/>
        <v>2.0460358056265893E-2</v>
      </c>
    </row>
    <row r="1745" spans="1:7">
      <c r="A1745" s="13">
        <v>35.380000000000003</v>
      </c>
      <c r="B1745" s="13">
        <v>36.619999999999997</v>
      </c>
      <c r="C1745" s="13">
        <v>34.74</v>
      </c>
      <c r="D1745" s="13">
        <v>36.36</v>
      </c>
      <c r="E1745" s="13">
        <v>11133727</v>
      </c>
      <c r="F1745" s="13" t="s">
        <v>820</v>
      </c>
      <c r="G1745" s="18">
        <f t="shared" si="33"/>
        <v>-2.6952695269526816E-2</v>
      </c>
    </row>
    <row r="1746" spans="1:7">
      <c r="A1746" s="13">
        <v>35.83</v>
      </c>
      <c r="B1746" s="13">
        <v>36.284999999999997</v>
      </c>
      <c r="C1746" s="13">
        <v>35.01</v>
      </c>
      <c r="D1746" s="13">
        <v>35.950000000000003</v>
      </c>
      <c r="E1746" s="13">
        <v>9468127</v>
      </c>
      <c r="F1746" s="13" t="s">
        <v>819</v>
      </c>
      <c r="G1746" s="18">
        <f t="shared" si="33"/>
        <v>-3.337969401947305E-3</v>
      </c>
    </row>
    <row r="1747" spans="1:7">
      <c r="A1747" s="13">
        <v>36.39</v>
      </c>
      <c r="B1747" s="13">
        <v>36.65</v>
      </c>
      <c r="C1747" s="13">
        <v>35.200000000000003</v>
      </c>
      <c r="D1747" s="13">
        <v>35.85</v>
      </c>
      <c r="E1747" s="13">
        <v>8974908</v>
      </c>
      <c r="F1747" s="13" t="s">
        <v>818</v>
      </c>
      <c r="G1747" s="18">
        <f t="shared" si="33"/>
        <v>1.5062761506276168E-2</v>
      </c>
    </row>
    <row r="1748" spans="1:7">
      <c r="A1748" s="13">
        <v>35.68</v>
      </c>
      <c r="B1748" s="13">
        <v>37.22</v>
      </c>
      <c r="C1748" s="13">
        <v>35.630000000000003</v>
      </c>
      <c r="D1748" s="13">
        <v>36.520000000000003</v>
      </c>
      <c r="E1748" s="13">
        <v>12603115</v>
      </c>
      <c r="F1748" s="13" t="s">
        <v>817</v>
      </c>
      <c r="G1748" s="18">
        <f t="shared" si="33"/>
        <v>-2.3001095290251961E-2</v>
      </c>
    </row>
    <row r="1749" spans="1:7">
      <c r="A1749" s="13">
        <v>36.03</v>
      </c>
      <c r="B1749" s="13">
        <v>36.314999999999998</v>
      </c>
      <c r="C1749" s="13">
        <v>35.28</v>
      </c>
      <c r="D1749" s="13">
        <v>36.19</v>
      </c>
      <c r="E1749" s="13">
        <v>10958087</v>
      </c>
      <c r="F1749" s="13" t="s">
        <v>816</v>
      </c>
      <c r="G1749" s="18">
        <f t="shared" si="33"/>
        <v>-4.4211108040894675E-3</v>
      </c>
    </row>
    <row r="1750" spans="1:7">
      <c r="A1750" s="13">
        <v>36.619999999999997</v>
      </c>
      <c r="B1750" s="13">
        <v>37.000700000000002</v>
      </c>
      <c r="C1750" s="13">
        <v>36.31</v>
      </c>
      <c r="D1750" s="13">
        <v>36.619999999999997</v>
      </c>
      <c r="E1750" s="13">
        <v>6492768</v>
      </c>
      <c r="F1750" s="13" t="s">
        <v>815</v>
      </c>
      <c r="G1750" s="18">
        <f t="shared" si="33"/>
        <v>0</v>
      </c>
    </row>
    <row r="1751" spans="1:7">
      <c r="A1751" s="13">
        <v>36.54</v>
      </c>
      <c r="B1751" s="13">
        <v>37.700000000000003</v>
      </c>
      <c r="C1751" s="13">
        <v>36.344999999999999</v>
      </c>
      <c r="D1751" s="13">
        <v>37.369999999999997</v>
      </c>
      <c r="E1751" s="13">
        <v>8448540</v>
      </c>
      <c r="F1751" s="13" t="s">
        <v>814</v>
      </c>
      <c r="G1751" s="18">
        <f t="shared" si="33"/>
        <v>-2.2210329141022167E-2</v>
      </c>
    </row>
    <row r="1752" spans="1:7">
      <c r="A1752" s="13">
        <v>37.53</v>
      </c>
      <c r="B1752" s="13">
        <v>38.08</v>
      </c>
      <c r="C1752" s="13">
        <v>37.15</v>
      </c>
      <c r="D1752" s="13">
        <v>37.99</v>
      </c>
      <c r="E1752" s="13">
        <v>7009047</v>
      </c>
      <c r="F1752" s="13" t="s">
        <v>813</v>
      </c>
      <c r="G1752" s="18">
        <f t="shared" si="33"/>
        <v>-1.2108449591997861E-2</v>
      </c>
    </row>
    <row r="1753" spans="1:7">
      <c r="A1753" s="13">
        <v>38</v>
      </c>
      <c r="B1753" s="13">
        <v>38.619999999999997</v>
      </c>
      <c r="C1753" s="13">
        <v>37.475000000000001</v>
      </c>
      <c r="D1753" s="13">
        <v>37.61</v>
      </c>
      <c r="E1753" s="13">
        <v>9311672</v>
      </c>
      <c r="F1753" s="13" t="s">
        <v>812</v>
      </c>
      <c r="G1753" s="18">
        <f t="shared" si="33"/>
        <v>1.036958255783027E-2</v>
      </c>
    </row>
    <row r="1754" spans="1:7">
      <c r="A1754" s="13">
        <v>38.11</v>
      </c>
      <c r="B1754" s="13">
        <v>38.200000000000003</v>
      </c>
      <c r="C1754" s="13">
        <v>37.03</v>
      </c>
      <c r="D1754" s="13">
        <v>37.03</v>
      </c>
      <c r="E1754" s="13">
        <v>9195355</v>
      </c>
      <c r="F1754" s="13" t="s">
        <v>811</v>
      </c>
      <c r="G1754" s="18">
        <f t="shared" si="33"/>
        <v>2.9165541452875976E-2</v>
      </c>
    </row>
    <row r="1755" spans="1:7">
      <c r="A1755" s="13">
        <v>36.43</v>
      </c>
      <c r="B1755" s="13">
        <v>37.14</v>
      </c>
      <c r="C1755" s="13">
        <v>36.35</v>
      </c>
      <c r="D1755" s="13">
        <v>37.14</v>
      </c>
      <c r="E1755" s="13">
        <v>5792670</v>
      </c>
      <c r="F1755" s="13" t="s">
        <v>810</v>
      </c>
      <c r="G1755" s="18">
        <f t="shared" si="33"/>
        <v>-1.9116855142703337E-2</v>
      </c>
    </row>
    <row r="1756" spans="1:7">
      <c r="A1756" s="13">
        <v>36.99</v>
      </c>
      <c r="B1756" s="13">
        <v>37.174999999999997</v>
      </c>
      <c r="C1756" s="13">
        <v>36.549999999999997</v>
      </c>
      <c r="D1756" s="13">
        <v>36.86</v>
      </c>
      <c r="E1756" s="13">
        <v>8744278</v>
      </c>
      <c r="F1756" s="13" t="s">
        <v>809</v>
      </c>
      <c r="G1756" s="18">
        <f t="shared" si="33"/>
        <v>3.5268583830712075E-3</v>
      </c>
    </row>
    <row r="1757" spans="1:7">
      <c r="A1757" s="13">
        <v>36</v>
      </c>
      <c r="B1757" s="13">
        <v>36.979999999999997</v>
      </c>
      <c r="C1757" s="13">
        <v>35.840000000000003</v>
      </c>
      <c r="D1757" s="13">
        <v>36.11</v>
      </c>
      <c r="E1757" s="13">
        <v>11330799</v>
      </c>
      <c r="F1757" s="13" t="s">
        <v>808</v>
      </c>
      <c r="G1757" s="18">
        <f t="shared" si="33"/>
        <v>-3.0462475768484598E-3</v>
      </c>
    </row>
    <row r="1758" spans="1:7">
      <c r="A1758" s="13">
        <v>36.11</v>
      </c>
      <c r="B1758" s="13">
        <v>37.64</v>
      </c>
      <c r="C1758" s="13">
        <v>36.08</v>
      </c>
      <c r="D1758" s="13">
        <v>37.36</v>
      </c>
      <c r="E1758" s="13">
        <v>12220714</v>
      </c>
      <c r="F1758" s="13" t="s">
        <v>807</v>
      </c>
      <c r="G1758" s="18">
        <f t="shared" si="33"/>
        <v>-3.3458244111349011E-2</v>
      </c>
    </row>
    <row r="1759" spans="1:7">
      <c r="A1759" s="13">
        <v>37.409999999999997</v>
      </c>
      <c r="B1759" s="13">
        <v>37.58</v>
      </c>
      <c r="C1759" s="13">
        <v>37.11</v>
      </c>
      <c r="D1759" s="13">
        <v>37.22</v>
      </c>
      <c r="E1759" s="13">
        <v>6492149</v>
      </c>
      <c r="F1759" s="13" t="s">
        <v>806</v>
      </c>
      <c r="G1759" s="18">
        <f t="shared" si="33"/>
        <v>5.1047823750671739E-3</v>
      </c>
    </row>
    <row r="1760" spans="1:7">
      <c r="A1760" s="13">
        <v>37.299999999999997</v>
      </c>
      <c r="B1760" s="13">
        <v>37.880000000000003</v>
      </c>
      <c r="C1760" s="13">
        <v>36.78</v>
      </c>
      <c r="D1760" s="13">
        <v>37.799999999999997</v>
      </c>
      <c r="E1760" s="13">
        <v>6896484</v>
      </c>
      <c r="F1760" s="13" t="s">
        <v>805</v>
      </c>
      <c r="G1760" s="18">
        <f t="shared" si="33"/>
        <v>-1.3227513227513255E-2</v>
      </c>
    </row>
    <row r="1761" spans="1:7">
      <c r="A1761" s="13">
        <v>37.85</v>
      </c>
      <c r="B1761" s="13">
        <v>38.33</v>
      </c>
      <c r="C1761" s="13">
        <v>37.645000000000003</v>
      </c>
      <c r="D1761" s="13">
        <v>38.06</v>
      </c>
      <c r="E1761" s="13">
        <v>5306140</v>
      </c>
      <c r="F1761" s="13" t="s">
        <v>804</v>
      </c>
      <c r="G1761" s="18">
        <f t="shared" si="33"/>
        <v>-5.5176037834997471E-3</v>
      </c>
    </row>
    <row r="1762" spans="1:7">
      <c r="A1762" s="13">
        <v>38</v>
      </c>
      <c r="B1762" s="13">
        <v>38.450000000000003</v>
      </c>
      <c r="C1762" s="13">
        <v>37.68</v>
      </c>
      <c r="D1762" s="13">
        <v>38.43</v>
      </c>
      <c r="E1762" s="13">
        <v>6461042</v>
      </c>
      <c r="F1762" s="13" t="s">
        <v>803</v>
      </c>
      <c r="G1762" s="18">
        <f t="shared" si="33"/>
        <v>-1.1189175123601292E-2</v>
      </c>
    </row>
    <row r="1763" spans="1:7">
      <c r="A1763" s="13">
        <v>38.61</v>
      </c>
      <c r="B1763" s="13">
        <v>39.35</v>
      </c>
      <c r="C1763" s="13">
        <v>38.42</v>
      </c>
      <c r="D1763" s="13">
        <v>39.03</v>
      </c>
      <c r="E1763" s="13">
        <v>5930173</v>
      </c>
      <c r="F1763" s="13" t="s">
        <v>802</v>
      </c>
      <c r="G1763" s="18">
        <f t="shared" si="33"/>
        <v>-1.0760953112990079E-2</v>
      </c>
    </row>
    <row r="1764" spans="1:7">
      <c r="A1764" s="13">
        <v>39.04</v>
      </c>
      <c r="B1764" s="13">
        <v>39.44</v>
      </c>
      <c r="C1764" s="13">
        <v>38.75</v>
      </c>
      <c r="D1764" s="13">
        <v>39.380000000000003</v>
      </c>
      <c r="E1764" s="13">
        <v>6064862</v>
      </c>
      <c r="F1764" s="13" t="s">
        <v>801</v>
      </c>
      <c r="G1764" s="18">
        <f t="shared" si="33"/>
        <v>-8.6338242762824535E-3</v>
      </c>
    </row>
    <row r="1765" spans="1:7">
      <c r="A1765" s="13">
        <v>38.979999999999997</v>
      </c>
      <c r="B1765" s="13">
        <v>39.42</v>
      </c>
      <c r="C1765" s="13">
        <v>38.6</v>
      </c>
      <c r="D1765" s="13">
        <v>38.74</v>
      </c>
      <c r="E1765" s="13">
        <v>8289743</v>
      </c>
      <c r="F1765" s="13" t="s">
        <v>800</v>
      </c>
      <c r="G1765" s="18">
        <f t="shared" si="33"/>
        <v>6.1951471347443388E-3</v>
      </c>
    </row>
    <row r="1766" spans="1:7">
      <c r="A1766" s="13">
        <v>38.5</v>
      </c>
      <c r="B1766" s="13">
        <v>38.78</v>
      </c>
      <c r="C1766" s="13">
        <v>38.270000000000003</v>
      </c>
      <c r="D1766" s="13">
        <v>38.33</v>
      </c>
      <c r="E1766" s="13">
        <v>6482627</v>
      </c>
      <c r="F1766" s="13" t="s">
        <v>799</v>
      </c>
      <c r="G1766" s="18">
        <f t="shared" si="33"/>
        <v>4.435168275502166E-3</v>
      </c>
    </row>
    <row r="1767" spans="1:7">
      <c r="A1767" s="13">
        <v>38.340000000000003</v>
      </c>
      <c r="B1767" s="13">
        <v>38.72</v>
      </c>
      <c r="C1767" s="13">
        <v>38.24</v>
      </c>
      <c r="D1767" s="13">
        <v>38.65</v>
      </c>
      <c r="E1767" s="13">
        <v>5881162</v>
      </c>
      <c r="F1767" s="13" t="s">
        <v>798</v>
      </c>
      <c r="G1767" s="18">
        <f t="shared" si="33"/>
        <v>-8.0206985769727401E-3</v>
      </c>
    </row>
    <row r="1768" spans="1:7">
      <c r="A1768" s="13">
        <v>38.630000000000003</v>
      </c>
      <c r="B1768" s="13">
        <v>39.130000000000003</v>
      </c>
      <c r="C1768" s="13">
        <v>38.51</v>
      </c>
      <c r="D1768" s="13">
        <v>38.61</v>
      </c>
      <c r="E1768" s="13">
        <v>8444160</v>
      </c>
      <c r="F1768" s="13" t="s">
        <v>797</v>
      </c>
      <c r="G1768" s="18">
        <f t="shared" si="33"/>
        <v>5.180005180005498E-4</v>
      </c>
    </row>
    <row r="1769" spans="1:7">
      <c r="A1769" s="13">
        <v>38.61</v>
      </c>
      <c r="B1769" s="13">
        <v>38.76</v>
      </c>
      <c r="C1769" s="13">
        <v>38.090000000000003</v>
      </c>
      <c r="D1769" s="13">
        <v>38.29</v>
      </c>
      <c r="E1769" s="13">
        <v>8731831</v>
      </c>
      <c r="F1769" s="13" t="s">
        <v>796</v>
      </c>
      <c r="G1769" s="18">
        <f t="shared" si="33"/>
        <v>8.3572734395402914E-3</v>
      </c>
    </row>
    <row r="1770" spans="1:7">
      <c r="A1770" s="13">
        <v>38.4</v>
      </c>
      <c r="B1770" s="13">
        <v>38.484999999999999</v>
      </c>
      <c r="C1770" s="13">
        <v>37.869999999999997</v>
      </c>
      <c r="D1770" s="13">
        <v>38</v>
      </c>
      <c r="E1770" s="13">
        <v>6910391</v>
      </c>
      <c r="F1770" s="13" t="s">
        <v>795</v>
      </c>
      <c r="G1770" s="18">
        <f t="shared" si="33"/>
        <v>1.0526315789473717E-2</v>
      </c>
    </row>
    <row r="1771" spans="1:7">
      <c r="A1771" s="13">
        <v>37.770000000000003</v>
      </c>
      <c r="B1771" s="13">
        <v>37.92</v>
      </c>
      <c r="C1771" s="13">
        <v>37.619999999999997</v>
      </c>
      <c r="D1771" s="13">
        <v>37.880000000000003</v>
      </c>
      <c r="E1771" s="13">
        <v>7887691</v>
      </c>
      <c r="F1771" s="13" t="s">
        <v>794</v>
      </c>
      <c r="G1771" s="18">
        <f t="shared" si="33"/>
        <v>-2.9039070749735663E-3</v>
      </c>
    </row>
    <row r="1772" spans="1:7">
      <c r="A1772" s="13">
        <v>37.82</v>
      </c>
      <c r="B1772" s="13">
        <v>37.92</v>
      </c>
      <c r="C1772" s="13">
        <v>37.549999999999997</v>
      </c>
      <c r="D1772" s="13">
        <v>37.64</v>
      </c>
      <c r="E1772" s="13">
        <v>4742099</v>
      </c>
      <c r="F1772" s="13" t="s">
        <v>793</v>
      </c>
      <c r="G1772" s="18">
        <f t="shared" si="33"/>
        <v>4.7821466524973211E-3</v>
      </c>
    </row>
    <row r="1773" spans="1:7">
      <c r="A1773" s="13">
        <v>37.49</v>
      </c>
      <c r="B1773" s="13">
        <v>37.619999999999997</v>
      </c>
      <c r="C1773" s="13">
        <v>37.164999999999999</v>
      </c>
      <c r="D1773" s="13">
        <v>37.57</v>
      </c>
      <c r="E1773" s="13">
        <v>4633348</v>
      </c>
      <c r="F1773" s="13" t="s">
        <v>792</v>
      </c>
      <c r="G1773" s="18">
        <f t="shared" si="33"/>
        <v>-2.1293585307425866E-3</v>
      </c>
    </row>
    <row r="1774" spans="1:7">
      <c r="A1774" s="13">
        <v>37.619999999999997</v>
      </c>
      <c r="B1774" s="13">
        <v>37.76</v>
      </c>
      <c r="C1774" s="13">
        <v>37.11</v>
      </c>
      <c r="D1774" s="13">
        <v>37.18</v>
      </c>
      <c r="E1774" s="13">
        <v>5824261</v>
      </c>
      <c r="F1774" s="13" t="s">
        <v>791</v>
      </c>
      <c r="G1774" s="18">
        <f t="shared" si="33"/>
        <v>1.1834319526627057E-2</v>
      </c>
    </row>
    <row r="1775" spans="1:7">
      <c r="A1775" s="13">
        <v>37.270000000000003</v>
      </c>
      <c r="B1775" s="13">
        <v>37.68</v>
      </c>
      <c r="C1775" s="13">
        <v>37.159999999999997</v>
      </c>
      <c r="D1775" s="13">
        <v>37.479999999999997</v>
      </c>
      <c r="E1775" s="13">
        <v>5999429</v>
      </c>
      <c r="F1775" s="13" t="s">
        <v>790</v>
      </c>
      <c r="G1775" s="18">
        <f t="shared" si="33"/>
        <v>-5.6029882604053949E-3</v>
      </c>
    </row>
    <row r="1776" spans="1:7">
      <c r="A1776" s="13">
        <v>37.39</v>
      </c>
      <c r="B1776" s="13">
        <v>37.555</v>
      </c>
      <c r="C1776" s="13">
        <v>37.155000000000001</v>
      </c>
      <c r="D1776" s="13">
        <v>37.43</v>
      </c>
      <c r="E1776" s="13">
        <v>8062490</v>
      </c>
      <c r="F1776" s="13" t="s">
        <v>789</v>
      </c>
      <c r="G1776" s="18">
        <f t="shared" si="33"/>
        <v>-1.0686615014693368E-3</v>
      </c>
    </row>
    <row r="1777" spans="1:7">
      <c r="A1777" s="13">
        <v>37.619999999999997</v>
      </c>
      <c r="B1777" s="13">
        <v>37.72</v>
      </c>
      <c r="C1777" s="13">
        <v>37.090000000000003</v>
      </c>
      <c r="D1777" s="13">
        <v>37.11</v>
      </c>
      <c r="E1777" s="13">
        <v>14285160</v>
      </c>
      <c r="F1777" s="13" t="s">
        <v>788</v>
      </c>
      <c r="G1777" s="18">
        <f t="shared" si="33"/>
        <v>1.3742926434923142E-2</v>
      </c>
    </row>
    <row r="1778" spans="1:7">
      <c r="A1778" s="13">
        <v>36.44</v>
      </c>
      <c r="B1778" s="13">
        <v>36.53</v>
      </c>
      <c r="C1778" s="13">
        <v>35.725000000000001</v>
      </c>
      <c r="D1778" s="13">
        <v>36.07</v>
      </c>
      <c r="E1778" s="13">
        <v>5687867</v>
      </c>
      <c r="F1778" s="13" t="s">
        <v>787</v>
      </c>
      <c r="G1778" s="18">
        <f t="shared" ref="G1778:G1841" si="34">A1778/D1778-1</f>
        <v>1.0257831993346178E-2</v>
      </c>
    </row>
    <row r="1779" spans="1:7">
      <c r="A1779" s="13">
        <v>36.14</v>
      </c>
      <c r="B1779" s="13">
        <v>36.24</v>
      </c>
      <c r="C1779" s="13">
        <v>35.43</v>
      </c>
      <c r="D1779" s="13">
        <v>35.799999999999997</v>
      </c>
      <c r="E1779" s="13">
        <v>5354705</v>
      </c>
      <c r="F1779" s="13" t="s">
        <v>786</v>
      </c>
      <c r="G1779" s="18">
        <f t="shared" si="34"/>
        <v>9.4972067039107433E-3</v>
      </c>
    </row>
    <row r="1780" spans="1:7">
      <c r="A1780" s="13">
        <v>35.840000000000003</v>
      </c>
      <c r="B1780" s="13">
        <v>36.055</v>
      </c>
      <c r="C1780" s="13">
        <v>35.700000000000003</v>
      </c>
      <c r="D1780" s="13">
        <v>36.03</v>
      </c>
      <c r="E1780" s="13">
        <v>3765192</v>
      </c>
      <c r="F1780" s="13" t="s">
        <v>785</v>
      </c>
      <c r="G1780" s="18">
        <f t="shared" si="34"/>
        <v>-5.2733832917013501E-3</v>
      </c>
    </row>
    <row r="1781" spans="1:7">
      <c r="A1781" s="13">
        <v>35.85</v>
      </c>
      <c r="B1781" s="13">
        <v>36.380000000000003</v>
      </c>
      <c r="C1781" s="13">
        <v>35.81</v>
      </c>
      <c r="D1781" s="13">
        <v>36.32</v>
      </c>
      <c r="E1781" s="13">
        <v>4512502</v>
      </c>
      <c r="F1781" s="13" t="s">
        <v>784</v>
      </c>
      <c r="G1781" s="18">
        <f t="shared" si="34"/>
        <v>-1.2940528634361237E-2</v>
      </c>
    </row>
    <row r="1782" spans="1:7">
      <c r="A1782" s="13">
        <v>35.99</v>
      </c>
      <c r="B1782" s="13">
        <v>36.134999999999998</v>
      </c>
      <c r="C1782" s="13">
        <v>35.64</v>
      </c>
      <c r="D1782" s="13">
        <v>35.659999999999997</v>
      </c>
      <c r="E1782" s="13">
        <v>5033048</v>
      </c>
      <c r="F1782" s="13" t="s">
        <v>783</v>
      </c>
      <c r="G1782" s="18">
        <f t="shared" si="34"/>
        <v>9.2540661805946556E-3</v>
      </c>
    </row>
    <row r="1783" spans="1:7">
      <c r="A1783" s="13">
        <v>35.75</v>
      </c>
      <c r="B1783" s="13">
        <v>36.024999999999999</v>
      </c>
      <c r="C1783" s="13">
        <v>35.380000000000003</v>
      </c>
      <c r="D1783" s="13">
        <v>36.020000000000003</v>
      </c>
      <c r="E1783" s="13">
        <v>5798674</v>
      </c>
      <c r="F1783" s="13" t="s">
        <v>782</v>
      </c>
      <c r="G1783" s="18">
        <f t="shared" si="34"/>
        <v>-7.4958356468629583E-3</v>
      </c>
    </row>
    <row r="1784" spans="1:7">
      <c r="A1784" s="13">
        <v>36.049999999999997</v>
      </c>
      <c r="B1784" s="13">
        <v>36.450000000000003</v>
      </c>
      <c r="C1784" s="13">
        <v>35.83</v>
      </c>
      <c r="D1784" s="13">
        <v>36.01</v>
      </c>
      <c r="E1784" s="13">
        <v>8512922</v>
      </c>
      <c r="F1784" s="13" t="s">
        <v>781</v>
      </c>
      <c r="G1784" s="18">
        <f t="shared" si="34"/>
        <v>1.1108025548458578E-3</v>
      </c>
    </row>
    <row r="1785" spans="1:7">
      <c r="A1785" s="13">
        <v>35.56</v>
      </c>
      <c r="B1785" s="13">
        <v>35.58</v>
      </c>
      <c r="C1785" s="13">
        <v>35.395000000000003</v>
      </c>
      <c r="D1785" s="13">
        <v>35.4</v>
      </c>
      <c r="E1785" s="13">
        <v>5012796</v>
      </c>
      <c r="F1785" s="13" t="s">
        <v>780</v>
      </c>
      <c r="G1785" s="18">
        <f t="shared" si="34"/>
        <v>4.5197740112994378E-3</v>
      </c>
    </row>
    <row r="1786" spans="1:7">
      <c r="A1786" s="13">
        <v>35.4</v>
      </c>
      <c r="B1786" s="13">
        <v>35.67</v>
      </c>
      <c r="C1786" s="13">
        <v>35.22</v>
      </c>
      <c r="D1786" s="13">
        <v>35.229999999999997</v>
      </c>
      <c r="E1786" s="13">
        <v>4220045</v>
      </c>
      <c r="F1786" s="13" t="s">
        <v>779</v>
      </c>
      <c r="G1786" s="18">
        <f t="shared" si="34"/>
        <v>4.8254328697132642E-3</v>
      </c>
    </row>
    <row r="1787" spans="1:7">
      <c r="A1787" s="13">
        <v>35.54</v>
      </c>
      <c r="B1787" s="13">
        <v>35.69</v>
      </c>
      <c r="C1787" s="13">
        <v>35.159999999999997</v>
      </c>
      <c r="D1787" s="13">
        <v>35.159999999999997</v>
      </c>
      <c r="E1787" s="13">
        <v>6682756</v>
      </c>
      <c r="F1787" s="13" t="s">
        <v>778</v>
      </c>
      <c r="G1787" s="18">
        <f t="shared" si="34"/>
        <v>1.0807736063708884E-2</v>
      </c>
    </row>
    <row r="1788" spans="1:7">
      <c r="A1788" s="13">
        <v>35.06</v>
      </c>
      <c r="B1788" s="13">
        <v>35.299999999999997</v>
      </c>
      <c r="C1788" s="13">
        <v>34.954999999999998</v>
      </c>
      <c r="D1788" s="13">
        <v>35.07</v>
      </c>
      <c r="E1788" s="13">
        <v>5539678</v>
      </c>
      <c r="F1788" s="13" t="s">
        <v>777</v>
      </c>
      <c r="G1788" s="18">
        <f t="shared" si="34"/>
        <v>-2.8514399771883969E-4</v>
      </c>
    </row>
    <row r="1789" spans="1:7">
      <c r="A1789" s="13">
        <v>34.94</v>
      </c>
      <c r="B1789" s="13">
        <v>35.055</v>
      </c>
      <c r="C1789" s="13">
        <v>34.65</v>
      </c>
      <c r="D1789" s="13">
        <v>34.869999999999997</v>
      </c>
      <c r="E1789" s="13">
        <v>4225402</v>
      </c>
      <c r="F1789" s="13" t="s">
        <v>776</v>
      </c>
      <c r="G1789" s="18">
        <f t="shared" si="34"/>
        <v>2.0074562661314133E-3</v>
      </c>
    </row>
    <row r="1790" spans="1:7">
      <c r="A1790" s="13">
        <v>34.72</v>
      </c>
      <c r="B1790" s="13">
        <v>34.82</v>
      </c>
      <c r="C1790" s="13">
        <v>34.409999999999997</v>
      </c>
      <c r="D1790" s="13">
        <v>34.450000000000003</v>
      </c>
      <c r="E1790" s="13">
        <v>5511159</v>
      </c>
      <c r="F1790" s="13" t="s">
        <v>775</v>
      </c>
      <c r="G1790" s="18">
        <f t="shared" si="34"/>
        <v>7.8374455732945769E-3</v>
      </c>
    </row>
    <row r="1791" spans="1:7">
      <c r="A1791" s="13">
        <v>34.35</v>
      </c>
      <c r="B1791" s="13">
        <v>34.659999999999997</v>
      </c>
      <c r="C1791" s="13">
        <v>34.26</v>
      </c>
      <c r="D1791" s="13">
        <v>34.409999999999997</v>
      </c>
      <c r="E1791" s="13">
        <v>3732440</v>
      </c>
      <c r="F1791" s="13" t="s">
        <v>774</v>
      </c>
      <c r="G1791" s="18">
        <f t="shared" si="34"/>
        <v>-1.7436791630338622E-3</v>
      </c>
    </row>
    <row r="1792" spans="1:7">
      <c r="A1792" s="13">
        <v>34.47</v>
      </c>
      <c r="B1792" s="13">
        <v>34.549999999999997</v>
      </c>
      <c r="C1792" s="13">
        <v>34.08</v>
      </c>
      <c r="D1792" s="13">
        <v>34.340000000000003</v>
      </c>
      <c r="E1792" s="13">
        <v>4153056</v>
      </c>
      <c r="F1792" s="13" t="s">
        <v>773</v>
      </c>
      <c r="G1792" s="18">
        <f t="shared" si="34"/>
        <v>3.7856726849154754E-3</v>
      </c>
    </row>
    <row r="1793" spans="1:7">
      <c r="A1793" s="13">
        <v>34.49</v>
      </c>
      <c r="B1793" s="13">
        <v>34.86</v>
      </c>
      <c r="C1793" s="13">
        <v>34.49</v>
      </c>
      <c r="D1793" s="13">
        <v>34.700000000000003</v>
      </c>
      <c r="E1793" s="13">
        <v>6884060</v>
      </c>
      <c r="F1793" s="13" t="s">
        <v>772</v>
      </c>
      <c r="G1793" s="18">
        <f t="shared" si="34"/>
        <v>-6.0518731988472574E-3</v>
      </c>
    </row>
    <row r="1794" spans="1:7">
      <c r="A1794" s="13">
        <v>34.57</v>
      </c>
      <c r="B1794" s="13">
        <v>34.75</v>
      </c>
      <c r="C1794" s="13">
        <v>34.119999999999997</v>
      </c>
      <c r="D1794" s="13">
        <v>34.5</v>
      </c>
      <c r="E1794" s="13">
        <v>5244073</v>
      </c>
      <c r="F1794" s="13" t="s">
        <v>771</v>
      </c>
      <c r="G1794" s="18">
        <f t="shared" si="34"/>
        <v>2.0289855072463947E-3</v>
      </c>
    </row>
    <row r="1795" spans="1:7">
      <c r="A1795" s="13">
        <v>34.409999999999997</v>
      </c>
      <c r="B1795" s="13">
        <v>34.619999999999997</v>
      </c>
      <c r="C1795" s="13">
        <v>34.119999999999997</v>
      </c>
      <c r="D1795" s="13">
        <v>34.35</v>
      </c>
      <c r="E1795" s="13">
        <v>5113876</v>
      </c>
      <c r="F1795" s="13" t="s">
        <v>770</v>
      </c>
      <c r="G1795" s="18">
        <f t="shared" si="34"/>
        <v>1.7467248908296096E-3</v>
      </c>
    </row>
    <row r="1796" spans="1:7">
      <c r="A1796" s="13">
        <v>34.29</v>
      </c>
      <c r="B1796" s="13">
        <v>35.06</v>
      </c>
      <c r="C1796" s="13">
        <v>34.159999999999997</v>
      </c>
      <c r="D1796" s="13">
        <v>35</v>
      </c>
      <c r="E1796" s="13">
        <v>7195775</v>
      </c>
      <c r="F1796" s="13" t="s">
        <v>769</v>
      </c>
      <c r="G1796" s="18">
        <f t="shared" si="34"/>
        <v>-2.0285714285714351E-2</v>
      </c>
    </row>
    <row r="1797" spans="1:7">
      <c r="A1797" s="13">
        <v>34.89</v>
      </c>
      <c r="B1797" s="13">
        <v>35.26</v>
      </c>
      <c r="C1797" s="13">
        <v>33.520000000000003</v>
      </c>
      <c r="D1797" s="13">
        <v>33.6</v>
      </c>
      <c r="E1797" s="13">
        <v>16216544</v>
      </c>
      <c r="F1797" s="13" t="s">
        <v>768</v>
      </c>
      <c r="G1797" s="18">
        <f t="shared" si="34"/>
        <v>3.8392857142857117E-2</v>
      </c>
    </row>
    <row r="1798" spans="1:7">
      <c r="A1798" s="13">
        <v>33.700000000000003</v>
      </c>
      <c r="B1798" s="13">
        <v>33.79</v>
      </c>
      <c r="C1798" s="13">
        <v>33.299999999999997</v>
      </c>
      <c r="D1798" s="13">
        <v>33.35</v>
      </c>
      <c r="E1798" s="13">
        <v>7462425</v>
      </c>
      <c r="F1798" s="13" t="s">
        <v>767</v>
      </c>
      <c r="G1798" s="18">
        <f t="shared" si="34"/>
        <v>1.0494752623688264E-2</v>
      </c>
    </row>
    <row r="1799" spans="1:7">
      <c r="A1799" s="13">
        <v>33.299999999999997</v>
      </c>
      <c r="B1799" s="13">
        <v>33.840000000000003</v>
      </c>
      <c r="C1799" s="13">
        <v>33.29</v>
      </c>
      <c r="D1799" s="13">
        <v>33.58</v>
      </c>
      <c r="E1799" s="13">
        <v>4552790</v>
      </c>
      <c r="F1799" s="13" t="s">
        <v>766</v>
      </c>
      <c r="G1799" s="18">
        <f t="shared" si="34"/>
        <v>-8.3382966051220864E-3</v>
      </c>
    </row>
    <row r="1800" spans="1:7">
      <c r="A1800" s="13">
        <v>33.549999999999997</v>
      </c>
      <c r="B1800" s="13">
        <v>33.880000000000003</v>
      </c>
      <c r="C1800" s="13">
        <v>33.354999999999997</v>
      </c>
      <c r="D1800" s="13">
        <v>33.74</v>
      </c>
      <c r="E1800" s="13">
        <v>4485999</v>
      </c>
      <c r="F1800" s="13" t="s">
        <v>765</v>
      </c>
      <c r="G1800" s="18">
        <f t="shared" si="34"/>
        <v>-5.6312981624185854E-3</v>
      </c>
    </row>
    <row r="1801" spans="1:7">
      <c r="A1801" s="13">
        <v>33.85</v>
      </c>
      <c r="B1801" s="13">
        <v>34.42</v>
      </c>
      <c r="C1801" s="13">
        <v>33.76</v>
      </c>
      <c r="D1801" s="13">
        <v>34.22</v>
      </c>
      <c r="E1801" s="13">
        <v>8309176</v>
      </c>
      <c r="F1801" s="13" t="s">
        <v>764</v>
      </c>
      <c r="G1801" s="18">
        <f t="shared" si="34"/>
        <v>-1.0812390414961959E-2</v>
      </c>
    </row>
    <row r="1802" spans="1:7">
      <c r="A1802" s="13">
        <v>34.29</v>
      </c>
      <c r="B1802" s="13">
        <v>34.590000000000003</v>
      </c>
      <c r="C1802" s="13">
        <v>34.07</v>
      </c>
      <c r="D1802" s="13">
        <v>34.229999999999997</v>
      </c>
      <c r="E1802" s="13">
        <v>9790849</v>
      </c>
      <c r="F1802" s="13" t="s">
        <v>763</v>
      </c>
      <c r="G1802" s="18">
        <f t="shared" si="34"/>
        <v>1.7528483786153348E-3</v>
      </c>
    </row>
    <row r="1803" spans="1:7">
      <c r="A1803" s="13">
        <v>33.22</v>
      </c>
      <c r="B1803" s="13">
        <v>33.295000000000002</v>
      </c>
      <c r="C1803" s="13">
        <v>33.020000000000003</v>
      </c>
      <c r="D1803" s="13">
        <v>33.15</v>
      </c>
      <c r="E1803" s="13">
        <v>4189246</v>
      </c>
      <c r="F1803" s="13" t="s">
        <v>762</v>
      </c>
      <c r="G1803" s="18">
        <f t="shared" si="34"/>
        <v>2.1116138763197512E-3</v>
      </c>
    </row>
    <row r="1804" spans="1:7">
      <c r="A1804" s="13">
        <v>33.15</v>
      </c>
      <c r="B1804" s="13">
        <v>33.5</v>
      </c>
      <c r="C1804" s="13">
        <v>33.049999999999997</v>
      </c>
      <c r="D1804" s="13">
        <v>33.46</v>
      </c>
      <c r="E1804" s="13">
        <v>5421800</v>
      </c>
      <c r="F1804" s="13" t="s">
        <v>761</v>
      </c>
      <c r="G1804" s="18">
        <f t="shared" si="34"/>
        <v>-9.2647937836223271E-3</v>
      </c>
    </row>
    <row r="1805" spans="1:7">
      <c r="A1805" s="13">
        <v>33.53</v>
      </c>
      <c r="B1805" s="13">
        <v>33.549999999999997</v>
      </c>
      <c r="C1805" s="13">
        <v>33.119999999999997</v>
      </c>
      <c r="D1805" s="13">
        <v>33.42</v>
      </c>
      <c r="E1805" s="13">
        <v>4425877</v>
      </c>
      <c r="F1805" s="13" t="s">
        <v>760</v>
      </c>
      <c r="G1805" s="18">
        <f t="shared" si="34"/>
        <v>3.2914422501495455E-3</v>
      </c>
    </row>
    <row r="1806" spans="1:7">
      <c r="A1806" s="13">
        <v>33.380000000000003</v>
      </c>
      <c r="B1806" s="13">
        <v>33.4</v>
      </c>
      <c r="C1806" s="13">
        <v>32.9</v>
      </c>
      <c r="D1806" s="13">
        <v>33.29</v>
      </c>
      <c r="E1806" s="13">
        <v>6269155</v>
      </c>
      <c r="F1806" s="13" t="s">
        <v>759</v>
      </c>
      <c r="G1806" s="18">
        <f t="shared" si="34"/>
        <v>2.7035145689398021E-3</v>
      </c>
    </row>
    <row r="1807" spans="1:7">
      <c r="A1807" s="13">
        <v>33.39</v>
      </c>
      <c r="B1807" s="13">
        <v>33.729999999999997</v>
      </c>
      <c r="C1807" s="13">
        <v>33.299999999999997</v>
      </c>
      <c r="D1807" s="13">
        <v>33.549999999999997</v>
      </c>
      <c r="E1807" s="13">
        <v>5737304</v>
      </c>
      <c r="F1807" s="13" t="s">
        <v>758</v>
      </c>
      <c r="G1807" s="18">
        <f t="shared" si="34"/>
        <v>-4.7690014903128963E-3</v>
      </c>
    </row>
    <row r="1808" spans="1:7">
      <c r="A1808" s="13">
        <v>33.61</v>
      </c>
      <c r="B1808" s="13">
        <v>33.86</v>
      </c>
      <c r="C1808" s="13">
        <v>33.08</v>
      </c>
      <c r="D1808" s="13">
        <v>33.08</v>
      </c>
      <c r="E1808" s="13">
        <v>9438065</v>
      </c>
      <c r="F1808" s="13" t="s">
        <v>757</v>
      </c>
      <c r="G1808" s="18">
        <f t="shared" si="34"/>
        <v>1.6021765417170597E-2</v>
      </c>
    </row>
    <row r="1809" spans="1:7">
      <c r="A1809" s="13">
        <v>32.93</v>
      </c>
      <c r="B1809" s="13">
        <v>33.744999999999997</v>
      </c>
      <c r="C1809" s="13">
        <v>32.869999999999997</v>
      </c>
      <c r="D1809" s="13">
        <v>33.72</v>
      </c>
      <c r="E1809" s="13">
        <v>9844896</v>
      </c>
      <c r="F1809" s="13" t="s">
        <v>756</v>
      </c>
      <c r="G1809" s="18">
        <f t="shared" si="34"/>
        <v>-2.3428232502965551E-2</v>
      </c>
    </row>
    <row r="1810" spans="1:7">
      <c r="A1810" s="13">
        <v>33.770000000000003</v>
      </c>
      <c r="B1810" s="13">
        <v>34.4</v>
      </c>
      <c r="C1810" s="13">
        <v>33.579900000000002</v>
      </c>
      <c r="D1810" s="13">
        <v>34.380000000000003</v>
      </c>
      <c r="E1810" s="13">
        <v>5504254</v>
      </c>
      <c r="F1810" s="13" t="s">
        <v>755</v>
      </c>
      <c r="G1810" s="18">
        <f t="shared" si="34"/>
        <v>-1.7742873763816114E-2</v>
      </c>
    </row>
    <row r="1811" spans="1:7">
      <c r="A1811" s="13">
        <v>34.33</v>
      </c>
      <c r="B1811" s="13">
        <v>34.630000000000003</v>
      </c>
      <c r="C1811" s="13">
        <v>34.08</v>
      </c>
      <c r="D1811" s="13">
        <v>34.5</v>
      </c>
      <c r="E1811" s="13">
        <v>6327940</v>
      </c>
      <c r="F1811" s="13" t="s">
        <v>754</v>
      </c>
      <c r="G1811" s="18">
        <f t="shared" si="34"/>
        <v>-4.9275362318841331E-3</v>
      </c>
    </row>
    <row r="1812" spans="1:7">
      <c r="A1812" s="13">
        <v>34.32</v>
      </c>
      <c r="B1812" s="13">
        <v>34.340000000000003</v>
      </c>
      <c r="C1812" s="13">
        <v>32.270000000000003</v>
      </c>
      <c r="D1812" s="13">
        <v>32.270000000000003</v>
      </c>
      <c r="E1812" s="13">
        <v>12278337</v>
      </c>
      <c r="F1812" s="13" t="s">
        <v>753</v>
      </c>
      <c r="G1812" s="18">
        <f t="shared" si="34"/>
        <v>6.3526495196777111E-2</v>
      </c>
    </row>
    <row r="1813" spans="1:7">
      <c r="A1813" s="13">
        <v>33.57</v>
      </c>
      <c r="B1813" s="13">
        <v>33.86</v>
      </c>
      <c r="C1813" s="13">
        <v>33.229999999999997</v>
      </c>
      <c r="D1813" s="13">
        <v>33.79</v>
      </c>
      <c r="E1813" s="13">
        <v>9193553</v>
      </c>
      <c r="F1813" s="13" t="s">
        <v>752</v>
      </c>
      <c r="G1813" s="18">
        <f t="shared" si="34"/>
        <v>-6.5108020124297061E-3</v>
      </c>
    </row>
    <row r="1814" spans="1:7">
      <c r="A1814" s="13">
        <v>33.71</v>
      </c>
      <c r="B1814" s="13">
        <v>33.865000000000002</v>
      </c>
      <c r="C1814" s="13">
        <v>33.42</v>
      </c>
      <c r="D1814" s="13">
        <v>33.72</v>
      </c>
      <c r="E1814" s="13">
        <v>5941352</v>
      </c>
      <c r="F1814" s="13" t="s">
        <v>751</v>
      </c>
      <c r="G1814" s="18">
        <f t="shared" si="34"/>
        <v>-2.9655990510080166E-4</v>
      </c>
    </row>
    <row r="1815" spans="1:7">
      <c r="A1815" s="13">
        <v>33.770000000000003</v>
      </c>
      <c r="B1815" s="13">
        <v>33.99</v>
      </c>
      <c r="C1815" s="13">
        <v>33.54</v>
      </c>
      <c r="D1815" s="13">
        <v>33.54</v>
      </c>
      <c r="E1815" s="13">
        <v>5196792</v>
      </c>
      <c r="F1815" s="13" t="s">
        <v>750</v>
      </c>
      <c r="G1815" s="18">
        <f t="shared" si="34"/>
        <v>6.8574836016697116E-3</v>
      </c>
    </row>
    <row r="1816" spans="1:7">
      <c r="A1816" s="13">
        <v>33.72</v>
      </c>
      <c r="B1816" s="13">
        <v>33.865000000000002</v>
      </c>
      <c r="C1816" s="13">
        <v>33.604999999999997</v>
      </c>
      <c r="D1816" s="13">
        <v>33.729999999999997</v>
      </c>
      <c r="E1816" s="13">
        <v>2756800</v>
      </c>
      <c r="F1816" s="13" t="s">
        <v>749</v>
      </c>
      <c r="G1816" s="18">
        <f t="shared" si="34"/>
        <v>-2.9647198339755043E-4</v>
      </c>
    </row>
    <row r="1817" spans="1:7">
      <c r="A1817" s="13">
        <v>33.74</v>
      </c>
      <c r="B1817" s="13">
        <v>34.15</v>
      </c>
      <c r="C1817" s="13">
        <v>33.479999999999997</v>
      </c>
      <c r="D1817" s="13">
        <v>33.950000000000003</v>
      </c>
      <c r="E1817" s="13">
        <v>6430940</v>
      </c>
      <c r="F1817" s="13" t="s">
        <v>748</v>
      </c>
      <c r="G1817" s="18">
        <f t="shared" si="34"/>
        <v>-6.1855670103092564E-3</v>
      </c>
    </row>
    <row r="1818" spans="1:7">
      <c r="A1818" s="13">
        <v>33.950000000000003</v>
      </c>
      <c r="B1818" s="13">
        <v>34.159999999999997</v>
      </c>
      <c r="C1818" s="13">
        <v>33.11</v>
      </c>
      <c r="D1818" s="13">
        <v>33.159999999999997</v>
      </c>
      <c r="E1818" s="13">
        <v>8800409</v>
      </c>
      <c r="F1818" s="13" t="s">
        <v>747</v>
      </c>
      <c r="G1818" s="18">
        <f t="shared" si="34"/>
        <v>2.3823884197828882E-2</v>
      </c>
    </row>
    <row r="1819" spans="1:7">
      <c r="A1819" s="13">
        <v>33.15</v>
      </c>
      <c r="B1819" s="13">
        <v>33.35</v>
      </c>
      <c r="C1819" s="13">
        <v>32.909999999999997</v>
      </c>
      <c r="D1819" s="13">
        <v>33.15</v>
      </c>
      <c r="E1819" s="13">
        <v>7234801</v>
      </c>
      <c r="F1819" s="13" t="s">
        <v>746</v>
      </c>
      <c r="G1819" s="18">
        <f t="shared" si="34"/>
        <v>0</v>
      </c>
    </row>
    <row r="1820" spans="1:7">
      <c r="A1820" s="13">
        <v>33.35</v>
      </c>
      <c r="B1820" s="13">
        <v>33.65</v>
      </c>
      <c r="C1820" s="13">
        <v>33.26</v>
      </c>
      <c r="D1820" s="13">
        <v>33.56</v>
      </c>
      <c r="E1820" s="13">
        <v>4994380</v>
      </c>
      <c r="F1820" s="13" t="s">
        <v>745</v>
      </c>
      <c r="G1820" s="18">
        <f t="shared" si="34"/>
        <v>-6.2574493444577106E-3</v>
      </c>
    </row>
    <row r="1821" spans="1:7">
      <c r="A1821" s="13">
        <v>33.340000000000003</v>
      </c>
      <c r="B1821" s="13">
        <v>33.784999999999997</v>
      </c>
      <c r="C1821" s="13">
        <v>33.32</v>
      </c>
      <c r="D1821" s="13">
        <v>33.69</v>
      </c>
      <c r="E1821" s="13">
        <v>4704227</v>
      </c>
      <c r="F1821" s="13" t="s">
        <v>744</v>
      </c>
      <c r="G1821" s="18">
        <f t="shared" si="34"/>
        <v>-1.0388839418224771E-2</v>
      </c>
    </row>
    <row r="1822" spans="1:7">
      <c r="A1822" s="13">
        <v>33.340000000000003</v>
      </c>
      <c r="B1822" s="13">
        <v>33.520000000000003</v>
      </c>
      <c r="C1822" s="13">
        <v>33.1</v>
      </c>
      <c r="D1822" s="13">
        <v>33.22</v>
      </c>
      <c r="E1822" s="13">
        <v>4038278</v>
      </c>
      <c r="F1822" s="13" t="s">
        <v>743</v>
      </c>
      <c r="G1822" s="18">
        <f t="shared" si="34"/>
        <v>3.6122817579773425E-3</v>
      </c>
    </row>
    <row r="1823" spans="1:7">
      <c r="A1823" s="13">
        <v>33.56</v>
      </c>
      <c r="B1823" s="13">
        <v>34.090000000000003</v>
      </c>
      <c r="C1823" s="13">
        <v>33.520000000000003</v>
      </c>
      <c r="D1823" s="13">
        <v>33.94</v>
      </c>
      <c r="E1823" s="13">
        <v>6806983</v>
      </c>
      <c r="F1823" s="13" t="s">
        <v>742</v>
      </c>
      <c r="G1823" s="18">
        <f t="shared" si="34"/>
        <v>-1.1196228638774119E-2</v>
      </c>
    </row>
    <row r="1824" spans="1:7">
      <c r="A1824" s="13">
        <v>33.79</v>
      </c>
      <c r="B1824" s="13">
        <v>33.975000000000001</v>
      </c>
      <c r="C1824" s="13">
        <v>33.58</v>
      </c>
      <c r="D1824" s="13">
        <v>33.82</v>
      </c>
      <c r="E1824" s="13">
        <v>3770748</v>
      </c>
      <c r="F1824" s="13" t="s">
        <v>741</v>
      </c>
      <c r="G1824" s="18">
        <f t="shared" si="34"/>
        <v>-8.8704908338266275E-4</v>
      </c>
    </row>
    <row r="1825" spans="1:7">
      <c r="A1825" s="13">
        <v>33.61</v>
      </c>
      <c r="B1825" s="13">
        <v>33.76</v>
      </c>
      <c r="C1825" s="13">
        <v>33.31</v>
      </c>
      <c r="D1825" s="13">
        <v>33.39</v>
      </c>
      <c r="E1825" s="13">
        <v>4170725</v>
      </c>
      <c r="F1825" s="13" t="s">
        <v>740</v>
      </c>
      <c r="G1825" s="18">
        <f t="shared" si="34"/>
        <v>6.5887990416291231E-3</v>
      </c>
    </row>
    <row r="1826" spans="1:7">
      <c r="A1826" s="13">
        <v>33.22</v>
      </c>
      <c r="B1826" s="13">
        <v>33.65</v>
      </c>
      <c r="C1826" s="13">
        <v>32.700000000000003</v>
      </c>
      <c r="D1826" s="13">
        <v>33.229999999999997</v>
      </c>
      <c r="E1826" s="13">
        <v>6763279</v>
      </c>
      <c r="F1826" s="13" t="s">
        <v>739</v>
      </c>
      <c r="G1826" s="18">
        <f t="shared" si="34"/>
        <v>-3.0093289196497786E-4</v>
      </c>
    </row>
    <row r="1827" spans="1:7">
      <c r="A1827" s="13">
        <v>33.21</v>
      </c>
      <c r="B1827" s="13">
        <v>33.35</v>
      </c>
      <c r="C1827" s="13">
        <v>32.85</v>
      </c>
      <c r="D1827" s="13">
        <v>32.94</v>
      </c>
      <c r="E1827" s="13">
        <v>4172956</v>
      </c>
      <c r="F1827" s="13" t="s">
        <v>738</v>
      </c>
      <c r="G1827" s="18">
        <f t="shared" si="34"/>
        <v>8.19672131147553E-3</v>
      </c>
    </row>
    <row r="1828" spans="1:7">
      <c r="A1828" s="13">
        <v>32.83</v>
      </c>
      <c r="B1828" s="13">
        <v>32.909999999999997</v>
      </c>
      <c r="C1828" s="13">
        <v>32.35</v>
      </c>
      <c r="D1828" s="13">
        <v>32.51</v>
      </c>
      <c r="E1828" s="13">
        <v>4860858</v>
      </c>
      <c r="F1828" s="13" t="s">
        <v>737</v>
      </c>
      <c r="G1828" s="18">
        <f t="shared" si="34"/>
        <v>9.843125192248614E-3</v>
      </c>
    </row>
    <row r="1829" spans="1:7">
      <c r="A1829" s="13">
        <v>32.700000000000003</v>
      </c>
      <c r="B1829" s="13">
        <v>32.880000000000003</v>
      </c>
      <c r="C1829" s="13">
        <v>32.42</v>
      </c>
      <c r="D1829" s="13">
        <v>32.5</v>
      </c>
      <c r="E1829" s="13">
        <v>8656960</v>
      </c>
      <c r="F1829" s="13" t="s">
        <v>736</v>
      </c>
      <c r="G1829" s="18">
        <f t="shared" si="34"/>
        <v>6.1538461538461764E-3</v>
      </c>
    </row>
    <row r="1830" spans="1:7">
      <c r="A1830" s="13">
        <v>32.5</v>
      </c>
      <c r="B1830" s="13">
        <v>32.630000000000003</v>
      </c>
      <c r="C1830" s="13">
        <v>31.78</v>
      </c>
      <c r="D1830" s="13">
        <v>31.87</v>
      </c>
      <c r="E1830" s="13">
        <v>5674082</v>
      </c>
      <c r="F1830" s="13" t="s">
        <v>735</v>
      </c>
      <c r="G1830" s="18">
        <f t="shared" si="34"/>
        <v>1.9767806714778846E-2</v>
      </c>
    </row>
    <row r="1831" spans="1:7">
      <c r="A1831" s="13">
        <v>31.85</v>
      </c>
      <c r="B1831" s="13">
        <v>32.645000000000003</v>
      </c>
      <c r="C1831" s="13">
        <v>31.85</v>
      </c>
      <c r="D1831" s="13">
        <v>32.21</v>
      </c>
      <c r="E1831" s="13">
        <v>5918826</v>
      </c>
      <c r="F1831" s="13" t="s">
        <v>734</v>
      </c>
      <c r="G1831" s="18">
        <f t="shared" si="34"/>
        <v>-1.1176653213287757E-2</v>
      </c>
    </row>
    <row r="1832" spans="1:7">
      <c r="A1832" s="13">
        <v>32</v>
      </c>
      <c r="B1832" s="13">
        <v>32.255000000000003</v>
      </c>
      <c r="C1832" s="13">
        <v>31.85</v>
      </c>
      <c r="D1832" s="13">
        <v>32.18</v>
      </c>
      <c r="E1832" s="13">
        <v>5636438</v>
      </c>
      <c r="F1832" s="13" t="s">
        <v>733</v>
      </c>
      <c r="G1832" s="18">
        <f t="shared" si="34"/>
        <v>-5.5935363579863173E-3</v>
      </c>
    </row>
    <row r="1833" spans="1:7">
      <c r="A1833" s="13">
        <v>32.119999999999997</v>
      </c>
      <c r="B1833" s="13">
        <v>32.619999999999997</v>
      </c>
      <c r="C1833" s="13">
        <v>31.88</v>
      </c>
      <c r="D1833" s="13">
        <v>32.61</v>
      </c>
      <c r="E1833" s="13">
        <v>4098076</v>
      </c>
      <c r="F1833" s="13" t="s">
        <v>732</v>
      </c>
      <c r="G1833" s="18">
        <f t="shared" si="34"/>
        <v>-1.502606562404174E-2</v>
      </c>
    </row>
    <row r="1834" spans="1:7">
      <c r="A1834" s="13">
        <v>32.619999999999997</v>
      </c>
      <c r="B1834" s="13">
        <v>33.03</v>
      </c>
      <c r="C1834" s="13">
        <v>32.22</v>
      </c>
      <c r="D1834" s="13">
        <v>32.33</v>
      </c>
      <c r="E1834" s="13">
        <v>9684104</v>
      </c>
      <c r="F1834" s="13" t="s">
        <v>731</v>
      </c>
      <c r="G1834" s="18">
        <f t="shared" si="34"/>
        <v>8.9699969068974816E-3</v>
      </c>
    </row>
    <row r="1835" spans="1:7">
      <c r="A1835" s="13">
        <v>32.15</v>
      </c>
      <c r="B1835" s="13">
        <v>32.575000000000003</v>
      </c>
      <c r="C1835" s="13">
        <v>32.049999999999997</v>
      </c>
      <c r="D1835" s="13">
        <v>32.28</v>
      </c>
      <c r="E1835" s="13">
        <v>4500780</v>
      </c>
      <c r="F1835" s="13" t="s">
        <v>730</v>
      </c>
      <c r="G1835" s="18">
        <f t="shared" si="34"/>
        <v>-4.0272614622057779E-3</v>
      </c>
    </row>
    <row r="1836" spans="1:7">
      <c r="A1836" s="13">
        <v>32.229999999999997</v>
      </c>
      <c r="B1836" s="13">
        <v>32.53</v>
      </c>
      <c r="C1836" s="13">
        <v>31.87</v>
      </c>
      <c r="D1836" s="13">
        <v>31.95</v>
      </c>
      <c r="E1836" s="13">
        <v>6642475</v>
      </c>
      <c r="F1836" s="13" t="s">
        <v>729</v>
      </c>
      <c r="G1836" s="18">
        <f t="shared" si="34"/>
        <v>8.7636932707353399E-3</v>
      </c>
    </row>
    <row r="1837" spans="1:7">
      <c r="A1837" s="13">
        <v>31.92</v>
      </c>
      <c r="B1837" s="13">
        <v>32.1</v>
      </c>
      <c r="C1837" s="13">
        <v>31.79</v>
      </c>
      <c r="D1837" s="13">
        <v>31.97</v>
      </c>
      <c r="E1837" s="13">
        <v>6482772</v>
      </c>
      <c r="F1837" s="13" t="s">
        <v>728</v>
      </c>
      <c r="G1837" s="18">
        <f t="shared" si="34"/>
        <v>-1.5639662183295489E-3</v>
      </c>
    </row>
    <row r="1838" spans="1:7">
      <c r="A1838" s="13">
        <v>32.29</v>
      </c>
      <c r="B1838" s="13">
        <v>32.729999999999997</v>
      </c>
      <c r="C1838" s="13">
        <v>31.8</v>
      </c>
      <c r="D1838" s="13">
        <v>32.64</v>
      </c>
      <c r="E1838" s="13">
        <v>6433028</v>
      </c>
      <c r="F1838" s="13" t="s">
        <v>727</v>
      </c>
      <c r="G1838" s="18">
        <f t="shared" si="34"/>
        <v>-1.0723039215686292E-2</v>
      </c>
    </row>
    <row r="1839" spans="1:7">
      <c r="A1839" s="13">
        <v>32.96</v>
      </c>
      <c r="B1839" s="13">
        <v>32.984999999999999</v>
      </c>
      <c r="C1839" s="13">
        <v>32.35</v>
      </c>
      <c r="D1839" s="13">
        <v>32.590000000000003</v>
      </c>
      <c r="E1839" s="13">
        <v>12738411</v>
      </c>
      <c r="F1839" s="13" t="s">
        <v>726</v>
      </c>
      <c r="G1839" s="18">
        <f t="shared" si="34"/>
        <v>1.1353175820803862E-2</v>
      </c>
    </row>
    <row r="1840" spans="1:7">
      <c r="A1840" s="13">
        <v>32.51</v>
      </c>
      <c r="B1840" s="13">
        <v>32.76</v>
      </c>
      <c r="C1840" s="13">
        <v>32.174999999999997</v>
      </c>
      <c r="D1840" s="13">
        <v>32.29</v>
      </c>
      <c r="E1840" s="13">
        <v>12428830</v>
      </c>
      <c r="F1840" s="13" t="s">
        <v>725</v>
      </c>
      <c r="G1840" s="18">
        <f t="shared" si="34"/>
        <v>6.8132548776711488E-3</v>
      </c>
    </row>
    <row r="1841" spans="1:7">
      <c r="A1841" s="13">
        <v>31.73</v>
      </c>
      <c r="B1841" s="13">
        <v>32.659999999999997</v>
      </c>
      <c r="C1841" s="13">
        <v>31.55</v>
      </c>
      <c r="D1841" s="13">
        <v>31.67</v>
      </c>
      <c r="E1841" s="13">
        <v>22257009</v>
      </c>
      <c r="F1841" s="13" t="s">
        <v>724</v>
      </c>
      <c r="G1841" s="18">
        <f t="shared" si="34"/>
        <v>1.8945374171139839E-3</v>
      </c>
    </row>
    <row r="1842" spans="1:7">
      <c r="A1842" s="13">
        <v>33.840000000000003</v>
      </c>
      <c r="B1842" s="13">
        <v>35.21</v>
      </c>
      <c r="C1842" s="13">
        <v>33.71</v>
      </c>
      <c r="D1842" s="13">
        <v>34.909999999999997</v>
      </c>
      <c r="E1842" s="13">
        <v>21974322</v>
      </c>
      <c r="F1842" s="13" t="s">
        <v>723</v>
      </c>
      <c r="G1842" s="18">
        <f t="shared" ref="G1842:G1905" si="35">A1842/D1842-1</f>
        <v>-3.0650243483242412E-2</v>
      </c>
    </row>
    <row r="1843" spans="1:7">
      <c r="A1843" s="13">
        <v>34.32</v>
      </c>
      <c r="B1843" s="13">
        <v>37.299999999999997</v>
      </c>
      <c r="C1843" s="13">
        <v>31.77</v>
      </c>
      <c r="D1843" s="13">
        <v>31.97</v>
      </c>
      <c r="E1843" s="13">
        <v>34449399</v>
      </c>
      <c r="F1843" s="13" t="s">
        <v>722</v>
      </c>
      <c r="G1843" s="18">
        <f t="shared" si="35"/>
        <v>7.3506412261495235E-2</v>
      </c>
    </row>
    <row r="1844" spans="1:7">
      <c r="A1844" s="13">
        <v>31.95</v>
      </c>
      <c r="B1844" s="13">
        <v>31.975000000000001</v>
      </c>
      <c r="C1844" s="13">
        <v>31.04</v>
      </c>
      <c r="D1844" s="13">
        <v>31.07</v>
      </c>
      <c r="E1844" s="13">
        <v>14035809</v>
      </c>
      <c r="F1844" s="13" t="s">
        <v>721</v>
      </c>
      <c r="G1844" s="18">
        <f t="shared" si="35"/>
        <v>2.8323141293852494E-2</v>
      </c>
    </row>
    <row r="1845" spans="1:7">
      <c r="A1845" s="13">
        <v>31.03</v>
      </c>
      <c r="B1845" s="13">
        <v>31.18</v>
      </c>
      <c r="C1845" s="13">
        <v>30.43</v>
      </c>
      <c r="D1845" s="13">
        <v>30.91</v>
      </c>
      <c r="E1845" s="13">
        <v>10856075</v>
      </c>
      <c r="F1845" s="13" t="s">
        <v>720</v>
      </c>
      <c r="G1845" s="18">
        <f t="shared" si="35"/>
        <v>3.8822387576835649E-3</v>
      </c>
    </row>
    <row r="1846" spans="1:7">
      <c r="A1846" s="13">
        <v>30.8</v>
      </c>
      <c r="B1846" s="13">
        <v>30.9</v>
      </c>
      <c r="C1846" s="13">
        <v>30.59</v>
      </c>
      <c r="D1846" s="13">
        <v>30.8</v>
      </c>
      <c r="E1846" s="13">
        <v>6337604</v>
      </c>
      <c r="F1846" s="13" t="s">
        <v>719</v>
      </c>
      <c r="G1846" s="18">
        <f t="shared" si="35"/>
        <v>0</v>
      </c>
    </row>
    <row r="1847" spans="1:7">
      <c r="A1847" s="13">
        <v>30.72</v>
      </c>
      <c r="B1847" s="13">
        <v>30.83</v>
      </c>
      <c r="C1847" s="13">
        <v>30.49</v>
      </c>
      <c r="D1847" s="13">
        <v>30.62</v>
      </c>
      <c r="E1847" s="13">
        <v>6452443</v>
      </c>
      <c r="F1847" s="13" t="s">
        <v>718</v>
      </c>
      <c r="G1847" s="18">
        <f t="shared" si="35"/>
        <v>3.2658393207054548E-3</v>
      </c>
    </row>
    <row r="1848" spans="1:7">
      <c r="A1848" s="13">
        <v>30.6</v>
      </c>
      <c r="B1848" s="13">
        <v>30.81</v>
      </c>
      <c r="C1848" s="13">
        <v>30.38</v>
      </c>
      <c r="D1848" s="13">
        <v>30.79</v>
      </c>
      <c r="E1848" s="13">
        <v>4085178</v>
      </c>
      <c r="F1848" s="13" t="s">
        <v>717</v>
      </c>
      <c r="G1848" s="18">
        <f t="shared" si="35"/>
        <v>-6.1708346865865238E-3</v>
      </c>
    </row>
    <row r="1849" spans="1:7">
      <c r="A1849" s="13">
        <v>30.59</v>
      </c>
      <c r="B1849" s="13">
        <v>30.66</v>
      </c>
      <c r="C1849" s="13">
        <v>30.3</v>
      </c>
      <c r="D1849" s="13">
        <v>30.64</v>
      </c>
      <c r="E1849" s="13">
        <v>7102776</v>
      </c>
      <c r="F1849" s="13" t="s">
        <v>716</v>
      </c>
      <c r="G1849" s="18">
        <f t="shared" si="35"/>
        <v>-1.6318537859008053E-3</v>
      </c>
    </row>
    <row r="1850" spans="1:7">
      <c r="A1850" s="13">
        <v>30.39</v>
      </c>
      <c r="B1850" s="13">
        <v>31.02</v>
      </c>
      <c r="C1850" s="13">
        <v>30.31</v>
      </c>
      <c r="D1850" s="13">
        <v>30.34</v>
      </c>
      <c r="E1850" s="13">
        <v>7302081</v>
      </c>
      <c r="F1850" s="13" t="s">
        <v>715</v>
      </c>
      <c r="G1850" s="18">
        <f t="shared" si="35"/>
        <v>1.6479894528675931E-3</v>
      </c>
    </row>
    <row r="1851" spans="1:7">
      <c r="A1851" s="13">
        <v>30.51</v>
      </c>
      <c r="B1851" s="13">
        <v>30.58</v>
      </c>
      <c r="C1851" s="13">
        <v>30.215</v>
      </c>
      <c r="D1851" s="13">
        <v>30.32</v>
      </c>
      <c r="E1851" s="13">
        <v>4794154</v>
      </c>
      <c r="F1851" s="13" t="s">
        <v>714</v>
      </c>
      <c r="G1851" s="18">
        <f t="shared" si="35"/>
        <v>6.2664907651714952E-3</v>
      </c>
    </row>
    <row r="1852" spans="1:7">
      <c r="A1852" s="13">
        <v>30.2</v>
      </c>
      <c r="B1852" s="13">
        <v>30.344999999999999</v>
      </c>
      <c r="C1852" s="13">
        <v>29.96</v>
      </c>
      <c r="D1852" s="13">
        <v>30.1</v>
      </c>
      <c r="E1852" s="13">
        <v>3882545</v>
      </c>
      <c r="F1852" s="13" t="s">
        <v>713</v>
      </c>
      <c r="G1852" s="18">
        <f t="shared" si="35"/>
        <v>3.3222591362125353E-3</v>
      </c>
    </row>
    <row r="1853" spans="1:7">
      <c r="A1853" s="13">
        <v>30.31</v>
      </c>
      <c r="B1853" s="13">
        <v>30.484999999999999</v>
      </c>
      <c r="C1853" s="13">
        <v>30.24</v>
      </c>
      <c r="D1853" s="13">
        <v>30.38</v>
      </c>
      <c r="E1853" s="13">
        <v>2685722</v>
      </c>
      <c r="F1853" s="13" t="s">
        <v>712</v>
      </c>
      <c r="G1853" s="18">
        <f t="shared" si="35"/>
        <v>-2.3041474654378336E-3</v>
      </c>
    </row>
    <row r="1854" spans="1:7">
      <c r="A1854" s="13">
        <v>30.4</v>
      </c>
      <c r="B1854" s="13">
        <v>30.57</v>
      </c>
      <c r="C1854" s="13">
        <v>30.3</v>
      </c>
      <c r="D1854" s="13">
        <v>30.46</v>
      </c>
      <c r="E1854" s="13">
        <v>3234413</v>
      </c>
      <c r="F1854" s="13" t="s">
        <v>711</v>
      </c>
      <c r="G1854" s="18">
        <f t="shared" si="35"/>
        <v>-1.969796454366457E-3</v>
      </c>
    </row>
    <row r="1855" spans="1:7">
      <c r="A1855" s="13">
        <v>30.46</v>
      </c>
      <c r="B1855" s="13">
        <v>30.46</v>
      </c>
      <c r="C1855" s="13">
        <v>30.184999999999999</v>
      </c>
      <c r="D1855" s="13">
        <v>30.2</v>
      </c>
      <c r="E1855" s="13">
        <v>4660101</v>
      </c>
      <c r="F1855" s="13" t="s">
        <v>710</v>
      </c>
      <c r="G1855" s="18">
        <f t="shared" si="35"/>
        <v>8.6092715231789185E-3</v>
      </c>
    </row>
    <row r="1856" spans="1:7">
      <c r="A1856" s="13">
        <v>30.27</v>
      </c>
      <c r="B1856" s="13">
        <v>30.73</v>
      </c>
      <c r="C1856" s="13">
        <v>30.234999999999999</v>
      </c>
      <c r="D1856" s="13">
        <v>30.7</v>
      </c>
      <c r="E1856" s="13">
        <v>7567221</v>
      </c>
      <c r="F1856" s="13" t="s">
        <v>709</v>
      </c>
      <c r="G1856" s="18">
        <f t="shared" si="35"/>
        <v>-1.4006514657980418E-2</v>
      </c>
    </row>
    <row r="1857" spans="1:7">
      <c r="A1857" s="13">
        <v>30.65</v>
      </c>
      <c r="B1857" s="13">
        <v>30.84</v>
      </c>
      <c r="C1857" s="13">
        <v>30.454999999999998</v>
      </c>
      <c r="D1857" s="13">
        <v>30.55</v>
      </c>
      <c r="E1857" s="13">
        <v>7187505</v>
      </c>
      <c r="F1857" s="13" t="s">
        <v>708</v>
      </c>
      <c r="G1857" s="18">
        <f t="shared" si="35"/>
        <v>3.2733224222585289E-3</v>
      </c>
    </row>
    <row r="1858" spans="1:7">
      <c r="A1858" s="13">
        <v>30.45</v>
      </c>
      <c r="B1858" s="13">
        <v>30.63</v>
      </c>
      <c r="C1858" s="13">
        <v>30.2</v>
      </c>
      <c r="D1858" s="13">
        <v>30.29</v>
      </c>
      <c r="E1858" s="13">
        <v>3984414</v>
      </c>
      <c r="F1858" s="13" t="s">
        <v>707</v>
      </c>
      <c r="G1858" s="18">
        <f t="shared" si="35"/>
        <v>5.282271376692016E-3</v>
      </c>
    </row>
    <row r="1859" spans="1:7">
      <c r="A1859" s="13">
        <v>30.32</v>
      </c>
      <c r="B1859" s="13">
        <v>30.484999999999999</v>
      </c>
      <c r="C1859" s="13">
        <v>29.84</v>
      </c>
      <c r="D1859" s="13">
        <v>29.95</v>
      </c>
      <c r="E1859" s="13">
        <v>7304374</v>
      </c>
      <c r="F1859" s="13" t="s">
        <v>706</v>
      </c>
      <c r="G1859" s="18">
        <f t="shared" si="35"/>
        <v>1.2353923205342232E-2</v>
      </c>
    </row>
    <row r="1860" spans="1:7">
      <c r="A1860" s="13">
        <v>29.97</v>
      </c>
      <c r="B1860" s="13">
        <v>30.16</v>
      </c>
      <c r="C1860" s="13">
        <v>29.545000000000002</v>
      </c>
      <c r="D1860" s="13">
        <v>29.71</v>
      </c>
      <c r="E1860" s="13">
        <v>7238206</v>
      </c>
      <c r="F1860" s="13" t="s">
        <v>705</v>
      </c>
      <c r="G1860" s="18">
        <f t="shared" si="35"/>
        <v>8.7512622012788643E-3</v>
      </c>
    </row>
    <row r="1861" spans="1:7">
      <c r="A1861" s="13">
        <v>29.62</v>
      </c>
      <c r="B1861" s="13">
        <v>29.77</v>
      </c>
      <c r="C1861" s="13">
        <v>29.414999999999999</v>
      </c>
      <c r="D1861" s="13">
        <v>29.7</v>
      </c>
      <c r="E1861" s="13">
        <v>5272361</v>
      </c>
      <c r="F1861" s="13" t="s">
        <v>704</v>
      </c>
      <c r="G1861" s="18">
        <f t="shared" si="35"/>
        <v>-2.6936026936026369E-3</v>
      </c>
    </row>
    <row r="1862" spans="1:7">
      <c r="A1862" s="13">
        <v>29.86</v>
      </c>
      <c r="B1862" s="13">
        <v>30.35</v>
      </c>
      <c r="C1862" s="13">
        <v>29.73</v>
      </c>
      <c r="D1862" s="13">
        <v>29.73</v>
      </c>
      <c r="E1862" s="13">
        <v>8855673</v>
      </c>
      <c r="F1862" s="13" t="s">
        <v>703</v>
      </c>
      <c r="G1862" s="18">
        <f t="shared" si="35"/>
        <v>4.3726875210226002E-3</v>
      </c>
    </row>
    <row r="1863" spans="1:7">
      <c r="A1863" s="13">
        <v>29.97</v>
      </c>
      <c r="B1863" s="13">
        <v>30.405000000000001</v>
      </c>
      <c r="C1863" s="13">
        <v>29.82</v>
      </c>
      <c r="D1863" s="13">
        <v>30.13</v>
      </c>
      <c r="E1863" s="13">
        <v>6404923</v>
      </c>
      <c r="F1863" s="13" t="s">
        <v>702</v>
      </c>
      <c r="G1863" s="18">
        <f t="shared" si="35"/>
        <v>-5.310321938267526E-3</v>
      </c>
    </row>
    <row r="1864" spans="1:7">
      <c r="A1864" s="13">
        <v>30.28</v>
      </c>
      <c r="B1864" s="13">
        <v>30.29</v>
      </c>
      <c r="C1864" s="13">
        <v>29.795000000000002</v>
      </c>
      <c r="D1864" s="13">
        <v>29.95</v>
      </c>
      <c r="E1864" s="13">
        <v>4569723</v>
      </c>
      <c r="F1864" s="13" t="s">
        <v>701</v>
      </c>
      <c r="G1864" s="18">
        <f t="shared" si="35"/>
        <v>1.1018363939899967E-2</v>
      </c>
    </row>
    <row r="1865" spans="1:7">
      <c r="A1865" s="13">
        <v>29.83</v>
      </c>
      <c r="B1865" s="13">
        <v>29.995000000000001</v>
      </c>
      <c r="C1865" s="13">
        <v>29.64</v>
      </c>
      <c r="D1865" s="13">
        <v>29.93</v>
      </c>
      <c r="E1865" s="13">
        <v>4007900</v>
      </c>
      <c r="F1865" s="13" t="s">
        <v>700</v>
      </c>
      <c r="G1865" s="18">
        <f t="shared" si="35"/>
        <v>-3.3411293017040489E-3</v>
      </c>
    </row>
    <row r="1866" spans="1:7">
      <c r="A1866" s="13">
        <v>29.83</v>
      </c>
      <c r="B1866" s="13">
        <v>29.91</v>
      </c>
      <c r="C1866" s="13">
        <v>29.55</v>
      </c>
      <c r="D1866" s="13">
        <v>29.78</v>
      </c>
      <c r="E1866" s="13">
        <v>5647054</v>
      </c>
      <c r="F1866" s="13" t="s">
        <v>699</v>
      </c>
      <c r="G1866" s="18">
        <f t="shared" si="35"/>
        <v>1.6789791806579579E-3</v>
      </c>
    </row>
    <row r="1867" spans="1:7">
      <c r="A1867" s="13">
        <v>29.94</v>
      </c>
      <c r="B1867" s="13">
        <v>30.155000000000001</v>
      </c>
      <c r="C1867" s="13">
        <v>29.57</v>
      </c>
      <c r="D1867" s="13">
        <v>29.58</v>
      </c>
      <c r="E1867" s="13">
        <v>5734905</v>
      </c>
      <c r="F1867" s="13" t="s">
        <v>698</v>
      </c>
      <c r="G1867" s="18">
        <f t="shared" si="35"/>
        <v>1.2170385395537719E-2</v>
      </c>
    </row>
    <row r="1868" spans="1:7">
      <c r="A1868" s="13">
        <v>29.55</v>
      </c>
      <c r="B1868" s="13">
        <v>29.725000000000001</v>
      </c>
      <c r="C1868" s="13">
        <v>29.175000000000001</v>
      </c>
      <c r="D1868" s="13">
        <v>29.3</v>
      </c>
      <c r="E1868" s="13">
        <v>5138914</v>
      </c>
      <c r="F1868" s="13" t="s">
        <v>697</v>
      </c>
      <c r="G1868" s="18">
        <f t="shared" si="35"/>
        <v>8.5324232081911422E-3</v>
      </c>
    </row>
    <row r="1869" spans="1:7">
      <c r="A1869" s="13">
        <v>29.43</v>
      </c>
      <c r="B1869" s="13">
        <v>29.6</v>
      </c>
      <c r="C1869" s="13">
        <v>28.87</v>
      </c>
      <c r="D1869" s="13">
        <v>29.09</v>
      </c>
      <c r="E1869" s="13">
        <v>7967709</v>
      </c>
      <c r="F1869" s="13" t="s">
        <v>696</v>
      </c>
      <c r="G1869" s="18">
        <f t="shared" si="35"/>
        <v>1.168786524578902E-2</v>
      </c>
    </row>
    <row r="1870" spans="1:7">
      <c r="A1870" s="13">
        <v>29.27</v>
      </c>
      <c r="B1870" s="13">
        <v>29.585000000000001</v>
      </c>
      <c r="C1870" s="13">
        <v>29.13</v>
      </c>
      <c r="D1870" s="13">
        <v>29.31</v>
      </c>
      <c r="E1870" s="13">
        <v>7367782</v>
      </c>
      <c r="F1870" s="13" t="s">
        <v>695</v>
      </c>
      <c r="G1870" s="18">
        <f t="shared" si="35"/>
        <v>-1.3647219379051556E-3</v>
      </c>
    </row>
    <row r="1871" spans="1:7">
      <c r="A1871" s="13">
        <v>29.48</v>
      </c>
      <c r="B1871" s="13">
        <v>29.48</v>
      </c>
      <c r="C1871" s="13">
        <v>28.71</v>
      </c>
      <c r="D1871" s="13">
        <v>28.74</v>
      </c>
      <c r="E1871" s="13">
        <v>9709196</v>
      </c>
      <c r="F1871" s="13" t="s">
        <v>694</v>
      </c>
      <c r="G1871" s="18">
        <f t="shared" si="35"/>
        <v>2.5748086290883876E-2</v>
      </c>
    </row>
    <row r="1872" spans="1:7">
      <c r="A1872" s="13">
        <v>28.72</v>
      </c>
      <c r="B1872" s="13">
        <v>29.4</v>
      </c>
      <c r="C1872" s="13">
        <v>28.72</v>
      </c>
      <c r="D1872" s="13">
        <v>29.24</v>
      </c>
      <c r="E1872" s="13">
        <v>16530122</v>
      </c>
      <c r="F1872" s="13" t="s">
        <v>693</v>
      </c>
      <c r="G1872" s="18">
        <f t="shared" si="35"/>
        <v>-1.7783857729138153E-2</v>
      </c>
    </row>
    <row r="1873" spans="1:7">
      <c r="A1873" s="13">
        <v>29.23</v>
      </c>
      <c r="B1873" s="13">
        <v>29.48</v>
      </c>
      <c r="C1873" s="13">
        <v>29.215</v>
      </c>
      <c r="D1873" s="13">
        <v>29.45</v>
      </c>
      <c r="E1873" s="13">
        <v>7468757</v>
      </c>
      <c r="F1873" s="13" t="s">
        <v>692</v>
      </c>
      <c r="G1873" s="18">
        <f t="shared" si="35"/>
        <v>-7.4702886247877132E-3</v>
      </c>
    </row>
    <row r="1874" spans="1:7">
      <c r="A1874" s="13">
        <v>29.45</v>
      </c>
      <c r="B1874" s="13">
        <v>29.68</v>
      </c>
      <c r="C1874" s="13">
        <v>29.2</v>
      </c>
      <c r="D1874" s="13">
        <v>29.57</v>
      </c>
      <c r="E1874" s="13">
        <v>6884572</v>
      </c>
      <c r="F1874" s="13" t="s">
        <v>691</v>
      </c>
      <c r="G1874" s="18">
        <f t="shared" si="35"/>
        <v>-4.0581670612107601E-3</v>
      </c>
    </row>
    <row r="1875" spans="1:7">
      <c r="A1875" s="13">
        <v>29.42</v>
      </c>
      <c r="B1875" s="13">
        <v>29.45</v>
      </c>
      <c r="C1875" s="13">
        <v>27.91</v>
      </c>
      <c r="D1875" s="13">
        <v>28.35</v>
      </c>
      <c r="E1875" s="13">
        <v>15887144</v>
      </c>
      <c r="F1875" s="13" t="s">
        <v>690</v>
      </c>
      <c r="G1875" s="18">
        <f t="shared" si="35"/>
        <v>3.774250440917104E-2</v>
      </c>
    </row>
    <row r="1876" spans="1:7">
      <c r="A1876" s="13">
        <v>28.5</v>
      </c>
      <c r="B1876" s="13">
        <v>29</v>
      </c>
      <c r="C1876" s="13">
        <v>28.09</v>
      </c>
      <c r="D1876" s="13">
        <v>28.86</v>
      </c>
      <c r="E1876" s="13">
        <v>8332631</v>
      </c>
      <c r="F1876" s="13" t="s">
        <v>689</v>
      </c>
      <c r="G1876" s="18">
        <f t="shared" si="35"/>
        <v>-1.2474012474012475E-2</v>
      </c>
    </row>
    <row r="1877" spans="1:7">
      <c r="A1877" s="13">
        <v>28.82</v>
      </c>
      <c r="B1877" s="13">
        <v>29.04</v>
      </c>
      <c r="C1877" s="13">
        <v>28.62</v>
      </c>
      <c r="D1877" s="13">
        <v>29.04</v>
      </c>
      <c r="E1877" s="13">
        <v>5702761</v>
      </c>
      <c r="F1877" s="13" t="s">
        <v>688</v>
      </c>
      <c r="G1877" s="18">
        <f t="shared" si="35"/>
        <v>-7.575757575757569E-3</v>
      </c>
    </row>
    <row r="1878" spans="1:7">
      <c r="A1878" s="13">
        <v>28.84</v>
      </c>
      <c r="B1878" s="13">
        <v>29.15</v>
      </c>
      <c r="C1878" s="13">
        <v>28.82</v>
      </c>
      <c r="D1878" s="13">
        <v>28.93</v>
      </c>
      <c r="E1878" s="13">
        <v>8660986</v>
      </c>
      <c r="F1878" s="13" t="s">
        <v>687</v>
      </c>
      <c r="G1878" s="18">
        <f t="shared" si="35"/>
        <v>-3.1109574835810339E-3</v>
      </c>
    </row>
    <row r="1879" spans="1:7">
      <c r="A1879" s="13">
        <v>28.89</v>
      </c>
      <c r="B1879" s="13">
        <v>29.13</v>
      </c>
      <c r="C1879" s="13">
        <v>28.79</v>
      </c>
      <c r="D1879" s="13">
        <v>28.94</v>
      </c>
      <c r="E1879" s="13">
        <v>5764900</v>
      </c>
      <c r="F1879" s="13" t="s">
        <v>686</v>
      </c>
      <c r="G1879" s="18">
        <f t="shared" si="35"/>
        <v>-1.7277125086385681E-3</v>
      </c>
    </row>
    <row r="1880" spans="1:7">
      <c r="A1880" s="13">
        <v>28.94</v>
      </c>
      <c r="B1880" s="13">
        <v>29.18</v>
      </c>
      <c r="C1880" s="13">
        <v>28.79</v>
      </c>
      <c r="D1880" s="13">
        <v>28.91</v>
      </c>
      <c r="E1880" s="13">
        <v>5352226</v>
      </c>
      <c r="F1880" s="13" t="s">
        <v>685</v>
      </c>
      <c r="G1880" s="18">
        <f t="shared" si="35"/>
        <v>1.0377032168800149E-3</v>
      </c>
    </row>
    <row r="1881" spans="1:7">
      <c r="A1881" s="13">
        <v>28.86</v>
      </c>
      <c r="B1881" s="13">
        <v>29.08</v>
      </c>
      <c r="C1881" s="13">
        <v>28.53</v>
      </c>
      <c r="D1881" s="13">
        <v>29</v>
      </c>
      <c r="E1881" s="13">
        <v>10078326</v>
      </c>
      <c r="F1881" s="13" t="s">
        <v>684</v>
      </c>
      <c r="G1881" s="18">
        <f t="shared" si="35"/>
        <v>-4.8275862068966058E-3</v>
      </c>
    </row>
    <row r="1882" spans="1:7">
      <c r="A1882" s="13">
        <v>28.83</v>
      </c>
      <c r="B1882" s="13">
        <v>28.96</v>
      </c>
      <c r="C1882" s="13">
        <v>28.5</v>
      </c>
      <c r="D1882" s="13">
        <v>28.52</v>
      </c>
      <c r="E1882" s="13">
        <v>9003754</v>
      </c>
      <c r="F1882" s="13" t="s">
        <v>683</v>
      </c>
      <c r="G1882" s="18">
        <f t="shared" si="35"/>
        <v>1.0869565217391353E-2</v>
      </c>
    </row>
    <row r="1883" spans="1:7">
      <c r="A1883" s="13">
        <v>28.31</v>
      </c>
      <c r="B1883" s="13">
        <v>28.71</v>
      </c>
      <c r="C1883" s="13">
        <v>28.19</v>
      </c>
      <c r="D1883" s="13">
        <v>28.49</v>
      </c>
      <c r="E1883" s="13">
        <v>7787840</v>
      </c>
      <c r="F1883" s="13" t="s">
        <v>682</v>
      </c>
      <c r="G1883" s="18">
        <f t="shared" si="35"/>
        <v>-6.3180063180062751E-3</v>
      </c>
    </row>
    <row r="1884" spans="1:7">
      <c r="A1884" s="13">
        <v>28.23</v>
      </c>
      <c r="B1884" s="13">
        <v>28.74</v>
      </c>
      <c r="C1884" s="13">
        <v>28.19</v>
      </c>
      <c r="D1884" s="13">
        <v>28.52</v>
      </c>
      <c r="E1884" s="13">
        <v>11798694</v>
      </c>
      <c r="F1884" s="13" t="s">
        <v>681</v>
      </c>
      <c r="G1884" s="18">
        <f t="shared" si="35"/>
        <v>-1.0168302945301466E-2</v>
      </c>
    </row>
    <row r="1885" spans="1:7">
      <c r="A1885" s="13">
        <v>27.93</v>
      </c>
      <c r="B1885" s="13">
        <v>27.96</v>
      </c>
      <c r="C1885" s="13">
        <v>27.61</v>
      </c>
      <c r="D1885" s="13">
        <v>27.62</v>
      </c>
      <c r="E1885" s="13">
        <v>4429894</v>
      </c>
      <c r="F1885" s="13" t="s">
        <v>680</v>
      </c>
      <c r="G1885" s="18">
        <f t="shared" si="35"/>
        <v>1.1223750905141161E-2</v>
      </c>
    </row>
    <row r="1886" spans="1:7">
      <c r="A1886" s="13">
        <v>27.9</v>
      </c>
      <c r="B1886" s="13">
        <v>28.17</v>
      </c>
      <c r="C1886" s="13">
        <v>27.74</v>
      </c>
      <c r="D1886" s="13">
        <v>27.89</v>
      </c>
      <c r="E1886" s="13">
        <v>5483704</v>
      </c>
      <c r="F1886" s="13" t="s">
        <v>679</v>
      </c>
      <c r="G1886" s="18">
        <f t="shared" si="35"/>
        <v>3.5855145213337103E-4</v>
      </c>
    </row>
    <row r="1887" spans="1:7">
      <c r="A1887" s="13">
        <v>27.51</v>
      </c>
      <c r="B1887" s="13">
        <v>27.96</v>
      </c>
      <c r="C1887" s="13">
        <v>27.39</v>
      </c>
      <c r="D1887" s="13">
        <v>27.59</v>
      </c>
      <c r="E1887" s="13">
        <v>4867510</v>
      </c>
      <c r="F1887" s="13" t="s">
        <v>678</v>
      </c>
      <c r="G1887" s="18">
        <f t="shared" si="35"/>
        <v>-2.8996013048204761E-3</v>
      </c>
    </row>
    <row r="1888" spans="1:7">
      <c r="A1888" s="13">
        <v>27.35</v>
      </c>
      <c r="B1888" s="13">
        <v>27.97</v>
      </c>
      <c r="C1888" s="13">
        <v>27.07</v>
      </c>
      <c r="D1888" s="13">
        <v>27.77</v>
      </c>
      <c r="E1888" s="13">
        <v>6451369</v>
      </c>
      <c r="F1888" s="13" t="s">
        <v>677</v>
      </c>
      <c r="G1888" s="18">
        <f t="shared" si="35"/>
        <v>-1.5124234785739987E-2</v>
      </c>
    </row>
    <row r="1889" spans="1:7">
      <c r="A1889" s="13">
        <v>28.09</v>
      </c>
      <c r="B1889" s="13">
        <v>28.4</v>
      </c>
      <c r="C1889" s="13">
        <v>27.81</v>
      </c>
      <c r="D1889" s="13">
        <v>27.96</v>
      </c>
      <c r="E1889" s="13">
        <v>5880832</v>
      </c>
      <c r="F1889" s="13" t="s">
        <v>676</v>
      </c>
      <c r="G1889" s="18">
        <f t="shared" si="35"/>
        <v>4.6494992846923822E-3</v>
      </c>
    </row>
    <row r="1890" spans="1:7">
      <c r="A1890" s="13">
        <v>27.74</v>
      </c>
      <c r="B1890" s="13">
        <v>27.82</v>
      </c>
      <c r="C1890" s="13">
        <v>26.75</v>
      </c>
      <c r="D1890" s="13">
        <v>27.11</v>
      </c>
      <c r="E1890" s="13">
        <v>7775592</v>
      </c>
      <c r="F1890" s="13" t="s">
        <v>675</v>
      </c>
      <c r="G1890" s="18">
        <f t="shared" si="35"/>
        <v>2.323865732202135E-2</v>
      </c>
    </row>
    <row r="1891" spans="1:7">
      <c r="A1891" s="13">
        <v>27.46</v>
      </c>
      <c r="B1891" s="13">
        <v>27.614999999999998</v>
      </c>
      <c r="C1891" s="13">
        <v>26.88</v>
      </c>
      <c r="D1891" s="13">
        <v>26.89</v>
      </c>
      <c r="E1891" s="13">
        <v>9050553</v>
      </c>
      <c r="F1891" s="13" t="s">
        <v>674</v>
      </c>
      <c r="G1891" s="18">
        <f t="shared" si="35"/>
        <v>2.1197471178876937E-2</v>
      </c>
    </row>
    <row r="1892" spans="1:7">
      <c r="A1892" s="13">
        <v>26.84</v>
      </c>
      <c r="B1892" s="13">
        <v>27.36</v>
      </c>
      <c r="C1892" s="13">
        <v>26.414999999999999</v>
      </c>
      <c r="D1892" s="13">
        <v>27.21</v>
      </c>
      <c r="E1892" s="13">
        <v>8562274</v>
      </c>
      <c r="F1892" s="13" t="s">
        <v>673</v>
      </c>
      <c r="G1892" s="18">
        <f t="shared" si="35"/>
        <v>-1.3597941933112812E-2</v>
      </c>
    </row>
    <row r="1893" spans="1:7">
      <c r="A1893" s="13">
        <v>27.32</v>
      </c>
      <c r="B1893" s="13">
        <v>27.765000000000001</v>
      </c>
      <c r="C1893" s="13">
        <v>26.824999999999999</v>
      </c>
      <c r="D1893" s="13">
        <v>26.83</v>
      </c>
      <c r="E1893" s="13">
        <v>11113754</v>
      </c>
      <c r="F1893" s="13" t="s">
        <v>672</v>
      </c>
      <c r="G1893" s="18">
        <f t="shared" si="35"/>
        <v>1.8263138278046931E-2</v>
      </c>
    </row>
    <row r="1894" spans="1:7">
      <c r="A1894" s="13">
        <v>26.68</v>
      </c>
      <c r="B1894" s="13">
        <v>27.26</v>
      </c>
      <c r="C1894" s="13">
        <v>26.61</v>
      </c>
      <c r="D1894" s="13">
        <v>27.1</v>
      </c>
      <c r="E1894" s="13">
        <v>5372257</v>
      </c>
      <c r="F1894" s="13" t="s">
        <v>671</v>
      </c>
      <c r="G1894" s="18">
        <f t="shared" si="35"/>
        <v>-1.5498154981549828E-2</v>
      </c>
    </row>
    <row r="1895" spans="1:7">
      <c r="A1895" s="13">
        <v>27.03</v>
      </c>
      <c r="B1895" s="13">
        <v>27.53</v>
      </c>
      <c r="C1895" s="13">
        <v>26.85</v>
      </c>
      <c r="D1895" s="13">
        <v>27.31</v>
      </c>
      <c r="E1895" s="13">
        <v>8868762</v>
      </c>
      <c r="F1895" s="13" t="s">
        <v>670</v>
      </c>
      <c r="G1895" s="18">
        <f t="shared" si="35"/>
        <v>-1.0252654705236064E-2</v>
      </c>
    </row>
    <row r="1896" spans="1:7">
      <c r="A1896" s="13">
        <v>27.25</v>
      </c>
      <c r="B1896" s="13">
        <v>27.3</v>
      </c>
      <c r="C1896" s="13">
        <v>26.55</v>
      </c>
      <c r="D1896" s="13">
        <v>26.67</v>
      </c>
      <c r="E1896" s="13">
        <v>7456644</v>
      </c>
      <c r="F1896" s="13" t="s">
        <v>669</v>
      </c>
      <c r="G1896" s="18">
        <f t="shared" si="35"/>
        <v>2.1747281589801215E-2</v>
      </c>
    </row>
    <row r="1897" spans="1:7">
      <c r="A1897" s="13">
        <v>26.3</v>
      </c>
      <c r="B1897" s="13">
        <v>27.21</v>
      </c>
      <c r="C1897" s="13">
        <v>26.27</v>
      </c>
      <c r="D1897" s="13">
        <v>27</v>
      </c>
      <c r="E1897" s="13">
        <v>7242832</v>
      </c>
      <c r="F1897" s="13" t="s">
        <v>668</v>
      </c>
      <c r="G1897" s="18">
        <f t="shared" si="35"/>
        <v>-2.5925925925925908E-2</v>
      </c>
    </row>
    <row r="1898" spans="1:7">
      <c r="A1898" s="13">
        <v>26.94</v>
      </c>
      <c r="B1898" s="13">
        <v>27.62</v>
      </c>
      <c r="C1898" s="13">
        <v>26.92</v>
      </c>
      <c r="D1898" s="13">
        <v>27.43</v>
      </c>
      <c r="E1898" s="13">
        <v>6294487</v>
      </c>
      <c r="F1898" s="13" t="s">
        <v>667</v>
      </c>
      <c r="G1898" s="18">
        <f t="shared" si="35"/>
        <v>-1.7863652934742902E-2</v>
      </c>
    </row>
    <row r="1899" spans="1:7">
      <c r="A1899" s="13">
        <v>27.66</v>
      </c>
      <c r="B1899" s="13">
        <v>27.905000000000001</v>
      </c>
      <c r="C1899" s="13">
        <v>27.55</v>
      </c>
      <c r="D1899" s="13">
        <v>27.67</v>
      </c>
      <c r="E1899" s="13">
        <v>4499329</v>
      </c>
      <c r="F1899" s="13" t="s">
        <v>666</v>
      </c>
      <c r="G1899" s="18">
        <f t="shared" si="35"/>
        <v>-3.6140224069391991E-4</v>
      </c>
    </row>
    <row r="1900" spans="1:7">
      <c r="A1900" s="13">
        <v>27.67</v>
      </c>
      <c r="B1900" s="13">
        <v>27.805</v>
      </c>
      <c r="C1900" s="13">
        <v>27.49</v>
      </c>
      <c r="D1900" s="13">
        <v>27.71</v>
      </c>
      <c r="E1900" s="13">
        <v>3722704</v>
      </c>
      <c r="F1900" s="13" t="s">
        <v>665</v>
      </c>
      <c r="G1900" s="18">
        <f t="shared" si="35"/>
        <v>-1.443522194153668E-3</v>
      </c>
    </row>
    <row r="1901" spans="1:7">
      <c r="A1901" s="13">
        <v>27.62</v>
      </c>
      <c r="B1901" s="13">
        <v>28.02</v>
      </c>
      <c r="C1901" s="13">
        <v>27.359500000000001</v>
      </c>
      <c r="D1901" s="13">
        <v>27.92</v>
      </c>
      <c r="E1901" s="13">
        <v>5204697</v>
      </c>
      <c r="F1901" s="13" t="s">
        <v>664</v>
      </c>
      <c r="G1901" s="18">
        <f t="shared" si="35"/>
        <v>-1.074498567335247E-2</v>
      </c>
    </row>
    <row r="1902" spans="1:7">
      <c r="A1902" s="13">
        <v>27.93</v>
      </c>
      <c r="B1902" s="13">
        <v>28.02</v>
      </c>
      <c r="C1902" s="13">
        <v>27.76</v>
      </c>
      <c r="D1902" s="13">
        <v>27.83</v>
      </c>
      <c r="E1902" s="13">
        <v>7858888</v>
      </c>
      <c r="F1902" s="13" t="s">
        <v>663</v>
      </c>
      <c r="G1902" s="18">
        <f t="shared" si="35"/>
        <v>3.5932446999640266E-3</v>
      </c>
    </row>
    <row r="1903" spans="1:7">
      <c r="A1903" s="13">
        <v>27.84</v>
      </c>
      <c r="B1903" s="13">
        <v>28.204999999999998</v>
      </c>
      <c r="C1903" s="13">
        <v>27.684999999999999</v>
      </c>
      <c r="D1903" s="13">
        <v>28.07</v>
      </c>
      <c r="E1903" s="13">
        <v>6244552</v>
      </c>
      <c r="F1903" s="13" t="s">
        <v>662</v>
      </c>
      <c r="G1903" s="18">
        <f t="shared" si="35"/>
        <v>-8.1938012112575676E-3</v>
      </c>
    </row>
    <row r="1904" spans="1:7">
      <c r="A1904" s="13">
        <v>28.01</v>
      </c>
      <c r="B1904" s="13">
        <v>28.51</v>
      </c>
      <c r="C1904" s="13">
        <v>27.84</v>
      </c>
      <c r="D1904" s="13">
        <v>28.51</v>
      </c>
      <c r="E1904" s="13">
        <v>8571669</v>
      </c>
      <c r="F1904" s="13" t="s">
        <v>661</v>
      </c>
      <c r="G1904" s="18">
        <f t="shared" si="35"/>
        <v>-1.7537706068046277E-2</v>
      </c>
    </row>
    <row r="1905" spans="1:7">
      <c r="A1905" s="13">
        <v>28.43</v>
      </c>
      <c r="B1905" s="13">
        <v>28.72</v>
      </c>
      <c r="C1905" s="13">
        <v>28.29</v>
      </c>
      <c r="D1905" s="13">
        <v>28.62</v>
      </c>
      <c r="E1905" s="13">
        <v>3804683</v>
      </c>
      <c r="F1905" s="13" t="s">
        <v>660</v>
      </c>
      <c r="G1905" s="18">
        <f t="shared" si="35"/>
        <v>-6.6387141858840204E-3</v>
      </c>
    </row>
    <row r="1906" spans="1:7">
      <c r="A1906" s="13">
        <v>28.54</v>
      </c>
      <c r="B1906" s="13">
        <v>28.9</v>
      </c>
      <c r="C1906" s="13">
        <v>28.45</v>
      </c>
      <c r="D1906" s="13">
        <v>28.55</v>
      </c>
      <c r="E1906" s="13">
        <v>7963439</v>
      </c>
      <c r="F1906" s="13" t="s">
        <v>659</v>
      </c>
      <c r="G1906" s="18">
        <f t="shared" ref="G1906:G1969" si="36">A1906/D1906-1</f>
        <v>-3.5026269702287394E-4</v>
      </c>
    </row>
    <row r="1907" spans="1:7">
      <c r="A1907" s="13">
        <v>28.54</v>
      </c>
      <c r="B1907" s="13">
        <v>28.55</v>
      </c>
      <c r="C1907" s="13">
        <v>27.885000000000002</v>
      </c>
      <c r="D1907" s="13">
        <v>28.01</v>
      </c>
      <c r="E1907" s="13">
        <v>7702189</v>
      </c>
      <c r="F1907" s="13" t="s">
        <v>658</v>
      </c>
      <c r="G1907" s="18">
        <f t="shared" si="36"/>
        <v>1.8921813637986284E-2</v>
      </c>
    </row>
    <row r="1908" spans="1:7">
      <c r="A1908" s="13">
        <v>27.85</v>
      </c>
      <c r="B1908" s="13">
        <v>27.96</v>
      </c>
      <c r="C1908" s="13">
        <v>27.67</v>
      </c>
      <c r="D1908" s="13">
        <v>27.68</v>
      </c>
      <c r="E1908" s="13">
        <v>5694208</v>
      </c>
      <c r="F1908" s="13" t="s">
        <v>657</v>
      </c>
      <c r="G1908" s="18">
        <f t="shared" si="36"/>
        <v>6.1416184971099241E-3</v>
      </c>
    </row>
    <row r="1909" spans="1:7">
      <c r="A1909" s="13">
        <v>27.59</v>
      </c>
      <c r="B1909" s="13">
        <v>27.67</v>
      </c>
      <c r="C1909" s="13">
        <v>27.1858</v>
      </c>
      <c r="D1909" s="13">
        <v>27.19</v>
      </c>
      <c r="E1909" s="13">
        <v>4006731</v>
      </c>
      <c r="F1909" s="13" t="s">
        <v>656</v>
      </c>
      <c r="G1909" s="18">
        <f t="shared" si="36"/>
        <v>1.471129091577783E-2</v>
      </c>
    </row>
    <row r="1910" spans="1:7">
      <c r="A1910" s="13">
        <v>27.41</v>
      </c>
      <c r="B1910" s="13">
        <v>27.495000000000001</v>
      </c>
      <c r="C1910" s="13">
        <v>27.23</v>
      </c>
      <c r="D1910" s="13">
        <v>27.45</v>
      </c>
      <c r="E1910" s="13">
        <v>5067949</v>
      </c>
      <c r="F1910" s="13" t="s">
        <v>655</v>
      </c>
      <c r="G1910" s="18">
        <f t="shared" si="36"/>
        <v>-1.4571948998177708E-3</v>
      </c>
    </row>
    <row r="1911" spans="1:7">
      <c r="A1911" s="13">
        <v>27.41</v>
      </c>
      <c r="B1911" s="13">
        <v>27.475000000000001</v>
      </c>
      <c r="C1911" s="13">
        <v>26.53</v>
      </c>
      <c r="D1911" s="13">
        <v>26.59</v>
      </c>
      <c r="E1911" s="13">
        <v>5949318</v>
      </c>
      <c r="F1911" s="13" t="s">
        <v>654</v>
      </c>
      <c r="G1911" s="18">
        <f t="shared" si="36"/>
        <v>3.0838661150808688E-2</v>
      </c>
    </row>
    <row r="1912" spans="1:7">
      <c r="A1912" s="13">
        <v>26.77</v>
      </c>
      <c r="B1912" s="13">
        <v>26.85</v>
      </c>
      <c r="C1912" s="13">
        <v>26.3</v>
      </c>
      <c r="D1912" s="13">
        <v>26.39</v>
      </c>
      <c r="E1912" s="13">
        <v>10191227</v>
      </c>
      <c r="F1912" s="13" t="s">
        <v>653</v>
      </c>
      <c r="G1912" s="18">
        <f t="shared" si="36"/>
        <v>1.4399393709738417E-2</v>
      </c>
    </row>
    <row r="1913" spans="1:7">
      <c r="A1913" s="13">
        <v>26.5</v>
      </c>
      <c r="B1913" s="13">
        <v>27.3</v>
      </c>
      <c r="C1913" s="13">
        <v>26.405000000000001</v>
      </c>
      <c r="D1913" s="13">
        <v>27.3</v>
      </c>
      <c r="E1913" s="13">
        <v>8827287</v>
      </c>
      <c r="F1913" s="13" t="s">
        <v>652</v>
      </c>
      <c r="G1913" s="18">
        <f t="shared" si="36"/>
        <v>-2.9304029304029311E-2</v>
      </c>
    </row>
    <row r="1914" spans="1:7">
      <c r="A1914" s="13">
        <v>27.26</v>
      </c>
      <c r="B1914" s="13">
        <v>27.795000000000002</v>
      </c>
      <c r="C1914" s="13">
        <v>27.25</v>
      </c>
      <c r="D1914" s="13">
        <v>27.53</v>
      </c>
      <c r="E1914" s="13">
        <v>5857407</v>
      </c>
      <c r="F1914" s="13" t="s">
        <v>651</v>
      </c>
      <c r="G1914" s="18">
        <f t="shared" si="36"/>
        <v>-9.8074827460951086E-3</v>
      </c>
    </row>
    <row r="1915" spans="1:7">
      <c r="A1915" s="13">
        <v>27.45</v>
      </c>
      <c r="B1915" s="13">
        <v>27.875</v>
      </c>
      <c r="C1915" s="13">
        <v>27.44</v>
      </c>
      <c r="D1915" s="13">
        <v>27.65</v>
      </c>
      <c r="E1915" s="13">
        <v>6329990</v>
      </c>
      <c r="F1915" s="13" t="s">
        <v>650</v>
      </c>
      <c r="G1915" s="18">
        <f t="shared" si="36"/>
        <v>-7.2332730560578096E-3</v>
      </c>
    </row>
    <row r="1916" spans="1:7">
      <c r="A1916" s="13">
        <v>27.62</v>
      </c>
      <c r="B1916" s="13">
        <v>27.65</v>
      </c>
      <c r="C1916" s="13">
        <v>27.014500000000002</v>
      </c>
      <c r="D1916" s="13">
        <v>27.2</v>
      </c>
      <c r="E1916" s="13">
        <v>6706166</v>
      </c>
      <c r="F1916" s="13" t="s">
        <v>649</v>
      </c>
      <c r="G1916" s="18">
        <f t="shared" si="36"/>
        <v>1.5441176470588402E-2</v>
      </c>
    </row>
    <row r="1917" spans="1:7">
      <c r="A1917" s="13">
        <v>27.2</v>
      </c>
      <c r="B1917" s="13">
        <v>27.2</v>
      </c>
      <c r="C1917" s="13">
        <v>26.5</v>
      </c>
      <c r="D1917" s="13">
        <v>26.74</v>
      </c>
      <c r="E1917" s="13">
        <v>5748901</v>
      </c>
      <c r="F1917" s="13" t="s">
        <v>648</v>
      </c>
      <c r="G1917" s="18">
        <f t="shared" si="36"/>
        <v>1.7202692595362779E-2</v>
      </c>
    </row>
    <row r="1918" spans="1:7">
      <c r="A1918" s="13">
        <v>26.48</v>
      </c>
      <c r="B1918" s="13">
        <v>26.92</v>
      </c>
      <c r="C1918" s="13">
        <v>26.35</v>
      </c>
      <c r="D1918" s="13">
        <v>26.92</v>
      </c>
      <c r="E1918" s="13">
        <v>6073968</v>
      </c>
      <c r="F1918" s="13" t="s">
        <v>647</v>
      </c>
      <c r="G1918" s="18">
        <f t="shared" si="36"/>
        <v>-1.6344725111441361E-2</v>
      </c>
    </row>
    <row r="1919" spans="1:7">
      <c r="A1919" s="13">
        <v>26.77</v>
      </c>
      <c r="B1919" s="13">
        <v>27.28</v>
      </c>
      <c r="C1919" s="13">
        <v>26.74</v>
      </c>
      <c r="D1919" s="13">
        <v>26.87</v>
      </c>
      <c r="E1919" s="13">
        <v>4939588</v>
      </c>
      <c r="F1919" s="13" t="s">
        <v>646</v>
      </c>
      <c r="G1919" s="18">
        <f t="shared" si="36"/>
        <v>-3.7216226274656705E-3</v>
      </c>
    </row>
    <row r="1920" spans="1:7">
      <c r="A1920" s="13">
        <v>26.83</v>
      </c>
      <c r="B1920" s="13">
        <v>27.14</v>
      </c>
      <c r="C1920" s="13">
        <v>26.74</v>
      </c>
      <c r="D1920" s="13">
        <v>27.12</v>
      </c>
      <c r="E1920" s="13">
        <v>7059185</v>
      </c>
      <c r="F1920" s="13" t="s">
        <v>645</v>
      </c>
      <c r="G1920" s="18">
        <f t="shared" si="36"/>
        <v>-1.0693215339233175E-2</v>
      </c>
    </row>
    <row r="1921" spans="1:7">
      <c r="A1921" s="13">
        <v>27.2</v>
      </c>
      <c r="B1921" s="13">
        <v>27.475000000000001</v>
      </c>
      <c r="C1921" s="13">
        <v>27.061</v>
      </c>
      <c r="D1921" s="13">
        <v>27.1</v>
      </c>
      <c r="E1921" s="13">
        <v>6707715</v>
      </c>
      <c r="F1921" s="13" t="s">
        <v>644</v>
      </c>
      <c r="G1921" s="18">
        <f t="shared" si="36"/>
        <v>3.6900369003689537E-3</v>
      </c>
    </row>
    <row r="1922" spans="1:7">
      <c r="A1922" s="13">
        <v>27.09</v>
      </c>
      <c r="B1922" s="13">
        <v>27.14</v>
      </c>
      <c r="C1922" s="13">
        <v>26.703399999999998</v>
      </c>
      <c r="D1922" s="13">
        <v>26.93</v>
      </c>
      <c r="E1922" s="13">
        <v>6340659</v>
      </c>
      <c r="F1922" s="13" t="s">
        <v>643</v>
      </c>
      <c r="G1922" s="18">
        <f t="shared" si="36"/>
        <v>5.9413293724470684E-3</v>
      </c>
    </row>
    <row r="1923" spans="1:7">
      <c r="A1923" s="13">
        <v>26.81</v>
      </c>
      <c r="B1923" s="13">
        <v>26.905000000000001</v>
      </c>
      <c r="C1923" s="13">
        <v>25.93</v>
      </c>
      <c r="D1923" s="13">
        <v>25.98</v>
      </c>
      <c r="E1923" s="13">
        <v>8048659</v>
      </c>
      <c r="F1923" s="13" t="s">
        <v>642</v>
      </c>
      <c r="G1923" s="18">
        <f t="shared" si="36"/>
        <v>3.1947652040030805E-2</v>
      </c>
    </row>
    <row r="1924" spans="1:7">
      <c r="A1924" s="13">
        <v>26.11</v>
      </c>
      <c r="B1924" s="13">
        <v>26.11</v>
      </c>
      <c r="C1924" s="13">
        <v>25.84</v>
      </c>
      <c r="D1924" s="13">
        <v>25.96</v>
      </c>
      <c r="E1924" s="13">
        <v>6249868</v>
      </c>
      <c r="F1924" s="13" t="s">
        <v>641</v>
      </c>
      <c r="G1924" s="18">
        <f t="shared" si="36"/>
        <v>5.7781201848998709E-3</v>
      </c>
    </row>
    <row r="1925" spans="1:7">
      <c r="A1925" s="13">
        <v>26.18</v>
      </c>
      <c r="B1925" s="13">
        <v>26.524999999999999</v>
      </c>
      <c r="C1925" s="13">
        <v>25.93</v>
      </c>
      <c r="D1925" s="13">
        <v>26.16</v>
      </c>
      <c r="E1925" s="13">
        <v>8449844</v>
      </c>
      <c r="F1925" s="13" t="s">
        <v>640</v>
      </c>
      <c r="G1925" s="18">
        <f t="shared" si="36"/>
        <v>7.6452599388376896E-4</v>
      </c>
    </row>
    <row r="1926" spans="1:7">
      <c r="A1926" s="13">
        <v>25.92</v>
      </c>
      <c r="B1926" s="13">
        <v>26.16</v>
      </c>
      <c r="C1926" s="13">
        <v>25.04</v>
      </c>
      <c r="D1926" s="13">
        <v>25.36</v>
      </c>
      <c r="E1926" s="13">
        <v>11066361</v>
      </c>
      <c r="F1926" s="13" t="s">
        <v>639</v>
      </c>
      <c r="G1926" s="18">
        <f t="shared" si="36"/>
        <v>2.208201892744488E-2</v>
      </c>
    </row>
    <row r="1927" spans="1:7">
      <c r="A1927" s="13">
        <v>25.2</v>
      </c>
      <c r="B1927" s="13">
        <v>26.33</v>
      </c>
      <c r="C1927" s="13">
        <v>25.19</v>
      </c>
      <c r="D1927" s="13">
        <v>26.26</v>
      </c>
      <c r="E1927" s="13">
        <v>12598201</v>
      </c>
      <c r="F1927" s="13" t="s">
        <v>638</v>
      </c>
      <c r="G1927" s="18">
        <f t="shared" si="36"/>
        <v>-4.0365575019040478E-2</v>
      </c>
    </row>
    <row r="1928" spans="1:7">
      <c r="A1928" s="13">
        <v>26.32</v>
      </c>
      <c r="B1928" s="13">
        <v>26.71</v>
      </c>
      <c r="C1928" s="13">
        <v>26.31</v>
      </c>
      <c r="D1928" s="13">
        <v>26.52</v>
      </c>
      <c r="E1928" s="13">
        <v>8216683</v>
      </c>
      <c r="F1928" s="13" t="s">
        <v>637</v>
      </c>
      <c r="G1928" s="18">
        <f t="shared" si="36"/>
        <v>-7.541478129713397E-3</v>
      </c>
    </row>
    <row r="1929" spans="1:7">
      <c r="A1929" s="13">
        <v>26.72</v>
      </c>
      <c r="B1929" s="13">
        <v>26.82</v>
      </c>
      <c r="C1929" s="13">
        <v>25.6</v>
      </c>
      <c r="D1929" s="13">
        <v>25.87</v>
      </c>
      <c r="E1929" s="13">
        <v>14089492</v>
      </c>
      <c r="F1929" s="13" t="s">
        <v>636</v>
      </c>
      <c r="G1929" s="18">
        <f t="shared" si="36"/>
        <v>3.2856590645535366E-2</v>
      </c>
    </row>
    <row r="1930" spans="1:7">
      <c r="A1930" s="13">
        <v>26.4</v>
      </c>
      <c r="B1930" s="13">
        <v>28</v>
      </c>
      <c r="C1930" s="13">
        <v>26.285</v>
      </c>
      <c r="D1930" s="13">
        <v>27.39</v>
      </c>
      <c r="E1930" s="13">
        <v>13077176</v>
      </c>
      <c r="F1930" s="13" t="s">
        <v>635</v>
      </c>
      <c r="G1930" s="18">
        <f t="shared" si="36"/>
        <v>-3.6144578313253128E-2</v>
      </c>
    </row>
    <row r="1931" spans="1:7">
      <c r="A1931" s="13">
        <v>27.39</v>
      </c>
      <c r="B1931" s="13">
        <v>27.78</v>
      </c>
      <c r="C1931" s="13">
        <v>27.39</v>
      </c>
      <c r="D1931" s="13">
        <v>27.47</v>
      </c>
      <c r="E1931" s="13">
        <v>9756177</v>
      </c>
      <c r="F1931" s="13" t="s">
        <v>634</v>
      </c>
      <c r="G1931" s="18">
        <f t="shared" si="36"/>
        <v>-2.9122679286494035E-3</v>
      </c>
    </row>
    <row r="1932" spans="1:7">
      <c r="A1932" s="13">
        <v>27.63</v>
      </c>
      <c r="B1932" s="13">
        <v>28.15</v>
      </c>
      <c r="C1932" s="13">
        <v>27.21</v>
      </c>
      <c r="D1932" s="13">
        <v>27.43</v>
      </c>
      <c r="E1932" s="13">
        <v>13699166</v>
      </c>
      <c r="F1932" s="13" t="s">
        <v>633</v>
      </c>
      <c r="G1932" s="18">
        <f t="shared" si="36"/>
        <v>7.2912869121399826E-3</v>
      </c>
    </row>
    <row r="1933" spans="1:7">
      <c r="A1933" s="13">
        <v>27.96</v>
      </c>
      <c r="B1933" s="13">
        <v>28.23</v>
      </c>
      <c r="C1933" s="13">
        <v>27.785</v>
      </c>
      <c r="D1933" s="13">
        <v>28.14</v>
      </c>
      <c r="E1933" s="13">
        <v>10130067</v>
      </c>
      <c r="F1933" s="13" t="s">
        <v>632</v>
      </c>
      <c r="G1933" s="18">
        <f t="shared" si="36"/>
        <v>-6.3965884861406641E-3</v>
      </c>
    </row>
    <row r="1934" spans="1:7">
      <c r="A1934" s="13">
        <v>28.03</v>
      </c>
      <c r="B1934" s="13">
        <v>28.364999999999998</v>
      </c>
      <c r="C1934" s="13">
        <v>27.99</v>
      </c>
      <c r="D1934" s="13">
        <v>28.11</v>
      </c>
      <c r="E1934" s="13">
        <v>8690151</v>
      </c>
      <c r="F1934" s="13" t="s">
        <v>631</v>
      </c>
      <c r="G1934" s="18">
        <f t="shared" si="36"/>
        <v>-2.8459622909995375E-3</v>
      </c>
    </row>
    <row r="1935" spans="1:7">
      <c r="A1935" s="13">
        <v>28.33</v>
      </c>
      <c r="B1935" s="13">
        <v>28.64</v>
      </c>
      <c r="C1935" s="13">
        <v>28.215</v>
      </c>
      <c r="D1935" s="13">
        <v>28.4</v>
      </c>
      <c r="E1935" s="13">
        <v>6041612</v>
      </c>
      <c r="F1935" s="13" t="s">
        <v>630</v>
      </c>
      <c r="G1935" s="18">
        <f t="shared" si="36"/>
        <v>-2.4647887323944184E-3</v>
      </c>
    </row>
    <row r="1936" spans="1:7">
      <c r="A1936" s="13">
        <v>28.42</v>
      </c>
      <c r="B1936" s="13">
        <v>28.6</v>
      </c>
      <c r="C1936" s="13">
        <v>28.06</v>
      </c>
      <c r="D1936" s="13">
        <v>28.32</v>
      </c>
      <c r="E1936" s="13">
        <v>9570059</v>
      </c>
      <c r="F1936" s="13" t="s">
        <v>629</v>
      </c>
      <c r="G1936" s="18">
        <f t="shared" si="36"/>
        <v>3.5310734463276372E-3</v>
      </c>
    </row>
    <row r="1937" spans="1:7">
      <c r="A1937" s="13">
        <v>28.26</v>
      </c>
      <c r="B1937" s="13">
        <v>28.39</v>
      </c>
      <c r="C1937" s="13">
        <v>27.96</v>
      </c>
      <c r="D1937" s="13">
        <v>28.07</v>
      </c>
      <c r="E1937" s="13">
        <v>5563261</v>
      </c>
      <c r="F1937" s="13" t="s">
        <v>628</v>
      </c>
      <c r="G1937" s="18">
        <f t="shared" si="36"/>
        <v>6.768792304951976E-3</v>
      </c>
    </row>
    <row r="1938" spans="1:7">
      <c r="A1938" s="13">
        <v>27.91</v>
      </c>
      <c r="B1938" s="13">
        <v>28.01</v>
      </c>
      <c r="C1938" s="13">
        <v>27.69</v>
      </c>
      <c r="D1938" s="13">
        <v>27.98</v>
      </c>
      <c r="E1938" s="13">
        <v>4514224</v>
      </c>
      <c r="F1938" s="13" t="s">
        <v>627</v>
      </c>
      <c r="G1938" s="18">
        <f t="shared" si="36"/>
        <v>-2.5017869907076884E-3</v>
      </c>
    </row>
    <row r="1939" spans="1:7">
      <c r="A1939" s="13">
        <v>27.82</v>
      </c>
      <c r="B1939" s="13">
        <v>27.99</v>
      </c>
      <c r="C1939" s="13">
        <v>27.5</v>
      </c>
      <c r="D1939" s="13">
        <v>27.79</v>
      </c>
      <c r="E1939" s="13">
        <v>5609745</v>
      </c>
      <c r="F1939" s="13" t="s">
        <v>626</v>
      </c>
      <c r="G1939" s="18">
        <f t="shared" si="36"/>
        <v>1.0795250089961073E-3</v>
      </c>
    </row>
    <row r="1940" spans="1:7">
      <c r="A1940" s="13">
        <v>27.71</v>
      </c>
      <c r="B1940" s="13">
        <v>27.74</v>
      </c>
      <c r="C1940" s="13">
        <v>27.13</v>
      </c>
      <c r="D1940" s="13">
        <v>27.55</v>
      </c>
      <c r="E1940" s="13">
        <v>7973936</v>
      </c>
      <c r="F1940" s="13" t="s">
        <v>625</v>
      </c>
      <c r="G1940" s="18">
        <f t="shared" si="36"/>
        <v>5.8076225045371466E-3</v>
      </c>
    </row>
    <row r="1941" spans="1:7">
      <c r="A1941" s="13">
        <v>27.65</v>
      </c>
      <c r="B1941" s="13">
        <v>28.15</v>
      </c>
      <c r="C1941" s="13">
        <v>27.42</v>
      </c>
      <c r="D1941" s="13">
        <v>27.54</v>
      </c>
      <c r="E1941" s="13">
        <v>10024428</v>
      </c>
      <c r="F1941" s="13" t="s">
        <v>624</v>
      </c>
      <c r="G1941" s="18">
        <f t="shared" si="36"/>
        <v>3.9941902686999597E-3</v>
      </c>
    </row>
    <row r="1942" spans="1:7">
      <c r="A1942" s="13">
        <v>27.4</v>
      </c>
      <c r="B1942" s="13">
        <v>27.5</v>
      </c>
      <c r="C1942" s="13">
        <v>27.105</v>
      </c>
      <c r="D1942" s="13">
        <v>27.26</v>
      </c>
      <c r="E1942" s="13">
        <v>6942018</v>
      </c>
      <c r="F1942" s="13" t="s">
        <v>623</v>
      </c>
      <c r="G1942" s="18">
        <f t="shared" si="36"/>
        <v>5.1357300073366918E-3</v>
      </c>
    </row>
    <row r="1943" spans="1:7">
      <c r="A1943" s="13">
        <v>27.25</v>
      </c>
      <c r="B1943" s="13">
        <v>27.36</v>
      </c>
      <c r="C1943" s="13">
        <v>27.015000000000001</v>
      </c>
      <c r="D1943" s="13">
        <v>27.13</v>
      </c>
      <c r="E1943" s="13">
        <v>5864654</v>
      </c>
      <c r="F1943" s="13" t="s">
        <v>622</v>
      </c>
      <c r="G1943" s="18">
        <f t="shared" si="36"/>
        <v>4.4231478068559316E-3</v>
      </c>
    </row>
    <row r="1944" spans="1:7">
      <c r="A1944" s="13">
        <v>26.98</v>
      </c>
      <c r="B1944" s="13">
        <v>27.61</v>
      </c>
      <c r="C1944" s="13">
        <v>26.8201</v>
      </c>
      <c r="D1944" s="13">
        <v>27.48</v>
      </c>
      <c r="E1944" s="13">
        <v>11087642</v>
      </c>
      <c r="F1944" s="13" t="s">
        <v>621</v>
      </c>
      <c r="G1944" s="18">
        <f t="shared" si="36"/>
        <v>-1.8195050946142599E-2</v>
      </c>
    </row>
    <row r="1945" spans="1:7">
      <c r="A1945" s="13">
        <v>27.46</v>
      </c>
      <c r="B1945" s="13">
        <v>27.7</v>
      </c>
      <c r="C1945" s="13">
        <v>27.254999999999999</v>
      </c>
      <c r="D1945" s="13">
        <v>27.46</v>
      </c>
      <c r="E1945" s="13">
        <v>8746401</v>
      </c>
      <c r="F1945" s="13" t="s">
        <v>620</v>
      </c>
      <c r="G1945" s="18">
        <f t="shared" si="36"/>
        <v>0</v>
      </c>
    </row>
    <row r="1946" spans="1:7">
      <c r="A1946" s="13">
        <v>27.43</v>
      </c>
      <c r="B1946" s="13">
        <v>27.99</v>
      </c>
      <c r="C1946" s="13">
        <v>27.16</v>
      </c>
      <c r="D1946" s="13">
        <v>27.58</v>
      </c>
      <c r="E1946" s="13">
        <v>8984307</v>
      </c>
      <c r="F1946" s="13" t="s">
        <v>619</v>
      </c>
      <c r="G1946" s="18">
        <f t="shared" si="36"/>
        <v>-5.4387237128353805E-3</v>
      </c>
    </row>
    <row r="1947" spans="1:7">
      <c r="A1947" s="13">
        <v>27.52</v>
      </c>
      <c r="B1947" s="13">
        <v>27.75</v>
      </c>
      <c r="C1947" s="13">
        <v>27.15</v>
      </c>
      <c r="D1947" s="13">
        <v>27.7</v>
      </c>
      <c r="E1947" s="13">
        <v>13011025</v>
      </c>
      <c r="F1947" s="13" t="s">
        <v>618</v>
      </c>
      <c r="G1947" s="18">
        <f t="shared" si="36"/>
        <v>-6.4981949458483568E-3</v>
      </c>
    </row>
    <row r="1948" spans="1:7">
      <c r="A1948" s="13">
        <v>27.96</v>
      </c>
      <c r="B1948" s="13">
        <v>28.029</v>
      </c>
      <c r="C1948" s="13">
        <v>26.61</v>
      </c>
      <c r="D1948" s="13">
        <v>26.77</v>
      </c>
      <c r="E1948" s="13">
        <v>24987924</v>
      </c>
      <c r="F1948" s="13" t="s">
        <v>617</v>
      </c>
      <c r="G1948" s="18">
        <f t="shared" si="36"/>
        <v>4.4452745610758404E-2</v>
      </c>
    </row>
    <row r="1949" spans="1:7">
      <c r="A1949" s="13">
        <v>25.81</v>
      </c>
      <c r="B1949" s="13">
        <v>26.07</v>
      </c>
      <c r="C1949" s="13">
        <v>25.545000000000002</v>
      </c>
      <c r="D1949" s="13">
        <v>25.91</v>
      </c>
      <c r="E1949" s="13">
        <v>10847127</v>
      </c>
      <c r="F1949" s="13" t="s">
        <v>616</v>
      </c>
      <c r="G1949" s="18">
        <f t="shared" si="36"/>
        <v>-3.8595137012736869E-3</v>
      </c>
    </row>
    <row r="1950" spans="1:7">
      <c r="A1950" s="13">
        <v>25.97</v>
      </c>
      <c r="B1950" s="13">
        <v>26.035</v>
      </c>
      <c r="C1950" s="13">
        <v>25.59</v>
      </c>
      <c r="D1950" s="13">
        <v>25.86</v>
      </c>
      <c r="E1950" s="13">
        <v>14260396</v>
      </c>
      <c r="F1950" s="13" t="s">
        <v>615</v>
      </c>
      <c r="G1950" s="18">
        <f t="shared" si="36"/>
        <v>4.2536736272233977E-3</v>
      </c>
    </row>
    <row r="1951" spans="1:7">
      <c r="A1951" s="13">
        <v>25.32</v>
      </c>
      <c r="B1951" s="13">
        <v>25.61</v>
      </c>
      <c r="C1951" s="13">
        <v>25.21</v>
      </c>
      <c r="D1951" s="13">
        <v>25.4</v>
      </c>
      <c r="E1951" s="13">
        <v>7928638</v>
      </c>
      <c r="F1951" s="13" t="s">
        <v>614</v>
      </c>
      <c r="G1951" s="18">
        <f t="shared" si="36"/>
        <v>-3.1496062992125706E-3</v>
      </c>
    </row>
    <row r="1952" spans="1:7">
      <c r="A1952" s="13">
        <v>25.56</v>
      </c>
      <c r="B1952" s="13">
        <v>25.6</v>
      </c>
      <c r="C1952" s="13">
        <v>25.09</v>
      </c>
      <c r="D1952" s="13">
        <v>25.27</v>
      </c>
      <c r="E1952" s="13">
        <v>8543022</v>
      </c>
      <c r="F1952" s="13" t="s">
        <v>613</v>
      </c>
      <c r="G1952" s="18">
        <f t="shared" si="36"/>
        <v>1.1476058567471359E-2</v>
      </c>
    </row>
    <row r="1953" spans="1:7">
      <c r="A1953" s="13">
        <v>25.28</v>
      </c>
      <c r="B1953" s="13">
        <v>25.52</v>
      </c>
      <c r="C1953" s="13">
        <v>24.84</v>
      </c>
      <c r="D1953" s="13">
        <v>24.94</v>
      </c>
      <c r="E1953" s="13">
        <v>9980547</v>
      </c>
      <c r="F1953" s="13" t="s">
        <v>612</v>
      </c>
      <c r="G1953" s="18">
        <f t="shared" si="36"/>
        <v>1.3632718524458687E-2</v>
      </c>
    </row>
    <row r="1954" spans="1:7">
      <c r="A1954" s="13">
        <v>24.79</v>
      </c>
      <c r="B1954" s="13">
        <v>25.3</v>
      </c>
      <c r="C1954" s="13">
        <v>24.79</v>
      </c>
      <c r="D1954" s="13">
        <v>25.26</v>
      </c>
      <c r="E1954" s="13">
        <v>6146955</v>
      </c>
      <c r="F1954" s="13" t="s">
        <v>611</v>
      </c>
      <c r="G1954" s="18">
        <f t="shared" si="36"/>
        <v>-1.8606492478226544E-2</v>
      </c>
    </row>
    <row r="1955" spans="1:7">
      <c r="A1955" s="13">
        <v>25.19</v>
      </c>
      <c r="B1955" s="13">
        <v>25.3</v>
      </c>
      <c r="C1955" s="13">
        <v>25.06</v>
      </c>
      <c r="D1955" s="13">
        <v>25.2</v>
      </c>
      <c r="E1955" s="13">
        <v>6739975</v>
      </c>
      <c r="F1955" s="13" t="s">
        <v>610</v>
      </c>
      <c r="G1955" s="18">
        <f t="shared" si="36"/>
        <v>-3.9682539682528439E-4</v>
      </c>
    </row>
    <row r="1956" spans="1:7">
      <c r="A1956" s="13">
        <v>25.2</v>
      </c>
      <c r="B1956" s="13">
        <v>25.274999999999999</v>
      </c>
      <c r="C1956" s="13">
        <v>25.14</v>
      </c>
      <c r="D1956" s="13">
        <v>25.2</v>
      </c>
      <c r="E1956" s="13">
        <v>3796271</v>
      </c>
      <c r="F1956" s="13" t="s">
        <v>609</v>
      </c>
      <c r="G1956" s="18">
        <f t="shared" si="36"/>
        <v>0</v>
      </c>
    </row>
    <row r="1957" spans="1:7">
      <c r="A1957" s="13">
        <v>25.13</v>
      </c>
      <c r="B1957" s="13">
        <v>25.28</v>
      </c>
      <c r="C1957" s="13">
        <v>25.09</v>
      </c>
      <c r="D1957" s="13">
        <v>25.15</v>
      </c>
      <c r="E1957" s="13">
        <v>2988159</v>
      </c>
      <c r="F1957" s="13" t="s">
        <v>608</v>
      </c>
      <c r="G1957" s="18">
        <f t="shared" si="36"/>
        <v>-7.9522862823055984E-4</v>
      </c>
    </row>
    <row r="1958" spans="1:7">
      <c r="A1958" s="13">
        <v>25.1</v>
      </c>
      <c r="B1958" s="13">
        <v>25.32</v>
      </c>
      <c r="C1958" s="13">
        <v>25.045000000000002</v>
      </c>
      <c r="D1958" s="13">
        <v>25.14</v>
      </c>
      <c r="E1958" s="13">
        <v>5358253</v>
      </c>
      <c r="F1958" s="13" t="s">
        <v>607</v>
      </c>
      <c r="G1958" s="18">
        <f t="shared" si="36"/>
        <v>-1.5910898965790787E-3</v>
      </c>
    </row>
    <row r="1959" spans="1:7">
      <c r="A1959" s="13">
        <v>25.14</v>
      </c>
      <c r="B1959" s="13">
        <v>25.51</v>
      </c>
      <c r="C1959" s="13">
        <v>25.14</v>
      </c>
      <c r="D1959" s="13">
        <v>25.5</v>
      </c>
      <c r="E1959" s="13">
        <v>5700226</v>
      </c>
      <c r="F1959" s="13" t="s">
        <v>606</v>
      </c>
      <c r="G1959" s="18">
        <f t="shared" si="36"/>
        <v>-1.4117647058823457E-2</v>
      </c>
    </row>
    <row r="1960" spans="1:7">
      <c r="A1960" s="13">
        <v>25.37</v>
      </c>
      <c r="B1960" s="13">
        <v>25.59</v>
      </c>
      <c r="C1960" s="13">
        <v>25.335000000000001</v>
      </c>
      <c r="D1960" s="13">
        <v>25.45</v>
      </c>
      <c r="E1960" s="13">
        <v>8204406</v>
      </c>
      <c r="F1960" s="13" t="s">
        <v>605</v>
      </c>
      <c r="G1960" s="18">
        <f t="shared" si="36"/>
        <v>-3.1434184675834809E-3</v>
      </c>
    </row>
    <row r="1961" spans="1:7">
      <c r="A1961" s="13">
        <v>25.49</v>
      </c>
      <c r="B1961" s="13">
        <v>25.875</v>
      </c>
      <c r="C1961" s="13">
        <v>25.445</v>
      </c>
      <c r="D1961" s="13">
        <v>25.74</v>
      </c>
      <c r="E1961" s="13">
        <v>8793170</v>
      </c>
      <c r="F1961" s="13" t="s">
        <v>604</v>
      </c>
      <c r="G1961" s="18">
        <f t="shared" si="36"/>
        <v>-9.7125097125096982E-3</v>
      </c>
    </row>
    <row r="1962" spans="1:7">
      <c r="A1962" s="13">
        <v>25.78</v>
      </c>
      <c r="B1962" s="13">
        <v>26.12</v>
      </c>
      <c r="C1962" s="13">
        <v>25.745000000000001</v>
      </c>
      <c r="D1962" s="13">
        <v>25.88</v>
      </c>
      <c r="E1962" s="13">
        <v>8356758</v>
      </c>
      <c r="F1962" s="13" t="s">
        <v>603</v>
      </c>
      <c r="G1962" s="18">
        <f t="shared" si="36"/>
        <v>-3.8639876352394298E-3</v>
      </c>
    </row>
    <row r="1963" spans="1:7">
      <c r="A1963" s="13">
        <v>25.78</v>
      </c>
      <c r="B1963" s="13">
        <v>25.9</v>
      </c>
      <c r="C1963" s="13">
        <v>25.54</v>
      </c>
      <c r="D1963" s="13">
        <v>25.67</v>
      </c>
      <c r="E1963" s="13">
        <v>12186964</v>
      </c>
      <c r="F1963" s="13" t="s">
        <v>602</v>
      </c>
      <c r="G1963" s="18">
        <f t="shared" si="36"/>
        <v>4.2851577717180067E-3</v>
      </c>
    </row>
    <row r="1964" spans="1:7">
      <c r="A1964" s="13">
        <v>25.62</v>
      </c>
      <c r="B1964" s="13">
        <v>25.89</v>
      </c>
      <c r="C1964" s="13">
        <v>25.484999999999999</v>
      </c>
      <c r="D1964" s="13">
        <v>25.79</v>
      </c>
      <c r="E1964" s="13">
        <v>10490127</v>
      </c>
      <c r="F1964" s="13" t="s">
        <v>601</v>
      </c>
      <c r="G1964" s="18">
        <f t="shared" si="36"/>
        <v>-6.5917022101589229E-3</v>
      </c>
    </row>
    <row r="1965" spans="1:7">
      <c r="A1965" s="13">
        <v>25.71</v>
      </c>
      <c r="B1965" s="13">
        <v>26</v>
      </c>
      <c r="C1965" s="13">
        <v>25.6</v>
      </c>
      <c r="D1965" s="13">
        <v>25.62</v>
      </c>
      <c r="E1965" s="13">
        <v>9586829</v>
      </c>
      <c r="F1965" s="13" t="s">
        <v>600</v>
      </c>
      <c r="G1965" s="18">
        <f t="shared" si="36"/>
        <v>3.5128805620607828E-3</v>
      </c>
    </row>
    <row r="1966" spans="1:7">
      <c r="A1966" s="13">
        <v>25.61</v>
      </c>
      <c r="B1966" s="13">
        <v>25.73</v>
      </c>
      <c r="C1966" s="13">
        <v>25.54</v>
      </c>
      <c r="D1966" s="13">
        <v>25.68</v>
      </c>
      <c r="E1966" s="13">
        <v>11201624</v>
      </c>
      <c r="F1966" s="13" t="s">
        <v>599</v>
      </c>
      <c r="G1966" s="18">
        <f t="shared" si="36"/>
        <v>-2.7258566978193288E-3</v>
      </c>
    </row>
    <row r="1967" spans="1:7">
      <c r="A1967" s="13">
        <v>25.5</v>
      </c>
      <c r="B1967" s="13">
        <v>25.77</v>
      </c>
      <c r="C1967" s="13">
        <v>25.49</v>
      </c>
      <c r="D1967" s="13">
        <v>25.64</v>
      </c>
      <c r="E1967" s="13">
        <v>9054744</v>
      </c>
      <c r="F1967" s="13" t="s">
        <v>598</v>
      </c>
      <c r="G1967" s="18">
        <f t="shared" si="36"/>
        <v>-5.4602184087363392E-3</v>
      </c>
    </row>
    <row r="1968" spans="1:7">
      <c r="A1968" s="13">
        <v>25.77</v>
      </c>
      <c r="B1968" s="13">
        <v>25.77</v>
      </c>
      <c r="C1968" s="13">
        <v>25.1</v>
      </c>
      <c r="D1968" s="13">
        <v>25.51</v>
      </c>
      <c r="E1968" s="13">
        <v>14297555</v>
      </c>
      <c r="F1968" s="13" t="s">
        <v>597</v>
      </c>
      <c r="G1968" s="18">
        <f t="shared" si="36"/>
        <v>1.0192081536652298E-2</v>
      </c>
    </row>
    <row r="1969" spans="1:7">
      <c r="A1969" s="13">
        <v>25.04</v>
      </c>
      <c r="B1969" s="13">
        <v>25.34</v>
      </c>
      <c r="C1969" s="13">
        <v>24.975000000000001</v>
      </c>
      <c r="D1969" s="13">
        <v>25.3</v>
      </c>
      <c r="E1969" s="13">
        <v>9674608</v>
      </c>
      <c r="F1969" s="13" t="s">
        <v>596</v>
      </c>
      <c r="G1969" s="18">
        <f t="shared" si="36"/>
        <v>-1.0276679841897285E-2</v>
      </c>
    </row>
    <row r="1970" spans="1:7">
      <c r="A1970" s="13">
        <v>25.24</v>
      </c>
      <c r="B1970" s="13">
        <v>25.274999999999999</v>
      </c>
      <c r="C1970" s="13">
        <v>24.54</v>
      </c>
      <c r="D1970" s="13">
        <v>24.86</v>
      </c>
      <c r="E1970" s="13">
        <v>12018646</v>
      </c>
      <c r="F1970" s="13" t="s">
        <v>595</v>
      </c>
      <c r="G1970" s="18">
        <f t="shared" ref="G1970:G2033" si="37">A1970/D1970-1</f>
        <v>1.528559935639584E-2</v>
      </c>
    </row>
    <row r="1971" spans="1:7">
      <c r="A1971" s="13">
        <v>24.94</v>
      </c>
      <c r="B1971" s="13">
        <v>25.45</v>
      </c>
      <c r="C1971" s="13">
        <v>24.9</v>
      </c>
      <c r="D1971" s="13">
        <v>24.9</v>
      </c>
      <c r="E1971" s="13">
        <v>15065687</v>
      </c>
      <c r="F1971" s="13" t="s">
        <v>594</v>
      </c>
      <c r="G1971" s="18">
        <f t="shared" si="37"/>
        <v>1.6064257028114426E-3</v>
      </c>
    </row>
    <row r="1972" spans="1:7">
      <c r="A1972" s="13">
        <v>24.9</v>
      </c>
      <c r="B1972" s="13">
        <v>26.23</v>
      </c>
      <c r="C1972" s="13">
        <v>24.89</v>
      </c>
      <c r="D1972" s="13">
        <v>26.21</v>
      </c>
      <c r="E1972" s="13">
        <v>20707949</v>
      </c>
      <c r="F1972" s="13" t="s">
        <v>593</v>
      </c>
      <c r="G1972" s="18">
        <f t="shared" si="37"/>
        <v>-4.9980923311713221E-2</v>
      </c>
    </row>
    <row r="1973" spans="1:7">
      <c r="A1973" s="13">
        <v>26.15</v>
      </c>
      <c r="B1973" s="13">
        <v>26.36</v>
      </c>
      <c r="C1973" s="13">
        <v>25.73</v>
      </c>
      <c r="D1973" s="13">
        <v>26.21</v>
      </c>
      <c r="E1973" s="13">
        <v>16183181</v>
      </c>
      <c r="F1973" s="13" t="s">
        <v>592</v>
      </c>
      <c r="G1973" s="18">
        <f t="shared" si="37"/>
        <v>-2.2892025944296623E-3</v>
      </c>
    </row>
    <row r="1974" spans="1:7">
      <c r="A1974" s="13">
        <v>26.28</v>
      </c>
      <c r="B1974" s="13">
        <v>26.39</v>
      </c>
      <c r="C1974" s="13">
        <v>25.75</v>
      </c>
      <c r="D1974" s="13">
        <v>26.24</v>
      </c>
      <c r="E1974" s="13">
        <v>18722438</v>
      </c>
      <c r="F1974" s="13" t="s">
        <v>591</v>
      </c>
      <c r="G1974" s="18">
        <f t="shared" si="37"/>
        <v>1.5243902439026069E-3</v>
      </c>
    </row>
    <row r="1975" spans="1:7">
      <c r="A1975" s="13">
        <v>25.95</v>
      </c>
      <c r="B1975" s="13">
        <v>27.11</v>
      </c>
      <c r="C1975" s="13">
        <v>25.645</v>
      </c>
      <c r="D1975" s="13">
        <v>26.7</v>
      </c>
      <c r="E1975" s="13">
        <v>25930380</v>
      </c>
      <c r="F1975" s="13" t="s">
        <v>590</v>
      </c>
      <c r="G1975" s="18">
        <f t="shared" si="37"/>
        <v>-2.8089887640449396E-2</v>
      </c>
    </row>
    <row r="1976" spans="1:7">
      <c r="A1976" s="13">
        <v>26.39</v>
      </c>
      <c r="B1976" s="13">
        <v>28.552499999999998</v>
      </c>
      <c r="C1976" s="13">
        <v>26.29</v>
      </c>
      <c r="D1976" s="13">
        <v>28.42</v>
      </c>
      <c r="E1976" s="13">
        <v>34262589</v>
      </c>
      <c r="F1976" s="13" t="s">
        <v>589</v>
      </c>
      <c r="G1976" s="18">
        <f t="shared" si="37"/>
        <v>-7.1428571428571508E-2</v>
      </c>
    </row>
    <row r="1977" spans="1:7">
      <c r="A1977" s="13">
        <v>28.51</v>
      </c>
      <c r="B1977" s="13">
        <v>28.69</v>
      </c>
      <c r="C1977" s="13">
        <v>28.45</v>
      </c>
      <c r="D1977" s="13">
        <v>28.69</v>
      </c>
      <c r="E1977" s="13">
        <v>3255106</v>
      </c>
      <c r="F1977" s="13" t="s">
        <v>588</v>
      </c>
      <c r="G1977" s="18">
        <f t="shared" si="37"/>
        <v>-6.2739630533287238E-3</v>
      </c>
    </row>
    <row r="1978" spans="1:7">
      <c r="A1978" s="13">
        <v>28.66</v>
      </c>
      <c r="B1978" s="13">
        <v>28.68</v>
      </c>
      <c r="C1978" s="13">
        <v>28.47</v>
      </c>
      <c r="D1978" s="13">
        <v>28.51</v>
      </c>
      <c r="E1978" s="13">
        <v>1236835</v>
      </c>
      <c r="F1978" s="13" t="s">
        <v>587</v>
      </c>
      <c r="G1978" s="18">
        <f t="shared" si="37"/>
        <v>5.2613118204138942E-3</v>
      </c>
    </row>
    <row r="1979" spans="1:7">
      <c r="A1979" s="13">
        <v>28.47</v>
      </c>
      <c r="B1979" s="13">
        <v>28.81</v>
      </c>
      <c r="C1979" s="13">
        <v>28.46</v>
      </c>
      <c r="D1979" s="13">
        <v>28.77</v>
      </c>
      <c r="E1979" s="13">
        <v>5265186</v>
      </c>
      <c r="F1979" s="13" t="s">
        <v>586</v>
      </c>
      <c r="G1979" s="18">
        <f t="shared" si="37"/>
        <v>-1.0427528675703845E-2</v>
      </c>
    </row>
    <row r="1980" spans="1:7">
      <c r="A1980" s="13">
        <v>28.8</v>
      </c>
      <c r="B1980" s="13">
        <v>28.88</v>
      </c>
      <c r="C1980" s="13">
        <v>28.4</v>
      </c>
      <c r="D1980" s="13">
        <v>28.46</v>
      </c>
      <c r="E1980" s="13">
        <v>5998650</v>
      </c>
      <c r="F1980" s="13" t="s">
        <v>585</v>
      </c>
      <c r="G1980" s="18">
        <f t="shared" si="37"/>
        <v>1.1946591707659771E-2</v>
      </c>
    </row>
    <row r="1981" spans="1:7">
      <c r="A1981" s="13">
        <v>28.35</v>
      </c>
      <c r="B1981" s="13">
        <v>28.37</v>
      </c>
      <c r="C1981" s="13">
        <v>28.175000000000001</v>
      </c>
      <c r="D1981" s="13">
        <v>28.28</v>
      </c>
      <c r="E1981" s="13">
        <v>3410638</v>
      </c>
      <c r="F1981" s="13" t="s">
        <v>584</v>
      </c>
      <c r="G1981" s="18">
        <f t="shared" si="37"/>
        <v>2.4752475247524774E-3</v>
      </c>
    </row>
    <row r="1982" spans="1:7">
      <c r="A1982" s="13">
        <v>28.26</v>
      </c>
      <c r="B1982" s="13">
        <v>28.37</v>
      </c>
      <c r="C1982" s="13">
        <v>28.14</v>
      </c>
      <c r="D1982" s="13">
        <v>28.2</v>
      </c>
      <c r="E1982" s="13">
        <v>5264063</v>
      </c>
      <c r="F1982" s="13" t="s">
        <v>583</v>
      </c>
      <c r="G1982" s="18">
        <f t="shared" si="37"/>
        <v>2.1276595744681437E-3</v>
      </c>
    </row>
    <row r="1983" spans="1:7">
      <c r="A1983" s="13">
        <v>28.28</v>
      </c>
      <c r="B1983" s="13">
        <v>28.49</v>
      </c>
      <c r="C1983" s="13">
        <v>28.05</v>
      </c>
      <c r="D1983" s="13">
        <v>28.1</v>
      </c>
      <c r="E1983" s="13">
        <v>3846385</v>
      </c>
      <c r="F1983" s="13" t="s">
        <v>582</v>
      </c>
      <c r="G1983" s="18">
        <f t="shared" si="37"/>
        <v>6.4056939501779819E-3</v>
      </c>
    </row>
    <row r="1984" spans="1:7">
      <c r="A1984" s="13">
        <v>28.01</v>
      </c>
      <c r="B1984" s="13">
        <v>28.26</v>
      </c>
      <c r="C1984" s="13">
        <v>26.76</v>
      </c>
      <c r="D1984" s="13">
        <v>28.26</v>
      </c>
      <c r="E1984" s="13">
        <v>5377481</v>
      </c>
      <c r="F1984" s="13" t="s">
        <v>581</v>
      </c>
      <c r="G1984" s="18">
        <f t="shared" si="37"/>
        <v>-8.8464260438783082E-3</v>
      </c>
    </row>
    <row r="1985" spans="1:7">
      <c r="A1985" s="13">
        <v>28.32</v>
      </c>
      <c r="B1985" s="13">
        <v>28.5</v>
      </c>
      <c r="C1985" s="13">
        <v>28.23</v>
      </c>
      <c r="D1985" s="13">
        <v>28.43</v>
      </c>
      <c r="E1985" s="13">
        <v>6892846</v>
      </c>
      <c r="F1985" s="13" t="s">
        <v>580</v>
      </c>
      <c r="G1985" s="18">
        <f t="shared" si="37"/>
        <v>-3.8691523039042774E-3</v>
      </c>
    </row>
    <row r="1986" spans="1:7">
      <c r="A1986" s="13">
        <v>28.45</v>
      </c>
      <c r="B1986" s="13">
        <v>28.61</v>
      </c>
      <c r="C1986" s="13">
        <v>28.19</v>
      </c>
      <c r="D1986" s="13">
        <v>28.28</v>
      </c>
      <c r="E1986" s="13">
        <v>4722382</v>
      </c>
      <c r="F1986" s="13" t="s">
        <v>579</v>
      </c>
      <c r="G1986" s="18">
        <f t="shared" si="37"/>
        <v>6.0113154172558581E-3</v>
      </c>
    </row>
    <row r="1987" spans="1:7">
      <c r="A1987" s="13">
        <v>28.36</v>
      </c>
      <c r="B1987" s="13">
        <v>28.55</v>
      </c>
      <c r="C1987" s="13">
        <v>27.97</v>
      </c>
      <c r="D1987" s="13">
        <v>28.5</v>
      </c>
      <c r="E1987" s="13">
        <v>6526094</v>
      </c>
      <c r="F1987" s="13" t="s">
        <v>578</v>
      </c>
      <c r="G1987" s="18">
        <f t="shared" si="37"/>
        <v>-4.9122807017544234E-3</v>
      </c>
    </row>
    <row r="1988" spans="1:7">
      <c r="A1988" s="13">
        <v>28.59</v>
      </c>
      <c r="B1988" s="13">
        <v>28.61</v>
      </c>
      <c r="C1988" s="13">
        <v>27.92</v>
      </c>
      <c r="D1988" s="13">
        <v>27.96</v>
      </c>
      <c r="E1988" s="13">
        <v>9620206</v>
      </c>
      <c r="F1988" s="13" t="s">
        <v>577</v>
      </c>
      <c r="G1988" s="18">
        <f t="shared" si="37"/>
        <v>2.2532188841201783E-2</v>
      </c>
    </row>
    <row r="1989" spans="1:7">
      <c r="A1989" s="13">
        <v>28.1</v>
      </c>
      <c r="B1989" s="13">
        <v>28.13</v>
      </c>
      <c r="C1989" s="13">
        <v>27.64</v>
      </c>
      <c r="D1989" s="13">
        <v>27.82</v>
      </c>
      <c r="E1989" s="13">
        <v>7645584</v>
      </c>
      <c r="F1989" s="13" t="s">
        <v>576</v>
      </c>
      <c r="G1989" s="18">
        <f t="shared" si="37"/>
        <v>1.0064701653486718E-2</v>
      </c>
    </row>
    <row r="1990" spans="1:7">
      <c r="A1990" s="13">
        <v>27.96</v>
      </c>
      <c r="B1990" s="13">
        <v>27.98</v>
      </c>
      <c r="C1990" s="13">
        <v>27.74</v>
      </c>
      <c r="D1990" s="13">
        <v>27.93</v>
      </c>
      <c r="E1990" s="13">
        <v>4884141</v>
      </c>
      <c r="F1990" s="13" t="s">
        <v>575</v>
      </c>
      <c r="G1990" s="18">
        <f t="shared" si="37"/>
        <v>1.0741138560688146E-3</v>
      </c>
    </row>
    <row r="1991" spans="1:7">
      <c r="A1991" s="13">
        <v>27.81</v>
      </c>
      <c r="B1991" s="13">
        <v>27.9</v>
      </c>
      <c r="C1991" s="13">
        <v>27.6</v>
      </c>
      <c r="D1991" s="13">
        <v>27.85</v>
      </c>
      <c r="E1991" s="13">
        <v>7662024</v>
      </c>
      <c r="F1991" s="13" t="s">
        <v>574</v>
      </c>
      <c r="G1991" s="18">
        <f t="shared" si="37"/>
        <v>-1.4362657091563369E-3</v>
      </c>
    </row>
    <row r="1992" spans="1:7">
      <c r="A1992" s="13">
        <v>27.86</v>
      </c>
      <c r="B1992" s="13">
        <v>27.92</v>
      </c>
      <c r="C1992" s="13">
        <v>27.38</v>
      </c>
      <c r="D1992" s="13">
        <v>27.49</v>
      </c>
      <c r="E1992" s="13">
        <v>7182897</v>
      </c>
      <c r="F1992" s="13" t="s">
        <v>573</v>
      </c>
      <c r="G1992" s="18">
        <f t="shared" si="37"/>
        <v>1.3459439796289496E-2</v>
      </c>
    </row>
    <row r="1993" spans="1:7">
      <c r="A1993" s="13">
        <v>27.44</v>
      </c>
      <c r="B1993" s="13">
        <v>28.015000000000001</v>
      </c>
      <c r="C1993" s="13">
        <v>27.22</v>
      </c>
      <c r="D1993" s="13">
        <v>27.89</v>
      </c>
      <c r="E1993" s="13">
        <v>13217229</v>
      </c>
      <c r="F1993" s="13" t="s">
        <v>572</v>
      </c>
      <c r="G1993" s="18">
        <f t="shared" si="37"/>
        <v>-1.613481534600214E-2</v>
      </c>
    </row>
    <row r="1994" spans="1:7">
      <c r="A1994" s="13">
        <v>27.85</v>
      </c>
      <c r="B1994" s="13">
        <v>28.27</v>
      </c>
      <c r="C1994" s="13">
        <v>27.77</v>
      </c>
      <c r="D1994" s="13">
        <v>28.23</v>
      </c>
      <c r="E1994" s="13">
        <v>6185259</v>
      </c>
      <c r="F1994" s="13" t="s">
        <v>571</v>
      </c>
      <c r="G1994" s="18">
        <f t="shared" si="37"/>
        <v>-1.3460857244066537E-2</v>
      </c>
    </row>
    <row r="1995" spans="1:7">
      <c r="A1995" s="13">
        <v>28.14</v>
      </c>
      <c r="B1995" s="13">
        <v>28.27</v>
      </c>
      <c r="C1995" s="13">
        <v>27.82</v>
      </c>
      <c r="D1995" s="13">
        <v>28.16</v>
      </c>
      <c r="E1995" s="13">
        <v>8527816</v>
      </c>
      <c r="F1995" s="13" t="s">
        <v>570</v>
      </c>
      <c r="G1995" s="18">
        <f t="shared" si="37"/>
        <v>-7.1022727272729291E-4</v>
      </c>
    </row>
    <row r="1996" spans="1:7">
      <c r="A1996" s="13">
        <v>28.16</v>
      </c>
      <c r="B1996" s="13">
        <v>28.5</v>
      </c>
      <c r="C1996" s="13">
        <v>28.12</v>
      </c>
      <c r="D1996" s="13">
        <v>28.4</v>
      </c>
      <c r="E1996" s="13">
        <v>6885770</v>
      </c>
      <c r="F1996" s="13" t="s">
        <v>569</v>
      </c>
      <c r="G1996" s="18">
        <f t="shared" si="37"/>
        <v>-8.4507042253521014E-3</v>
      </c>
    </row>
    <row r="1997" spans="1:7">
      <c r="A1997" s="13">
        <v>28.5</v>
      </c>
      <c r="B1997" s="13">
        <v>29.09</v>
      </c>
      <c r="C1997" s="13">
        <v>28.25</v>
      </c>
      <c r="D1997" s="13">
        <v>28.93</v>
      </c>
      <c r="E1997" s="13">
        <v>10274637</v>
      </c>
      <c r="F1997" s="13" t="s">
        <v>568</v>
      </c>
      <c r="G1997" s="18">
        <f t="shared" si="37"/>
        <v>-1.4863463532664989E-2</v>
      </c>
    </row>
    <row r="1998" spans="1:7">
      <c r="A1998" s="13">
        <v>28.82</v>
      </c>
      <c r="B1998" s="13">
        <v>29.31</v>
      </c>
      <c r="C1998" s="13">
        <v>28.37</v>
      </c>
      <c r="D1998" s="13">
        <v>28.44</v>
      </c>
      <c r="E1998" s="13">
        <v>12223783</v>
      </c>
      <c r="F1998" s="13" t="s">
        <v>567</v>
      </c>
      <c r="G1998" s="18">
        <f t="shared" si="37"/>
        <v>1.336146272855121E-2</v>
      </c>
    </row>
    <row r="1999" spans="1:7">
      <c r="A1999" s="13">
        <v>29.61</v>
      </c>
      <c r="B1999" s="13">
        <v>29.82</v>
      </c>
      <c r="C1999" s="13">
        <v>29.47</v>
      </c>
      <c r="D1999" s="13">
        <v>29.75</v>
      </c>
      <c r="E1999" s="13">
        <v>7756919</v>
      </c>
      <c r="F1999" s="13" t="s">
        <v>566</v>
      </c>
      <c r="G1999" s="18">
        <f t="shared" si="37"/>
        <v>-4.7058823529412264E-3</v>
      </c>
    </row>
    <row r="2000" spans="1:7">
      <c r="A2000" s="13">
        <v>29.8</v>
      </c>
      <c r="B2000" s="13">
        <v>29.84</v>
      </c>
      <c r="C2000" s="13">
        <v>29.58</v>
      </c>
      <c r="D2000" s="13">
        <v>29.83</v>
      </c>
      <c r="E2000" s="13">
        <v>4468808</v>
      </c>
      <c r="F2000" s="13" t="s">
        <v>565</v>
      </c>
      <c r="G2000" s="18">
        <f t="shared" si="37"/>
        <v>-1.0056989607776234E-3</v>
      </c>
    </row>
    <row r="2001" spans="1:7">
      <c r="A2001" s="13">
        <v>29.61</v>
      </c>
      <c r="B2001" s="13">
        <v>29.93</v>
      </c>
      <c r="C2001" s="13">
        <v>29.51</v>
      </c>
      <c r="D2001" s="13">
        <v>29.64</v>
      </c>
      <c r="E2001" s="13">
        <v>4495603</v>
      </c>
      <c r="F2001" s="13" t="s">
        <v>564</v>
      </c>
      <c r="G2001" s="18">
        <f t="shared" si="37"/>
        <v>-1.0121457489878916E-3</v>
      </c>
    </row>
    <row r="2002" spans="1:7">
      <c r="A2002" s="13">
        <v>29.69</v>
      </c>
      <c r="B2002" s="13">
        <v>29.83</v>
      </c>
      <c r="C2002" s="13">
        <v>29.53</v>
      </c>
      <c r="D2002" s="13">
        <v>29.63</v>
      </c>
      <c r="E2002" s="13">
        <v>4708025</v>
      </c>
      <c r="F2002" s="13" t="s">
        <v>563</v>
      </c>
      <c r="G2002" s="18">
        <f t="shared" si="37"/>
        <v>2.0249746878164832E-3</v>
      </c>
    </row>
    <row r="2003" spans="1:7">
      <c r="A2003" s="13">
        <v>29.57</v>
      </c>
      <c r="B2003" s="13">
        <v>29.6</v>
      </c>
      <c r="C2003" s="13">
        <v>29.36</v>
      </c>
      <c r="D2003" s="13">
        <v>29.52</v>
      </c>
      <c r="E2003" s="13">
        <v>2590834</v>
      </c>
      <c r="F2003" s="13" t="s">
        <v>562</v>
      </c>
      <c r="G2003" s="18">
        <f t="shared" si="37"/>
        <v>1.6937669376693165E-3</v>
      </c>
    </row>
    <row r="2004" spans="1:7">
      <c r="A2004" s="13">
        <v>29.52</v>
      </c>
      <c r="B2004" s="13">
        <v>29.55</v>
      </c>
      <c r="C2004" s="13">
        <v>29.3</v>
      </c>
      <c r="D2004" s="13">
        <v>29.5</v>
      </c>
      <c r="E2004" s="13">
        <v>5313739</v>
      </c>
      <c r="F2004" s="13" t="s">
        <v>561</v>
      </c>
      <c r="G2004" s="18">
        <f t="shared" si="37"/>
        <v>6.7796610169490457E-4</v>
      </c>
    </row>
    <row r="2005" spans="1:7">
      <c r="A2005" s="13">
        <v>29.4</v>
      </c>
      <c r="B2005" s="13">
        <v>29.43</v>
      </c>
      <c r="C2005" s="13">
        <v>29.08</v>
      </c>
      <c r="D2005" s="13">
        <v>29.19</v>
      </c>
      <c r="E2005" s="13">
        <v>4725951</v>
      </c>
      <c r="F2005" s="13" t="s">
        <v>560</v>
      </c>
      <c r="G2005" s="18">
        <f t="shared" si="37"/>
        <v>7.194244604316502E-3</v>
      </c>
    </row>
    <row r="2006" spans="1:7">
      <c r="A2006" s="13">
        <v>29.16</v>
      </c>
      <c r="B2006" s="13">
        <v>29.5</v>
      </c>
      <c r="C2006" s="13">
        <v>29.09</v>
      </c>
      <c r="D2006" s="13">
        <v>29.42</v>
      </c>
      <c r="E2006" s="13">
        <v>4441535</v>
      </c>
      <c r="F2006" s="13" t="s">
        <v>559</v>
      </c>
      <c r="G2006" s="18">
        <f t="shared" si="37"/>
        <v>-8.8375254928620972E-3</v>
      </c>
    </row>
    <row r="2007" spans="1:7">
      <c r="A2007" s="13">
        <v>29.44</v>
      </c>
      <c r="B2007" s="13">
        <v>29.484999999999999</v>
      </c>
      <c r="C2007" s="13">
        <v>29.33</v>
      </c>
      <c r="D2007" s="13">
        <v>29.46</v>
      </c>
      <c r="E2007" s="13">
        <v>3383917</v>
      </c>
      <c r="F2007" s="13" t="s">
        <v>558</v>
      </c>
      <c r="G2007" s="18">
        <f t="shared" si="37"/>
        <v>-6.7888662593340587E-4</v>
      </c>
    </row>
    <row r="2008" spans="1:7">
      <c r="A2008" s="13">
        <v>29.43</v>
      </c>
      <c r="B2008" s="13">
        <v>29.43</v>
      </c>
      <c r="C2008" s="13">
        <v>29.114999999999998</v>
      </c>
      <c r="D2008" s="13">
        <v>29.26</v>
      </c>
      <c r="E2008" s="13">
        <v>3575741</v>
      </c>
      <c r="F2008" s="13" t="s">
        <v>557</v>
      </c>
      <c r="G2008" s="18">
        <f t="shared" si="37"/>
        <v>5.8099794941899319E-3</v>
      </c>
    </row>
    <row r="2009" spans="1:7">
      <c r="A2009" s="13">
        <v>29.27</v>
      </c>
      <c r="B2009" s="13">
        <v>29.38</v>
      </c>
      <c r="C2009" s="13">
        <v>29.14</v>
      </c>
      <c r="D2009" s="13">
        <v>29.29</v>
      </c>
      <c r="E2009" s="13">
        <v>2664677</v>
      </c>
      <c r="F2009" s="13" t="s">
        <v>556</v>
      </c>
      <c r="G2009" s="18">
        <f t="shared" si="37"/>
        <v>-6.8282690337995167E-4</v>
      </c>
    </row>
    <row r="2010" spans="1:7">
      <c r="A2010" s="13">
        <v>29.34</v>
      </c>
      <c r="B2010" s="13">
        <v>29.46</v>
      </c>
      <c r="C2010" s="13">
        <v>29.265000000000001</v>
      </c>
      <c r="D2010" s="13">
        <v>29.33</v>
      </c>
      <c r="E2010" s="13">
        <v>3214764</v>
      </c>
      <c r="F2010" s="13" t="s">
        <v>555</v>
      </c>
      <c r="G2010" s="18">
        <f t="shared" si="37"/>
        <v>3.4094783498139769E-4</v>
      </c>
    </row>
    <row r="2011" spans="1:7">
      <c r="A2011" s="13">
        <v>29.33</v>
      </c>
      <c r="B2011" s="13">
        <v>29.54</v>
      </c>
      <c r="C2011" s="13">
        <v>29.27</v>
      </c>
      <c r="D2011" s="13">
        <v>29.41</v>
      </c>
      <c r="E2011" s="13">
        <v>4343509</v>
      </c>
      <c r="F2011" s="13" t="s">
        <v>554</v>
      </c>
      <c r="G2011" s="18">
        <f t="shared" si="37"/>
        <v>-2.7201632097926254E-3</v>
      </c>
    </row>
    <row r="2012" spans="1:7">
      <c r="A2012" s="13">
        <v>29.5</v>
      </c>
      <c r="B2012" s="13">
        <v>29.54</v>
      </c>
      <c r="C2012" s="13">
        <v>29.36</v>
      </c>
      <c r="D2012" s="13">
        <v>29.43</v>
      </c>
      <c r="E2012" s="13">
        <v>4980172</v>
      </c>
      <c r="F2012" s="13" t="s">
        <v>553</v>
      </c>
      <c r="G2012" s="18">
        <f t="shared" si="37"/>
        <v>2.3785253143051577E-3</v>
      </c>
    </row>
    <row r="2013" spans="1:7">
      <c r="A2013" s="13">
        <v>29.43</v>
      </c>
      <c r="B2013" s="13">
        <v>29.45</v>
      </c>
      <c r="C2013" s="13">
        <v>29.15</v>
      </c>
      <c r="D2013" s="13">
        <v>29.27</v>
      </c>
      <c r="E2013" s="13">
        <v>3702266</v>
      </c>
      <c r="F2013" s="13" t="s">
        <v>552</v>
      </c>
      <c r="G2013" s="18">
        <f t="shared" si="37"/>
        <v>5.4663477963785567E-3</v>
      </c>
    </row>
    <row r="2014" spans="1:7">
      <c r="A2014" s="13">
        <v>29.24</v>
      </c>
      <c r="B2014" s="13">
        <v>29.33</v>
      </c>
      <c r="C2014" s="13">
        <v>29.06</v>
      </c>
      <c r="D2014" s="13">
        <v>29.08</v>
      </c>
      <c r="E2014" s="13">
        <v>3681518</v>
      </c>
      <c r="F2014" s="13" t="s">
        <v>551</v>
      </c>
      <c r="G2014" s="18">
        <f t="shared" si="37"/>
        <v>5.5020632737277086E-3</v>
      </c>
    </row>
    <row r="2015" spans="1:7">
      <c r="A2015" s="13">
        <v>29.02</v>
      </c>
      <c r="B2015" s="13">
        <v>29.5</v>
      </c>
      <c r="C2015" s="13">
        <v>28.93</v>
      </c>
      <c r="D2015" s="13">
        <v>29.43</v>
      </c>
      <c r="E2015" s="13">
        <v>3934154</v>
      </c>
      <c r="F2015" s="13" t="s">
        <v>550</v>
      </c>
      <c r="G2015" s="18">
        <f t="shared" si="37"/>
        <v>-1.3931362555215765E-2</v>
      </c>
    </row>
    <row r="2016" spans="1:7">
      <c r="A2016" s="13">
        <v>29.47</v>
      </c>
      <c r="B2016" s="13">
        <v>29.47</v>
      </c>
      <c r="C2016" s="13">
        <v>29.09</v>
      </c>
      <c r="D2016" s="13">
        <v>29.21</v>
      </c>
      <c r="E2016" s="13">
        <v>5908798</v>
      </c>
      <c r="F2016" s="13" t="s">
        <v>549</v>
      </c>
      <c r="G2016" s="18">
        <f t="shared" si="37"/>
        <v>8.9010612803832601E-3</v>
      </c>
    </row>
    <row r="2017" spans="1:7">
      <c r="A2017" s="13">
        <v>29.17</v>
      </c>
      <c r="B2017" s="13">
        <v>29.18</v>
      </c>
      <c r="C2017" s="13">
        <v>28.64</v>
      </c>
      <c r="D2017" s="13">
        <v>28.74</v>
      </c>
      <c r="E2017" s="13">
        <v>4984014</v>
      </c>
      <c r="F2017" s="13" t="s">
        <v>548</v>
      </c>
      <c r="G2017" s="18">
        <f t="shared" si="37"/>
        <v>1.4961725817675742E-2</v>
      </c>
    </row>
    <row r="2018" spans="1:7">
      <c r="A2018" s="13">
        <v>28.74</v>
      </c>
      <c r="B2018" s="13">
        <v>29</v>
      </c>
      <c r="C2018" s="13">
        <v>28.74</v>
      </c>
      <c r="D2018" s="13">
        <v>28.86</v>
      </c>
      <c r="E2018" s="13">
        <v>3713019</v>
      </c>
      <c r="F2018" s="13" t="s">
        <v>547</v>
      </c>
      <c r="G2018" s="18">
        <f t="shared" si="37"/>
        <v>-4.1580041580041582E-3</v>
      </c>
    </row>
    <row r="2019" spans="1:7">
      <c r="A2019" s="13">
        <v>28.86</v>
      </c>
      <c r="B2019" s="13">
        <v>28.94</v>
      </c>
      <c r="C2019" s="13">
        <v>28.68</v>
      </c>
      <c r="D2019" s="13">
        <v>28.72</v>
      </c>
      <c r="E2019" s="13">
        <v>4173818</v>
      </c>
      <c r="F2019" s="13" t="s">
        <v>546</v>
      </c>
      <c r="G2019" s="18">
        <f t="shared" si="37"/>
        <v>4.8746518105848846E-3</v>
      </c>
    </row>
    <row r="2020" spans="1:7">
      <c r="A2020" s="13">
        <v>28.68</v>
      </c>
      <c r="B2020" s="13">
        <v>28.895</v>
      </c>
      <c r="C2020" s="13">
        <v>28.65</v>
      </c>
      <c r="D2020" s="13">
        <v>28.8</v>
      </c>
      <c r="E2020" s="13">
        <v>3104299</v>
      </c>
      <c r="F2020" s="13" t="s">
        <v>545</v>
      </c>
      <c r="G2020" s="18">
        <f t="shared" si="37"/>
        <v>-4.1666666666666519E-3</v>
      </c>
    </row>
    <row r="2021" spans="1:7">
      <c r="A2021" s="13">
        <v>28.75</v>
      </c>
      <c r="B2021" s="13">
        <v>29.04</v>
      </c>
      <c r="C2021" s="13">
        <v>28.59</v>
      </c>
      <c r="D2021" s="13">
        <v>28.86</v>
      </c>
      <c r="E2021" s="13">
        <v>4361872</v>
      </c>
      <c r="F2021" s="13" t="s">
        <v>544</v>
      </c>
      <c r="G2021" s="18">
        <f t="shared" si="37"/>
        <v>-3.811503811503747E-3</v>
      </c>
    </row>
    <row r="2022" spans="1:7">
      <c r="A2022" s="13">
        <v>28.85</v>
      </c>
      <c r="B2022" s="13">
        <v>28.87</v>
      </c>
      <c r="C2022" s="13">
        <v>28.51</v>
      </c>
      <c r="D2022" s="13">
        <v>28.71</v>
      </c>
      <c r="E2022" s="13">
        <v>3131553</v>
      </c>
      <c r="F2022" s="13" t="s">
        <v>543</v>
      </c>
      <c r="G2022" s="18">
        <f t="shared" si="37"/>
        <v>4.8763497039359116E-3</v>
      </c>
    </row>
    <row r="2023" spans="1:7">
      <c r="A2023" s="13">
        <v>28.76</v>
      </c>
      <c r="B2023" s="13">
        <v>28.89</v>
      </c>
      <c r="C2023" s="13">
        <v>28.51</v>
      </c>
      <c r="D2023" s="13">
        <v>28.76</v>
      </c>
      <c r="E2023" s="13">
        <v>5167520</v>
      </c>
      <c r="F2023" s="13" t="s">
        <v>542</v>
      </c>
      <c r="G2023" s="18">
        <f t="shared" si="37"/>
        <v>0</v>
      </c>
    </row>
    <row r="2024" spans="1:7">
      <c r="A2024" s="13">
        <v>28.84</v>
      </c>
      <c r="B2024" s="13">
        <v>28.85</v>
      </c>
      <c r="C2024" s="13">
        <v>28.58</v>
      </c>
      <c r="D2024" s="13">
        <v>28.68</v>
      </c>
      <c r="E2024" s="13">
        <v>3959948</v>
      </c>
      <c r="F2024" s="13" t="s">
        <v>541</v>
      </c>
      <c r="G2024" s="18">
        <f t="shared" si="37"/>
        <v>5.5788005578800703E-3</v>
      </c>
    </row>
    <row r="2025" spans="1:7">
      <c r="A2025" s="13">
        <v>28.69</v>
      </c>
      <c r="B2025" s="13">
        <v>29.1</v>
      </c>
      <c r="C2025" s="13">
        <v>28.614999999999998</v>
      </c>
      <c r="D2025" s="13">
        <v>29.04</v>
      </c>
      <c r="E2025" s="13">
        <v>3247846</v>
      </c>
      <c r="F2025" s="13" t="s">
        <v>540</v>
      </c>
      <c r="G2025" s="18">
        <f t="shared" si="37"/>
        <v>-1.2052341597796112E-2</v>
      </c>
    </row>
    <row r="2026" spans="1:7">
      <c r="A2026" s="13">
        <v>28.99</v>
      </c>
      <c r="B2026" s="13">
        <v>29.06</v>
      </c>
      <c r="C2026" s="13">
        <v>28.81</v>
      </c>
      <c r="D2026" s="13">
        <v>28.99</v>
      </c>
      <c r="E2026" s="13">
        <v>5067330</v>
      </c>
      <c r="F2026" s="13" t="s">
        <v>539</v>
      </c>
      <c r="G2026" s="18">
        <f t="shared" si="37"/>
        <v>0</v>
      </c>
    </row>
    <row r="2027" spans="1:7">
      <c r="A2027" s="13">
        <v>28.93</v>
      </c>
      <c r="B2027" s="13">
        <v>29.03</v>
      </c>
      <c r="C2027" s="13">
        <v>28.85</v>
      </c>
      <c r="D2027" s="13">
        <v>29</v>
      </c>
      <c r="E2027" s="13">
        <v>7680402</v>
      </c>
      <c r="F2027" s="13" t="s">
        <v>538</v>
      </c>
      <c r="G2027" s="18">
        <f t="shared" si="37"/>
        <v>-2.4137931034482474E-3</v>
      </c>
    </row>
    <row r="2028" spans="1:7">
      <c r="A2028" s="13">
        <v>28.97</v>
      </c>
      <c r="B2028" s="13">
        <v>29.08</v>
      </c>
      <c r="C2028" s="13">
        <v>28.79</v>
      </c>
      <c r="D2028" s="13">
        <v>29</v>
      </c>
      <c r="E2028" s="13">
        <v>4785017</v>
      </c>
      <c r="F2028" s="13" t="s">
        <v>537</v>
      </c>
      <c r="G2028" s="18">
        <f t="shared" si="37"/>
        <v>-1.034482758620725E-3</v>
      </c>
    </row>
    <row r="2029" spans="1:7">
      <c r="A2029" s="13">
        <v>29.08</v>
      </c>
      <c r="B2029" s="13">
        <v>29.12</v>
      </c>
      <c r="C2029" s="13">
        <v>28.885000000000002</v>
      </c>
      <c r="D2029" s="13">
        <v>29.05</v>
      </c>
      <c r="E2029" s="13">
        <v>5966605</v>
      </c>
      <c r="F2029" s="13" t="s">
        <v>536</v>
      </c>
      <c r="G2029" s="18">
        <f t="shared" si="37"/>
        <v>1.0327022375213879E-3</v>
      </c>
    </row>
    <row r="2030" spans="1:7">
      <c r="A2030" s="13">
        <v>29.01</v>
      </c>
      <c r="B2030" s="13">
        <v>29.12</v>
      </c>
      <c r="C2030" s="13">
        <v>28.84</v>
      </c>
      <c r="D2030" s="13">
        <v>28.97</v>
      </c>
      <c r="E2030" s="13">
        <v>4497906</v>
      </c>
      <c r="F2030" s="13" t="s">
        <v>535</v>
      </c>
      <c r="G2030" s="18">
        <f t="shared" si="37"/>
        <v>1.3807386952020551E-3</v>
      </c>
    </row>
    <row r="2031" spans="1:7">
      <c r="A2031" s="13">
        <v>28.95</v>
      </c>
      <c r="B2031" s="13">
        <v>29.4</v>
      </c>
      <c r="C2031" s="13">
        <v>28.895</v>
      </c>
      <c r="D2031" s="13">
        <v>29.05</v>
      </c>
      <c r="E2031" s="13">
        <v>5695829</v>
      </c>
      <c r="F2031" s="13" t="s">
        <v>534</v>
      </c>
      <c r="G2031" s="18">
        <f t="shared" si="37"/>
        <v>-3.4423407917384408E-3</v>
      </c>
    </row>
    <row r="2032" spans="1:7">
      <c r="A2032" s="13">
        <v>28.79</v>
      </c>
      <c r="B2032" s="13">
        <v>29.08</v>
      </c>
      <c r="C2032" s="13">
        <v>28.44</v>
      </c>
      <c r="D2032" s="13">
        <v>28.5</v>
      </c>
      <c r="E2032" s="13">
        <v>5336185</v>
      </c>
      <c r="F2032" s="13" t="s">
        <v>533</v>
      </c>
      <c r="G2032" s="18">
        <f t="shared" si="37"/>
        <v>1.0175438596491171E-2</v>
      </c>
    </row>
    <row r="2033" spans="1:7">
      <c r="A2033" s="13">
        <v>28.54</v>
      </c>
      <c r="B2033" s="13">
        <v>28.79</v>
      </c>
      <c r="C2033" s="13">
        <v>28.09</v>
      </c>
      <c r="D2033" s="13">
        <v>28.26</v>
      </c>
      <c r="E2033" s="13">
        <v>5791431</v>
      </c>
      <c r="F2033" s="13" t="s">
        <v>532</v>
      </c>
      <c r="G2033" s="18">
        <f t="shared" si="37"/>
        <v>9.9079971691435897E-3</v>
      </c>
    </row>
    <row r="2034" spans="1:7">
      <c r="A2034" s="13">
        <v>28.22</v>
      </c>
      <c r="B2034" s="13">
        <v>28.23</v>
      </c>
      <c r="C2034" s="13">
        <v>27.605</v>
      </c>
      <c r="D2034" s="13">
        <v>27.63</v>
      </c>
      <c r="E2034" s="13">
        <v>5904610</v>
      </c>
      <c r="F2034" s="13" t="s">
        <v>531</v>
      </c>
      <c r="G2034" s="18">
        <f t="shared" ref="G2034:G2097" si="38">A2034/D2034-1</f>
        <v>2.1353601158161428E-2</v>
      </c>
    </row>
    <row r="2035" spans="1:7">
      <c r="A2035" s="13">
        <v>27.57</v>
      </c>
      <c r="B2035" s="13">
        <v>27.64</v>
      </c>
      <c r="C2035" s="13">
        <v>27.31</v>
      </c>
      <c r="D2035" s="13">
        <v>27.35</v>
      </c>
      <c r="E2035" s="13">
        <v>4770123</v>
      </c>
      <c r="F2035" s="13" t="s">
        <v>530</v>
      </c>
      <c r="G2035" s="18">
        <f t="shared" si="38"/>
        <v>8.0438756855576443E-3</v>
      </c>
    </row>
    <row r="2036" spans="1:7">
      <c r="A2036" s="13">
        <v>27.5</v>
      </c>
      <c r="B2036" s="13">
        <v>27.63</v>
      </c>
      <c r="C2036" s="13">
        <v>27.33</v>
      </c>
      <c r="D2036" s="13">
        <v>27.55</v>
      </c>
      <c r="E2036" s="13">
        <v>4527823</v>
      </c>
      <c r="F2036" s="13" t="s">
        <v>529</v>
      </c>
      <c r="G2036" s="18">
        <f t="shared" si="38"/>
        <v>-1.8148820326678861E-3</v>
      </c>
    </row>
    <row r="2037" spans="1:7">
      <c r="A2037" s="13">
        <v>27.55</v>
      </c>
      <c r="B2037" s="13">
        <v>27.605</v>
      </c>
      <c r="C2037" s="13">
        <v>27.12</v>
      </c>
      <c r="D2037" s="13">
        <v>27.18</v>
      </c>
      <c r="E2037" s="13">
        <v>6984100</v>
      </c>
      <c r="F2037" s="13" t="s">
        <v>528</v>
      </c>
      <c r="G2037" s="18">
        <f t="shared" si="38"/>
        <v>1.3612950699043447E-2</v>
      </c>
    </row>
    <row r="2038" spans="1:7">
      <c r="A2038" s="13">
        <v>27.08</v>
      </c>
      <c r="B2038" s="13">
        <v>27.14</v>
      </c>
      <c r="C2038" s="13">
        <v>26.934999999999999</v>
      </c>
      <c r="D2038" s="13">
        <v>26.94</v>
      </c>
      <c r="E2038" s="13">
        <v>2767233</v>
      </c>
      <c r="F2038" s="13" t="s">
        <v>527</v>
      </c>
      <c r="G2038" s="18">
        <f t="shared" si="38"/>
        <v>5.1967334818112665E-3</v>
      </c>
    </row>
    <row r="2039" spans="1:7">
      <c r="A2039" s="13">
        <v>27.05</v>
      </c>
      <c r="B2039" s="13">
        <v>27.074999999999999</v>
      </c>
      <c r="C2039" s="13">
        <v>26.83</v>
      </c>
      <c r="D2039" s="13">
        <v>26.88</v>
      </c>
      <c r="E2039" s="13">
        <v>3163075</v>
      </c>
      <c r="F2039" s="13" t="s">
        <v>526</v>
      </c>
      <c r="G2039" s="18">
        <f t="shared" si="38"/>
        <v>6.3244047619048782E-3</v>
      </c>
    </row>
    <row r="2040" spans="1:7">
      <c r="A2040" s="13">
        <v>26.97</v>
      </c>
      <c r="B2040" s="13">
        <v>27.02</v>
      </c>
      <c r="C2040" s="13">
        <v>26.734999999999999</v>
      </c>
      <c r="D2040" s="13">
        <v>26.8</v>
      </c>
      <c r="E2040" s="13">
        <v>3326571</v>
      </c>
      <c r="F2040" s="13" t="s">
        <v>525</v>
      </c>
      <c r="G2040" s="18">
        <f t="shared" si="38"/>
        <v>6.3432835820895761E-3</v>
      </c>
    </row>
    <row r="2041" spans="1:7">
      <c r="A2041" s="13">
        <v>26.72</v>
      </c>
      <c r="B2041" s="13">
        <v>26.92</v>
      </c>
      <c r="C2041" s="13">
        <v>26.71</v>
      </c>
      <c r="D2041" s="13">
        <v>26.79</v>
      </c>
      <c r="E2041" s="13">
        <v>3666381</v>
      </c>
      <c r="F2041" s="13" t="s">
        <v>524</v>
      </c>
      <c r="G2041" s="18">
        <f t="shared" si="38"/>
        <v>-2.6129152668906697E-3</v>
      </c>
    </row>
    <row r="2042" spans="1:7">
      <c r="A2042" s="13">
        <v>26.71</v>
      </c>
      <c r="B2042" s="13">
        <v>26.905000000000001</v>
      </c>
      <c r="C2042" s="13">
        <v>26.66</v>
      </c>
      <c r="D2042" s="13">
        <v>26.84</v>
      </c>
      <c r="E2042" s="13">
        <v>3998300</v>
      </c>
      <c r="F2042" s="13" t="s">
        <v>523</v>
      </c>
      <c r="G2042" s="18">
        <f t="shared" si="38"/>
        <v>-4.8435171385990961E-3</v>
      </c>
    </row>
    <row r="2043" spans="1:7">
      <c r="A2043" s="13">
        <v>26.84</v>
      </c>
      <c r="B2043" s="13">
        <v>27.17</v>
      </c>
      <c r="C2043" s="13">
        <v>26.71</v>
      </c>
      <c r="D2043" s="13">
        <v>27.06</v>
      </c>
      <c r="E2043" s="13">
        <v>3838696</v>
      </c>
      <c r="F2043" s="13" t="s">
        <v>522</v>
      </c>
      <c r="G2043" s="18">
        <f t="shared" si="38"/>
        <v>-8.1300813008129413E-3</v>
      </c>
    </row>
    <row r="2044" spans="1:7">
      <c r="A2044" s="13">
        <v>27.21</v>
      </c>
      <c r="B2044" s="13">
        <v>27.234999999999999</v>
      </c>
      <c r="C2044" s="13">
        <v>26.7</v>
      </c>
      <c r="D2044" s="13">
        <v>26.85</v>
      </c>
      <c r="E2044" s="13">
        <v>4223925</v>
      </c>
      <c r="F2044" s="13" t="s">
        <v>521</v>
      </c>
      <c r="G2044" s="18">
        <f t="shared" si="38"/>
        <v>1.3407821229050265E-2</v>
      </c>
    </row>
    <row r="2045" spans="1:7">
      <c r="A2045" s="13">
        <v>26.89</v>
      </c>
      <c r="B2045" s="13">
        <v>27</v>
      </c>
      <c r="C2045" s="13">
        <v>26.754999999999999</v>
      </c>
      <c r="D2045" s="13">
        <v>26.91</v>
      </c>
      <c r="E2045" s="13">
        <v>4395652</v>
      </c>
      <c r="F2045" s="13" t="s">
        <v>520</v>
      </c>
      <c r="G2045" s="18">
        <f t="shared" si="38"/>
        <v>-7.4321813452249419E-4</v>
      </c>
    </row>
    <row r="2046" spans="1:7">
      <c r="A2046" s="13">
        <v>26.89</v>
      </c>
      <c r="B2046" s="13">
        <v>26.98</v>
      </c>
      <c r="C2046" s="13">
        <v>26.53</v>
      </c>
      <c r="D2046" s="13">
        <v>26.62</v>
      </c>
      <c r="E2046" s="13">
        <v>5850175</v>
      </c>
      <c r="F2046" s="13" t="s">
        <v>519</v>
      </c>
      <c r="G2046" s="18">
        <f t="shared" si="38"/>
        <v>1.0142749812171337E-2</v>
      </c>
    </row>
    <row r="2047" spans="1:7">
      <c r="A2047" s="13">
        <v>26.64</v>
      </c>
      <c r="B2047" s="13">
        <v>26.87</v>
      </c>
      <c r="C2047" s="13">
        <v>26.6</v>
      </c>
      <c r="D2047" s="13">
        <v>26.69</v>
      </c>
      <c r="E2047" s="13">
        <v>5933926</v>
      </c>
      <c r="F2047" s="13" t="s">
        <v>518</v>
      </c>
      <c r="G2047" s="18">
        <f t="shared" si="38"/>
        <v>-1.8733608092919019E-3</v>
      </c>
    </row>
    <row r="2048" spans="1:7">
      <c r="A2048" s="13">
        <v>26.68</v>
      </c>
      <c r="B2048" s="13">
        <v>26.68</v>
      </c>
      <c r="C2048" s="13">
        <v>26.45</v>
      </c>
      <c r="D2048" s="13">
        <v>26.56</v>
      </c>
      <c r="E2048" s="13">
        <v>5930127</v>
      </c>
      <c r="F2048" s="13" t="s">
        <v>517</v>
      </c>
      <c r="G2048" s="18">
        <f t="shared" si="38"/>
        <v>4.5180722891566827E-3</v>
      </c>
    </row>
    <row r="2049" spans="1:7">
      <c r="A2049" s="13">
        <v>26.47</v>
      </c>
      <c r="B2049" s="13">
        <v>26.7</v>
      </c>
      <c r="C2049" s="13">
        <v>26.46</v>
      </c>
      <c r="D2049" s="13">
        <v>26.66</v>
      </c>
      <c r="E2049" s="13">
        <v>5490216</v>
      </c>
      <c r="F2049" s="13" t="s">
        <v>516</v>
      </c>
      <c r="G2049" s="18">
        <f t="shared" si="38"/>
        <v>-7.1267816954239116E-3</v>
      </c>
    </row>
    <row r="2050" spans="1:7">
      <c r="A2050" s="13">
        <v>26.68</v>
      </c>
      <c r="B2050" s="13">
        <v>26.734999999999999</v>
      </c>
      <c r="C2050" s="13">
        <v>26.55</v>
      </c>
      <c r="D2050" s="13">
        <v>26.65</v>
      </c>
      <c r="E2050" s="13">
        <v>3835639</v>
      </c>
      <c r="F2050" s="13" t="s">
        <v>515</v>
      </c>
      <c r="G2050" s="18">
        <f t="shared" si="38"/>
        <v>1.1257035647280755E-3</v>
      </c>
    </row>
    <row r="2051" spans="1:7">
      <c r="A2051" s="13">
        <v>26.41</v>
      </c>
      <c r="B2051" s="13">
        <v>26.5046</v>
      </c>
      <c r="C2051" s="13">
        <v>26.26</v>
      </c>
      <c r="D2051" s="13">
        <v>26.39</v>
      </c>
      <c r="E2051" s="13">
        <v>3285998</v>
      </c>
      <c r="F2051" s="13" t="s">
        <v>514</v>
      </c>
      <c r="G2051" s="18">
        <f t="shared" si="38"/>
        <v>7.5786282682832606E-4</v>
      </c>
    </row>
    <row r="2052" spans="1:7">
      <c r="A2052" s="13">
        <v>26.26</v>
      </c>
      <c r="B2052" s="13">
        <v>26.574400000000001</v>
      </c>
      <c r="C2052" s="13">
        <v>26.225000000000001</v>
      </c>
      <c r="D2052" s="13">
        <v>26.49</v>
      </c>
      <c r="E2052" s="13">
        <v>5854333</v>
      </c>
      <c r="F2052" s="13" t="s">
        <v>513</v>
      </c>
      <c r="G2052" s="18">
        <f t="shared" si="38"/>
        <v>-8.6825217063041249E-3</v>
      </c>
    </row>
    <row r="2053" spans="1:7">
      <c r="A2053" s="13">
        <v>26.57</v>
      </c>
      <c r="B2053" s="13">
        <v>26.57</v>
      </c>
      <c r="C2053" s="13">
        <v>26.31</v>
      </c>
      <c r="D2053" s="13">
        <v>26.36</v>
      </c>
      <c r="E2053" s="13">
        <v>3405143</v>
      </c>
      <c r="F2053" s="13" t="s">
        <v>512</v>
      </c>
      <c r="G2053" s="18">
        <f t="shared" si="38"/>
        <v>7.9666160849771739E-3</v>
      </c>
    </row>
    <row r="2054" spans="1:7">
      <c r="A2054" s="13">
        <v>26.51</v>
      </c>
      <c r="B2054" s="13">
        <v>26.76</v>
      </c>
      <c r="C2054" s="13">
        <v>26.5</v>
      </c>
      <c r="D2054" s="13">
        <v>26.76</v>
      </c>
      <c r="E2054" s="13">
        <v>4581358</v>
      </c>
      <c r="F2054" s="13" t="s">
        <v>511</v>
      </c>
      <c r="G2054" s="18">
        <f t="shared" si="38"/>
        <v>-9.3423019431988497E-3</v>
      </c>
    </row>
    <row r="2055" spans="1:7">
      <c r="A2055" s="13">
        <v>26.76</v>
      </c>
      <c r="B2055" s="13">
        <v>26.8</v>
      </c>
      <c r="C2055" s="13">
        <v>26.65</v>
      </c>
      <c r="D2055" s="13">
        <v>26.8</v>
      </c>
      <c r="E2055" s="13">
        <v>3415622</v>
      </c>
      <c r="F2055" s="13" t="s">
        <v>510</v>
      </c>
      <c r="G2055" s="18">
        <f t="shared" si="38"/>
        <v>-1.4925373134327957E-3</v>
      </c>
    </row>
    <row r="2056" spans="1:7">
      <c r="A2056" s="13">
        <v>26.83</v>
      </c>
      <c r="B2056" s="13">
        <v>26.83</v>
      </c>
      <c r="C2056" s="13">
        <v>26.56</v>
      </c>
      <c r="D2056" s="13">
        <v>26.82</v>
      </c>
      <c r="E2056" s="13">
        <v>3568109</v>
      </c>
      <c r="F2056" s="13" t="s">
        <v>509</v>
      </c>
      <c r="G2056" s="18">
        <f t="shared" si="38"/>
        <v>3.7285607755399575E-4</v>
      </c>
    </row>
    <row r="2057" spans="1:7">
      <c r="A2057" s="13">
        <v>26.74</v>
      </c>
      <c r="B2057" s="13">
        <v>26.79</v>
      </c>
      <c r="C2057" s="13">
        <v>26.4</v>
      </c>
      <c r="D2057" s="13">
        <v>26.48</v>
      </c>
      <c r="E2057" s="13">
        <v>5046593</v>
      </c>
      <c r="F2057" s="13" t="s">
        <v>508</v>
      </c>
      <c r="G2057" s="18">
        <f t="shared" si="38"/>
        <v>9.8187311178246084E-3</v>
      </c>
    </row>
    <row r="2058" spans="1:7">
      <c r="A2058" s="13">
        <v>26.51</v>
      </c>
      <c r="B2058" s="13">
        <v>26.54</v>
      </c>
      <c r="C2058" s="13">
        <v>26.24</v>
      </c>
      <c r="D2058" s="13">
        <v>26.45</v>
      </c>
      <c r="E2058" s="13">
        <v>6325273</v>
      </c>
      <c r="F2058" s="13" t="s">
        <v>507</v>
      </c>
      <c r="G2058" s="18">
        <f t="shared" si="38"/>
        <v>2.2684310018903364E-3</v>
      </c>
    </row>
    <row r="2059" spans="1:7">
      <c r="A2059" s="13">
        <v>26.48</v>
      </c>
      <c r="B2059" s="13">
        <v>26.8</v>
      </c>
      <c r="C2059" s="13">
        <v>26.48</v>
      </c>
      <c r="D2059" s="13">
        <v>26.8</v>
      </c>
      <c r="E2059" s="13">
        <v>5613994</v>
      </c>
      <c r="F2059" s="13" t="s">
        <v>506</v>
      </c>
      <c r="G2059" s="18">
        <f t="shared" si="38"/>
        <v>-1.1940298507462699E-2</v>
      </c>
    </row>
    <row r="2060" spans="1:7">
      <c r="A2060" s="13">
        <v>26.62</v>
      </c>
      <c r="B2060" s="13">
        <v>27.15</v>
      </c>
      <c r="C2060" s="13">
        <v>26.5</v>
      </c>
      <c r="D2060" s="13">
        <v>27.11</v>
      </c>
      <c r="E2060" s="13">
        <v>7377357</v>
      </c>
      <c r="F2060" s="13" t="s">
        <v>505</v>
      </c>
      <c r="G2060" s="18">
        <f t="shared" si="38"/>
        <v>-1.8074511250461001E-2</v>
      </c>
    </row>
    <row r="2061" spans="1:7">
      <c r="A2061" s="13">
        <v>27.01</v>
      </c>
      <c r="B2061" s="13">
        <v>27.17</v>
      </c>
      <c r="C2061" s="13">
        <v>26.9</v>
      </c>
      <c r="D2061" s="13">
        <v>27.08</v>
      </c>
      <c r="E2061" s="13">
        <v>5172041</v>
      </c>
      <c r="F2061" s="13" t="s">
        <v>504</v>
      </c>
      <c r="G2061" s="18">
        <f t="shared" si="38"/>
        <v>-2.5849335302805532E-3</v>
      </c>
    </row>
    <row r="2062" spans="1:7">
      <c r="A2062" s="13">
        <v>27.05</v>
      </c>
      <c r="B2062" s="13">
        <v>27.504999999999999</v>
      </c>
      <c r="C2062" s="13">
        <v>26.68</v>
      </c>
      <c r="D2062" s="13">
        <v>27.24</v>
      </c>
      <c r="E2062" s="13">
        <v>13914634</v>
      </c>
      <c r="F2062" s="13" t="s">
        <v>503</v>
      </c>
      <c r="G2062" s="18">
        <f t="shared" si="38"/>
        <v>-6.9750367107194178E-3</v>
      </c>
    </row>
    <row r="2063" spans="1:7">
      <c r="A2063" s="13">
        <v>27.42</v>
      </c>
      <c r="B2063" s="13">
        <v>27.62</v>
      </c>
      <c r="C2063" s="13">
        <v>27.35</v>
      </c>
      <c r="D2063" s="13">
        <v>27.53</v>
      </c>
      <c r="E2063" s="13">
        <v>4554391</v>
      </c>
      <c r="F2063" s="13" t="s">
        <v>502</v>
      </c>
      <c r="G2063" s="18">
        <f t="shared" si="38"/>
        <v>-3.9956411187794805E-3</v>
      </c>
    </row>
    <row r="2064" spans="1:7">
      <c r="A2064" s="13">
        <v>27.58</v>
      </c>
      <c r="B2064" s="13">
        <v>27.81</v>
      </c>
      <c r="C2064" s="13">
        <v>27.51</v>
      </c>
      <c r="D2064" s="13">
        <v>27.72</v>
      </c>
      <c r="E2064" s="13">
        <v>4478813</v>
      </c>
      <c r="F2064" s="13" t="s">
        <v>501</v>
      </c>
      <c r="G2064" s="18">
        <f t="shared" si="38"/>
        <v>-5.050505050505083E-3</v>
      </c>
    </row>
    <row r="2065" spans="1:7">
      <c r="A2065" s="13">
        <v>27.62</v>
      </c>
      <c r="B2065" s="13">
        <v>27.7</v>
      </c>
      <c r="C2065" s="13">
        <v>27.44</v>
      </c>
      <c r="D2065" s="13">
        <v>27.62</v>
      </c>
      <c r="E2065" s="13">
        <v>5310518</v>
      </c>
      <c r="F2065" s="13" t="s">
        <v>500</v>
      </c>
      <c r="G2065" s="18">
        <f t="shared" si="38"/>
        <v>0</v>
      </c>
    </row>
    <row r="2066" spans="1:7">
      <c r="A2066" s="13">
        <v>27.62</v>
      </c>
      <c r="B2066" s="13">
        <v>27.85</v>
      </c>
      <c r="C2066" s="13">
        <v>27.54</v>
      </c>
      <c r="D2066" s="13">
        <v>27.62</v>
      </c>
      <c r="E2066" s="13">
        <v>4648524</v>
      </c>
      <c r="F2066" s="13" t="s">
        <v>499</v>
      </c>
      <c r="G2066" s="18">
        <f t="shared" si="38"/>
        <v>0</v>
      </c>
    </row>
    <row r="2067" spans="1:7">
      <c r="A2067" s="13">
        <v>27.73</v>
      </c>
      <c r="B2067" s="13">
        <v>28.06</v>
      </c>
      <c r="C2067" s="13">
        <v>27.73</v>
      </c>
      <c r="D2067" s="13">
        <v>27.94</v>
      </c>
      <c r="E2067" s="13">
        <v>6199767</v>
      </c>
      <c r="F2067" s="13" t="s">
        <v>498</v>
      </c>
      <c r="G2067" s="18">
        <f t="shared" si="38"/>
        <v>-7.5161059413028086E-3</v>
      </c>
    </row>
    <row r="2068" spans="1:7">
      <c r="A2068" s="13">
        <v>27.93</v>
      </c>
      <c r="B2068" s="13">
        <v>27.96</v>
      </c>
      <c r="C2068" s="13">
        <v>27.79</v>
      </c>
      <c r="D2068" s="13">
        <v>27.84</v>
      </c>
      <c r="E2068" s="13">
        <v>3121036</v>
      </c>
      <c r="F2068" s="13" t="s">
        <v>497</v>
      </c>
      <c r="G2068" s="18">
        <f t="shared" si="38"/>
        <v>3.2327586206897241E-3</v>
      </c>
    </row>
    <row r="2069" spans="1:7">
      <c r="A2069" s="13">
        <v>27.79</v>
      </c>
      <c r="B2069" s="13">
        <v>27.84</v>
      </c>
      <c r="C2069" s="13">
        <v>27.57</v>
      </c>
      <c r="D2069" s="13">
        <v>27.71</v>
      </c>
      <c r="E2069" s="13">
        <v>3248990</v>
      </c>
      <c r="F2069" s="13" t="s">
        <v>496</v>
      </c>
      <c r="G2069" s="18">
        <f t="shared" si="38"/>
        <v>2.887044388307336E-3</v>
      </c>
    </row>
    <row r="2070" spans="1:7">
      <c r="A2070" s="13">
        <v>27.69</v>
      </c>
      <c r="B2070" s="13">
        <v>27.86</v>
      </c>
      <c r="C2070" s="13">
        <v>27.5</v>
      </c>
      <c r="D2070" s="13">
        <v>27.77</v>
      </c>
      <c r="E2070" s="13">
        <v>4078836</v>
      </c>
      <c r="F2070" s="13" t="s">
        <v>495</v>
      </c>
      <c r="G2070" s="18">
        <f t="shared" si="38"/>
        <v>-2.8808066258552145E-3</v>
      </c>
    </row>
    <row r="2071" spans="1:7">
      <c r="A2071" s="13">
        <v>27.78</v>
      </c>
      <c r="B2071" s="13">
        <v>27.86</v>
      </c>
      <c r="C2071" s="13">
        <v>27.63</v>
      </c>
      <c r="D2071" s="13">
        <v>27.67</v>
      </c>
      <c r="E2071" s="13">
        <v>3449959</v>
      </c>
      <c r="F2071" s="13" t="s">
        <v>494</v>
      </c>
      <c r="G2071" s="18">
        <f t="shared" si="38"/>
        <v>3.9754246476328969E-3</v>
      </c>
    </row>
    <row r="2072" spans="1:7">
      <c r="A2072" s="13">
        <v>27.59</v>
      </c>
      <c r="B2072" s="13">
        <v>27.82</v>
      </c>
      <c r="C2072" s="13">
        <v>27.565000000000001</v>
      </c>
      <c r="D2072" s="13">
        <v>27.82</v>
      </c>
      <c r="E2072" s="13">
        <v>4206554</v>
      </c>
      <c r="F2072" s="13" t="s">
        <v>493</v>
      </c>
      <c r="G2072" s="18">
        <f t="shared" si="38"/>
        <v>-8.2674335010783917E-3</v>
      </c>
    </row>
    <row r="2073" spans="1:7">
      <c r="A2073" s="13">
        <v>27.82</v>
      </c>
      <c r="B2073" s="13">
        <v>27.93</v>
      </c>
      <c r="C2073" s="13">
        <v>27.53</v>
      </c>
      <c r="D2073" s="13">
        <v>27.68</v>
      </c>
      <c r="E2073" s="13">
        <v>3573738</v>
      </c>
      <c r="F2073" s="13" t="s">
        <v>492</v>
      </c>
      <c r="G2073" s="18">
        <f t="shared" si="38"/>
        <v>5.0578034682080553E-3</v>
      </c>
    </row>
    <row r="2074" spans="1:7">
      <c r="A2074" s="13">
        <v>27.53</v>
      </c>
      <c r="B2074" s="13">
        <v>27.59</v>
      </c>
      <c r="C2074" s="13">
        <v>27.27</v>
      </c>
      <c r="D2074" s="13">
        <v>27.54</v>
      </c>
      <c r="E2074" s="13">
        <v>6114740</v>
      </c>
      <c r="F2074" s="13" t="s">
        <v>491</v>
      </c>
      <c r="G2074" s="18">
        <f t="shared" si="38"/>
        <v>-3.6310820624541051E-4</v>
      </c>
    </row>
    <row r="2075" spans="1:7">
      <c r="A2075" s="13">
        <v>27.56</v>
      </c>
      <c r="B2075" s="13">
        <v>27.65</v>
      </c>
      <c r="C2075" s="13">
        <v>27.44</v>
      </c>
      <c r="D2075" s="13">
        <v>27.56</v>
      </c>
      <c r="E2075" s="13">
        <v>4123715</v>
      </c>
      <c r="F2075" s="13" t="s">
        <v>490</v>
      </c>
      <c r="G2075" s="18">
        <f t="shared" si="38"/>
        <v>0</v>
      </c>
    </row>
    <row r="2076" spans="1:7">
      <c r="A2076" s="13">
        <v>27.59</v>
      </c>
      <c r="B2076" s="13">
        <v>27.62</v>
      </c>
      <c r="C2076" s="13">
        <v>27.4</v>
      </c>
      <c r="D2076" s="13">
        <v>27.44</v>
      </c>
      <c r="E2076" s="13">
        <v>4103261</v>
      </c>
      <c r="F2076" s="13" t="s">
        <v>489</v>
      </c>
      <c r="G2076" s="18">
        <f t="shared" si="38"/>
        <v>5.4664723032069595E-3</v>
      </c>
    </row>
    <row r="2077" spans="1:7">
      <c r="A2077" s="13">
        <v>27.31</v>
      </c>
      <c r="B2077" s="13">
        <v>27.56</v>
      </c>
      <c r="C2077" s="13">
        <v>27.26</v>
      </c>
      <c r="D2077" s="13">
        <v>27.44</v>
      </c>
      <c r="E2077" s="13">
        <v>5296538</v>
      </c>
      <c r="F2077" s="13" t="s">
        <v>488</v>
      </c>
      <c r="G2077" s="18">
        <f t="shared" si="38"/>
        <v>-4.737609329446113E-3</v>
      </c>
    </row>
    <row r="2078" spans="1:7">
      <c r="A2078" s="13">
        <v>27.63</v>
      </c>
      <c r="B2078" s="13">
        <v>27.73</v>
      </c>
      <c r="C2078" s="13">
        <v>27.46</v>
      </c>
      <c r="D2078" s="13">
        <v>27.57</v>
      </c>
      <c r="E2078" s="13">
        <v>7685475</v>
      </c>
      <c r="F2078" s="13" t="s">
        <v>487</v>
      </c>
      <c r="G2078" s="18">
        <f t="shared" si="38"/>
        <v>2.1762785636560977E-3</v>
      </c>
    </row>
    <row r="2079" spans="1:7">
      <c r="A2079" s="13">
        <v>27.63</v>
      </c>
      <c r="B2079" s="13">
        <v>27.97</v>
      </c>
      <c r="C2079" s="13">
        <v>27.58</v>
      </c>
      <c r="D2079" s="13">
        <v>27.85</v>
      </c>
      <c r="E2079" s="13">
        <v>2402803</v>
      </c>
      <c r="F2079" s="13" t="s">
        <v>486</v>
      </c>
      <c r="G2079" s="18">
        <f t="shared" si="38"/>
        <v>-7.8994614003591312E-3</v>
      </c>
    </row>
    <row r="2080" spans="1:7">
      <c r="A2080" s="13">
        <v>27.72</v>
      </c>
      <c r="B2080" s="13">
        <v>28.11</v>
      </c>
      <c r="C2080" s="13">
        <v>27.635000000000002</v>
      </c>
      <c r="D2080" s="13">
        <v>27.9</v>
      </c>
      <c r="E2080" s="13">
        <v>5193651</v>
      </c>
      <c r="F2080" s="13" t="s">
        <v>485</v>
      </c>
      <c r="G2080" s="18">
        <f t="shared" si="38"/>
        <v>-6.4516129032258229E-3</v>
      </c>
    </row>
    <row r="2081" spans="1:7">
      <c r="A2081" s="13">
        <v>27.82</v>
      </c>
      <c r="B2081" s="13">
        <v>28.11</v>
      </c>
      <c r="C2081" s="13">
        <v>27.47</v>
      </c>
      <c r="D2081" s="13">
        <v>28.11</v>
      </c>
      <c r="E2081" s="13">
        <v>7478145</v>
      </c>
      <c r="F2081" s="13" t="s">
        <v>484</v>
      </c>
      <c r="G2081" s="18">
        <f t="shared" si="38"/>
        <v>-1.0316613304873656E-2</v>
      </c>
    </row>
    <row r="2082" spans="1:7">
      <c r="A2082" s="13">
        <v>28.12</v>
      </c>
      <c r="B2082" s="13">
        <v>28.34</v>
      </c>
      <c r="C2082" s="13">
        <v>27.945</v>
      </c>
      <c r="D2082" s="13">
        <v>28</v>
      </c>
      <c r="E2082" s="13">
        <v>20242342</v>
      </c>
      <c r="F2082" s="13" t="s">
        <v>483</v>
      </c>
      <c r="G2082" s="18">
        <f t="shared" si="38"/>
        <v>4.2857142857142261E-3</v>
      </c>
    </row>
    <row r="2083" spans="1:7">
      <c r="A2083" s="13">
        <v>27.81</v>
      </c>
      <c r="B2083" s="13">
        <v>28.16</v>
      </c>
      <c r="C2083" s="13">
        <v>27.61</v>
      </c>
      <c r="D2083" s="13">
        <v>27.78</v>
      </c>
      <c r="E2083" s="13">
        <v>10896719</v>
      </c>
      <c r="F2083" s="13" t="s">
        <v>482</v>
      </c>
      <c r="G2083" s="18">
        <f t="shared" si="38"/>
        <v>1.0799136069112869E-3</v>
      </c>
    </row>
    <row r="2084" spans="1:7">
      <c r="A2084" s="13">
        <v>27.72</v>
      </c>
      <c r="B2084" s="13">
        <v>28.26</v>
      </c>
      <c r="C2084" s="13">
        <v>27.68</v>
      </c>
      <c r="D2084" s="13">
        <v>28.16</v>
      </c>
      <c r="E2084" s="13">
        <v>8288702</v>
      </c>
      <c r="F2084" s="13" t="s">
        <v>481</v>
      </c>
      <c r="G2084" s="18">
        <f t="shared" si="38"/>
        <v>-1.5625E-2</v>
      </c>
    </row>
    <row r="2085" spans="1:7">
      <c r="A2085" s="13">
        <v>28.1</v>
      </c>
      <c r="B2085" s="13">
        <v>28.12</v>
      </c>
      <c r="C2085" s="13">
        <v>27.71</v>
      </c>
      <c r="D2085" s="13">
        <v>27.92</v>
      </c>
      <c r="E2085" s="13">
        <v>8175158</v>
      </c>
      <c r="F2085" s="13" t="s">
        <v>480</v>
      </c>
      <c r="G2085" s="18">
        <f t="shared" si="38"/>
        <v>6.4469914040115039E-3</v>
      </c>
    </row>
    <row r="2086" spans="1:7">
      <c r="A2086" s="13">
        <v>27.86</v>
      </c>
      <c r="B2086" s="13">
        <v>28</v>
      </c>
      <c r="C2086" s="13">
        <v>27.74</v>
      </c>
      <c r="D2086" s="13">
        <v>27.96</v>
      </c>
      <c r="E2086" s="13">
        <v>6819306</v>
      </c>
      <c r="F2086" s="13" t="s">
        <v>479</v>
      </c>
      <c r="G2086" s="18">
        <f t="shared" si="38"/>
        <v>-3.5765379113018581E-3</v>
      </c>
    </row>
    <row r="2087" spans="1:7">
      <c r="A2087" s="13">
        <v>27.91</v>
      </c>
      <c r="B2087" s="13">
        <v>28.19</v>
      </c>
      <c r="C2087" s="13">
        <v>27.76</v>
      </c>
      <c r="D2087" s="13">
        <v>28.1</v>
      </c>
      <c r="E2087" s="13">
        <v>9109526</v>
      </c>
      <c r="F2087" s="13" t="s">
        <v>478</v>
      </c>
      <c r="G2087" s="18">
        <f t="shared" si="38"/>
        <v>-6.7615658362989439E-3</v>
      </c>
    </row>
    <row r="2088" spans="1:7">
      <c r="A2088" s="13">
        <v>28.01</v>
      </c>
      <c r="B2088" s="13">
        <v>28.41</v>
      </c>
      <c r="C2088" s="13">
        <v>27.98</v>
      </c>
      <c r="D2088" s="13">
        <v>28.26</v>
      </c>
      <c r="E2088" s="13">
        <v>4828910</v>
      </c>
      <c r="F2088" s="13" t="s">
        <v>477</v>
      </c>
      <c r="G2088" s="18">
        <f t="shared" si="38"/>
        <v>-8.8464260438783082E-3</v>
      </c>
    </row>
    <row r="2089" spans="1:7">
      <c r="A2089" s="13">
        <v>28.25</v>
      </c>
      <c r="B2089" s="13">
        <v>28.51</v>
      </c>
      <c r="C2089" s="13">
        <v>27.8</v>
      </c>
      <c r="D2089" s="13">
        <v>27.83</v>
      </c>
      <c r="E2089" s="13">
        <v>10570987</v>
      </c>
      <c r="F2089" s="13" t="s">
        <v>476</v>
      </c>
      <c r="G2089" s="18">
        <f t="shared" si="38"/>
        <v>1.5091627739849178E-2</v>
      </c>
    </row>
    <row r="2090" spans="1:7">
      <c r="A2090" s="13">
        <v>27.75</v>
      </c>
      <c r="B2090" s="13">
        <v>27.934999999999999</v>
      </c>
      <c r="C2090" s="13">
        <v>27.64</v>
      </c>
      <c r="D2090" s="13">
        <v>27.85</v>
      </c>
      <c r="E2090" s="13">
        <v>8520683</v>
      </c>
      <c r="F2090" s="13" t="s">
        <v>475</v>
      </c>
      <c r="G2090" s="18">
        <f t="shared" si="38"/>
        <v>-3.5906642728905647E-3</v>
      </c>
    </row>
    <row r="2091" spans="1:7">
      <c r="A2091" s="13">
        <v>27.75</v>
      </c>
      <c r="B2091" s="13">
        <v>27.84</v>
      </c>
      <c r="C2091" s="13">
        <v>27.57</v>
      </c>
      <c r="D2091" s="13">
        <v>27.77</v>
      </c>
      <c r="E2091" s="13">
        <v>4634895</v>
      </c>
      <c r="F2091" s="13" t="s">
        <v>474</v>
      </c>
      <c r="G2091" s="18">
        <f t="shared" si="38"/>
        <v>-7.2020165646380363E-4</v>
      </c>
    </row>
    <row r="2092" spans="1:7">
      <c r="A2092" s="13">
        <v>27.82</v>
      </c>
      <c r="B2092" s="13">
        <v>28.094999999999999</v>
      </c>
      <c r="C2092" s="13">
        <v>27.695</v>
      </c>
      <c r="D2092" s="13">
        <v>28.01</v>
      </c>
      <c r="E2092" s="13">
        <v>3727276</v>
      </c>
      <c r="F2092" s="13" t="s">
        <v>473</v>
      </c>
      <c r="G2092" s="18">
        <f t="shared" si="38"/>
        <v>-6.7832916815423472E-3</v>
      </c>
    </row>
    <row r="2093" spans="1:7">
      <c r="A2093" s="13">
        <v>27.92</v>
      </c>
      <c r="B2093" s="13">
        <v>28.02</v>
      </c>
      <c r="C2093" s="13">
        <v>27.73</v>
      </c>
      <c r="D2093" s="13">
        <v>27.8</v>
      </c>
      <c r="E2093" s="13">
        <v>5088132</v>
      </c>
      <c r="F2093" s="13" t="s">
        <v>472</v>
      </c>
      <c r="G2093" s="18">
        <f t="shared" si="38"/>
        <v>4.3165467625898568E-3</v>
      </c>
    </row>
    <row r="2094" spans="1:7">
      <c r="A2094" s="13">
        <v>27.75</v>
      </c>
      <c r="B2094" s="13">
        <v>27.82</v>
      </c>
      <c r="C2094" s="13">
        <v>27.14</v>
      </c>
      <c r="D2094" s="13">
        <v>27.75</v>
      </c>
      <c r="E2094" s="13">
        <v>8737506</v>
      </c>
      <c r="F2094" s="13" t="s">
        <v>471</v>
      </c>
      <c r="G2094" s="18">
        <f t="shared" si="38"/>
        <v>0</v>
      </c>
    </row>
    <row r="2095" spans="1:7">
      <c r="A2095" s="13">
        <v>27.82</v>
      </c>
      <c r="B2095" s="13">
        <v>28.2</v>
      </c>
      <c r="C2095" s="13">
        <v>27.69</v>
      </c>
      <c r="D2095" s="13">
        <v>27.99</v>
      </c>
      <c r="E2095" s="13">
        <v>6084180</v>
      </c>
      <c r="F2095" s="13" t="s">
        <v>470</v>
      </c>
      <c r="G2095" s="18">
        <f t="shared" si="38"/>
        <v>-6.0735977134690478E-3</v>
      </c>
    </row>
    <row r="2096" spans="1:7">
      <c r="A2096" s="13">
        <v>27.91</v>
      </c>
      <c r="B2096" s="13">
        <v>27.95</v>
      </c>
      <c r="C2096" s="13">
        <v>27.76</v>
      </c>
      <c r="D2096" s="13">
        <v>27.8</v>
      </c>
      <c r="E2096" s="13">
        <v>6655276</v>
      </c>
      <c r="F2096" s="13" t="s">
        <v>469</v>
      </c>
      <c r="G2096" s="18">
        <f t="shared" si="38"/>
        <v>3.9568345323741649E-3</v>
      </c>
    </row>
    <row r="2097" spans="1:7">
      <c r="A2097" s="13">
        <v>27.84</v>
      </c>
      <c r="B2097" s="13">
        <v>27.84</v>
      </c>
      <c r="C2097" s="13">
        <v>27.54</v>
      </c>
      <c r="D2097" s="13">
        <v>27.61</v>
      </c>
      <c r="E2097" s="13">
        <v>4455452</v>
      </c>
      <c r="F2097" s="13" t="s">
        <v>468</v>
      </c>
      <c r="G2097" s="18">
        <f t="shared" si="38"/>
        <v>8.3303151032234624E-3</v>
      </c>
    </row>
    <row r="2098" spans="1:7">
      <c r="A2098" s="13">
        <v>27.5</v>
      </c>
      <c r="B2098" s="13">
        <v>27.6</v>
      </c>
      <c r="C2098" s="13">
        <v>27.34</v>
      </c>
      <c r="D2098" s="13">
        <v>27.38</v>
      </c>
      <c r="E2098" s="13">
        <v>3772051</v>
      </c>
      <c r="F2098" s="13" t="s">
        <v>467</v>
      </c>
      <c r="G2098" s="18">
        <f t="shared" ref="G2098:G2122" si="39">A2098/D2098-1</f>
        <v>4.3827611395179655E-3</v>
      </c>
    </row>
    <row r="2099" spans="1:7">
      <c r="A2099" s="13">
        <v>27.51</v>
      </c>
      <c r="B2099" s="13">
        <v>27.7</v>
      </c>
      <c r="C2099" s="13">
        <v>27.44</v>
      </c>
      <c r="D2099" s="13">
        <v>27.58</v>
      </c>
      <c r="E2099" s="13">
        <v>4636246</v>
      </c>
      <c r="F2099" s="13" t="s">
        <v>466</v>
      </c>
      <c r="G2099" s="18">
        <f t="shared" si="39"/>
        <v>-2.5380710659896888E-3</v>
      </c>
    </row>
    <row r="2100" spans="1:7">
      <c r="A2100" s="13">
        <v>27.6</v>
      </c>
      <c r="B2100" s="13">
        <v>27.78</v>
      </c>
      <c r="C2100" s="13">
        <v>27.57</v>
      </c>
      <c r="D2100" s="13">
        <v>27.62</v>
      </c>
      <c r="E2100" s="13">
        <v>6431999</v>
      </c>
      <c r="F2100" s="13" t="s">
        <v>465</v>
      </c>
      <c r="G2100" s="18">
        <f t="shared" si="39"/>
        <v>-7.2411296162200323E-4</v>
      </c>
    </row>
    <row r="2101" spans="1:7">
      <c r="A2101" s="13">
        <v>27.61</v>
      </c>
      <c r="B2101" s="13">
        <v>27.7</v>
      </c>
      <c r="C2101" s="13">
        <v>27.1</v>
      </c>
      <c r="D2101" s="13">
        <v>27.1</v>
      </c>
      <c r="E2101" s="13">
        <v>13257678</v>
      </c>
      <c r="F2101" s="13" t="s">
        <v>464</v>
      </c>
      <c r="G2101" s="18">
        <f t="shared" si="39"/>
        <v>1.8819188191881775E-2</v>
      </c>
    </row>
    <row r="2102" spans="1:7">
      <c r="A2102" s="13">
        <v>27.03</v>
      </c>
      <c r="B2102" s="13">
        <v>27.46</v>
      </c>
      <c r="C2102" s="13">
        <v>26.89</v>
      </c>
      <c r="D2102" s="13">
        <v>27.46</v>
      </c>
      <c r="E2102" s="13">
        <v>12841440</v>
      </c>
      <c r="F2102" s="13" t="s">
        <v>463</v>
      </c>
      <c r="G2102" s="18">
        <f t="shared" si="39"/>
        <v>-1.5659140568099028E-2</v>
      </c>
    </row>
    <row r="2103" spans="1:7">
      <c r="A2103" s="13">
        <v>27.36</v>
      </c>
      <c r="B2103" s="13">
        <v>27.42</v>
      </c>
      <c r="C2103" s="13">
        <v>27.15</v>
      </c>
      <c r="D2103" s="13">
        <v>27.24</v>
      </c>
      <c r="E2103" s="13">
        <v>4097128</v>
      </c>
      <c r="F2103" s="13" t="s">
        <v>462</v>
      </c>
      <c r="G2103" s="18">
        <f t="shared" si="39"/>
        <v>4.405286343612369E-3</v>
      </c>
    </row>
    <row r="2104" spans="1:7">
      <c r="A2104" s="13">
        <v>27.32</v>
      </c>
      <c r="B2104" s="13">
        <v>27.52</v>
      </c>
      <c r="C2104" s="13">
        <v>27.19</v>
      </c>
      <c r="D2104" s="13">
        <v>27.26</v>
      </c>
      <c r="E2104" s="13">
        <v>4828013</v>
      </c>
      <c r="F2104" s="13" t="s">
        <v>461</v>
      </c>
      <c r="G2104" s="18">
        <f t="shared" si="39"/>
        <v>2.2010271460013442E-3</v>
      </c>
    </row>
    <row r="2105" spans="1:7">
      <c r="A2105" s="13">
        <v>27.26</v>
      </c>
      <c r="B2105" s="13">
        <v>27.39</v>
      </c>
      <c r="C2105" s="13">
        <v>27.035</v>
      </c>
      <c r="D2105" s="13">
        <v>27.13</v>
      </c>
      <c r="E2105" s="13">
        <v>4694753</v>
      </c>
      <c r="F2105" s="13" t="s">
        <v>460</v>
      </c>
      <c r="G2105" s="18">
        <f t="shared" si="39"/>
        <v>4.7917434574273887E-3</v>
      </c>
    </row>
    <row r="2106" spans="1:7">
      <c r="A2106" s="13">
        <v>27.05</v>
      </c>
      <c r="B2106" s="13">
        <v>27.085000000000001</v>
      </c>
      <c r="C2106" s="13">
        <v>26.69</v>
      </c>
      <c r="D2106" s="13">
        <v>26.75</v>
      </c>
      <c r="E2106" s="13">
        <v>5641192</v>
      </c>
      <c r="F2106" s="13" t="s">
        <v>459</v>
      </c>
      <c r="G2106" s="18">
        <f t="shared" si="39"/>
        <v>1.1214953271028172E-2</v>
      </c>
    </row>
    <row r="2107" spans="1:7">
      <c r="A2107" s="13">
        <v>26.67</v>
      </c>
      <c r="B2107" s="13">
        <v>26.87</v>
      </c>
      <c r="C2107" s="13">
        <v>26.605</v>
      </c>
      <c r="D2107" s="13">
        <v>26.78</v>
      </c>
      <c r="E2107" s="13">
        <v>4190900</v>
      </c>
      <c r="F2107" s="13" t="s">
        <v>458</v>
      </c>
      <c r="G2107" s="18">
        <f t="shared" si="39"/>
        <v>-4.1075429424943799E-3</v>
      </c>
    </row>
    <row r="2108" spans="1:7">
      <c r="A2108" s="13">
        <v>26.8</v>
      </c>
      <c r="B2108" s="13">
        <v>26.97</v>
      </c>
      <c r="C2108" s="13">
        <v>26.39</v>
      </c>
      <c r="D2108" s="13">
        <v>26.41</v>
      </c>
      <c r="E2108" s="13">
        <v>7684975</v>
      </c>
      <c r="F2108" s="13" t="s">
        <v>457</v>
      </c>
      <c r="G2108" s="18">
        <f t="shared" si="39"/>
        <v>1.4767133661491849E-2</v>
      </c>
    </row>
    <row r="2109" spans="1:7">
      <c r="A2109" s="13">
        <v>26.41</v>
      </c>
      <c r="B2109" s="13">
        <v>26.56</v>
      </c>
      <c r="C2109" s="13">
        <v>26.18</v>
      </c>
      <c r="D2109" s="13">
        <v>26.18</v>
      </c>
      <c r="E2109" s="13">
        <v>7924635</v>
      </c>
      <c r="F2109" s="13" t="s">
        <v>456</v>
      </c>
      <c r="G2109" s="18">
        <f t="shared" si="39"/>
        <v>8.7853323147439877E-3</v>
      </c>
    </row>
    <row r="2110" spans="1:7">
      <c r="A2110" s="13">
        <v>26.14</v>
      </c>
      <c r="B2110" s="13">
        <v>26.225000000000001</v>
      </c>
      <c r="C2110" s="13">
        <v>25.88</v>
      </c>
      <c r="D2110" s="13">
        <v>25.95</v>
      </c>
      <c r="E2110" s="13">
        <v>5673609</v>
      </c>
      <c r="F2110" s="13" t="s">
        <v>455</v>
      </c>
      <c r="G2110" s="18">
        <f t="shared" si="39"/>
        <v>7.3217726396916927E-3</v>
      </c>
    </row>
    <row r="2111" spans="1:7">
      <c r="A2111" s="13">
        <v>25.94</v>
      </c>
      <c r="B2111" s="13">
        <v>26.34</v>
      </c>
      <c r="C2111" s="13">
        <v>25.93</v>
      </c>
      <c r="D2111" s="13">
        <v>26.3</v>
      </c>
      <c r="E2111" s="13">
        <v>7727029</v>
      </c>
      <c r="F2111" s="13" t="s">
        <v>454</v>
      </c>
      <c r="G2111" s="18">
        <f t="shared" si="39"/>
        <v>-1.3688212927756682E-2</v>
      </c>
    </row>
    <row r="2112" spans="1:7">
      <c r="A2112" s="13">
        <v>26.48</v>
      </c>
      <c r="B2112" s="13">
        <v>26.76</v>
      </c>
      <c r="C2112" s="13">
        <v>26.385000000000002</v>
      </c>
      <c r="D2112" s="13">
        <v>26.45</v>
      </c>
      <c r="E2112" s="13">
        <v>10521210</v>
      </c>
      <c r="F2112" s="13" t="s">
        <v>453</v>
      </c>
      <c r="G2112" s="18">
        <f t="shared" si="39"/>
        <v>1.1342155009452792E-3</v>
      </c>
    </row>
    <row r="2113" spans="1:7">
      <c r="A2113" s="13">
        <v>26.42</v>
      </c>
      <c r="B2113" s="13">
        <v>26.46</v>
      </c>
      <c r="C2113" s="13">
        <v>26.16</v>
      </c>
      <c r="D2113" s="13">
        <v>26.23</v>
      </c>
      <c r="E2113" s="13">
        <v>8793945</v>
      </c>
      <c r="F2113" s="13" t="s">
        <v>452</v>
      </c>
      <c r="G2113" s="18">
        <f t="shared" si="39"/>
        <v>7.2436141822340705E-3</v>
      </c>
    </row>
    <row r="2114" spans="1:7">
      <c r="A2114" s="13">
        <v>26.23</v>
      </c>
      <c r="B2114" s="13">
        <v>26.49</v>
      </c>
      <c r="C2114" s="13">
        <v>26.17</v>
      </c>
      <c r="D2114" s="13">
        <v>26.34</v>
      </c>
      <c r="E2114" s="13">
        <v>6206288</v>
      </c>
      <c r="F2114" s="13" t="s">
        <v>451</v>
      </c>
      <c r="G2114" s="18">
        <f t="shared" si="39"/>
        <v>-4.1761579347000533E-3</v>
      </c>
    </row>
    <row r="2115" spans="1:7">
      <c r="A2115" s="13">
        <v>26.37</v>
      </c>
      <c r="B2115" s="13">
        <v>26.47</v>
      </c>
      <c r="C2115" s="13">
        <v>26.14</v>
      </c>
      <c r="D2115" s="13">
        <v>26.37</v>
      </c>
      <c r="E2115" s="13">
        <v>6196376</v>
      </c>
      <c r="F2115" s="13" t="s">
        <v>450</v>
      </c>
      <c r="G2115" s="18">
        <f t="shared" si="39"/>
        <v>0</v>
      </c>
    </row>
    <row r="2116" spans="1:7">
      <c r="A2116" s="13">
        <v>26.46</v>
      </c>
      <c r="B2116" s="13">
        <v>26.5</v>
      </c>
      <c r="C2116" s="13">
        <v>26.24</v>
      </c>
      <c r="D2116" s="13">
        <v>26.35</v>
      </c>
      <c r="E2116" s="13">
        <v>4490466</v>
      </c>
      <c r="F2116" s="13" t="s">
        <v>449</v>
      </c>
      <c r="G2116" s="18">
        <f t="shared" si="39"/>
        <v>4.174573055028441E-3</v>
      </c>
    </row>
    <row r="2117" spans="1:7">
      <c r="A2117" s="13">
        <v>26.38</v>
      </c>
      <c r="B2117" s="13">
        <v>26.69</v>
      </c>
      <c r="C2117" s="13">
        <v>26.27</v>
      </c>
      <c r="D2117" s="13">
        <v>26.42</v>
      </c>
      <c r="E2117" s="13">
        <v>5434978</v>
      </c>
      <c r="F2117" s="13" t="s">
        <v>448</v>
      </c>
      <c r="G2117" s="18">
        <f t="shared" si="39"/>
        <v>-1.5140045420137804E-3</v>
      </c>
    </row>
    <row r="2118" spans="1:7">
      <c r="A2118" s="13">
        <v>26.39</v>
      </c>
      <c r="B2118" s="13">
        <v>26.58</v>
      </c>
      <c r="C2118" s="13">
        <v>26.33</v>
      </c>
      <c r="D2118" s="13">
        <v>26.55</v>
      </c>
      <c r="E2118" s="13">
        <v>4093031</v>
      </c>
      <c r="F2118" s="13" t="s">
        <v>447</v>
      </c>
      <c r="G2118" s="18">
        <f t="shared" si="39"/>
        <v>-6.0263653483992874E-3</v>
      </c>
    </row>
    <row r="2119" spans="1:7">
      <c r="A2119" s="13">
        <v>26.51</v>
      </c>
      <c r="B2119" s="13">
        <v>26.53</v>
      </c>
      <c r="C2119" s="13">
        <v>26.31</v>
      </c>
      <c r="D2119" s="13">
        <v>26.45</v>
      </c>
      <c r="E2119" s="13">
        <v>3621716</v>
      </c>
      <c r="F2119" s="13" t="s">
        <v>446</v>
      </c>
      <c r="G2119" s="18">
        <f t="shared" si="39"/>
        <v>2.2684310018903364E-3</v>
      </c>
    </row>
    <row r="2120" spans="1:7">
      <c r="A2120" s="13">
        <v>26.35</v>
      </c>
      <c r="B2120" s="13">
        <v>26.545000000000002</v>
      </c>
      <c r="C2120" s="13">
        <v>26.26</v>
      </c>
      <c r="D2120" s="13">
        <v>26.52</v>
      </c>
      <c r="E2120" s="13">
        <v>4621321</v>
      </c>
      <c r="F2120" s="13" t="s">
        <v>445</v>
      </c>
      <c r="G2120" s="18">
        <f t="shared" si="39"/>
        <v>-6.4102564102563875E-3</v>
      </c>
    </row>
    <row r="2121" spans="1:7">
      <c r="A2121" s="13">
        <v>26.46</v>
      </c>
      <c r="B2121" s="13">
        <v>26.58</v>
      </c>
      <c r="C2121" s="13">
        <v>26.324999999999999</v>
      </c>
      <c r="D2121" s="13">
        <v>26.58</v>
      </c>
      <c r="E2121" s="13">
        <v>3965713</v>
      </c>
      <c r="F2121" s="13" t="s">
        <v>444</v>
      </c>
      <c r="G2121" s="18">
        <f t="shared" si="39"/>
        <v>-4.5146726862301811E-3</v>
      </c>
    </row>
    <row r="2122" spans="1:7">
      <c r="A2122" s="13">
        <v>26.59</v>
      </c>
      <c r="B2122" s="13">
        <v>26.599900000000002</v>
      </c>
      <c r="C2122" s="13">
        <v>26.38</v>
      </c>
      <c r="D2122" s="13">
        <v>26.46</v>
      </c>
      <c r="E2122" s="13">
        <v>5664889</v>
      </c>
      <c r="F2122" s="13" t="s">
        <v>443</v>
      </c>
      <c r="G2122" s="18">
        <f t="shared" si="39"/>
        <v>4.9130763416478374E-3</v>
      </c>
    </row>
    <row r="2123" spans="1:7">
      <c r="A2123" s="13">
        <v>26.4</v>
      </c>
      <c r="B2123" s="13">
        <v>26.48</v>
      </c>
      <c r="C2123" s="13">
        <v>26.3</v>
      </c>
      <c r="D2123" s="13">
        <v>26.37</v>
      </c>
      <c r="E2123" s="13">
        <v>8323174</v>
      </c>
      <c r="F2123" s="13" t="s">
        <v>442</v>
      </c>
      <c r="G2123" s="18">
        <f>A2123/D2123-1</f>
        <v>1.1376564277587597E-3</v>
      </c>
    </row>
  </sheetData>
  <sortState xmlns:xlrd2="http://schemas.microsoft.com/office/spreadsheetml/2017/richdata2" ref="I274:I374">
    <sortCondition ref="I274"/>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BBEF-436A-4847-96A7-33CA63AF1470}">
  <dimension ref="A1"/>
  <sheetViews>
    <sheetView workbookViewId="0">
      <selection sqref="A1:XFD1048576"/>
    </sheetView>
  </sheetViews>
  <sheetFormatPr defaultColWidth="9.140625" defaultRowHeight="14.25"/>
  <cols>
    <col min="1" max="1" width="3.28515625"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40DF-CF2F-4558-930D-400D9219BA62}">
  <dimension ref="A2:G60"/>
  <sheetViews>
    <sheetView topLeftCell="A12" zoomScale="85" workbookViewId="0">
      <selection activeCell="B43" sqref="B43"/>
    </sheetView>
  </sheetViews>
  <sheetFormatPr defaultColWidth="9.140625" defaultRowHeight="14.25"/>
  <cols>
    <col min="1" max="1" width="3" style="1" customWidth="1"/>
    <col min="2" max="16384" width="9.140625" style="1"/>
  </cols>
  <sheetData>
    <row r="2" spans="1:6" ht="15">
      <c r="A2" s="3" t="s">
        <v>2308</v>
      </c>
    </row>
    <row r="3" spans="1:6" ht="15">
      <c r="B3" s="3" t="s">
        <v>32</v>
      </c>
      <c r="E3" s="1" t="s">
        <v>47</v>
      </c>
    </row>
    <row r="4" spans="1:6" ht="15">
      <c r="B4" s="3"/>
      <c r="F4" s="1" t="s">
        <v>48</v>
      </c>
    </row>
    <row r="5" spans="1:6" ht="15">
      <c r="B5" s="3"/>
      <c r="E5" s="1" t="s">
        <v>49</v>
      </c>
    </row>
    <row r="6" spans="1:6" ht="15">
      <c r="B6" s="3"/>
      <c r="F6" s="1" t="s">
        <v>50</v>
      </c>
    </row>
    <row r="7" spans="1:6" ht="15">
      <c r="B7" s="3"/>
      <c r="E7" s="1" t="s">
        <v>51</v>
      </c>
    </row>
    <row r="8" spans="1:6" ht="15">
      <c r="B8" s="3"/>
      <c r="F8" s="1" t="s">
        <v>52</v>
      </c>
    </row>
    <row r="9" spans="1:6" ht="15">
      <c r="B9" s="3"/>
      <c r="E9" s="1" t="s">
        <v>53</v>
      </c>
    </row>
    <row r="10" spans="1:6" ht="15">
      <c r="B10" s="3"/>
      <c r="F10" s="1" t="s">
        <v>54</v>
      </c>
    </row>
    <row r="11" spans="1:6" ht="15">
      <c r="B11" s="3"/>
      <c r="E11" s="1" t="s">
        <v>2241</v>
      </c>
    </row>
    <row r="12" spans="1:6" ht="15">
      <c r="B12" s="3"/>
      <c r="F12" s="1" t="s">
        <v>2242</v>
      </c>
    </row>
    <row r="13" spans="1:6" ht="15">
      <c r="B13" s="3"/>
      <c r="F13" s="1" t="s">
        <v>2245</v>
      </c>
    </row>
    <row r="14" spans="1:6" ht="15">
      <c r="B14" s="3"/>
    </row>
    <row r="15" spans="1:6" ht="15">
      <c r="B15" s="3" t="s">
        <v>33</v>
      </c>
      <c r="E15" s="1" t="s">
        <v>55</v>
      </c>
    </row>
    <row r="16" spans="1:6" ht="15">
      <c r="B16" s="3"/>
      <c r="F16" s="1" t="s">
        <v>56</v>
      </c>
    </row>
    <row r="17" spans="2:7" ht="15">
      <c r="B17" s="3"/>
      <c r="E17" s="1" t="s">
        <v>57</v>
      </c>
    </row>
    <row r="18" spans="2:7" ht="15">
      <c r="B18" s="3"/>
      <c r="F18" s="1" t="s">
        <v>58</v>
      </c>
    </row>
    <row r="19" spans="2:7" ht="15">
      <c r="B19" s="3"/>
      <c r="E19" s="1" t="s">
        <v>59</v>
      </c>
    </row>
    <row r="20" spans="2:7" ht="15">
      <c r="B20" s="3"/>
      <c r="F20" s="1" t="s">
        <v>60</v>
      </c>
    </row>
    <row r="21" spans="2:7" ht="15">
      <c r="B21" s="3"/>
      <c r="E21" s="1" t="s">
        <v>61</v>
      </c>
    </row>
    <row r="22" spans="2:7" ht="15">
      <c r="B22" s="3"/>
      <c r="F22" s="1" t="s">
        <v>2256</v>
      </c>
    </row>
    <row r="23" spans="2:7" ht="15">
      <c r="B23" s="3"/>
      <c r="E23" s="1" t="s">
        <v>62</v>
      </c>
    </row>
    <row r="24" spans="2:7" ht="15">
      <c r="B24" s="3"/>
      <c r="F24" s="1" t="s">
        <v>2255</v>
      </c>
    </row>
    <row r="25" spans="2:7" ht="15">
      <c r="B25" s="3"/>
      <c r="G25" s="3" t="s">
        <v>2243</v>
      </c>
    </row>
    <row r="26" spans="2:7" ht="15">
      <c r="B26" s="3"/>
      <c r="G26" s="1" t="s">
        <v>63</v>
      </c>
    </row>
    <row r="27" spans="2:7" ht="15">
      <c r="B27" s="3"/>
      <c r="E27" s="1" t="s">
        <v>64</v>
      </c>
    </row>
    <row r="28" spans="2:7" ht="15">
      <c r="B28" s="3"/>
      <c r="F28" s="1" t="s">
        <v>2254</v>
      </c>
    </row>
    <row r="29" spans="2:7" ht="15">
      <c r="B29" s="3"/>
      <c r="G29" s="1" t="s">
        <v>2252</v>
      </c>
    </row>
    <row r="30" spans="2:7" ht="15">
      <c r="B30" s="3"/>
      <c r="G30" s="1" t="s">
        <v>2253</v>
      </c>
    </row>
    <row r="31" spans="2:7" ht="15">
      <c r="B31" s="3"/>
      <c r="F31" s="1" t="s">
        <v>77</v>
      </c>
    </row>
    <row r="32" spans="2:7" ht="15">
      <c r="B32" s="3"/>
    </row>
    <row r="33" spans="2:6" ht="15">
      <c r="B33" s="3" t="s">
        <v>34</v>
      </c>
      <c r="E33" s="1" t="s">
        <v>65</v>
      </c>
    </row>
    <row r="34" spans="2:6" ht="15">
      <c r="B34" s="3"/>
      <c r="F34" s="1" t="s">
        <v>66</v>
      </c>
    </row>
    <row r="35" spans="2:6" ht="15">
      <c r="B35" s="3"/>
      <c r="F35" s="1" t="s">
        <v>67</v>
      </c>
    </row>
    <row r="36" spans="2:6" ht="15">
      <c r="B36" s="3"/>
      <c r="E36" s="1" t="s">
        <v>68</v>
      </c>
    </row>
    <row r="37" spans="2:6" ht="15">
      <c r="B37" s="3"/>
      <c r="F37" s="1" t="s">
        <v>69</v>
      </c>
    </row>
    <row r="38" spans="2:6" ht="15">
      <c r="B38" s="3"/>
      <c r="E38" s="1" t="s">
        <v>70</v>
      </c>
    </row>
    <row r="39" spans="2:6" ht="15">
      <c r="B39" s="3"/>
      <c r="F39" s="1" t="s">
        <v>71</v>
      </c>
    </row>
    <row r="40" spans="2:6" ht="15">
      <c r="B40" s="3"/>
      <c r="E40" s="1" t="s">
        <v>72</v>
      </c>
    </row>
    <row r="41" spans="2:6" ht="15">
      <c r="B41" s="3"/>
      <c r="F41" s="1" t="s">
        <v>73</v>
      </c>
    </row>
    <row r="42" spans="2:6" ht="15">
      <c r="B42" s="3"/>
      <c r="E42" s="1" t="s">
        <v>2244</v>
      </c>
    </row>
    <row r="43" spans="2:6" ht="15">
      <c r="F43" s="1" t="s">
        <v>74</v>
      </c>
    </row>
    <row r="44" spans="2:6" ht="15">
      <c r="F44" s="1" t="s">
        <v>2251</v>
      </c>
    </row>
    <row r="45" spans="2:6" ht="15">
      <c r="F45" s="1" t="s">
        <v>2250</v>
      </c>
    </row>
    <row r="46" spans="2:6" ht="15">
      <c r="E46" s="1" t="s">
        <v>75</v>
      </c>
    </row>
    <row r="47" spans="2:6" ht="15">
      <c r="F47" s="1" t="s">
        <v>2249</v>
      </c>
    </row>
    <row r="48" spans="2:6" ht="15">
      <c r="F48" s="1" t="s">
        <v>76</v>
      </c>
    </row>
    <row r="49" spans="5:7" ht="15">
      <c r="E49" s="1" t="s">
        <v>2240</v>
      </c>
    </row>
    <row r="50" spans="5:7" ht="15">
      <c r="F50" s="1" t="s">
        <v>2248</v>
      </c>
    </row>
    <row r="51" spans="5:7" ht="15">
      <c r="E51" s="1" t="s">
        <v>2234</v>
      </c>
    </row>
    <row r="52" spans="5:7" ht="15">
      <c r="F52" s="1" t="s">
        <v>2247</v>
      </c>
    </row>
    <row r="53" spans="5:7" ht="15">
      <c r="F53" s="3" t="s">
        <v>2238</v>
      </c>
    </row>
    <row r="54" spans="5:7" ht="15">
      <c r="E54" s="1" t="s">
        <v>2239</v>
      </c>
    </row>
    <row r="55" spans="5:7" ht="15">
      <c r="F55" s="1" t="s">
        <v>2232</v>
      </c>
    </row>
    <row r="56" spans="5:7" ht="15">
      <c r="G56" s="1" t="s">
        <v>2246</v>
      </c>
    </row>
    <row r="57" spans="5:7" ht="15">
      <c r="E57" s="1" t="s">
        <v>2237</v>
      </c>
    </row>
    <row r="58" spans="5:7" ht="15">
      <c r="F58" s="1" t="s">
        <v>2233</v>
      </c>
    </row>
    <row r="59" spans="5:7" ht="15">
      <c r="E59" s="1" t="s">
        <v>2235</v>
      </c>
    </row>
    <row r="60" spans="5:7" ht="15">
      <c r="F60" s="1" t="s">
        <v>2236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C9FF-9E9C-4B34-9F3F-BF8874377151}">
  <dimension ref="A1"/>
  <sheetViews>
    <sheetView workbookViewId="0">
      <selection sqref="A1:XFD1048576"/>
    </sheetView>
  </sheetViews>
  <sheetFormatPr defaultRowHeight="15"/>
  <cols>
    <col min="1" max="1" width="3.42578125" customWidth="1"/>
  </cols>
  <sheetData>
    <row r="1" spans="1:1">
      <c r="A1"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3DAE5-C6EA-4A08-9443-10CEC4F1409C}">
  <dimension ref="B32:C34"/>
  <sheetViews>
    <sheetView workbookViewId="0">
      <selection activeCell="B33" sqref="B33"/>
    </sheetView>
  </sheetViews>
  <sheetFormatPr defaultColWidth="9.140625" defaultRowHeight="14.25"/>
  <cols>
    <col min="1" max="1" width="3.28515625" style="1" customWidth="1"/>
    <col min="2" max="16384" width="9.140625" style="1"/>
  </cols>
  <sheetData>
    <row r="32" spans="2:3">
      <c r="B32" s="1" t="s">
        <v>2329</v>
      </c>
      <c r="C32" s="2" t="s">
        <v>44</v>
      </c>
    </row>
    <row r="33" spans="3:3">
      <c r="C33" s="2" t="s">
        <v>45</v>
      </c>
    </row>
    <row r="34" spans="3:3">
      <c r="C34" s="2" t="s">
        <v>46</v>
      </c>
    </row>
  </sheetData>
  <hyperlinks>
    <hyperlink ref="C33" r:id="rId1" xr:uid="{942C6C90-8635-439C-9637-2202B2FC33A2}"/>
    <hyperlink ref="C34" r:id="rId2" xr:uid="{41A203EC-9AA0-4D7E-A97D-51D814AAA68B}"/>
    <hyperlink ref="C32" r:id="rId3" xr:uid="{C1382184-8197-491B-A94C-FBD593801B1B}"/>
  </hyperlinks>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23E4-F48F-4C52-8838-F61F030BB935}">
  <dimension ref="A1"/>
  <sheetViews>
    <sheetView workbookViewId="0">
      <selection sqref="A1:XFD1048576"/>
    </sheetView>
  </sheetViews>
  <sheetFormatPr defaultColWidth="9.140625" defaultRowHeight="14.25"/>
  <cols>
    <col min="1" max="1" width="3.28515625" style="1" customWidth="1"/>
    <col min="2" max="16384" width="9.140625" style="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91C0-408E-41B7-A41D-CC33721E4E7D}">
  <dimension ref="A1"/>
  <sheetViews>
    <sheetView workbookViewId="0">
      <selection sqref="A1:XFD1048576"/>
    </sheetView>
  </sheetViews>
  <sheetFormatPr defaultColWidth="9.140625" defaultRowHeight="14.25"/>
  <cols>
    <col min="1" max="1" width="3.28515625" style="1" customWidth="1"/>
    <col min="2" max="16384" width="9.140625" style="1"/>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7E1E-DB38-4D26-A563-DB47A21556FA}">
  <dimension ref="A1:AS42"/>
  <sheetViews>
    <sheetView zoomScale="85" zoomScaleNormal="85" workbookViewId="0">
      <selection activeCell="A42" sqref="A42"/>
    </sheetView>
  </sheetViews>
  <sheetFormatPr defaultColWidth="9.140625" defaultRowHeight="14.25"/>
  <cols>
    <col min="1" max="1" width="3.28515625" style="1" customWidth="1"/>
    <col min="2" max="16384" width="9.140625" style="1"/>
  </cols>
  <sheetData>
    <row r="1" spans="1:45">
      <c r="AS1" s="1">
        <v>0</v>
      </c>
    </row>
    <row r="2" spans="1:45" ht="15">
      <c r="A2" s="1" t="s">
        <v>2346</v>
      </c>
      <c r="AC2"/>
      <c r="AH2"/>
    </row>
    <row r="3" spans="1:45" ht="15">
      <c r="B3" s="1" t="s">
        <v>2347</v>
      </c>
      <c r="AC3"/>
    </row>
    <row r="4" spans="1:45">
      <c r="C4" s="1" t="s">
        <v>2348</v>
      </c>
    </row>
    <row r="5" spans="1:45">
      <c r="C5" s="1" t="s">
        <v>2349</v>
      </c>
    </row>
    <row r="6" spans="1:45">
      <c r="D6" s="1" t="s">
        <v>2385</v>
      </c>
    </row>
    <row r="7" spans="1:45">
      <c r="C7" s="1" t="s">
        <v>2350</v>
      </c>
    </row>
    <row r="8" spans="1:45">
      <c r="B8" s="1" t="s">
        <v>2351</v>
      </c>
    </row>
    <row r="9" spans="1:45">
      <c r="C9" s="1" t="s">
        <v>2352</v>
      </c>
    </row>
    <row r="10" spans="1:45">
      <c r="C10" s="1" t="s">
        <v>2353</v>
      </c>
    </row>
    <row r="11" spans="1:45">
      <c r="D11" s="1" t="s">
        <v>2354</v>
      </c>
    </row>
    <row r="12" spans="1:45">
      <c r="D12" s="1" t="s">
        <v>2355</v>
      </c>
    </row>
    <row r="13" spans="1:45">
      <c r="C13" s="1" t="s">
        <v>2356</v>
      </c>
    </row>
    <row r="14" spans="1:45">
      <c r="D14" s="1" t="s">
        <v>2357</v>
      </c>
    </row>
    <row r="15" spans="1:45">
      <c r="B15" s="1" t="s">
        <v>2375</v>
      </c>
    </row>
    <row r="16" spans="1:45">
      <c r="C16" s="1" t="s">
        <v>2358</v>
      </c>
    </row>
    <row r="17" spans="1:37">
      <c r="D17" s="1" t="s">
        <v>2359</v>
      </c>
    </row>
    <row r="18" spans="1:37">
      <c r="D18" s="1" t="s">
        <v>2360</v>
      </c>
    </row>
    <row r="19" spans="1:37">
      <c r="E19" s="1" t="s">
        <v>2376</v>
      </c>
    </row>
    <row r="20" spans="1:37">
      <c r="E20" s="1" t="s">
        <v>2377</v>
      </c>
    </row>
    <row r="21" spans="1:37">
      <c r="F21" s="1" t="s">
        <v>2378</v>
      </c>
    </row>
    <row r="22" spans="1:37">
      <c r="G22" s="1" t="s">
        <v>2383</v>
      </c>
    </row>
    <row r="23" spans="1:37">
      <c r="E23" s="1" t="s">
        <v>2379</v>
      </c>
    </row>
    <row r="24" spans="1:37">
      <c r="F24" s="1" t="s">
        <v>2380</v>
      </c>
    </row>
    <row r="25" spans="1:37">
      <c r="E25" s="1" t="s">
        <v>2381</v>
      </c>
    </row>
    <row r="26" spans="1:37">
      <c r="F26" s="1" t="s">
        <v>2382</v>
      </c>
      <c r="AK26" s="1" t="s">
        <v>2361</v>
      </c>
    </row>
    <row r="28" spans="1:37">
      <c r="A28" s="1" t="s">
        <v>2373</v>
      </c>
    </row>
    <row r="29" spans="1:37">
      <c r="B29" s="1" t="s">
        <v>2362</v>
      </c>
    </row>
    <row r="30" spans="1:37">
      <c r="C30" s="1" t="s">
        <v>2363</v>
      </c>
    </row>
    <row r="31" spans="1:37">
      <c r="C31" s="1" t="s">
        <v>2364</v>
      </c>
    </row>
    <row r="32" spans="1:37">
      <c r="D32" s="1" t="s">
        <v>2365</v>
      </c>
    </row>
    <row r="33" spans="1:4">
      <c r="D33" s="1" t="s">
        <v>2366</v>
      </c>
    </row>
    <row r="34" spans="1:4">
      <c r="D34" s="1" t="s">
        <v>2367</v>
      </c>
    </row>
    <row r="35" spans="1:4">
      <c r="C35" s="1" t="s">
        <v>2368</v>
      </c>
    </row>
    <row r="36" spans="1:4">
      <c r="D36" s="1" t="s">
        <v>2369</v>
      </c>
    </row>
    <row r="37" spans="1:4">
      <c r="D37" s="1" t="s">
        <v>2370</v>
      </c>
    </row>
    <row r="38" spans="1:4">
      <c r="B38" s="1" t="s">
        <v>2371</v>
      </c>
    </row>
    <row r="39" spans="1:4">
      <c r="C39" s="1" t="s">
        <v>2372</v>
      </c>
    </row>
    <row r="40" spans="1:4">
      <c r="C40" s="1" t="s">
        <v>2374</v>
      </c>
    </row>
    <row r="42" spans="1:4" ht="15">
      <c r="A42" s="3" t="s">
        <v>2400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3A96-BC9E-41E4-8C18-82D0AFEB8551}">
  <dimension ref="A2:X44"/>
  <sheetViews>
    <sheetView topLeftCell="A9" zoomScale="85" zoomScaleNormal="85" workbookViewId="0">
      <selection activeCell="D39" sqref="D39"/>
    </sheetView>
  </sheetViews>
  <sheetFormatPr defaultColWidth="9.140625" defaultRowHeight="14.25"/>
  <cols>
    <col min="1" max="1" width="3" style="1" customWidth="1"/>
    <col min="2" max="16384" width="9.140625" style="1"/>
  </cols>
  <sheetData>
    <row r="2" spans="1:4">
      <c r="A2" s="1" t="s">
        <v>2313</v>
      </c>
    </row>
    <row r="3" spans="1:4" ht="15">
      <c r="B3" s="1" t="s">
        <v>2314</v>
      </c>
    </row>
    <row r="4" spans="1:4">
      <c r="C4" s="1" t="s">
        <v>2319</v>
      </c>
    </row>
    <row r="5" spans="1:4" ht="15">
      <c r="D5" s="3" t="s">
        <v>2388</v>
      </c>
    </row>
    <row r="6" spans="1:4" ht="15">
      <c r="C6" s="1" t="s">
        <v>2459</v>
      </c>
      <c r="D6" s="3"/>
    </row>
    <row r="7" spans="1:4">
      <c r="B7" s="1" t="s">
        <v>2315</v>
      </c>
    </row>
    <row r="8" spans="1:4" ht="15">
      <c r="C8" s="1" t="s">
        <v>2389</v>
      </c>
    </row>
    <row r="9" spans="1:4">
      <c r="B9" s="1" t="s">
        <v>2316</v>
      </c>
    </row>
    <row r="10" spans="1:4">
      <c r="C10" s="1" t="s">
        <v>2386</v>
      </c>
    </row>
    <row r="11" spans="1:4">
      <c r="D11" s="1" t="s">
        <v>2387</v>
      </c>
    </row>
    <row r="12" spans="1:4">
      <c r="B12" s="1" t="s">
        <v>2318</v>
      </c>
    </row>
    <row r="14" spans="1:4">
      <c r="C14" s="1" t="s">
        <v>2320</v>
      </c>
    </row>
    <row r="15" spans="1:4">
      <c r="B15" s="1" t="s">
        <v>2321</v>
      </c>
    </row>
    <row r="17" spans="2:8">
      <c r="B17" s="1" t="s">
        <v>2317</v>
      </c>
    </row>
    <row r="18" spans="2:8" ht="15">
      <c r="B18"/>
      <c r="F18" s="1" t="s">
        <v>2390</v>
      </c>
    </row>
    <row r="19" spans="2:8">
      <c r="G19" s="1" t="s">
        <v>2391</v>
      </c>
    </row>
    <row r="20" spans="2:8">
      <c r="G20" s="1" t="s">
        <v>2392</v>
      </c>
    </row>
    <row r="21" spans="2:8">
      <c r="G21" s="1" t="s">
        <v>2460</v>
      </c>
    </row>
    <row r="22" spans="2:8">
      <c r="H22" s="1" t="s">
        <v>2458</v>
      </c>
    </row>
    <row r="23" spans="2:8">
      <c r="F23" s="1" t="s">
        <v>2396</v>
      </c>
    </row>
    <row r="24" spans="2:8">
      <c r="G24" s="1" t="s">
        <v>2397</v>
      </c>
    </row>
    <row r="25" spans="2:8">
      <c r="G25" s="1" t="s">
        <v>2398</v>
      </c>
    </row>
    <row r="26" spans="2:8">
      <c r="G26" s="1" t="s">
        <v>2399</v>
      </c>
    </row>
    <row r="33" spans="1:24">
      <c r="B33" s="1" t="s">
        <v>2322</v>
      </c>
      <c r="D33" s="41" t="s">
        <v>2324</v>
      </c>
    </row>
    <row r="34" spans="1:24">
      <c r="B34" s="118" t="s">
        <v>2461</v>
      </c>
      <c r="C34" s="118"/>
      <c r="D34" s="118"/>
      <c r="E34" s="118"/>
      <c r="F34" s="118"/>
      <c r="G34" s="118"/>
      <c r="H34" s="118"/>
      <c r="I34" s="118"/>
      <c r="J34" s="118"/>
      <c r="K34" s="118"/>
      <c r="L34" s="118"/>
      <c r="M34" s="118"/>
      <c r="N34" s="118"/>
      <c r="O34" s="118"/>
      <c r="P34" s="118"/>
      <c r="Q34" s="118"/>
      <c r="R34" s="118"/>
      <c r="S34" s="118"/>
      <c r="T34" s="118"/>
      <c r="U34" s="118"/>
      <c r="V34" s="118"/>
      <c r="W34" s="118"/>
      <c r="X34" s="118"/>
    </row>
    <row r="35" spans="1:24">
      <c r="B35" s="118"/>
      <c r="C35" s="118"/>
      <c r="D35" s="118"/>
      <c r="E35" s="118"/>
      <c r="F35" s="118"/>
      <c r="G35" s="118"/>
      <c r="H35" s="118"/>
      <c r="I35" s="118"/>
      <c r="J35" s="118"/>
      <c r="K35" s="118"/>
      <c r="L35" s="118"/>
      <c r="M35" s="118"/>
      <c r="N35" s="118"/>
      <c r="O35" s="118"/>
      <c r="P35" s="118"/>
      <c r="Q35" s="118"/>
      <c r="R35" s="118"/>
      <c r="S35" s="118"/>
      <c r="T35" s="118"/>
      <c r="U35" s="118"/>
      <c r="V35" s="118"/>
      <c r="W35" s="118"/>
      <c r="X35" s="118"/>
    </row>
    <row r="36" spans="1:24">
      <c r="C36" s="1" t="s">
        <v>2393</v>
      </c>
    </row>
    <row r="37" spans="1:24">
      <c r="C37" s="1" t="s">
        <v>2394</v>
      </c>
    </row>
    <row r="38" spans="1:24">
      <c r="D38" s="1" t="s">
        <v>2395</v>
      </c>
    </row>
    <row r="39" spans="1:24">
      <c r="D39" s="1" t="s">
        <v>2323</v>
      </c>
    </row>
    <row r="40" spans="1:24">
      <c r="C40" s="1" t="s">
        <v>2457</v>
      </c>
    </row>
    <row r="41" spans="1:24">
      <c r="B41" s="1" t="s">
        <v>2325</v>
      </c>
    </row>
    <row r="42" spans="1:24">
      <c r="A42" s="44"/>
      <c r="B42" s="1" t="s">
        <v>2326</v>
      </c>
    </row>
    <row r="43" spans="1:24">
      <c r="C43" s="1" t="s">
        <v>2327</v>
      </c>
    </row>
    <row r="44" spans="1:24">
      <c r="B44" s="1" t="s">
        <v>2328</v>
      </c>
    </row>
  </sheetData>
  <mergeCells count="1">
    <mergeCell ref="B34:X35"/>
  </mergeCells>
  <hyperlinks>
    <hyperlink ref="D33" r:id="rId1" xr:uid="{A6D2B6F9-46B9-4E8C-9828-02F4A4A4831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vt:lpstr>
      <vt:lpstr>Model</vt:lpstr>
      <vt:lpstr>PEN Acquisition</vt:lpstr>
      <vt:lpstr>Notes | Analysis</vt:lpstr>
      <vt:lpstr>VC Channel</vt:lpstr>
      <vt:lpstr>M&amp;A Scope</vt:lpstr>
      <vt:lpstr>Clinical Trial Channel</vt:lpstr>
      <vt:lpstr>Management</vt:lpstr>
      <vt:lpstr>Debt Schedule</vt:lpstr>
      <vt:lpstr>Portfolio | Product Lines</vt:lpstr>
      <vt:lpstr>Interventional Cardiology</vt:lpstr>
      <vt:lpstr>Watchman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2026-10-23T08:58:37Z</dcterms:modified>
</cp:coreProperties>
</file>