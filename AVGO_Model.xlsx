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Technology\"/>
    </mc:Choice>
  </mc:AlternateContent>
  <xr:revisionPtr revIDLastSave="0" documentId="13_ncr:1_{9E038915-1378-4211-9B4C-3DE6FED68E4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in" sheetId="1" r:id="rId1"/>
    <sheet name="Model" sheetId="2" r:id="rId2"/>
    <sheet name="Notes | Quant Analysis" sheetId="3" r:id="rId3"/>
    <sheet name="Product Lines" sheetId="5" r:id="rId4"/>
    <sheet name="Economics" sheetId="7" r:id="rId5"/>
    <sheet name="Management" sheetId="6" r:id="rId6"/>
    <sheet name="Table Formatting" sheetId="4" r:id="rId7"/>
  </sheets>
  <externalReferences>
    <externalReference r:id="rId8"/>
    <externalReference r:id="rId9"/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23" i="2" l="1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V5" i="2"/>
  <c r="BV4" i="2"/>
  <c r="BX103" i="2"/>
  <c r="BX98" i="2"/>
  <c r="BX97" i="2"/>
  <c r="BX96" i="2"/>
  <c r="BX95" i="2"/>
  <c r="BX94" i="2"/>
  <c r="BX78" i="2"/>
  <c r="BX80" i="2" s="1"/>
  <c r="BX66" i="2"/>
  <c r="BX22" i="2"/>
  <c r="BX21" i="2"/>
  <c r="BX20" i="2"/>
  <c r="BX9" i="2"/>
  <c r="BX8" i="2"/>
  <c r="BX6" i="2"/>
  <c r="BX13" i="2" s="1"/>
  <c r="BX12" i="2" l="1"/>
  <c r="BX93" i="2"/>
  <c r="BX92" i="2"/>
  <c r="BX91" i="2"/>
  <c r="BX105" i="2"/>
  <c r="BX29" i="2"/>
  <c r="BX108" i="2" s="1"/>
  <c r="C7" i="1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W103" i="2"/>
  <c r="BW105" i="2" s="1"/>
  <c r="BW98" i="2"/>
  <c r="BW97" i="2"/>
  <c r="BW96" i="2"/>
  <c r="BW95" i="2"/>
  <c r="BW94" i="2"/>
  <c r="BW78" i="2"/>
  <c r="BW80" i="2" s="1"/>
  <c r="BW66" i="2"/>
  <c r="BW22" i="2"/>
  <c r="BW21" i="2"/>
  <c r="BW20" i="2"/>
  <c r="BW9" i="2"/>
  <c r="BW8" i="2"/>
  <c r="BW6" i="2"/>
  <c r="BW13" i="2" s="1"/>
  <c r="CZ30" i="2"/>
  <c r="CZ18" i="2"/>
  <c r="CZ17" i="2"/>
  <c r="CZ16" i="2"/>
  <c r="CZ15" i="2"/>
  <c r="CZ5" i="2"/>
  <c r="DA5" i="2" s="1"/>
  <c r="CZ4" i="2"/>
  <c r="DA4" i="2" s="1"/>
  <c r="DE68" i="2"/>
  <c r="CZ98" i="2"/>
  <c r="CZ97" i="2"/>
  <c r="CZ96" i="2"/>
  <c r="CZ95" i="2"/>
  <c r="CZ94" i="2"/>
  <c r="CZ93" i="2"/>
  <c r="CZ92" i="2"/>
  <c r="CZ91" i="2"/>
  <c r="BV98" i="2"/>
  <c r="BV97" i="2"/>
  <c r="BV96" i="2"/>
  <c r="BV95" i="2"/>
  <c r="BV94" i="2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X108" i="2" s="1"/>
  <c r="AW103" i="2"/>
  <c r="AW108" i="2" s="1"/>
  <c r="AV103" i="2"/>
  <c r="AV108" i="2" s="1"/>
  <c r="AU103" i="2"/>
  <c r="AU108" i="2" s="1"/>
  <c r="AT103" i="2"/>
  <c r="AT108" i="2" s="1"/>
  <c r="AS103" i="2"/>
  <c r="AS108" i="2" s="1"/>
  <c r="AR103" i="2"/>
  <c r="AR108" i="2" s="1"/>
  <c r="AQ103" i="2"/>
  <c r="AQ108" i="2" s="1"/>
  <c r="AP103" i="2"/>
  <c r="AP108" i="2" s="1"/>
  <c r="AO103" i="2"/>
  <c r="AO108" i="2" s="1"/>
  <c r="AN103" i="2"/>
  <c r="AN108" i="2" s="1"/>
  <c r="AM103" i="2"/>
  <c r="AM108" i="2" s="1"/>
  <c r="AL103" i="2"/>
  <c r="AL108" i="2" s="1"/>
  <c r="AK103" i="2"/>
  <c r="AK108" i="2" s="1"/>
  <c r="AJ103" i="2"/>
  <c r="AJ108" i="2" s="1"/>
  <c r="AI103" i="2"/>
  <c r="AI108" i="2" s="1"/>
  <c r="AH103" i="2"/>
  <c r="AH108" i="2" s="1"/>
  <c r="AG103" i="2"/>
  <c r="AG108" i="2" s="1"/>
  <c r="AF103" i="2"/>
  <c r="AF108" i="2" s="1"/>
  <c r="AE103" i="2"/>
  <c r="AE108" i="2" s="1"/>
  <c r="AD103" i="2"/>
  <c r="AD108" i="2" s="1"/>
  <c r="AC103" i="2"/>
  <c r="AC108" i="2" s="1"/>
  <c r="AB103" i="2"/>
  <c r="AB108" i="2" s="1"/>
  <c r="AA103" i="2"/>
  <c r="AA108" i="2" s="1"/>
  <c r="Z103" i="2"/>
  <c r="Z108" i="2" s="1"/>
  <c r="Y103" i="2"/>
  <c r="Y108" i="2" s="1"/>
  <c r="X103" i="2"/>
  <c r="X108" i="2" s="1"/>
  <c r="W103" i="2"/>
  <c r="W108" i="2" s="1"/>
  <c r="V103" i="2"/>
  <c r="V108" i="2" s="1"/>
  <c r="U103" i="2"/>
  <c r="U108" i="2" s="1"/>
  <c r="T103" i="2"/>
  <c r="T108" i="2" s="1"/>
  <c r="S103" i="2"/>
  <c r="S108" i="2" s="1"/>
  <c r="R103" i="2"/>
  <c r="R108" i="2" s="1"/>
  <c r="Q103" i="2"/>
  <c r="Q108" i="2" s="1"/>
  <c r="P103" i="2"/>
  <c r="P108" i="2" s="1"/>
  <c r="O103" i="2"/>
  <c r="O108" i="2" s="1"/>
  <c r="N103" i="2"/>
  <c r="N108" i="2" s="1"/>
  <c r="M103" i="2"/>
  <c r="M108" i="2" s="1"/>
  <c r="L103" i="2"/>
  <c r="L108" i="2" s="1"/>
  <c r="K103" i="2"/>
  <c r="K108" i="2" s="1"/>
  <c r="J103" i="2"/>
  <c r="J108" i="2" s="1"/>
  <c r="I103" i="2"/>
  <c r="I108" i="2" s="1"/>
  <c r="H103" i="2"/>
  <c r="H108" i="2" s="1"/>
  <c r="G103" i="2"/>
  <c r="G108" i="2" s="1"/>
  <c r="F103" i="2"/>
  <c r="F108" i="2" s="1"/>
  <c r="E103" i="2"/>
  <c r="E108" i="2" s="1"/>
  <c r="D103" i="2"/>
  <c r="D108" i="2" s="1"/>
  <c r="C103" i="2"/>
  <c r="C108" i="2" s="1"/>
  <c r="BV103" i="2"/>
  <c r="BV78" i="2"/>
  <c r="BV80" i="2" s="1"/>
  <c r="BV66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T22" i="2"/>
  <c r="BT21" i="2"/>
  <c r="BT20" i="2"/>
  <c r="BU22" i="2"/>
  <c r="BU21" i="2"/>
  <c r="BU20" i="2"/>
  <c r="BV22" i="2"/>
  <c r="BV21" i="2"/>
  <c r="BV20" i="2"/>
  <c r="C3" i="2" a="1"/>
  <c r="BX109" i="2" l="1"/>
  <c r="BX31" i="2"/>
  <c r="BX107" i="2"/>
  <c r="BW93" i="2"/>
  <c r="BW92" i="2"/>
  <c r="BW91" i="2"/>
  <c r="BV92" i="2"/>
  <c r="BV91" i="2"/>
  <c r="BV93" i="2"/>
  <c r="BW29" i="2"/>
  <c r="BW12" i="2"/>
  <c r="DA6" i="2"/>
  <c r="DJ70" i="2"/>
  <c r="DJ68" i="2"/>
  <c r="DE79" i="2"/>
  <c r="DJ62" i="2"/>
  <c r="DJ63" i="2" s="1"/>
  <c r="DG62" i="2"/>
  <c r="BW31" i="2" l="1"/>
  <c r="BW109" i="2"/>
  <c r="BW108" i="2"/>
  <c r="BW107" i="2"/>
  <c r="CZ57" i="2"/>
  <c r="DC62" i="2" s="1"/>
  <c r="BU105" i="2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V105" i="2"/>
  <c r="BU6" i="2"/>
  <c r="BU29" i="2" s="1"/>
  <c r="BT6" i="2"/>
  <c r="BS6" i="2"/>
  <c r="BR6" i="2"/>
  <c r="BR29" i="2" s="1"/>
  <c r="BQ6" i="2"/>
  <c r="BQ29" i="2" s="1"/>
  <c r="BP6" i="2"/>
  <c r="BO6" i="2"/>
  <c r="BN6" i="2"/>
  <c r="BN29" i="2" s="1"/>
  <c r="BM6" i="2"/>
  <c r="BQ10" i="2" s="1"/>
  <c r="BL6" i="2"/>
  <c r="BL29" i="2" s="1"/>
  <c r="BK6" i="2"/>
  <c r="BJ6" i="2"/>
  <c r="BJ29" i="2" s="1"/>
  <c r="BI6" i="2"/>
  <c r="BH6" i="2"/>
  <c r="BG6" i="2"/>
  <c r="BF6" i="2"/>
  <c r="BF10" i="2" s="1"/>
  <c r="BE6" i="2"/>
  <c r="BE10" i="2" s="1"/>
  <c r="BD6" i="2"/>
  <c r="BD10" i="2" s="1"/>
  <c r="BC6" i="2"/>
  <c r="BV6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V9" i="2"/>
  <c r="BV8" i="2"/>
  <c r="CY30" i="2"/>
  <c r="CX30" i="2"/>
  <c r="CW30" i="2"/>
  <c r="CV30" i="2"/>
  <c r="CU30" i="2"/>
  <c r="CT30" i="2"/>
  <c r="CS30" i="2"/>
  <c r="CR30" i="2"/>
  <c r="CQ30" i="2"/>
  <c r="CP30" i="2"/>
  <c r="CO30" i="2"/>
  <c r="CN30" i="2"/>
  <c r="CM30" i="2"/>
  <c r="CL30" i="2"/>
  <c r="CK30" i="2"/>
  <c r="CJ30" i="2"/>
  <c r="CI30" i="2"/>
  <c r="G187" i="3"/>
  <c r="R253" i="3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51" i="3"/>
  <c r="R250" i="3" s="1"/>
  <c r="R249" i="3" s="1"/>
  <c r="R248" i="3" s="1"/>
  <c r="R247" i="3" s="1"/>
  <c r="R246" i="3" s="1"/>
  <c r="R245" i="3" s="1"/>
  <c r="R244" i="3" s="1"/>
  <c r="R243" i="3" s="1"/>
  <c r="R242" i="3" s="1"/>
  <c r="R241" i="3" s="1"/>
  <c r="R240" i="3" s="1"/>
  <c r="R239" i="3" s="1"/>
  <c r="R238" i="3" s="1"/>
  <c r="R237" i="3" s="1"/>
  <c r="R236" i="3" s="1"/>
  <c r="R235" i="3" s="1"/>
  <c r="R234" i="3" s="1"/>
  <c r="R233" i="3" s="1"/>
  <c r="R232" i="3" s="1"/>
  <c r="R231" i="3" s="1"/>
  <c r="R230" i="3" s="1"/>
  <c r="R229" i="3" s="1"/>
  <c r="R228" i="3" s="1"/>
  <c r="R227" i="3" s="1"/>
  <c r="R226" i="3" s="1"/>
  <c r="R225" i="3" s="1"/>
  <c r="R224" i="3" s="1"/>
  <c r="R223" i="3" s="1"/>
  <c r="R222" i="3" s="1"/>
  <c r="R221" i="3" s="1"/>
  <c r="BB29" i="2"/>
  <c r="BA29" i="2"/>
  <c r="AZ29" i="2"/>
  <c r="AY29" i="2"/>
  <c r="CI57" i="2"/>
  <c r="CJ57" i="2"/>
  <c r="CK57" i="2"/>
  <c r="CL57" i="2"/>
  <c r="CM57" i="2"/>
  <c r="CN57" i="2"/>
  <c r="CO57" i="2"/>
  <c r="CP57" i="2"/>
  <c r="CQ57" i="2"/>
  <c r="CR57" i="2"/>
  <c r="CS57" i="2"/>
  <c r="CT57" i="2"/>
  <c r="CU57" i="2"/>
  <c r="CV57" i="2"/>
  <c r="CW57" i="2"/>
  <c r="CX57" i="2"/>
  <c r="CY57" i="2"/>
  <c r="DB62" i="2" s="1"/>
  <c r="CT29" i="2"/>
  <c r="CS29" i="2"/>
  <c r="CR29" i="2"/>
  <c r="CQ29" i="2"/>
  <c r="CP29" i="2"/>
  <c r="CO29" i="2"/>
  <c r="CN29" i="2"/>
  <c r="CM29" i="2"/>
  <c r="CL29" i="2"/>
  <c r="CK29" i="2"/>
  <c r="CJ29" i="2"/>
  <c r="CI29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CI17" i="2"/>
  <c r="CY16" i="2"/>
  <c r="CX16" i="2"/>
  <c r="CW16" i="2"/>
  <c r="CV16" i="2"/>
  <c r="CU16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Y15" i="2"/>
  <c r="CX15" i="2"/>
  <c r="CW15" i="2"/>
  <c r="CV15" i="2"/>
  <c r="CU15" i="2"/>
  <c r="CT15" i="2"/>
  <c r="CS15" i="2"/>
  <c r="CR15" i="2"/>
  <c r="CQ15" i="2"/>
  <c r="CP15" i="2"/>
  <c r="CO15" i="2"/>
  <c r="CN15" i="2"/>
  <c r="CM15" i="2"/>
  <c r="CL15" i="2"/>
  <c r="CK15" i="2"/>
  <c r="CJ15" i="2"/>
  <c r="CI15" i="2"/>
  <c r="CU6" i="2"/>
  <c r="CT6" i="2"/>
  <c r="CS6" i="2"/>
  <c r="CR6" i="2"/>
  <c r="CQ6" i="2"/>
  <c r="CP6" i="2"/>
  <c r="CO6" i="2"/>
  <c r="CN6" i="2"/>
  <c r="CM6" i="2"/>
  <c r="CL6" i="2"/>
  <c r="CK6" i="2"/>
  <c r="CJ6" i="2"/>
  <c r="CI6" i="2"/>
  <c r="CY5" i="2"/>
  <c r="DB5" i="2" s="1"/>
  <c r="DC5" i="2" s="1"/>
  <c r="DD5" i="2" s="1"/>
  <c r="DE5" i="2" s="1"/>
  <c r="DF5" i="2" s="1"/>
  <c r="DG5" i="2" s="1"/>
  <c r="DH5" i="2" s="1"/>
  <c r="DI5" i="2" s="1"/>
  <c r="DJ5" i="2" s="1"/>
  <c r="CX5" i="2"/>
  <c r="CW5" i="2"/>
  <c r="CV5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V4" i="2"/>
  <c r="CX4" i="2"/>
  <c r="CY4" i="2"/>
  <c r="DB4" i="2" s="1"/>
  <c r="DC4" i="2" s="1"/>
  <c r="DD4" i="2" s="1"/>
  <c r="DE4" i="2" s="1"/>
  <c r="DF4" i="2" s="1"/>
  <c r="DG4" i="2" s="1"/>
  <c r="DH4" i="2" s="1"/>
  <c r="DI4" i="2" s="1"/>
  <c r="DJ4" i="2" s="1"/>
  <c r="CW4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J3" i="2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O187" i="3"/>
  <c r="S213" i="3" s="1"/>
  <c r="S214" i="3" s="1"/>
  <c r="C5" i="1"/>
  <c r="BD29" i="2" l="1"/>
  <c r="BT29" i="2"/>
  <c r="BX10" i="2"/>
  <c r="BV10" i="2"/>
  <c r="BJ31" i="2"/>
  <c r="BJ109" i="2"/>
  <c r="BJ108" i="2"/>
  <c r="BJ107" i="2"/>
  <c r="BR31" i="2"/>
  <c r="BR109" i="2"/>
  <c r="BR108" i="2"/>
  <c r="BR107" i="2"/>
  <c r="BS29" i="2"/>
  <c r="CZ6" i="2"/>
  <c r="DA10" i="2" s="1"/>
  <c r="BW10" i="2"/>
  <c r="CL10" i="2"/>
  <c r="CT10" i="2"/>
  <c r="BE29" i="2"/>
  <c r="BT31" i="2"/>
  <c r="BT109" i="2"/>
  <c r="BT107" i="2"/>
  <c r="BT108" i="2"/>
  <c r="CT9" i="2"/>
  <c r="CM9" i="2"/>
  <c r="CU9" i="2"/>
  <c r="CN10" i="2"/>
  <c r="BL31" i="2"/>
  <c r="BL109" i="2"/>
  <c r="BL107" i="2"/>
  <c r="BL108" i="2"/>
  <c r="BR10" i="2"/>
  <c r="CL9" i="2"/>
  <c r="AY31" i="2"/>
  <c r="AY109" i="2"/>
  <c r="AY107" i="2"/>
  <c r="AY108" i="2"/>
  <c r="BM29" i="2"/>
  <c r="BD31" i="2"/>
  <c r="BD109" i="2"/>
  <c r="BD107" i="2"/>
  <c r="BD108" i="2"/>
  <c r="BU31" i="2"/>
  <c r="BU109" i="2"/>
  <c r="BU107" i="2"/>
  <c r="BU108" i="2"/>
  <c r="CO9" i="2"/>
  <c r="CW9" i="2"/>
  <c r="AZ31" i="2"/>
  <c r="AZ109" i="2"/>
  <c r="AZ107" i="2"/>
  <c r="AZ108" i="2"/>
  <c r="BN31" i="2"/>
  <c r="BN109" i="2"/>
  <c r="BN107" i="2"/>
  <c r="BN108" i="2"/>
  <c r="BL10" i="2"/>
  <c r="BP10" i="2"/>
  <c r="BB31" i="2"/>
  <c r="BB107" i="2"/>
  <c r="BB109" i="2"/>
  <c r="BB108" i="2"/>
  <c r="BA109" i="2"/>
  <c r="BA107" i="2"/>
  <c r="BA108" i="2"/>
  <c r="BU10" i="2"/>
  <c r="BM10" i="2"/>
  <c r="BQ109" i="2"/>
  <c r="BQ107" i="2"/>
  <c r="BQ108" i="2"/>
  <c r="S215" i="3"/>
  <c r="DE72" i="2" s="1"/>
  <c r="DE74" i="2" s="1"/>
  <c r="C8" i="1"/>
  <c r="DE65" i="2"/>
  <c r="CN9" i="2"/>
  <c r="CV9" i="2"/>
  <c r="CM10" i="2"/>
  <c r="CU10" i="2"/>
  <c r="CW6" i="2"/>
  <c r="CY6" i="2"/>
  <c r="CZ8" i="2"/>
  <c r="CZ9" i="2"/>
  <c r="CX9" i="2"/>
  <c r="CP9" i="2"/>
  <c r="BF29" i="2"/>
  <c r="BJ10" i="2"/>
  <c r="CX6" i="2"/>
  <c r="DE62" i="2"/>
  <c r="DG63" i="2" s="1"/>
  <c r="DB3" i="2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FH3" i="2" s="1"/>
  <c r="CQ9" i="2"/>
  <c r="CR9" i="2"/>
  <c r="BH10" i="2"/>
  <c r="CK9" i="2"/>
  <c r="CS9" i="2"/>
  <c r="CJ10" i="2"/>
  <c r="CR10" i="2"/>
  <c r="BG29" i="2"/>
  <c r="BP29" i="2"/>
  <c r="BI10" i="2"/>
  <c r="CP10" i="2"/>
  <c r="BG10" i="2"/>
  <c r="CK10" i="2"/>
  <c r="CS10" i="2"/>
  <c r="BH29" i="2"/>
  <c r="CV6" i="2"/>
  <c r="CV10" i="2" s="1"/>
  <c r="BO29" i="2"/>
  <c r="BI29" i="2"/>
  <c r="CQ10" i="2"/>
  <c r="CJ9" i="2"/>
  <c r="BN10" i="2"/>
  <c r="BV13" i="2"/>
  <c r="CO10" i="2"/>
  <c r="CK8" i="2"/>
  <c r="CY9" i="2"/>
  <c r="CU29" i="2"/>
  <c r="BC29" i="2"/>
  <c r="BK29" i="2"/>
  <c r="BC10" i="2"/>
  <c r="BK10" i="2"/>
  <c r="BS10" i="2"/>
  <c r="BV12" i="2"/>
  <c r="CM8" i="2"/>
  <c r="CU8" i="2"/>
  <c r="BT10" i="2"/>
  <c r="BO10" i="2"/>
  <c r="BA31" i="2"/>
  <c r="BV29" i="2"/>
  <c r="BQ31" i="2"/>
  <c r="CW29" i="2"/>
  <c r="CN8" i="2"/>
  <c r="CQ8" i="2"/>
  <c r="CV8" i="2"/>
  <c r="CL8" i="2"/>
  <c r="CT8" i="2"/>
  <c r="CR8" i="2"/>
  <c r="CS8" i="2"/>
  <c r="CJ8" i="2"/>
  <c r="CW8" i="2"/>
  <c r="CO8" i="2"/>
  <c r="CP8" i="2"/>
  <c r="CX8" i="2"/>
  <c r="DJ6" i="2"/>
  <c r="CY8" i="2"/>
  <c r="S209" i="3"/>
  <c r="S210" i="3"/>
  <c r="S211" i="3"/>
  <c r="AA232" i="3" s="1"/>
  <c r="S212" i="3"/>
  <c r="CZ12" i="2" l="1"/>
  <c r="CX10" i="2"/>
  <c r="CY10" i="2"/>
  <c r="BV31" i="2"/>
  <c r="BV109" i="2"/>
  <c r="BV107" i="2"/>
  <c r="BV108" i="2"/>
  <c r="BF31" i="2"/>
  <c r="BF109" i="2"/>
  <c r="BF107" i="2"/>
  <c r="BF108" i="2"/>
  <c r="BE31" i="2"/>
  <c r="BE109" i="2"/>
  <c r="BE107" i="2"/>
  <c r="BE108" i="2"/>
  <c r="CV29" i="2"/>
  <c r="BC109" i="2"/>
  <c r="BC107" i="2"/>
  <c r="BC108" i="2"/>
  <c r="BP109" i="2"/>
  <c r="BP107" i="2"/>
  <c r="BP108" i="2"/>
  <c r="CZ10" i="2"/>
  <c r="BO31" i="2"/>
  <c r="BO109" i="2"/>
  <c r="BO107" i="2"/>
  <c r="BO108" i="2"/>
  <c r="CY12" i="2"/>
  <c r="BG31" i="2"/>
  <c r="BG109" i="2"/>
  <c r="BG107" i="2"/>
  <c r="BG108" i="2"/>
  <c r="BK109" i="2"/>
  <c r="BK107" i="2"/>
  <c r="BK108" i="2"/>
  <c r="BH31" i="2"/>
  <c r="BH109" i="2"/>
  <c r="BH107" i="2"/>
  <c r="BH108" i="2"/>
  <c r="BI31" i="2"/>
  <c r="BI109" i="2"/>
  <c r="BI107" i="2"/>
  <c r="BI108" i="2"/>
  <c r="BM31" i="2"/>
  <c r="BM109" i="2"/>
  <c r="BM107" i="2"/>
  <c r="BM108" i="2"/>
  <c r="BS31" i="2"/>
  <c r="BS109" i="2"/>
  <c r="BS107" i="2"/>
  <c r="CZ29" i="2"/>
  <c r="BS108" i="2"/>
  <c r="DJ64" i="2"/>
  <c r="DJ65" i="2" s="1"/>
  <c r="DJ67" i="2" s="1"/>
  <c r="DJ69" i="2" s="1"/>
  <c r="DJ71" i="2" s="1"/>
  <c r="DK71" i="2" s="1"/>
  <c r="DE67" i="2"/>
  <c r="DE66" i="2"/>
  <c r="BP31" i="2"/>
  <c r="CW10" i="2"/>
  <c r="CY29" i="2"/>
  <c r="BK31" i="2"/>
  <c r="CX29" i="2"/>
  <c r="BC31" i="2"/>
  <c r="DF6" i="2"/>
  <c r="DG6" i="2"/>
  <c r="DI6" i="2"/>
  <c r="DC6" i="2"/>
  <c r="DH6" i="2"/>
  <c r="DD6" i="2"/>
  <c r="DB6" i="2"/>
  <c r="DB10" i="2" s="1"/>
  <c r="DE6" i="2"/>
  <c r="AA222" i="3"/>
  <c r="AA221" i="3"/>
  <c r="AA224" i="3"/>
  <c r="AA231" i="3"/>
  <c r="AA223" i="3"/>
  <c r="AA234" i="3"/>
  <c r="AA230" i="3"/>
  <c r="AA226" i="3"/>
  <c r="AA229" i="3"/>
  <c r="AA233" i="3"/>
  <c r="AA228" i="3"/>
  <c r="AA225" i="3"/>
  <c r="AA227" i="3"/>
  <c r="DI72" i="2" l="1" a="1"/>
  <c r="DD10" i="2"/>
  <c r="DE10" i="2"/>
  <c r="DF10" i="2"/>
  <c r="DE81" i="2"/>
  <c r="DG10" i="2"/>
  <c r="DI10" i="2"/>
  <c r="DH10" i="2"/>
  <c r="DJ10" i="2"/>
  <c r="DC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<sst xmlns="http://schemas.openxmlformats.org/spreadsheetml/2006/main" count="237" uniqueCount="200">
  <si>
    <t xml:space="preserve">Price </t>
  </si>
  <si>
    <t>SO</t>
  </si>
  <si>
    <t>MC</t>
  </si>
  <si>
    <t>Cash</t>
  </si>
  <si>
    <t>Debt</t>
  </si>
  <si>
    <t>EV</t>
  </si>
  <si>
    <t>Investor Relations Contact:</t>
  </si>
  <si>
    <t>SEC filings</t>
  </si>
  <si>
    <t>Godel Terminal</t>
  </si>
  <si>
    <t>Company Overview:</t>
  </si>
  <si>
    <t>[Bold Title]</t>
  </si>
  <si>
    <t>Line Titles</t>
  </si>
  <si>
    <t>&lt;-- General</t>
  </si>
  <si>
    <t>&lt;-- Info</t>
  </si>
  <si>
    <t>[Godel Snapshot]</t>
  </si>
  <si>
    <t>Revenue Breakdown by Segment (Build graph for this section if applicable…. See example below)</t>
  </si>
  <si>
    <t>Notes:</t>
  </si>
  <si>
    <t>[X]</t>
  </si>
  <si>
    <t>[Y]</t>
  </si>
  <si>
    <t>[Z]</t>
  </si>
  <si>
    <t>Close</t>
  </si>
  <si>
    <t>High</t>
  </si>
  <si>
    <t>Low</t>
  </si>
  <si>
    <t>Open</t>
  </si>
  <si>
    <t>Volume</t>
  </si>
  <si>
    <t>UTC Date</t>
  </si>
  <si>
    <t>Change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</si>
  <si>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# of Trading Days? (From: </t>
    </r>
    <r>
      <rPr>
        <i/>
        <sz val="11"/>
        <color theme="1"/>
        <rFont val="Calibre"/>
      </rPr>
      <t>date the data snapshot was collected</t>
    </r>
    <r>
      <rPr>
        <sz val="11"/>
        <color theme="1"/>
        <rFont val="Calibre"/>
      </rPr>
      <t>)</t>
    </r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</si>
  <si>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</si>
  <si>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</si>
  <si>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</si>
  <si>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</si>
  <si>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</si>
  <si>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</si>
  <si>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</si>
  <si>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</si>
  <si>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</si>
  <si>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</si>
  <si>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</si>
  <si>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</si>
  <si>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</si>
  <si>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</si>
  <si>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</si>
  <si>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</si>
  <si>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</si>
  <si>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</si>
  <si>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Q1 2020</t>
  </si>
  <si>
    <t>Q1 2021</t>
  </si>
  <si>
    <t>Q1 2022</t>
  </si>
  <si>
    <t>Q1 2023</t>
  </si>
  <si>
    <t>Q1 2024</t>
  </si>
  <si>
    <t>Q1 2025</t>
  </si>
  <si>
    <t>[Use for Graphing]</t>
  </si>
  <si>
    <t>Quarterly</t>
  </si>
  <si>
    <t>Revenues</t>
  </si>
  <si>
    <t>Ttl Revenues</t>
  </si>
  <si>
    <t>Product A</t>
  </si>
  <si>
    <t>Product B</t>
  </si>
  <si>
    <t>[Segment A] % of Ttl Revenues</t>
  </si>
  <si>
    <t>[Segment B] % of Ttl Revenues</t>
  </si>
  <si>
    <t>Product A Growth Y/y</t>
  </si>
  <si>
    <t>Product B Growth Y/y</t>
  </si>
  <si>
    <t>COGS</t>
  </si>
  <si>
    <t>GP</t>
  </si>
  <si>
    <t>Gross Profit Margin</t>
  </si>
  <si>
    <t>R&amp;D as % of Revenue</t>
  </si>
  <si>
    <t>SG&amp;A as % of Revenue</t>
  </si>
  <si>
    <t>Operating Profit Margin</t>
  </si>
  <si>
    <t>Effective Tax Rate</t>
  </si>
  <si>
    <t>Net Profit Margin</t>
  </si>
  <si>
    <t xml:space="preserve">Cash &amp; CEs </t>
  </si>
  <si>
    <t>ST Investments</t>
  </si>
  <si>
    <t>Marketable Securities</t>
  </si>
  <si>
    <t>Current Ratio</t>
  </si>
  <si>
    <t>Quick Ratio</t>
  </si>
  <si>
    <t>Cash Ratio</t>
  </si>
  <si>
    <t>Inventory Turnover Ratio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</si>
  <si>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</si>
  <si>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</si>
  <si>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</si>
  <si>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</si>
  <si>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</si>
  <si>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</si>
  <si>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</si>
  <si>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</si>
  <si>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Revenues:</t>
  </si>
  <si>
    <t>[Godel Snapshot of projected sales]</t>
  </si>
  <si>
    <t>Earnings Scope:</t>
  </si>
  <si>
    <t>Balance Sheet Scope:</t>
  </si>
  <si>
    <t>[Godel Snapshot of projected balances (assets, liabilities, equity)]</t>
  </si>
  <si>
    <t>[Equity Preformance Compared to Peers]</t>
  </si>
  <si>
    <t>Use Godel CMS command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</si>
  <si>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</si>
  <si>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</si>
  <si>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</si>
  <si>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</si>
  <si>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</si>
  <si>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</si>
  <si>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</si>
  <si>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</si>
  <si>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</si>
  <si>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EPS Growth</t>
  </si>
  <si>
    <t>&lt;- Sharpe Ratio (Risk Adjusted Return)</t>
  </si>
  <si>
    <t>Earnings Calls</t>
  </si>
  <si>
    <t>Equity Analysis</t>
  </si>
  <si>
    <t>https://app.godelterminal.com/</t>
  </si>
  <si>
    <t>Investors Relation Department</t>
  </si>
  <si>
    <t>Business Segments and Geographical Info:</t>
  </si>
  <si>
    <t xml:space="preserve">[Begin researching fundamentals / core business … begin with SEC filings, but expand and use all public resources available] </t>
  </si>
  <si>
    <t>Employee Scope:</t>
  </si>
  <si>
    <t>Resources:</t>
  </si>
  <si>
    <t>Y/y Total Revenues, Net Income, FCF</t>
  </si>
  <si>
    <t>Q/q Total Revenues, Net Income, FCF</t>
  </si>
  <si>
    <t>Company IR Page</t>
  </si>
  <si>
    <t>Company Homepage</t>
  </si>
  <si>
    <t>MacroTrends</t>
  </si>
  <si>
    <t>ROIC, WACC</t>
  </si>
  <si>
    <t>Ttl Revenue Growth Y/y</t>
  </si>
  <si>
    <t>Projected ROIC:</t>
  </si>
  <si>
    <t>Invested Capital</t>
  </si>
  <si>
    <t>ROIC</t>
  </si>
  <si>
    <t>Terminal</t>
  </si>
  <si>
    <t>RFR (10-year yield)</t>
  </si>
  <si>
    <t>ERP 
(Avg. market return - (less) RFR)</t>
  </si>
  <si>
    <t>Equity β (1-year avg.)</t>
  </si>
  <si>
    <t>Discount (Cost of Equity)</t>
  </si>
  <si>
    <t>NPV</t>
  </si>
  <si>
    <t>FV</t>
  </si>
  <si>
    <t>CP</t>
  </si>
  <si>
    <t>Change Δ</t>
  </si>
  <si>
    <t>[Godel Snapshot of projected earnings/EPS + CFFO]</t>
  </si>
  <si>
    <t>VOO Historical Returns</t>
  </si>
  <si>
    <t>Cost of Equity</t>
  </si>
  <si>
    <t>Capital Structure</t>
  </si>
  <si>
    <t>Mkt Cap</t>
  </si>
  <si>
    <t>Debt to Ttl Mkt Cap</t>
  </si>
  <si>
    <t>Mkt Equity to Ttl Mkt Cap</t>
  </si>
  <si>
    <t>Market Return(1-year avg.)</t>
  </si>
  <si>
    <t xml:space="preserve">Cost of Equity </t>
  </si>
  <si>
    <t>Cost of Debt</t>
  </si>
  <si>
    <t>Tax Rate</t>
  </si>
  <si>
    <t>After Tax Cost of Debt</t>
  </si>
  <si>
    <t>WACC</t>
  </si>
  <si>
    <t>2024-2025</t>
  </si>
  <si>
    <r>
      <rPr>
        <b/>
        <sz val="11"/>
        <color rgb="FF0070C0"/>
        <rFont val="Calibre"/>
      </rPr>
      <t>Avg.</t>
    </r>
    <r>
      <rPr>
        <sz val="11"/>
        <color rgb="FF0070C0"/>
        <rFont val="Calibre"/>
      </rPr>
      <t xml:space="preserve"> (2024-2025)</t>
    </r>
  </si>
  <si>
    <t>Ttl Assets</t>
  </si>
  <si>
    <t>Ttl Liabilities</t>
  </si>
  <si>
    <t>Ttl SE</t>
  </si>
  <si>
    <t>Ttl L + SE</t>
  </si>
  <si>
    <t>EPS</t>
  </si>
  <si>
    <t>Fixed Asset Turnover Ratio</t>
  </si>
  <si>
    <t>Ttl Asset Turnover Ratio</t>
  </si>
  <si>
    <t>LT Debt / Equity</t>
  </si>
  <si>
    <t>Institutional Ownership Snapshot Q4'25</t>
  </si>
  <si>
    <t>General Notes/Observations (Updated Q1'26)</t>
  </si>
  <si>
    <t>Financial Stmts. Notes/Observations (Updated Q1'26)</t>
  </si>
  <si>
    <t>CFFO Margin</t>
  </si>
  <si>
    <t>FCF Margin</t>
  </si>
  <si>
    <t>CapEx as % of Revenue</t>
  </si>
  <si>
    <t>Q1 2026</t>
  </si>
  <si>
    <t>Q2'26</t>
  </si>
  <si>
    <t>8/13/2026</t>
  </si>
  <si>
    <t>AVGO</t>
  </si>
  <si>
    <t>Broadcom Inc.</t>
  </si>
  <si>
    <t>Current CEO: Hock Tan</t>
  </si>
  <si>
    <t>Founded: 1991</t>
  </si>
  <si>
    <t>Headquarters: Palo Alto, CA</t>
  </si>
  <si>
    <t>Founder(s): Henry Samueli and Henry Nicholas</t>
  </si>
  <si>
    <t>Employees: 33,000</t>
  </si>
  <si>
    <t>Industry: Semiconductors</t>
  </si>
  <si>
    <t>Sector: Technology</t>
  </si>
  <si>
    <t xml:space="preserve">IPO: Aug 9th, 2009 -- </t>
  </si>
  <si>
    <t>(650) 427 - 6000</t>
  </si>
  <si>
    <t>Registered Exchange: NASDAQ</t>
  </si>
  <si>
    <t>Address: 3421 Hillview Ave, Palo Alto, CA 94304 U.S.</t>
  </si>
  <si>
    <t>Fiscal Year: [December - November]</t>
  </si>
  <si>
    <t>https://www.sec.gov/edgar/browse/?CIK=1730168&amp;owner=exclude</t>
  </si>
  <si>
    <t>https://www.broadcom.com/</t>
  </si>
  <si>
    <t>https://investors.broadcom.com/</t>
  </si>
  <si>
    <t>https://seekingalpha.com/symbol/AVGO/earnings/transcripts</t>
  </si>
  <si>
    <t>https://stockanalysis.com/stocks/avgo/company/</t>
  </si>
  <si>
    <t>https://www.macrotrends.net/stocks/charts/AVGO/broadcom/financial-statements</t>
  </si>
  <si>
    <t>https://www.gurufocus.com/term/wacc/AVGO</t>
  </si>
  <si>
    <t>Broadcom Inc. designs, develops, and supplies various semiconductor devices and infrastructure software solutions internationally</t>
  </si>
  <si>
    <t>The Company operates in two segments: Semiconductor Solutions and Infrastructure Software</t>
  </si>
  <si>
    <t>The company offers networking connectivity, such as custom silicon solutions, ethernet switching &amp; routing, ethernet NIC controllers, physical layer devices, and fiber optic components; wireless device connectivity, including RF semiconductor devices, connectivity solutions, custom touch controllers, and inductive charging ASICS</t>
  </si>
  <si>
    <t>Also offers servers and storage system solutions, such as PCIE switches, SAS &amp; raid products, fibre channel products, and HDD &amp; SSD solutions; broadband solutions, includes set-top box, and broadband access; and industrial</t>
  </si>
  <si>
    <t>The company also offers a private cloud software portfolio, including the VMware Cloud Foundation, Edge, vSphere foundation, telco cloud platform, private AI, live recovery, application networking and security, application development and data services</t>
  </si>
  <si>
    <t>mainframe software, such as AIOPS &amp; automation, database &amp; data management, DEVX &amp; DEVOPS, cybersecurity &amp; compliance management, beyond code programs, foundational &amp; open mainframe solutions; cybersecurity, such as endpoint, network, information, application security, and identity &amp; access management; enterprise software; and fc san management</t>
  </si>
  <si>
    <t>Its products are used in various applications in enterprise and data center networking, including artificial intelligence networking and connectivity, home connectivity, set-top boxes, broadband access, telecommunication equipment, wireless device and base stations, data center servers and storage systems, factory automation, power generation and alternative energy systems, and electronic displays</t>
  </si>
  <si>
    <t>Broadcom Inc. was founded in 1961 and is headquartered in Palo Alto, California</t>
  </si>
  <si>
    <t>Americas</t>
  </si>
  <si>
    <t>APAC</t>
  </si>
  <si>
    <t>EMEA</t>
  </si>
  <si>
    <t>Americas Growth Y/y</t>
  </si>
  <si>
    <t>APAC Growth Y/y</t>
  </si>
  <si>
    <t>EMEA Growth Y/y</t>
  </si>
  <si>
    <t>Americas % of Revenues</t>
  </si>
  <si>
    <t>APAC % of Revenues</t>
  </si>
  <si>
    <t>EMEA % of Revenues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</si>
</sst>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%"/>
    <numFmt numFmtId="166" formatCode="_(* #,##0.0_);_(* \(#,##0.0\);_(* &quot;-&quot;??_);_(@_)"/>
    <numFmt numFmtId="167" formatCode="_(* #,##0_);_(* \(#,##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  <font>
      <sz val="10"/>
      <name val="Arial"/>
      <family val="2"/>
    </font>
    <font>
      <sz val="10"/>
      <name val="Arial Narrow MT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  <xf numFmtId="0" fontId="18" fillId="0" borderId="0" applyNumberFormat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center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0" fontId="16" fillId="0" borderId="0" xfId="2" applyFont="1"/>
    <xf numFmtId="9" fontId="13" fillId="0" borderId="0" xfId="0" applyNumberFormat="1" applyFont="1"/>
    <xf numFmtId="0" fontId="11" fillId="0" borderId="0" xfId="0" applyFont="1" applyAlignment="1">
      <alignment horizontal="left" indent="1"/>
    </xf>
    <xf numFmtId="9" fontId="12" fillId="0" borderId="0" xfId="0" applyNumberFormat="1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10" fontId="13" fillId="0" borderId="0" xfId="0" applyNumberFormat="1" applyFont="1" applyAlignment="1">
      <alignment vertical="top"/>
    </xf>
    <xf numFmtId="1" fontId="13" fillId="0" borderId="0" xfId="0" applyNumberFormat="1" applyFont="1" applyAlignment="1">
      <alignment vertical="top"/>
    </xf>
    <xf numFmtId="164" fontId="13" fillId="0" borderId="0" xfId="0" applyNumberFormat="1" applyFont="1" applyAlignment="1">
      <alignment vertical="top"/>
    </xf>
    <xf numFmtId="165" fontId="13" fillId="0" borderId="0" xfId="1" applyNumberFormat="1" applyFont="1" applyAlignment="1">
      <alignment vertical="top"/>
    </xf>
    <xf numFmtId="0" fontId="12" fillId="0" borderId="0" xfId="0" applyFont="1" applyAlignment="1">
      <alignment vertical="top"/>
    </xf>
    <xf numFmtId="2" fontId="13" fillId="0" borderId="0" xfId="0" applyNumberFormat="1" applyFont="1" applyAlignment="1">
      <alignment vertical="top"/>
    </xf>
    <xf numFmtId="49" fontId="13" fillId="0" borderId="0" xfId="0" applyNumberFormat="1" applyFont="1" applyAlignment="1">
      <alignment horizontal="right" vertical="top"/>
    </xf>
    <xf numFmtId="10" fontId="2" fillId="0" borderId="0" xfId="1" applyNumberFormat="1" applyFont="1"/>
    <xf numFmtId="2" fontId="8" fillId="5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right"/>
    </xf>
    <xf numFmtId="9" fontId="13" fillId="0" borderId="0" xfId="1" applyFont="1"/>
    <xf numFmtId="10" fontId="13" fillId="0" borderId="0" xfId="1" applyNumberFormat="1" applyFont="1"/>
    <xf numFmtId="0" fontId="13" fillId="0" borderId="0" xfId="0" applyFont="1" applyAlignment="1">
      <alignment horizontal="left" indent="1"/>
    </xf>
    <xf numFmtId="0" fontId="12" fillId="0" borderId="0" xfId="0" applyFont="1" applyAlignment="1">
      <alignment horizontal="left" indent="1"/>
    </xf>
    <xf numFmtId="10" fontId="12" fillId="0" borderId="0" xfId="1" applyNumberFormat="1" applyFont="1"/>
    <xf numFmtId="14" fontId="13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left" vertical="top" indent="1"/>
    </xf>
    <xf numFmtId="0" fontId="13" fillId="0" borderId="0" xfId="0" applyFont="1" applyAlignment="1">
      <alignment horizontal="center"/>
    </xf>
    <xf numFmtId="1" fontId="13" fillId="0" borderId="0" xfId="0" applyNumberFormat="1" applyFont="1"/>
    <xf numFmtId="2" fontId="13" fillId="0" borderId="0" xfId="0" applyNumberFormat="1" applyFont="1"/>
    <xf numFmtId="10" fontId="13" fillId="0" borderId="0" xfId="1" applyNumberFormat="1" applyFont="1" applyAlignment="1">
      <alignment horizontal="left" indent="1"/>
    </xf>
    <xf numFmtId="10" fontId="13" fillId="0" borderId="0" xfId="1" applyNumberFormat="1" applyFont="1" applyAlignment="1">
      <alignment horizontal="right"/>
    </xf>
    <xf numFmtId="1" fontId="12" fillId="0" borderId="0" xfId="0" applyNumberFormat="1" applyFont="1" applyAlignment="1">
      <alignment horizontal="left" indent="1"/>
    </xf>
    <xf numFmtId="10" fontId="13" fillId="0" borderId="0" xfId="0" applyNumberFormat="1" applyFont="1"/>
    <xf numFmtId="0" fontId="12" fillId="0" borderId="0" xfId="0" applyFont="1" applyAlignment="1">
      <alignment horizontal="left" vertical="top" indent="1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center"/>
    </xf>
    <xf numFmtId="2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43" fontId="2" fillId="0" borderId="0" xfId="3" applyFont="1" applyAlignment="1">
      <alignment horizontal="left"/>
    </xf>
    <xf numFmtId="166" fontId="2" fillId="0" borderId="0" xfId="3" applyNumberFormat="1" applyFont="1" applyAlignment="1">
      <alignment horizontal="left"/>
    </xf>
    <xf numFmtId="167" fontId="2" fillId="0" borderId="0" xfId="3" applyNumberFormat="1" applyFont="1" applyAlignment="1">
      <alignment horizontal="left"/>
    </xf>
    <xf numFmtId="0" fontId="13" fillId="0" borderId="0" xfId="0" applyFont="1" applyAlignment="1">
      <alignment horizontal="right" vertical="center"/>
    </xf>
    <xf numFmtId="165" fontId="2" fillId="0" borderId="0" xfId="1" applyNumberFormat="1" applyFont="1"/>
    <xf numFmtId="0" fontId="13" fillId="0" borderId="0" xfId="0" applyFont="1" applyAlignment="1">
      <alignment horizontal="center"/>
    </xf>
  </cellXfs>
  <cellStyles count="6">
    <cellStyle name="%" xfId="4" xr:uid="{F7F76075-0775-4296-BCC8-3BB60013C93C}"/>
    <cellStyle name="******************************************" xfId="5" xr:uid="{EE3DF835-1AD9-4184-861F-F32169DEA050}"/>
    <cellStyle name="Comma" xfId="3" builtinId="3"/>
    <cellStyle name="Hyperlink" xfId="2" builtinId="8"/>
    <cellStyle name="Normal" xfId="0" builtinId="0"/>
    <cellStyle name="Percent" xfId="1" builtinId="5"/>
  </cellStyles>
  <dxfs count="5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(Ticker)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[1]Model!$B$6</c:f>
              <c:strCache>
                <c:ptCount val="1"/>
                <c:pt idx="0">
                  <c:v>Medical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[1]Model!$AW$6:$BQ$6</c:f>
              <c:numCache>
                <c:formatCode>General</c:formatCode>
                <c:ptCount val="21"/>
                <c:pt idx="0">
                  <c:v>600</c:v>
                </c:pt>
                <c:pt idx="1">
                  <c:v>705</c:v>
                </c:pt>
                <c:pt idx="2">
                  <c:v>622</c:v>
                </c:pt>
                <c:pt idx="3">
                  <c:v>640</c:v>
                </c:pt>
                <c:pt idx="4">
                  <c:v>636</c:v>
                </c:pt>
                <c:pt idx="5">
                  <c:v>709</c:v>
                </c:pt>
                <c:pt idx="6">
                  <c:v>664</c:v>
                </c:pt>
                <c:pt idx="7">
                  <c:v>666</c:v>
                </c:pt>
                <c:pt idx="8">
                  <c:v>765</c:v>
                </c:pt>
                <c:pt idx="9">
                  <c:v>936</c:v>
                </c:pt>
                <c:pt idx="10">
                  <c:v>778</c:v>
                </c:pt>
                <c:pt idx="11">
                  <c:v>841</c:v>
                </c:pt>
                <c:pt idx="12">
                  <c:v>798</c:v>
                </c:pt>
                <c:pt idx="13">
                  <c:v>1042</c:v>
                </c:pt>
                <c:pt idx="14">
                  <c:v>864</c:v>
                </c:pt>
                <c:pt idx="15">
                  <c:v>908</c:v>
                </c:pt>
                <c:pt idx="16">
                  <c:v>938</c:v>
                </c:pt>
                <c:pt idx="17">
                  <c:v>1142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E-43B3-B662-D76C6E829219}"/>
            </c:ext>
          </c:extLst>
        </c:ser>
        <c:ser>
          <c:idx val="1"/>
          <c:order val="1"/>
          <c:tx>
            <c:strRef>
              <c:f>[1]Model!$B$12</c:f>
              <c:strCache>
                <c:ptCount val="1"/>
                <c:pt idx="0">
                  <c:v>Trauma and Extremities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[1]Model!$AW$12:$BQ$12</c:f>
              <c:numCache>
                <c:formatCode>General</c:formatCode>
                <c:ptCount val="21"/>
                <c:pt idx="0">
                  <c:v>430</c:v>
                </c:pt>
                <c:pt idx="1">
                  <c:v>570</c:v>
                </c:pt>
                <c:pt idx="2">
                  <c:v>640</c:v>
                </c:pt>
                <c:pt idx="3">
                  <c:v>674</c:v>
                </c:pt>
                <c:pt idx="4">
                  <c:v>639</c:v>
                </c:pt>
                <c:pt idx="5">
                  <c:v>711</c:v>
                </c:pt>
                <c:pt idx="6">
                  <c:v>685</c:v>
                </c:pt>
                <c:pt idx="7">
                  <c:v>676</c:v>
                </c:pt>
                <c:pt idx="8">
                  <c:v>672</c:v>
                </c:pt>
                <c:pt idx="9">
                  <c:v>774</c:v>
                </c:pt>
                <c:pt idx="10">
                  <c:v>769</c:v>
                </c:pt>
                <c:pt idx="11">
                  <c:v>766</c:v>
                </c:pt>
                <c:pt idx="12">
                  <c:v>752</c:v>
                </c:pt>
                <c:pt idx="13">
                  <c:v>860</c:v>
                </c:pt>
                <c:pt idx="14">
                  <c:v>830</c:v>
                </c:pt>
                <c:pt idx="15">
                  <c:v>832</c:v>
                </c:pt>
                <c:pt idx="16">
                  <c:v>849</c:v>
                </c:pt>
                <c:pt idx="17">
                  <c:v>996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E-43B3-B662-D76C6E829219}"/>
            </c:ext>
          </c:extLst>
        </c:ser>
        <c:ser>
          <c:idx val="2"/>
          <c:order val="2"/>
          <c:tx>
            <c:strRef>
              <c:f>[1]Model!$B$5</c:f>
              <c:strCache>
                <c:ptCount val="1"/>
                <c:pt idx="0">
                  <c:v>Endoscopy</c:v>
                </c:pt>
              </c:strCache>
            </c:strRef>
          </c:tx>
          <c:spPr>
            <a:solidFill>
              <a:srgbClr val="5881CC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[1]Model!$AW$5:$BQ$5</c:f>
              <c:numCache>
                <c:formatCode>General</c:formatCode>
                <c:ptCount val="21"/>
                <c:pt idx="0">
                  <c:v>467</c:v>
                </c:pt>
                <c:pt idx="1">
                  <c:v>525</c:v>
                </c:pt>
                <c:pt idx="2">
                  <c:v>469</c:v>
                </c:pt>
                <c:pt idx="3">
                  <c:v>518</c:v>
                </c:pt>
                <c:pt idx="4">
                  <c:v>525</c:v>
                </c:pt>
                <c:pt idx="5">
                  <c:v>629</c:v>
                </c:pt>
                <c:pt idx="6">
                  <c:v>538</c:v>
                </c:pt>
                <c:pt idx="7">
                  <c:v>600</c:v>
                </c:pt>
                <c:pt idx="8">
                  <c:v>590</c:v>
                </c:pt>
                <c:pt idx="9">
                  <c:v>997</c:v>
                </c:pt>
                <c:pt idx="10">
                  <c:v>707</c:v>
                </c:pt>
                <c:pt idx="11">
                  <c:v>713</c:v>
                </c:pt>
                <c:pt idx="12">
                  <c:v>746</c:v>
                </c:pt>
                <c:pt idx="13">
                  <c:v>902</c:v>
                </c:pt>
                <c:pt idx="14">
                  <c:v>778</c:v>
                </c:pt>
                <c:pt idx="15">
                  <c:v>768</c:v>
                </c:pt>
                <c:pt idx="16">
                  <c:v>837</c:v>
                </c:pt>
                <c:pt idx="17">
                  <c:v>1006</c:v>
                </c:pt>
                <c:pt idx="18">
                  <c:v>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E-43B3-B662-D76C6E829219}"/>
            </c:ext>
          </c:extLst>
        </c:ser>
        <c:ser>
          <c:idx val="3"/>
          <c:order val="3"/>
          <c:tx>
            <c:strRef>
              <c:f>[1]Model!$B$4</c:f>
              <c:strCache>
                <c:ptCount val="1"/>
                <c:pt idx="0">
                  <c:v>Instruments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[1]Model!$AW$4:$BQ$4</c:f>
              <c:numCache>
                <c:formatCode>General</c:formatCode>
                <c:ptCount val="21"/>
                <c:pt idx="0">
                  <c:v>467</c:v>
                </c:pt>
                <c:pt idx="1">
                  <c:v>555</c:v>
                </c:pt>
                <c:pt idx="2">
                  <c:v>469</c:v>
                </c:pt>
                <c:pt idx="3">
                  <c:v>517</c:v>
                </c:pt>
                <c:pt idx="4">
                  <c:v>525</c:v>
                </c:pt>
                <c:pt idx="5">
                  <c:v>600</c:v>
                </c:pt>
                <c:pt idx="6">
                  <c:v>528</c:v>
                </c:pt>
                <c:pt idx="7">
                  <c:v>563</c:v>
                </c:pt>
                <c:pt idx="8">
                  <c:v>535</c:v>
                </c:pt>
                <c:pt idx="9">
                  <c:v>653</c:v>
                </c:pt>
                <c:pt idx="10">
                  <c:v>566</c:v>
                </c:pt>
                <c:pt idx="11">
                  <c:v>622</c:v>
                </c:pt>
                <c:pt idx="12">
                  <c:v>620</c:v>
                </c:pt>
                <c:pt idx="13">
                  <c:v>726</c:v>
                </c:pt>
                <c:pt idx="14">
                  <c:v>667</c:v>
                </c:pt>
                <c:pt idx="15">
                  <c:v>698</c:v>
                </c:pt>
                <c:pt idx="16">
                  <c:v>679</c:v>
                </c:pt>
                <c:pt idx="17">
                  <c:v>790</c:v>
                </c:pt>
                <c:pt idx="18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3E-43B3-B662-D76C6E829219}"/>
            </c:ext>
          </c:extLst>
        </c:ser>
        <c:ser>
          <c:idx val="4"/>
          <c:order val="4"/>
          <c:tx>
            <c:strRef>
              <c:f>[1]Model!$B$10</c:f>
              <c:strCache>
                <c:ptCount val="1"/>
                <c:pt idx="0">
                  <c:v>Knees</c:v>
                </c:pt>
              </c:strCache>
            </c:strRef>
          </c:tx>
          <c:spPr>
            <a:solidFill>
              <a:srgbClr val="CDE1F3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[1]Model!$AW$10:$BQ$10</c:f>
              <c:numCache>
                <c:formatCode>General</c:formatCode>
                <c:ptCount val="21"/>
                <c:pt idx="0">
                  <c:v>435</c:v>
                </c:pt>
                <c:pt idx="1">
                  <c:v>459</c:v>
                </c:pt>
                <c:pt idx="2">
                  <c:v>412</c:v>
                </c:pt>
                <c:pt idx="3">
                  <c:v>474</c:v>
                </c:pt>
                <c:pt idx="4">
                  <c:v>439</c:v>
                </c:pt>
                <c:pt idx="5">
                  <c:v>523</c:v>
                </c:pt>
                <c:pt idx="6">
                  <c:v>464</c:v>
                </c:pt>
                <c:pt idx="7">
                  <c:v>500</c:v>
                </c:pt>
                <c:pt idx="8">
                  <c:v>481</c:v>
                </c:pt>
                <c:pt idx="9">
                  <c:v>552</c:v>
                </c:pt>
                <c:pt idx="10">
                  <c:v>566</c:v>
                </c:pt>
                <c:pt idx="11">
                  <c:v>562</c:v>
                </c:pt>
                <c:pt idx="12">
                  <c:v>515</c:v>
                </c:pt>
                <c:pt idx="13">
                  <c:v>630</c:v>
                </c:pt>
                <c:pt idx="14">
                  <c:v>588</c:v>
                </c:pt>
                <c:pt idx="15">
                  <c:v>602</c:v>
                </c:pt>
                <c:pt idx="16">
                  <c:v>570</c:v>
                </c:pt>
                <c:pt idx="17">
                  <c:v>687</c:v>
                </c:pt>
                <c:pt idx="18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3E-43B3-B662-D76C6E829219}"/>
            </c:ext>
          </c:extLst>
        </c:ser>
        <c:ser>
          <c:idx val="5"/>
          <c:order val="5"/>
          <c:tx>
            <c:strRef>
              <c:f>[1]Model!$B$8</c:f>
              <c:strCache>
                <c:ptCount val="1"/>
                <c:pt idx="0">
                  <c:v>Neuro Cranial</c:v>
                </c:pt>
              </c:strCache>
            </c:strRef>
          </c:tx>
          <c:spPr>
            <a:solidFill>
              <a:srgbClr val="94346D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[1]Model!$AW$8:$BQ$8</c:f>
              <c:numCache>
                <c:formatCode>General</c:formatCode>
                <c:ptCount val="21"/>
                <c:pt idx="0">
                  <c:v>518</c:v>
                </c:pt>
                <c:pt idx="1">
                  <c:v>312</c:v>
                </c:pt>
                <c:pt idx="2">
                  <c:v>281</c:v>
                </c:pt>
                <c:pt idx="3">
                  <c:v>310</c:v>
                </c:pt>
                <c:pt idx="4">
                  <c:v>299</c:v>
                </c:pt>
                <c:pt idx="5">
                  <c:v>324</c:v>
                </c:pt>
                <c:pt idx="6">
                  <c:v>323</c:v>
                </c:pt>
                <c:pt idx="7">
                  <c:v>337</c:v>
                </c:pt>
                <c:pt idx="8">
                  <c:v>332</c:v>
                </c:pt>
                <c:pt idx="9">
                  <c:v>384</c:v>
                </c:pt>
                <c:pt idx="10">
                  <c:v>355</c:v>
                </c:pt>
                <c:pt idx="11">
                  <c:v>373</c:v>
                </c:pt>
                <c:pt idx="12">
                  <c:v>384</c:v>
                </c:pt>
                <c:pt idx="13">
                  <c:v>764</c:v>
                </c:pt>
                <c:pt idx="14">
                  <c:v>478</c:v>
                </c:pt>
                <c:pt idx="15">
                  <c:v>416</c:v>
                </c:pt>
                <c:pt idx="16">
                  <c:v>441</c:v>
                </c:pt>
                <c:pt idx="17">
                  <c:v>801</c:v>
                </c:pt>
                <c:pt idx="18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3E-43B3-B662-D76C6E829219}"/>
            </c:ext>
          </c:extLst>
        </c:ser>
        <c:ser>
          <c:idx val="6"/>
          <c:order val="6"/>
          <c:tx>
            <c:strRef>
              <c:f>[1]Model!$B$11</c:f>
              <c:strCache>
                <c:ptCount val="1"/>
                <c:pt idx="0">
                  <c:v>Hips</c:v>
                </c:pt>
              </c:strCache>
            </c:strRef>
          </c:tx>
          <c:spPr>
            <a:solidFill>
              <a:srgbClr val="B03E82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[1]Model!$AW$11:$BQ$11</c:f>
              <c:numCache>
                <c:formatCode>General</c:formatCode>
                <c:ptCount val="21"/>
                <c:pt idx="0">
                  <c:v>334</c:v>
                </c:pt>
                <c:pt idx="1">
                  <c:v>340</c:v>
                </c:pt>
                <c:pt idx="2">
                  <c:v>309</c:v>
                </c:pt>
                <c:pt idx="3">
                  <c:v>353</c:v>
                </c:pt>
                <c:pt idx="4">
                  <c:v>328</c:v>
                </c:pt>
                <c:pt idx="5">
                  <c:v>352</c:v>
                </c:pt>
                <c:pt idx="6">
                  <c:v>327</c:v>
                </c:pt>
                <c:pt idx="7">
                  <c:v>364</c:v>
                </c:pt>
                <c:pt idx="8">
                  <c:v>347</c:v>
                </c:pt>
                <c:pt idx="9">
                  <c:v>375</c:v>
                </c:pt>
                <c:pt idx="10">
                  <c:v>375</c:v>
                </c:pt>
                <c:pt idx="11">
                  <c:v>393</c:v>
                </c:pt>
                <c:pt idx="12">
                  <c:v>362</c:v>
                </c:pt>
                <c:pt idx="13">
                  <c:v>414</c:v>
                </c:pt>
                <c:pt idx="14">
                  <c:v>393</c:v>
                </c:pt>
                <c:pt idx="15">
                  <c:v>428</c:v>
                </c:pt>
                <c:pt idx="16">
                  <c:v>420</c:v>
                </c:pt>
                <c:pt idx="17">
                  <c:v>463</c:v>
                </c:pt>
                <c:pt idx="18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3E-43B3-B662-D76C6E829219}"/>
            </c:ext>
          </c:extLst>
        </c:ser>
        <c:ser>
          <c:idx val="7"/>
          <c:order val="7"/>
          <c:tx>
            <c:strRef>
              <c:f>[1]Model!$B$7</c:f>
              <c:strCache>
                <c:ptCount val="1"/>
                <c:pt idx="0">
                  <c:v>Vascular</c:v>
                </c:pt>
              </c:strCache>
            </c:strRef>
          </c:tx>
          <c:spPr>
            <a:solidFill>
              <a:srgbClr val="CF73A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[1]Model!$AW$7:$BQ$7</c:f>
              <c:numCache>
                <c:formatCode>General</c:formatCode>
                <c:ptCount val="21"/>
                <c:pt idx="0">
                  <c:v>66</c:v>
                </c:pt>
                <c:pt idx="1">
                  <c:v>82</c:v>
                </c:pt>
                <c:pt idx="2">
                  <c:v>289</c:v>
                </c:pt>
                <c:pt idx="3">
                  <c:v>301</c:v>
                </c:pt>
                <c:pt idx="4">
                  <c:v>295</c:v>
                </c:pt>
                <c:pt idx="5">
                  <c:v>303</c:v>
                </c:pt>
                <c:pt idx="6">
                  <c:v>301</c:v>
                </c:pt>
                <c:pt idx="7">
                  <c:v>306</c:v>
                </c:pt>
                <c:pt idx="8">
                  <c:v>294</c:v>
                </c:pt>
                <c:pt idx="9">
                  <c:v>299</c:v>
                </c:pt>
                <c:pt idx="10">
                  <c:v>284</c:v>
                </c:pt>
                <c:pt idx="11">
                  <c:v>311</c:v>
                </c:pt>
                <c:pt idx="12">
                  <c:v>311</c:v>
                </c:pt>
                <c:pt idx="13">
                  <c:v>320</c:v>
                </c:pt>
                <c:pt idx="14">
                  <c:v>310</c:v>
                </c:pt>
                <c:pt idx="15">
                  <c:v>327</c:v>
                </c:pt>
                <c:pt idx="16">
                  <c:v>329</c:v>
                </c:pt>
                <c:pt idx="17">
                  <c:v>341</c:v>
                </c:pt>
                <c:pt idx="18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3E-43B3-B662-D76C6E829219}"/>
            </c:ext>
          </c:extLst>
        </c:ser>
        <c:ser>
          <c:idx val="8"/>
          <c:order val="8"/>
          <c:tx>
            <c:strRef>
              <c:f>[1]Model!$B$13</c:f>
              <c:strCache>
                <c:ptCount val="1"/>
                <c:pt idx="0">
                  <c:v>Spinal Implants</c:v>
                </c:pt>
              </c:strCache>
            </c:strRef>
          </c:tx>
          <c:spPr>
            <a:solidFill>
              <a:srgbClr val="E1A9C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[1]Model!$AW$13:$BQ$13</c:f>
              <c:numCache>
                <c:formatCode>General</c:formatCode>
                <c:ptCount val="21"/>
                <c:pt idx="0">
                  <c:v>302</c:v>
                </c:pt>
                <c:pt idx="1">
                  <c:v>307</c:v>
                </c:pt>
                <c:pt idx="2">
                  <c:v>278</c:v>
                </c:pt>
                <c:pt idx="3">
                  <c:v>307</c:v>
                </c:pt>
                <c:pt idx="4">
                  <c:v>282</c:v>
                </c:pt>
                <c:pt idx="5">
                  <c:v>300</c:v>
                </c:pt>
                <c:pt idx="6">
                  <c:v>279</c:v>
                </c:pt>
                <c:pt idx="7">
                  <c:v>290</c:v>
                </c:pt>
                <c:pt idx="8">
                  <c:v>280</c:v>
                </c:pt>
                <c:pt idx="9">
                  <c:v>297</c:v>
                </c:pt>
                <c:pt idx="10">
                  <c:v>284</c:v>
                </c:pt>
                <c:pt idx="11">
                  <c:v>296</c:v>
                </c:pt>
                <c:pt idx="12">
                  <c:v>291</c:v>
                </c:pt>
                <c:pt idx="13">
                  <c:v>122</c:v>
                </c:pt>
                <c:pt idx="14">
                  <c:v>171</c:v>
                </c:pt>
                <c:pt idx="15">
                  <c:v>307</c:v>
                </c:pt>
                <c:pt idx="16">
                  <c:v>304</c:v>
                </c:pt>
                <c:pt idx="17">
                  <c:v>85</c:v>
                </c:pt>
                <c:pt idx="18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3E-43B3-B662-D76C6E829219}"/>
            </c:ext>
          </c:extLst>
        </c:ser>
        <c:ser>
          <c:idx val="9"/>
          <c:order val="9"/>
          <c:tx>
            <c:strRef>
              <c:f>[1]Model!$B$14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0D4E5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[1]Model!$AW$14:$BQ$14</c:f>
              <c:numCache>
                <c:formatCode>General</c:formatCode>
                <c:ptCount val="21"/>
                <c:pt idx="0">
                  <c:v>118</c:v>
                </c:pt>
                <c:pt idx="1">
                  <c:v>157</c:v>
                </c:pt>
                <c:pt idx="2">
                  <c:v>123</c:v>
                </c:pt>
                <c:pt idx="3">
                  <c:v>127</c:v>
                </c:pt>
                <c:pt idx="4">
                  <c:v>123</c:v>
                </c:pt>
                <c:pt idx="5">
                  <c:v>176</c:v>
                </c:pt>
                <c:pt idx="6">
                  <c:v>97</c:v>
                </c:pt>
                <c:pt idx="7">
                  <c:v>114</c:v>
                </c:pt>
                <c:pt idx="8">
                  <c:v>111</c:v>
                </c:pt>
                <c:pt idx="9">
                  <c:v>153</c:v>
                </c:pt>
                <c:pt idx="10">
                  <c:v>94</c:v>
                </c:pt>
                <c:pt idx="11">
                  <c:v>119</c:v>
                </c:pt>
                <c:pt idx="12">
                  <c:v>130</c:v>
                </c:pt>
                <c:pt idx="13">
                  <c:v>35</c:v>
                </c:pt>
                <c:pt idx="14">
                  <c:v>164</c:v>
                </c:pt>
                <c:pt idx="15">
                  <c:v>136</c:v>
                </c:pt>
                <c:pt idx="16">
                  <c:v>127</c:v>
                </c:pt>
                <c:pt idx="17">
                  <c:v>125</c:v>
                </c:pt>
                <c:pt idx="1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3E-43B3-B662-D76C6E829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(BSX)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6-4EF6-8D0F-B65629DF816B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(Ticker)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1-Day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Historical Return Histogram + Normal Distribution Overlay</a:t>
            </a:r>
          </a:p>
        </c:rich>
      </c:tx>
      <c:layout>
        <c:manualLayout>
          <c:xMode val="edge"/>
          <c:yMode val="edge"/>
          <c:x val="0.20889544553558131"/>
          <c:y val="1.6269853463257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152794667284949E-2"/>
          <c:y val="7.3102355294668728E-2"/>
          <c:w val="0.94945999344094489"/>
          <c:h val="0.872351230783330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'Notes | Quant Analysis'!$T$219</c:f>
              <c:strCache>
                <c:ptCount val="1"/>
                <c:pt idx="0">
                  <c:v>Histogram Data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270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Analysis'!$T$221:$T$283</c:f>
              <c:numCache>
                <c:formatCode>General</c:formatCode>
                <c:ptCount val="63"/>
              </c:numCache>
            </c:numRef>
          </c:xVal>
          <c:yVal>
            <c:numRef>
              <c:f>'Notes | Quant Analysis'!$U$221:$U$283</c:f>
              <c:numCache>
                <c:formatCode>General</c:formatCode>
                <c:ptCount val="6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C8-46E7-8417-05DC731C65AA}"/>
            </c:ext>
          </c:extLst>
        </c:ser>
        <c:ser>
          <c:idx val="1"/>
          <c:order val="1"/>
          <c:tx>
            <c:strRef>
              <c:f>'Notes | Quant Analysis'!$W$219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'Notes | Quant Analysis'!$W$221:$W$283</c:f>
              <c:numCache>
                <c:formatCode>General</c:formatCode>
                <c:ptCount val="63"/>
              </c:numCache>
            </c:numRef>
          </c:xVal>
          <c:yVal>
            <c:numRef>
              <c:f>'Notes | Quant Analysis'!$X$221:$X$283</c:f>
              <c:numCache>
                <c:formatCode>General</c:formatCode>
                <c:ptCount val="6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C8-46E7-8417-05DC731C65AA}"/>
            </c:ext>
          </c:extLst>
        </c:ser>
        <c:ser>
          <c:idx val="2"/>
          <c:order val="2"/>
          <c:tx>
            <c:strRef>
              <c:f>'Notes | Quant Analysis'!$Z$221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Analysis'!$AA$221:$AA$222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Analysis'!$AB$221:$AB$222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4C8-46E7-8417-05DC731C65AA}"/>
            </c:ext>
          </c:extLst>
        </c:ser>
        <c:ser>
          <c:idx val="3"/>
          <c:order val="3"/>
          <c:tx>
            <c:strRef>
              <c:f>'Notes | Quant Analysis'!$Z$223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Analysis'!$AA$223:$AA$224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Analysis'!$AB$223:$AB$224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4C8-46E7-8417-05DC731C65AA}"/>
            </c:ext>
          </c:extLst>
        </c:ser>
        <c:ser>
          <c:idx val="4"/>
          <c:order val="4"/>
          <c:tx>
            <c:strRef>
              <c:f>'Notes | Quant Analysis'!$Z$225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Analysis'!$AA$225:$AA$226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Analysis'!$AB$225:$AB$226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4C8-46E7-8417-05DC731C65AA}"/>
            </c:ext>
          </c:extLst>
        </c:ser>
        <c:ser>
          <c:idx val="5"/>
          <c:order val="5"/>
          <c:tx>
            <c:strRef>
              <c:f>'Notes | Quant Analysis'!$Z$227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Analysis'!$AA$227:$AA$228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Analysis'!$AB$227:$AB$228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4C8-46E7-8417-05DC731C65AA}"/>
            </c:ext>
          </c:extLst>
        </c:ser>
        <c:ser>
          <c:idx val="6"/>
          <c:order val="6"/>
          <c:tx>
            <c:strRef>
              <c:f>'Notes | Quant Analysis'!$Z$229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Analysis'!$AA$229:$AA$230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Analysis'!$AB$229:$AB$230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4C8-46E7-8417-05DC731C65AA}"/>
            </c:ext>
          </c:extLst>
        </c:ser>
        <c:ser>
          <c:idx val="7"/>
          <c:order val="7"/>
          <c:tx>
            <c:strRef>
              <c:f>'Notes | Quant Analysis'!$Z$231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Analysis'!$AA$231:$AA$232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Analysis'!$AB$231:$AB$232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64C8-46E7-8417-05DC731C65AA}"/>
            </c:ext>
          </c:extLst>
        </c:ser>
        <c:ser>
          <c:idx val="8"/>
          <c:order val="8"/>
          <c:tx>
            <c:strRef>
              <c:f>'Notes | Quant Analysis'!$Z$233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Analysis'!$AA$233:$AA$234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'Notes | Quant Analysis'!$AB$233:$AB$234</c:f>
              <c:numCache>
                <c:formatCode>General</c:formatCode>
                <c:ptCount val="2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64C8-46E7-8417-05DC731C6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843279"/>
        <c:axId val="1297840879"/>
      </c:scatterChart>
      <c:valAx>
        <c:axId val="1297843279"/>
        <c:scaling>
          <c:orientation val="minMax"/>
          <c:max val="4.5000000000000012E-2"/>
          <c:min val="-4.500000000000001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840879"/>
        <c:crosses val="autoZero"/>
        <c:crossBetween val="midCat"/>
        <c:majorUnit val="5.000000000000001E-3"/>
      </c:valAx>
      <c:valAx>
        <c:axId val="129784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843279"/>
        <c:crossesAt val="-1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(BSX) Annual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C-48BA-84D0-EF540439F646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(TDY)</a:t>
            </a:r>
            <a:r>
              <a:rPr lang="en-US" baseline="0"/>
              <a:t> Customer Mix Chart: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42492641934959"/>
          <c:y val="0.17644407257262365"/>
          <c:w val="0.82176439166326731"/>
          <c:h val="0.7379950885103777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[3]Model!$B$21</c:f>
              <c:strCache>
                <c:ptCount val="1"/>
                <c:pt idx="0">
                  <c:v>U.S. Government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[3]Model!$AY$3:$BP$3</c:f>
              <c:strCache>
                <c:ptCount val="18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</c:strCache>
            </c:strRef>
          </c:cat>
          <c:val>
            <c:numRef>
              <c:f>[3]Model!$AY$29:$BP$29</c:f>
              <c:numCache>
                <c:formatCode>General</c:formatCode>
                <c:ptCount val="18"/>
                <c:pt idx="0">
                  <c:v>0.23482210446631338</c:v>
                </c:pt>
                <c:pt idx="1">
                  <c:v>0.2532084378226877</c:v>
                </c:pt>
                <c:pt idx="2">
                  <c:v>0.25498679964799065</c:v>
                </c:pt>
                <c:pt idx="3">
                  <c:v>0.25292624453532647</c:v>
                </c:pt>
                <c:pt idx="4">
                  <c:v>0.22518614906383286</c:v>
                </c:pt>
                <c:pt idx="5">
                  <c:v>0.22236260265319013</c:v>
                </c:pt>
                <c:pt idx="6">
                  <c:v>0.25012477718360071</c:v>
                </c:pt>
                <c:pt idx="7">
                  <c:v>0.28252631578947363</c:v>
                </c:pt>
                <c:pt idx="8">
                  <c:v>0.22413154581142142</c:v>
                </c:pt>
                <c:pt idx="9">
                  <c:v>0.22421948912015141</c:v>
                </c:pt>
                <c:pt idx="10">
                  <c:v>0.24897817803948735</c:v>
                </c:pt>
                <c:pt idx="11">
                  <c:v>0.2709179258470345</c:v>
                </c:pt>
                <c:pt idx="12">
                  <c:v>0.25643147803296784</c:v>
                </c:pt>
                <c:pt idx="13">
                  <c:v>0.25071018035277798</c:v>
                </c:pt>
                <c:pt idx="14">
                  <c:v>0.25787593374472229</c:v>
                </c:pt>
                <c:pt idx="15">
                  <c:v>0.25497736153321349</c:v>
                </c:pt>
                <c:pt idx="16">
                  <c:v>0.25966284212550478</c:v>
                </c:pt>
                <c:pt idx="17">
                  <c:v>0.25377443609022554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E-444D-8805-E34312DE5FF5}"/>
            </c:ext>
          </c:extLst>
        </c:ser>
        <c:ser>
          <c:idx val="1"/>
          <c:order val="1"/>
          <c:tx>
            <c:strRef>
              <c:f>[3]Model!$B$22</c:f>
              <c:strCache>
                <c:ptCount val="1"/>
                <c:pt idx="0">
                  <c:v>Commercial &amp; Other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[3]Model!$AY$3:$BP$3</c:f>
              <c:strCache>
                <c:ptCount val="18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</c:strCache>
            </c:strRef>
          </c:cat>
          <c:val>
            <c:numRef>
              <c:f>[3]Model!$AY$30:$BP$30</c:f>
              <c:numCache>
                <c:formatCode>General</c:formatCode>
                <c:ptCount val="18"/>
                <c:pt idx="0">
                  <c:v>0.76517789553368654</c:v>
                </c:pt>
                <c:pt idx="1">
                  <c:v>0.74679156217731235</c:v>
                </c:pt>
                <c:pt idx="2">
                  <c:v>0.74501320035200946</c:v>
                </c:pt>
                <c:pt idx="3">
                  <c:v>0.74707375546467347</c:v>
                </c:pt>
                <c:pt idx="4">
                  <c:v>0.77481385093616717</c:v>
                </c:pt>
                <c:pt idx="5">
                  <c:v>0.77763739734680992</c:v>
                </c:pt>
                <c:pt idx="6">
                  <c:v>0.74987522281639929</c:v>
                </c:pt>
                <c:pt idx="7">
                  <c:v>0.71747368421052637</c:v>
                </c:pt>
                <c:pt idx="8">
                  <c:v>0.77586845418857864</c:v>
                </c:pt>
                <c:pt idx="9">
                  <c:v>0.77578051087984867</c:v>
                </c:pt>
                <c:pt idx="10">
                  <c:v>0.75102182196051259</c:v>
                </c:pt>
                <c:pt idx="11">
                  <c:v>0.72908207415296544</c:v>
                </c:pt>
                <c:pt idx="12">
                  <c:v>0.74356852196703227</c:v>
                </c:pt>
                <c:pt idx="13">
                  <c:v>0.74928981964722208</c:v>
                </c:pt>
                <c:pt idx="14">
                  <c:v>0.74212406625527771</c:v>
                </c:pt>
                <c:pt idx="15">
                  <c:v>0.74502263846678651</c:v>
                </c:pt>
                <c:pt idx="16">
                  <c:v>0.74033715787449528</c:v>
                </c:pt>
                <c:pt idx="17">
                  <c:v>0.74622556390977435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5E-444D-8805-E34312DE5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7718351"/>
        <c:axId val="1852422639"/>
      </c:barChart>
      <c:catAx>
        <c:axId val="1857718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422639"/>
        <c:crosses val="autoZero"/>
        <c:auto val="1"/>
        <c:lblAlgn val="ctr"/>
        <c:lblOffset val="100"/>
        <c:noMultiLvlLbl val="0"/>
      </c:catAx>
      <c:valAx>
        <c:axId val="185242263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71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800871452550721"/>
          <c:y val="8.7475275455283039E-2"/>
          <c:w val="0.66562845214696642"/>
          <c:h val="8.2905937059580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11205</xdr:colOff>
      <xdr:row>2</xdr:row>
      <xdr:rowOff>11205</xdr:rowOff>
    </xdr:from>
    <xdr:to>
      <xdr:col>7</xdr:col>
      <xdr:colOff>593912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559651-DD9E-F6A4-2704-E0BE4B301A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636" t="9910" r="3030" b="7207"/>
        <a:stretch>
          <a:fillRect/>
        </a:stretch>
      </xdr:blipFill>
      <xdr:spPr>
        <a:xfrm>
          <a:off x="2823881" y="380999"/>
          <a:ext cx="1792943" cy="10645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75</xdr:col>
      <xdr:colOff>593911</xdr:colOff>
      <xdr:row>0</xdr:row>
      <xdr:rowOff>0</xdr:rowOff>
    </xdr:from>
    <xdr:to>
      <xdr:col>75</xdr:col>
      <xdr:colOff>593911</xdr:colOff>
      <xdr:row>113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D82459E-58B3-42DB-9684-9D533E1F9712}"/>
            </a:ext>
          </a:extLst>
        </xdr:cNvPr>
        <xdr:cNvCxnSpPr/>
      </xdr:nvCxnSpPr>
      <xdr:spPr>
        <a:xfrm>
          <a:off x="47412087" y="0"/>
          <a:ext cx="0" cy="2340460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0</xdr:colOff>
      <xdr:row>0</xdr:row>
      <xdr:rowOff>0</xdr:rowOff>
    </xdr:from>
    <xdr:to>
      <xdr:col>105</xdr:col>
      <xdr:colOff>0</xdr:colOff>
      <xdr:row>112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1E5F4-1B9E-487D-83F1-747CF5EB542B}"/>
            </a:ext>
          </a:extLst>
        </xdr:cNvPr>
        <xdr:cNvCxnSpPr/>
      </xdr:nvCxnSpPr>
      <xdr:spPr>
        <a:xfrm>
          <a:off x="64971706" y="0"/>
          <a:ext cx="0" cy="2314911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68</xdr:row>
      <xdr:rowOff>190499</xdr:rowOff>
    </xdr:from>
    <xdr:to>
      <xdr:col>31</xdr:col>
      <xdr:colOff>0</xdr:colOff>
      <xdr:row>99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D92D-8EF4-4572-94B5-6164D395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105</xdr:row>
      <xdr:rowOff>0</xdr:rowOff>
    </xdr:from>
    <xdr:to>
      <xdr:col>31</xdr:col>
      <xdr:colOff>0</xdr:colOff>
      <xdr:row>133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860B7-2944-492B-8E4C-F0D96D28C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170</xdr:row>
      <xdr:rowOff>0</xdr:rowOff>
    </xdr:from>
    <xdr:to>
      <xdr:col>31</xdr:col>
      <xdr:colOff>0</xdr:colOff>
      <xdr:row>198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138</xdr:row>
      <xdr:rowOff>0</xdr:rowOff>
    </xdr:from>
    <xdr:to>
      <xdr:col>31</xdr:col>
      <xdr:colOff>0</xdr:colOff>
      <xdr:row>166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7CCC47-4E69-431D-A35B-BB93EEC5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0</xdr:colOff>
      <xdr:row>69</xdr:row>
      <xdr:rowOff>0</xdr:rowOff>
    </xdr:from>
    <xdr:to>
      <xdr:col>39</xdr:col>
      <xdr:colOff>0</xdr:colOff>
      <xdr:row>100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65F3C6-E3BA-4823-97B1-522A94E05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SYK_Model.xlsx" TargetMode="External"/><Relationship Id="rId1" Type="http://schemas.openxmlformats.org/officeDocument/2006/relationships/externalLinkPath" Target="https://d.docs.live.net/Users/User/Desktop/Equity%20Research/Models/Health%20Care/MedTech/SYK_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https://d.docs.live.net/Users/User/Desktop/Equity%20Research/Models/Health%20Care/MedTech/BSX_Mode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Equity%20Research\Models\Industrials\TDY_Model.xlsx" TargetMode="External"/><Relationship Id="rId1" Type="http://schemas.openxmlformats.org/officeDocument/2006/relationships/externalLinkPath" Target="file:///C:\Users\User\OneDrive\Desktop\Equity%20Research\Models\Industrials\TDY_Model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OneDrive\Desktop\Equity%20Research\Models\Health%20Care\MedTech\BSX_Model.xlsx" TargetMode="External"/><Relationship Id="rId1" Type="http://schemas.openxmlformats.org/officeDocument/2006/relationships/externalLinkPath" Target="file:///C:\Users\User\OneDrive\Desktop\Equity%20Research\Models\Health%20Care\MedTech\BSX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M&amp;A"/>
      <sheetName val="Management"/>
      <sheetName val="Markets | Product Lines"/>
      <sheetName val="Debt Schedule"/>
    </sheetNames>
    <sheetDataSet>
      <sheetData sheetId="0"/>
      <sheetData sheetId="1">
        <row r="1">
          <cell r="AY1" t="str">
            <v>Q1 2021</v>
          </cell>
          <cell r="BC1" t="str">
            <v>Q1 2022</v>
          </cell>
          <cell r="BG1" t="str">
            <v>Q1 2023</v>
          </cell>
          <cell r="BK1" t="str">
            <v>Q1 2024</v>
          </cell>
          <cell r="BO1" t="str">
            <v>Q1 2025</v>
          </cell>
        </row>
        <row r="4">
          <cell r="B4" t="str">
            <v>Instruments</v>
          </cell>
          <cell r="AW4">
            <v>467</v>
          </cell>
          <cell r="AX4">
            <v>555</v>
          </cell>
          <cell r="AY4">
            <v>469</v>
          </cell>
          <cell r="AZ4">
            <v>517</v>
          </cell>
          <cell r="BA4">
            <v>525</v>
          </cell>
          <cell r="BB4">
            <v>600</v>
          </cell>
          <cell r="BC4">
            <v>528</v>
          </cell>
          <cell r="BD4">
            <v>563</v>
          </cell>
          <cell r="BE4">
            <v>535</v>
          </cell>
          <cell r="BF4">
            <v>653</v>
          </cell>
          <cell r="BG4">
            <v>566</v>
          </cell>
          <cell r="BH4">
            <v>622</v>
          </cell>
          <cell r="BI4">
            <v>620</v>
          </cell>
          <cell r="BJ4">
            <v>726</v>
          </cell>
          <cell r="BK4">
            <v>667</v>
          </cell>
          <cell r="BL4">
            <v>698</v>
          </cell>
          <cell r="BM4">
            <v>679</v>
          </cell>
          <cell r="BN4">
            <v>790</v>
          </cell>
          <cell r="BO4">
            <v>730</v>
          </cell>
          <cell r="BP4"/>
          <cell r="BQ4"/>
        </row>
        <row r="5">
          <cell r="B5" t="str">
            <v>Endoscopy</v>
          </cell>
          <cell r="AW5">
            <v>467</v>
          </cell>
          <cell r="AX5">
            <v>525</v>
          </cell>
          <cell r="AY5">
            <v>469</v>
          </cell>
          <cell r="AZ5">
            <v>518</v>
          </cell>
          <cell r="BA5">
            <v>525</v>
          </cell>
          <cell r="BB5">
            <v>629</v>
          </cell>
          <cell r="BC5">
            <v>538</v>
          </cell>
          <cell r="BD5">
            <v>600</v>
          </cell>
          <cell r="BE5">
            <v>590</v>
          </cell>
          <cell r="BF5">
            <v>997</v>
          </cell>
          <cell r="BG5">
            <v>707</v>
          </cell>
          <cell r="BH5">
            <v>713</v>
          </cell>
          <cell r="BI5">
            <v>746</v>
          </cell>
          <cell r="BJ5">
            <v>902</v>
          </cell>
          <cell r="BK5">
            <v>778</v>
          </cell>
          <cell r="BL5">
            <v>768</v>
          </cell>
          <cell r="BM5">
            <v>837</v>
          </cell>
          <cell r="BN5">
            <v>1006</v>
          </cell>
          <cell r="BO5">
            <v>867</v>
          </cell>
          <cell r="BP5"/>
          <cell r="BQ5"/>
        </row>
        <row r="6">
          <cell r="B6" t="str">
            <v>Medical</v>
          </cell>
          <cell r="AW6">
            <v>600</v>
          </cell>
          <cell r="AX6">
            <v>705</v>
          </cell>
          <cell r="AY6">
            <v>622</v>
          </cell>
          <cell r="AZ6">
            <v>640</v>
          </cell>
          <cell r="BA6">
            <v>636</v>
          </cell>
          <cell r="BB6">
            <v>709</v>
          </cell>
          <cell r="BC6">
            <v>664</v>
          </cell>
          <cell r="BD6">
            <v>666</v>
          </cell>
          <cell r="BE6">
            <v>765</v>
          </cell>
          <cell r="BF6">
            <v>936</v>
          </cell>
          <cell r="BG6">
            <v>778</v>
          </cell>
          <cell r="BH6">
            <v>841</v>
          </cell>
          <cell r="BI6">
            <v>798</v>
          </cell>
          <cell r="BJ6">
            <v>1042</v>
          </cell>
          <cell r="BK6">
            <v>864</v>
          </cell>
          <cell r="BL6">
            <v>908</v>
          </cell>
          <cell r="BM6">
            <v>938</v>
          </cell>
          <cell r="BN6">
            <v>1142</v>
          </cell>
          <cell r="BO6">
            <v>945</v>
          </cell>
          <cell r="BP6"/>
          <cell r="BQ6"/>
        </row>
        <row r="7">
          <cell r="B7" t="str">
            <v>Vascular</v>
          </cell>
          <cell r="AW7">
            <v>66</v>
          </cell>
          <cell r="AX7">
            <v>82</v>
          </cell>
          <cell r="AY7">
            <v>289</v>
          </cell>
          <cell r="AZ7">
            <v>301</v>
          </cell>
          <cell r="BA7">
            <v>295</v>
          </cell>
          <cell r="BB7">
            <v>303</v>
          </cell>
          <cell r="BC7">
            <v>301</v>
          </cell>
          <cell r="BD7">
            <v>306</v>
          </cell>
          <cell r="BE7">
            <v>294</v>
          </cell>
          <cell r="BF7">
            <v>299</v>
          </cell>
          <cell r="BG7">
            <v>284</v>
          </cell>
          <cell r="BH7">
            <v>311</v>
          </cell>
          <cell r="BI7">
            <v>311</v>
          </cell>
          <cell r="BJ7">
            <v>320</v>
          </cell>
          <cell r="BK7">
            <v>310</v>
          </cell>
          <cell r="BL7">
            <v>327</v>
          </cell>
          <cell r="BM7">
            <v>329</v>
          </cell>
          <cell r="BN7">
            <v>341</v>
          </cell>
          <cell r="BO7">
            <v>406</v>
          </cell>
          <cell r="BP7"/>
          <cell r="BQ7"/>
        </row>
        <row r="8">
          <cell r="B8" t="str">
            <v>Neuro Cranial</v>
          </cell>
          <cell r="AW8">
            <v>518</v>
          </cell>
          <cell r="AX8">
            <v>312</v>
          </cell>
          <cell r="AY8">
            <v>281</v>
          </cell>
          <cell r="AZ8">
            <v>310</v>
          </cell>
          <cell r="BA8">
            <v>299</v>
          </cell>
          <cell r="BB8">
            <v>324</v>
          </cell>
          <cell r="BC8">
            <v>323</v>
          </cell>
          <cell r="BD8">
            <v>337</v>
          </cell>
          <cell r="BE8">
            <v>332</v>
          </cell>
          <cell r="BF8">
            <v>384</v>
          </cell>
          <cell r="BG8">
            <v>355</v>
          </cell>
          <cell r="BH8">
            <v>373</v>
          </cell>
          <cell r="BI8">
            <v>384</v>
          </cell>
          <cell r="BJ8">
            <v>764</v>
          </cell>
          <cell r="BK8">
            <v>478</v>
          </cell>
          <cell r="BL8">
            <v>416</v>
          </cell>
          <cell r="BM8">
            <v>441</v>
          </cell>
          <cell r="BN8">
            <v>801</v>
          </cell>
          <cell r="BO8">
            <v>563</v>
          </cell>
          <cell r="BP8"/>
          <cell r="BQ8"/>
        </row>
        <row r="10">
          <cell r="B10" t="str">
            <v>Knees</v>
          </cell>
          <cell r="AW10">
            <v>435</v>
          </cell>
          <cell r="AX10">
            <v>459</v>
          </cell>
          <cell r="AY10">
            <v>412</v>
          </cell>
          <cell r="AZ10">
            <v>474</v>
          </cell>
          <cell r="BA10">
            <v>439</v>
          </cell>
          <cell r="BB10">
            <v>523</v>
          </cell>
          <cell r="BC10">
            <v>464</v>
          </cell>
          <cell r="BD10">
            <v>500</v>
          </cell>
          <cell r="BE10">
            <v>481</v>
          </cell>
          <cell r="BF10">
            <v>552</v>
          </cell>
          <cell r="BG10">
            <v>566</v>
          </cell>
          <cell r="BH10">
            <v>562</v>
          </cell>
          <cell r="BI10">
            <v>515</v>
          </cell>
          <cell r="BJ10">
            <v>630</v>
          </cell>
          <cell r="BK10">
            <v>588</v>
          </cell>
          <cell r="BL10">
            <v>602</v>
          </cell>
          <cell r="BM10">
            <v>570</v>
          </cell>
          <cell r="BN10">
            <v>687</v>
          </cell>
          <cell r="BO10">
            <v>639</v>
          </cell>
          <cell r="BP10"/>
          <cell r="BQ10"/>
        </row>
        <row r="11">
          <cell r="B11" t="str">
            <v>Hips</v>
          </cell>
          <cell r="AW11">
            <v>334</v>
          </cell>
          <cell r="AX11">
            <v>340</v>
          </cell>
          <cell r="AY11">
            <v>309</v>
          </cell>
          <cell r="AZ11">
            <v>353</v>
          </cell>
          <cell r="BA11">
            <v>328</v>
          </cell>
          <cell r="BB11">
            <v>352</v>
          </cell>
          <cell r="BC11">
            <v>327</v>
          </cell>
          <cell r="BD11">
            <v>364</v>
          </cell>
          <cell r="BE11">
            <v>347</v>
          </cell>
          <cell r="BF11">
            <v>375</v>
          </cell>
          <cell r="BG11">
            <v>375</v>
          </cell>
          <cell r="BH11">
            <v>393</v>
          </cell>
          <cell r="BI11">
            <v>362</v>
          </cell>
          <cell r="BJ11">
            <v>414</v>
          </cell>
          <cell r="BK11">
            <v>393</v>
          </cell>
          <cell r="BL11">
            <v>428</v>
          </cell>
          <cell r="BM11">
            <v>420</v>
          </cell>
          <cell r="BN11">
            <v>463</v>
          </cell>
          <cell r="BO11">
            <v>443</v>
          </cell>
          <cell r="BP11"/>
          <cell r="BQ11"/>
        </row>
        <row r="12">
          <cell r="B12" t="str">
            <v>Trauma and Extremities</v>
          </cell>
          <cell r="AW12">
            <v>430</v>
          </cell>
          <cell r="AX12">
            <v>570</v>
          </cell>
          <cell r="AY12">
            <v>640</v>
          </cell>
          <cell r="AZ12">
            <v>674</v>
          </cell>
          <cell r="BA12">
            <v>639</v>
          </cell>
          <cell r="BB12">
            <v>711</v>
          </cell>
          <cell r="BC12">
            <v>685</v>
          </cell>
          <cell r="BD12">
            <v>676</v>
          </cell>
          <cell r="BE12">
            <v>672</v>
          </cell>
          <cell r="BF12">
            <v>774</v>
          </cell>
          <cell r="BG12">
            <v>769</v>
          </cell>
          <cell r="BH12">
            <v>766</v>
          </cell>
          <cell r="BI12">
            <v>752</v>
          </cell>
          <cell r="BJ12">
            <v>860</v>
          </cell>
          <cell r="BK12">
            <v>830</v>
          </cell>
          <cell r="BL12">
            <v>832</v>
          </cell>
          <cell r="BM12">
            <v>849</v>
          </cell>
          <cell r="BN12">
            <v>996</v>
          </cell>
          <cell r="BO12">
            <v>945</v>
          </cell>
          <cell r="BP12"/>
          <cell r="BQ12"/>
        </row>
        <row r="13">
          <cell r="B13" t="str">
            <v>Spinal Implants</v>
          </cell>
          <cell r="AW13">
            <v>302</v>
          </cell>
          <cell r="AX13">
            <v>307</v>
          </cell>
          <cell r="AY13">
            <v>278</v>
          </cell>
          <cell r="AZ13">
            <v>307</v>
          </cell>
          <cell r="BA13">
            <v>282</v>
          </cell>
          <cell r="BB13">
            <v>300</v>
          </cell>
          <cell r="BC13">
            <v>279</v>
          </cell>
          <cell r="BD13">
            <v>290</v>
          </cell>
          <cell r="BE13">
            <v>280</v>
          </cell>
          <cell r="BF13">
            <v>297</v>
          </cell>
          <cell r="BG13">
            <v>284</v>
          </cell>
          <cell r="BH13">
            <v>296</v>
          </cell>
          <cell r="BI13">
            <v>291</v>
          </cell>
          <cell r="BJ13">
            <v>122</v>
          </cell>
          <cell r="BK13">
            <v>171</v>
          </cell>
          <cell r="BL13">
            <v>307</v>
          </cell>
          <cell r="BM13">
            <v>304</v>
          </cell>
          <cell r="BN13">
            <v>85</v>
          </cell>
          <cell r="BO13">
            <v>166</v>
          </cell>
          <cell r="BP13"/>
          <cell r="BQ13"/>
        </row>
        <row r="14">
          <cell r="B14" t="str">
            <v>Other</v>
          </cell>
          <cell r="AW14">
            <v>118</v>
          </cell>
          <cell r="AX14">
            <v>157</v>
          </cell>
          <cell r="AY14">
            <v>123</v>
          </cell>
          <cell r="AZ14">
            <v>127</v>
          </cell>
          <cell r="BA14">
            <v>123</v>
          </cell>
          <cell r="BB14">
            <v>176</v>
          </cell>
          <cell r="BC14">
            <v>97</v>
          </cell>
          <cell r="BD14">
            <v>114</v>
          </cell>
          <cell r="BE14">
            <v>111</v>
          </cell>
          <cell r="BF14">
            <v>153</v>
          </cell>
          <cell r="BG14">
            <v>94</v>
          </cell>
          <cell r="BH14">
            <v>119</v>
          </cell>
          <cell r="BI14">
            <v>130</v>
          </cell>
          <cell r="BJ14">
            <v>35</v>
          </cell>
          <cell r="BK14">
            <v>164</v>
          </cell>
          <cell r="BL14">
            <v>136</v>
          </cell>
          <cell r="BM14">
            <v>127</v>
          </cell>
          <cell r="BN14">
            <v>125</v>
          </cell>
          <cell r="BO14">
            <v>162</v>
          </cell>
          <cell r="BP14"/>
          <cell r="BQ14"/>
        </row>
      </sheetData>
      <sheetData sheetId="2">
        <row r="188">
          <cell r="I188" t="str">
            <v>Notes: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  <row r="50">
          <cell r="AW50">
            <v>2543</v>
          </cell>
          <cell r="AX50">
            <v>2003</v>
          </cell>
          <cell r="AY50">
            <v>2659</v>
          </cell>
          <cell r="AZ50">
            <v>2708</v>
          </cell>
          <cell r="BA50">
            <v>2752</v>
          </cell>
          <cell r="BB50">
            <v>3077</v>
          </cell>
          <cell r="BC50">
            <v>2932</v>
          </cell>
          <cell r="BD50">
            <v>3127</v>
          </cell>
          <cell r="BE50">
            <v>3026</v>
          </cell>
          <cell r="BF50">
            <v>3244</v>
          </cell>
          <cell r="BG50">
            <v>3170</v>
          </cell>
          <cell r="BH50">
            <v>3242</v>
          </cell>
          <cell r="BI50">
            <v>3389</v>
          </cell>
          <cell r="BJ50">
            <v>3599</v>
          </cell>
          <cell r="BK50">
            <v>3527</v>
          </cell>
          <cell r="BL50">
            <v>3725</v>
          </cell>
          <cell r="BM50">
            <v>3857</v>
          </cell>
          <cell r="BN50">
            <v>4120</v>
          </cell>
          <cell r="BO50">
            <v>4209</v>
          </cell>
          <cell r="BP50">
            <v>4561</v>
          </cell>
          <cell r="BQ50">
            <v>4663</v>
          </cell>
        </row>
        <row r="70">
          <cell r="AW70">
            <v>11</v>
          </cell>
          <cell r="AX70">
            <v>-152</v>
          </cell>
          <cell r="AY70">
            <v>-169</v>
          </cell>
          <cell r="AZ70">
            <v>196</v>
          </cell>
          <cell r="BA70">
            <v>327</v>
          </cell>
          <cell r="BB70">
            <v>172</v>
          </cell>
          <cell r="BC70">
            <v>405</v>
          </cell>
          <cell r="BD70">
            <v>80</v>
          </cell>
          <cell r="BE70">
            <v>97</v>
          </cell>
          <cell r="BF70">
            <v>246</v>
          </cell>
          <cell r="BG70">
            <v>174</v>
          </cell>
          <cell r="BH70">
            <v>124</v>
          </cell>
          <cell r="BI70">
            <v>300</v>
          </cell>
          <cell r="BJ70">
            <v>261</v>
          </cell>
          <cell r="BK70">
            <v>504</v>
          </cell>
          <cell r="BL70">
            <v>504</v>
          </cell>
          <cell r="BM70">
            <v>495</v>
          </cell>
          <cell r="BN70">
            <v>324</v>
          </cell>
          <cell r="BO70">
            <v>468</v>
          </cell>
          <cell r="BP70">
            <v>565</v>
          </cell>
          <cell r="BQ70">
            <v>674</v>
          </cell>
        </row>
        <row r="115">
          <cell r="AZ115">
            <v>1.4515077424612877</v>
          </cell>
          <cell r="BA115">
            <v>1.3834364868847628</v>
          </cell>
          <cell r="BB115">
            <v>1.3083722072182666</v>
          </cell>
          <cell r="BC115">
            <v>1.1499254102436598</v>
          </cell>
          <cell r="BD115">
            <v>1.1015679850222326</v>
          </cell>
          <cell r="BE115">
            <v>0.77889564810481982</v>
          </cell>
          <cell r="BF115">
            <v>0.85784187483904195</v>
          </cell>
          <cell r="BG115">
            <v>0.94561848408002258</v>
          </cell>
          <cell r="BH115">
            <v>1.0236655272153563</v>
          </cell>
          <cell r="BI115">
            <v>0.89468528043105555</v>
          </cell>
          <cell r="BJ115">
            <v>0.79701885138097328</v>
          </cell>
          <cell r="BK115">
            <v>0.89561039528281283</v>
          </cell>
          <cell r="BL115">
            <v>0.8169841913254966</v>
          </cell>
          <cell r="BM115">
            <v>1.1438161106590725</v>
          </cell>
          <cell r="BN115">
            <v>1.144906743185079</v>
          </cell>
          <cell r="BO115">
            <v>1.016579259008628</v>
          </cell>
          <cell r="BP115">
            <v>0.64223194748358858</v>
          </cell>
          <cell r="BQ115">
            <v>0.88335310399367339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Product Lines"/>
      <sheetName val="Economics"/>
      <sheetName val="Management"/>
      <sheetName val="Table Formatting"/>
    </sheetNames>
    <sheetDataSet>
      <sheetData sheetId="0">
        <row r="3">
          <cell r="C3">
            <v>606.80999999999995</v>
          </cell>
        </row>
      </sheetData>
      <sheetData sheetId="1">
        <row r="3">
          <cell r="AY3" t="str">
            <v>Q1 2022</v>
          </cell>
          <cell r="AZ3" t="str">
            <v>Q2 2022</v>
          </cell>
          <cell r="BA3" t="str">
            <v>Q3 2022</v>
          </cell>
          <cell r="BB3" t="str">
            <v>Q4 2022</v>
          </cell>
          <cell r="BC3" t="str">
            <v>Q1 2023</v>
          </cell>
          <cell r="BD3" t="str">
            <v>Q2 2023</v>
          </cell>
          <cell r="BE3" t="str">
            <v>Q3 2023</v>
          </cell>
          <cell r="BF3" t="str">
            <v>Q4 2023</v>
          </cell>
          <cell r="BG3" t="str">
            <v>Q1 2024</v>
          </cell>
          <cell r="BH3" t="str">
            <v>Q2 2024</v>
          </cell>
          <cell r="BI3" t="str">
            <v>Q3 2024</v>
          </cell>
          <cell r="BJ3" t="str">
            <v>Q4 2024</v>
          </cell>
          <cell r="BK3" t="str">
            <v>Q1 2025</v>
          </cell>
          <cell r="BL3" t="str">
            <v>Q2 2025</v>
          </cell>
          <cell r="BM3" t="str">
            <v>Q3 2025</v>
          </cell>
          <cell r="BN3" t="str">
            <v>Q4 2025</v>
          </cell>
          <cell r="BO3" t="str">
            <v>Q1 2026</v>
          </cell>
          <cell r="BP3" t="str">
            <v>Q2 2026</v>
          </cell>
        </row>
        <row r="21">
          <cell r="B21" t="str">
            <v>U.S. Government</v>
          </cell>
        </row>
        <row r="22">
          <cell r="B22" t="str">
            <v xml:space="preserve">Commercial &amp; Other </v>
          </cell>
        </row>
        <row r="29">
          <cell r="AY29">
            <v>0.23482210446631338</v>
          </cell>
          <cell r="AZ29">
            <v>0.2532084378226877</v>
          </cell>
          <cell r="BA29">
            <v>0.25498679964799065</v>
          </cell>
          <cell r="BB29">
            <v>0.25292624453532647</v>
          </cell>
          <cell r="BC29">
            <v>0.22518614906383286</v>
          </cell>
          <cell r="BD29">
            <v>0.22236260265319013</v>
          </cell>
          <cell r="BE29">
            <v>0.25012477718360071</v>
          </cell>
          <cell r="BF29">
            <v>0.28252631578947363</v>
          </cell>
          <cell r="BG29">
            <v>0.22413154581142142</v>
          </cell>
          <cell r="BH29">
            <v>0.22421948912015141</v>
          </cell>
          <cell r="BI29">
            <v>0.24897817803948735</v>
          </cell>
          <cell r="BJ29">
            <v>0.2709179258470345</v>
          </cell>
          <cell r="BK29">
            <v>0.25643147803296784</v>
          </cell>
          <cell r="BL29">
            <v>0.25071018035277798</v>
          </cell>
          <cell r="BM29">
            <v>0.25787593374472229</v>
          </cell>
          <cell r="BN29">
            <v>0.25497736153321349</v>
          </cell>
          <cell r="BO29">
            <v>0.25966284212550478</v>
          </cell>
          <cell r="BP29">
            <v>0.25377443609022554</v>
          </cell>
        </row>
        <row r="30">
          <cell r="AY30">
            <v>0.76517789553368654</v>
          </cell>
          <cell r="AZ30">
            <v>0.74679156217731235</v>
          </cell>
          <cell r="BA30">
            <v>0.74501320035200946</v>
          </cell>
          <cell r="BB30">
            <v>0.74707375546467347</v>
          </cell>
          <cell r="BC30">
            <v>0.77481385093616717</v>
          </cell>
          <cell r="BD30">
            <v>0.77763739734680992</v>
          </cell>
          <cell r="BE30">
            <v>0.74987522281639929</v>
          </cell>
          <cell r="BF30">
            <v>0.71747368421052637</v>
          </cell>
          <cell r="BG30">
            <v>0.77586845418857864</v>
          </cell>
          <cell r="BH30">
            <v>0.77578051087984867</v>
          </cell>
          <cell r="BI30">
            <v>0.75102182196051259</v>
          </cell>
          <cell r="BJ30">
            <v>0.72908207415296544</v>
          </cell>
          <cell r="BK30">
            <v>0.74356852196703227</v>
          </cell>
          <cell r="BL30">
            <v>0.74928981964722208</v>
          </cell>
          <cell r="BM30">
            <v>0.74212406625527771</v>
          </cell>
          <cell r="BN30">
            <v>0.74502263846678651</v>
          </cell>
          <cell r="BO30">
            <v>0.74033715787449528</v>
          </cell>
          <cell r="BP30">
            <v>0.74622556390977435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PEN Acquisition"/>
      <sheetName val="Notes | Analysis"/>
      <sheetName val="VC Channel"/>
      <sheetName val="M&amp;A Scope"/>
      <sheetName val="Clinical Trial Channel"/>
      <sheetName val="Management"/>
      <sheetName val="Debt Schedule"/>
      <sheetName val="Portfolio | Product Lines"/>
      <sheetName val="Interventional Cardiology"/>
      <sheetName val="Watchman"/>
    </sheetNames>
    <sheetDataSet>
      <sheetData sheetId="0">
        <row r="3">
          <cell r="C3">
            <v>43.79</v>
          </cell>
        </row>
      </sheetData>
      <sheetData sheetId="1">
        <row r="50">
          <cell r="AW50">
            <v>2659</v>
          </cell>
          <cell r="AX50">
            <v>2708</v>
          </cell>
          <cell r="AY50">
            <v>2752</v>
          </cell>
          <cell r="AZ50">
            <v>3077</v>
          </cell>
          <cell r="BA50">
            <v>2932</v>
          </cell>
          <cell r="BB50">
            <v>3127</v>
          </cell>
          <cell r="BC50">
            <v>3026</v>
          </cell>
          <cell r="BD50">
            <v>3244</v>
          </cell>
          <cell r="BE50">
            <v>3170</v>
          </cell>
          <cell r="BF50">
            <v>3242</v>
          </cell>
          <cell r="BG50">
            <v>3389</v>
          </cell>
          <cell r="BH50">
            <v>3599</v>
          </cell>
          <cell r="BI50">
            <v>3527</v>
          </cell>
          <cell r="BJ50">
            <v>3725</v>
          </cell>
          <cell r="BK50">
            <v>3857</v>
          </cell>
          <cell r="BL50">
            <v>4120</v>
          </cell>
          <cell r="BM50">
            <v>4209</v>
          </cell>
          <cell r="BN50">
            <v>4561</v>
          </cell>
          <cell r="BO50">
            <v>4663</v>
          </cell>
          <cell r="BP50">
            <v>5061</v>
          </cell>
          <cell r="BQ50">
            <v>5065</v>
          </cell>
        </row>
        <row r="70">
          <cell r="AW70">
            <v>-169</v>
          </cell>
          <cell r="AX70">
            <v>196</v>
          </cell>
          <cell r="AY70">
            <v>327</v>
          </cell>
          <cell r="AZ70">
            <v>172</v>
          </cell>
          <cell r="BA70">
            <v>405</v>
          </cell>
          <cell r="BB70">
            <v>80</v>
          </cell>
          <cell r="BC70">
            <v>97</v>
          </cell>
          <cell r="BD70">
            <v>246</v>
          </cell>
          <cell r="BE70">
            <v>174</v>
          </cell>
          <cell r="BF70">
            <v>124</v>
          </cell>
          <cell r="BG70">
            <v>300</v>
          </cell>
          <cell r="BH70">
            <v>261</v>
          </cell>
          <cell r="BI70">
            <v>504</v>
          </cell>
          <cell r="BJ70">
            <v>504</v>
          </cell>
          <cell r="BK70">
            <v>495</v>
          </cell>
          <cell r="BL70">
            <v>324</v>
          </cell>
          <cell r="BM70">
            <v>468</v>
          </cell>
          <cell r="BN70">
            <v>565</v>
          </cell>
          <cell r="BO70">
            <v>674</v>
          </cell>
          <cell r="BP70">
            <v>797</v>
          </cell>
          <cell r="BQ70">
            <v>755</v>
          </cell>
        </row>
        <row r="115">
          <cell r="AX115">
            <v>0.4710676446617767</v>
          </cell>
          <cell r="AY115">
            <v>0.59416445623342173</v>
          </cell>
          <cell r="AZ115">
            <v>0.65676405597839427</v>
          </cell>
          <cell r="BA115">
            <v>0.4840875186474391</v>
          </cell>
          <cell r="BB115">
            <v>0.45050315937280599</v>
          </cell>
          <cell r="BC115">
            <v>7.6041179223210104E-2</v>
          </cell>
          <cell r="BD115">
            <v>7.107906258047901E-2</v>
          </cell>
          <cell r="BE115">
            <v>9.5519864750633982E-2</v>
          </cell>
          <cell r="BF115">
            <v>0.2440178806205627</v>
          </cell>
          <cell r="BG115">
            <v>0.13960323291697282</v>
          </cell>
          <cell r="BH115">
            <v>9.3380096448925906E-2</v>
          </cell>
          <cell r="BI115">
            <v>0.20790565625682464</v>
          </cell>
          <cell r="BJ115">
            <v>0.17551682205107419</v>
          </cell>
          <cell r="BK115">
            <v>0.47375915378356387</v>
          </cell>
          <cell r="BL115">
            <v>0.52241750358680061</v>
          </cell>
          <cell r="BM115">
            <v>0.42327863305701235</v>
          </cell>
          <cell r="BN115">
            <v>6.4697609001406475E-2</v>
          </cell>
          <cell r="BO115">
            <v>0.14333728746540134</v>
          </cell>
          <cell r="BP115">
            <v>0.1028703525332306</v>
          </cell>
          <cell r="BQ115">
            <v>0.2393018018018018</v>
          </cell>
        </row>
      </sheetData>
      <sheetData sheetId="2">
        <row r="90">
          <cell r="DK90">
            <v>66.913496955651297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broadcom.com/" TargetMode="External"/><Relationship Id="rId1" Type="http://schemas.openxmlformats.org/officeDocument/2006/relationships/hyperlink" Target="https://app.godelterminal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34"/>
  <sheetViews>
    <sheetView zoomScale="85" zoomScaleNormal="85" workbookViewId="0">
      <selection activeCell="K9" sqref="K9"/>
    </sheetView>
  </sheetViews>
  <sheetFormatPr defaultColWidth="9.140625" defaultRowHeight="14.25"/>
  <cols>
    <col min="1" max="1" width="3.42578125" style="1" customWidth="1"/>
    <col min="2" max="2" width="9.140625" style="1" customWidth="1"/>
    <col min="3" max="3" width="11.5703125" style="1" customWidth="1"/>
    <col min="4" max="4" width="9.140625" style="1" customWidth="1"/>
    <col min="5" max="16384" width="9.140625" style="1"/>
  </cols>
  <sheetData>
    <row r="2" spans="2:18" ht="15">
      <c r="B2" s="2" t="s">
        <v>162</v>
      </c>
    </row>
    <row r="3" spans="2:18">
      <c r="B3" s="1" t="s">
        <v>0</v>
      </c>
      <c r="C3" s="81">
        <v>334.85</v>
      </c>
      <c r="D3" s="43" t="s">
        <v>161</v>
      </c>
    </row>
    <row r="4" spans="2:18">
      <c r="B4" s="1" t="s">
        <v>1</v>
      </c>
      <c r="C4" s="82">
        <v>4773.6289999999999</v>
      </c>
      <c r="D4" s="1" t="s">
        <v>160</v>
      </c>
    </row>
    <row r="5" spans="2:18">
      <c r="B5" s="1" t="s">
        <v>2</v>
      </c>
      <c r="C5" s="83">
        <f>C3*C4</f>
        <v>1598449.67065</v>
      </c>
    </row>
    <row r="6" spans="2:18">
      <c r="B6" s="1" t="s">
        <v>3</v>
      </c>
      <c r="C6" s="83">
        <v>23.975000000000001</v>
      </c>
      <c r="D6" s="1" t="s">
        <v>160</v>
      </c>
    </row>
    <row r="7" spans="2:18">
      <c r="B7" s="1" t="s">
        <v>4</v>
      </c>
      <c r="C7" s="83">
        <f>2252+57167</f>
        <v>59419</v>
      </c>
      <c r="D7" s="1" t="s">
        <v>160</v>
      </c>
    </row>
    <row r="8" spans="2:18">
      <c r="B8" s="1" t="s">
        <v>5</v>
      </c>
      <c r="C8" s="83">
        <f>C5-C6+C7</f>
        <v>1657844.6956499999</v>
      </c>
    </row>
    <row r="10" spans="2:18" ht="15">
      <c r="B10" s="2" t="s">
        <v>163</v>
      </c>
    </row>
    <row r="12" spans="2:18" ht="15">
      <c r="B12" s="1" t="s">
        <v>167</v>
      </c>
      <c r="F12" s="1" t="s">
        <v>173</v>
      </c>
      <c r="N12" s="1" t="s">
        <v>110</v>
      </c>
      <c r="Q12" s="2"/>
    </row>
    <row r="13" spans="2:18">
      <c r="B13" s="1" t="s">
        <v>165</v>
      </c>
      <c r="F13" s="1" t="s">
        <v>174</v>
      </c>
      <c r="N13" s="1" t="s">
        <v>7</v>
      </c>
      <c r="Q13" s="44" t="s">
        <v>176</v>
      </c>
    </row>
    <row r="14" spans="2:18">
      <c r="B14" s="1" t="s">
        <v>166</v>
      </c>
      <c r="F14" s="1" t="s">
        <v>6</v>
      </c>
      <c r="N14" s="1" t="s">
        <v>114</v>
      </c>
      <c r="Q14" s="44" t="s">
        <v>177</v>
      </c>
    </row>
    <row r="15" spans="2:18">
      <c r="B15" s="1" t="s">
        <v>164</v>
      </c>
      <c r="F15" s="1" t="s">
        <v>106</v>
      </c>
      <c r="O15" s="1" t="s">
        <v>113</v>
      </c>
      <c r="R15" s="44" t="s">
        <v>178</v>
      </c>
    </row>
    <row r="16" spans="2:18">
      <c r="B16" s="1" t="s">
        <v>168</v>
      </c>
      <c r="F16" s="1" t="s">
        <v>99</v>
      </c>
      <c r="G16" s="1" t="s">
        <v>172</v>
      </c>
      <c r="I16" s="1" t="s">
        <v>100</v>
      </c>
      <c r="N16" s="1" t="s">
        <v>103</v>
      </c>
      <c r="Q16" s="44" t="s">
        <v>179</v>
      </c>
    </row>
    <row r="17" spans="1:17">
      <c r="B17" s="1" t="s">
        <v>169</v>
      </c>
      <c r="N17" s="1" t="s">
        <v>104</v>
      </c>
      <c r="Q17" s="44" t="s">
        <v>180</v>
      </c>
    </row>
    <row r="18" spans="1:17">
      <c r="B18" s="1" t="s">
        <v>170</v>
      </c>
      <c r="N18" s="1" t="s">
        <v>115</v>
      </c>
      <c r="Q18" s="44" t="s">
        <v>181</v>
      </c>
    </row>
    <row r="19" spans="1:17">
      <c r="B19" s="1" t="s">
        <v>171</v>
      </c>
      <c r="N19" s="1" t="s">
        <v>116</v>
      </c>
      <c r="Q19" s="44" t="s">
        <v>182</v>
      </c>
    </row>
    <row r="20" spans="1:17">
      <c r="B20" s="1" t="s">
        <v>175</v>
      </c>
      <c r="N20" s="1" t="s">
        <v>8</v>
      </c>
      <c r="Q20" s="44" t="s">
        <v>105</v>
      </c>
    </row>
    <row r="21" spans="1:17">
      <c r="Q21" s="44"/>
    </row>
    <row r="22" spans="1:17" ht="15">
      <c r="A22" s="2" t="s">
        <v>9</v>
      </c>
      <c r="N22" s="2"/>
    </row>
    <row r="23" spans="1:17">
      <c r="B23" s="1" t="s">
        <v>183</v>
      </c>
    </row>
    <row r="24" spans="1:17">
      <c r="B24" s="1" t="s">
        <v>184</v>
      </c>
    </row>
    <row r="25" spans="1:17">
      <c r="C25" s="1" t="s">
        <v>185</v>
      </c>
    </row>
    <row r="26" spans="1:17">
      <c r="C26" s="1" t="s">
        <v>186</v>
      </c>
    </row>
    <row r="27" spans="1:17">
      <c r="C27" s="1" t="s">
        <v>187</v>
      </c>
    </row>
    <row r="28" spans="1:17">
      <c r="C28" s="1" t="s">
        <v>188</v>
      </c>
    </row>
    <row r="29" spans="1:17">
      <c r="B29" s="1" t="s">
        <v>189</v>
      </c>
    </row>
    <row r="30" spans="1:17">
      <c r="B30" s="1" t="s">
        <v>190</v>
      </c>
    </row>
    <row r="33" spans="1:2" ht="15">
      <c r="A33" s="2" t="s">
        <v>107</v>
      </c>
    </row>
    <row r="34" spans="1:2">
      <c r="B34" s="1" t="s">
        <v>108</v>
      </c>
    </row>
  </sheetData>
  <hyperlinks>
    <hyperlink ref="Q20" r:id="rId1" xr:uid="{14375537-5C3D-4253-9650-337AB6789785}"/>
    <hyperlink ref="Q14" r:id="rId2" xr:uid="{5045B3F8-1935-4B83-A327-933D4DED270D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FK109"/>
  <sheetViews>
    <sheetView tabSelected="1" zoomScale="55" zoomScaleNormal="55" workbookViewId="0">
      <pane xSplit="2" ySplit="3" topLeftCell="AN4" activePane="bottomRight" state="frozen"/>
      <selection pane="topRight" activeCell="C1" sqref="C1"/>
      <selection pane="bottomLeft" activeCell="A4" sqref="A4"/>
      <selection pane="bottomRight" activeCell="BT6" sqref="BT6"/>
    </sheetView>
  </sheetViews>
  <sheetFormatPr defaultColWidth="9.140625" defaultRowHeight="14.25"/>
  <cols>
    <col min="1" max="1" width="3.140625" style="1" customWidth="1"/>
    <col min="2" max="2" width="36.42578125" style="1" customWidth="1"/>
    <col min="3" max="4" width="9.140625" style="1" customWidth="1"/>
    <col min="5" max="76" width="9.140625" style="1"/>
    <col min="77" max="78" width="9.140625" style="36"/>
    <col min="79" max="104" width="9.140625" style="1"/>
    <col min="105" max="166" width="9.140625" style="36"/>
    <col min="167" max="16384" width="9.140625" style="1"/>
  </cols>
  <sheetData>
    <row r="1" spans="2:167" ht="15">
      <c r="B1" s="1" t="s">
        <v>52</v>
      </c>
      <c r="AY1" s="34" t="s">
        <v>46</v>
      </c>
      <c r="BC1" s="34" t="s">
        <v>47</v>
      </c>
      <c r="BG1" s="34" t="s">
        <v>48</v>
      </c>
      <c r="BK1" s="34" t="s">
        <v>49</v>
      </c>
      <c r="BO1" s="34" t="s">
        <v>50</v>
      </c>
      <c r="BS1" s="34" t="s">
        <v>51</v>
      </c>
      <c r="BW1" s="34" t="s">
        <v>159</v>
      </c>
    </row>
    <row r="2" spans="2:167">
      <c r="B2" s="1" t="s">
        <v>53</v>
      </c>
    </row>
    <row r="3" spans="2:167" ht="15">
      <c r="B3" s="2" t="s">
        <v>54</v>
      </c>
      <c r="C3" s="2" t="str" cm="1">
        <f t="array" ref="C3:BZ3">"Q"&amp;MOD(_xlfn.SEQUENCE(1,76)-1,4)+1&amp;" "&amp;(2008+INT((_xlfn.SEQUENCE(1,76)-1)/4))</f>
        <v>Q1 2008</v>
      </c>
      <c r="D3" s="34" t="str">
        <v>Q2 2008</v>
      </c>
      <c r="E3" s="34" t="str">
        <v>Q3 2008</v>
      </c>
      <c r="F3" s="34" t="str">
        <v>Q4 2008</v>
      </c>
      <c r="G3" s="34" t="str">
        <v>Q1 2009</v>
      </c>
      <c r="H3" s="34" t="str">
        <v>Q2 2009</v>
      </c>
      <c r="I3" s="34" t="str">
        <v>Q3 2009</v>
      </c>
      <c r="J3" s="34" t="str">
        <v>Q4 2009</v>
      </c>
      <c r="K3" s="34" t="str">
        <v>Q1 2010</v>
      </c>
      <c r="L3" s="34" t="str">
        <v>Q2 2010</v>
      </c>
      <c r="M3" s="34" t="str">
        <v>Q3 2010</v>
      </c>
      <c r="N3" s="34" t="str">
        <v>Q4 2010</v>
      </c>
      <c r="O3" s="34" t="str">
        <v>Q1 2011</v>
      </c>
      <c r="P3" s="34" t="str">
        <v>Q2 2011</v>
      </c>
      <c r="Q3" s="34" t="str">
        <v>Q3 2011</v>
      </c>
      <c r="R3" s="34" t="str">
        <v>Q4 2011</v>
      </c>
      <c r="S3" s="34" t="str">
        <v>Q1 2012</v>
      </c>
      <c r="T3" s="34" t="str">
        <v>Q2 2012</v>
      </c>
      <c r="U3" s="34" t="str">
        <v>Q3 2012</v>
      </c>
      <c r="V3" s="34" t="str">
        <v>Q4 2012</v>
      </c>
      <c r="W3" s="34" t="str">
        <v>Q1 2013</v>
      </c>
      <c r="X3" s="34" t="str">
        <v>Q2 2013</v>
      </c>
      <c r="Y3" s="34" t="str">
        <v>Q3 2013</v>
      </c>
      <c r="Z3" s="34" t="str">
        <v>Q4 2013</v>
      </c>
      <c r="AA3" s="34" t="str">
        <v>Q1 2014</v>
      </c>
      <c r="AB3" s="34" t="str">
        <v>Q2 2014</v>
      </c>
      <c r="AC3" s="34" t="str">
        <v>Q3 2014</v>
      </c>
      <c r="AD3" s="34" t="str">
        <v>Q4 2014</v>
      </c>
      <c r="AE3" s="34" t="str">
        <v>Q1 2015</v>
      </c>
      <c r="AF3" s="34" t="str">
        <v>Q2 2015</v>
      </c>
      <c r="AG3" s="34" t="str">
        <v>Q3 2015</v>
      </c>
      <c r="AH3" s="34" t="str">
        <v>Q4 2015</v>
      </c>
      <c r="AI3" s="34" t="str">
        <v>Q1 2016</v>
      </c>
      <c r="AJ3" s="34" t="str">
        <v>Q2 2016</v>
      </c>
      <c r="AK3" s="34" t="str">
        <v>Q3 2016</v>
      </c>
      <c r="AL3" s="34" t="str">
        <v>Q4 2016</v>
      </c>
      <c r="AM3" s="34" t="str">
        <v>Q1 2017</v>
      </c>
      <c r="AN3" s="34" t="str">
        <v>Q2 2017</v>
      </c>
      <c r="AO3" s="34" t="str">
        <v>Q3 2017</v>
      </c>
      <c r="AP3" s="34" t="str">
        <v>Q4 2017</v>
      </c>
      <c r="AQ3" s="34" t="str">
        <v>Q1 2018</v>
      </c>
      <c r="AR3" s="34" t="str">
        <v>Q2 2018</v>
      </c>
      <c r="AS3" s="34" t="str">
        <v>Q3 2018</v>
      </c>
      <c r="AT3" s="34" t="str">
        <v>Q4 2018</v>
      </c>
      <c r="AU3" s="34" t="str">
        <v>Q1 2019</v>
      </c>
      <c r="AV3" s="34" t="str">
        <v>Q2 2019</v>
      </c>
      <c r="AW3" s="34" t="str">
        <v>Q3 2019</v>
      </c>
      <c r="AX3" s="34" t="str">
        <v>Q4 2019</v>
      </c>
      <c r="AY3" s="34" t="str">
        <v>Q1 2020</v>
      </c>
      <c r="AZ3" s="34" t="str">
        <v>Q2 2020</v>
      </c>
      <c r="BA3" s="34" t="str">
        <v>Q3 2020</v>
      </c>
      <c r="BB3" s="34" t="str">
        <v>Q4 2020</v>
      </c>
      <c r="BC3" s="34" t="str">
        <v>Q1 2021</v>
      </c>
      <c r="BD3" s="34" t="str">
        <v>Q2 2021</v>
      </c>
      <c r="BE3" s="34" t="str">
        <v>Q3 2021</v>
      </c>
      <c r="BF3" s="34" t="str">
        <v>Q4 2021</v>
      </c>
      <c r="BG3" s="34" t="str">
        <v>Q1 2022</v>
      </c>
      <c r="BH3" s="34" t="str">
        <v>Q2 2022</v>
      </c>
      <c r="BI3" s="34" t="str">
        <v>Q3 2022</v>
      </c>
      <c r="BJ3" s="34" t="str">
        <v>Q4 2022</v>
      </c>
      <c r="BK3" s="34" t="str">
        <v>Q1 2023</v>
      </c>
      <c r="BL3" s="34" t="str">
        <v>Q2 2023</v>
      </c>
      <c r="BM3" s="34" t="str">
        <v>Q3 2023</v>
      </c>
      <c r="BN3" s="34" t="str">
        <v>Q4 2023</v>
      </c>
      <c r="BO3" s="34" t="str">
        <v>Q1 2024</v>
      </c>
      <c r="BP3" s="34" t="str">
        <v>Q2 2024</v>
      </c>
      <c r="BQ3" s="34" t="str">
        <v>Q3 2024</v>
      </c>
      <c r="BR3" s="34" t="str">
        <v>Q4 2024</v>
      </c>
      <c r="BS3" s="34" t="str">
        <v>Q1 2025</v>
      </c>
      <c r="BT3" s="2" t="str">
        <v>Q2 2025</v>
      </c>
      <c r="BU3" s="2" t="str">
        <v>Q3 2025</v>
      </c>
      <c r="BV3" s="2" t="str">
        <v>Q4 2025</v>
      </c>
      <c r="BW3" s="2" t="str">
        <v>Q1 2026</v>
      </c>
      <c r="BX3" s="2" t="str">
        <v>Q2 2026</v>
      </c>
      <c r="BY3" s="35" t="str">
        <v>Q3 2026</v>
      </c>
      <c r="BZ3" s="35" t="str">
        <v>Q4 2026</v>
      </c>
      <c r="CI3" s="2">
        <v>2008</v>
      </c>
      <c r="CJ3" s="2">
        <f>CI3+1</f>
        <v>2009</v>
      </c>
      <c r="CK3" s="2">
        <f t="shared" ref="CK3:EW3" si="0">CJ3+1</f>
        <v>2010</v>
      </c>
      <c r="CL3" s="2">
        <f t="shared" si="0"/>
        <v>2011</v>
      </c>
      <c r="CM3" s="2">
        <f t="shared" si="0"/>
        <v>2012</v>
      </c>
      <c r="CN3" s="2">
        <f t="shared" si="0"/>
        <v>2013</v>
      </c>
      <c r="CO3" s="2">
        <f t="shared" si="0"/>
        <v>2014</v>
      </c>
      <c r="CP3" s="2">
        <f t="shared" si="0"/>
        <v>2015</v>
      </c>
      <c r="CQ3" s="2">
        <f t="shared" si="0"/>
        <v>2016</v>
      </c>
      <c r="CR3" s="2">
        <f t="shared" si="0"/>
        <v>2017</v>
      </c>
      <c r="CS3" s="2">
        <f t="shared" si="0"/>
        <v>2018</v>
      </c>
      <c r="CT3" s="2">
        <f t="shared" si="0"/>
        <v>2019</v>
      </c>
      <c r="CU3" s="2">
        <f t="shared" si="0"/>
        <v>2020</v>
      </c>
      <c r="CV3" s="2">
        <f t="shared" si="0"/>
        <v>2021</v>
      </c>
      <c r="CW3" s="2">
        <f t="shared" si="0"/>
        <v>2022</v>
      </c>
      <c r="CX3" s="2">
        <f t="shared" si="0"/>
        <v>2023</v>
      </c>
      <c r="CY3" s="2">
        <f t="shared" si="0"/>
        <v>2024</v>
      </c>
      <c r="CZ3" s="2">
        <f t="shared" si="0"/>
        <v>2025</v>
      </c>
      <c r="DA3" s="35">
        <f>CZ3+1</f>
        <v>2026</v>
      </c>
      <c r="DB3" s="35">
        <f t="shared" si="0"/>
        <v>2027</v>
      </c>
      <c r="DC3" s="35">
        <f t="shared" si="0"/>
        <v>2028</v>
      </c>
      <c r="DD3" s="35">
        <f t="shared" si="0"/>
        <v>2029</v>
      </c>
      <c r="DE3" s="35">
        <f t="shared" si="0"/>
        <v>2030</v>
      </c>
      <c r="DF3" s="35">
        <f t="shared" si="0"/>
        <v>2031</v>
      </c>
      <c r="DG3" s="35">
        <f t="shared" si="0"/>
        <v>2032</v>
      </c>
      <c r="DH3" s="35">
        <f t="shared" si="0"/>
        <v>2033</v>
      </c>
      <c r="DI3" s="35">
        <f t="shared" si="0"/>
        <v>2034</v>
      </c>
      <c r="DJ3" s="35">
        <f t="shared" si="0"/>
        <v>2035</v>
      </c>
      <c r="DK3" s="35">
        <f t="shared" si="0"/>
        <v>2036</v>
      </c>
      <c r="DL3" s="35">
        <f t="shared" si="0"/>
        <v>2037</v>
      </c>
      <c r="DM3" s="35">
        <f t="shared" si="0"/>
        <v>2038</v>
      </c>
      <c r="DN3" s="35">
        <f t="shared" si="0"/>
        <v>2039</v>
      </c>
      <c r="DO3" s="35">
        <f t="shared" si="0"/>
        <v>2040</v>
      </c>
      <c r="DP3" s="35">
        <f t="shared" si="0"/>
        <v>2041</v>
      </c>
      <c r="DQ3" s="35">
        <f t="shared" si="0"/>
        <v>2042</v>
      </c>
      <c r="DR3" s="35">
        <f t="shared" si="0"/>
        <v>2043</v>
      </c>
      <c r="DS3" s="35">
        <f t="shared" si="0"/>
        <v>2044</v>
      </c>
      <c r="DT3" s="35">
        <f t="shared" si="0"/>
        <v>2045</v>
      </c>
      <c r="DU3" s="35">
        <f t="shared" si="0"/>
        <v>2046</v>
      </c>
      <c r="DV3" s="35">
        <f t="shared" si="0"/>
        <v>2047</v>
      </c>
      <c r="DW3" s="35">
        <f t="shared" si="0"/>
        <v>2048</v>
      </c>
      <c r="DX3" s="35">
        <f t="shared" si="0"/>
        <v>2049</v>
      </c>
      <c r="DY3" s="35">
        <f t="shared" si="0"/>
        <v>2050</v>
      </c>
      <c r="DZ3" s="35">
        <f t="shared" si="0"/>
        <v>2051</v>
      </c>
      <c r="EA3" s="35">
        <f t="shared" si="0"/>
        <v>2052</v>
      </c>
      <c r="EB3" s="35">
        <f t="shared" si="0"/>
        <v>2053</v>
      </c>
      <c r="EC3" s="35">
        <f t="shared" si="0"/>
        <v>2054</v>
      </c>
      <c r="ED3" s="35">
        <f t="shared" si="0"/>
        <v>2055</v>
      </c>
      <c r="EE3" s="35">
        <f t="shared" si="0"/>
        <v>2056</v>
      </c>
      <c r="EF3" s="35">
        <f t="shared" si="0"/>
        <v>2057</v>
      </c>
      <c r="EG3" s="35">
        <f t="shared" si="0"/>
        <v>2058</v>
      </c>
      <c r="EH3" s="35">
        <f t="shared" si="0"/>
        <v>2059</v>
      </c>
      <c r="EI3" s="35">
        <f t="shared" si="0"/>
        <v>2060</v>
      </c>
      <c r="EJ3" s="35">
        <f t="shared" si="0"/>
        <v>2061</v>
      </c>
      <c r="EK3" s="35">
        <f t="shared" si="0"/>
        <v>2062</v>
      </c>
      <c r="EL3" s="35">
        <f t="shared" si="0"/>
        <v>2063</v>
      </c>
      <c r="EM3" s="35">
        <f t="shared" si="0"/>
        <v>2064</v>
      </c>
      <c r="EN3" s="35">
        <f t="shared" si="0"/>
        <v>2065</v>
      </c>
      <c r="EO3" s="35">
        <f t="shared" si="0"/>
        <v>2066</v>
      </c>
      <c r="EP3" s="35">
        <f t="shared" si="0"/>
        <v>2067</v>
      </c>
      <c r="EQ3" s="35">
        <f t="shared" si="0"/>
        <v>2068</v>
      </c>
      <c r="ER3" s="35">
        <f t="shared" si="0"/>
        <v>2069</v>
      </c>
      <c r="ES3" s="35">
        <f t="shared" si="0"/>
        <v>2070</v>
      </c>
      <c r="ET3" s="35">
        <f t="shared" si="0"/>
        <v>2071</v>
      </c>
      <c r="EU3" s="35">
        <f t="shared" si="0"/>
        <v>2072</v>
      </c>
      <c r="EV3" s="35">
        <f t="shared" si="0"/>
        <v>2073</v>
      </c>
      <c r="EW3" s="35">
        <f t="shared" si="0"/>
        <v>2074</v>
      </c>
      <c r="EX3" s="35">
        <f t="shared" ref="EX3:FH3" si="1">EW3+1</f>
        <v>2075</v>
      </c>
      <c r="EY3" s="35">
        <f t="shared" si="1"/>
        <v>2076</v>
      </c>
      <c r="EZ3" s="35">
        <f t="shared" si="1"/>
        <v>2077</v>
      </c>
      <c r="FA3" s="35">
        <f t="shared" si="1"/>
        <v>2078</v>
      </c>
      <c r="FB3" s="35">
        <f t="shared" si="1"/>
        <v>2079</v>
      </c>
      <c r="FC3" s="35">
        <f t="shared" si="1"/>
        <v>2080</v>
      </c>
      <c r="FD3" s="35">
        <f t="shared" si="1"/>
        <v>2081</v>
      </c>
      <c r="FE3" s="35">
        <f t="shared" si="1"/>
        <v>2082</v>
      </c>
      <c r="FF3" s="35">
        <f t="shared" si="1"/>
        <v>2083</v>
      </c>
      <c r="FG3" s="35">
        <f t="shared" si="1"/>
        <v>2084</v>
      </c>
      <c r="FH3" s="35">
        <f t="shared" si="1"/>
        <v>2085</v>
      </c>
      <c r="FI3" s="35"/>
      <c r="FJ3" s="35"/>
      <c r="FK3" s="2"/>
    </row>
    <row r="4" spans="2:167">
      <c r="B4" s="37" t="s">
        <v>56</v>
      </c>
      <c r="BO4" s="1">
        <v>7412</v>
      </c>
      <c r="BP4" s="1">
        <v>7192</v>
      </c>
      <c r="BQ4" s="1">
        <v>7439</v>
      </c>
      <c r="BR4" s="1">
        <v>8316</v>
      </c>
      <c r="BS4" s="1">
        <v>8171</v>
      </c>
      <c r="BT4" s="1">
        <v>11173</v>
      </c>
      <c r="BU4" s="1">
        <v>9257</v>
      </c>
      <c r="BV4" s="1">
        <f>1000-SUM(BS4:BU4)</f>
        <v>-27601</v>
      </c>
      <c r="BX4" s="1">
        <v>24279</v>
      </c>
      <c r="CI4" s="1">
        <f>SUM(C4:F4)</f>
        <v>0</v>
      </c>
      <c r="CJ4" s="1">
        <f>SUM(G4:J4)</f>
        <v>0</v>
      </c>
      <c r="CK4" s="1">
        <f>SUM(K4:N4)</f>
        <v>0</v>
      </c>
      <c r="CL4" s="1">
        <f>SUM(O4:R4)</f>
        <v>0</v>
      </c>
      <c r="CM4" s="1">
        <f>SUM(S4:V4)</f>
        <v>0</v>
      </c>
      <c r="CN4" s="1">
        <f>SUM(W4:Z4)</f>
        <v>0</v>
      </c>
      <c r="CO4" s="1">
        <f>SUM(AA4:AD4)</f>
        <v>0</v>
      </c>
      <c r="CP4" s="1">
        <f>SUM(AE4:AH4)</f>
        <v>0</v>
      </c>
      <c r="CQ4" s="1">
        <f>SUM(AI4:AL4)</f>
        <v>0</v>
      </c>
      <c r="CR4" s="1">
        <f>SUM(AM4:AP4)</f>
        <v>0</v>
      </c>
      <c r="CS4" s="1">
        <f>SUM(AQ4:AT4)</f>
        <v>0</v>
      </c>
      <c r="CT4" s="1">
        <f>SUM(AU4:AX4)</f>
        <v>0</v>
      </c>
      <c r="CU4" s="1">
        <f>SUM(AY4:BB4)</f>
        <v>0</v>
      </c>
      <c r="CV4" s="1">
        <f>SUM(BC4:BF4)</f>
        <v>0</v>
      </c>
      <c r="CW4" s="1">
        <f>SUM(BG4:BJ4)</f>
        <v>0</v>
      </c>
      <c r="CX4" s="1">
        <f>SUM(BK4:BN4)</f>
        <v>0</v>
      </c>
      <c r="CY4" s="1">
        <f>SUM(BO4:BR4)</f>
        <v>30359</v>
      </c>
      <c r="CZ4" s="1">
        <f>SUM(BS4:BV4)</f>
        <v>1000</v>
      </c>
      <c r="DA4" s="36">
        <f t="shared" ref="DA4:DJ4" si="2">CZ4*(1+DA8)</f>
        <v>2000</v>
      </c>
      <c r="DB4" s="36">
        <f t="shared" si="2"/>
        <v>4000</v>
      </c>
      <c r="DC4" s="36">
        <f t="shared" si="2"/>
        <v>8000</v>
      </c>
      <c r="DD4" s="36">
        <f t="shared" si="2"/>
        <v>16000</v>
      </c>
      <c r="DE4" s="36">
        <f t="shared" si="2"/>
        <v>32000</v>
      </c>
      <c r="DF4" s="36">
        <f t="shared" si="2"/>
        <v>64000</v>
      </c>
      <c r="DG4" s="36">
        <f t="shared" si="2"/>
        <v>128000</v>
      </c>
      <c r="DH4" s="36">
        <f t="shared" si="2"/>
        <v>256000</v>
      </c>
      <c r="DI4" s="36">
        <f t="shared" si="2"/>
        <v>512000</v>
      </c>
      <c r="DJ4" s="36">
        <f t="shared" si="2"/>
        <v>1024000</v>
      </c>
    </row>
    <row r="5" spans="2:167">
      <c r="B5" s="37" t="s">
        <v>57</v>
      </c>
      <c r="BO5" s="1">
        <v>4549</v>
      </c>
      <c r="BP5" s="1">
        <v>5295</v>
      </c>
      <c r="BQ5" s="1">
        <v>5633</v>
      </c>
      <c r="BR5" s="1">
        <v>5738</v>
      </c>
      <c r="BS5" s="1">
        <v>6745</v>
      </c>
      <c r="BT5" s="1">
        <v>4779</v>
      </c>
      <c r="BU5" s="1">
        <v>6695</v>
      </c>
      <c r="BV5" s="1">
        <f>1000-SUM(BS5:BU5)</f>
        <v>-17219</v>
      </c>
      <c r="BX5" s="1">
        <v>5312</v>
      </c>
      <c r="CI5" s="1">
        <f t="shared" ref="CI5:CI6" si="3">SUM(C5:F5)</f>
        <v>0</v>
      </c>
      <c r="CJ5" s="1">
        <f t="shared" ref="CJ5:CJ6" si="4">SUM(G5:J5)</f>
        <v>0</v>
      </c>
      <c r="CK5" s="1">
        <f t="shared" ref="CK5:CK6" si="5">SUM(K5:N5)</f>
        <v>0</v>
      </c>
      <c r="CL5" s="1">
        <f t="shared" ref="CL5:CL6" si="6">SUM(O5:R5)</f>
        <v>0</v>
      </c>
      <c r="CM5" s="1">
        <f t="shared" ref="CM5:CM6" si="7">SUM(S5:V5)</f>
        <v>0</v>
      </c>
      <c r="CN5" s="1">
        <f t="shared" ref="CN5:CN6" si="8">SUM(W5:Z5)</f>
        <v>0</v>
      </c>
      <c r="CO5" s="1">
        <f t="shared" ref="CO5:CO6" si="9">SUM(AA5:AD5)</f>
        <v>0</v>
      </c>
      <c r="CP5" s="1">
        <f t="shared" ref="CP5:CP6" si="10">SUM(AE5:AH5)</f>
        <v>0</v>
      </c>
      <c r="CQ5" s="1">
        <f t="shared" ref="CQ5:CQ6" si="11">SUM(AI5:AL5)</f>
        <v>0</v>
      </c>
      <c r="CR5" s="1">
        <f t="shared" ref="CR5:CR6" si="12">SUM(AM5:AP5)</f>
        <v>0</v>
      </c>
      <c r="CS5" s="1">
        <f t="shared" ref="CS5:CS6" si="13">SUM(AQ5:AT5)</f>
        <v>0</v>
      </c>
      <c r="CT5" s="1">
        <f t="shared" ref="CT5:CT6" si="14">SUM(AU5:AX5)</f>
        <v>0</v>
      </c>
      <c r="CU5" s="1">
        <f t="shared" ref="CU5:CU6" si="15">SUM(AY5:BB5)</f>
        <v>0</v>
      </c>
      <c r="CV5" s="1">
        <f t="shared" ref="CV5:CV6" si="16">SUM(BC5:BF5)</f>
        <v>0</v>
      </c>
      <c r="CW5" s="1">
        <f t="shared" ref="CW5:CW6" si="17">SUM(BG5:BJ5)</f>
        <v>0</v>
      </c>
      <c r="CX5" s="1">
        <f t="shared" ref="CX5:CX6" si="18">SUM(BK5:BN5)</f>
        <v>0</v>
      </c>
      <c r="CY5" s="1">
        <f t="shared" ref="CY5:CY6" si="19">SUM(BO5:BR5)</f>
        <v>21215</v>
      </c>
      <c r="CZ5" s="1">
        <f t="shared" ref="CZ5:CZ6" si="20">SUM(BS5:BV5)</f>
        <v>1000</v>
      </c>
      <c r="DA5" s="36">
        <f t="shared" ref="DA5:DJ5" si="21">CZ5*(1+DA9)</f>
        <v>2000</v>
      </c>
      <c r="DB5" s="36">
        <f t="shared" si="21"/>
        <v>4000</v>
      </c>
      <c r="DC5" s="36">
        <f t="shared" si="21"/>
        <v>8000</v>
      </c>
      <c r="DD5" s="36">
        <f t="shared" si="21"/>
        <v>16000</v>
      </c>
      <c r="DE5" s="36">
        <f t="shared" si="21"/>
        <v>32000</v>
      </c>
      <c r="DF5" s="36">
        <f t="shared" si="21"/>
        <v>64000</v>
      </c>
      <c r="DG5" s="36">
        <f t="shared" si="21"/>
        <v>128000</v>
      </c>
      <c r="DH5" s="36">
        <f t="shared" si="21"/>
        <v>256000</v>
      </c>
      <c r="DI5" s="36">
        <f t="shared" si="21"/>
        <v>512000</v>
      </c>
      <c r="DJ5" s="36">
        <f t="shared" si="21"/>
        <v>1024000</v>
      </c>
    </row>
    <row r="6" spans="2:167" s="2" customFormat="1" ht="15">
      <c r="B6" s="34" t="s">
        <v>55</v>
      </c>
      <c r="C6" s="46"/>
      <c r="BC6" s="2">
        <f t="shared" ref="BC6:BX6" si="22">SUM(BC4:BC5)</f>
        <v>0</v>
      </c>
      <c r="BD6" s="2">
        <f t="shared" si="22"/>
        <v>0</v>
      </c>
      <c r="BE6" s="2">
        <f t="shared" si="22"/>
        <v>0</v>
      </c>
      <c r="BF6" s="2">
        <f t="shared" si="22"/>
        <v>0</v>
      </c>
      <c r="BG6" s="2">
        <f t="shared" si="22"/>
        <v>0</v>
      </c>
      <c r="BH6" s="2">
        <f t="shared" si="22"/>
        <v>0</v>
      </c>
      <c r="BI6" s="2">
        <f t="shared" si="22"/>
        <v>0</v>
      </c>
      <c r="BJ6" s="2">
        <f t="shared" si="22"/>
        <v>0</v>
      </c>
      <c r="BK6" s="2">
        <f t="shared" si="22"/>
        <v>0</v>
      </c>
      <c r="BL6" s="2">
        <f t="shared" si="22"/>
        <v>0</v>
      </c>
      <c r="BM6" s="2">
        <f t="shared" si="22"/>
        <v>0</v>
      </c>
      <c r="BN6" s="2">
        <f t="shared" si="22"/>
        <v>0</v>
      </c>
      <c r="BO6" s="2">
        <f t="shared" si="22"/>
        <v>11961</v>
      </c>
      <c r="BP6" s="2">
        <f t="shared" si="22"/>
        <v>12487</v>
      </c>
      <c r="BQ6" s="2">
        <f t="shared" si="22"/>
        <v>13072</v>
      </c>
      <c r="BR6" s="2">
        <f t="shared" si="22"/>
        <v>14054</v>
      </c>
      <c r="BS6" s="2">
        <f t="shared" si="22"/>
        <v>14916</v>
      </c>
      <c r="BT6" s="2">
        <f t="shared" si="22"/>
        <v>15952</v>
      </c>
      <c r="BU6" s="2">
        <f t="shared" si="22"/>
        <v>15952</v>
      </c>
      <c r="BV6" s="2">
        <f t="shared" si="22"/>
        <v>-44820</v>
      </c>
      <c r="BW6" s="2">
        <f t="shared" si="22"/>
        <v>0</v>
      </c>
      <c r="BX6" s="2">
        <f t="shared" si="22"/>
        <v>29591</v>
      </c>
      <c r="BY6" s="35"/>
      <c r="BZ6" s="35"/>
      <c r="CI6" s="2">
        <f t="shared" si="3"/>
        <v>0</v>
      </c>
      <c r="CJ6" s="2">
        <f t="shared" si="4"/>
        <v>0</v>
      </c>
      <c r="CK6" s="2">
        <f t="shared" si="5"/>
        <v>0</v>
      </c>
      <c r="CL6" s="2">
        <f t="shared" si="6"/>
        <v>0</v>
      </c>
      <c r="CM6" s="2">
        <f t="shared" si="7"/>
        <v>0</v>
      </c>
      <c r="CN6" s="2">
        <f t="shared" si="8"/>
        <v>0</v>
      </c>
      <c r="CO6" s="2">
        <f t="shared" si="9"/>
        <v>0</v>
      </c>
      <c r="CP6" s="2">
        <f t="shared" si="10"/>
        <v>0</v>
      </c>
      <c r="CQ6" s="2">
        <f t="shared" si="11"/>
        <v>0</v>
      </c>
      <c r="CR6" s="2">
        <f t="shared" si="12"/>
        <v>0</v>
      </c>
      <c r="CS6" s="2">
        <f t="shared" si="13"/>
        <v>0</v>
      </c>
      <c r="CT6" s="2">
        <f t="shared" si="14"/>
        <v>0</v>
      </c>
      <c r="CU6" s="2">
        <f t="shared" si="15"/>
        <v>0</v>
      </c>
      <c r="CV6" s="2">
        <f t="shared" si="16"/>
        <v>0</v>
      </c>
      <c r="CW6" s="2">
        <f t="shared" si="17"/>
        <v>0</v>
      </c>
      <c r="CX6" s="2">
        <f t="shared" si="18"/>
        <v>0</v>
      </c>
      <c r="CY6" s="2">
        <f t="shared" si="19"/>
        <v>51574</v>
      </c>
      <c r="CZ6" s="2">
        <f t="shared" si="20"/>
        <v>2000</v>
      </c>
      <c r="DA6" s="35">
        <f t="shared" ref="DA6:DJ6" si="23">SUM(DA4:DA5)</f>
        <v>4000</v>
      </c>
      <c r="DB6" s="35">
        <f t="shared" si="23"/>
        <v>8000</v>
      </c>
      <c r="DC6" s="35">
        <f t="shared" si="23"/>
        <v>16000</v>
      </c>
      <c r="DD6" s="35">
        <f t="shared" si="23"/>
        <v>32000</v>
      </c>
      <c r="DE6" s="35">
        <f t="shared" si="23"/>
        <v>64000</v>
      </c>
      <c r="DF6" s="35">
        <f t="shared" si="23"/>
        <v>128000</v>
      </c>
      <c r="DG6" s="35">
        <f t="shared" si="23"/>
        <v>256000</v>
      </c>
      <c r="DH6" s="35">
        <f t="shared" si="23"/>
        <v>512000</v>
      </c>
      <c r="DI6" s="35">
        <f t="shared" si="23"/>
        <v>1024000</v>
      </c>
      <c r="DJ6" s="35">
        <f t="shared" si="23"/>
        <v>2048000</v>
      </c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</row>
    <row r="7" spans="2:167">
      <c r="B7" s="37"/>
      <c r="C7" s="37"/>
    </row>
    <row r="8" spans="2:167">
      <c r="B8" s="38" t="s">
        <v>60</v>
      </c>
      <c r="BC8" s="1" t="e">
        <f t="shared" ref="BC8:BL10" si="24">BC4/AY4-1</f>
        <v>#DIV/0!</v>
      </c>
      <c r="BD8" s="1" t="e">
        <f t="shared" si="24"/>
        <v>#DIV/0!</v>
      </c>
      <c r="BE8" s="1" t="e">
        <f t="shared" si="24"/>
        <v>#DIV/0!</v>
      </c>
      <c r="BF8" s="1" t="e">
        <f t="shared" si="24"/>
        <v>#DIV/0!</v>
      </c>
      <c r="BG8" s="1" t="e">
        <f t="shared" si="24"/>
        <v>#DIV/0!</v>
      </c>
      <c r="BH8" s="1" t="e">
        <f t="shared" si="24"/>
        <v>#DIV/0!</v>
      </c>
      <c r="BI8" s="1" t="e">
        <f t="shared" si="24"/>
        <v>#DIV/0!</v>
      </c>
      <c r="BJ8" s="1" t="e">
        <f t="shared" si="24"/>
        <v>#DIV/0!</v>
      </c>
      <c r="BK8" s="1" t="e">
        <f t="shared" si="24"/>
        <v>#DIV/0!</v>
      </c>
      <c r="BL8" s="1" t="e">
        <f t="shared" si="24"/>
        <v>#DIV/0!</v>
      </c>
      <c r="BM8" s="1" t="e">
        <f t="shared" ref="BM8:BX10" si="25">BM4/BI4-1</f>
        <v>#DIV/0!</v>
      </c>
      <c r="BN8" s="1" t="e">
        <f t="shared" si="25"/>
        <v>#DIV/0!</v>
      </c>
      <c r="BO8" s="1" t="e">
        <f t="shared" si="25"/>
        <v>#DIV/0!</v>
      </c>
      <c r="BP8" s="1" t="e">
        <f t="shared" si="25"/>
        <v>#DIV/0!</v>
      </c>
      <c r="BQ8" s="1" t="e">
        <f t="shared" si="25"/>
        <v>#DIV/0!</v>
      </c>
      <c r="BR8" s="1" t="e">
        <f t="shared" si="25"/>
        <v>#DIV/0!</v>
      </c>
      <c r="BS8" s="1">
        <f t="shared" si="25"/>
        <v>0.10240151106314088</v>
      </c>
      <c r="BT8" s="1">
        <f t="shared" si="25"/>
        <v>0.55353170189098999</v>
      </c>
      <c r="BU8" s="1">
        <f t="shared" si="25"/>
        <v>0.24438768651700493</v>
      </c>
      <c r="BV8" s="1">
        <f t="shared" si="25"/>
        <v>-4.3190235690235692</v>
      </c>
      <c r="BW8" s="1">
        <f t="shared" ref="BW8:BW10" si="26">BW4/BS4-1</f>
        <v>-1</v>
      </c>
      <c r="BX8" s="1">
        <f t="shared" si="25"/>
        <v>1.1730063546048508</v>
      </c>
      <c r="CJ8" s="1" t="e">
        <f t="shared" ref="CJ8:CZ8" si="27">CJ4/CI4-1</f>
        <v>#DIV/0!</v>
      </c>
      <c r="CK8" s="1" t="e">
        <f t="shared" si="27"/>
        <v>#DIV/0!</v>
      </c>
      <c r="CL8" s="1" t="e">
        <f t="shared" si="27"/>
        <v>#DIV/0!</v>
      </c>
      <c r="CM8" s="1" t="e">
        <f t="shared" si="27"/>
        <v>#DIV/0!</v>
      </c>
      <c r="CN8" s="1" t="e">
        <f t="shared" si="27"/>
        <v>#DIV/0!</v>
      </c>
      <c r="CO8" s="1" t="e">
        <f t="shared" si="27"/>
        <v>#DIV/0!</v>
      </c>
      <c r="CP8" s="1" t="e">
        <f t="shared" si="27"/>
        <v>#DIV/0!</v>
      </c>
      <c r="CQ8" s="1" t="e">
        <f t="shared" si="27"/>
        <v>#DIV/0!</v>
      </c>
      <c r="CR8" s="1" t="e">
        <f t="shared" si="27"/>
        <v>#DIV/0!</v>
      </c>
      <c r="CS8" s="1" t="e">
        <f t="shared" si="27"/>
        <v>#DIV/0!</v>
      </c>
      <c r="CT8" s="1" t="e">
        <f t="shared" si="27"/>
        <v>#DIV/0!</v>
      </c>
      <c r="CU8" s="1" t="e">
        <f t="shared" si="27"/>
        <v>#DIV/0!</v>
      </c>
      <c r="CV8" s="1" t="e">
        <f t="shared" si="27"/>
        <v>#DIV/0!</v>
      </c>
      <c r="CW8" s="1" t="e">
        <f t="shared" si="27"/>
        <v>#DIV/0!</v>
      </c>
      <c r="CX8" s="1" t="e">
        <f t="shared" si="27"/>
        <v>#DIV/0!</v>
      </c>
      <c r="CY8" s="1" t="e">
        <f t="shared" si="27"/>
        <v>#DIV/0!</v>
      </c>
      <c r="CZ8" s="1">
        <f t="shared" si="27"/>
        <v>-0.96706083863104841</v>
      </c>
      <c r="DA8" s="45">
        <v>1</v>
      </c>
      <c r="DB8" s="45">
        <v>1</v>
      </c>
      <c r="DC8" s="45">
        <v>1</v>
      </c>
      <c r="DD8" s="45">
        <v>1</v>
      </c>
      <c r="DE8" s="45">
        <v>1</v>
      </c>
      <c r="DF8" s="45">
        <v>1</v>
      </c>
      <c r="DG8" s="45">
        <v>1</v>
      </c>
      <c r="DH8" s="45">
        <v>1</v>
      </c>
      <c r="DI8" s="45">
        <v>1</v>
      </c>
      <c r="DJ8" s="45">
        <v>1</v>
      </c>
    </row>
    <row r="9" spans="2:167">
      <c r="B9" s="38" t="s">
        <v>61</v>
      </c>
      <c r="BC9" s="1" t="e">
        <f t="shared" si="24"/>
        <v>#DIV/0!</v>
      </c>
      <c r="BD9" s="1" t="e">
        <f t="shared" si="24"/>
        <v>#DIV/0!</v>
      </c>
      <c r="BE9" s="1" t="e">
        <f t="shared" si="24"/>
        <v>#DIV/0!</v>
      </c>
      <c r="BF9" s="1" t="e">
        <f t="shared" si="24"/>
        <v>#DIV/0!</v>
      </c>
      <c r="BG9" s="1" t="e">
        <f t="shared" si="24"/>
        <v>#DIV/0!</v>
      </c>
      <c r="BH9" s="1" t="e">
        <f t="shared" si="24"/>
        <v>#DIV/0!</v>
      </c>
      <c r="BI9" s="1" t="e">
        <f t="shared" si="24"/>
        <v>#DIV/0!</v>
      </c>
      <c r="BJ9" s="1" t="e">
        <f t="shared" si="24"/>
        <v>#DIV/0!</v>
      </c>
      <c r="BK9" s="1" t="e">
        <f t="shared" si="24"/>
        <v>#DIV/0!</v>
      </c>
      <c r="BL9" s="1" t="e">
        <f t="shared" si="24"/>
        <v>#DIV/0!</v>
      </c>
      <c r="BM9" s="1" t="e">
        <f t="shared" si="25"/>
        <v>#DIV/0!</v>
      </c>
      <c r="BN9" s="1" t="e">
        <f t="shared" si="25"/>
        <v>#DIV/0!</v>
      </c>
      <c r="BO9" s="1" t="e">
        <f t="shared" si="25"/>
        <v>#DIV/0!</v>
      </c>
      <c r="BP9" s="1" t="e">
        <f t="shared" si="25"/>
        <v>#DIV/0!</v>
      </c>
      <c r="BQ9" s="1" t="e">
        <f t="shared" si="25"/>
        <v>#DIV/0!</v>
      </c>
      <c r="BR9" s="1" t="e">
        <f t="shared" si="25"/>
        <v>#DIV/0!</v>
      </c>
      <c r="BS9" s="1">
        <f t="shared" si="25"/>
        <v>0.48274346010112112</v>
      </c>
      <c r="BT9" s="1">
        <f t="shared" si="25"/>
        <v>-9.7450424929178436E-2</v>
      </c>
      <c r="BU9" s="1">
        <f t="shared" si="25"/>
        <v>0.18853186579087522</v>
      </c>
      <c r="BV9" s="1">
        <f t="shared" si="25"/>
        <v>-4.0008713837574064</v>
      </c>
      <c r="BW9" s="1">
        <f t="shared" si="26"/>
        <v>-1</v>
      </c>
      <c r="BX9" s="1">
        <f t="shared" si="25"/>
        <v>0.11152960870474993</v>
      </c>
      <c r="CJ9" s="1" t="e">
        <f t="shared" ref="CJ9:CZ9" si="28">CJ5/CI5-1</f>
        <v>#DIV/0!</v>
      </c>
      <c r="CK9" s="1" t="e">
        <f t="shared" si="28"/>
        <v>#DIV/0!</v>
      </c>
      <c r="CL9" s="1" t="e">
        <f t="shared" si="28"/>
        <v>#DIV/0!</v>
      </c>
      <c r="CM9" s="1" t="e">
        <f t="shared" si="28"/>
        <v>#DIV/0!</v>
      </c>
      <c r="CN9" s="1" t="e">
        <f t="shared" si="28"/>
        <v>#DIV/0!</v>
      </c>
      <c r="CO9" s="1" t="e">
        <f t="shared" si="28"/>
        <v>#DIV/0!</v>
      </c>
      <c r="CP9" s="1" t="e">
        <f t="shared" si="28"/>
        <v>#DIV/0!</v>
      </c>
      <c r="CQ9" s="1" t="e">
        <f t="shared" si="28"/>
        <v>#DIV/0!</v>
      </c>
      <c r="CR9" s="1" t="e">
        <f t="shared" si="28"/>
        <v>#DIV/0!</v>
      </c>
      <c r="CS9" s="1" t="e">
        <f t="shared" si="28"/>
        <v>#DIV/0!</v>
      </c>
      <c r="CT9" s="1" t="e">
        <f t="shared" si="28"/>
        <v>#DIV/0!</v>
      </c>
      <c r="CU9" s="1" t="e">
        <f t="shared" si="28"/>
        <v>#DIV/0!</v>
      </c>
      <c r="CV9" s="1" t="e">
        <f t="shared" si="28"/>
        <v>#DIV/0!</v>
      </c>
      <c r="CW9" s="1" t="e">
        <f t="shared" si="28"/>
        <v>#DIV/0!</v>
      </c>
      <c r="CX9" s="1" t="e">
        <f t="shared" si="28"/>
        <v>#DIV/0!</v>
      </c>
      <c r="CY9" s="1" t="e">
        <f t="shared" si="28"/>
        <v>#DIV/0!</v>
      </c>
      <c r="CZ9" s="1">
        <f t="shared" si="28"/>
        <v>-0.95286353994814987</v>
      </c>
      <c r="DA9" s="45">
        <v>1</v>
      </c>
      <c r="DB9" s="45">
        <v>1</v>
      </c>
      <c r="DC9" s="45">
        <v>1</v>
      </c>
      <c r="DD9" s="45">
        <v>1</v>
      </c>
      <c r="DE9" s="45">
        <v>1</v>
      </c>
      <c r="DF9" s="45">
        <v>1</v>
      </c>
      <c r="DG9" s="45">
        <v>1</v>
      </c>
      <c r="DH9" s="45">
        <v>1</v>
      </c>
      <c r="DI9" s="45">
        <v>1</v>
      </c>
      <c r="DJ9" s="45">
        <v>1</v>
      </c>
    </row>
    <row r="10" spans="2:167" s="2" customFormat="1" ht="15">
      <c r="B10" s="34" t="s">
        <v>117</v>
      </c>
      <c r="BC10" s="1" t="e">
        <f t="shared" si="24"/>
        <v>#DIV/0!</v>
      </c>
      <c r="BD10" s="1" t="e">
        <f t="shared" si="24"/>
        <v>#DIV/0!</v>
      </c>
      <c r="BE10" s="1" t="e">
        <f t="shared" si="24"/>
        <v>#DIV/0!</v>
      </c>
      <c r="BF10" s="1" t="e">
        <f t="shared" si="24"/>
        <v>#DIV/0!</v>
      </c>
      <c r="BG10" s="1" t="e">
        <f t="shared" si="24"/>
        <v>#DIV/0!</v>
      </c>
      <c r="BH10" s="1" t="e">
        <f t="shared" si="24"/>
        <v>#DIV/0!</v>
      </c>
      <c r="BI10" s="1" t="e">
        <f t="shared" si="24"/>
        <v>#DIV/0!</v>
      </c>
      <c r="BJ10" s="1" t="e">
        <f t="shared" si="24"/>
        <v>#DIV/0!</v>
      </c>
      <c r="BK10" s="1" t="e">
        <f t="shared" si="24"/>
        <v>#DIV/0!</v>
      </c>
      <c r="BL10" s="1" t="e">
        <f t="shared" si="24"/>
        <v>#DIV/0!</v>
      </c>
      <c r="BM10" s="1" t="e">
        <f t="shared" si="25"/>
        <v>#DIV/0!</v>
      </c>
      <c r="BN10" s="1" t="e">
        <f t="shared" si="25"/>
        <v>#DIV/0!</v>
      </c>
      <c r="BO10" s="1" t="e">
        <f t="shared" si="25"/>
        <v>#DIV/0!</v>
      </c>
      <c r="BP10" s="1" t="e">
        <f t="shared" si="25"/>
        <v>#DIV/0!</v>
      </c>
      <c r="BQ10" s="1" t="e">
        <f t="shared" si="25"/>
        <v>#DIV/0!</v>
      </c>
      <c r="BR10" s="1" t="e">
        <f t="shared" si="25"/>
        <v>#DIV/0!</v>
      </c>
      <c r="BS10" s="1">
        <f t="shared" si="25"/>
        <v>0.24705292199648854</v>
      </c>
      <c r="BT10" s="1">
        <f t="shared" si="25"/>
        <v>0.27748858813165689</v>
      </c>
      <c r="BU10" s="1">
        <f t="shared" si="25"/>
        <v>0.2203182374541004</v>
      </c>
      <c r="BV10" s="1">
        <f t="shared" si="25"/>
        <v>-4.1891276504909634</v>
      </c>
      <c r="BW10" s="1">
        <f t="shared" si="26"/>
        <v>-1</v>
      </c>
      <c r="BX10" s="1">
        <f t="shared" si="25"/>
        <v>0.85500250752256779</v>
      </c>
      <c r="BY10" s="35"/>
      <c r="BZ10" s="35"/>
      <c r="CJ10" s="2" t="e">
        <f t="shared" ref="CJ10:CZ10" si="29">CJ6/CI6-1</f>
        <v>#DIV/0!</v>
      </c>
      <c r="CK10" s="2" t="e">
        <f t="shared" si="29"/>
        <v>#DIV/0!</v>
      </c>
      <c r="CL10" s="2" t="e">
        <f t="shared" si="29"/>
        <v>#DIV/0!</v>
      </c>
      <c r="CM10" s="2" t="e">
        <f t="shared" si="29"/>
        <v>#DIV/0!</v>
      </c>
      <c r="CN10" s="2" t="e">
        <f t="shared" si="29"/>
        <v>#DIV/0!</v>
      </c>
      <c r="CO10" s="2" t="e">
        <f t="shared" si="29"/>
        <v>#DIV/0!</v>
      </c>
      <c r="CP10" s="2" t="e">
        <f t="shared" si="29"/>
        <v>#DIV/0!</v>
      </c>
      <c r="CQ10" s="2" t="e">
        <f t="shared" si="29"/>
        <v>#DIV/0!</v>
      </c>
      <c r="CR10" s="2" t="e">
        <f t="shared" si="29"/>
        <v>#DIV/0!</v>
      </c>
      <c r="CS10" s="2" t="e">
        <f t="shared" si="29"/>
        <v>#DIV/0!</v>
      </c>
      <c r="CT10" s="2" t="e">
        <f t="shared" si="29"/>
        <v>#DIV/0!</v>
      </c>
      <c r="CU10" s="2" t="e">
        <f t="shared" si="29"/>
        <v>#DIV/0!</v>
      </c>
      <c r="CV10" s="2" t="e">
        <f t="shared" si="29"/>
        <v>#DIV/0!</v>
      </c>
      <c r="CW10" s="2" t="e">
        <f t="shared" si="29"/>
        <v>#DIV/0!</v>
      </c>
      <c r="CX10" s="2" t="e">
        <f t="shared" si="29"/>
        <v>#DIV/0!</v>
      </c>
      <c r="CY10" s="2" t="e">
        <f t="shared" si="29"/>
        <v>#DIV/0!</v>
      </c>
      <c r="CZ10" s="2">
        <f t="shared" si="29"/>
        <v>-0.96122077015550467</v>
      </c>
      <c r="DA10" s="47">
        <f t="shared" ref="DA10:DJ10" si="30">DA6/CZ6-1</f>
        <v>1</v>
      </c>
      <c r="DB10" s="47">
        <f t="shared" si="30"/>
        <v>1</v>
      </c>
      <c r="DC10" s="47">
        <f t="shared" si="30"/>
        <v>1</v>
      </c>
      <c r="DD10" s="47">
        <f t="shared" si="30"/>
        <v>1</v>
      </c>
      <c r="DE10" s="47">
        <f t="shared" si="30"/>
        <v>1</v>
      </c>
      <c r="DF10" s="47">
        <f t="shared" si="30"/>
        <v>1</v>
      </c>
      <c r="DG10" s="47">
        <f t="shared" si="30"/>
        <v>1</v>
      </c>
      <c r="DH10" s="47">
        <f t="shared" si="30"/>
        <v>1</v>
      </c>
      <c r="DI10" s="47">
        <f t="shared" si="30"/>
        <v>1</v>
      </c>
      <c r="DJ10" s="47">
        <f t="shared" si="30"/>
        <v>1</v>
      </c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</row>
    <row r="12" spans="2:167">
      <c r="B12" s="38" t="s">
        <v>58</v>
      </c>
      <c r="BV12" s="1">
        <f>BV4/BV6</f>
        <v>0.61581883087907185</v>
      </c>
      <c r="BW12" s="1" t="e">
        <f>BW4/BW6</f>
        <v>#DIV/0!</v>
      </c>
      <c r="BX12" s="1">
        <f>BX4/BX6</f>
        <v>0.82048595856848361</v>
      </c>
      <c r="CY12" s="1">
        <f>CY4/CY6</f>
        <v>0.58864931942451626</v>
      </c>
      <c r="CZ12" s="1">
        <f>CZ4/CZ6</f>
        <v>0.5</v>
      </c>
    </row>
    <row r="13" spans="2:167">
      <c r="B13" s="38" t="s">
        <v>59</v>
      </c>
      <c r="BV13" s="1">
        <f>BV5/BV6</f>
        <v>0.38418116912092815</v>
      </c>
      <c r="BW13" s="1" t="e">
        <f>BW5/BW6</f>
        <v>#DIV/0!</v>
      </c>
      <c r="BX13" s="1">
        <f>BX5/BX6</f>
        <v>0.17951404143151634</v>
      </c>
    </row>
    <row r="15" spans="2:167">
      <c r="B15" s="1" t="s">
        <v>191</v>
      </c>
      <c r="CI15" s="1">
        <f t="shared" ref="CI15:CI18" si="31">SUM(C15:F15)</f>
        <v>0</v>
      </c>
      <c r="CJ15" s="1">
        <f t="shared" ref="CJ15:CJ18" si="32">SUM(G15:J15)</f>
        <v>0</v>
      </c>
      <c r="CK15" s="1">
        <f t="shared" ref="CK15:CK18" si="33">SUM(K15:N15)</f>
        <v>0</v>
      </c>
      <c r="CL15" s="1">
        <f t="shared" ref="CL15:CL18" si="34">SUM(O15:R15)</f>
        <v>0</v>
      </c>
      <c r="CM15" s="1">
        <f t="shared" ref="CM15:CM18" si="35">SUM(S15:V15)</f>
        <v>0</v>
      </c>
      <c r="CN15" s="1">
        <f t="shared" ref="CN15:CN18" si="36">SUM(W15:Z15)</f>
        <v>0</v>
      </c>
      <c r="CO15" s="1">
        <f t="shared" ref="CO15:CO18" si="37">SUM(AA15:AD15)</f>
        <v>0</v>
      </c>
      <c r="CP15" s="1">
        <f t="shared" ref="CP15:CP18" si="38">SUM(AE15:AH15)</f>
        <v>0</v>
      </c>
      <c r="CQ15" s="1">
        <f t="shared" ref="CQ15:CQ18" si="39">SUM(AI15:AL15)</f>
        <v>0</v>
      </c>
      <c r="CR15" s="1">
        <f t="shared" ref="CR15:CR18" si="40">SUM(AM15:AP15)</f>
        <v>0</v>
      </c>
      <c r="CS15" s="1">
        <f t="shared" ref="CS15:CS18" si="41">SUM(AQ15:AT15)</f>
        <v>0</v>
      </c>
      <c r="CT15" s="1">
        <f t="shared" ref="CT15:CT18" si="42">SUM(AU15:AX15)</f>
        <v>0</v>
      </c>
      <c r="CU15" s="1">
        <f t="shared" ref="CU15:CU18" si="43">SUM(AY15:BB15)</f>
        <v>0</v>
      </c>
      <c r="CV15" s="1">
        <f t="shared" ref="CV15:CV18" si="44">SUM(BC15:BF15)</f>
        <v>0</v>
      </c>
      <c r="CW15" s="1">
        <f t="shared" ref="CW15:CW18" si="45">SUM(BG15:BJ15)</f>
        <v>0</v>
      </c>
      <c r="CX15" s="1">
        <f t="shared" ref="CX15:CX18" si="46">SUM(BK15:BN15)</f>
        <v>0</v>
      </c>
      <c r="CY15" s="1">
        <f t="shared" ref="CY15:CY18" si="47">SUM(BO15:BR15)</f>
        <v>0</v>
      </c>
      <c r="CZ15" s="1">
        <f t="shared" ref="CZ15:CZ18" si="48">SUM(BS15:BV15)</f>
        <v>0</v>
      </c>
    </row>
    <row r="16" spans="2:167">
      <c r="B16" s="1" t="s">
        <v>192</v>
      </c>
      <c r="CI16" s="1">
        <f t="shared" si="31"/>
        <v>0</v>
      </c>
      <c r="CJ16" s="1">
        <f t="shared" si="32"/>
        <v>0</v>
      </c>
      <c r="CK16" s="1">
        <f t="shared" si="33"/>
        <v>0</v>
      </c>
      <c r="CL16" s="1">
        <f t="shared" si="34"/>
        <v>0</v>
      </c>
      <c r="CM16" s="1">
        <f t="shared" si="35"/>
        <v>0</v>
      </c>
      <c r="CN16" s="1">
        <f t="shared" si="36"/>
        <v>0</v>
      </c>
      <c r="CO16" s="1">
        <f t="shared" si="37"/>
        <v>0</v>
      </c>
      <c r="CP16" s="1">
        <f t="shared" si="38"/>
        <v>0</v>
      </c>
      <c r="CQ16" s="1">
        <f t="shared" si="39"/>
        <v>0</v>
      </c>
      <c r="CR16" s="1">
        <f t="shared" si="40"/>
        <v>0</v>
      </c>
      <c r="CS16" s="1">
        <f t="shared" si="41"/>
        <v>0</v>
      </c>
      <c r="CT16" s="1">
        <f t="shared" si="42"/>
        <v>0</v>
      </c>
      <c r="CU16" s="1">
        <f t="shared" si="43"/>
        <v>0</v>
      </c>
      <c r="CV16" s="1">
        <f t="shared" si="44"/>
        <v>0</v>
      </c>
      <c r="CW16" s="1">
        <f t="shared" si="45"/>
        <v>0</v>
      </c>
      <c r="CX16" s="1">
        <f t="shared" si="46"/>
        <v>0</v>
      </c>
      <c r="CY16" s="1">
        <f t="shared" si="47"/>
        <v>0</v>
      </c>
      <c r="CZ16" s="1">
        <f t="shared" si="48"/>
        <v>0</v>
      </c>
    </row>
    <row r="17" spans="2:166">
      <c r="B17" s="1" t="s">
        <v>193</v>
      </c>
      <c r="CI17" s="1">
        <f t="shared" si="31"/>
        <v>0</v>
      </c>
      <c r="CJ17" s="1">
        <f t="shared" si="32"/>
        <v>0</v>
      </c>
      <c r="CK17" s="1">
        <f t="shared" si="33"/>
        <v>0</v>
      </c>
      <c r="CL17" s="1">
        <f t="shared" si="34"/>
        <v>0</v>
      </c>
      <c r="CM17" s="1">
        <f t="shared" si="35"/>
        <v>0</v>
      </c>
      <c r="CN17" s="1">
        <f t="shared" si="36"/>
        <v>0</v>
      </c>
      <c r="CO17" s="1">
        <f t="shared" si="37"/>
        <v>0</v>
      </c>
      <c r="CP17" s="1">
        <f t="shared" si="38"/>
        <v>0</v>
      </c>
      <c r="CQ17" s="1">
        <f t="shared" si="39"/>
        <v>0</v>
      </c>
      <c r="CR17" s="1">
        <f t="shared" si="40"/>
        <v>0</v>
      </c>
      <c r="CS17" s="1">
        <f t="shared" si="41"/>
        <v>0</v>
      </c>
      <c r="CT17" s="1">
        <f t="shared" si="42"/>
        <v>0</v>
      </c>
      <c r="CU17" s="1">
        <f t="shared" si="43"/>
        <v>0</v>
      </c>
      <c r="CV17" s="1">
        <f t="shared" si="44"/>
        <v>0</v>
      </c>
      <c r="CW17" s="1">
        <f t="shared" si="45"/>
        <v>0</v>
      </c>
      <c r="CX17" s="1">
        <f t="shared" si="46"/>
        <v>0</v>
      </c>
      <c r="CY17" s="1">
        <f t="shared" si="47"/>
        <v>0</v>
      </c>
      <c r="CZ17" s="1">
        <f t="shared" si="48"/>
        <v>0</v>
      </c>
    </row>
    <row r="18" spans="2:166" ht="15">
      <c r="B18" s="34" t="s">
        <v>55</v>
      </c>
      <c r="CI18" s="1">
        <f t="shared" si="31"/>
        <v>0</v>
      </c>
      <c r="CJ18" s="1">
        <f t="shared" si="32"/>
        <v>0</v>
      </c>
      <c r="CK18" s="1">
        <f t="shared" si="33"/>
        <v>0</v>
      </c>
      <c r="CL18" s="1">
        <f t="shared" si="34"/>
        <v>0</v>
      </c>
      <c r="CM18" s="1">
        <f t="shared" si="35"/>
        <v>0</v>
      </c>
      <c r="CN18" s="1">
        <f t="shared" si="36"/>
        <v>0</v>
      </c>
      <c r="CO18" s="1">
        <f t="shared" si="37"/>
        <v>0</v>
      </c>
      <c r="CP18" s="1">
        <f t="shared" si="38"/>
        <v>0</v>
      </c>
      <c r="CQ18" s="1">
        <f t="shared" si="39"/>
        <v>0</v>
      </c>
      <c r="CR18" s="1">
        <f t="shared" si="40"/>
        <v>0</v>
      </c>
      <c r="CS18" s="1">
        <f t="shared" si="41"/>
        <v>0</v>
      </c>
      <c r="CT18" s="1">
        <f t="shared" si="42"/>
        <v>0</v>
      </c>
      <c r="CU18" s="1">
        <f t="shared" si="43"/>
        <v>0</v>
      </c>
      <c r="CV18" s="1">
        <f t="shared" si="44"/>
        <v>0</v>
      </c>
      <c r="CW18" s="1">
        <f t="shared" si="45"/>
        <v>0</v>
      </c>
      <c r="CX18" s="1">
        <f t="shared" si="46"/>
        <v>0</v>
      </c>
      <c r="CY18" s="1">
        <f t="shared" si="47"/>
        <v>0</v>
      </c>
      <c r="CZ18" s="1">
        <f t="shared" si="48"/>
        <v>0</v>
      </c>
    </row>
    <row r="20" spans="2:166">
      <c r="B20" s="1" t="s">
        <v>194</v>
      </c>
      <c r="BC20" s="1" t="e">
        <f t="shared" ref="BC20:BS22" si="49">BC15/AY15-1</f>
        <v>#DIV/0!</v>
      </c>
      <c r="BD20" s="1" t="e">
        <f t="shared" si="49"/>
        <v>#DIV/0!</v>
      </c>
      <c r="BE20" s="1" t="e">
        <f t="shared" si="49"/>
        <v>#DIV/0!</v>
      </c>
      <c r="BF20" s="1" t="e">
        <f t="shared" si="49"/>
        <v>#DIV/0!</v>
      </c>
      <c r="BG20" s="1" t="e">
        <f t="shared" si="49"/>
        <v>#DIV/0!</v>
      </c>
      <c r="BH20" s="1" t="e">
        <f t="shared" si="49"/>
        <v>#DIV/0!</v>
      </c>
      <c r="BI20" s="1" t="e">
        <f t="shared" si="49"/>
        <v>#DIV/0!</v>
      </c>
      <c r="BJ20" s="1" t="e">
        <f t="shared" si="49"/>
        <v>#DIV/0!</v>
      </c>
      <c r="BK20" s="1" t="e">
        <f t="shared" si="49"/>
        <v>#DIV/0!</v>
      </c>
      <c r="BL20" s="1" t="e">
        <f t="shared" si="49"/>
        <v>#DIV/0!</v>
      </c>
      <c r="BM20" s="1" t="e">
        <f t="shared" si="49"/>
        <v>#DIV/0!</v>
      </c>
      <c r="BN20" s="1" t="e">
        <f t="shared" si="49"/>
        <v>#DIV/0!</v>
      </c>
      <c r="BO20" s="1" t="e">
        <f t="shared" si="49"/>
        <v>#DIV/0!</v>
      </c>
      <c r="BP20" s="1" t="e">
        <f t="shared" si="49"/>
        <v>#DIV/0!</v>
      </c>
      <c r="BQ20" s="1" t="e">
        <f t="shared" si="49"/>
        <v>#DIV/0!</v>
      </c>
      <c r="BR20" s="1" t="e">
        <f t="shared" si="49"/>
        <v>#DIV/0!</v>
      </c>
      <c r="BS20" s="1" t="e">
        <f t="shared" si="49"/>
        <v>#DIV/0!</v>
      </c>
      <c r="BT20" s="1" t="e">
        <f>BT15/BP15-1</f>
        <v>#DIV/0!</v>
      </c>
      <c r="BU20" s="1" t="e">
        <f>BU15/BQ15-1</f>
        <v>#DIV/0!</v>
      </c>
      <c r="BV20" s="1" t="e">
        <f>BV15/BR15-1</f>
        <v>#DIV/0!</v>
      </c>
      <c r="BW20" s="1" t="e">
        <f>BW15/BS15-1</f>
        <v>#DIV/0!</v>
      </c>
      <c r="BX20" s="1" t="e">
        <f>BX15/BT15-1</f>
        <v>#DIV/0!</v>
      </c>
    </row>
    <row r="21" spans="2:166">
      <c r="B21" s="1" t="s">
        <v>195</v>
      </c>
      <c r="BC21" s="1" t="e">
        <f t="shared" si="49"/>
        <v>#DIV/0!</v>
      </c>
      <c r="BD21" s="1" t="e">
        <f t="shared" si="49"/>
        <v>#DIV/0!</v>
      </c>
      <c r="BE21" s="1" t="e">
        <f t="shared" si="49"/>
        <v>#DIV/0!</v>
      </c>
      <c r="BF21" s="1" t="e">
        <f t="shared" si="49"/>
        <v>#DIV/0!</v>
      </c>
      <c r="BG21" s="1" t="e">
        <f t="shared" si="49"/>
        <v>#DIV/0!</v>
      </c>
      <c r="BH21" s="1" t="e">
        <f t="shared" si="49"/>
        <v>#DIV/0!</v>
      </c>
      <c r="BI21" s="1" t="e">
        <f t="shared" si="49"/>
        <v>#DIV/0!</v>
      </c>
      <c r="BJ21" s="1" t="e">
        <f t="shared" si="49"/>
        <v>#DIV/0!</v>
      </c>
      <c r="BK21" s="1" t="e">
        <f t="shared" si="49"/>
        <v>#DIV/0!</v>
      </c>
      <c r="BL21" s="1" t="e">
        <f t="shared" si="49"/>
        <v>#DIV/0!</v>
      </c>
      <c r="BM21" s="1" t="e">
        <f t="shared" si="49"/>
        <v>#DIV/0!</v>
      </c>
      <c r="BN21" s="1" t="e">
        <f t="shared" si="49"/>
        <v>#DIV/0!</v>
      </c>
      <c r="BO21" s="1" t="e">
        <f t="shared" si="49"/>
        <v>#DIV/0!</v>
      </c>
      <c r="BP21" s="1" t="e">
        <f t="shared" si="49"/>
        <v>#DIV/0!</v>
      </c>
      <c r="BQ21" s="1" t="e">
        <f t="shared" si="49"/>
        <v>#DIV/0!</v>
      </c>
      <c r="BR21" s="1" t="e">
        <f t="shared" si="49"/>
        <v>#DIV/0!</v>
      </c>
      <c r="BS21" s="1" t="e">
        <f t="shared" si="49"/>
        <v>#DIV/0!</v>
      </c>
      <c r="BT21" s="1" t="e">
        <f t="shared" ref="BT21:BX22" si="50">BT16/BP16-1</f>
        <v>#DIV/0!</v>
      </c>
      <c r="BU21" s="1" t="e">
        <f t="shared" si="50"/>
        <v>#DIV/0!</v>
      </c>
      <c r="BV21" s="1" t="e">
        <f t="shared" si="50"/>
        <v>#DIV/0!</v>
      </c>
      <c r="BW21" s="1" t="e">
        <f t="shared" si="50"/>
        <v>#DIV/0!</v>
      </c>
      <c r="BX21" s="1" t="e">
        <f t="shared" si="50"/>
        <v>#DIV/0!</v>
      </c>
    </row>
    <row r="22" spans="2:166">
      <c r="B22" s="1" t="s">
        <v>196</v>
      </c>
      <c r="BC22" s="1" t="e">
        <f t="shared" si="49"/>
        <v>#DIV/0!</v>
      </c>
      <c r="BD22" s="1" t="e">
        <f t="shared" si="49"/>
        <v>#DIV/0!</v>
      </c>
      <c r="BE22" s="1" t="e">
        <f t="shared" si="49"/>
        <v>#DIV/0!</v>
      </c>
      <c r="BF22" s="1" t="e">
        <f t="shared" si="49"/>
        <v>#DIV/0!</v>
      </c>
      <c r="BG22" s="1" t="e">
        <f t="shared" si="49"/>
        <v>#DIV/0!</v>
      </c>
      <c r="BH22" s="1" t="e">
        <f t="shared" si="49"/>
        <v>#DIV/0!</v>
      </c>
      <c r="BI22" s="1" t="e">
        <f t="shared" si="49"/>
        <v>#DIV/0!</v>
      </c>
      <c r="BJ22" s="1" t="e">
        <f t="shared" si="49"/>
        <v>#DIV/0!</v>
      </c>
      <c r="BK22" s="1" t="e">
        <f t="shared" si="49"/>
        <v>#DIV/0!</v>
      </c>
      <c r="BL22" s="1" t="e">
        <f t="shared" si="49"/>
        <v>#DIV/0!</v>
      </c>
      <c r="BM22" s="1" t="e">
        <f t="shared" si="49"/>
        <v>#DIV/0!</v>
      </c>
      <c r="BN22" s="1" t="e">
        <f t="shared" si="49"/>
        <v>#DIV/0!</v>
      </c>
      <c r="BO22" s="1" t="e">
        <f t="shared" si="49"/>
        <v>#DIV/0!</v>
      </c>
      <c r="BP22" s="1" t="e">
        <f t="shared" si="49"/>
        <v>#DIV/0!</v>
      </c>
      <c r="BQ22" s="1" t="e">
        <f t="shared" si="49"/>
        <v>#DIV/0!</v>
      </c>
      <c r="BR22" s="1" t="e">
        <f t="shared" si="49"/>
        <v>#DIV/0!</v>
      </c>
      <c r="BS22" s="1" t="e">
        <f t="shared" si="49"/>
        <v>#DIV/0!</v>
      </c>
      <c r="BT22" s="1" t="e">
        <f t="shared" si="50"/>
        <v>#DIV/0!</v>
      </c>
      <c r="BU22" s="1" t="e">
        <f t="shared" si="50"/>
        <v>#DIV/0!</v>
      </c>
      <c r="BV22" s="1" t="e">
        <f t="shared" si="50"/>
        <v>#DIV/0!</v>
      </c>
      <c r="BW22" s="1" t="e">
        <f t="shared" si="50"/>
        <v>#DIV/0!</v>
      </c>
      <c r="BX22" s="1" t="e">
        <f t="shared" si="50"/>
        <v>#DIV/0!</v>
      </c>
    </row>
    <row r="23" spans="2:166" ht="15">
      <c r="B23" s="34" t="s">
        <v>117</v>
      </c>
      <c r="BC23" s="1" t="e">
        <f t="shared" ref="BC23" si="51">BC19/AY19-1</f>
        <v>#DIV/0!</v>
      </c>
      <c r="BD23" s="1" t="e">
        <f t="shared" ref="BD23" si="52">BD19/AZ19-1</f>
        <v>#DIV/0!</v>
      </c>
      <c r="BE23" s="1" t="e">
        <f t="shared" ref="BE23" si="53">BE19/BA19-1</f>
        <v>#DIV/0!</v>
      </c>
      <c r="BF23" s="1" t="e">
        <f t="shared" ref="BF23" si="54">BF19/BB19-1</f>
        <v>#DIV/0!</v>
      </c>
      <c r="BG23" s="1" t="e">
        <f t="shared" ref="BG23" si="55">BG19/BC19-1</f>
        <v>#DIV/0!</v>
      </c>
      <c r="BH23" s="1" t="e">
        <f t="shared" ref="BH23" si="56">BH19/BD19-1</f>
        <v>#DIV/0!</v>
      </c>
      <c r="BI23" s="1" t="e">
        <f t="shared" ref="BI23" si="57">BI19/BE19-1</f>
        <v>#DIV/0!</v>
      </c>
      <c r="BJ23" s="1" t="e">
        <f t="shared" ref="BJ23" si="58">BJ19/BF19-1</f>
        <v>#DIV/0!</v>
      </c>
      <c r="BK23" s="1" t="e">
        <f t="shared" ref="BK23" si="59">BK19/BG19-1</f>
        <v>#DIV/0!</v>
      </c>
      <c r="BL23" s="1" t="e">
        <f t="shared" ref="BL23" si="60">BL19/BH19-1</f>
        <v>#DIV/0!</v>
      </c>
      <c r="BM23" s="1" t="e">
        <f t="shared" ref="BM23" si="61">BM19/BI19-1</f>
        <v>#DIV/0!</v>
      </c>
      <c r="BN23" s="1" t="e">
        <f t="shared" ref="BN23" si="62">BN19/BJ19-1</f>
        <v>#DIV/0!</v>
      </c>
      <c r="BO23" s="1" t="e">
        <f t="shared" ref="BO23" si="63">BO19/BK19-1</f>
        <v>#DIV/0!</v>
      </c>
      <c r="BP23" s="1" t="e">
        <f t="shared" ref="BP23" si="64">BP19/BL19-1</f>
        <v>#DIV/0!</v>
      </c>
      <c r="BQ23" s="1" t="e">
        <f t="shared" ref="BQ23" si="65">BQ19/BM19-1</f>
        <v>#DIV/0!</v>
      </c>
      <c r="BR23" s="1" t="e">
        <f t="shared" ref="BR23" si="66">BR19/BN19-1</f>
        <v>#DIV/0!</v>
      </c>
      <c r="BS23" s="1" t="e">
        <f t="shared" ref="BS23" si="67">BS19/BO19-1</f>
        <v>#DIV/0!</v>
      </c>
      <c r="BT23" s="1" t="e">
        <f t="shared" ref="BT23" si="68">BT19/BP19-1</f>
        <v>#DIV/0!</v>
      </c>
      <c r="BU23" s="1" t="e">
        <f t="shared" ref="BU23" si="69">BU19/BQ19-1</f>
        <v>#DIV/0!</v>
      </c>
      <c r="BV23" s="1" t="e">
        <f t="shared" ref="BV23" si="70">BV19/BR19-1</f>
        <v>#DIV/0!</v>
      </c>
      <c r="BW23" s="1" t="e">
        <f t="shared" ref="BW23" si="71">BW19/BS19-1</f>
        <v>#DIV/0!</v>
      </c>
      <c r="BX23" s="1" t="e">
        <f t="shared" ref="BX23" si="72">BX19/BT19-1</f>
        <v>#DIV/0!</v>
      </c>
    </row>
    <row r="25" spans="2:166">
      <c r="B25" s="1" t="s">
        <v>197</v>
      </c>
    </row>
    <row r="26" spans="2:166">
      <c r="B26" s="1" t="s">
        <v>198</v>
      </c>
    </row>
    <row r="27" spans="2:166">
      <c r="B27" s="1" t="s">
        <v>199</v>
      </c>
    </row>
    <row r="29" spans="2:166" s="2" customFormat="1" ht="15">
      <c r="B29" s="2" t="s">
        <v>54</v>
      </c>
      <c r="AY29" s="2">
        <f t="shared" ref="AY29:BW29" si="73">AY6</f>
        <v>0</v>
      </c>
      <c r="AZ29" s="2">
        <f t="shared" si="73"/>
        <v>0</v>
      </c>
      <c r="BA29" s="2">
        <f t="shared" si="73"/>
        <v>0</v>
      </c>
      <c r="BB29" s="2">
        <f t="shared" si="73"/>
        <v>0</v>
      </c>
      <c r="BC29" s="2">
        <f t="shared" si="73"/>
        <v>0</v>
      </c>
      <c r="BD29" s="2">
        <f t="shared" si="73"/>
        <v>0</v>
      </c>
      <c r="BE29" s="2">
        <f t="shared" si="73"/>
        <v>0</v>
      </c>
      <c r="BF29" s="2">
        <f t="shared" si="73"/>
        <v>0</v>
      </c>
      <c r="BG29" s="2">
        <f t="shared" si="73"/>
        <v>0</v>
      </c>
      <c r="BH29" s="2">
        <f t="shared" si="73"/>
        <v>0</v>
      </c>
      <c r="BI29" s="2">
        <f t="shared" si="73"/>
        <v>0</v>
      </c>
      <c r="BJ29" s="2">
        <f t="shared" si="73"/>
        <v>0</v>
      </c>
      <c r="BK29" s="2">
        <f t="shared" si="73"/>
        <v>0</v>
      </c>
      <c r="BL29" s="2">
        <f t="shared" si="73"/>
        <v>0</v>
      </c>
      <c r="BM29" s="2">
        <f t="shared" si="73"/>
        <v>0</v>
      </c>
      <c r="BN29" s="2">
        <f t="shared" si="73"/>
        <v>0</v>
      </c>
      <c r="BO29" s="2">
        <f t="shared" si="73"/>
        <v>11961</v>
      </c>
      <c r="BP29" s="2">
        <f t="shared" si="73"/>
        <v>12487</v>
      </c>
      <c r="BQ29" s="2">
        <f t="shared" si="73"/>
        <v>13072</v>
      </c>
      <c r="BR29" s="2">
        <f t="shared" si="73"/>
        <v>14054</v>
      </c>
      <c r="BS29" s="2">
        <f t="shared" si="73"/>
        <v>14916</v>
      </c>
      <c r="BT29" s="2">
        <f t="shared" si="73"/>
        <v>15952</v>
      </c>
      <c r="BU29" s="2">
        <f t="shared" si="73"/>
        <v>15952</v>
      </c>
      <c r="BV29" s="2">
        <f t="shared" si="73"/>
        <v>-44820</v>
      </c>
      <c r="BW29" s="2">
        <f t="shared" si="73"/>
        <v>0</v>
      </c>
      <c r="BX29" s="2">
        <f t="shared" ref="BX29" si="74">BX6</f>
        <v>29591</v>
      </c>
      <c r="BY29" s="35"/>
      <c r="BZ29" s="35"/>
      <c r="CI29" s="2">
        <f>SUM(C29:F29)</f>
        <v>0</v>
      </c>
      <c r="CJ29" s="2">
        <f>SUM(G29:J29)</f>
        <v>0</v>
      </c>
      <c r="CK29" s="2">
        <f>SUM(K29:N29)</f>
        <v>0</v>
      </c>
      <c r="CL29" s="2">
        <f>SUM(O29:R29)</f>
        <v>0</v>
      </c>
      <c r="CM29" s="2">
        <f>SUM(S29:V29)</f>
        <v>0</v>
      </c>
      <c r="CN29" s="2">
        <f>SUM(W29:Z29)</f>
        <v>0</v>
      </c>
      <c r="CO29" s="2">
        <f>SUM(AA29:AD29)</f>
        <v>0</v>
      </c>
      <c r="CP29" s="2">
        <f>SUM(AE29:AH29)</f>
        <v>0</v>
      </c>
      <c r="CQ29" s="2">
        <f>SUM(AI29:AL29)</f>
        <v>0</v>
      </c>
      <c r="CR29" s="2">
        <f>SUM(AM29:AP29)</f>
        <v>0</v>
      </c>
      <c r="CS29" s="2">
        <f>SUM(AQ29:AT29)</f>
        <v>0</v>
      </c>
      <c r="CT29" s="2">
        <f>SUM(AU29:AX29)</f>
        <v>0</v>
      </c>
      <c r="CU29" s="2">
        <f>SUM(AY29:BB29)</f>
        <v>0</v>
      </c>
      <c r="CV29" s="2">
        <f>SUM(BC29:BF29)</f>
        <v>0</v>
      </c>
      <c r="CW29" s="2">
        <f>SUM(BG29:BJ29)</f>
        <v>0</v>
      </c>
      <c r="CX29" s="2">
        <f>SUM(BK29:BN29)</f>
        <v>0</v>
      </c>
      <c r="CY29" s="2">
        <f>SUM(BO29:BR29)</f>
        <v>51574</v>
      </c>
      <c r="CZ29" s="2">
        <f t="shared" ref="CZ29:CZ30" si="75">SUM(BS29:BV29)</f>
        <v>2000</v>
      </c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</row>
    <row r="30" spans="2:166">
      <c r="B30" s="1" t="s">
        <v>62</v>
      </c>
      <c r="CI30" s="1">
        <f>SUM(C30:F30)</f>
        <v>0</v>
      </c>
      <c r="CJ30" s="1">
        <f>SUM(G30:J30)</f>
        <v>0</v>
      </c>
      <c r="CK30" s="1">
        <f>SUM(K30:N30)</f>
        <v>0</v>
      </c>
      <c r="CL30" s="1">
        <f>SUM(O30:R30)</f>
        <v>0</v>
      </c>
      <c r="CM30" s="1">
        <f>SUM(S30:V30)</f>
        <v>0</v>
      </c>
      <c r="CN30" s="1">
        <f>SUM(W30:Z30)</f>
        <v>0</v>
      </c>
      <c r="CO30" s="1">
        <f>SUM(AA30:AD30)</f>
        <v>0</v>
      </c>
      <c r="CP30" s="1">
        <f>SUM(AE30:AH30)</f>
        <v>0</v>
      </c>
      <c r="CQ30" s="1">
        <f>SUM(AI30:AL30)</f>
        <v>0</v>
      </c>
      <c r="CR30" s="1">
        <f>SUM(AM30:AP30)</f>
        <v>0</v>
      </c>
      <c r="CS30" s="1">
        <f>SUM(AQ30:AT30)</f>
        <v>0</v>
      </c>
      <c r="CT30" s="1">
        <f>SUM(AU30:AX30)</f>
        <v>0</v>
      </c>
      <c r="CU30" s="1">
        <f>SUM(AY30:BB30)</f>
        <v>0</v>
      </c>
      <c r="CV30" s="1">
        <f>SUM(BC30:BF30)</f>
        <v>0</v>
      </c>
      <c r="CW30" s="1">
        <f>SUM(BG30:BJ30)</f>
        <v>0</v>
      </c>
      <c r="CX30" s="1">
        <f>SUM(BK30:BN30)</f>
        <v>0</v>
      </c>
      <c r="CY30" s="1">
        <f>SUM(BO30:BR30)</f>
        <v>0</v>
      </c>
      <c r="CZ30" s="1">
        <f t="shared" si="75"/>
        <v>0</v>
      </c>
    </row>
    <row r="31" spans="2:166">
      <c r="B31" s="1" t="s">
        <v>63</v>
      </c>
      <c r="AY31" s="1">
        <f t="shared" ref="AY31:BR31" si="76">AY29-AY30</f>
        <v>0</v>
      </c>
      <c r="AZ31" s="1">
        <f t="shared" si="76"/>
        <v>0</v>
      </c>
      <c r="BA31" s="1">
        <f t="shared" si="76"/>
        <v>0</v>
      </c>
      <c r="BB31" s="1">
        <f t="shared" si="76"/>
        <v>0</v>
      </c>
      <c r="BC31" s="1">
        <f t="shared" si="76"/>
        <v>0</v>
      </c>
      <c r="BD31" s="1">
        <f t="shared" si="76"/>
        <v>0</v>
      </c>
      <c r="BE31" s="1">
        <f t="shared" si="76"/>
        <v>0</v>
      </c>
      <c r="BF31" s="1">
        <f t="shared" si="76"/>
        <v>0</v>
      </c>
      <c r="BG31" s="1">
        <f t="shared" si="76"/>
        <v>0</v>
      </c>
      <c r="BH31" s="1">
        <f t="shared" si="76"/>
        <v>0</v>
      </c>
      <c r="BI31" s="1">
        <f t="shared" si="76"/>
        <v>0</v>
      </c>
      <c r="BJ31" s="1">
        <f t="shared" si="76"/>
        <v>0</v>
      </c>
      <c r="BK31" s="1">
        <f t="shared" si="76"/>
        <v>0</v>
      </c>
      <c r="BL31" s="1">
        <f t="shared" si="76"/>
        <v>0</v>
      </c>
      <c r="BM31" s="1">
        <f t="shared" si="76"/>
        <v>0</v>
      </c>
      <c r="BN31" s="1">
        <f t="shared" si="76"/>
        <v>0</v>
      </c>
      <c r="BO31" s="1">
        <f t="shared" si="76"/>
        <v>11961</v>
      </c>
      <c r="BP31" s="1">
        <f t="shared" si="76"/>
        <v>12487</v>
      </c>
      <c r="BQ31" s="1">
        <f t="shared" si="76"/>
        <v>13072</v>
      </c>
      <c r="BR31" s="1">
        <f t="shared" si="76"/>
        <v>14054</v>
      </c>
      <c r="BS31" s="1">
        <f>BS29-BS30</f>
        <v>14916</v>
      </c>
      <c r="BT31" s="1">
        <f t="shared" ref="BT31:BV31" si="77">BT29-BT30</f>
        <v>15952</v>
      </c>
      <c r="BU31" s="1">
        <f t="shared" si="77"/>
        <v>15952</v>
      </c>
      <c r="BV31" s="1">
        <f t="shared" si="77"/>
        <v>-44820</v>
      </c>
      <c r="BW31" s="1">
        <f t="shared" ref="BW31:BX31" si="78">BW29-BW30</f>
        <v>0</v>
      </c>
      <c r="BX31" s="1">
        <f t="shared" si="78"/>
        <v>29591</v>
      </c>
    </row>
    <row r="45" spans="2:166" s="2" customFormat="1" ht="15">
      <c r="B45" s="2" t="s">
        <v>79</v>
      </c>
      <c r="BY45" s="35"/>
      <c r="B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</row>
    <row r="46" spans="2:166">
      <c r="B46" s="1" t="s">
        <v>83</v>
      </c>
    </row>
    <row r="47" spans="2:166">
      <c r="B47" s="1" t="s">
        <v>149</v>
      </c>
    </row>
    <row r="49" spans="2:115">
      <c r="B49" s="38" t="s">
        <v>64</v>
      </c>
    </row>
    <row r="50" spans="2:115">
      <c r="B50" s="38" t="s">
        <v>65</v>
      </c>
    </row>
    <row r="51" spans="2:115">
      <c r="B51" s="38" t="s">
        <v>66</v>
      </c>
    </row>
    <row r="52" spans="2:115">
      <c r="B52" s="38" t="s">
        <v>67</v>
      </c>
    </row>
    <row r="53" spans="2:115">
      <c r="B53" s="38" t="s">
        <v>68</v>
      </c>
    </row>
    <row r="54" spans="2:115">
      <c r="B54" s="38" t="s">
        <v>69</v>
      </c>
    </row>
    <row r="55" spans="2:115">
      <c r="B55" s="38" t="s">
        <v>101</v>
      </c>
    </row>
    <row r="57" spans="2:115">
      <c r="B57" s="1" t="s">
        <v>70</v>
      </c>
      <c r="CI57" s="1">
        <f>F57</f>
        <v>0</v>
      </c>
      <c r="CJ57" s="1">
        <f>J57</f>
        <v>0</v>
      </c>
      <c r="CK57" s="1">
        <f>N57</f>
        <v>0</v>
      </c>
      <c r="CL57" s="1">
        <f>R57</f>
        <v>0</v>
      </c>
      <c r="CM57" s="1">
        <f>V57</f>
        <v>0</v>
      </c>
      <c r="CN57" s="1">
        <f>Z57</f>
        <v>0</v>
      </c>
      <c r="CO57" s="1">
        <f>AD57</f>
        <v>0</v>
      </c>
      <c r="CP57" s="1">
        <f>AH57</f>
        <v>0</v>
      </c>
      <c r="CQ57" s="1">
        <f>AL57</f>
        <v>0</v>
      </c>
      <c r="CR57" s="1">
        <f>AP57</f>
        <v>0</v>
      </c>
      <c r="CS57" s="1">
        <f>AT57</f>
        <v>0</v>
      </c>
      <c r="CT57" s="1">
        <f>AX57</f>
        <v>0</v>
      </c>
      <c r="CU57" s="1">
        <f>BB57</f>
        <v>0</v>
      </c>
      <c r="CV57" s="1">
        <f>BF57</f>
        <v>0</v>
      </c>
      <c r="CW57" s="1">
        <f>BJ57</f>
        <v>0</v>
      </c>
      <c r="CX57" s="1">
        <f>BN57</f>
        <v>0</v>
      </c>
      <c r="CY57" s="1">
        <f>BR57</f>
        <v>0</v>
      </c>
      <c r="CZ57" s="1">
        <f>BS57</f>
        <v>0</v>
      </c>
    </row>
    <row r="58" spans="2:115">
      <c r="B58" s="1" t="s">
        <v>71</v>
      </c>
    </row>
    <row r="59" spans="2:115">
      <c r="B59" s="1" t="s">
        <v>72</v>
      </c>
      <c r="DE59" s="48"/>
      <c r="DF59" s="49"/>
      <c r="DG59" s="48"/>
      <c r="DH59" s="49"/>
      <c r="DI59" s="50"/>
      <c r="DJ59" s="51"/>
      <c r="DK59" s="49"/>
    </row>
    <row r="60" spans="2:115" ht="13.5" customHeight="1">
      <c r="DB60" s="75" t="s">
        <v>119</v>
      </c>
      <c r="DE60" s="84" t="s">
        <v>144</v>
      </c>
      <c r="DF60" s="49"/>
      <c r="DG60" s="76" t="s">
        <v>118</v>
      </c>
      <c r="DH60" s="49"/>
      <c r="DI60" s="50" t="s">
        <v>120</v>
      </c>
      <c r="DJ60" s="51">
        <v>9.1999999999999998E-2</v>
      </c>
      <c r="DK60" s="49"/>
    </row>
    <row r="61" spans="2:115" ht="13.5" customHeight="1">
      <c r="DB61" s="49">
        <v>2024</v>
      </c>
      <c r="DC61" s="49">
        <v>2025</v>
      </c>
      <c r="DE61" s="48" t="s">
        <v>143</v>
      </c>
      <c r="DF61" s="49"/>
      <c r="DG61" s="49">
        <v>2025</v>
      </c>
      <c r="DH61" s="49"/>
      <c r="DI61" s="50" t="s">
        <v>121</v>
      </c>
      <c r="DJ61" s="51">
        <v>1.4999999999999999E-2</v>
      </c>
      <c r="DK61" s="49"/>
    </row>
    <row r="62" spans="2:115" ht="13.5" customHeight="1">
      <c r="DB62" s="53">
        <f>SUM(CY57:CY60)-CY71+CY63+CY65+CY64</f>
        <v>0</v>
      </c>
      <c r="DC62" s="53">
        <f>SUM(CZ57:CZ60)-CZ71+CZ63+CZ65+CZ64</f>
        <v>0</v>
      </c>
      <c r="DE62" s="53">
        <f>AVERAGE(DB62:DC62)</f>
        <v>0</v>
      </c>
      <c r="DF62" s="49"/>
      <c r="DG62" s="52" t="e">
        <f>AVERAGE(DA38)*(1-DA54)</f>
        <v>#DIV/0!</v>
      </c>
      <c r="DH62" s="49"/>
      <c r="DI62" s="50" t="s">
        <v>122</v>
      </c>
      <c r="DJ62" s="51">
        <f>DE71</f>
        <v>4.24E-2</v>
      </c>
      <c r="DK62" s="49"/>
    </row>
    <row r="63" spans="2:115" ht="13.5" customHeight="1">
      <c r="DC63" s="49"/>
      <c r="DD63" s="49"/>
      <c r="DE63" s="49"/>
      <c r="DF63" s="49"/>
      <c r="DG63" s="54" t="e">
        <f>DG62/DE62</f>
        <v>#DIV/0!</v>
      </c>
      <c r="DH63" s="49"/>
      <c r="DI63" s="50" t="s">
        <v>123</v>
      </c>
      <c r="DJ63" s="51">
        <f>8.69%-DJ62</f>
        <v>4.4499999999999991E-2</v>
      </c>
      <c r="DK63" s="49"/>
    </row>
    <row r="64" spans="2:115" ht="13.5" customHeight="1">
      <c r="DB64" s="55" t="s">
        <v>133</v>
      </c>
      <c r="DC64" s="49"/>
      <c r="DD64" s="49"/>
      <c r="DF64" s="49"/>
      <c r="DG64" s="49"/>
      <c r="DH64" s="49"/>
      <c r="DI64" s="50" t="s">
        <v>124</v>
      </c>
      <c r="DJ64" s="56" t="e">
        <f>'Notes | Quant Analysis'!S215</f>
        <v>#DIV/0!</v>
      </c>
      <c r="DK64" s="49"/>
    </row>
    <row r="65" spans="2:166" ht="13.5" customHeight="1">
      <c r="DB65" s="63" t="s">
        <v>134</v>
      </c>
      <c r="DE65" s="52">
        <f>Main!C5</f>
        <v>1598449.67065</v>
      </c>
      <c r="DF65" s="49"/>
      <c r="DH65" s="49"/>
      <c r="DI65" s="50" t="s">
        <v>125</v>
      </c>
      <c r="DJ65" s="51" t="e">
        <f>+DJ62+(DJ63*DJ64)</f>
        <v>#DIV/0!</v>
      </c>
      <c r="DK65" s="49"/>
    </row>
    <row r="66" spans="2:166" ht="13.5" customHeight="1">
      <c r="B66" s="2" t="s">
        <v>145</v>
      </c>
      <c r="BV66" s="1">
        <f>SUM(BV57:BV65)</f>
        <v>0</v>
      </c>
      <c r="BW66" s="1">
        <f>SUM(BW57:BW65)</f>
        <v>0</v>
      </c>
      <c r="BX66" s="1">
        <f>SUM(BX57:BX65)</f>
        <v>0</v>
      </c>
      <c r="DB66" s="63" t="s">
        <v>135</v>
      </c>
      <c r="DE66" s="62">
        <f>Main!C7/(Main!C7+DE65)</f>
        <v>3.5840595248538963E-2</v>
      </c>
      <c r="DF66" s="55"/>
      <c r="DH66" s="49"/>
      <c r="DI66" s="50"/>
      <c r="DJ66" s="49"/>
      <c r="DK66" s="49"/>
    </row>
    <row r="67" spans="2:166" ht="13.5" customHeight="1">
      <c r="DB67" s="63" t="s">
        <v>136</v>
      </c>
      <c r="DE67" s="62">
        <f>DE65/(DE65+Main!C7)</f>
        <v>0.964159404751461</v>
      </c>
      <c r="DF67" s="49"/>
      <c r="DH67" s="49"/>
      <c r="DI67" s="50" t="s">
        <v>126</v>
      </c>
      <c r="DJ67" s="52" t="e">
        <f>NPV(DJ65,DA46:EX46)</f>
        <v>#DIV/0!</v>
      </c>
      <c r="DK67" s="49"/>
    </row>
    <row r="68" spans="2:166" ht="13.5" customHeight="1">
      <c r="DB68" s="64" t="s">
        <v>152</v>
      </c>
      <c r="DC68" s="35"/>
      <c r="DD68" s="35"/>
      <c r="DE68" s="65" t="e">
        <f>CZ78/CZ79</f>
        <v>#DIV/0!</v>
      </c>
      <c r="DF68" s="49"/>
      <c r="DG68" s="49"/>
      <c r="DH68" s="49"/>
      <c r="DI68" s="50" t="s">
        <v>83</v>
      </c>
      <c r="DJ68" s="53">
        <f>Main!C4</f>
        <v>4773.6289999999999</v>
      </c>
      <c r="DK68" s="66"/>
    </row>
    <row r="69" spans="2:166" ht="13.5" customHeight="1">
      <c r="DF69" s="49"/>
      <c r="DG69" s="49"/>
      <c r="DH69" s="49"/>
      <c r="DI69" s="50" t="s">
        <v>127</v>
      </c>
      <c r="DJ69" s="56" t="e">
        <f>DJ67/DJ68</f>
        <v>#DIV/0!</v>
      </c>
      <c r="DK69" s="48"/>
    </row>
    <row r="70" spans="2:166" ht="13.5" customHeight="1">
      <c r="DB70" s="35" t="s">
        <v>132</v>
      </c>
      <c r="DE70" s="49"/>
      <c r="DF70" s="55"/>
      <c r="DG70" s="55"/>
      <c r="DH70" s="55"/>
      <c r="DI70" s="50" t="s">
        <v>128</v>
      </c>
      <c r="DJ70" s="56">
        <f>Main!C3</f>
        <v>334.85</v>
      </c>
      <c r="DK70" s="57"/>
    </row>
    <row r="71" spans="2:166" ht="13.5" customHeight="1">
      <c r="DB71" s="67" t="s">
        <v>122</v>
      </c>
      <c r="DE71" s="62">
        <v>4.24E-2</v>
      </c>
      <c r="DF71" s="49"/>
      <c r="DG71" s="49"/>
      <c r="DH71" s="49"/>
      <c r="DI71" s="50" t="s">
        <v>129</v>
      </c>
      <c r="DJ71" s="51" t="e">
        <f>DJ69/DJ70-1</f>
        <v>#DIV/0!</v>
      </c>
      <c r="DK71" s="48" t="e">
        <f>IF(DJ71&gt;0,"Upside","Downside")</f>
        <v>#DIV/0!</v>
      </c>
    </row>
    <row r="72" spans="2:166" ht="13.5" customHeight="1">
      <c r="DB72" s="67" t="s">
        <v>124</v>
      </c>
      <c r="DE72" s="56" t="e">
        <f>'Notes | Quant Analysis'!S215</f>
        <v>#DIV/0!</v>
      </c>
      <c r="DI72" s="86" t="e" cm="1">
        <f t="array" ref="DI72">_xlfn.IFS(DJ71&gt;=25%,"Strong Buy",DJ71&gt;=10.00001%,"Buy",AND(DJ71&lt;=10%,DJ71&gt;=-4.9999%),"Hold",AND(DJ71&lt;=-5%,DJ71&gt;=-14.999999%),"Sell",DJ71&lt;=-15%,"Strong Sell")</f>
        <v>#DIV/0!</v>
      </c>
      <c r="DJ72" s="86"/>
    </row>
    <row r="73" spans="2:166" ht="13.5" customHeight="1">
      <c r="DB73" s="63" t="s">
        <v>137</v>
      </c>
      <c r="DE73" s="62">
        <v>0.14330000000000001</v>
      </c>
    </row>
    <row r="74" spans="2:166" ht="13.5" customHeight="1">
      <c r="DB74" s="64" t="s">
        <v>138</v>
      </c>
      <c r="DC74" s="49"/>
      <c r="DD74" s="2"/>
      <c r="DE74" s="65" t="e">
        <f>(DE71+DE72)*(DE73-DE71)</f>
        <v>#DIV/0!</v>
      </c>
    </row>
    <row r="75" spans="2:166" ht="13.5" customHeight="1">
      <c r="DB75" s="69"/>
    </row>
    <row r="76" spans="2:166" ht="13.5" customHeight="1">
      <c r="DB76" s="35" t="s">
        <v>139</v>
      </c>
      <c r="DC76" s="70"/>
      <c r="DE76" s="61"/>
    </row>
    <row r="77" spans="2:166">
      <c r="DB77" s="71" t="s">
        <v>139</v>
      </c>
      <c r="DE77" s="72">
        <v>6.5000000000000002E-2</v>
      </c>
      <c r="DG77" s="68"/>
      <c r="DI77" s="50"/>
    </row>
    <row r="78" spans="2:166" s="2" customFormat="1" ht="15">
      <c r="B78" s="2" t="s">
        <v>146</v>
      </c>
      <c r="BV78" s="2">
        <f>SUM(BV68:BV77)</f>
        <v>0</v>
      </c>
      <c r="BW78" s="2">
        <f>SUM(BW68:BW77)</f>
        <v>0</v>
      </c>
      <c r="BX78" s="2">
        <f>SUM(BX68:BX77)</f>
        <v>0</v>
      </c>
      <c r="BY78" s="35"/>
      <c r="BZ78" s="35"/>
      <c r="DA78" s="35"/>
      <c r="DB78" s="63" t="s">
        <v>140</v>
      </c>
      <c r="DC78" s="36"/>
      <c r="DD78" s="36"/>
      <c r="DE78" s="62">
        <v>0.14599999999999999</v>
      </c>
      <c r="DF78" s="35"/>
      <c r="DG78" s="78"/>
      <c r="DH78" s="65"/>
      <c r="DI78" s="77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</row>
    <row r="79" spans="2:166" ht="15">
      <c r="B79" s="1" t="s">
        <v>147</v>
      </c>
      <c r="DB79" s="73" t="s">
        <v>141</v>
      </c>
      <c r="DE79" s="65">
        <f>DE77*(1-DE78)</f>
        <v>5.5510000000000004E-2</v>
      </c>
      <c r="DI79" s="50"/>
    </row>
    <row r="80" spans="2:166" s="2" customFormat="1" ht="15">
      <c r="B80" s="2" t="s">
        <v>148</v>
      </c>
      <c r="BV80" s="2">
        <f>BV78+BV79</f>
        <v>0</v>
      </c>
      <c r="BW80" s="2">
        <f>BW78+BW79</f>
        <v>0</v>
      </c>
      <c r="BX80" s="2">
        <f>BX78+BX79</f>
        <v>0</v>
      </c>
      <c r="BY80" s="35"/>
      <c r="BZ80" s="35"/>
      <c r="DA80" s="35"/>
      <c r="DB80" s="35"/>
      <c r="DC80" s="35"/>
      <c r="DD80" s="35"/>
      <c r="DE80" s="35"/>
      <c r="DF80" s="35"/>
      <c r="DG80" s="35"/>
      <c r="DH80" s="35"/>
      <c r="DI80" s="77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</row>
    <row r="81" spans="2:115" ht="15">
      <c r="DB81" s="35" t="s">
        <v>142</v>
      </c>
      <c r="DE81" s="65" t="e">
        <f>(DE67*DE74)+(DE66*DE79*(1-DE78))</f>
        <v>#DIV/0!</v>
      </c>
      <c r="DI81" s="50"/>
      <c r="DJ81" s="74"/>
    </row>
    <row r="82" spans="2:115">
      <c r="DI82" s="50"/>
    </row>
    <row r="83" spans="2:115">
      <c r="DI83" s="50"/>
      <c r="DJ83" s="69"/>
    </row>
    <row r="84" spans="2:115">
      <c r="DI84" s="50"/>
      <c r="DJ84" s="69"/>
    </row>
    <row r="85" spans="2:115">
      <c r="DI85" s="50"/>
      <c r="DJ85" s="70"/>
    </row>
    <row r="86" spans="2:115">
      <c r="DI86" s="50"/>
      <c r="DJ86" s="70"/>
    </row>
    <row r="87" spans="2:115" ht="15">
      <c r="DB87" s="35"/>
      <c r="DC87" s="35"/>
      <c r="DD87" s="35"/>
      <c r="DE87" s="35"/>
      <c r="DF87" s="35"/>
      <c r="DG87" s="35"/>
      <c r="DH87" s="35"/>
      <c r="DI87" s="50"/>
      <c r="DJ87" s="74"/>
      <c r="DK87" s="60"/>
    </row>
    <row r="89" spans="2:115" ht="15">
      <c r="DB89" s="35"/>
      <c r="DE89" s="65"/>
      <c r="DH89" s="62"/>
      <c r="DJ89" s="62"/>
    </row>
    <row r="91" spans="2:115">
      <c r="B91" s="1" t="s">
        <v>73</v>
      </c>
      <c r="BV91" s="79" t="e">
        <f>SUM(BV67:BV71)/SUM(BV79:BV83)</f>
        <v>#DIV/0!</v>
      </c>
      <c r="BW91" s="79" t="e">
        <f>SUM(BW67:BW71)/SUM(BW79:BW83)</f>
        <v>#DIV/0!</v>
      </c>
      <c r="BX91" s="79" t="e">
        <f>SUM(BX67:BX71)/SUM(BX79:BX83)</f>
        <v>#DIV/0!</v>
      </c>
      <c r="CZ91" s="79" t="e">
        <f t="shared" ref="CZ91" si="79">SUM(CZ67:CZ71)/SUM(CZ79:CZ83)</f>
        <v>#DIV/0!</v>
      </c>
    </row>
    <row r="92" spans="2:115">
      <c r="B92" s="1" t="s">
        <v>74</v>
      </c>
      <c r="BV92" s="79" t="e">
        <f>(SUM(BV67:BV71)-BV70)/SUM(BV79:BV83)</f>
        <v>#DIV/0!</v>
      </c>
      <c r="BW92" s="79" t="e">
        <f>(SUM(BW67:BW71)-BW70)/SUM(BW79:BW83)</f>
        <v>#DIV/0!</v>
      </c>
      <c r="BX92" s="79" t="e">
        <f>(SUM(BX67:BX71)-BX70)/SUM(BX79:BX83)</f>
        <v>#DIV/0!</v>
      </c>
      <c r="CZ92" s="79" t="e">
        <f t="shared" ref="CZ92" si="80">(SUM(CZ67:CZ71)-CZ70)/SUM(CZ79:CZ83)</f>
        <v>#DIV/0!</v>
      </c>
    </row>
    <row r="93" spans="2:115">
      <c r="B93" s="1" t="s">
        <v>75</v>
      </c>
      <c r="BV93" s="79" t="e">
        <f>SUM(BV67:BV68)/SUM(BV79:BV83)</f>
        <v>#DIV/0!</v>
      </c>
      <c r="BW93" s="79" t="e">
        <f>SUM(BW67:BW68)/SUM(BW79:BW83)</f>
        <v>#DIV/0!</v>
      </c>
      <c r="BX93" s="79" t="e">
        <f>SUM(BX67:BX68)/SUM(BX79:BX83)</f>
        <v>#DIV/0!</v>
      </c>
      <c r="CZ93" s="79" t="e">
        <f t="shared" ref="CZ93" si="81">SUM(CZ67:CZ68)/SUM(CZ79:CZ83)</f>
        <v>#DIV/0!</v>
      </c>
    </row>
    <row r="94" spans="2:115">
      <c r="B94" s="1" t="s">
        <v>150</v>
      </c>
      <c r="BV94" s="79" t="e">
        <f>BV42/SUM(BV73)</f>
        <v>#DIV/0!</v>
      </c>
      <c r="BW94" s="79" t="e">
        <f>BW42/SUM(BW73)</f>
        <v>#DIV/0!</v>
      </c>
      <c r="BX94" s="79" t="e">
        <f>BX42/SUM(BX73)</f>
        <v>#DIV/0!</v>
      </c>
      <c r="CZ94" s="79" t="e">
        <f t="shared" ref="CZ94" si="82">CZ42/SUM(CZ73)</f>
        <v>#DIV/0!</v>
      </c>
    </row>
    <row r="95" spans="2:115">
      <c r="B95" s="1" t="s">
        <v>151</v>
      </c>
      <c r="BV95" s="79" t="e">
        <f>BV42/BV77</f>
        <v>#DIV/0!</v>
      </c>
      <c r="BW95" s="79" t="e">
        <f>BW42/BW77</f>
        <v>#DIV/0!</v>
      </c>
      <c r="BX95" s="79" t="e">
        <f>BX42/BX77</f>
        <v>#DIV/0!</v>
      </c>
      <c r="CZ95" s="79" t="e">
        <f t="shared" ref="CZ95" si="83">CZ42/CZ77</f>
        <v>#DIV/0!</v>
      </c>
    </row>
    <row r="96" spans="2:115">
      <c r="B96" s="1" t="s">
        <v>76</v>
      </c>
      <c r="BV96" s="79" t="e">
        <f>BV43/AVERAGE(BS70:BV70)</f>
        <v>#DIV/0!</v>
      </c>
      <c r="BW96" s="79" t="e">
        <f>BW43/AVERAGE(BT70:BW70)</f>
        <v>#DIV/0!</v>
      </c>
      <c r="BX96" s="79" t="e">
        <f>BX43/AVERAGE(BU70:BX70)</f>
        <v>#DIV/0!</v>
      </c>
      <c r="CZ96" s="79" t="e">
        <f t="shared" ref="CZ96" si="84">CZ43/AVERAGE(CW70:CZ70)</f>
        <v>#DIV/0!</v>
      </c>
    </row>
    <row r="97" spans="2:104">
      <c r="B97" s="1" t="s">
        <v>77</v>
      </c>
      <c r="BV97" s="80" t="e">
        <f>BV56/BV77</f>
        <v>#DIV/0!</v>
      </c>
      <c r="BW97" s="80" t="e">
        <f>BW56/BW77</f>
        <v>#DIV/0!</v>
      </c>
      <c r="BX97" s="80" t="e">
        <f>BX56/BX77</f>
        <v>#DIV/0!</v>
      </c>
      <c r="CZ97" s="80" t="e">
        <f t="shared" ref="CZ97" si="85">CZ56/CZ77</f>
        <v>#DIV/0!</v>
      </c>
    </row>
    <row r="98" spans="2:104">
      <c r="B98" s="1" t="s">
        <v>78</v>
      </c>
      <c r="BV98" s="80" t="e">
        <f>BV56/BV88</f>
        <v>#DIV/0!</v>
      </c>
      <c r="BW98" s="80" t="e">
        <f>BW56/BW88</f>
        <v>#DIV/0!</v>
      </c>
      <c r="BX98" s="80" t="e">
        <f>BX56/BX88</f>
        <v>#DIV/0!</v>
      </c>
      <c r="CZ98" s="80" t="e">
        <f t="shared" ref="CZ98" si="86">CZ56/CZ88</f>
        <v>#DIV/0!</v>
      </c>
    </row>
    <row r="100" spans="2:104">
      <c r="B100" s="1" t="s">
        <v>79</v>
      </c>
    </row>
    <row r="101" spans="2:104">
      <c r="B101" s="1" t="s">
        <v>80</v>
      </c>
    </row>
    <row r="102" spans="2:104">
      <c r="B102" s="1" t="s">
        <v>81</v>
      </c>
    </row>
    <row r="103" spans="2:104">
      <c r="B103" s="1" t="s">
        <v>82</v>
      </c>
      <c r="C103" s="1">
        <f t="shared" ref="C103:BN103" si="87">C101+C102</f>
        <v>0</v>
      </c>
      <c r="D103" s="1">
        <f t="shared" si="87"/>
        <v>0</v>
      </c>
      <c r="E103" s="1">
        <f t="shared" si="87"/>
        <v>0</v>
      </c>
      <c r="F103" s="1">
        <f t="shared" si="87"/>
        <v>0</v>
      </c>
      <c r="G103" s="1">
        <f t="shared" si="87"/>
        <v>0</v>
      </c>
      <c r="H103" s="1">
        <f t="shared" si="87"/>
        <v>0</v>
      </c>
      <c r="I103" s="1">
        <f t="shared" si="87"/>
        <v>0</v>
      </c>
      <c r="J103" s="1">
        <f t="shared" si="87"/>
        <v>0</v>
      </c>
      <c r="K103" s="1">
        <f t="shared" si="87"/>
        <v>0</v>
      </c>
      <c r="L103" s="1">
        <f t="shared" si="87"/>
        <v>0</v>
      </c>
      <c r="M103" s="1">
        <f t="shared" si="87"/>
        <v>0</v>
      </c>
      <c r="N103" s="1">
        <f t="shared" si="87"/>
        <v>0</v>
      </c>
      <c r="O103" s="1">
        <f t="shared" si="87"/>
        <v>0</v>
      </c>
      <c r="P103" s="1">
        <f t="shared" si="87"/>
        <v>0</v>
      </c>
      <c r="Q103" s="1">
        <f t="shared" si="87"/>
        <v>0</v>
      </c>
      <c r="R103" s="1">
        <f t="shared" si="87"/>
        <v>0</v>
      </c>
      <c r="S103" s="1">
        <f t="shared" si="87"/>
        <v>0</v>
      </c>
      <c r="T103" s="1">
        <f t="shared" si="87"/>
        <v>0</v>
      </c>
      <c r="U103" s="1">
        <f t="shared" si="87"/>
        <v>0</v>
      </c>
      <c r="V103" s="1">
        <f t="shared" si="87"/>
        <v>0</v>
      </c>
      <c r="W103" s="1">
        <f t="shared" si="87"/>
        <v>0</v>
      </c>
      <c r="X103" s="1">
        <f t="shared" si="87"/>
        <v>0</v>
      </c>
      <c r="Y103" s="1">
        <f t="shared" si="87"/>
        <v>0</v>
      </c>
      <c r="Z103" s="1">
        <f t="shared" si="87"/>
        <v>0</v>
      </c>
      <c r="AA103" s="1">
        <f t="shared" si="87"/>
        <v>0</v>
      </c>
      <c r="AB103" s="1">
        <f t="shared" si="87"/>
        <v>0</v>
      </c>
      <c r="AC103" s="1">
        <f t="shared" si="87"/>
        <v>0</v>
      </c>
      <c r="AD103" s="1">
        <f t="shared" si="87"/>
        <v>0</v>
      </c>
      <c r="AE103" s="1">
        <f t="shared" si="87"/>
        <v>0</v>
      </c>
      <c r="AF103" s="1">
        <f t="shared" si="87"/>
        <v>0</v>
      </c>
      <c r="AG103" s="1">
        <f t="shared" si="87"/>
        <v>0</v>
      </c>
      <c r="AH103" s="1">
        <f t="shared" si="87"/>
        <v>0</v>
      </c>
      <c r="AI103" s="1">
        <f t="shared" si="87"/>
        <v>0</v>
      </c>
      <c r="AJ103" s="1">
        <f t="shared" si="87"/>
        <v>0</v>
      </c>
      <c r="AK103" s="1">
        <f t="shared" si="87"/>
        <v>0</v>
      </c>
      <c r="AL103" s="1">
        <f t="shared" si="87"/>
        <v>0</v>
      </c>
      <c r="AM103" s="1">
        <f t="shared" si="87"/>
        <v>0</v>
      </c>
      <c r="AN103" s="1">
        <f t="shared" si="87"/>
        <v>0</v>
      </c>
      <c r="AO103" s="1">
        <f t="shared" si="87"/>
        <v>0</v>
      </c>
      <c r="AP103" s="1">
        <f t="shared" si="87"/>
        <v>0</v>
      </c>
      <c r="AQ103" s="1">
        <f t="shared" si="87"/>
        <v>0</v>
      </c>
      <c r="AR103" s="1">
        <f t="shared" si="87"/>
        <v>0</v>
      </c>
      <c r="AS103" s="1">
        <f t="shared" si="87"/>
        <v>0</v>
      </c>
      <c r="AT103" s="1">
        <f t="shared" si="87"/>
        <v>0</v>
      </c>
      <c r="AU103" s="1">
        <f t="shared" si="87"/>
        <v>0</v>
      </c>
      <c r="AV103" s="1">
        <f t="shared" si="87"/>
        <v>0</v>
      </c>
      <c r="AW103" s="1">
        <f t="shared" si="87"/>
        <v>0</v>
      </c>
      <c r="AX103" s="1">
        <f t="shared" si="87"/>
        <v>0</v>
      </c>
      <c r="AY103" s="1">
        <f t="shared" si="87"/>
        <v>0</v>
      </c>
      <c r="AZ103" s="1">
        <f t="shared" si="87"/>
        <v>0</v>
      </c>
      <c r="BA103" s="1">
        <f t="shared" si="87"/>
        <v>0</v>
      </c>
      <c r="BB103" s="1">
        <f t="shared" si="87"/>
        <v>0</v>
      </c>
      <c r="BC103" s="1">
        <f t="shared" si="87"/>
        <v>0</v>
      </c>
      <c r="BD103" s="1">
        <f t="shared" si="87"/>
        <v>0</v>
      </c>
      <c r="BE103" s="1">
        <f t="shared" si="87"/>
        <v>0</v>
      </c>
      <c r="BF103" s="1">
        <f t="shared" si="87"/>
        <v>0</v>
      </c>
      <c r="BG103" s="1">
        <f t="shared" si="87"/>
        <v>0</v>
      </c>
      <c r="BH103" s="1">
        <f t="shared" si="87"/>
        <v>0</v>
      </c>
      <c r="BI103" s="1">
        <f t="shared" si="87"/>
        <v>0</v>
      </c>
      <c r="BJ103" s="1">
        <f t="shared" si="87"/>
        <v>0</v>
      </c>
      <c r="BK103" s="1">
        <f t="shared" si="87"/>
        <v>0</v>
      </c>
      <c r="BL103" s="1">
        <f t="shared" si="87"/>
        <v>0</v>
      </c>
      <c r="BM103" s="1">
        <f t="shared" si="87"/>
        <v>0</v>
      </c>
      <c r="BN103" s="1">
        <f t="shared" si="87"/>
        <v>0</v>
      </c>
      <c r="BO103" s="1">
        <f t="shared" ref="BO103:BU103" si="88">BO101+BO102</f>
        <v>0</v>
      </c>
      <c r="BP103" s="1">
        <f t="shared" si="88"/>
        <v>0</v>
      </c>
      <c r="BQ103" s="1">
        <f t="shared" si="88"/>
        <v>0</v>
      </c>
      <c r="BR103" s="1">
        <f t="shared" si="88"/>
        <v>0</v>
      </c>
      <c r="BS103" s="1">
        <f t="shared" si="88"/>
        <v>0</v>
      </c>
      <c r="BT103" s="1">
        <f t="shared" si="88"/>
        <v>0</v>
      </c>
      <c r="BU103" s="1">
        <f t="shared" si="88"/>
        <v>0</v>
      </c>
      <c r="BV103" s="1">
        <f>BV101+BV102</f>
        <v>0</v>
      </c>
      <c r="BW103" s="1">
        <f>BW101+BW102</f>
        <v>0</v>
      </c>
      <c r="BX103" s="1">
        <f>BX101+BX102</f>
        <v>0</v>
      </c>
    </row>
    <row r="104" spans="2:104">
      <c r="B104" s="1" t="s">
        <v>83</v>
      </c>
    </row>
    <row r="105" spans="2:104">
      <c r="B105" s="1" t="s">
        <v>84</v>
      </c>
      <c r="C105" s="1" t="e">
        <f t="shared" ref="C105:BN105" si="89">C103/C104</f>
        <v>#DIV/0!</v>
      </c>
      <c r="D105" s="1" t="e">
        <f t="shared" si="89"/>
        <v>#DIV/0!</v>
      </c>
      <c r="E105" s="1" t="e">
        <f t="shared" si="89"/>
        <v>#DIV/0!</v>
      </c>
      <c r="F105" s="1" t="e">
        <f t="shared" si="89"/>
        <v>#DIV/0!</v>
      </c>
      <c r="G105" s="1" t="e">
        <f t="shared" si="89"/>
        <v>#DIV/0!</v>
      </c>
      <c r="H105" s="1" t="e">
        <f t="shared" si="89"/>
        <v>#DIV/0!</v>
      </c>
      <c r="I105" s="1" t="e">
        <f t="shared" si="89"/>
        <v>#DIV/0!</v>
      </c>
      <c r="J105" s="1" t="e">
        <f t="shared" si="89"/>
        <v>#DIV/0!</v>
      </c>
      <c r="K105" s="1" t="e">
        <f t="shared" si="89"/>
        <v>#DIV/0!</v>
      </c>
      <c r="L105" s="1" t="e">
        <f t="shared" si="89"/>
        <v>#DIV/0!</v>
      </c>
      <c r="M105" s="1" t="e">
        <f t="shared" si="89"/>
        <v>#DIV/0!</v>
      </c>
      <c r="N105" s="1" t="e">
        <f t="shared" si="89"/>
        <v>#DIV/0!</v>
      </c>
      <c r="O105" s="1" t="e">
        <f t="shared" si="89"/>
        <v>#DIV/0!</v>
      </c>
      <c r="P105" s="1" t="e">
        <f t="shared" si="89"/>
        <v>#DIV/0!</v>
      </c>
      <c r="Q105" s="1" t="e">
        <f t="shared" si="89"/>
        <v>#DIV/0!</v>
      </c>
      <c r="R105" s="1" t="e">
        <f t="shared" si="89"/>
        <v>#DIV/0!</v>
      </c>
      <c r="S105" s="1" t="e">
        <f t="shared" si="89"/>
        <v>#DIV/0!</v>
      </c>
      <c r="T105" s="1" t="e">
        <f t="shared" si="89"/>
        <v>#DIV/0!</v>
      </c>
      <c r="U105" s="1" t="e">
        <f t="shared" si="89"/>
        <v>#DIV/0!</v>
      </c>
      <c r="V105" s="1" t="e">
        <f t="shared" si="89"/>
        <v>#DIV/0!</v>
      </c>
      <c r="W105" s="1" t="e">
        <f t="shared" si="89"/>
        <v>#DIV/0!</v>
      </c>
      <c r="X105" s="1" t="e">
        <f t="shared" si="89"/>
        <v>#DIV/0!</v>
      </c>
      <c r="Y105" s="1" t="e">
        <f t="shared" si="89"/>
        <v>#DIV/0!</v>
      </c>
      <c r="Z105" s="1" t="e">
        <f t="shared" si="89"/>
        <v>#DIV/0!</v>
      </c>
      <c r="AA105" s="1" t="e">
        <f t="shared" si="89"/>
        <v>#DIV/0!</v>
      </c>
      <c r="AB105" s="1" t="e">
        <f t="shared" si="89"/>
        <v>#DIV/0!</v>
      </c>
      <c r="AC105" s="1" t="e">
        <f t="shared" si="89"/>
        <v>#DIV/0!</v>
      </c>
      <c r="AD105" s="1" t="e">
        <f t="shared" si="89"/>
        <v>#DIV/0!</v>
      </c>
      <c r="AE105" s="1" t="e">
        <f t="shared" si="89"/>
        <v>#DIV/0!</v>
      </c>
      <c r="AF105" s="1" t="e">
        <f t="shared" si="89"/>
        <v>#DIV/0!</v>
      </c>
      <c r="AG105" s="1" t="e">
        <f t="shared" si="89"/>
        <v>#DIV/0!</v>
      </c>
      <c r="AH105" s="1" t="e">
        <f t="shared" si="89"/>
        <v>#DIV/0!</v>
      </c>
      <c r="AI105" s="1" t="e">
        <f t="shared" si="89"/>
        <v>#DIV/0!</v>
      </c>
      <c r="AJ105" s="1" t="e">
        <f t="shared" si="89"/>
        <v>#DIV/0!</v>
      </c>
      <c r="AK105" s="1" t="e">
        <f t="shared" si="89"/>
        <v>#DIV/0!</v>
      </c>
      <c r="AL105" s="1" t="e">
        <f t="shared" si="89"/>
        <v>#DIV/0!</v>
      </c>
      <c r="AM105" s="1" t="e">
        <f t="shared" si="89"/>
        <v>#DIV/0!</v>
      </c>
      <c r="AN105" s="1" t="e">
        <f t="shared" si="89"/>
        <v>#DIV/0!</v>
      </c>
      <c r="AO105" s="1" t="e">
        <f t="shared" si="89"/>
        <v>#DIV/0!</v>
      </c>
      <c r="AP105" s="1" t="e">
        <f t="shared" si="89"/>
        <v>#DIV/0!</v>
      </c>
      <c r="AQ105" s="1" t="e">
        <f t="shared" si="89"/>
        <v>#DIV/0!</v>
      </c>
      <c r="AR105" s="1" t="e">
        <f t="shared" si="89"/>
        <v>#DIV/0!</v>
      </c>
      <c r="AS105" s="1" t="e">
        <f t="shared" si="89"/>
        <v>#DIV/0!</v>
      </c>
      <c r="AT105" s="1" t="e">
        <f t="shared" si="89"/>
        <v>#DIV/0!</v>
      </c>
      <c r="AU105" s="1" t="e">
        <f t="shared" si="89"/>
        <v>#DIV/0!</v>
      </c>
      <c r="AV105" s="1" t="e">
        <f t="shared" si="89"/>
        <v>#DIV/0!</v>
      </c>
      <c r="AW105" s="1" t="e">
        <f t="shared" si="89"/>
        <v>#DIV/0!</v>
      </c>
      <c r="AX105" s="1" t="e">
        <f t="shared" si="89"/>
        <v>#DIV/0!</v>
      </c>
      <c r="AY105" s="1" t="e">
        <f t="shared" si="89"/>
        <v>#DIV/0!</v>
      </c>
      <c r="AZ105" s="1" t="e">
        <f t="shared" si="89"/>
        <v>#DIV/0!</v>
      </c>
      <c r="BA105" s="1" t="e">
        <f t="shared" si="89"/>
        <v>#DIV/0!</v>
      </c>
      <c r="BB105" s="1" t="e">
        <f t="shared" si="89"/>
        <v>#DIV/0!</v>
      </c>
      <c r="BC105" s="1" t="e">
        <f t="shared" si="89"/>
        <v>#DIV/0!</v>
      </c>
      <c r="BD105" s="1" t="e">
        <f t="shared" si="89"/>
        <v>#DIV/0!</v>
      </c>
      <c r="BE105" s="1" t="e">
        <f t="shared" si="89"/>
        <v>#DIV/0!</v>
      </c>
      <c r="BF105" s="1" t="e">
        <f t="shared" si="89"/>
        <v>#DIV/0!</v>
      </c>
      <c r="BG105" s="1" t="e">
        <f t="shared" si="89"/>
        <v>#DIV/0!</v>
      </c>
      <c r="BH105" s="1" t="e">
        <f t="shared" si="89"/>
        <v>#DIV/0!</v>
      </c>
      <c r="BI105" s="1" t="e">
        <f t="shared" si="89"/>
        <v>#DIV/0!</v>
      </c>
      <c r="BJ105" s="1" t="e">
        <f t="shared" si="89"/>
        <v>#DIV/0!</v>
      </c>
      <c r="BK105" s="1" t="e">
        <f t="shared" si="89"/>
        <v>#DIV/0!</v>
      </c>
      <c r="BL105" s="1" t="e">
        <f t="shared" si="89"/>
        <v>#DIV/0!</v>
      </c>
      <c r="BM105" s="1" t="e">
        <f t="shared" si="89"/>
        <v>#DIV/0!</v>
      </c>
      <c r="BN105" s="1" t="e">
        <f t="shared" si="89"/>
        <v>#DIV/0!</v>
      </c>
      <c r="BO105" s="1" t="e">
        <f t="shared" ref="BO105:BU105" si="90">BO103/BO104</f>
        <v>#DIV/0!</v>
      </c>
      <c r="BP105" s="1" t="e">
        <f t="shared" si="90"/>
        <v>#DIV/0!</v>
      </c>
      <c r="BQ105" s="1" t="e">
        <f t="shared" si="90"/>
        <v>#DIV/0!</v>
      </c>
      <c r="BR105" s="1" t="e">
        <f t="shared" si="90"/>
        <v>#DIV/0!</v>
      </c>
      <c r="BS105" s="1" t="e">
        <f t="shared" si="90"/>
        <v>#DIV/0!</v>
      </c>
      <c r="BT105" s="1" t="e">
        <f t="shared" si="90"/>
        <v>#DIV/0!</v>
      </c>
      <c r="BU105" s="1" t="e">
        <f t="shared" si="90"/>
        <v>#DIV/0!</v>
      </c>
      <c r="BV105" s="1" t="e">
        <f>BV103/BV104</f>
        <v>#DIV/0!</v>
      </c>
      <c r="BW105" s="1" t="e">
        <f>BW103/BW104</f>
        <v>#DIV/0!</v>
      </c>
      <c r="BX105" s="1" t="e">
        <f>BX103/BX104</f>
        <v>#DIV/0!</v>
      </c>
    </row>
    <row r="107" spans="2:104">
      <c r="B107" s="1" t="s">
        <v>156</v>
      </c>
      <c r="C107" s="85" t="e">
        <f t="shared" ref="C107:BN107" si="91">C101/C29</f>
        <v>#DIV/0!</v>
      </c>
      <c r="D107" s="85" t="e">
        <f t="shared" si="91"/>
        <v>#DIV/0!</v>
      </c>
      <c r="E107" s="85" t="e">
        <f t="shared" si="91"/>
        <v>#DIV/0!</v>
      </c>
      <c r="F107" s="85" t="e">
        <f t="shared" si="91"/>
        <v>#DIV/0!</v>
      </c>
      <c r="G107" s="85" t="e">
        <f t="shared" si="91"/>
        <v>#DIV/0!</v>
      </c>
      <c r="H107" s="85" t="e">
        <f t="shared" si="91"/>
        <v>#DIV/0!</v>
      </c>
      <c r="I107" s="85" t="e">
        <f t="shared" si="91"/>
        <v>#DIV/0!</v>
      </c>
      <c r="J107" s="85" t="e">
        <f t="shared" si="91"/>
        <v>#DIV/0!</v>
      </c>
      <c r="K107" s="85" t="e">
        <f t="shared" si="91"/>
        <v>#DIV/0!</v>
      </c>
      <c r="L107" s="85" t="e">
        <f t="shared" si="91"/>
        <v>#DIV/0!</v>
      </c>
      <c r="M107" s="85" t="e">
        <f t="shared" si="91"/>
        <v>#DIV/0!</v>
      </c>
      <c r="N107" s="85" t="e">
        <f t="shared" si="91"/>
        <v>#DIV/0!</v>
      </c>
      <c r="O107" s="85" t="e">
        <f t="shared" si="91"/>
        <v>#DIV/0!</v>
      </c>
      <c r="P107" s="85" t="e">
        <f t="shared" si="91"/>
        <v>#DIV/0!</v>
      </c>
      <c r="Q107" s="85" t="e">
        <f t="shared" si="91"/>
        <v>#DIV/0!</v>
      </c>
      <c r="R107" s="85" t="e">
        <f t="shared" si="91"/>
        <v>#DIV/0!</v>
      </c>
      <c r="S107" s="85" t="e">
        <f t="shared" si="91"/>
        <v>#DIV/0!</v>
      </c>
      <c r="T107" s="85" t="e">
        <f t="shared" si="91"/>
        <v>#DIV/0!</v>
      </c>
      <c r="U107" s="85" t="e">
        <f t="shared" si="91"/>
        <v>#DIV/0!</v>
      </c>
      <c r="V107" s="85" t="e">
        <f t="shared" si="91"/>
        <v>#DIV/0!</v>
      </c>
      <c r="W107" s="85" t="e">
        <f t="shared" si="91"/>
        <v>#DIV/0!</v>
      </c>
      <c r="X107" s="85" t="e">
        <f t="shared" si="91"/>
        <v>#DIV/0!</v>
      </c>
      <c r="Y107" s="85" t="e">
        <f t="shared" si="91"/>
        <v>#DIV/0!</v>
      </c>
      <c r="Z107" s="85" t="e">
        <f t="shared" si="91"/>
        <v>#DIV/0!</v>
      </c>
      <c r="AA107" s="85" t="e">
        <f t="shared" si="91"/>
        <v>#DIV/0!</v>
      </c>
      <c r="AB107" s="85" t="e">
        <f t="shared" si="91"/>
        <v>#DIV/0!</v>
      </c>
      <c r="AC107" s="85" t="e">
        <f t="shared" si="91"/>
        <v>#DIV/0!</v>
      </c>
      <c r="AD107" s="85" t="e">
        <f t="shared" si="91"/>
        <v>#DIV/0!</v>
      </c>
      <c r="AE107" s="85" t="e">
        <f t="shared" si="91"/>
        <v>#DIV/0!</v>
      </c>
      <c r="AF107" s="85" t="e">
        <f t="shared" si="91"/>
        <v>#DIV/0!</v>
      </c>
      <c r="AG107" s="85" t="e">
        <f t="shared" si="91"/>
        <v>#DIV/0!</v>
      </c>
      <c r="AH107" s="85" t="e">
        <f t="shared" si="91"/>
        <v>#DIV/0!</v>
      </c>
      <c r="AI107" s="85" t="e">
        <f t="shared" si="91"/>
        <v>#DIV/0!</v>
      </c>
      <c r="AJ107" s="85" t="e">
        <f t="shared" si="91"/>
        <v>#DIV/0!</v>
      </c>
      <c r="AK107" s="85" t="e">
        <f t="shared" si="91"/>
        <v>#DIV/0!</v>
      </c>
      <c r="AL107" s="85" t="e">
        <f t="shared" si="91"/>
        <v>#DIV/0!</v>
      </c>
      <c r="AM107" s="85" t="e">
        <f t="shared" si="91"/>
        <v>#DIV/0!</v>
      </c>
      <c r="AN107" s="85" t="e">
        <f t="shared" si="91"/>
        <v>#DIV/0!</v>
      </c>
      <c r="AO107" s="85" t="e">
        <f t="shared" si="91"/>
        <v>#DIV/0!</v>
      </c>
      <c r="AP107" s="85" t="e">
        <f t="shared" si="91"/>
        <v>#DIV/0!</v>
      </c>
      <c r="AQ107" s="85" t="e">
        <f t="shared" si="91"/>
        <v>#DIV/0!</v>
      </c>
      <c r="AR107" s="85" t="e">
        <f t="shared" si="91"/>
        <v>#DIV/0!</v>
      </c>
      <c r="AS107" s="85" t="e">
        <f t="shared" si="91"/>
        <v>#DIV/0!</v>
      </c>
      <c r="AT107" s="85" t="e">
        <f t="shared" si="91"/>
        <v>#DIV/0!</v>
      </c>
      <c r="AU107" s="85" t="e">
        <f t="shared" si="91"/>
        <v>#DIV/0!</v>
      </c>
      <c r="AV107" s="85" t="e">
        <f t="shared" si="91"/>
        <v>#DIV/0!</v>
      </c>
      <c r="AW107" s="85" t="e">
        <f t="shared" si="91"/>
        <v>#DIV/0!</v>
      </c>
      <c r="AX107" s="85" t="e">
        <f t="shared" si="91"/>
        <v>#DIV/0!</v>
      </c>
      <c r="AY107" s="85" t="e">
        <f t="shared" si="91"/>
        <v>#DIV/0!</v>
      </c>
      <c r="AZ107" s="85" t="e">
        <f t="shared" si="91"/>
        <v>#DIV/0!</v>
      </c>
      <c r="BA107" s="85" t="e">
        <f t="shared" si="91"/>
        <v>#DIV/0!</v>
      </c>
      <c r="BB107" s="85" t="e">
        <f t="shared" si="91"/>
        <v>#DIV/0!</v>
      </c>
      <c r="BC107" s="85" t="e">
        <f t="shared" si="91"/>
        <v>#DIV/0!</v>
      </c>
      <c r="BD107" s="85" t="e">
        <f t="shared" si="91"/>
        <v>#DIV/0!</v>
      </c>
      <c r="BE107" s="85" t="e">
        <f t="shared" si="91"/>
        <v>#DIV/0!</v>
      </c>
      <c r="BF107" s="85" t="e">
        <f t="shared" si="91"/>
        <v>#DIV/0!</v>
      </c>
      <c r="BG107" s="85" t="e">
        <f t="shared" si="91"/>
        <v>#DIV/0!</v>
      </c>
      <c r="BH107" s="85" t="e">
        <f t="shared" si="91"/>
        <v>#DIV/0!</v>
      </c>
      <c r="BI107" s="85" t="e">
        <f t="shared" si="91"/>
        <v>#DIV/0!</v>
      </c>
      <c r="BJ107" s="85" t="e">
        <f t="shared" si="91"/>
        <v>#DIV/0!</v>
      </c>
      <c r="BK107" s="85" t="e">
        <f t="shared" si="91"/>
        <v>#DIV/0!</v>
      </c>
      <c r="BL107" s="85" t="e">
        <f t="shared" si="91"/>
        <v>#DIV/0!</v>
      </c>
      <c r="BM107" s="85" t="e">
        <f t="shared" si="91"/>
        <v>#DIV/0!</v>
      </c>
      <c r="BN107" s="85" t="e">
        <f t="shared" si="91"/>
        <v>#DIV/0!</v>
      </c>
      <c r="BO107" s="85">
        <f t="shared" ref="BO107:BV107" si="92">BO101/BO29</f>
        <v>0</v>
      </c>
      <c r="BP107" s="85">
        <f t="shared" si="92"/>
        <v>0</v>
      </c>
      <c r="BQ107" s="85">
        <f t="shared" si="92"/>
        <v>0</v>
      </c>
      <c r="BR107" s="85">
        <f t="shared" si="92"/>
        <v>0</v>
      </c>
      <c r="BS107" s="85">
        <f t="shared" si="92"/>
        <v>0</v>
      </c>
      <c r="BT107" s="85">
        <f t="shared" si="92"/>
        <v>0</v>
      </c>
      <c r="BU107" s="85">
        <f t="shared" si="92"/>
        <v>0</v>
      </c>
      <c r="BV107" s="85">
        <f t="shared" si="92"/>
        <v>0</v>
      </c>
      <c r="BW107" s="85" t="e">
        <f>BW101/BW29</f>
        <v>#DIV/0!</v>
      </c>
      <c r="BX107" s="85">
        <f t="shared" ref="BX107" si="93">BX101/BX29</f>
        <v>0</v>
      </c>
    </row>
    <row r="108" spans="2:104">
      <c r="B108" s="1" t="s">
        <v>157</v>
      </c>
      <c r="C108" s="85" t="e">
        <f t="shared" ref="C108:BN108" si="94">C103/C29</f>
        <v>#DIV/0!</v>
      </c>
      <c r="D108" s="85" t="e">
        <f t="shared" si="94"/>
        <v>#DIV/0!</v>
      </c>
      <c r="E108" s="85" t="e">
        <f t="shared" si="94"/>
        <v>#DIV/0!</v>
      </c>
      <c r="F108" s="85" t="e">
        <f t="shared" si="94"/>
        <v>#DIV/0!</v>
      </c>
      <c r="G108" s="85" t="e">
        <f t="shared" si="94"/>
        <v>#DIV/0!</v>
      </c>
      <c r="H108" s="85" t="e">
        <f t="shared" si="94"/>
        <v>#DIV/0!</v>
      </c>
      <c r="I108" s="85" t="e">
        <f t="shared" si="94"/>
        <v>#DIV/0!</v>
      </c>
      <c r="J108" s="85" t="e">
        <f t="shared" si="94"/>
        <v>#DIV/0!</v>
      </c>
      <c r="K108" s="85" t="e">
        <f t="shared" si="94"/>
        <v>#DIV/0!</v>
      </c>
      <c r="L108" s="85" t="e">
        <f t="shared" si="94"/>
        <v>#DIV/0!</v>
      </c>
      <c r="M108" s="85" t="e">
        <f t="shared" si="94"/>
        <v>#DIV/0!</v>
      </c>
      <c r="N108" s="85" t="e">
        <f t="shared" si="94"/>
        <v>#DIV/0!</v>
      </c>
      <c r="O108" s="85" t="e">
        <f t="shared" si="94"/>
        <v>#DIV/0!</v>
      </c>
      <c r="P108" s="85" t="e">
        <f t="shared" si="94"/>
        <v>#DIV/0!</v>
      </c>
      <c r="Q108" s="85" t="e">
        <f t="shared" si="94"/>
        <v>#DIV/0!</v>
      </c>
      <c r="R108" s="85" t="e">
        <f t="shared" si="94"/>
        <v>#DIV/0!</v>
      </c>
      <c r="S108" s="85" t="e">
        <f t="shared" si="94"/>
        <v>#DIV/0!</v>
      </c>
      <c r="T108" s="85" t="e">
        <f t="shared" si="94"/>
        <v>#DIV/0!</v>
      </c>
      <c r="U108" s="85" t="e">
        <f t="shared" si="94"/>
        <v>#DIV/0!</v>
      </c>
      <c r="V108" s="85" t="e">
        <f t="shared" si="94"/>
        <v>#DIV/0!</v>
      </c>
      <c r="W108" s="85" t="e">
        <f t="shared" si="94"/>
        <v>#DIV/0!</v>
      </c>
      <c r="X108" s="85" t="e">
        <f t="shared" si="94"/>
        <v>#DIV/0!</v>
      </c>
      <c r="Y108" s="85" t="e">
        <f t="shared" si="94"/>
        <v>#DIV/0!</v>
      </c>
      <c r="Z108" s="85" t="e">
        <f t="shared" si="94"/>
        <v>#DIV/0!</v>
      </c>
      <c r="AA108" s="85" t="e">
        <f t="shared" si="94"/>
        <v>#DIV/0!</v>
      </c>
      <c r="AB108" s="85" t="e">
        <f t="shared" si="94"/>
        <v>#DIV/0!</v>
      </c>
      <c r="AC108" s="85" t="e">
        <f t="shared" si="94"/>
        <v>#DIV/0!</v>
      </c>
      <c r="AD108" s="85" t="e">
        <f t="shared" si="94"/>
        <v>#DIV/0!</v>
      </c>
      <c r="AE108" s="85" t="e">
        <f t="shared" si="94"/>
        <v>#DIV/0!</v>
      </c>
      <c r="AF108" s="85" t="e">
        <f t="shared" si="94"/>
        <v>#DIV/0!</v>
      </c>
      <c r="AG108" s="85" t="e">
        <f t="shared" si="94"/>
        <v>#DIV/0!</v>
      </c>
      <c r="AH108" s="85" t="e">
        <f t="shared" si="94"/>
        <v>#DIV/0!</v>
      </c>
      <c r="AI108" s="85" t="e">
        <f t="shared" si="94"/>
        <v>#DIV/0!</v>
      </c>
      <c r="AJ108" s="85" t="e">
        <f t="shared" si="94"/>
        <v>#DIV/0!</v>
      </c>
      <c r="AK108" s="85" t="e">
        <f t="shared" si="94"/>
        <v>#DIV/0!</v>
      </c>
      <c r="AL108" s="85" t="e">
        <f t="shared" si="94"/>
        <v>#DIV/0!</v>
      </c>
      <c r="AM108" s="85" t="e">
        <f t="shared" si="94"/>
        <v>#DIV/0!</v>
      </c>
      <c r="AN108" s="85" t="e">
        <f t="shared" si="94"/>
        <v>#DIV/0!</v>
      </c>
      <c r="AO108" s="85" t="e">
        <f t="shared" si="94"/>
        <v>#DIV/0!</v>
      </c>
      <c r="AP108" s="85" t="e">
        <f t="shared" si="94"/>
        <v>#DIV/0!</v>
      </c>
      <c r="AQ108" s="85" t="e">
        <f t="shared" si="94"/>
        <v>#DIV/0!</v>
      </c>
      <c r="AR108" s="85" t="e">
        <f t="shared" si="94"/>
        <v>#DIV/0!</v>
      </c>
      <c r="AS108" s="85" t="e">
        <f t="shared" si="94"/>
        <v>#DIV/0!</v>
      </c>
      <c r="AT108" s="85" t="e">
        <f t="shared" si="94"/>
        <v>#DIV/0!</v>
      </c>
      <c r="AU108" s="85" t="e">
        <f t="shared" si="94"/>
        <v>#DIV/0!</v>
      </c>
      <c r="AV108" s="85" t="e">
        <f t="shared" si="94"/>
        <v>#DIV/0!</v>
      </c>
      <c r="AW108" s="85" t="e">
        <f t="shared" si="94"/>
        <v>#DIV/0!</v>
      </c>
      <c r="AX108" s="85" t="e">
        <f t="shared" si="94"/>
        <v>#DIV/0!</v>
      </c>
      <c r="AY108" s="85" t="e">
        <f t="shared" si="94"/>
        <v>#DIV/0!</v>
      </c>
      <c r="AZ108" s="85" t="e">
        <f t="shared" si="94"/>
        <v>#DIV/0!</v>
      </c>
      <c r="BA108" s="85" t="e">
        <f t="shared" si="94"/>
        <v>#DIV/0!</v>
      </c>
      <c r="BB108" s="85" t="e">
        <f t="shared" si="94"/>
        <v>#DIV/0!</v>
      </c>
      <c r="BC108" s="85" t="e">
        <f t="shared" si="94"/>
        <v>#DIV/0!</v>
      </c>
      <c r="BD108" s="85" t="e">
        <f t="shared" si="94"/>
        <v>#DIV/0!</v>
      </c>
      <c r="BE108" s="85" t="e">
        <f t="shared" si="94"/>
        <v>#DIV/0!</v>
      </c>
      <c r="BF108" s="85" t="e">
        <f t="shared" si="94"/>
        <v>#DIV/0!</v>
      </c>
      <c r="BG108" s="85" t="e">
        <f t="shared" si="94"/>
        <v>#DIV/0!</v>
      </c>
      <c r="BH108" s="85" t="e">
        <f t="shared" si="94"/>
        <v>#DIV/0!</v>
      </c>
      <c r="BI108" s="85" t="e">
        <f t="shared" si="94"/>
        <v>#DIV/0!</v>
      </c>
      <c r="BJ108" s="85" t="e">
        <f t="shared" si="94"/>
        <v>#DIV/0!</v>
      </c>
      <c r="BK108" s="85" t="e">
        <f t="shared" si="94"/>
        <v>#DIV/0!</v>
      </c>
      <c r="BL108" s="85" t="e">
        <f t="shared" si="94"/>
        <v>#DIV/0!</v>
      </c>
      <c r="BM108" s="85" t="e">
        <f t="shared" si="94"/>
        <v>#DIV/0!</v>
      </c>
      <c r="BN108" s="85" t="e">
        <f t="shared" si="94"/>
        <v>#DIV/0!</v>
      </c>
      <c r="BO108" s="85">
        <f t="shared" ref="BO108:BV108" si="95">BO103/BO29</f>
        <v>0</v>
      </c>
      <c r="BP108" s="85">
        <f t="shared" si="95"/>
        <v>0</v>
      </c>
      <c r="BQ108" s="85">
        <f t="shared" si="95"/>
        <v>0</v>
      </c>
      <c r="BR108" s="85">
        <f t="shared" si="95"/>
        <v>0</v>
      </c>
      <c r="BS108" s="85">
        <f t="shared" si="95"/>
        <v>0</v>
      </c>
      <c r="BT108" s="85">
        <f t="shared" si="95"/>
        <v>0</v>
      </c>
      <c r="BU108" s="85">
        <f t="shared" si="95"/>
        <v>0</v>
      </c>
      <c r="BV108" s="85">
        <f t="shared" si="95"/>
        <v>0</v>
      </c>
      <c r="BW108" s="85" t="e">
        <f>BW103/BW29</f>
        <v>#DIV/0!</v>
      </c>
      <c r="BX108" s="85">
        <f t="shared" ref="BX108" si="96">BX103/BX29</f>
        <v>0</v>
      </c>
    </row>
    <row r="109" spans="2:104">
      <c r="B109" s="1" t="s">
        <v>158</v>
      </c>
      <c r="C109" s="85" t="e">
        <f t="shared" ref="C109:BN109" si="97">C102/C29</f>
        <v>#DIV/0!</v>
      </c>
      <c r="D109" s="85" t="e">
        <f t="shared" si="97"/>
        <v>#DIV/0!</v>
      </c>
      <c r="E109" s="85" t="e">
        <f t="shared" si="97"/>
        <v>#DIV/0!</v>
      </c>
      <c r="F109" s="85" t="e">
        <f t="shared" si="97"/>
        <v>#DIV/0!</v>
      </c>
      <c r="G109" s="85" t="e">
        <f t="shared" si="97"/>
        <v>#DIV/0!</v>
      </c>
      <c r="H109" s="85" t="e">
        <f t="shared" si="97"/>
        <v>#DIV/0!</v>
      </c>
      <c r="I109" s="85" t="e">
        <f t="shared" si="97"/>
        <v>#DIV/0!</v>
      </c>
      <c r="J109" s="85" t="e">
        <f t="shared" si="97"/>
        <v>#DIV/0!</v>
      </c>
      <c r="K109" s="85" t="e">
        <f t="shared" si="97"/>
        <v>#DIV/0!</v>
      </c>
      <c r="L109" s="85" t="e">
        <f t="shared" si="97"/>
        <v>#DIV/0!</v>
      </c>
      <c r="M109" s="85" t="e">
        <f t="shared" si="97"/>
        <v>#DIV/0!</v>
      </c>
      <c r="N109" s="85" t="e">
        <f t="shared" si="97"/>
        <v>#DIV/0!</v>
      </c>
      <c r="O109" s="85" t="e">
        <f t="shared" si="97"/>
        <v>#DIV/0!</v>
      </c>
      <c r="P109" s="85" t="e">
        <f t="shared" si="97"/>
        <v>#DIV/0!</v>
      </c>
      <c r="Q109" s="85" t="e">
        <f t="shared" si="97"/>
        <v>#DIV/0!</v>
      </c>
      <c r="R109" s="85" t="e">
        <f t="shared" si="97"/>
        <v>#DIV/0!</v>
      </c>
      <c r="S109" s="85" t="e">
        <f t="shared" si="97"/>
        <v>#DIV/0!</v>
      </c>
      <c r="T109" s="85" t="e">
        <f t="shared" si="97"/>
        <v>#DIV/0!</v>
      </c>
      <c r="U109" s="85" t="e">
        <f t="shared" si="97"/>
        <v>#DIV/0!</v>
      </c>
      <c r="V109" s="85" t="e">
        <f t="shared" si="97"/>
        <v>#DIV/0!</v>
      </c>
      <c r="W109" s="85" t="e">
        <f t="shared" si="97"/>
        <v>#DIV/0!</v>
      </c>
      <c r="X109" s="85" t="e">
        <f t="shared" si="97"/>
        <v>#DIV/0!</v>
      </c>
      <c r="Y109" s="85" t="e">
        <f t="shared" si="97"/>
        <v>#DIV/0!</v>
      </c>
      <c r="Z109" s="85" t="e">
        <f t="shared" si="97"/>
        <v>#DIV/0!</v>
      </c>
      <c r="AA109" s="85" t="e">
        <f t="shared" si="97"/>
        <v>#DIV/0!</v>
      </c>
      <c r="AB109" s="85" t="e">
        <f t="shared" si="97"/>
        <v>#DIV/0!</v>
      </c>
      <c r="AC109" s="85" t="e">
        <f t="shared" si="97"/>
        <v>#DIV/0!</v>
      </c>
      <c r="AD109" s="85" t="e">
        <f t="shared" si="97"/>
        <v>#DIV/0!</v>
      </c>
      <c r="AE109" s="85" t="e">
        <f t="shared" si="97"/>
        <v>#DIV/0!</v>
      </c>
      <c r="AF109" s="85" t="e">
        <f t="shared" si="97"/>
        <v>#DIV/0!</v>
      </c>
      <c r="AG109" s="85" t="e">
        <f t="shared" si="97"/>
        <v>#DIV/0!</v>
      </c>
      <c r="AH109" s="85" t="e">
        <f t="shared" si="97"/>
        <v>#DIV/0!</v>
      </c>
      <c r="AI109" s="85" t="e">
        <f t="shared" si="97"/>
        <v>#DIV/0!</v>
      </c>
      <c r="AJ109" s="85" t="e">
        <f t="shared" si="97"/>
        <v>#DIV/0!</v>
      </c>
      <c r="AK109" s="85" t="e">
        <f t="shared" si="97"/>
        <v>#DIV/0!</v>
      </c>
      <c r="AL109" s="85" t="e">
        <f t="shared" si="97"/>
        <v>#DIV/0!</v>
      </c>
      <c r="AM109" s="85" t="e">
        <f t="shared" si="97"/>
        <v>#DIV/0!</v>
      </c>
      <c r="AN109" s="85" t="e">
        <f t="shared" si="97"/>
        <v>#DIV/0!</v>
      </c>
      <c r="AO109" s="85" t="e">
        <f t="shared" si="97"/>
        <v>#DIV/0!</v>
      </c>
      <c r="AP109" s="85" t="e">
        <f t="shared" si="97"/>
        <v>#DIV/0!</v>
      </c>
      <c r="AQ109" s="85" t="e">
        <f t="shared" si="97"/>
        <v>#DIV/0!</v>
      </c>
      <c r="AR109" s="85" t="e">
        <f t="shared" si="97"/>
        <v>#DIV/0!</v>
      </c>
      <c r="AS109" s="85" t="e">
        <f t="shared" si="97"/>
        <v>#DIV/0!</v>
      </c>
      <c r="AT109" s="85" t="e">
        <f t="shared" si="97"/>
        <v>#DIV/0!</v>
      </c>
      <c r="AU109" s="85" t="e">
        <f t="shared" si="97"/>
        <v>#DIV/0!</v>
      </c>
      <c r="AV109" s="85" t="e">
        <f t="shared" si="97"/>
        <v>#DIV/0!</v>
      </c>
      <c r="AW109" s="85" t="e">
        <f t="shared" si="97"/>
        <v>#DIV/0!</v>
      </c>
      <c r="AX109" s="85" t="e">
        <f t="shared" si="97"/>
        <v>#DIV/0!</v>
      </c>
      <c r="AY109" s="85" t="e">
        <f t="shared" si="97"/>
        <v>#DIV/0!</v>
      </c>
      <c r="AZ109" s="85" t="e">
        <f t="shared" si="97"/>
        <v>#DIV/0!</v>
      </c>
      <c r="BA109" s="85" t="e">
        <f t="shared" si="97"/>
        <v>#DIV/0!</v>
      </c>
      <c r="BB109" s="85" t="e">
        <f t="shared" si="97"/>
        <v>#DIV/0!</v>
      </c>
      <c r="BC109" s="85" t="e">
        <f t="shared" si="97"/>
        <v>#DIV/0!</v>
      </c>
      <c r="BD109" s="85" t="e">
        <f t="shared" si="97"/>
        <v>#DIV/0!</v>
      </c>
      <c r="BE109" s="85" t="e">
        <f t="shared" si="97"/>
        <v>#DIV/0!</v>
      </c>
      <c r="BF109" s="85" t="e">
        <f t="shared" si="97"/>
        <v>#DIV/0!</v>
      </c>
      <c r="BG109" s="85" t="e">
        <f t="shared" si="97"/>
        <v>#DIV/0!</v>
      </c>
      <c r="BH109" s="85" t="e">
        <f t="shared" si="97"/>
        <v>#DIV/0!</v>
      </c>
      <c r="BI109" s="85" t="e">
        <f t="shared" si="97"/>
        <v>#DIV/0!</v>
      </c>
      <c r="BJ109" s="85" t="e">
        <f t="shared" si="97"/>
        <v>#DIV/0!</v>
      </c>
      <c r="BK109" s="85" t="e">
        <f t="shared" si="97"/>
        <v>#DIV/0!</v>
      </c>
      <c r="BL109" s="85" t="e">
        <f t="shared" si="97"/>
        <v>#DIV/0!</v>
      </c>
      <c r="BM109" s="85" t="e">
        <f t="shared" si="97"/>
        <v>#DIV/0!</v>
      </c>
      <c r="BN109" s="85" t="e">
        <f t="shared" si="97"/>
        <v>#DIV/0!</v>
      </c>
      <c r="BO109" s="85">
        <f t="shared" ref="BO109:BV109" si="98">BO102/BO29</f>
        <v>0</v>
      </c>
      <c r="BP109" s="85">
        <f t="shared" si="98"/>
        <v>0</v>
      </c>
      <c r="BQ109" s="85">
        <f t="shared" si="98"/>
        <v>0</v>
      </c>
      <c r="BR109" s="85">
        <f t="shared" si="98"/>
        <v>0</v>
      </c>
      <c r="BS109" s="85">
        <f t="shared" si="98"/>
        <v>0</v>
      </c>
      <c r="BT109" s="85">
        <f t="shared" si="98"/>
        <v>0</v>
      </c>
      <c r="BU109" s="85">
        <f t="shared" si="98"/>
        <v>0</v>
      </c>
      <c r="BV109" s="85">
        <f t="shared" si="98"/>
        <v>0</v>
      </c>
      <c r="BW109" s="85" t="e">
        <f>BW102/BW29</f>
        <v>#DIV/0!</v>
      </c>
      <c r="BX109" s="85">
        <f t="shared" ref="BX109" si="99">BX102/BX29</f>
        <v>0</v>
      </c>
    </row>
  </sheetData>
  <mergeCells count="1">
    <mergeCell ref="DI72:DJ72"/>
  </mergeCells>
  <conditionalFormatting sqref="DI7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2" operator="containsText" text="Strong Sell">
      <formula>NOT(ISERROR(SEARCH("Strong Sell",DI72)))</formula>
    </cfRule>
    <cfRule type="containsText" dxfId="3" priority="3" operator="containsText" text="Sell">
      <formula>NOT(ISERROR(SEARCH("Sell",DI72)))</formula>
    </cfRule>
    <cfRule type="containsText" dxfId="2" priority="4" operator="containsText" text="Hold">
      <formula>NOT(ISERROR(SEARCH("Hold",DI72)))</formula>
    </cfRule>
    <cfRule type="beginsWith" dxfId="1" priority="5" operator="beginsWith" text="Buy">
      <formula>LEFT(DI72,LEN("Buy"))="Buy"</formula>
    </cfRule>
    <cfRule type="beginsWith" dxfId="0" priority="6" operator="beginsWith" text="Strong">
      <formula>LEFT(DI72,LEN("Strong"))="Strong"</formula>
    </cfRule>
  </conditionalFormatting>
  <pageMargins left="0.7" right="0.7" top="0.75" bottom="0.75" header="0.3" footer="0.3"/>
  <ignoredErrors>
    <ignoredError sqref="DB10:DJ10 CJ8:CY8 CJ9:CY9 BC8:BT9 DE66:DE68 DG62:DG63 DI64:DJ72 DK71 BC20:BT22 CZ91:CZ98 BV91:BV98 DE72:DE75 DE81 CZ8:CZ9 BU20:BV22 BU8:BV9 BU11:BW19 BW8:BW9 BW20:BW22 CJ10:CY12 BC10:BT10 CZ10:CZ12 BU10:BV10 BW10" evalError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L1557"/>
  <sheetViews>
    <sheetView topLeftCell="L34" zoomScale="55" zoomScaleNormal="55" workbookViewId="0">
      <selection activeCell="L16" sqref="A1:XFD1048576"/>
    </sheetView>
  </sheetViews>
  <sheetFormatPr defaultColWidth="9.140625" defaultRowHeight="14.25"/>
  <cols>
    <col min="1" max="7" width="9.140625" style="1"/>
    <col min="8" max="8" width="3.140625" style="1" customWidth="1"/>
    <col min="9" max="15" width="9.140625" style="1"/>
    <col min="16" max="16" width="3.140625" style="1" customWidth="1"/>
    <col min="17" max="39" width="9.140625" style="1"/>
    <col min="40" max="40" width="2.85546875" style="1" customWidth="1"/>
    <col min="41" max="16384" width="9.140625" style="1"/>
  </cols>
  <sheetData>
    <row r="1" spans="16:90">
      <c r="CL1" s="1">
        <v>0</v>
      </c>
    </row>
    <row r="2" spans="16:90" ht="15">
      <c r="P2" s="2" t="s">
        <v>109</v>
      </c>
      <c r="AO2" s="2" t="s">
        <v>154</v>
      </c>
    </row>
    <row r="35" spans="16:41" ht="15">
      <c r="AO35" s="2" t="s">
        <v>155</v>
      </c>
    </row>
    <row r="36" spans="16:41" ht="15">
      <c r="P36" s="2" t="s">
        <v>153</v>
      </c>
      <c r="AO36" s="2" t="s">
        <v>85</v>
      </c>
    </row>
    <row r="37" spans="16:41">
      <c r="Q37" s="1" t="s">
        <v>14</v>
      </c>
      <c r="AO37" s="1" t="s">
        <v>86</v>
      </c>
    </row>
    <row r="69" spans="16:41" ht="15">
      <c r="P69" s="2" t="s">
        <v>15</v>
      </c>
      <c r="AO69" s="2" t="s">
        <v>87</v>
      </c>
    </row>
    <row r="70" spans="16:41">
      <c r="AO70" s="1" t="s">
        <v>130</v>
      </c>
    </row>
    <row r="101" spans="16:41">
      <c r="Q101" s="1" t="s">
        <v>16</v>
      </c>
      <c r="R101" s="1" t="s">
        <v>17</v>
      </c>
    </row>
    <row r="102" spans="16:41">
      <c r="R102" s="1" t="s">
        <v>18</v>
      </c>
    </row>
    <row r="103" spans="16:41">
      <c r="R103" s="1" t="s">
        <v>19</v>
      </c>
    </row>
    <row r="105" spans="16:41" ht="15">
      <c r="P105" s="2" t="s">
        <v>112</v>
      </c>
      <c r="AO105" s="2" t="s">
        <v>88</v>
      </c>
    </row>
    <row r="106" spans="16:41">
      <c r="AO106" s="1" t="s">
        <v>89</v>
      </c>
    </row>
    <row r="134" spans="16:41">
      <c r="Q134" s="1" t="s">
        <v>16</v>
      </c>
      <c r="R134" s="1" t="s">
        <v>17</v>
      </c>
    </row>
    <row r="135" spans="16:41">
      <c r="R135" s="1" t="s">
        <v>18</v>
      </c>
    </row>
    <row r="136" spans="16:41">
      <c r="R136" s="1" t="s">
        <v>19</v>
      </c>
    </row>
    <row r="138" spans="16:41" ht="15">
      <c r="P138" s="2" t="s">
        <v>111</v>
      </c>
      <c r="AO138" s="2" t="s">
        <v>90</v>
      </c>
    </row>
    <row r="139" spans="16:41">
      <c r="AO139" s="1" t="s">
        <v>91</v>
      </c>
    </row>
    <row r="154" ht="15" customHeight="1"/>
    <row r="167" spans="17:18">
      <c r="Q167" s="1" t="s">
        <v>16</v>
      </c>
      <c r="R167" s="1" t="s">
        <v>17</v>
      </c>
    </row>
    <row r="168" spans="17:18">
      <c r="R168" s="1" t="s">
        <v>18</v>
      </c>
    </row>
    <row r="169" spans="17:18">
      <c r="R169" s="1" t="s">
        <v>19</v>
      </c>
    </row>
    <row r="184" spans="1:15">
      <c r="A184" s="1" t="s">
        <v>131</v>
      </c>
    </row>
    <row r="185" spans="1:15">
      <c r="A185" s="1" t="s">
        <v>27</v>
      </c>
      <c r="I185" s="1" t="s">
        <v>27</v>
      </c>
    </row>
    <row r="186" spans="1:15">
      <c r="A186" s="24" t="s">
        <v>20</v>
      </c>
      <c r="B186" s="24" t="s">
        <v>21</v>
      </c>
      <c r="C186" s="24" t="s">
        <v>22</v>
      </c>
      <c r="D186" s="24" t="s">
        <v>23</v>
      </c>
      <c r="E186" s="24" t="s">
        <v>24</v>
      </c>
      <c r="F186" s="24" t="s">
        <v>25</v>
      </c>
      <c r="G186" s="24" t="s">
        <v>26</v>
      </c>
      <c r="I186" s="24" t="s">
        <v>20</v>
      </c>
      <c r="J186" s="24" t="s">
        <v>21</v>
      </c>
      <c r="K186" s="24" t="s">
        <v>22</v>
      </c>
      <c r="L186" s="24" t="s">
        <v>23</v>
      </c>
      <c r="M186" s="24" t="s">
        <v>24</v>
      </c>
      <c r="N186" s="24" t="s">
        <v>25</v>
      </c>
      <c r="O186" s="24" t="s">
        <v>26</v>
      </c>
    </row>
    <row r="187" spans="1:15">
      <c r="G187" s="25" t="e">
        <f>A187/D187-1</f>
        <v>#DIV/0!</v>
      </c>
      <c r="O187" s="25" t="e">
        <f>I187/L187-1</f>
        <v>#DIV/0!</v>
      </c>
    </row>
    <row r="188" spans="1:15">
      <c r="G188" s="25"/>
      <c r="O188" s="25"/>
    </row>
    <row r="189" spans="1:15">
      <c r="G189" s="25"/>
      <c r="O189" s="25"/>
    </row>
    <row r="190" spans="1:15">
      <c r="G190" s="25"/>
      <c r="O190" s="25"/>
    </row>
    <row r="191" spans="1:15">
      <c r="G191" s="25"/>
      <c r="O191" s="25"/>
    </row>
    <row r="192" spans="1:15">
      <c r="G192" s="25"/>
      <c r="O192" s="25"/>
    </row>
    <row r="193" spans="7:15">
      <c r="G193" s="25"/>
      <c r="O193" s="25"/>
    </row>
    <row r="194" spans="7:15">
      <c r="G194" s="25"/>
      <c r="O194" s="25"/>
    </row>
    <row r="195" spans="7:15">
      <c r="G195" s="25"/>
      <c r="O195" s="25"/>
    </row>
    <row r="196" spans="7:15">
      <c r="G196" s="25"/>
      <c r="O196" s="25"/>
    </row>
    <row r="197" spans="7:15">
      <c r="G197" s="25"/>
      <c r="O197" s="25"/>
    </row>
    <row r="198" spans="7:15">
      <c r="G198" s="25"/>
      <c r="O198" s="25"/>
    </row>
    <row r="199" spans="7:15">
      <c r="G199" s="25"/>
      <c r="O199" s="25"/>
    </row>
    <row r="200" spans="7:15">
      <c r="G200" s="25"/>
      <c r="O200" s="25"/>
    </row>
    <row r="201" spans="7:15">
      <c r="G201" s="25"/>
      <c r="O201" s="25"/>
    </row>
    <row r="202" spans="7:15">
      <c r="G202" s="25"/>
      <c r="O202" s="25"/>
    </row>
    <row r="203" spans="7:15">
      <c r="G203" s="25"/>
      <c r="O203" s="25"/>
    </row>
    <row r="204" spans="7:15">
      <c r="G204" s="25"/>
      <c r="O204" s="25"/>
    </row>
    <row r="205" spans="7:15">
      <c r="G205" s="25"/>
      <c r="O205" s="25"/>
    </row>
    <row r="206" spans="7:15">
      <c r="G206" s="25"/>
      <c r="O206" s="25"/>
    </row>
    <row r="207" spans="7:15">
      <c r="G207" s="25"/>
      <c r="O207" s="25"/>
    </row>
    <row r="208" spans="7:15">
      <c r="G208" s="25"/>
      <c r="O208" s="25"/>
    </row>
    <row r="209" spans="7:28">
      <c r="G209" s="25"/>
      <c r="O209" s="25"/>
      <c r="Q209" s="26"/>
      <c r="R209" s="26" t="s">
        <v>28</v>
      </c>
      <c r="S209" s="27" t="e">
        <f>MIN(O181:O1143)</f>
        <v>#DIV/0!</v>
      </c>
    </row>
    <row r="210" spans="7:28">
      <c r="G210" s="25"/>
      <c r="O210" s="25"/>
      <c r="Q210" s="26"/>
      <c r="R210" s="26" t="s">
        <v>29</v>
      </c>
      <c r="S210" s="27" t="e">
        <f>MAX(O181:O1143)</f>
        <v>#DIV/0!</v>
      </c>
    </row>
    <row r="211" spans="7:28">
      <c r="G211" s="25"/>
      <c r="O211" s="25"/>
      <c r="Q211" s="26"/>
      <c r="R211" s="26" t="s">
        <v>30</v>
      </c>
      <c r="S211" s="27" t="e">
        <f>AVERAGE(O181:O1143)</f>
        <v>#DIV/0!</v>
      </c>
    </row>
    <row r="212" spans="7:28">
      <c r="G212" s="25"/>
      <c r="O212" s="25"/>
      <c r="Q212" s="26"/>
      <c r="R212" s="26" t="s">
        <v>31</v>
      </c>
      <c r="S212" s="27" t="e">
        <f>MEDIAN(O181:O1143)</f>
        <v>#DIV/0!</v>
      </c>
    </row>
    <row r="213" spans="7:28" ht="15">
      <c r="G213" s="25"/>
      <c r="O213" s="25"/>
      <c r="Q213" s="26"/>
      <c r="R213" s="26" t="s">
        <v>32</v>
      </c>
      <c r="S213" s="27" t="e">
        <f>_xlfn.STDEV.P(O181:O1143)</f>
        <v>#DIV/0!</v>
      </c>
      <c r="U213" s="2"/>
    </row>
    <row r="214" spans="7:28" ht="15">
      <c r="G214" s="25"/>
      <c r="O214" s="25"/>
      <c r="Q214" s="26"/>
      <c r="R214" s="28" t="s">
        <v>33</v>
      </c>
      <c r="S214" s="27" t="e">
        <f>3*S213</f>
        <v>#DIV/0!</v>
      </c>
      <c r="T214" s="26"/>
      <c r="U214" s="2" t="s">
        <v>102</v>
      </c>
    </row>
    <row r="215" spans="7:28" ht="15">
      <c r="G215" s="25"/>
      <c r="O215" s="25"/>
      <c r="Q215" s="26"/>
      <c r="R215" s="28" t="s">
        <v>34</v>
      </c>
      <c r="S215" s="59" t="e">
        <f>_xlfn.COVARIANCE.P(O132:O380,G132:G380)/_xlfn.VAR.P(G132:G380)</f>
        <v>#DIV/0!</v>
      </c>
      <c r="T215" s="26"/>
      <c r="U215" s="2" t="s">
        <v>35</v>
      </c>
    </row>
    <row r="216" spans="7:28">
      <c r="G216" s="25"/>
      <c r="O216" s="25"/>
    </row>
    <row r="217" spans="7:28">
      <c r="G217" s="25"/>
      <c r="O217" s="25"/>
    </row>
    <row r="218" spans="7:28">
      <c r="G218" s="25"/>
      <c r="O218" s="25"/>
      <c r="T218" s="29" t="s">
        <v>36</v>
      </c>
      <c r="U218" s="30">
        <v>1014</v>
      </c>
    </row>
    <row r="219" spans="7:28" ht="15" thickBot="1">
      <c r="G219" s="25"/>
      <c r="O219" s="25"/>
      <c r="T219" s="1" t="s">
        <v>37</v>
      </c>
      <c r="W219" s="1" t="s">
        <v>38</v>
      </c>
      <c r="AA219" s="1" t="s">
        <v>39</v>
      </c>
    </row>
    <row r="220" spans="7:28" ht="15" customHeight="1">
      <c r="G220" s="25"/>
      <c r="O220" s="25"/>
      <c r="T220" s="31" t="s">
        <v>40</v>
      </c>
      <c r="U220" s="31" t="s">
        <v>41</v>
      </c>
      <c r="W220" s="32" t="s">
        <v>42</v>
      </c>
      <c r="X220" s="33" t="s">
        <v>43</v>
      </c>
      <c r="AA220" s="32" t="s">
        <v>44</v>
      </c>
      <c r="AB220" s="33" t="s">
        <v>45</v>
      </c>
    </row>
    <row r="221" spans="7:28">
      <c r="G221" s="25"/>
      <c r="O221" s="25"/>
      <c r="R221" s="58">
        <f t="shared" ref="R221:R249" si="0">R222-0.001</f>
        <v>-3.1000000000000021E-2</v>
      </c>
      <c r="Z221" s="1" t="s">
        <v>92</v>
      </c>
      <c r="AA221" s="58" t="e">
        <f>S211</f>
        <v>#DIV/0!</v>
      </c>
    </row>
    <row r="222" spans="7:28">
      <c r="G222" s="25"/>
      <c r="O222" s="25"/>
      <c r="R222" s="58">
        <f t="shared" si="0"/>
        <v>-3.000000000000002E-2</v>
      </c>
      <c r="AA222" s="58" t="e">
        <f>S211</f>
        <v>#DIV/0!</v>
      </c>
    </row>
    <row r="223" spans="7:28">
      <c r="G223" s="25"/>
      <c r="O223" s="25"/>
      <c r="R223" s="58">
        <f t="shared" si="0"/>
        <v>-2.9000000000000019E-2</v>
      </c>
      <c r="Z223" s="39" t="s">
        <v>93</v>
      </c>
      <c r="AA223" s="58" t="e">
        <f>($S$213*-3)+$S$211</f>
        <v>#DIV/0!</v>
      </c>
    </row>
    <row r="224" spans="7:28">
      <c r="G224" s="25"/>
      <c r="O224" s="25"/>
      <c r="R224" s="58">
        <f t="shared" si="0"/>
        <v>-2.8000000000000018E-2</v>
      </c>
      <c r="Z224" s="40"/>
      <c r="AA224" s="58" t="e">
        <f>($S$213*-3)+$S$211</f>
        <v>#DIV/0!</v>
      </c>
    </row>
    <row r="225" spans="7:27">
      <c r="G225" s="25"/>
      <c r="O225" s="25"/>
      <c r="R225" s="58">
        <f t="shared" si="0"/>
        <v>-2.7000000000000017E-2</v>
      </c>
      <c r="Z225" s="39" t="s">
        <v>94</v>
      </c>
      <c r="AA225" s="58" t="e">
        <f>($S$213*-2)+$S$211</f>
        <v>#DIV/0!</v>
      </c>
    </row>
    <row r="226" spans="7:27">
      <c r="G226" s="25"/>
      <c r="O226" s="25"/>
      <c r="R226" s="58">
        <f t="shared" si="0"/>
        <v>-2.6000000000000016E-2</v>
      </c>
      <c r="Z226" s="40"/>
      <c r="AA226" s="58" t="e">
        <f>($S$213*-2)+$S$211</f>
        <v>#DIV/0!</v>
      </c>
    </row>
    <row r="227" spans="7:27">
      <c r="G227" s="25"/>
      <c r="O227" s="25"/>
      <c r="R227" s="58">
        <f t="shared" si="0"/>
        <v>-2.5000000000000015E-2</v>
      </c>
      <c r="Z227" s="41" t="s">
        <v>95</v>
      </c>
      <c r="AA227" s="58" t="e">
        <f>($S$213*-1)+$S$211</f>
        <v>#DIV/0!</v>
      </c>
    </row>
    <row r="228" spans="7:27">
      <c r="G228" s="25"/>
      <c r="O228" s="25"/>
      <c r="R228" s="58">
        <f t="shared" si="0"/>
        <v>-2.4000000000000014E-2</v>
      </c>
      <c r="AA228" s="58" t="e">
        <f>($S$213*-1)+$S$211</f>
        <v>#DIV/0!</v>
      </c>
    </row>
    <row r="229" spans="7:27">
      <c r="G229" s="25"/>
      <c r="O229" s="25"/>
      <c r="R229" s="58">
        <f t="shared" si="0"/>
        <v>-2.3000000000000013E-2</v>
      </c>
      <c r="Z229" s="1" t="s">
        <v>96</v>
      </c>
      <c r="AA229" s="58" t="e">
        <f>($S$213*1)+$S$211</f>
        <v>#DIV/0!</v>
      </c>
    </row>
    <row r="230" spans="7:27">
      <c r="G230" s="25"/>
      <c r="O230" s="25"/>
      <c r="R230" s="58">
        <f t="shared" si="0"/>
        <v>-2.2000000000000013E-2</v>
      </c>
      <c r="AA230" s="58" t="e">
        <f>($S$213*1)+$S$211</f>
        <v>#DIV/0!</v>
      </c>
    </row>
    <row r="231" spans="7:27">
      <c r="G231" s="25"/>
      <c r="O231" s="25"/>
      <c r="R231" s="58">
        <f t="shared" si="0"/>
        <v>-2.1000000000000012E-2</v>
      </c>
      <c r="Z231" s="42" t="s">
        <v>97</v>
      </c>
      <c r="AA231" s="58" t="e">
        <f>($S$213*2)+$S$211</f>
        <v>#DIV/0!</v>
      </c>
    </row>
    <row r="232" spans="7:27">
      <c r="G232" s="25"/>
      <c r="O232" s="25"/>
      <c r="R232" s="58">
        <f t="shared" si="0"/>
        <v>-2.0000000000000011E-2</v>
      </c>
      <c r="AA232" s="58" t="e">
        <f>($S$213*2)+$S$211</f>
        <v>#DIV/0!</v>
      </c>
    </row>
    <row r="233" spans="7:27">
      <c r="G233" s="25"/>
      <c r="O233" s="25"/>
      <c r="R233" s="58">
        <f t="shared" si="0"/>
        <v>-1.900000000000001E-2</v>
      </c>
      <c r="Z233" s="42" t="s">
        <v>98</v>
      </c>
      <c r="AA233" s="58" t="e">
        <f>($S$213*3)+$S$211</f>
        <v>#DIV/0!</v>
      </c>
    </row>
    <row r="234" spans="7:27">
      <c r="G234" s="25"/>
      <c r="O234" s="25"/>
      <c r="R234" s="58">
        <f t="shared" si="0"/>
        <v>-1.8000000000000009E-2</v>
      </c>
      <c r="Z234" s="42"/>
      <c r="AA234" s="58" t="e">
        <f>($S$213*3)+$S$211</f>
        <v>#DIV/0!</v>
      </c>
    </row>
    <row r="235" spans="7:27">
      <c r="G235" s="25"/>
      <c r="O235" s="25"/>
      <c r="R235" s="58">
        <f t="shared" si="0"/>
        <v>-1.7000000000000008E-2</v>
      </c>
    </row>
    <row r="236" spans="7:27">
      <c r="G236" s="25"/>
      <c r="O236" s="25"/>
      <c r="R236" s="58">
        <f t="shared" si="0"/>
        <v>-1.6000000000000007E-2</v>
      </c>
    </row>
    <row r="237" spans="7:27">
      <c r="G237" s="25"/>
      <c r="O237" s="25"/>
      <c r="R237" s="58">
        <f t="shared" si="0"/>
        <v>-1.5000000000000006E-2</v>
      </c>
    </row>
    <row r="238" spans="7:27">
      <c r="G238" s="25"/>
      <c r="O238" s="25"/>
      <c r="R238" s="58">
        <f t="shared" si="0"/>
        <v>-1.4000000000000005E-2</v>
      </c>
    </row>
    <row r="239" spans="7:27">
      <c r="G239" s="25"/>
      <c r="O239" s="25"/>
      <c r="R239" s="58">
        <f t="shared" si="0"/>
        <v>-1.3000000000000005E-2</v>
      </c>
    </row>
    <row r="240" spans="7:27">
      <c r="G240" s="25"/>
      <c r="O240" s="25"/>
      <c r="R240" s="58">
        <f t="shared" si="0"/>
        <v>-1.2000000000000004E-2</v>
      </c>
    </row>
    <row r="241" spans="7:18">
      <c r="G241" s="25"/>
      <c r="O241" s="25"/>
      <c r="R241" s="58">
        <f t="shared" si="0"/>
        <v>-1.1000000000000003E-2</v>
      </c>
    </row>
    <row r="242" spans="7:18">
      <c r="G242" s="25"/>
      <c r="O242" s="25"/>
      <c r="R242" s="58">
        <f t="shared" si="0"/>
        <v>-1.0000000000000002E-2</v>
      </c>
    </row>
    <row r="243" spans="7:18">
      <c r="G243" s="25"/>
      <c r="O243" s="25"/>
      <c r="R243" s="58">
        <f t="shared" si="0"/>
        <v>-9.0000000000000011E-3</v>
      </c>
    </row>
    <row r="244" spans="7:18">
      <c r="G244" s="25"/>
      <c r="O244" s="25"/>
      <c r="R244" s="58">
        <f t="shared" si="0"/>
        <v>-8.0000000000000002E-3</v>
      </c>
    </row>
    <row r="245" spans="7:18">
      <c r="G245" s="25"/>
      <c r="O245" s="25"/>
      <c r="R245" s="58">
        <f t="shared" si="0"/>
        <v>-7.0000000000000001E-3</v>
      </c>
    </row>
    <row r="246" spans="7:18">
      <c r="G246" s="25"/>
      <c r="O246" s="25"/>
      <c r="R246" s="58">
        <f t="shared" si="0"/>
        <v>-6.0000000000000001E-3</v>
      </c>
    </row>
    <row r="247" spans="7:18">
      <c r="G247" s="25"/>
      <c r="O247" s="25"/>
      <c r="R247" s="58">
        <f t="shared" si="0"/>
        <v>-5.0000000000000001E-3</v>
      </c>
    </row>
    <row r="248" spans="7:18">
      <c r="G248" s="25"/>
      <c r="O248" s="25"/>
      <c r="R248" s="58">
        <f t="shared" si="0"/>
        <v>-4.0000000000000001E-3</v>
      </c>
    </row>
    <row r="249" spans="7:18">
      <c r="G249" s="25"/>
      <c r="O249" s="25"/>
      <c r="R249" s="58">
        <f t="shared" si="0"/>
        <v>-3.0000000000000001E-3</v>
      </c>
    </row>
    <row r="250" spans="7:18">
      <c r="G250" s="25"/>
      <c r="O250" s="25"/>
      <c r="R250" s="58">
        <f>R251-0.001</f>
        <v>-2E-3</v>
      </c>
    </row>
    <row r="251" spans="7:18">
      <c r="G251" s="25"/>
      <c r="O251" s="25"/>
      <c r="R251" s="58">
        <f>R252-0.001</f>
        <v>-1E-3</v>
      </c>
    </row>
    <row r="252" spans="7:18">
      <c r="G252" s="25"/>
      <c r="O252" s="25"/>
      <c r="R252" s="58">
        <v>0</v>
      </c>
    </row>
    <row r="253" spans="7:18">
      <c r="G253" s="25"/>
      <c r="O253" s="25"/>
      <c r="R253" s="25">
        <f>R252+0.001</f>
        <v>1E-3</v>
      </c>
    </row>
    <row r="254" spans="7:18">
      <c r="G254" s="25"/>
      <c r="O254" s="25"/>
      <c r="R254" s="25">
        <f>R253+0.001</f>
        <v>2E-3</v>
      </c>
    </row>
    <row r="255" spans="7:18">
      <c r="G255" s="25"/>
      <c r="O255" s="25"/>
      <c r="R255" s="25">
        <f>R254+0.001</f>
        <v>3.0000000000000001E-3</v>
      </c>
    </row>
    <row r="256" spans="7:18">
      <c r="G256" s="25"/>
      <c r="O256" s="25"/>
      <c r="R256" s="25">
        <f t="shared" ref="R256:R283" si="1">R255+0.001</f>
        <v>4.0000000000000001E-3</v>
      </c>
    </row>
    <row r="257" spans="7:18">
      <c r="G257" s="25"/>
      <c r="O257" s="25"/>
      <c r="R257" s="25">
        <f t="shared" si="1"/>
        <v>5.0000000000000001E-3</v>
      </c>
    </row>
    <row r="258" spans="7:18">
      <c r="G258" s="25"/>
      <c r="O258" s="25"/>
      <c r="R258" s="25">
        <f t="shared" si="1"/>
        <v>6.0000000000000001E-3</v>
      </c>
    </row>
    <row r="259" spans="7:18">
      <c r="G259" s="25"/>
      <c r="O259" s="25"/>
      <c r="R259" s="25">
        <f t="shared" si="1"/>
        <v>7.0000000000000001E-3</v>
      </c>
    </row>
    <row r="260" spans="7:18">
      <c r="G260" s="25"/>
      <c r="O260" s="25"/>
      <c r="R260" s="25">
        <f t="shared" si="1"/>
        <v>8.0000000000000002E-3</v>
      </c>
    </row>
    <row r="261" spans="7:18">
      <c r="G261" s="25"/>
      <c r="O261" s="25"/>
      <c r="R261" s="25">
        <f t="shared" si="1"/>
        <v>9.0000000000000011E-3</v>
      </c>
    </row>
    <row r="262" spans="7:18">
      <c r="G262" s="25"/>
      <c r="O262" s="25"/>
      <c r="R262" s="25">
        <f t="shared" si="1"/>
        <v>1.0000000000000002E-2</v>
      </c>
    </row>
    <row r="263" spans="7:18">
      <c r="G263" s="25"/>
      <c r="O263" s="25"/>
      <c r="R263" s="25">
        <f t="shared" si="1"/>
        <v>1.1000000000000003E-2</v>
      </c>
    </row>
    <row r="264" spans="7:18">
      <c r="G264" s="25"/>
      <c r="O264" s="25"/>
      <c r="R264" s="25">
        <f t="shared" si="1"/>
        <v>1.2000000000000004E-2</v>
      </c>
    </row>
    <row r="265" spans="7:18">
      <c r="G265" s="25"/>
      <c r="O265" s="25"/>
      <c r="R265" s="25">
        <f t="shared" si="1"/>
        <v>1.3000000000000005E-2</v>
      </c>
    </row>
    <row r="266" spans="7:18">
      <c r="G266" s="25"/>
      <c r="O266" s="25"/>
      <c r="R266" s="25">
        <f t="shared" si="1"/>
        <v>1.4000000000000005E-2</v>
      </c>
    </row>
    <row r="267" spans="7:18">
      <c r="G267" s="25"/>
      <c r="O267" s="25"/>
      <c r="R267" s="25">
        <f t="shared" si="1"/>
        <v>1.5000000000000006E-2</v>
      </c>
    </row>
    <row r="268" spans="7:18">
      <c r="G268" s="25"/>
      <c r="O268" s="25"/>
      <c r="R268" s="25">
        <f t="shared" si="1"/>
        <v>1.6000000000000007E-2</v>
      </c>
    </row>
    <row r="269" spans="7:18">
      <c r="G269" s="25"/>
      <c r="O269" s="25"/>
      <c r="R269" s="25">
        <f t="shared" si="1"/>
        <v>1.7000000000000008E-2</v>
      </c>
    </row>
    <row r="270" spans="7:18">
      <c r="G270" s="25"/>
      <c r="O270" s="25"/>
      <c r="R270" s="25">
        <f t="shared" si="1"/>
        <v>1.8000000000000009E-2</v>
      </c>
    </row>
    <row r="271" spans="7:18">
      <c r="G271" s="25"/>
      <c r="O271" s="25"/>
      <c r="R271" s="25">
        <f t="shared" si="1"/>
        <v>1.900000000000001E-2</v>
      </c>
    </row>
    <row r="272" spans="7:18">
      <c r="G272" s="25"/>
      <c r="O272" s="25"/>
      <c r="R272" s="25">
        <f t="shared" si="1"/>
        <v>2.0000000000000011E-2</v>
      </c>
    </row>
    <row r="273" spans="7:18">
      <c r="G273" s="25"/>
      <c r="O273" s="25"/>
      <c r="R273" s="25">
        <f t="shared" si="1"/>
        <v>2.1000000000000012E-2</v>
      </c>
    </row>
    <row r="274" spans="7:18">
      <c r="G274" s="25"/>
      <c r="O274" s="25"/>
      <c r="R274" s="25">
        <f t="shared" si="1"/>
        <v>2.2000000000000013E-2</v>
      </c>
    </row>
    <row r="275" spans="7:18">
      <c r="G275" s="25"/>
      <c r="O275" s="25"/>
      <c r="R275" s="25">
        <f t="shared" si="1"/>
        <v>2.3000000000000013E-2</v>
      </c>
    </row>
    <row r="276" spans="7:18">
      <c r="G276" s="25"/>
      <c r="O276" s="25"/>
      <c r="R276" s="25">
        <f t="shared" si="1"/>
        <v>2.4000000000000014E-2</v>
      </c>
    </row>
    <row r="277" spans="7:18">
      <c r="G277" s="25"/>
      <c r="O277" s="25"/>
      <c r="R277" s="25">
        <f t="shared" si="1"/>
        <v>2.5000000000000015E-2</v>
      </c>
    </row>
    <row r="278" spans="7:18">
      <c r="G278" s="25"/>
      <c r="O278" s="25"/>
      <c r="R278" s="25">
        <f t="shared" si="1"/>
        <v>2.6000000000000016E-2</v>
      </c>
    </row>
    <row r="279" spans="7:18">
      <c r="G279" s="25"/>
      <c r="O279" s="25"/>
      <c r="R279" s="25">
        <f t="shared" si="1"/>
        <v>2.7000000000000017E-2</v>
      </c>
    </row>
    <row r="280" spans="7:18">
      <c r="G280" s="25"/>
      <c r="O280" s="25"/>
      <c r="R280" s="25">
        <f t="shared" si="1"/>
        <v>2.8000000000000018E-2</v>
      </c>
    </row>
    <row r="281" spans="7:18">
      <c r="G281" s="25"/>
      <c r="O281" s="25"/>
      <c r="R281" s="25">
        <f t="shared" si="1"/>
        <v>2.9000000000000019E-2</v>
      </c>
    </row>
    <row r="282" spans="7:18">
      <c r="G282" s="25"/>
      <c r="O282" s="25"/>
      <c r="R282" s="25">
        <f t="shared" si="1"/>
        <v>3.000000000000002E-2</v>
      </c>
    </row>
    <row r="283" spans="7:18">
      <c r="G283" s="25"/>
      <c r="O283" s="25"/>
      <c r="R283" s="25">
        <f t="shared" si="1"/>
        <v>3.1000000000000021E-2</v>
      </c>
    </row>
    <row r="284" spans="7:18">
      <c r="G284" s="25"/>
      <c r="O284" s="25"/>
    </row>
    <row r="285" spans="7:18">
      <c r="G285" s="25"/>
      <c r="O285" s="25"/>
    </row>
    <row r="286" spans="7:18">
      <c r="G286" s="25"/>
      <c r="O286" s="25"/>
    </row>
    <row r="287" spans="7:18">
      <c r="G287" s="25"/>
      <c r="O287" s="25"/>
    </row>
    <row r="288" spans="7:18">
      <c r="G288" s="25"/>
      <c r="O288" s="25"/>
    </row>
    <row r="289" spans="7:15">
      <c r="G289" s="25"/>
      <c r="O289" s="25"/>
    </row>
    <row r="290" spans="7:15">
      <c r="G290" s="25"/>
      <c r="O290" s="25"/>
    </row>
    <row r="291" spans="7:15">
      <c r="G291" s="25"/>
      <c r="O291" s="25"/>
    </row>
    <row r="292" spans="7:15">
      <c r="G292" s="25"/>
      <c r="O292" s="25"/>
    </row>
    <row r="293" spans="7:15">
      <c r="G293" s="25"/>
      <c r="O293" s="25"/>
    </row>
    <row r="294" spans="7:15">
      <c r="G294" s="25"/>
      <c r="O294" s="25"/>
    </row>
    <row r="295" spans="7:15">
      <c r="G295" s="25"/>
      <c r="O295" s="25"/>
    </row>
    <row r="296" spans="7:15">
      <c r="G296" s="25"/>
      <c r="O296" s="25"/>
    </row>
    <row r="297" spans="7:15">
      <c r="G297" s="25"/>
      <c r="O297" s="25"/>
    </row>
    <row r="298" spans="7:15">
      <c r="G298" s="25"/>
      <c r="O298" s="25"/>
    </row>
    <row r="299" spans="7:15">
      <c r="G299" s="25"/>
      <c r="O299" s="25"/>
    </row>
    <row r="300" spans="7:15">
      <c r="G300" s="25"/>
      <c r="O300" s="25"/>
    </row>
    <row r="301" spans="7:15">
      <c r="G301" s="25"/>
      <c r="O301" s="25"/>
    </row>
    <row r="302" spans="7:15">
      <c r="G302" s="25"/>
      <c r="O302" s="25"/>
    </row>
    <row r="303" spans="7:15">
      <c r="G303" s="25"/>
      <c r="O303" s="25"/>
    </row>
    <row r="304" spans="7:15">
      <c r="G304" s="25"/>
      <c r="O304" s="25"/>
    </row>
    <row r="305" spans="7:15">
      <c r="G305" s="25"/>
      <c r="O305" s="25"/>
    </row>
    <row r="306" spans="7:15">
      <c r="G306" s="25"/>
      <c r="O306" s="25"/>
    </row>
    <row r="307" spans="7:15">
      <c r="G307" s="25"/>
      <c r="O307" s="25"/>
    </row>
    <row r="308" spans="7:15">
      <c r="G308" s="25"/>
      <c r="O308" s="25"/>
    </row>
    <row r="309" spans="7:15">
      <c r="G309" s="25"/>
      <c r="O309" s="25"/>
    </row>
    <row r="310" spans="7:15">
      <c r="G310" s="25"/>
      <c r="O310" s="25"/>
    </row>
    <row r="311" spans="7:15">
      <c r="G311" s="25"/>
      <c r="O311" s="25"/>
    </row>
    <row r="312" spans="7:15">
      <c r="G312" s="25"/>
      <c r="O312" s="25"/>
    </row>
    <row r="313" spans="7:15">
      <c r="G313" s="25"/>
      <c r="O313" s="25"/>
    </row>
    <row r="314" spans="7:15">
      <c r="G314" s="25"/>
      <c r="O314" s="25"/>
    </row>
    <row r="315" spans="7:15">
      <c r="G315" s="25"/>
      <c r="O315" s="25"/>
    </row>
    <row r="316" spans="7:15">
      <c r="G316" s="25"/>
      <c r="O316" s="25"/>
    </row>
    <row r="317" spans="7:15">
      <c r="G317" s="25"/>
      <c r="O317" s="25"/>
    </row>
    <row r="318" spans="7:15">
      <c r="G318" s="25"/>
      <c r="O318" s="25"/>
    </row>
    <row r="319" spans="7:15">
      <c r="G319" s="25"/>
      <c r="O319" s="25"/>
    </row>
    <row r="320" spans="7:15">
      <c r="G320" s="25"/>
      <c r="O320" s="25"/>
    </row>
    <row r="321" spans="7:15">
      <c r="G321" s="25"/>
      <c r="O321" s="25"/>
    </row>
    <row r="322" spans="7:15">
      <c r="G322" s="25"/>
      <c r="O322" s="25"/>
    </row>
    <row r="323" spans="7:15">
      <c r="G323" s="25"/>
      <c r="O323" s="25"/>
    </row>
    <row r="324" spans="7:15">
      <c r="G324" s="25"/>
      <c r="O324" s="25"/>
    </row>
    <row r="325" spans="7:15">
      <c r="G325" s="25"/>
      <c r="O325" s="25"/>
    </row>
    <row r="326" spans="7:15">
      <c r="G326" s="25"/>
      <c r="O326" s="25"/>
    </row>
    <row r="327" spans="7:15">
      <c r="G327" s="25"/>
      <c r="O327" s="25"/>
    </row>
    <row r="328" spans="7:15">
      <c r="G328" s="25"/>
      <c r="O328" s="25"/>
    </row>
    <row r="329" spans="7:15">
      <c r="G329" s="25"/>
      <c r="O329" s="25"/>
    </row>
    <row r="330" spans="7:15">
      <c r="G330" s="25"/>
      <c r="O330" s="25"/>
    </row>
    <row r="331" spans="7:15">
      <c r="G331" s="25"/>
      <c r="O331" s="25"/>
    </row>
    <row r="332" spans="7:15">
      <c r="G332" s="25"/>
      <c r="O332" s="25"/>
    </row>
    <row r="333" spans="7:15">
      <c r="G333" s="25"/>
      <c r="O333" s="25"/>
    </row>
    <row r="334" spans="7:15">
      <c r="G334" s="25"/>
      <c r="O334" s="25"/>
    </row>
    <row r="335" spans="7:15">
      <c r="G335" s="25"/>
      <c r="O335" s="25"/>
    </row>
    <row r="336" spans="7:15">
      <c r="G336" s="25"/>
      <c r="O336" s="25"/>
    </row>
    <row r="337" spans="7:15">
      <c r="G337" s="25"/>
      <c r="O337" s="25"/>
    </row>
    <row r="338" spans="7:15">
      <c r="G338" s="25"/>
      <c r="O338" s="25"/>
    </row>
    <row r="339" spans="7:15">
      <c r="G339" s="25"/>
      <c r="O339" s="25"/>
    </row>
    <row r="340" spans="7:15">
      <c r="G340" s="25"/>
      <c r="O340" s="25"/>
    </row>
    <row r="341" spans="7:15">
      <c r="G341" s="25"/>
      <c r="O341" s="25"/>
    </row>
    <row r="342" spans="7:15">
      <c r="G342" s="25"/>
      <c r="O342" s="25"/>
    </row>
    <row r="343" spans="7:15">
      <c r="G343" s="25"/>
      <c r="O343" s="25"/>
    </row>
    <row r="344" spans="7:15">
      <c r="G344" s="25"/>
      <c r="O344" s="25"/>
    </row>
    <row r="345" spans="7:15">
      <c r="G345" s="25"/>
      <c r="O345" s="25"/>
    </row>
    <row r="346" spans="7:15">
      <c r="G346" s="25"/>
      <c r="O346" s="25"/>
    </row>
    <row r="347" spans="7:15">
      <c r="G347" s="25"/>
      <c r="O347" s="25"/>
    </row>
    <row r="348" spans="7:15">
      <c r="G348" s="25"/>
      <c r="O348" s="25"/>
    </row>
    <row r="349" spans="7:15">
      <c r="G349" s="25"/>
      <c r="O349" s="25"/>
    </row>
    <row r="350" spans="7:15">
      <c r="G350" s="25"/>
      <c r="O350" s="25"/>
    </row>
    <row r="351" spans="7:15">
      <c r="G351" s="25"/>
      <c r="O351" s="25"/>
    </row>
    <row r="352" spans="7:15">
      <c r="G352" s="25"/>
      <c r="O352" s="25"/>
    </row>
    <row r="353" spans="7:15">
      <c r="G353" s="25"/>
      <c r="O353" s="25"/>
    </row>
    <row r="354" spans="7:15">
      <c r="G354" s="25"/>
      <c r="O354" s="25"/>
    </row>
    <row r="355" spans="7:15">
      <c r="G355" s="25"/>
      <c r="O355" s="25"/>
    </row>
    <row r="356" spans="7:15">
      <c r="G356" s="25"/>
      <c r="O356" s="25"/>
    </row>
    <row r="357" spans="7:15">
      <c r="G357" s="25"/>
      <c r="O357" s="25"/>
    </row>
    <row r="358" spans="7:15">
      <c r="G358" s="25"/>
      <c r="O358" s="25"/>
    </row>
    <row r="359" spans="7:15">
      <c r="G359" s="25"/>
      <c r="O359" s="25"/>
    </row>
    <row r="360" spans="7:15">
      <c r="G360" s="25"/>
      <c r="O360" s="25"/>
    </row>
    <row r="361" spans="7:15">
      <c r="G361" s="25"/>
      <c r="O361" s="25"/>
    </row>
    <row r="362" spans="7:15">
      <c r="G362" s="25"/>
      <c r="O362" s="25"/>
    </row>
    <row r="363" spans="7:15">
      <c r="G363" s="25"/>
      <c r="O363" s="25"/>
    </row>
    <row r="364" spans="7:15">
      <c r="G364" s="25"/>
      <c r="O364" s="25"/>
    </row>
    <row r="365" spans="7:15">
      <c r="G365" s="25"/>
      <c r="O365" s="25"/>
    </row>
    <row r="366" spans="7:15">
      <c r="G366" s="25"/>
      <c r="O366" s="25"/>
    </row>
    <row r="367" spans="7:15">
      <c r="G367" s="25"/>
      <c r="O367" s="25"/>
    </row>
    <row r="368" spans="7:15">
      <c r="G368" s="25"/>
      <c r="O368" s="25"/>
    </row>
    <row r="369" spans="7:15">
      <c r="G369" s="25"/>
      <c r="O369" s="25"/>
    </row>
    <row r="370" spans="7:15">
      <c r="G370" s="25"/>
      <c r="O370" s="25"/>
    </row>
    <row r="371" spans="7:15">
      <c r="G371" s="25"/>
      <c r="O371" s="25"/>
    </row>
    <row r="372" spans="7:15">
      <c r="G372" s="25"/>
      <c r="O372" s="25"/>
    </row>
    <row r="373" spans="7:15">
      <c r="G373" s="25"/>
      <c r="O373" s="25"/>
    </row>
    <row r="374" spans="7:15">
      <c r="G374" s="25"/>
      <c r="O374" s="25"/>
    </row>
    <row r="375" spans="7:15">
      <c r="G375" s="25"/>
      <c r="O375" s="25"/>
    </row>
    <row r="376" spans="7:15">
      <c r="G376" s="25"/>
      <c r="O376" s="25"/>
    </row>
    <row r="377" spans="7:15">
      <c r="G377" s="25"/>
      <c r="O377" s="25"/>
    </row>
    <row r="378" spans="7:15">
      <c r="G378" s="25"/>
      <c r="O378" s="25"/>
    </row>
    <row r="379" spans="7:15">
      <c r="G379" s="25"/>
      <c r="O379" s="25"/>
    </row>
    <row r="380" spans="7:15">
      <c r="G380" s="25"/>
      <c r="O380" s="25"/>
    </row>
    <row r="381" spans="7:15">
      <c r="G381" s="25"/>
      <c r="O381" s="25"/>
    </row>
    <row r="382" spans="7:15">
      <c r="G382" s="25"/>
      <c r="O382" s="25"/>
    </row>
    <row r="383" spans="7:15">
      <c r="G383" s="25"/>
      <c r="O383" s="25"/>
    </row>
    <row r="384" spans="7:15">
      <c r="G384" s="25"/>
      <c r="O384" s="25"/>
    </row>
    <row r="385" spans="7:15">
      <c r="G385" s="25"/>
      <c r="O385" s="25"/>
    </row>
    <row r="386" spans="7:15">
      <c r="G386" s="25"/>
      <c r="O386" s="25"/>
    </row>
    <row r="387" spans="7:15">
      <c r="G387" s="25"/>
      <c r="O387" s="25"/>
    </row>
    <row r="388" spans="7:15">
      <c r="G388" s="25"/>
      <c r="O388" s="25"/>
    </row>
    <row r="389" spans="7:15">
      <c r="G389" s="25"/>
      <c r="O389" s="25"/>
    </row>
    <row r="390" spans="7:15">
      <c r="G390" s="25"/>
      <c r="O390" s="25"/>
    </row>
    <row r="391" spans="7:15">
      <c r="G391" s="25"/>
      <c r="O391" s="25"/>
    </row>
    <row r="392" spans="7:15">
      <c r="G392" s="25"/>
      <c r="O392" s="25"/>
    </row>
    <row r="393" spans="7:15">
      <c r="G393" s="25"/>
      <c r="O393" s="25"/>
    </row>
    <row r="394" spans="7:15">
      <c r="G394" s="25"/>
      <c r="O394" s="25"/>
    </row>
    <row r="395" spans="7:15">
      <c r="G395" s="25"/>
      <c r="O395" s="25"/>
    </row>
    <row r="396" spans="7:15">
      <c r="G396" s="25"/>
      <c r="O396" s="25"/>
    </row>
    <row r="397" spans="7:15">
      <c r="G397" s="25"/>
      <c r="O397" s="25"/>
    </row>
    <row r="398" spans="7:15">
      <c r="G398" s="25"/>
      <c r="O398" s="25"/>
    </row>
    <row r="399" spans="7:15">
      <c r="G399" s="25"/>
      <c r="O399" s="25"/>
    </row>
    <row r="400" spans="7:15">
      <c r="G400" s="25"/>
      <c r="O400" s="25"/>
    </row>
    <row r="401" spans="7:15">
      <c r="G401" s="25"/>
      <c r="O401" s="25"/>
    </row>
    <row r="402" spans="7:15">
      <c r="G402" s="25"/>
      <c r="O402" s="25"/>
    </row>
    <row r="403" spans="7:15">
      <c r="G403" s="25"/>
      <c r="O403" s="25"/>
    </row>
    <row r="404" spans="7:15">
      <c r="G404" s="25"/>
      <c r="O404" s="25"/>
    </row>
    <row r="405" spans="7:15">
      <c r="G405" s="25"/>
      <c r="O405" s="25"/>
    </row>
    <row r="406" spans="7:15">
      <c r="G406" s="25"/>
      <c r="O406" s="25"/>
    </row>
    <row r="407" spans="7:15">
      <c r="G407" s="25"/>
      <c r="O407" s="25"/>
    </row>
    <row r="408" spans="7:15">
      <c r="G408" s="25"/>
      <c r="O408" s="25"/>
    </row>
    <row r="409" spans="7:15">
      <c r="G409" s="25"/>
      <c r="O409" s="25"/>
    </row>
    <row r="410" spans="7:15">
      <c r="G410" s="25"/>
      <c r="O410" s="25"/>
    </row>
    <row r="411" spans="7:15">
      <c r="G411" s="25"/>
      <c r="O411" s="25"/>
    </row>
    <row r="412" spans="7:15">
      <c r="G412" s="25"/>
      <c r="O412" s="25"/>
    </row>
    <row r="413" spans="7:15">
      <c r="G413" s="25"/>
      <c r="O413" s="25"/>
    </row>
    <row r="414" spans="7:15">
      <c r="G414" s="25"/>
      <c r="O414" s="25"/>
    </row>
    <row r="415" spans="7:15">
      <c r="G415" s="25"/>
      <c r="O415" s="25"/>
    </row>
    <row r="416" spans="7:15">
      <c r="G416" s="25"/>
      <c r="O416" s="25"/>
    </row>
    <row r="417" spans="7:15">
      <c r="G417" s="25"/>
      <c r="O417" s="25"/>
    </row>
    <row r="418" spans="7:15">
      <c r="G418" s="25"/>
      <c r="O418" s="25"/>
    </row>
    <row r="419" spans="7:15">
      <c r="G419" s="25"/>
      <c r="O419" s="25"/>
    </row>
    <row r="420" spans="7:15">
      <c r="G420" s="25"/>
      <c r="O420" s="25"/>
    </row>
    <row r="421" spans="7:15">
      <c r="G421" s="25"/>
      <c r="O421" s="25"/>
    </row>
    <row r="422" spans="7:15">
      <c r="G422" s="25"/>
      <c r="O422" s="25"/>
    </row>
    <row r="423" spans="7:15">
      <c r="G423" s="25"/>
      <c r="O423" s="25"/>
    </row>
    <row r="424" spans="7:15">
      <c r="G424" s="25"/>
      <c r="O424" s="25"/>
    </row>
    <row r="425" spans="7:15">
      <c r="G425" s="25"/>
      <c r="O425" s="25"/>
    </row>
    <row r="426" spans="7:15">
      <c r="G426" s="25"/>
      <c r="O426" s="25"/>
    </row>
    <row r="427" spans="7:15">
      <c r="G427" s="25"/>
      <c r="O427" s="25"/>
    </row>
    <row r="428" spans="7:15">
      <c r="G428" s="25"/>
      <c r="O428" s="25"/>
    </row>
    <row r="429" spans="7:15">
      <c r="G429" s="25"/>
      <c r="O429" s="25"/>
    </row>
    <row r="430" spans="7:15">
      <c r="G430" s="25"/>
      <c r="O430" s="25"/>
    </row>
    <row r="431" spans="7:15">
      <c r="G431" s="25"/>
      <c r="O431" s="25"/>
    </row>
    <row r="432" spans="7:15">
      <c r="G432" s="25"/>
      <c r="O432" s="25"/>
    </row>
    <row r="433" spans="7:15">
      <c r="G433" s="25"/>
      <c r="O433" s="25"/>
    </row>
    <row r="434" spans="7:15">
      <c r="G434" s="25"/>
      <c r="O434" s="25"/>
    </row>
    <row r="435" spans="7:15">
      <c r="G435" s="25"/>
      <c r="O435" s="25"/>
    </row>
    <row r="436" spans="7:15">
      <c r="G436" s="25"/>
      <c r="O436" s="25"/>
    </row>
    <row r="437" spans="7:15">
      <c r="G437" s="25"/>
      <c r="O437" s="25"/>
    </row>
    <row r="438" spans="7:15">
      <c r="G438" s="25"/>
      <c r="O438" s="25"/>
    </row>
    <row r="439" spans="7:15">
      <c r="G439" s="25"/>
      <c r="O439" s="25"/>
    </row>
    <row r="440" spans="7:15">
      <c r="G440" s="25"/>
      <c r="O440" s="25"/>
    </row>
    <row r="441" spans="7:15">
      <c r="G441" s="25"/>
      <c r="O441" s="25"/>
    </row>
    <row r="442" spans="7:15">
      <c r="G442" s="25"/>
      <c r="O442" s="25"/>
    </row>
    <row r="443" spans="7:15">
      <c r="G443" s="25"/>
      <c r="O443" s="25"/>
    </row>
    <row r="444" spans="7:15">
      <c r="G444" s="25"/>
      <c r="O444" s="25"/>
    </row>
    <row r="445" spans="7:15">
      <c r="G445" s="25"/>
      <c r="O445" s="25"/>
    </row>
    <row r="446" spans="7:15">
      <c r="G446" s="25"/>
      <c r="O446" s="25"/>
    </row>
    <row r="447" spans="7:15">
      <c r="G447" s="25"/>
      <c r="O447" s="25"/>
    </row>
    <row r="448" spans="7:15">
      <c r="G448" s="25"/>
      <c r="O448" s="25"/>
    </row>
    <row r="449" spans="7:15">
      <c r="G449" s="25"/>
      <c r="O449" s="25"/>
    </row>
    <row r="450" spans="7:15">
      <c r="G450" s="25"/>
      <c r="O450" s="25"/>
    </row>
    <row r="451" spans="7:15">
      <c r="G451" s="25"/>
      <c r="O451" s="25"/>
    </row>
    <row r="452" spans="7:15">
      <c r="G452" s="25"/>
      <c r="O452" s="25"/>
    </row>
    <row r="453" spans="7:15">
      <c r="G453" s="25"/>
      <c r="O453" s="25"/>
    </row>
    <row r="454" spans="7:15">
      <c r="G454" s="25"/>
      <c r="O454" s="25"/>
    </row>
    <row r="455" spans="7:15">
      <c r="G455" s="25"/>
      <c r="O455" s="25"/>
    </row>
    <row r="456" spans="7:15">
      <c r="G456" s="25"/>
      <c r="O456" s="25"/>
    </row>
    <row r="457" spans="7:15">
      <c r="G457" s="25"/>
      <c r="O457" s="25"/>
    </row>
    <row r="458" spans="7:15">
      <c r="G458" s="25"/>
      <c r="O458" s="25"/>
    </row>
    <row r="459" spans="7:15">
      <c r="G459" s="25"/>
      <c r="O459" s="25"/>
    </row>
    <row r="460" spans="7:15">
      <c r="G460" s="25"/>
      <c r="O460" s="25"/>
    </row>
    <row r="461" spans="7:15">
      <c r="G461" s="25"/>
      <c r="O461" s="25"/>
    </row>
    <row r="462" spans="7:15">
      <c r="G462" s="25"/>
      <c r="O462" s="25"/>
    </row>
    <row r="463" spans="7:15">
      <c r="G463" s="25"/>
      <c r="O463" s="25"/>
    </row>
    <row r="464" spans="7:15">
      <c r="G464" s="25"/>
      <c r="O464" s="25"/>
    </row>
    <row r="465" spans="7:15">
      <c r="G465" s="25"/>
      <c r="O465" s="25"/>
    </row>
    <row r="466" spans="7:15">
      <c r="G466" s="25"/>
      <c r="O466" s="25"/>
    </row>
    <row r="467" spans="7:15">
      <c r="G467" s="25"/>
      <c r="O467" s="25"/>
    </row>
    <row r="468" spans="7:15">
      <c r="G468" s="25"/>
      <c r="O468" s="25"/>
    </row>
    <row r="469" spans="7:15">
      <c r="G469" s="25"/>
      <c r="O469" s="25"/>
    </row>
    <row r="470" spans="7:15">
      <c r="G470" s="25"/>
      <c r="O470" s="25"/>
    </row>
    <row r="471" spans="7:15">
      <c r="G471" s="25"/>
      <c r="O471" s="25"/>
    </row>
    <row r="472" spans="7:15">
      <c r="G472" s="25"/>
      <c r="O472" s="25"/>
    </row>
    <row r="473" spans="7:15">
      <c r="G473" s="25"/>
      <c r="O473" s="25"/>
    </row>
    <row r="474" spans="7:15">
      <c r="G474" s="25"/>
      <c r="O474" s="25"/>
    </row>
    <row r="475" spans="7:15">
      <c r="G475" s="25"/>
      <c r="O475" s="25"/>
    </row>
    <row r="476" spans="7:15">
      <c r="G476" s="25"/>
      <c r="O476" s="25"/>
    </row>
    <row r="477" spans="7:15">
      <c r="G477" s="25"/>
      <c r="O477" s="25"/>
    </row>
    <row r="478" spans="7:15">
      <c r="G478" s="25"/>
      <c r="O478" s="25"/>
    </row>
    <row r="479" spans="7:15">
      <c r="G479" s="25"/>
      <c r="O479" s="25"/>
    </row>
    <row r="480" spans="7:15">
      <c r="G480" s="25"/>
      <c r="O480" s="25"/>
    </row>
    <row r="481" spans="7:15">
      <c r="G481" s="25"/>
      <c r="O481" s="25"/>
    </row>
    <row r="482" spans="7:15">
      <c r="G482" s="25"/>
      <c r="O482" s="25"/>
    </row>
    <row r="483" spans="7:15">
      <c r="G483" s="25"/>
      <c r="O483" s="25"/>
    </row>
    <row r="484" spans="7:15">
      <c r="G484" s="25"/>
      <c r="O484" s="25"/>
    </row>
    <row r="485" spans="7:15">
      <c r="G485" s="25"/>
      <c r="O485" s="25"/>
    </row>
    <row r="486" spans="7:15">
      <c r="G486" s="25"/>
      <c r="O486" s="25"/>
    </row>
    <row r="487" spans="7:15">
      <c r="G487" s="25"/>
      <c r="O487" s="25"/>
    </row>
    <row r="488" spans="7:15">
      <c r="G488" s="25"/>
      <c r="O488" s="25"/>
    </row>
    <row r="489" spans="7:15">
      <c r="G489" s="25"/>
      <c r="O489" s="25"/>
    </row>
    <row r="490" spans="7:15">
      <c r="G490" s="25"/>
      <c r="O490" s="25"/>
    </row>
    <row r="491" spans="7:15">
      <c r="G491" s="25"/>
      <c r="O491" s="25"/>
    </row>
    <row r="492" spans="7:15">
      <c r="G492" s="25"/>
      <c r="O492" s="25"/>
    </row>
    <row r="493" spans="7:15">
      <c r="G493" s="25"/>
      <c r="O493" s="25"/>
    </row>
    <row r="494" spans="7:15">
      <c r="G494" s="25"/>
      <c r="O494" s="25"/>
    </row>
    <row r="495" spans="7:15">
      <c r="G495" s="25"/>
      <c r="O495" s="25"/>
    </row>
    <row r="496" spans="7:15">
      <c r="G496" s="25"/>
      <c r="O496" s="25"/>
    </row>
    <row r="497" spans="7:15">
      <c r="G497" s="25"/>
      <c r="O497" s="25"/>
    </row>
    <row r="498" spans="7:15">
      <c r="G498" s="25"/>
      <c r="O498" s="25"/>
    </row>
    <row r="499" spans="7:15">
      <c r="G499" s="25"/>
      <c r="O499" s="25"/>
    </row>
    <row r="500" spans="7:15">
      <c r="G500" s="25"/>
      <c r="O500" s="25"/>
    </row>
    <row r="501" spans="7:15">
      <c r="G501" s="25"/>
      <c r="O501" s="25"/>
    </row>
    <row r="502" spans="7:15">
      <c r="G502" s="25"/>
      <c r="O502" s="25"/>
    </row>
    <row r="503" spans="7:15">
      <c r="G503" s="25"/>
      <c r="O503" s="25"/>
    </row>
    <row r="504" spans="7:15">
      <c r="G504" s="25"/>
      <c r="O504" s="25"/>
    </row>
    <row r="505" spans="7:15">
      <c r="G505" s="25"/>
      <c r="O505" s="25"/>
    </row>
    <row r="506" spans="7:15">
      <c r="G506" s="25"/>
      <c r="O506" s="25"/>
    </row>
    <row r="507" spans="7:15">
      <c r="G507" s="25"/>
      <c r="O507" s="25"/>
    </row>
    <row r="508" spans="7:15">
      <c r="G508" s="25"/>
      <c r="O508" s="25"/>
    </row>
    <row r="509" spans="7:15">
      <c r="G509" s="25"/>
      <c r="O509" s="25"/>
    </row>
    <row r="510" spans="7:15">
      <c r="G510" s="25"/>
      <c r="O510" s="25"/>
    </row>
    <row r="511" spans="7:15">
      <c r="G511" s="25"/>
      <c r="O511" s="25"/>
    </row>
    <row r="512" spans="7:15">
      <c r="G512" s="25"/>
      <c r="O512" s="25"/>
    </row>
    <row r="513" spans="7:15">
      <c r="G513" s="25"/>
      <c r="O513" s="25"/>
    </row>
    <row r="514" spans="7:15">
      <c r="G514" s="25"/>
      <c r="O514" s="25"/>
    </row>
    <row r="515" spans="7:15">
      <c r="G515" s="25"/>
      <c r="O515" s="25"/>
    </row>
    <row r="516" spans="7:15">
      <c r="G516" s="25"/>
      <c r="O516" s="25"/>
    </row>
    <row r="517" spans="7:15">
      <c r="G517" s="25"/>
      <c r="O517" s="25"/>
    </row>
    <row r="518" spans="7:15">
      <c r="G518" s="25"/>
      <c r="O518" s="25"/>
    </row>
    <row r="519" spans="7:15">
      <c r="G519" s="25"/>
      <c r="O519" s="25"/>
    </row>
    <row r="520" spans="7:15">
      <c r="G520" s="25"/>
      <c r="O520" s="25"/>
    </row>
    <row r="521" spans="7:15">
      <c r="G521" s="25"/>
      <c r="O521" s="25"/>
    </row>
    <row r="522" spans="7:15">
      <c r="G522" s="25"/>
      <c r="O522" s="25"/>
    </row>
    <row r="523" spans="7:15">
      <c r="G523" s="25"/>
      <c r="O523" s="25"/>
    </row>
    <row r="524" spans="7:15">
      <c r="G524" s="25"/>
      <c r="O524" s="25"/>
    </row>
    <row r="525" spans="7:15">
      <c r="G525" s="25"/>
      <c r="O525" s="25"/>
    </row>
    <row r="526" spans="7:15">
      <c r="G526" s="25"/>
      <c r="O526" s="25"/>
    </row>
    <row r="527" spans="7:15">
      <c r="G527" s="25"/>
      <c r="O527" s="25"/>
    </row>
    <row r="528" spans="7:15">
      <c r="G528" s="25"/>
      <c r="O528" s="25"/>
    </row>
    <row r="529" spans="7:15">
      <c r="G529" s="25"/>
      <c r="O529" s="25"/>
    </row>
    <row r="530" spans="7:15">
      <c r="G530" s="25"/>
      <c r="O530" s="25"/>
    </row>
    <row r="531" spans="7:15">
      <c r="G531" s="25"/>
      <c r="O531" s="25"/>
    </row>
    <row r="532" spans="7:15">
      <c r="G532" s="25"/>
      <c r="O532" s="25"/>
    </row>
    <row r="533" spans="7:15">
      <c r="G533" s="25"/>
      <c r="O533" s="25"/>
    </row>
    <row r="534" spans="7:15">
      <c r="G534" s="25"/>
      <c r="O534" s="25"/>
    </row>
    <row r="535" spans="7:15">
      <c r="G535" s="25"/>
      <c r="O535" s="25"/>
    </row>
    <row r="536" spans="7:15">
      <c r="G536" s="25"/>
      <c r="O536" s="25"/>
    </row>
    <row r="537" spans="7:15">
      <c r="G537" s="25"/>
      <c r="O537" s="25"/>
    </row>
    <row r="538" spans="7:15">
      <c r="G538" s="25"/>
      <c r="O538" s="25"/>
    </row>
    <row r="539" spans="7:15">
      <c r="G539" s="25"/>
      <c r="O539" s="25"/>
    </row>
    <row r="540" spans="7:15">
      <c r="G540" s="25"/>
      <c r="O540" s="25"/>
    </row>
    <row r="541" spans="7:15">
      <c r="G541" s="25"/>
      <c r="O541" s="25"/>
    </row>
    <row r="542" spans="7:15">
      <c r="G542" s="25"/>
      <c r="O542" s="25"/>
    </row>
    <row r="543" spans="7:15">
      <c r="G543" s="25"/>
      <c r="O543" s="25"/>
    </row>
    <row r="544" spans="7:15">
      <c r="G544" s="25"/>
      <c r="O544" s="25"/>
    </row>
    <row r="545" spans="7:15">
      <c r="G545" s="25"/>
      <c r="O545" s="25"/>
    </row>
    <row r="546" spans="7:15">
      <c r="G546" s="25"/>
      <c r="O546" s="25"/>
    </row>
    <row r="547" spans="7:15">
      <c r="G547" s="25"/>
      <c r="O547" s="25"/>
    </row>
    <row r="548" spans="7:15">
      <c r="G548" s="25"/>
      <c r="O548" s="25"/>
    </row>
    <row r="549" spans="7:15">
      <c r="G549" s="25"/>
      <c r="O549" s="25"/>
    </row>
    <row r="550" spans="7:15">
      <c r="G550" s="25"/>
      <c r="O550" s="25"/>
    </row>
    <row r="551" spans="7:15">
      <c r="G551" s="25"/>
      <c r="O551" s="25"/>
    </row>
    <row r="552" spans="7:15">
      <c r="G552" s="25"/>
      <c r="O552" s="25"/>
    </row>
    <row r="553" spans="7:15">
      <c r="G553" s="25"/>
      <c r="O553" s="25"/>
    </row>
    <row r="554" spans="7:15">
      <c r="G554" s="25"/>
      <c r="O554" s="25"/>
    </row>
    <row r="555" spans="7:15">
      <c r="G555" s="25"/>
      <c r="O555" s="25"/>
    </row>
    <row r="556" spans="7:15">
      <c r="G556" s="25"/>
      <c r="O556" s="25"/>
    </row>
    <row r="557" spans="7:15">
      <c r="G557" s="25"/>
      <c r="O557" s="25"/>
    </row>
    <row r="558" spans="7:15">
      <c r="G558" s="25"/>
      <c r="O558" s="25"/>
    </row>
    <row r="559" spans="7:15">
      <c r="G559" s="25"/>
      <c r="O559" s="25"/>
    </row>
    <row r="560" spans="7:15">
      <c r="G560" s="25"/>
      <c r="O560" s="25"/>
    </row>
    <row r="561" spans="7:15">
      <c r="G561" s="25"/>
      <c r="O561" s="25"/>
    </row>
    <row r="562" spans="7:15">
      <c r="G562" s="25"/>
      <c r="O562" s="25"/>
    </row>
    <row r="563" spans="7:15">
      <c r="G563" s="25"/>
      <c r="O563" s="25"/>
    </row>
    <row r="564" spans="7:15">
      <c r="G564" s="25"/>
      <c r="O564" s="25"/>
    </row>
    <row r="565" spans="7:15">
      <c r="G565" s="25"/>
      <c r="O565" s="25"/>
    </row>
    <row r="566" spans="7:15">
      <c r="G566" s="25"/>
      <c r="O566" s="25"/>
    </row>
    <row r="567" spans="7:15">
      <c r="G567" s="25"/>
      <c r="O567" s="25"/>
    </row>
    <row r="568" spans="7:15">
      <c r="G568" s="25"/>
      <c r="O568" s="25"/>
    </row>
    <row r="569" spans="7:15">
      <c r="G569" s="25"/>
      <c r="O569" s="25"/>
    </row>
    <row r="570" spans="7:15">
      <c r="G570" s="25"/>
      <c r="O570" s="25"/>
    </row>
    <row r="571" spans="7:15">
      <c r="G571" s="25"/>
      <c r="O571" s="25"/>
    </row>
    <row r="572" spans="7:15">
      <c r="G572" s="25"/>
      <c r="O572" s="25"/>
    </row>
    <row r="573" spans="7:15">
      <c r="G573" s="25"/>
      <c r="O573" s="25"/>
    </row>
    <row r="574" spans="7:15">
      <c r="G574" s="25"/>
      <c r="O574" s="25"/>
    </row>
    <row r="575" spans="7:15">
      <c r="G575" s="25"/>
      <c r="O575" s="25"/>
    </row>
    <row r="576" spans="7:15">
      <c r="G576" s="25"/>
      <c r="O576" s="25"/>
    </row>
    <row r="577" spans="7:15">
      <c r="G577" s="25"/>
      <c r="O577" s="25"/>
    </row>
    <row r="578" spans="7:15">
      <c r="G578" s="25"/>
      <c r="O578" s="25"/>
    </row>
    <row r="579" spans="7:15">
      <c r="G579" s="25"/>
      <c r="O579" s="25"/>
    </row>
    <row r="580" spans="7:15">
      <c r="G580" s="25"/>
      <c r="O580" s="25"/>
    </row>
    <row r="581" spans="7:15">
      <c r="G581" s="25"/>
      <c r="O581" s="25"/>
    </row>
    <row r="582" spans="7:15">
      <c r="G582" s="25"/>
      <c r="O582" s="25"/>
    </row>
    <row r="583" spans="7:15">
      <c r="G583" s="25"/>
      <c r="O583" s="25"/>
    </row>
    <row r="584" spans="7:15">
      <c r="G584" s="25"/>
      <c r="O584" s="25"/>
    </row>
    <row r="585" spans="7:15">
      <c r="G585" s="25"/>
      <c r="O585" s="25"/>
    </row>
    <row r="586" spans="7:15">
      <c r="G586" s="25"/>
      <c r="O586" s="25"/>
    </row>
    <row r="587" spans="7:15">
      <c r="G587" s="25"/>
      <c r="O587" s="25"/>
    </row>
    <row r="588" spans="7:15">
      <c r="G588" s="25"/>
      <c r="O588" s="25"/>
    </row>
    <row r="589" spans="7:15">
      <c r="G589" s="25"/>
      <c r="O589" s="25"/>
    </row>
    <row r="590" spans="7:15">
      <c r="G590" s="25"/>
      <c r="O590" s="25"/>
    </row>
    <row r="591" spans="7:15">
      <c r="G591" s="25"/>
      <c r="O591" s="25"/>
    </row>
    <row r="592" spans="7:15">
      <c r="G592" s="25"/>
      <c r="O592" s="25"/>
    </row>
    <row r="593" spans="7:15">
      <c r="G593" s="25"/>
      <c r="O593" s="25"/>
    </row>
    <row r="594" spans="7:15">
      <c r="G594" s="25"/>
      <c r="O594" s="25"/>
    </row>
    <row r="595" spans="7:15">
      <c r="G595" s="25"/>
      <c r="O595" s="25"/>
    </row>
    <row r="596" spans="7:15">
      <c r="G596" s="25"/>
      <c r="O596" s="25"/>
    </row>
    <row r="597" spans="7:15">
      <c r="G597" s="25"/>
      <c r="O597" s="25"/>
    </row>
    <row r="598" spans="7:15">
      <c r="G598" s="25"/>
      <c r="O598" s="25"/>
    </row>
    <row r="599" spans="7:15">
      <c r="G599" s="25"/>
      <c r="O599" s="25"/>
    </row>
    <row r="600" spans="7:15">
      <c r="G600" s="25"/>
      <c r="O600" s="25"/>
    </row>
    <row r="601" spans="7:15">
      <c r="G601" s="25"/>
      <c r="O601" s="25"/>
    </row>
    <row r="602" spans="7:15">
      <c r="G602" s="25"/>
      <c r="O602" s="25"/>
    </row>
    <row r="603" spans="7:15">
      <c r="G603" s="25"/>
      <c r="O603" s="25"/>
    </row>
    <row r="604" spans="7:15">
      <c r="G604" s="25"/>
      <c r="O604" s="25"/>
    </row>
    <row r="605" spans="7:15">
      <c r="G605" s="25"/>
      <c r="O605" s="25"/>
    </row>
    <row r="606" spans="7:15">
      <c r="G606" s="25"/>
      <c r="O606" s="25"/>
    </row>
    <row r="607" spans="7:15">
      <c r="G607" s="25"/>
      <c r="O607" s="25"/>
    </row>
    <row r="608" spans="7:15">
      <c r="G608" s="25"/>
      <c r="O608" s="25"/>
    </row>
    <row r="609" spans="7:15">
      <c r="G609" s="25"/>
      <c r="O609" s="25"/>
    </row>
    <row r="610" spans="7:15">
      <c r="G610" s="25"/>
      <c r="O610" s="25"/>
    </row>
    <row r="611" spans="7:15">
      <c r="G611" s="25"/>
      <c r="O611" s="25"/>
    </row>
    <row r="612" spans="7:15">
      <c r="G612" s="25"/>
      <c r="O612" s="25"/>
    </row>
    <row r="613" spans="7:15">
      <c r="G613" s="25"/>
      <c r="O613" s="25"/>
    </row>
    <row r="614" spans="7:15">
      <c r="G614" s="25"/>
      <c r="O614" s="25"/>
    </row>
    <row r="615" spans="7:15">
      <c r="G615" s="25"/>
      <c r="O615" s="25"/>
    </row>
    <row r="616" spans="7:15">
      <c r="G616" s="25"/>
      <c r="O616" s="25"/>
    </row>
    <row r="617" spans="7:15">
      <c r="G617" s="25"/>
      <c r="O617" s="25"/>
    </row>
    <row r="618" spans="7:15">
      <c r="G618" s="25"/>
      <c r="O618" s="25"/>
    </row>
    <row r="619" spans="7:15">
      <c r="G619" s="25"/>
      <c r="O619" s="25"/>
    </row>
    <row r="620" spans="7:15">
      <c r="G620" s="25"/>
      <c r="O620" s="25"/>
    </row>
    <row r="621" spans="7:15">
      <c r="G621" s="25"/>
      <c r="O621" s="25"/>
    </row>
    <row r="622" spans="7:15">
      <c r="G622" s="25"/>
      <c r="O622" s="25"/>
    </row>
    <row r="623" spans="7:15">
      <c r="G623" s="25"/>
      <c r="O623" s="25"/>
    </row>
    <row r="624" spans="7:15">
      <c r="G624" s="25"/>
      <c r="O624" s="25"/>
    </row>
    <row r="625" spans="7:15">
      <c r="G625" s="25"/>
      <c r="O625" s="25"/>
    </row>
    <row r="626" spans="7:15">
      <c r="G626" s="25"/>
      <c r="O626" s="25"/>
    </row>
    <row r="627" spans="7:15">
      <c r="G627" s="25"/>
      <c r="O627" s="25"/>
    </row>
    <row r="628" spans="7:15">
      <c r="G628" s="25"/>
      <c r="O628" s="25"/>
    </row>
    <row r="629" spans="7:15">
      <c r="G629" s="25"/>
      <c r="O629" s="25"/>
    </row>
    <row r="630" spans="7:15">
      <c r="G630" s="25"/>
      <c r="O630" s="25"/>
    </row>
    <row r="631" spans="7:15">
      <c r="G631" s="25"/>
      <c r="O631" s="25"/>
    </row>
    <row r="632" spans="7:15">
      <c r="G632" s="25"/>
      <c r="O632" s="25"/>
    </row>
    <row r="633" spans="7:15">
      <c r="G633" s="25"/>
      <c r="O633" s="25"/>
    </row>
    <row r="634" spans="7:15">
      <c r="G634" s="25"/>
      <c r="O634" s="25"/>
    </row>
    <row r="635" spans="7:15">
      <c r="G635" s="25"/>
      <c r="O635" s="25"/>
    </row>
    <row r="636" spans="7:15">
      <c r="G636" s="25"/>
      <c r="O636" s="25"/>
    </row>
    <row r="637" spans="7:15">
      <c r="G637" s="25"/>
      <c r="O637" s="25"/>
    </row>
    <row r="638" spans="7:15">
      <c r="G638" s="25"/>
      <c r="O638" s="25"/>
    </row>
    <row r="639" spans="7:15">
      <c r="G639" s="25"/>
      <c r="O639" s="25"/>
    </row>
    <row r="640" spans="7:15">
      <c r="G640" s="25"/>
      <c r="O640" s="25"/>
    </row>
    <row r="641" spans="7:15">
      <c r="G641" s="25"/>
      <c r="O641" s="25"/>
    </row>
    <row r="642" spans="7:15">
      <c r="G642" s="25"/>
      <c r="O642" s="25"/>
    </row>
    <row r="643" spans="7:15">
      <c r="G643" s="25"/>
      <c r="O643" s="25"/>
    </row>
    <row r="644" spans="7:15">
      <c r="G644" s="25"/>
      <c r="O644" s="25"/>
    </row>
    <row r="645" spans="7:15">
      <c r="G645" s="25"/>
      <c r="O645" s="25"/>
    </row>
    <row r="646" spans="7:15">
      <c r="G646" s="25"/>
      <c r="O646" s="25"/>
    </row>
    <row r="647" spans="7:15">
      <c r="G647" s="25"/>
      <c r="O647" s="25"/>
    </row>
    <row r="648" spans="7:15">
      <c r="G648" s="25"/>
      <c r="O648" s="25"/>
    </row>
    <row r="649" spans="7:15">
      <c r="G649" s="25"/>
      <c r="O649" s="25"/>
    </row>
    <row r="650" spans="7:15">
      <c r="G650" s="25"/>
      <c r="O650" s="25"/>
    </row>
    <row r="651" spans="7:15">
      <c r="G651" s="25"/>
      <c r="O651" s="25"/>
    </row>
    <row r="652" spans="7:15">
      <c r="G652" s="25"/>
      <c r="O652" s="25"/>
    </row>
    <row r="653" spans="7:15">
      <c r="G653" s="25"/>
      <c r="O653" s="25"/>
    </row>
    <row r="654" spans="7:15">
      <c r="G654" s="25"/>
      <c r="O654" s="25"/>
    </row>
    <row r="655" spans="7:15">
      <c r="G655" s="25"/>
      <c r="O655" s="25"/>
    </row>
    <row r="656" spans="7:15">
      <c r="G656" s="25"/>
      <c r="O656" s="25"/>
    </row>
    <row r="657" spans="7:15">
      <c r="G657" s="25"/>
      <c r="O657" s="25"/>
    </row>
    <row r="658" spans="7:15">
      <c r="G658" s="25"/>
      <c r="O658" s="25"/>
    </row>
    <row r="659" spans="7:15">
      <c r="G659" s="25"/>
      <c r="O659" s="25"/>
    </row>
    <row r="660" spans="7:15">
      <c r="G660" s="25"/>
      <c r="O660" s="25"/>
    </row>
    <row r="661" spans="7:15">
      <c r="G661" s="25"/>
      <c r="O661" s="25"/>
    </row>
    <row r="662" spans="7:15">
      <c r="G662" s="25"/>
      <c r="O662" s="25"/>
    </row>
    <row r="663" spans="7:15">
      <c r="G663" s="25"/>
      <c r="O663" s="25"/>
    </row>
    <row r="664" spans="7:15">
      <c r="G664" s="25"/>
      <c r="O664" s="25"/>
    </row>
    <row r="665" spans="7:15">
      <c r="G665" s="25"/>
      <c r="O665" s="25"/>
    </row>
    <row r="666" spans="7:15">
      <c r="G666" s="25"/>
      <c r="O666" s="25"/>
    </row>
    <row r="667" spans="7:15">
      <c r="G667" s="25"/>
      <c r="O667" s="25"/>
    </row>
    <row r="668" spans="7:15">
      <c r="G668" s="25"/>
      <c r="O668" s="25"/>
    </row>
    <row r="669" spans="7:15">
      <c r="G669" s="25"/>
      <c r="O669" s="25"/>
    </row>
    <row r="670" spans="7:15">
      <c r="G670" s="25"/>
      <c r="O670" s="25"/>
    </row>
    <row r="671" spans="7:15">
      <c r="G671" s="25"/>
      <c r="O671" s="25"/>
    </row>
    <row r="672" spans="7:15">
      <c r="G672" s="25"/>
      <c r="O672" s="25"/>
    </row>
    <row r="673" spans="7:15">
      <c r="G673" s="25"/>
      <c r="O673" s="25"/>
    </row>
    <row r="674" spans="7:15">
      <c r="G674" s="25"/>
      <c r="O674" s="25"/>
    </row>
    <row r="675" spans="7:15">
      <c r="G675" s="25"/>
      <c r="O675" s="25"/>
    </row>
    <row r="676" spans="7:15">
      <c r="G676" s="25"/>
      <c r="O676" s="25"/>
    </row>
    <row r="677" spans="7:15">
      <c r="G677" s="25"/>
      <c r="O677" s="25"/>
    </row>
    <row r="678" spans="7:15">
      <c r="G678" s="25"/>
      <c r="O678" s="25"/>
    </row>
    <row r="679" spans="7:15">
      <c r="G679" s="25"/>
      <c r="O679" s="25"/>
    </row>
    <row r="680" spans="7:15">
      <c r="G680" s="25"/>
      <c r="O680" s="25"/>
    </row>
    <row r="681" spans="7:15">
      <c r="G681" s="25"/>
      <c r="O681" s="25"/>
    </row>
    <row r="682" spans="7:15">
      <c r="G682" s="25"/>
      <c r="O682" s="25"/>
    </row>
    <row r="683" spans="7:15">
      <c r="G683" s="25"/>
      <c r="O683" s="25"/>
    </row>
    <row r="684" spans="7:15">
      <c r="G684" s="25"/>
      <c r="O684" s="25"/>
    </row>
    <row r="685" spans="7:15">
      <c r="G685" s="25"/>
      <c r="O685" s="25"/>
    </row>
    <row r="686" spans="7:15">
      <c r="G686" s="25"/>
      <c r="O686" s="25"/>
    </row>
    <row r="687" spans="7:15">
      <c r="G687" s="25"/>
      <c r="O687" s="25"/>
    </row>
    <row r="688" spans="7:15">
      <c r="G688" s="25"/>
      <c r="O688" s="25"/>
    </row>
    <row r="689" spans="7:15">
      <c r="G689" s="25"/>
      <c r="O689" s="25"/>
    </row>
    <row r="690" spans="7:15">
      <c r="G690" s="25"/>
      <c r="O690" s="25"/>
    </row>
    <row r="691" spans="7:15">
      <c r="G691" s="25"/>
      <c r="O691" s="25"/>
    </row>
    <row r="692" spans="7:15">
      <c r="G692" s="25"/>
      <c r="O692" s="25"/>
    </row>
    <row r="693" spans="7:15">
      <c r="G693" s="25"/>
      <c r="O693" s="25"/>
    </row>
    <row r="694" spans="7:15">
      <c r="G694" s="25"/>
      <c r="O694" s="25"/>
    </row>
    <row r="695" spans="7:15">
      <c r="G695" s="25"/>
      <c r="O695" s="25"/>
    </row>
    <row r="696" spans="7:15">
      <c r="G696" s="25"/>
      <c r="O696" s="25"/>
    </row>
    <row r="697" spans="7:15">
      <c r="G697" s="25"/>
      <c r="O697" s="25"/>
    </row>
    <row r="698" spans="7:15">
      <c r="G698" s="25"/>
      <c r="O698" s="25"/>
    </row>
    <row r="699" spans="7:15">
      <c r="G699" s="25"/>
      <c r="O699" s="25"/>
    </row>
    <row r="700" spans="7:15">
      <c r="G700" s="25"/>
      <c r="O700" s="25"/>
    </row>
    <row r="701" spans="7:15">
      <c r="G701" s="25"/>
      <c r="O701" s="25"/>
    </row>
    <row r="702" spans="7:15">
      <c r="G702" s="25"/>
      <c r="O702" s="25"/>
    </row>
    <row r="703" spans="7:15">
      <c r="G703" s="25"/>
      <c r="O703" s="25"/>
    </row>
    <row r="704" spans="7:15">
      <c r="G704" s="25"/>
      <c r="O704" s="25"/>
    </row>
    <row r="705" spans="7:15">
      <c r="G705" s="25"/>
      <c r="O705" s="25"/>
    </row>
    <row r="706" spans="7:15">
      <c r="G706" s="25"/>
      <c r="O706" s="25"/>
    </row>
    <row r="707" spans="7:15">
      <c r="G707" s="25"/>
      <c r="O707" s="25"/>
    </row>
    <row r="708" spans="7:15">
      <c r="G708" s="25"/>
      <c r="O708" s="25"/>
    </row>
    <row r="709" spans="7:15">
      <c r="G709" s="25"/>
      <c r="O709" s="25"/>
    </row>
    <row r="710" spans="7:15">
      <c r="G710" s="25"/>
      <c r="O710" s="25"/>
    </row>
    <row r="711" spans="7:15">
      <c r="G711" s="25"/>
      <c r="O711" s="25"/>
    </row>
    <row r="712" spans="7:15">
      <c r="G712" s="25"/>
      <c r="O712" s="25"/>
    </row>
    <row r="713" spans="7:15">
      <c r="G713" s="25"/>
      <c r="O713" s="25"/>
    </row>
    <row r="714" spans="7:15">
      <c r="G714" s="25"/>
      <c r="O714" s="25"/>
    </row>
    <row r="715" spans="7:15">
      <c r="G715" s="25"/>
      <c r="O715" s="25"/>
    </row>
    <row r="716" spans="7:15">
      <c r="G716" s="25"/>
      <c r="O716" s="25"/>
    </row>
    <row r="717" spans="7:15">
      <c r="G717" s="25"/>
      <c r="O717" s="25"/>
    </row>
    <row r="718" spans="7:15">
      <c r="G718" s="25"/>
      <c r="O718" s="25"/>
    </row>
    <row r="719" spans="7:15">
      <c r="G719" s="25"/>
      <c r="O719" s="25"/>
    </row>
    <row r="720" spans="7:15">
      <c r="G720" s="25"/>
      <c r="O720" s="25"/>
    </row>
    <row r="721" spans="7:15">
      <c r="G721" s="25"/>
      <c r="O721" s="25"/>
    </row>
    <row r="722" spans="7:15">
      <c r="G722" s="25"/>
      <c r="O722" s="25"/>
    </row>
    <row r="723" spans="7:15">
      <c r="G723" s="25"/>
      <c r="O723" s="25"/>
    </row>
    <row r="724" spans="7:15">
      <c r="G724" s="25"/>
      <c r="O724" s="25"/>
    </row>
    <row r="725" spans="7:15">
      <c r="G725" s="25"/>
      <c r="O725" s="25"/>
    </row>
    <row r="726" spans="7:15">
      <c r="G726" s="25"/>
      <c r="O726" s="25"/>
    </row>
    <row r="727" spans="7:15">
      <c r="G727" s="25"/>
      <c r="O727" s="25"/>
    </row>
    <row r="728" spans="7:15">
      <c r="G728" s="25"/>
      <c r="O728" s="25"/>
    </row>
    <row r="729" spans="7:15">
      <c r="G729" s="25"/>
      <c r="O729" s="25"/>
    </row>
    <row r="730" spans="7:15">
      <c r="G730" s="25"/>
      <c r="O730" s="25"/>
    </row>
    <row r="731" spans="7:15">
      <c r="G731" s="25"/>
      <c r="O731" s="25"/>
    </row>
    <row r="732" spans="7:15">
      <c r="G732" s="25"/>
      <c r="O732" s="25"/>
    </row>
    <row r="733" spans="7:15">
      <c r="G733" s="25"/>
      <c r="O733" s="25"/>
    </row>
    <row r="734" spans="7:15">
      <c r="G734" s="25"/>
      <c r="O734" s="25"/>
    </row>
    <row r="735" spans="7:15">
      <c r="G735" s="25"/>
      <c r="O735" s="25"/>
    </row>
    <row r="736" spans="7:15">
      <c r="G736" s="25"/>
      <c r="O736" s="25"/>
    </row>
    <row r="737" spans="7:15">
      <c r="G737" s="25"/>
      <c r="O737" s="25"/>
    </row>
    <row r="738" spans="7:15">
      <c r="G738" s="25"/>
      <c r="O738" s="25"/>
    </row>
    <row r="739" spans="7:15">
      <c r="G739" s="25"/>
      <c r="O739" s="25"/>
    </row>
    <row r="740" spans="7:15">
      <c r="G740" s="25"/>
      <c r="O740" s="25"/>
    </row>
    <row r="741" spans="7:15">
      <c r="G741" s="25"/>
      <c r="O741" s="25"/>
    </row>
    <row r="742" spans="7:15">
      <c r="G742" s="25"/>
      <c r="O742" s="25"/>
    </row>
    <row r="743" spans="7:15">
      <c r="G743" s="25"/>
      <c r="O743" s="25"/>
    </row>
    <row r="744" spans="7:15">
      <c r="G744" s="25"/>
      <c r="O744" s="25"/>
    </row>
    <row r="745" spans="7:15">
      <c r="G745" s="25"/>
      <c r="O745" s="25"/>
    </row>
    <row r="746" spans="7:15">
      <c r="G746" s="25"/>
      <c r="O746" s="25"/>
    </row>
    <row r="747" spans="7:15">
      <c r="G747" s="25"/>
      <c r="O747" s="25"/>
    </row>
    <row r="748" spans="7:15">
      <c r="G748" s="25"/>
      <c r="O748" s="25"/>
    </row>
    <row r="749" spans="7:15">
      <c r="G749" s="25"/>
      <c r="O749" s="25"/>
    </row>
    <row r="750" spans="7:15">
      <c r="G750" s="25"/>
      <c r="O750" s="25"/>
    </row>
    <row r="751" spans="7:15">
      <c r="G751" s="25"/>
      <c r="O751" s="25"/>
    </row>
    <row r="752" spans="7:15">
      <c r="G752" s="25"/>
      <c r="O752" s="25"/>
    </row>
    <row r="753" spans="7:15">
      <c r="G753" s="25"/>
      <c r="O753" s="25"/>
    </row>
    <row r="754" spans="7:15">
      <c r="G754" s="25"/>
      <c r="O754" s="25"/>
    </row>
    <row r="755" spans="7:15">
      <c r="G755" s="25"/>
      <c r="O755" s="25"/>
    </row>
    <row r="756" spans="7:15">
      <c r="G756" s="25"/>
      <c r="O756" s="25"/>
    </row>
    <row r="757" spans="7:15">
      <c r="G757" s="25"/>
      <c r="O757" s="25"/>
    </row>
    <row r="758" spans="7:15">
      <c r="G758" s="25"/>
      <c r="O758" s="25"/>
    </row>
    <row r="759" spans="7:15">
      <c r="G759" s="25"/>
      <c r="O759" s="25"/>
    </row>
    <row r="760" spans="7:15">
      <c r="G760" s="25"/>
      <c r="O760" s="25"/>
    </row>
    <row r="761" spans="7:15">
      <c r="G761" s="25"/>
      <c r="O761" s="25"/>
    </row>
    <row r="762" spans="7:15">
      <c r="G762" s="25"/>
      <c r="O762" s="25"/>
    </row>
    <row r="763" spans="7:15">
      <c r="G763" s="25"/>
      <c r="O763" s="25"/>
    </row>
    <row r="764" spans="7:15">
      <c r="G764" s="25"/>
      <c r="O764" s="25"/>
    </row>
    <row r="765" spans="7:15">
      <c r="G765" s="25"/>
      <c r="O765" s="25"/>
    </row>
    <row r="766" spans="7:15">
      <c r="G766" s="25"/>
      <c r="O766" s="25"/>
    </row>
    <row r="767" spans="7:15">
      <c r="G767" s="25"/>
      <c r="O767" s="25"/>
    </row>
    <row r="768" spans="7:15">
      <c r="G768" s="25"/>
      <c r="O768" s="25"/>
    </row>
    <row r="769" spans="7:15">
      <c r="G769" s="25"/>
      <c r="O769" s="25"/>
    </row>
    <row r="770" spans="7:15">
      <c r="G770" s="25"/>
      <c r="O770" s="25"/>
    </row>
    <row r="771" spans="7:15">
      <c r="G771" s="25"/>
      <c r="O771" s="25"/>
    </row>
    <row r="772" spans="7:15">
      <c r="G772" s="25"/>
      <c r="O772" s="25"/>
    </row>
    <row r="773" spans="7:15">
      <c r="G773" s="25"/>
      <c r="O773" s="25"/>
    </row>
    <row r="774" spans="7:15">
      <c r="G774" s="25"/>
      <c r="O774" s="25"/>
    </row>
    <row r="775" spans="7:15">
      <c r="G775" s="25"/>
      <c r="O775" s="25"/>
    </row>
    <row r="776" spans="7:15">
      <c r="G776" s="25"/>
      <c r="O776" s="25"/>
    </row>
    <row r="777" spans="7:15">
      <c r="G777" s="25"/>
      <c r="O777" s="25"/>
    </row>
    <row r="778" spans="7:15">
      <c r="G778" s="25"/>
      <c r="O778" s="25"/>
    </row>
    <row r="779" spans="7:15">
      <c r="G779" s="25"/>
      <c r="O779" s="25"/>
    </row>
    <row r="780" spans="7:15">
      <c r="G780" s="25"/>
      <c r="O780" s="25"/>
    </row>
    <row r="781" spans="7:15">
      <c r="G781" s="25"/>
      <c r="O781" s="25"/>
    </row>
    <row r="782" spans="7:15">
      <c r="G782" s="25"/>
      <c r="O782" s="25"/>
    </row>
    <row r="783" spans="7:15">
      <c r="G783" s="25"/>
      <c r="O783" s="25"/>
    </row>
    <row r="784" spans="7:15">
      <c r="G784" s="25"/>
      <c r="O784" s="25"/>
    </row>
    <row r="785" spans="7:15">
      <c r="G785" s="25"/>
      <c r="O785" s="25"/>
    </row>
    <row r="786" spans="7:15">
      <c r="G786" s="25"/>
      <c r="O786" s="25"/>
    </row>
    <row r="787" spans="7:15">
      <c r="G787" s="25"/>
      <c r="O787" s="25"/>
    </row>
    <row r="788" spans="7:15">
      <c r="G788" s="25"/>
      <c r="O788" s="25"/>
    </row>
    <row r="789" spans="7:15">
      <c r="G789" s="25"/>
      <c r="O789" s="25"/>
    </row>
    <row r="790" spans="7:15">
      <c r="G790" s="25"/>
      <c r="O790" s="25"/>
    </row>
    <row r="791" spans="7:15">
      <c r="G791" s="25"/>
      <c r="O791" s="25"/>
    </row>
    <row r="792" spans="7:15">
      <c r="G792" s="25"/>
      <c r="O792" s="25"/>
    </row>
    <row r="793" spans="7:15">
      <c r="G793" s="25"/>
      <c r="O793" s="25"/>
    </row>
    <row r="794" spans="7:15">
      <c r="G794" s="25"/>
      <c r="O794" s="25"/>
    </row>
    <row r="795" spans="7:15">
      <c r="G795" s="25"/>
      <c r="O795" s="25"/>
    </row>
    <row r="796" spans="7:15">
      <c r="G796" s="25"/>
      <c r="O796" s="25"/>
    </row>
    <row r="797" spans="7:15">
      <c r="G797" s="25"/>
      <c r="O797" s="25"/>
    </row>
    <row r="798" spans="7:15">
      <c r="G798" s="25"/>
      <c r="O798" s="25"/>
    </row>
    <row r="799" spans="7:15">
      <c r="G799" s="25"/>
      <c r="O799" s="25"/>
    </row>
    <row r="800" spans="7:15">
      <c r="G800" s="25"/>
      <c r="O800" s="25"/>
    </row>
    <row r="801" spans="7:15">
      <c r="G801" s="25"/>
      <c r="O801" s="25"/>
    </row>
    <row r="802" spans="7:15">
      <c r="G802" s="25"/>
      <c r="O802" s="25"/>
    </row>
    <row r="803" spans="7:15">
      <c r="G803" s="25"/>
      <c r="O803" s="25"/>
    </row>
    <row r="804" spans="7:15">
      <c r="G804" s="25"/>
      <c r="O804" s="25"/>
    </row>
    <row r="805" spans="7:15">
      <c r="G805" s="25"/>
      <c r="O805" s="25"/>
    </row>
    <row r="806" spans="7:15">
      <c r="G806" s="25"/>
      <c r="O806" s="25"/>
    </row>
    <row r="807" spans="7:15">
      <c r="G807" s="25"/>
      <c r="O807" s="25"/>
    </row>
    <row r="808" spans="7:15">
      <c r="G808" s="25"/>
      <c r="O808" s="25"/>
    </row>
    <row r="809" spans="7:15">
      <c r="G809" s="25"/>
      <c r="O809" s="25"/>
    </row>
    <row r="810" spans="7:15">
      <c r="G810" s="25"/>
      <c r="O810" s="25"/>
    </row>
    <row r="811" spans="7:15">
      <c r="G811" s="25"/>
      <c r="O811" s="25"/>
    </row>
    <row r="812" spans="7:15">
      <c r="G812" s="25"/>
      <c r="O812" s="25"/>
    </row>
    <row r="813" spans="7:15">
      <c r="G813" s="25"/>
      <c r="O813" s="25"/>
    </row>
    <row r="814" spans="7:15">
      <c r="G814" s="25"/>
      <c r="O814" s="25"/>
    </row>
    <row r="815" spans="7:15">
      <c r="G815" s="25"/>
      <c r="O815" s="25"/>
    </row>
    <row r="816" spans="7:15">
      <c r="G816" s="25"/>
      <c r="O816" s="25"/>
    </row>
    <row r="817" spans="7:15">
      <c r="G817" s="25"/>
      <c r="O817" s="25"/>
    </row>
    <row r="818" spans="7:15">
      <c r="G818" s="25"/>
      <c r="O818" s="25"/>
    </row>
    <row r="819" spans="7:15">
      <c r="G819" s="25"/>
      <c r="O819" s="25"/>
    </row>
    <row r="820" spans="7:15">
      <c r="G820" s="25"/>
      <c r="O820" s="25"/>
    </row>
    <row r="821" spans="7:15">
      <c r="G821" s="25"/>
      <c r="O821" s="25"/>
    </row>
    <row r="822" spans="7:15">
      <c r="G822" s="25"/>
      <c r="O822" s="25"/>
    </row>
    <row r="823" spans="7:15">
      <c r="G823" s="25"/>
      <c r="O823" s="25"/>
    </row>
    <row r="824" spans="7:15">
      <c r="G824" s="25"/>
      <c r="O824" s="25"/>
    </row>
    <row r="825" spans="7:15">
      <c r="G825" s="25"/>
      <c r="O825" s="25"/>
    </row>
    <row r="826" spans="7:15">
      <c r="G826" s="25"/>
      <c r="O826" s="25"/>
    </row>
    <row r="827" spans="7:15">
      <c r="G827" s="25"/>
      <c r="O827" s="25"/>
    </row>
    <row r="828" spans="7:15">
      <c r="G828" s="25"/>
      <c r="O828" s="25"/>
    </row>
    <row r="829" spans="7:15">
      <c r="G829" s="25"/>
      <c r="O829" s="25"/>
    </row>
    <row r="830" spans="7:15">
      <c r="G830" s="25"/>
      <c r="O830" s="25"/>
    </row>
    <row r="831" spans="7:15">
      <c r="G831" s="25"/>
      <c r="O831" s="25"/>
    </row>
    <row r="832" spans="7:15">
      <c r="G832" s="25"/>
      <c r="O832" s="25"/>
    </row>
    <row r="833" spans="7:15">
      <c r="G833" s="25"/>
      <c r="O833" s="25"/>
    </row>
    <row r="834" spans="7:15">
      <c r="G834" s="25"/>
      <c r="O834" s="25"/>
    </row>
    <row r="835" spans="7:15">
      <c r="G835" s="25"/>
      <c r="O835" s="25"/>
    </row>
    <row r="836" spans="7:15">
      <c r="G836" s="25"/>
      <c r="O836" s="25"/>
    </row>
    <row r="837" spans="7:15">
      <c r="G837" s="25"/>
      <c r="O837" s="25"/>
    </row>
    <row r="838" spans="7:15">
      <c r="G838" s="25"/>
      <c r="O838" s="25"/>
    </row>
    <row r="839" spans="7:15">
      <c r="G839" s="25"/>
      <c r="O839" s="25"/>
    </row>
    <row r="840" spans="7:15">
      <c r="G840" s="25"/>
      <c r="O840" s="25"/>
    </row>
    <row r="841" spans="7:15">
      <c r="G841" s="25"/>
      <c r="O841" s="25"/>
    </row>
    <row r="842" spans="7:15">
      <c r="G842" s="25"/>
      <c r="O842" s="25"/>
    </row>
    <row r="843" spans="7:15">
      <c r="G843" s="25"/>
      <c r="O843" s="25"/>
    </row>
    <row r="844" spans="7:15">
      <c r="G844" s="25"/>
      <c r="O844" s="25"/>
    </row>
    <row r="845" spans="7:15">
      <c r="G845" s="25"/>
      <c r="O845" s="25"/>
    </row>
    <row r="846" spans="7:15">
      <c r="G846" s="25"/>
      <c r="O846" s="25"/>
    </row>
    <row r="847" spans="7:15">
      <c r="G847" s="25"/>
      <c r="O847" s="25"/>
    </row>
    <row r="848" spans="7:15">
      <c r="G848" s="25"/>
      <c r="O848" s="25"/>
    </row>
    <row r="849" spans="7:15">
      <c r="G849" s="25"/>
      <c r="O849" s="25"/>
    </row>
    <row r="850" spans="7:15">
      <c r="G850" s="25"/>
      <c r="O850" s="25"/>
    </row>
    <row r="851" spans="7:15">
      <c r="G851" s="25"/>
      <c r="O851" s="25"/>
    </row>
    <row r="852" spans="7:15">
      <c r="G852" s="25"/>
      <c r="O852" s="25"/>
    </row>
    <row r="853" spans="7:15">
      <c r="G853" s="25"/>
      <c r="O853" s="25"/>
    </row>
    <row r="854" spans="7:15">
      <c r="G854" s="25"/>
      <c r="O854" s="25"/>
    </row>
    <row r="855" spans="7:15">
      <c r="G855" s="25"/>
      <c r="O855" s="25"/>
    </row>
    <row r="856" spans="7:15">
      <c r="G856" s="25"/>
      <c r="O856" s="25"/>
    </row>
    <row r="857" spans="7:15">
      <c r="G857" s="25"/>
      <c r="O857" s="25"/>
    </row>
    <row r="858" spans="7:15">
      <c r="G858" s="25"/>
      <c r="O858" s="25"/>
    </row>
    <row r="859" spans="7:15">
      <c r="G859" s="25"/>
      <c r="O859" s="25"/>
    </row>
    <row r="860" spans="7:15">
      <c r="G860" s="25"/>
      <c r="O860" s="25"/>
    </row>
    <row r="861" spans="7:15">
      <c r="G861" s="25"/>
      <c r="O861" s="25"/>
    </row>
    <row r="862" spans="7:15">
      <c r="G862" s="25"/>
      <c r="O862" s="25"/>
    </row>
    <row r="863" spans="7:15">
      <c r="G863" s="25"/>
      <c r="O863" s="25"/>
    </row>
    <row r="864" spans="7:15">
      <c r="G864" s="25"/>
      <c r="O864" s="25"/>
    </row>
    <row r="865" spans="7:15">
      <c r="G865" s="25"/>
      <c r="O865" s="25"/>
    </row>
    <row r="866" spans="7:15">
      <c r="G866" s="25"/>
      <c r="O866" s="25"/>
    </row>
    <row r="867" spans="7:15">
      <c r="G867" s="25"/>
      <c r="O867" s="25"/>
    </row>
    <row r="868" spans="7:15">
      <c r="G868" s="25"/>
      <c r="O868" s="25"/>
    </row>
    <row r="869" spans="7:15">
      <c r="G869" s="25"/>
      <c r="O869" s="25"/>
    </row>
    <row r="870" spans="7:15">
      <c r="G870" s="25"/>
      <c r="O870" s="25"/>
    </row>
    <row r="871" spans="7:15">
      <c r="G871" s="25"/>
      <c r="O871" s="25"/>
    </row>
    <row r="872" spans="7:15">
      <c r="G872" s="25"/>
      <c r="O872" s="25"/>
    </row>
    <row r="873" spans="7:15">
      <c r="G873" s="25"/>
      <c r="O873" s="25"/>
    </row>
    <row r="874" spans="7:15">
      <c r="G874" s="25"/>
      <c r="O874" s="25"/>
    </row>
    <row r="875" spans="7:15">
      <c r="G875" s="25"/>
      <c r="O875" s="25"/>
    </row>
    <row r="876" spans="7:15">
      <c r="G876" s="25"/>
      <c r="O876" s="25"/>
    </row>
    <row r="877" spans="7:15">
      <c r="G877" s="25"/>
      <c r="O877" s="25"/>
    </row>
    <row r="878" spans="7:15">
      <c r="G878" s="25"/>
      <c r="O878" s="25"/>
    </row>
    <row r="879" spans="7:15">
      <c r="G879" s="25"/>
      <c r="O879" s="25"/>
    </row>
    <row r="880" spans="7:15">
      <c r="G880" s="25"/>
      <c r="O880" s="25"/>
    </row>
    <row r="881" spans="7:15">
      <c r="G881" s="25"/>
      <c r="O881" s="25"/>
    </row>
    <row r="882" spans="7:15">
      <c r="G882" s="25"/>
      <c r="O882" s="25"/>
    </row>
    <row r="883" spans="7:15">
      <c r="G883" s="25"/>
      <c r="O883" s="25"/>
    </row>
    <row r="884" spans="7:15">
      <c r="G884" s="25"/>
      <c r="O884" s="25"/>
    </row>
    <row r="885" spans="7:15">
      <c r="G885" s="25"/>
      <c r="O885" s="25"/>
    </row>
    <row r="886" spans="7:15">
      <c r="G886" s="25"/>
      <c r="O886" s="25"/>
    </row>
    <row r="887" spans="7:15">
      <c r="G887" s="25"/>
      <c r="O887" s="25"/>
    </row>
    <row r="888" spans="7:15">
      <c r="G888" s="25"/>
      <c r="O888" s="25"/>
    </row>
    <row r="889" spans="7:15">
      <c r="G889" s="25"/>
      <c r="O889" s="25"/>
    </row>
    <row r="890" spans="7:15">
      <c r="G890" s="25"/>
      <c r="O890" s="25"/>
    </row>
    <row r="891" spans="7:15">
      <c r="G891" s="25"/>
      <c r="O891" s="25"/>
    </row>
    <row r="892" spans="7:15">
      <c r="G892" s="25"/>
      <c r="O892" s="25"/>
    </row>
    <row r="893" spans="7:15">
      <c r="G893" s="25"/>
      <c r="O893" s="25"/>
    </row>
    <row r="894" spans="7:15">
      <c r="G894" s="25"/>
      <c r="O894" s="25"/>
    </row>
    <row r="895" spans="7:15">
      <c r="G895" s="25"/>
      <c r="O895" s="25"/>
    </row>
    <row r="896" spans="7:15">
      <c r="G896" s="25"/>
      <c r="O896" s="25"/>
    </row>
    <row r="897" spans="7:15">
      <c r="G897" s="25"/>
      <c r="O897" s="25"/>
    </row>
    <row r="898" spans="7:15">
      <c r="G898" s="25"/>
      <c r="O898" s="25"/>
    </row>
    <row r="899" spans="7:15">
      <c r="G899" s="25"/>
      <c r="O899" s="25"/>
    </row>
    <row r="900" spans="7:15">
      <c r="G900" s="25"/>
      <c r="O900" s="25"/>
    </row>
    <row r="901" spans="7:15">
      <c r="G901" s="25"/>
      <c r="O901" s="25"/>
    </row>
    <row r="902" spans="7:15">
      <c r="G902" s="25"/>
      <c r="O902" s="25"/>
    </row>
    <row r="903" spans="7:15">
      <c r="G903" s="25"/>
      <c r="O903" s="25"/>
    </row>
    <row r="904" spans="7:15">
      <c r="G904" s="25"/>
      <c r="O904" s="25"/>
    </row>
    <row r="905" spans="7:15">
      <c r="G905" s="25"/>
      <c r="O905" s="25"/>
    </row>
    <row r="906" spans="7:15">
      <c r="G906" s="25"/>
      <c r="O906" s="25"/>
    </row>
    <row r="907" spans="7:15">
      <c r="G907" s="25"/>
      <c r="O907" s="25"/>
    </row>
    <row r="908" spans="7:15">
      <c r="G908" s="25"/>
      <c r="O908" s="25"/>
    </row>
    <row r="909" spans="7:15">
      <c r="G909" s="25"/>
      <c r="O909" s="25"/>
    </row>
    <row r="910" spans="7:15">
      <c r="G910" s="25"/>
      <c r="O910" s="25"/>
    </row>
    <row r="911" spans="7:15">
      <c r="G911" s="25"/>
      <c r="O911" s="25"/>
    </row>
    <row r="912" spans="7:15">
      <c r="G912" s="25"/>
      <c r="O912" s="25"/>
    </row>
    <row r="913" spans="7:15">
      <c r="G913" s="25"/>
      <c r="O913" s="25"/>
    </row>
    <row r="914" spans="7:15">
      <c r="G914" s="25"/>
      <c r="O914" s="25"/>
    </row>
    <row r="915" spans="7:15">
      <c r="G915" s="25"/>
      <c r="O915" s="25"/>
    </row>
    <row r="916" spans="7:15">
      <c r="G916" s="25"/>
      <c r="O916" s="25"/>
    </row>
    <row r="917" spans="7:15">
      <c r="G917" s="25"/>
      <c r="O917" s="25"/>
    </row>
    <row r="918" spans="7:15">
      <c r="G918" s="25"/>
      <c r="O918" s="25"/>
    </row>
    <row r="919" spans="7:15">
      <c r="G919" s="25"/>
      <c r="O919" s="25"/>
    </row>
    <row r="920" spans="7:15">
      <c r="G920" s="25"/>
      <c r="O920" s="25"/>
    </row>
    <row r="921" spans="7:15">
      <c r="G921" s="25"/>
      <c r="O921" s="25"/>
    </row>
    <row r="922" spans="7:15">
      <c r="G922" s="25"/>
      <c r="O922" s="25"/>
    </row>
    <row r="923" spans="7:15">
      <c r="G923" s="25"/>
      <c r="O923" s="25"/>
    </row>
    <row r="924" spans="7:15">
      <c r="G924" s="25"/>
      <c r="O924" s="25"/>
    </row>
    <row r="925" spans="7:15">
      <c r="G925" s="25"/>
      <c r="O925" s="25"/>
    </row>
    <row r="926" spans="7:15">
      <c r="G926" s="25"/>
      <c r="O926" s="25"/>
    </row>
    <row r="927" spans="7:15">
      <c r="G927" s="25"/>
      <c r="O927" s="25"/>
    </row>
    <row r="928" spans="7:15">
      <c r="G928" s="25"/>
      <c r="O928" s="25"/>
    </row>
    <row r="929" spans="7:15">
      <c r="G929" s="25"/>
      <c r="O929" s="25"/>
    </row>
    <row r="930" spans="7:15">
      <c r="G930" s="25"/>
      <c r="O930" s="25"/>
    </row>
    <row r="931" spans="7:15">
      <c r="G931" s="25"/>
      <c r="O931" s="25"/>
    </row>
    <row r="932" spans="7:15">
      <c r="G932" s="25"/>
      <c r="O932" s="25"/>
    </row>
    <row r="933" spans="7:15">
      <c r="G933" s="25"/>
      <c r="O933" s="25"/>
    </row>
    <row r="934" spans="7:15">
      <c r="G934" s="25"/>
      <c r="O934" s="25"/>
    </row>
    <row r="935" spans="7:15">
      <c r="G935" s="25"/>
      <c r="O935" s="25"/>
    </row>
    <row r="936" spans="7:15">
      <c r="G936" s="25"/>
      <c r="O936" s="25"/>
    </row>
    <row r="937" spans="7:15">
      <c r="G937" s="25"/>
      <c r="O937" s="25"/>
    </row>
    <row r="938" spans="7:15">
      <c r="G938" s="25"/>
      <c r="O938" s="25"/>
    </row>
    <row r="939" spans="7:15">
      <c r="G939" s="25"/>
      <c r="O939" s="25"/>
    </row>
    <row r="940" spans="7:15">
      <c r="G940" s="25"/>
      <c r="O940" s="25"/>
    </row>
    <row r="941" spans="7:15">
      <c r="G941" s="25"/>
      <c r="O941" s="25"/>
    </row>
    <row r="942" spans="7:15">
      <c r="G942" s="25"/>
      <c r="O942" s="25"/>
    </row>
    <row r="943" spans="7:15">
      <c r="G943" s="25"/>
      <c r="O943" s="25"/>
    </row>
    <row r="944" spans="7:15">
      <c r="G944" s="25"/>
      <c r="O944" s="25"/>
    </row>
    <row r="945" spans="7:15">
      <c r="G945" s="25"/>
      <c r="O945" s="25"/>
    </row>
    <row r="946" spans="7:15">
      <c r="G946" s="25"/>
      <c r="O946" s="25"/>
    </row>
    <row r="947" spans="7:15">
      <c r="G947" s="25"/>
      <c r="O947" s="25"/>
    </row>
    <row r="948" spans="7:15">
      <c r="G948" s="25"/>
      <c r="O948" s="25"/>
    </row>
    <row r="949" spans="7:15">
      <c r="G949" s="25"/>
      <c r="O949" s="25"/>
    </row>
    <row r="950" spans="7:15">
      <c r="G950" s="25"/>
      <c r="O950" s="25"/>
    </row>
    <row r="951" spans="7:15">
      <c r="G951" s="25"/>
      <c r="O951" s="25"/>
    </row>
    <row r="952" spans="7:15">
      <c r="G952" s="25"/>
      <c r="O952" s="25"/>
    </row>
    <row r="953" spans="7:15">
      <c r="G953" s="25"/>
      <c r="O953" s="25"/>
    </row>
    <row r="954" spans="7:15">
      <c r="G954" s="25"/>
      <c r="O954" s="25"/>
    </row>
    <row r="955" spans="7:15">
      <c r="G955" s="25"/>
      <c r="O955" s="25"/>
    </row>
    <row r="956" spans="7:15">
      <c r="G956" s="25"/>
      <c r="O956" s="25"/>
    </row>
    <row r="957" spans="7:15">
      <c r="G957" s="25"/>
      <c r="O957" s="25"/>
    </row>
    <row r="958" spans="7:15">
      <c r="G958" s="25"/>
      <c r="O958" s="25"/>
    </row>
    <row r="959" spans="7:15">
      <c r="G959" s="25"/>
      <c r="O959" s="25"/>
    </row>
    <row r="960" spans="7:15">
      <c r="G960" s="25"/>
      <c r="O960" s="25"/>
    </row>
    <row r="961" spans="7:15">
      <c r="G961" s="25"/>
      <c r="O961" s="25"/>
    </row>
    <row r="962" spans="7:15">
      <c r="G962" s="25"/>
      <c r="O962" s="25"/>
    </row>
    <row r="963" spans="7:15">
      <c r="G963" s="25"/>
      <c r="O963" s="25"/>
    </row>
    <row r="964" spans="7:15">
      <c r="G964" s="25"/>
      <c r="O964" s="25"/>
    </row>
    <row r="965" spans="7:15">
      <c r="G965" s="25"/>
      <c r="O965" s="25"/>
    </row>
    <row r="966" spans="7:15">
      <c r="G966" s="25"/>
      <c r="O966" s="25"/>
    </row>
    <row r="967" spans="7:15">
      <c r="G967" s="25"/>
      <c r="O967" s="25"/>
    </row>
    <row r="968" spans="7:15">
      <c r="G968" s="25"/>
      <c r="O968" s="25"/>
    </row>
    <row r="969" spans="7:15">
      <c r="G969" s="25"/>
      <c r="O969" s="25"/>
    </row>
    <row r="970" spans="7:15">
      <c r="G970" s="25"/>
      <c r="O970" s="25"/>
    </row>
    <row r="971" spans="7:15">
      <c r="G971" s="25"/>
      <c r="O971" s="25"/>
    </row>
    <row r="972" spans="7:15">
      <c r="G972" s="25"/>
      <c r="O972" s="25"/>
    </row>
    <row r="973" spans="7:15">
      <c r="G973" s="25"/>
      <c r="O973" s="25"/>
    </row>
    <row r="974" spans="7:15">
      <c r="G974" s="25"/>
      <c r="O974" s="25"/>
    </row>
    <row r="975" spans="7:15">
      <c r="G975" s="25"/>
      <c r="O975" s="25"/>
    </row>
    <row r="976" spans="7:15">
      <c r="G976" s="25"/>
      <c r="O976" s="25"/>
    </row>
    <row r="977" spans="7:15">
      <c r="G977" s="25"/>
      <c r="O977" s="25"/>
    </row>
    <row r="978" spans="7:15">
      <c r="G978" s="25"/>
      <c r="O978" s="25"/>
    </row>
    <row r="979" spans="7:15">
      <c r="G979" s="25"/>
      <c r="O979" s="25"/>
    </row>
    <row r="980" spans="7:15">
      <c r="G980" s="25"/>
      <c r="O980" s="25"/>
    </row>
    <row r="981" spans="7:15">
      <c r="G981" s="25"/>
      <c r="O981" s="25"/>
    </row>
    <row r="982" spans="7:15">
      <c r="G982" s="25"/>
      <c r="O982" s="25"/>
    </row>
    <row r="983" spans="7:15">
      <c r="G983" s="25"/>
      <c r="O983" s="25"/>
    </row>
    <row r="984" spans="7:15">
      <c r="G984" s="25"/>
      <c r="O984" s="25"/>
    </row>
    <row r="985" spans="7:15">
      <c r="G985" s="25"/>
      <c r="O985" s="25"/>
    </row>
    <row r="986" spans="7:15">
      <c r="G986" s="25"/>
      <c r="O986" s="25"/>
    </row>
    <row r="987" spans="7:15">
      <c r="G987" s="25"/>
      <c r="O987" s="25"/>
    </row>
    <row r="988" spans="7:15">
      <c r="G988" s="25"/>
      <c r="O988" s="25"/>
    </row>
    <row r="989" spans="7:15">
      <c r="G989" s="25"/>
      <c r="O989" s="25"/>
    </row>
    <row r="990" spans="7:15">
      <c r="G990" s="25"/>
      <c r="O990" s="25"/>
    </row>
    <row r="991" spans="7:15">
      <c r="G991" s="25"/>
      <c r="O991" s="25"/>
    </row>
    <row r="992" spans="7:15">
      <c r="G992" s="25"/>
      <c r="O992" s="25"/>
    </row>
    <row r="993" spans="7:15">
      <c r="G993" s="25"/>
      <c r="O993" s="25"/>
    </row>
    <row r="994" spans="7:15">
      <c r="G994" s="25"/>
      <c r="O994" s="25"/>
    </row>
    <row r="995" spans="7:15">
      <c r="G995" s="25"/>
      <c r="O995" s="25"/>
    </row>
    <row r="996" spans="7:15">
      <c r="G996" s="25"/>
      <c r="O996" s="25"/>
    </row>
    <row r="997" spans="7:15">
      <c r="G997" s="25"/>
      <c r="O997" s="25"/>
    </row>
    <row r="998" spans="7:15">
      <c r="G998" s="25"/>
      <c r="O998" s="25"/>
    </row>
    <row r="999" spans="7:15">
      <c r="G999" s="25"/>
      <c r="O999" s="25"/>
    </row>
    <row r="1000" spans="7:15">
      <c r="G1000" s="25"/>
      <c r="O1000" s="25"/>
    </row>
    <row r="1001" spans="7:15">
      <c r="G1001" s="25"/>
      <c r="O1001" s="25"/>
    </row>
    <row r="1002" spans="7:15">
      <c r="G1002" s="25"/>
      <c r="O1002" s="25"/>
    </row>
    <row r="1003" spans="7:15">
      <c r="G1003" s="25"/>
      <c r="O1003" s="25"/>
    </row>
    <row r="1004" spans="7:15">
      <c r="G1004" s="25"/>
      <c r="O1004" s="25"/>
    </row>
    <row r="1005" spans="7:15">
      <c r="G1005" s="25"/>
      <c r="O1005" s="25"/>
    </row>
    <row r="1006" spans="7:15">
      <c r="G1006" s="25"/>
      <c r="O1006" s="25"/>
    </row>
    <row r="1007" spans="7:15">
      <c r="G1007" s="25"/>
      <c r="O1007" s="25"/>
    </row>
    <row r="1008" spans="7:15">
      <c r="G1008" s="25"/>
      <c r="O1008" s="25"/>
    </row>
    <row r="1009" spans="7:15">
      <c r="G1009" s="25"/>
      <c r="O1009" s="25"/>
    </row>
    <row r="1010" spans="7:15">
      <c r="G1010" s="25"/>
      <c r="O1010" s="25"/>
    </row>
    <row r="1011" spans="7:15">
      <c r="G1011" s="25"/>
      <c r="O1011" s="25"/>
    </row>
    <row r="1012" spans="7:15">
      <c r="G1012" s="25"/>
      <c r="O1012" s="25"/>
    </row>
    <row r="1013" spans="7:15">
      <c r="G1013" s="25"/>
      <c r="O1013" s="25"/>
    </row>
    <row r="1014" spans="7:15">
      <c r="G1014" s="25"/>
      <c r="O1014" s="25"/>
    </row>
    <row r="1015" spans="7:15">
      <c r="G1015" s="25"/>
      <c r="O1015" s="25"/>
    </row>
    <row r="1016" spans="7:15">
      <c r="G1016" s="25"/>
      <c r="O1016" s="25"/>
    </row>
    <row r="1017" spans="7:15">
      <c r="G1017" s="25"/>
      <c r="O1017" s="25"/>
    </row>
    <row r="1018" spans="7:15">
      <c r="G1018" s="25"/>
      <c r="O1018" s="25"/>
    </row>
    <row r="1019" spans="7:15">
      <c r="G1019" s="25"/>
      <c r="O1019" s="25"/>
    </row>
    <row r="1020" spans="7:15">
      <c r="G1020" s="25"/>
      <c r="O1020" s="25"/>
    </row>
    <row r="1021" spans="7:15">
      <c r="G1021" s="25"/>
      <c r="O1021" s="25"/>
    </row>
    <row r="1022" spans="7:15">
      <c r="G1022" s="25"/>
      <c r="O1022" s="25"/>
    </row>
    <row r="1023" spans="7:15">
      <c r="G1023" s="25"/>
      <c r="O1023" s="25"/>
    </row>
    <row r="1024" spans="7:15">
      <c r="G1024" s="25"/>
      <c r="O1024" s="25"/>
    </row>
    <row r="1025" spans="7:15">
      <c r="G1025" s="25"/>
      <c r="O1025" s="25"/>
    </row>
    <row r="1026" spans="7:15">
      <c r="G1026" s="25"/>
      <c r="O1026" s="25"/>
    </row>
    <row r="1027" spans="7:15">
      <c r="G1027" s="25"/>
      <c r="O1027" s="25"/>
    </row>
    <row r="1028" spans="7:15">
      <c r="G1028" s="25"/>
      <c r="O1028" s="25"/>
    </row>
    <row r="1029" spans="7:15">
      <c r="G1029" s="25"/>
      <c r="O1029" s="25"/>
    </row>
    <row r="1030" spans="7:15">
      <c r="G1030" s="25"/>
      <c r="O1030" s="25"/>
    </row>
    <row r="1031" spans="7:15">
      <c r="G1031" s="25"/>
      <c r="O1031" s="25"/>
    </row>
    <row r="1032" spans="7:15">
      <c r="G1032" s="25"/>
      <c r="O1032" s="25"/>
    </row>
    <row r="1033" spans="7:15">
      <c r="G1033" s="25"/>
      <c r="O1033" s="25"/>
    </row>
    <row r="1034" spans="7:15">
      <c r="G1034" s="25"/>
      <c r="O1034" s="25"/>
    </row>
    <row r="1035" spans="7:15">
      <c r="G1035" s="25"/>
      <c r="O1035" s="25"/>
    </row>
    <row r="1036" spans="7:15">
      <c r="G1036" s="25"/>
      <c r="O1036" s="25"/>
    </row>
    <row r="1037" spans="7:15">
      <c r="G1037" s="25"/>
      <c r="O1037" s="25"/>
    </row>
    <row r="1038" spans="7:15">
      <c r="G1038" s="25"/>
      <c r="O1038" s="25"/>
    </row>
    <row r="1039" spans="7:15">
      <c r="G1039" s="25"/>
      <c r="O1039" s="25"/>
    </row>
    <row r="1040" spans="7:15">
      <c r="G1040" s="25"/>
      <c r="O1040" s="25"/>
    </row>
    <row r="1041" spans="7:15">
      <c r="G1041" s="25"/>
      <c r="O1041" s="25"/>
    </row>
    <row r="1042" spans="7:15">
      <c r="G1042" s="25"/>
      <c r="O1042" s="25"/>
    </row>
    <row r="1043" spans="7:15">
      <c r="G1043" s="25"/>
      <c r="O1043" s="25"/>
    </row>
    <row r="1044" spans="7:15">
      <c r="G1044" s="25"/>
      <c r="O1044" s="25"/>
    </row>
    <row r="1045" spans="7:15">
      <c r="G1045" s="25"/>
      <c r="O1045" s="25"/>
    </row>
    <row r="1046" spans="7:15">
      <c r="G1046" s="25"/>
      <c r="O1046" s="25"/>
    </row>
    <row r="1047" spans="7:15">
      <c r="G1047" s="25"/>
      <c r="O1047" s="25"/>
    </row>
    <row r="1048" spans="7:15">
      <c r="G1048" s="25"/>
      <c r="O1048" s="25"/>
    </row>
    <row r="1049" spans="7:15">
      <c r="G1049" s="25"/>
      <c r="O1049" s="25"/>
    </row>
    <row r="1050" spans="7:15">
      <c r="G1050" s="25"/>
      <c r="O1050" s="25"/>
    </row>
    <row r="1051" spans="7:15">
      <c r="G1051" s="25"/>
      <c r="O1051" s="25"/>
    </row>
    <row r="1052" spans="7:15">
      <c r="G1052" s="25"/>
      <c r="O1052" s="25"/>
    </row>
    <row r="1053" spans="7:15">
      <c r="G1053" s="25"/>
      <c r="O1053" s="25"/>
    </row>
    <row r="1054" spans="7:15">
      <c r="G1054" s="25"/>
      <c r="O1054" s="25"/>
    </row>
    <row r="1055" spans="7:15">
      <c r="G1055" s="25"/>
      <c r="O1055" s="25"/>
    </row>
    <row r="1056" spans="7:15">
      <c r="G1056" s="25"/>
      <c r="O1056" s="25"/>
    </row>
    <row r="1057" spans="7:15">
      <c r="G1057" s="25"/>
      <c r="O1057" s="25"/>
    </row>
    <row r="1058" spans="7:15">
      <c r="G1058" s="25"/>
      <c r="O1058" s="25"/>
    </row>
    <row r="1059" spans="7:15">
      <c r="G1059" s="25"/>
      <c r="O1059" s="25"/>
    </row>
    <row r="1060" spans="7:15">
      <c r="G1060" s="25"/>
      <c r="O1060" s="25"/>
    </row>
    <row r="1061" spans="7:15">
      <c r="G1061" s="25"/>
      <c r="O1061" s="25"/>
    </row>
    <row r="1062" spans="7:15">
      <c r="G1062" s="25"/>
      <c r="O1062" s="25"/>
    </row>
    <row r="1063" spans="7:15">
      <c r="G1063" s="25"/>
      <c r="O1063" s="25"/>
    </row>
    <row r="1064" spans="7:15">
      <c r="G1064" s="25"/>
      <c r="O1064" s="25"/>
    </row>
    <row r="1065" spans="7:15">
      <c r="G1065" s="25"/>
      <c r="O1065" s="25"/>
    </row>
    <row r="1066" spans="7:15">
      <c r="G1066" s="25"/>
      <c r="O1066" s="25"/>
    </row>
    <row r="1067" spans="7:15">
      <c r="G1067" s="25"/>
      <c r="O1067" s="25"/>
    </row>
    <row r="1068" spans="7:15">
      <c r="G1068" s="25"/>
      <c r="O1068" s="25"/>
    </row>
    <row r="1069" spans="7:15">
      <c r="G1069" s="25"/>
      <c r="O1069" s="25"/>
    </row>
    <row r="1070" spans="7:15">
      <c r="G1070" s="25"/>
      <c r="O1070" s="25"/>
    </row>
    <row r="1071" spans="7:15">
      <c r="G1071" s="25"/>
      <c r="O1071" s="25"/>
    </row>
    <row r="1072" spans="7:15">
      <c r="G1072" s="25"/>
      <c r="O1072" s="25"/>
    </row>
    <row r="1073" spans="7:15">
      <c r="G1073" s="25"/>
      <c r="O1073" s="25"/>
    </row>
    <row r="1074" spans="7:15">
      <c r="G1074" s="25"/>
      <c r="O1074" s="25"/>
    </row>
    <row r="1075" spans="7:15">
      <c r="G1075" s="25"/>
      <c r="O1075" s="25"/>
    </row>
    <row r="1076" spans="7:15">
      <c r="G1076" s="25"/>
      <c r="O1076" s="25"/>
    </row>
    <row r="1077" spans="7:15">
      <c r="G1077" s="25"/>
      <c r="O1077" s="25"/>
    </row>
    <row r="1078" spans="7:15">
      <c r="G1078" s="25"/>
      <c r="O1078" s="25"/>
    </row>
    <row r="1079" spans="7:15">
      <c r="G1079" s="25"/>
      <c r="O1079" s="25"/>
    </row>
    <row r="1080" spans="7:15">
      <c r="G1080" s="25"/>
      <c r="O1080" s="25"/>
    </row>
    <row r="1081" spans="7:15">
      <c r="G1081" s="25"/>
      <c r="O1081" s="25"/>
    </row>
    <row r="1082" spans="7:15">
      <c r="G1082" s="25"/>
      <c r="O1082" s="25"/>
    </row>
    <row r="1083" spans="7:15">
      <c r="G1083" s="25"/>
      <c r="O1083" s="25"/>
    </row>
    <row r="1084" spans="7:15">
      <c r="G1084" s="25"/>
      <c r="O1084" s="25"/>
    </row>
    <row r="1085" spans="7:15">
      <c r="G1085" s="25"/>
      <c r="O1085" s="25"/>
    </row>
    <row r="1086" spans="7:15">
      <c r="G1086" s="25"/>
      <c r="O1086" s="25"/>
    </row>
    <row r="1087" spans="7:15">
      <c r="G1087" s="25"/>
      <c r="O1087" s="25"/>
    </row>
    <row r="1088" spans="7:15">
      <c r="G1088" s="25"/>
      <c r="O1088" s="25"/>
    </row>
    <row r="1089" spans="7:15">
      <c r="G1089" s="25"/>
      <c r="O1089" s="25"/>
    </row>
    <row r="1090" spans="7:15">
      <c r="G1090" s="25"/>
      <c r="O1090" s="25"/>
    </row>
    <row r="1091" spans="7:15">
      <c r="G1091" s="25"/>
      <c r="O1091" s="25"/>
    </row>
    <row r="1092" spans="7:15">
      <c r="G1092" s="25"/>
      <c r="O1092" s="25"/>
    </row>
    <row r="1093" spans="7:15">
      <c r="G1093" s="25"/>
      <c r="O1093" s="25"/>
    </row>
    <row r="1094" spans="7:15">
      <c r="G1094" s="25"/>
      <c r="O1094" s="25"/>
    </row>
    <row r="1095" spans="7:15">
      <c r="G1095" s="25"/>
      <c r="O1095" s="25"/>
    </row>
    <row r="1096" spans="7:15">
      <c r="G1096" s="25"/>
      <c r="O1096" s="25"/>
    </row>
    <row r="1097" spans="7:15">
      <c r="G1097" s="25"/>
      <c r="O1097" s="25"/>
    </row>
    <row r="1098" spans="7:15">
      <c r="G1098" s="25"/>
      <c r="O1098" s="25"/>
    </row>
    <row r="1099" spans="7:15">
      <c r="G1099" s="25"/>
      <c r="O1099" s="25"/>
    </row>
    <row r="1100" spans="7:15">
      <c r="G1100" s="25"/>
      <c r="O1100" s="25"/>
    </row>
    <row r="1101" spans="7:15">
      <c r="G1101" s="25"/>
      <c r="O1101" s="25"/>
    </row>
    <row r="1102" spans="7:15">
      <c r="G1102" s="25"/>
      <c r="O1102" s="25"/>
    </row>
    <row r="1103" spans="7:15">
      <c r="G1103" s="25"/>
      <c r="O1103" s="25"/>
    </row>
    <row r="1104" spans="7:15">
      <c r="G1104" s="25"/>
      <c r="O1104" s="25"/>
    </row>
    <row r="1105" spans="7:15">
      <c r="G1105" s="25"/>
      <c r="O1105" s="25"/>
    </row>
    <row r="1106" spans="7:15">
      <c r="G1106" s="25"/>
      <c r="O1106" s="25"/>
    </row>
    <row r="1107" spans="7:15">
      <c r="G1107" s="25"/>
      <c r="O1107" s="25"/>
    </row>
    <row r="1108" spans="7:15">
      <c r="G1108" s="25"/>
      <c r="O1108" s="25"/>
    </row>
    <row r="1109" spans="7:15">
      <c r="G1109" s="25"/>
      <c r="O1109" s="25"/>
    </row>
    <row r="1110" spans="7:15">
      <c r="G1110" s="25"/>
      <c r="O1110" s="25"/>
    </row>
    <row r="1111" spans="7:15">
      <c r="G1111" s="25"/>
      <c r="O1111" s="25"/>
    </row>
    <row r="1112" spans="7:15">
      <c r="G1112" s="25"/>
      <c r="O1112" s="25"/>
    </row>
    <row r="1113" spans="7:15">
      <c r="G1113" s="25"/>
      <c r="O1113" s="25"/>
    </row>
    <row r="1114" spans="7:15">
      <c r="G1114" s="25"/>
      <c r="O1114" s="25"/>
    </row>
    <row r="1115" spans="7:15">
      <c r="G1115" s="25"/>
      <c r="O1115" s="25"/>
    </row>
    <row r="1116" spans="7:15">
      <c r="G1116" s="25"/>
      <c r="O1116" s="25"/>
    </row>
    <row r="1117" spans="7:15">
      <c r="G1117" s="25"/>
      <c r="O1117" s="25"/>
    </row>
    <row r="1118" spans="7:15">
      <c r="G1118" s="25"/>
      <c r="O1118" s="25"/>
    </row>
    <row r="1119" spans="7:15">
      <c r="G1119" s="25"/>
      <c r="O1119" s="25"/>
    </row>
    <row r="1120" spans="7:15">
      <c r="G1120" s="25"/>
      <c r="O1120" s="25"/>
    </row>
    <row r="1121" spans="7:15">
      <c r="G1121" s="25"/>
      <c r="O1121" s="25"/>
    </row>
    <row r="1122" spans="7:15">
      <c r="G1122" s="25"/>
      <c r="O1122" s="25"/>
    </row>
    <row r="1123" spans="7:15">
      <c r="G1123" s="25"/>
      <c r="O1123" s="25"/>
    </row>
    <row r="1124" spans="7:15">
      <c r="G1124" s="25"/>
      <c r="O1124" s="25"/>
    </row>
    <row r="1125" spans="7:15">
      <c r="G1125" s="25"/>
      <c r="O1125" s="25"/>
    </row>
    <row r="1126" spans="7:15">
      <c r="G1126" s="25"/>
      <c r="O1126" s="25"/>
    </row>
    <row r="1127" spans="7:15">
      <c r="G1127" s="25"/>
      <c r="O1127" s="25"/>
    </row>
    <row r="1128" spans="7:15">
      <c r="G1128" s="25"/>
      <c r="O1128" s="25"/>
    </row>
    <row r="1129" spans="7:15">
      <c r="G1129" s="25"/>
      <c r="O1129" s="25"/>
    </row>
    <row r="1130" spans="7:15">
      <c r="G1130" s="25"/>
      <c r="O1130" s="25"/>
    </row>
    <row r="1131" spans="7:15">
      <c r="G1131" s="25"/>
      <c r="O1131" s="25"/>
    </row>
    <row r="1132" spans="7:15">
      <c r="G1132" s="25"/>
      <c r="O1132" s="25"/>
    </row>
    <row r="1133" spans="7:15">
      <c r="G1133" s="25"/>
      <c r="O1133" s="25"/>
    </row>
    <row r="1134" spans="7:15">
      <c r="G1134" s="25"/>
      <c r="O1134" s="25"/>
    </row>
    <row r="1135" spans="7:15">
      <c r="G1135" s="25"/>
      <c r="O1135" s="25"/>
    </row>
    <row r="1136" spans="7:15">
      <c r="G1136" s="25"/>
      <c r="O1136" s="25"/>
    </row>
    <row r="1137" spans="7:15">
      <c r="G1137" s="25"/>
      <c r="O1137" s="25"/>
    </row>
    <row r="1138" spans="7:15">
      <c r="G1138" s="25"/>
      <c r="O1138" s="25"/>
    </row>
    <row r="1139" spans="7:15">
      <c r="G1139" s="25"/>
      <c r="O1139" s="25"/>
    </row>
    <row r="1140" spans="7:15">
      <c r="G1140" s="25"/>
      <c r="O1140" s="25"/>
    </row>
    <row r="1141" spans="7:15">
      <c r="G1141" s="25"/>
      <c r="O1141" s="25"/>
    </row>
    <row r="1142" spans="7:15">
      <c r="G1142" s="25"/>
      <c r="O1142" s="25"/>
    </row>
    <row r="1143" spans="7:15">
      <c r="G1143" s="25"/>
      <c r="O1143" s="25"/>
    </row>
    <row r="1144" spans="7:15">
      <c r="G1144" s="25"/>
      <c r="O1144" s="25"/>
    </row>
    <row r="1145" spans="7:15">
      <c r="G1145" s="25"/>
      <c r="O1145" s="25"/>
    </row>
    <row r="1146" spans="7:15">
      <c r="G1146" s="25"/>
      <c r="O1146" s="25"/>
    </row>
    <row r="1147" spans="7:15">
      <c r="G1147" s="25"/>
      <c r="O1147" s="25"/>
    </row>
    <row r="1148" spans="7:15">
      <c r="G1148" s="25"/>
      <c r="O1148" s="25"/>
    </row>
    <row r="1149" spans="7:15">
      <c r="G1149" s="25"/>
      <c r="O1149" s="25"/>
    </row>
    <row r="1150" spans="7:15">
      <c r="G1150" s="25"/>
      <c r="O1150" s="25"/>
    </row>
    <row r="1151" spans="7:15">
      <c r="G1151" s="25"/>
      <c r="O1151" s="25"/>
    </row>
    <row r="1152" spans="7:15">
      <c r="G1152" s="25"/>
      <c r="O1152" s="25"/>
    </row>
    <row r="1153" spans="7:15">
      <c r="G1153" s="25"/>
      <c r="O1153" s="25"/>
    </row>
    <row r="1154" spans="7:15">
      <c r="G1154" s="25"/>
      <c r="O1154" s="25"/>
    </row>
    <row r="1155" spans="7:15">
      <c r="G1155" s="25"/>
      <c r="O1155" s="25"/>
    </row>
    <row r="1156" spans="7:15">
      <c r="G1156" s="25"/>
      <c r="O1156" s="25"/>
    </row>
    <row r="1157" spans="7:15">
      <c r="G1157" s="25"/>
      <c r="O1157" s="25"/>
    </row>
    <row r="1158" spans="7:15">
      <c r="G1158" s="25"/>
      <c r="O1158" s="25"/>
    </row>
    <row r="1159" spans="7:15">
      <c r="G1159" s="25"/>
      <c r="O1159" s="25"/>
    </row>
    <row r="1160" spans="7:15">
      <c r="G1160" s="25"/>
      <c r="O1160" s="25"/>
    </row>
    <row r="1161" spans="7:15">
      <c r="G1161" s="25"/>
      <c r="O1161" s="25"/>
    </row>
    <row r="1162" spans="7:15">
      <c r="G1162" s="25"/>
      <c r="O1162" s="25"/>
    </row>
    <row r="1163" spans="7:15">
      <c r="G1163" s="25"/>
      <c r="O1163" s="25"/>
    </row>
    <row r="1164" spans="7:15">
      <c r="G1164" s="25"/>
      <c r="O1164" s="25"/>
    </row>
    <row r="1165" spans="7:15">
      <c r="G1165" s="25"/>
      <c r="O1165" s="25"/>
    </row>
    <row r="1166" spans="7:15">
      <c r="G1166" s="25"/>
      <c r="O1166" s="25"/>
    </row>
    <row r="1167" spans="7:15">
      <c r="G1167" s="25"/>
      <c r="O1167" s="25"/>
    </row>
    <row r="1168" spans="7:15">
      <c r="G1168" s="25"/>
      <c r="O1168" s="25"/>
    </row>
    <row r="1169" spans="7:15">
      <c r="G1169" s="25"/>
      <c r="O1169" s="25"/>
    </row>
    <row r="1170" spans="7:15">
      <c r="G1170" s="25"/>
      <c r="O1170" s="25"/>
    </row>
    <row r="1171" spans="7:15">
      <c r="G1171" s="25"/>
      <c r="O1171" s="25"/>
    </row>
    <row r="1172" spans="7:15">
      <c r="G1172" s="25"/>
      <c r="O1172" s="25"/>
    </row>
    <row r="1173" spans="7:15">
      <c r="G1173" s="25"/>
      <c r="O1173" s="25"/>
    </row>
    <row r="1174" spans="7:15">
      <c r="G1174" s="25"/>
      <c r="O1174" s="25"/>
    </row>
    <row r="1175" spans="7:15">
      <c r="G1175" s="25"/>
      <c r="O1175" s="25"/>
    </row>
    <row r="1176" spans="7:15">
      <c r="G1176" s="25"/>
      <c r="O1176" s="25"/>
    </row>
    <row r="1177" spans="7:15">
      <c r="G1177" s="25"/>
      <c r="O1177" s="25"/>
    </row>
    <row r="1178" spans="7:15">
      <c r="G1178" s="25"/>
      <c r="O1178" s="25"/>
    </row>
    <row r="1179" spans="7:15">
      <c r="G1179" s="25"/>
      <c r="O1179" s="25"/>
    </row>
    <row r="1180" spans="7:15">
      <c r="G1180" s="25"/>
      <c r="O1180" s="25"/>
    </row>
    <row r="1181" spans="7:15">
      <c r="G1181" s="25"/>
      <c r="O1181" s="25"/>
    </row>
    <row r="1182" spans="7:15">
      <c r="G1182" s="25"/>
      <c r="O1182" s="25"/>
    </row>
    <row r="1183" spans="7:15">
      <c r="G1183" s="25"/>
      <c r="O1183" s="25"/>
    </row>
    <row r="1184" spans="7:15">
      <c r="G1184" s="25"/>
      <c r="O1184" s="25"/>
    </row>
    <row r="1185" spans="7:15">
      <c r="G1185" s="25"/>
      <c r="O1185" s="25"/>
    </row>
    <row r="1186" spans="7:15">
      <c r="G1186" s="25"/>
      <c r="O1186" s="25"/>
    </row>
    <row r="1187" spans="7:15">
      <c r="G1187" s="25"/>
      <c r="O1187" s="25"/>
    </row>
    <row r="1188" spans="7:15">
      <c r="G1188" s="25"/>
      <c r="O1188" s="25"/>
    </row>
    <row r="1189" spans="7:15">
      <c r="G1189" s="25"/>
      <c r="O1189" s="25"/>
    </row>
    <row r="1190" spans="7:15">
      <c r="G1190" s="25"/>
      <c r="O1190" s="25"/>
    </row>
    <row r="1191" spans="7:15">
      <c r="G1191" s="25"/>
      <c r="O1191" s="25"/>
    </row>
    <row r="1192" spans="7:15">
      <c r="G1192" s="25"/>
      <c r="O1192" s="25"/>
    </row>
    <row r="1193" spans="7:15">
      <c r="G1193" s="25"/>
      <c r="O1193" s="25"/>
    </row>
    <row r="1194" spans="7:15">
      <c r="G1194" s="25"/>
      <c r="O1194" s="25"/>
    </row>
    <row r="1195" spans="7:15">
      <c r="G1195" s="25"/>
      <c r="O1195" s="25"/>
    </row>
    <row r="1196" spans="7:15">
      <c r="G1196" s="25"/>
      <c r="O1196" s="25"/>
    </row>
    <row r="1197" spans="7:15">
      <c r="G1197" s="25"/>
      <c r="O1197" s="25"/>
    </row>
    <row r="1198" spans="7:15">
      <c r="G1198" s="25"/>
      <c r="O1198" s="25"/>
    </row>
    <row r="1199" spans="7:15">
      <c r="G1199" s="25"/>
      <c r="O1199" s="25"/>
    </row>
    <row r="1200" spans="7:15">
      <c r="G1200" s="25"/>
      <c r="O1200" s="25"/>
    </row>
    <row r="1201" spans="7:15">
      <c r="G1201" s="25"/>
      <c r="O1201" s="25"/>
    </row>
    <row r="1202" spans="7:15">
      <c r="G1202" s="25"/>
      <c r="O1202" s="25"/>
    </row>
    <row r="1203" spans="7:15">
      <c r="G1203" s="25"/>
      <c r="O1203" s="25"/>
    </row>
    <row r="1204" spans="7:15">
      <c r="G1204" s="25"/>
      <c r="O1204" s="25"/>
    </row>
    <row r="1205" spans="7:15">
      <c r="G1205" s="25"/>
      <c r="O1205" s="25"/>
    </row>
    <row r="1206" spans="7:15">
      <c r="G1206" s="25"/>
      <c r="O1206" s="25"/>
    </row>
    <row r="1207" spans="7:15">
      <c r="G1207" s="25"/>
      <c r="O1207" s="25"/>
    </row>
    <row r="1208" spans="7:15">
      <c r="G1208" s="25"/>
      <c r="O1208" s="25"/>
    </row>
    <row r="1209" spans="7:15">
      <c r="G1209" s="25"/>
      <c r="O1209" s="25"/>
    </row>
    <row r="1210" spans="7:15">
      <c r="G1210" s="25"/>
      <c r="O1210" s="25"/>
    </row>
    <row r="1211" spans="7:15">
      <c r="G1211" s="25"/>
      <c r="O1211" s="25"/>
    </row>
    <row r="1212" spans="7:15">
      <c r="G1212" s="25"/>
      <c r="O1212" s="25"/>
    </row>
    <row r="1213" spans="7:15">
      <c r="G1213" s="25"/>
      <c r="O1213" s="25"/>
    </row>
    <row r="1214" spans="7:15">
      <c r="G1214" s="25"/>
      <c r="O1214" s="25"/>
    </row>
    <row r="1215" spans="7:15">
      <c r="G1215" s="25"/>
      <c r="O1215" s="25"/>
    </row>
    <row r="1216" spans="7:15">
      <c r="G1216" s="25"/>
      <c r="O1216" s="25"/>
    </row>
    <row r="1217" spans="7:15">
      <c r="G1217" s="25"/>
      <c r="O1217" s="25"/>
    </row>
    <row r="1218" spans="7:15">
      <c r="G1218" s="25"/>
      <c r="O1218" s="25"/>
    </row>
    <row r="1219" spans="7:15">
      <c r="G1219" s="25"/>
      <c r="O1219" s="25"/>
    </row>
    <row r="1220" spans="7:15">
      <c r="G1220" s="25"/>
      <c r="O1220" s="25"/>
    </row>
    <row r="1221" spans="7:15">
      <c r="G1221" s="25"/>
      <c r="O1221" s="25"/>
    </row>
    <row r="1222" spans="7:15">
      <c r="G1222" s="25"/>
      <c r="O1222" s="25"/>
    </row>
    <row r="1223" spans="7:15">
      <c r="G1223" s="25"/>
      <c r="O1223" s="25"/>
    </row>
    <row r="1224" spans="7:15">
      <c r="G1224" s="25"/>
      <c r="O1224" s="25"/>
    </row>
    <row r="1225" spans="7:15">
      <c r="G1225" s="25"/>
      <c r="O1225" s="25"/>
    </row>
    <row r="1226" spans="7:15">
      <c r="G1226" s="25"/>
      <c r="O1226" s="25"/>
    </row>
    <row r="1227" spans="7:15">
      <c r="G1227" s="25"/>
      <c r="O1227" s="25"/>
    </row>
    <row r="1228" spans="7:15">
      <c r="G1228" s="25"/>
      <c r="O1228" s="25"/>
    </row>
    <row r="1229" spans="7:15">
      <c r="G1229" s="25"/>
      <c r="O1229" s="25"/>
    </row>
    <row r="1230" spans="7:15">
      <c r="G1230" s="25"/>
      <c r="O1230" s="25"/>
    </row>
    <row r="1231" spans="7:15">
      <c r="G1231" s="25"/>
      <c r="O1231" s="25"/>
    </row>
    <row r="1232" spans="7:15">
      <c r="G1232" s="25"/>
      <c r="O1232" s="25"/>
    </row>
    <row r="1233" spans="7:15">
      <c r="G1233" s="25"/>
      <c r="O1233" s="25"/>
    </row>
    <row r="1234" spans="7:15">
      <c r="G1234" s="25"/>
      <c r="O1234" s="25"/>
    </row>
    <row r="1235" spans="7:15">
      <c r="G1235" s="25"/>
      <c r="O1235" s="25"/>
    </row>
    <row r="1236" spans="7:15">
      <c r="G1236" s="25"/>
      <c r="O1236" s="25"/>
    </row>
    <row r="1237" spans="7:15">
      <c r="G1237" s="25"/>
      <c r="O1237" s="25"/>
    </row>
    <row r="1238" spans="7:15">
      <c r="G1238" s="25"/>
      <c r="O1238" s="25"/>
    </row>
    <row r="1239" spans="7:15">
      <c r="G1239" s="25"/>
      <c r="O1239" s="25"/>
    </row>
    <row r="1240" spans="7:15">
      <c r="G1240" s="25"/>
      <c r="O1240" s="25"/>
    </row>
    <row r="1241" spans="7:15">
      <c r="G1241" s="25"/>
      <c r="O1241" s="25"/>
    </row>
    <row r="1242" spans="7:15">
      <c r="G1242" s="25"/>
      <c r="O1242" s="25"/>
    </row>
    <row r="1243" spans="7:15">
      <c r="G1243" s="25"/>
      <c r="O1243" s="25"/>
    </row>
    <row r="1244" spans="7:15">
      <c r="G1244" s="25"/>
      <c r="O1244" s="25"/>
    </row>
    <row r="1245" spans="7:15">
      <c r="G1245" s="25"/>
      <c r="O1245" s="25"/>
    </row>
    <row r="1246" spans="7:15">
      <c r="G1246" s="25"/>
      <c r="O1246" s="25"/>
    </row>
    <row r="1247" spans="7:15">
      <c r="G1247" s="25"/>
      <c r="O1247" s="25"/>
    </row>
    <row r="1248" spans="7:15">
      <c r="G1248" s="25"/>
      <c r="O1248" s="25"/>
    </row>
    <row r="1249" spans="7:15">
      <c r="G1249" s="25"/>
      <c r="O1249" s="25"/>
    </row>
    <row r="1250" spans="7:15">
      <c r="G1250" s="25"/>
      <c r="O1250" s="25"/>
    </row>
    <row r="1251" spans="7:15">
      <c r="G1251" s="25"/>
      <c r="O1251" s="25"/>
    </row>
    <row r="1252" spans="7:15">
      <c r="G1252" s="25"/>
      <c r="O1252" s="25"/>
    </row>
    <row r="1253" spans="7:15">
      <c r="G1253" s="25"/>
      <c r="O1253" s="25"/>
    </row>
    <row r="1254" spans="7:15">
      <c r="G1254" s="25"/>
      <c r="O1254" s="25"/>
    </row>
    <row r="1255" spans="7:15">
      <c r="G1255" s="25"/>
      <c r="O1255" s="25"/>
    </row>
    <row r="1256" spans="7:15">
      <c r="G1256" s="25"/>
      <c r="O1256" s="25"/>
    </row>
    <row r="1257" spans="7:15">
      <c r="G1257" s="25"/>
      <c r="O1257" s="25"/>
    </row>
    <row r="1258" spans="7:15">
      <c r="G1258" s="25"/>
      <c r="O1258" s="25"/>
    </row>
    <row r="1259" spans="7:15">
      <c r="G1259" s="25"/>
      <c r="O1259" s="25"/>
    </row>
    <row r="1260" spans="7:15">
      <c r="G1260" s="25"/>
      <c r="O1260" s="25"/>
    </row>
    <row r="1261" spans="7:15">
      <c r="G1261" s="25"/>
      <c r="O1261" s="25"/>
    </row>
    <row r="1262" spans="7:15">
      <c r="G1262" s="25"/>
      <c r="O1262" s="25"/>
    </row>
    <row r="1263" spans="7:15">
      <c r="G1263" s="25"/>
      <c r="O1263" s="25"/>
    </row>
    <row r="1264" spans="7:15">
      <c r="G1264" s="25"/>
      <c r="O1264" s="25"/>
    </row>
    <row r="1265" spans="7:15">
      <c r="G1265" s="25"/>
      <c r="O1265" s="25"/>
    </row>
    <row r="1266" spans="7:15">
      <c r="G1266" s="25"/>
      <c r="O1266" s="25"/>
    </row>
    <row r="1267" spans="7:15">
      <c r="G1267" s="25"/>
      <c r="O1267" s="25"/>
    </row>
    <row r="1268" spans="7:15">
      <c r="G1268" s="25"/>
      <c r="O1268" s="25"/>
    </row>
    <row r="1269" spans="7:15">
      <c r="G1269" s="25"/>
      <c r="O1269" s="25"/>
    </row>
    <row r="1270" spans="7:15">
      <c r="G1270" s="25"/>
      <c r="O1270" s="25"/>
    </row>
    <row r="1271" spans="7:15">
      <c r="G1271" s="25"/>
      <c r="O1271" s="25"/>
    </row>
    <row r="1272" spans="7:15">
      <c r="G1272" s="25"/>
      <c r="O1272" s="25"/>
    </row>
    <row r="1273" spans="7:15">
      <c r="G1273" s="25"/>
      <c r="O1273" s="25"/>
    </row>
    <row r="1274" spans="7:15">
      <c r="G1274" s="25"/>
      <c r="O1274" s="25"/>
    </row>
    <row r="1275" spans="7:15">
      <c r="G1275" s="25"/>
      <c r="O1275" s="25"/>
    </row>
    <row r="1276" spans="7:15">
      <c r="G1276" s="25"/>
      <c r="O1276" s="25"/>
    </row>
    <row r="1277" spans="7:15">
      <c r="G1277" s="25"/>
      <c r="O1277" s="25"/>
    </row>
    <row r="1278" spans="7:15">
      <c r="G1278" s="25"/>
      <c r="O1278" s="25"/>
    </row>
    <row r="1279" spans="7:15">
      <c r="G1279" s="25"/>
      <c r="O1279" s="25"/>
    </row>
    <row r="1280" spans="7:15">
      <c r="G1280" s="25"/>
      <c r="O1280" s="25"/>
    </row>
    <row r="1281" spans="7:15">
      <c r="G1281" s="25"/>
      <c r="O1281" s="25"/>
    </row>
    <row r="1282" spans="7:15">
      <c r="G1282" s="25"/>
      <c r="O1282" s="25"/>
    </row>
    <row r="1283" spans="7:15">
      <c r="G1283" s="25"/>
      <c r="O1283" s="25"/>
    </row>
    <row r="1284" spans="7:15">
      <c r="G1284" s="25"/>
      <c r="O1284" s="25"/>
    </row>
    <row r="1285" spans="7:15">
      <c r="G1285" s="25"/>
      <c r="O1285" s="25"/>
    </row>
    <row r="1286" spans="7:15">
      <c r="G1286" s="25"/>
      <c r="O1286" s="25"/>
    </row>
    <row r="1287" spans="7:15">
      <c r="G1287" s="25"/>
      <c r="O1287" s="25"/>
    </row>
    <row r="1288" spans="7:15">
      <c r="G1288" s="25"/>
      <c r="O1288" s="25"/>
    </row>
    <row r="1289" spans="7:15">
      <c r="G1289" s="25"/>
      <c r="O1289" s="25"/>
    </row>
    <row r="1290" spans="7:15">
      <c r="G1290" s="25"/>
      <c r="O1290" s="25"/>
    </row>
    <row r="1291" spans="7:15">
      <c r="G1291" s="25"/>
      <c r="O1291" s="25"/>
    </row>
    <row r="1292" spans="7:15">
      <c r="G1292" s="25"/>
      <c r="O1292" s="25"/>
    </row>
    <row r="1293" spans="7:15">
      <c r="G1293" s="25"/>
      <c r="O1293" s="25"/>
    </row>
    <row r="1294" spans="7:15">
      <c r="G1294" s="25"/>
      <c r="O1294" s="25"/>
    </row>
    <row r="1295" spans="7:15">
      <c r="G1295" s="25"/>
      <c r="O1295" s="25"/>
    </row>
    <row r="1296" spans="7:15">
      <c r="G1296" s="25"/>
      <c r="O1296" s="25"/>
    </row>
    <row r="1297" spans="7:15">
      <c r="G1297" s="25"/>
      <c r="O1297" s="25"/>
    </row>
    <row r="1298" spans="7:15">
      <c r="G1298" s="25"/>
      <c r="O1298" s="25"/>
    </row>
    <row r="1299" spans="7:15">
      <c r="G1299" s="25"/>
      <c r="O1299" s="25"/>
    </row>
    <row r="1300" spans="7:15">
      <c r="G1300" s="25"/>
      <c r="O1300" s="25"/>
    </row>
    <row r="1301" spans="7:15">
      <c r="G1301" s="25"/>
      <c r="O1301" s="25"/>
    </row>
    <row r="1302" spans="7:15">
      <c r="G1302" s="25"/>
      <c r="O1302" s="25"/>
    </row>
    <row r="1303" spans="7:15">
      <c r="G1303" s="25"/>
      <c r="O1303" s="25"/>
    </row>
    <row r="1304" spans="7:15">
      <c r="G1304" s="25"/>
      <c r="O1304" s="25"/>
    </row>
    <row r="1305" spans="7:15">
      <c r="G1305" s="25"/>
      <c r="O1305" s="25"/>
    </row>
    <row r="1306" spans="7:15">
      <c r="G1306" s="25"/>
      <c r="O1306" s="25"/>
    </row>
    <row r="1307" spans="7:15">
      <c r="G1307" s="25"/>
      <c r="O1307" s="25"/>
    </row>
    <row r="1308" spans="7:15">
      <c r="G1308" s="25"/>
      <c r="O1308" s="25"/>
    </row>
    <row r="1309" spans="7:15">
      <c r="G1309" s="25"/>
      <c r="O1309" s="25"/>
    </row>
    <row r="1310" spans="7:15">
      <c r="G1310" s="25"/>
      <c r="O1310" s="25"/>
    </row>
    <row r="1311" spans="7:15">
      <c r="G1311" s="25"/>
      <c r="O1311" s="25"/>
    </row>
    <row r="1312" spans="7:15">
      <c r="G1312" s="25"/>
      <c r="O1312" s="25"/>
    </row>
    <row r="1313" spans="7:15">
      <c r="G1313" s="25"/>
      <c r="O1313" s="25"/>
    </row>
    <row r="1314" spans="7:15">
      <c r="G1314" s="25"/>
      <c r="O1314" s="25"/>
    </row>
    <row r="1315" spans="7:15">
      <c r="G1315" s="25"/>
      <c r="O1315" s="25"/>
    </row>
    <row r="1316" spans="7:15">
      <c r="G1316" s="25"/>
      <c r="O1316" s="25"/>
    </row>
    <row r="1317" spans="7:15">
      <c r="G1317" s="25"/>
      <c r="O1317" s="25"/>
    </row>
    <row r="1318" spans="7:15">
      <c r="G1318" s="25"/>
      <c r="O1318" s="25"/>
    </row>
    <row r="1319" spans="7:15">
      <c r="G1319" s="25"/>
      <c r="O1319" s="25"/>
    </row>
    <row r="1320" spans="7:15">
      <c r="G1320" s="25"/>
      <c r="O1320" s="25"/>
    </row>
    <row r="1321" spans="7:15">
      <c r="G1321" s="25"/>
      <c r="O1321" s="25"/>
    </row>
    <row r="1322" spans="7:15">
      <c r="G1322" s="25"/>
      <c r="O1322" s="25"/>
    </row>
    <row r="1323" spans="7:15">
      <c r="G1323" s="25"/>
      <c r="O1323" s="25"/>
    </row>
    <row r="1324" spans="7:15">
      <c r="G1324" s="25"/>
      <c r="O1324" s="25"/>
    </row>
    <row r="1325" spans="7:15">
      <c r="G1325" s="25"/>
      <c r="O1325" s="25"/>
    </row>
    <row r="1326" spans="7:15">
      <c r="G1326" s="25"/>
      <c r="O1326" s="25"/>
    </row>
    <row r="1327" spans="7:15">
      <c r="G1327" s="25"/>
      <c r="O1327" s="25"/>
    </row>
    <row r="1328" spans="7:15">
      <c r="G1328" s="25"/>
      <c r="O1328" s="25"/>
    </row>
    <row r="1329" spans="7:15">
      <c r="G1329" s="25"/>
      <c r="O1329" s="25"/>
    </row>
    <row r="1330" spans="7:15">
      <c r="G1330" s="25"/>
      <c r="O1330" s="25"/>
    </row>
    <row r="1331" spans="7:15">
      <c r="G1331" s="25"/>
      <c r="O1331" s="25"/>
    </row>
    <row r="1332" spans="7:15">
      <c r="G1332" s="25"/>
      <c r="O1332" s="25"/>
    </row>
    <row r="1333" spans="7:15">
      <c r="G1333" s="25"/>
      <c r="O1333" s="25"/>
    </row>
    <row r="1334" spans="7:15">
      <c r="G1334" s="25"/>
      <c r="O1334" s="25"/>
    </row>
    <row r="1335" spans="7:15">
      <c r="G1335" s="25"/>
      <c r="O1335" s="25"/>
    </row>
    <row r="1336" spans="7:15">
      <c r="G1336" s="25"/>
      <c r="O1336" s="25"/>
    </row>
    <row r="1337" spans="7:15">
      <c r="G1337" s="25"/>
      <c r="O1337" s="25"/>
    </row>
    <row r="1338" spans="7:15">
      <c r="G1338" s="25"/>
      <c r="O1338" s="25"/>
    </row>
    <row r="1339" spans="7:15">
      <c r="G1339" s="25"/>
      <c r="O1339" s="25"/>
    </row>
    <row r="1340" spans="7:15">
      <c r="G1340" s="25"/>
      <c r="O1340" s="25"/>
    </row>
    <row r="1341" spans="7:15">
      <c r="G1341" s="25"/>
      <c r="O1341" s="25"/>
    </row>
    <row r="1342" spans="7:15">
      <c r="G1342" s="25"/>
      <c r="O1342" s="25"/>
    </row>
    <row r="1343" spans="7:15">
      <c r="G1343" s="25"/>
      <c r="O1343" s="25"/>
    </row>
    <row r="1344" spans="7:15">
      <c r="G1344" s="25"/>
      <c r="O1344" s="25"/>
    </row>
    <row r="1345" spans="7:15">
      <c r="G1345" s="25"/>
      <c r="O1345" s="25"/>
    </row>
    <row r="1346" spans="7:15">
      <c r="G1346" s="25"/>
      <c r="O1346" s="25"/>
    </row>
    <row r="1347" spans="7:15">
      <c r="G1347" s="25"/>
      <c r="O1347" s="25"/>
    </row>
    <row r="1348" spans="7:15">
      <c r="G1348" s="25"/>
      <c r="O1348" s="25"/>
    </row>
    <row r="1349" spans="7:15">
      <c r="G1349" s="25"/>
      <c r="O1349" s="25"/>
    </row>
    <row r="1350" spans="7:15">
      <c r="G1350" s="25"/>
      <c r="O1350" s="25"/>
    </row>
    <row r="1351" spans="7:15">
      <c r="G1351" s="25"/>
      <c r="O1351" s="25"/>
    </row>
    <row r="1352" spans="7:15">
      <c r="G1352" s="25"/>
      <c r="O1352" s="25"/>
    </row>
    <row r="1353" spans="7:15">
      <c r="G1353" s="25"/>
      <c r="O1353" s="25"/>
    </row>
    <row r="1354" spans="7:15">
      <c r="G1354" s="25"/>
      <c r="O1354" s="25"/>
    </row>
    <row r="1355" spans="7:15">
      <c r="G1355" s="25"/>
      <c r="O1355" s="25"/>
    </row>
    <row r="1356" spans="7:15">
      <c r="G1356" s="25"/>
      <c r="O1356" s="25"/>
    </row>
    <row r="1357" spans="7:15">
      <c r="G1357" s="25"/>
      <c r="O1357" s="25"/>
    </row>
    <row r="1358" spans="7:15">
      <c r="G1358" s="25"/>
      <c r="O1358" s="25"/>
    </row>
    <row r="1359" spans="7:15">
      <c r="G1359" s="25"/>
      <c r="O1359" s="25"/>
    </row>
    <row r="1360" spans="7:15">
      <c r="G1360" s="25"/>
      <c r="O1360" s="25"/>
    </row>
    <row r="1361" spans="7:15">
      <c r="G1361" s="25"/>
      <c r="O1361" s="25"/>
    </row>
    <row r="1362" spans="7:15">
      <c r="G1362" s="25"/>
      <c r="O1362" s="25"/>
    </row>
    <row r="1363" spans="7:15">
      <c r="G1363" s="25"/>
      <c r="O1363" s="25"/>
    </row>
    <row r="1364" spans="7:15">
      <c r="G1364" s="25"/>
      <c r="O1364" s="25"/>
    </row>
    <row r="1365" spans="7:15">
      <c r="G1365" s="25"/>
      <c r="O1365" s="25"/>
    </row>
    <row r="1366" spans="7:15">
      <c r="G1366" s="25"/>
      <c r="O1366" s="25"/>
    </row>
    <row r="1367" spans="7:15">
      <c r="G1367" s="25"/>
      <c r="O1367" s="25"/>
    </row>
    <row r="1368" spans="7:15">
      <c r="G1368" s="25"/>
      <c r="O1368" s="25"/>
    </row>
    <row r="1369" spans="7:15">
      <c r="G1369" s="25"/>
      <c r="O1369" s="25"/>
    </row>
    <row r="1370" spans="7:15">
      <c r="G1370" s="25"/>
      <c r="O1370" s="25"/>
    </row>
    <row r="1371" spans="7:15">
      <c r="G1371" s="25"/>
      <c r="O1371" s="25"/>
    </row>
    <row r="1372" spans="7:15">
      <c r="G1372" s="25"/>
      <c r="O1372" s="25"/>
    </row>
    <row r="1373" spans="7:15">
      <c r="G1373" s="25"/>
      <c r="O1373" s="25"/>
    </row>
    <row r="1374" spans="7:15">
      <c r="G1374" s="25"/>
      <c r="O1374" s="25"/>
    </row>
    <row r="1375" spans="7:15">
      <c r="G1375" s="25"/>
      <c r="O1375" s="25"/>
    </row>
    <row r="1376" spans="7:15">
      <c r="G1376" s="25"/>
      <c r="O1376" s="25"/>
    </row>
    <row r="1377" spans="7:15">
      <c r="G1377" s="25"/>
      <c r="O1377" s="25"/>
    </row>
    <row r="1378" spans="7:15">
      <c r="G1378" s="25"/>
      <c r="O1378" s="25"/>
    </row>
    <row r="1379" spans="7:15">
      <c r="G1379" s="25"/>
      <c r="O1379" s="25"/>
    </row>
    <row r="1380" spans="7:15">
      <c r="G1380" s="25"/>
      <c r="O1380" s="25"/>
    </row>
    <row r="1381" spans="7:15">
      <c r="G1381" s="25"/>
      <c r="O1381" s="25"/>
    </row>
    <row r="1382" spans="7:15">
      <c r="G1382" s="25"/>
      <c r="O1382" s="25"/>
    </row>
    <row r="1383" spans="7:15">
      <c r="G1383" s="25"/>
      <c r="O1383" s="25"/>
    </row>
    <row r="1384" spans="7:15">
      <c r="G1384" s="25"/>
      <c r="O1384" s="25"/>
    </row>
    <row r="1385" spans="7:15">
      <c r="G1385" s="25"/>
      <c r="O1385" s="25"/>
    </row>
    <row r="1386" spans="7:15">
      <c r="G1386" s="25"/>
      <c r="O1386" s="25"/>
    </row>
    <row r="1387" spans="7:15">
      <c r="G1387" s="25"/>
      <c r="O1387" s="25"/>
    </row>
    <row r="1388" spans="7:15">
      <c r="G1388" s="25"/>
      <c r="O1388" s="25"/>
    </row>
    <row r="1389" spans="7:15">
      <c r="G1389" s="25"/>
      <c r="O1389" s="25"/>
    </row>
    <row r="1390" spans="7:15">
      <c r="G1390" s="25"/>
      <c r="O1390" s="25"/>
    </row>
    <row r="1391" spans="7:15">
      <c r="G1391" s="25"/>
      <c r="O1391" s="25"/>
    </row>
    <row r="1392" spans="7:15">
      <c r="G1392" s="25"/>
      <c r="O1392" s="25"/>
    </row>
    <row r="1393" spans="7:15">
      <c r="G1393" s="25"/>
      <c r="O1393" s="25"/>
    </row>
    <row r="1394" spans="7:15">
      <c r="G1394" s="25"/>
      <c r="O1394" s="25"/>
    </row>
    <row r="1395" spans="7:15">
      <c r="G1395" s="25"/>
      <c r="O1395" s="25"/>
    </row>
    <row r="1396" spans="7:15">
      <c r="G1396" s="25"/>
      <c r="O1396" s="25"/>
    </row>
    <row r="1397" spans="7:15">
      <c r="G1397" s="25"/>
      <c r="O1397" s="25"/>
    </row>
    <row r="1398" spans="7:15">
      <c r="G1398" s="25"/>
      <c r="O1398" s="25"/>
    </row>
    <row r="1399" spans="7:15">
      <c r="G1399" s="25"/>
      <c r="O1399" s="25"/>
    </row>
    <row r="1400" spans="7:15">
      <c r="G1400" s="25"/>
      <c r="O1400" s="25"/>
    </row>
    <row r="1401" spans="7:15">
      <c r="G1401" s="25"/>
      <c r="O1401" s="25"/>
    </row>
    <row r="1402" spans="7:15">
      <c r="G1402" s="25"/>
      <c r="O1402" s="25"/>
    </row>
    <row r="1403" spans="7:15">
      <c r="G1403" s="25"/>
      <c r="O1403" s="25"/>
    </row>
    <row r="1404" spans="7:15">
      <c r="G1404" s="25"/>
      <c r="O1404" s="25"/>
    </row>
    <row r="1405" spans="7:15">
      <c r="G1405" s="25"/>
      <c r="O1405" s="25"/>
    </row>
    <row r="1406" spans="7:15">
      <c r="G1406" s="25"/>
      <c r="O1406" s="25"/>
    </row>
    <row r="1407" spans="7:15">
      <c r="G1407" s="25"/>
      <c r="O1407" s="25"/>
    </row>
    <row r="1408" spans="7:15">
      <c r="G1408" s="25"/>
      <c r="O1408" s="25"/>
    </row>
    <row r="1409" spans="7:15">
      <c r="G1409" s="25"/>
      <c r="O1409" s="25"/>
    </row>
    <row r="1410" spans="7:15">
      <c r="G1410" s="25"/>
      <c r="O1410" s="25"/>
    </row>
    <row r="1411" spans="7:15">
      <c r="G1411" s="25"/>
      <c r="O1411" s="25"/>
    </row>
    <row r="1412" spans="7:15">
      <c r="G1412" s="25"/>
      <c r="O1412" s="25"/>
    </row>
    <row r="1413" spans="7:15">
      <c r="G1413" s="25"/>
      <c r="O1413" s="25"/>
    </row>
    <row r="1414" spans="7:15">
      <c r="G1414" s="25"/>
      <c r="O1414" s="25"/>
    </row>
    <row r="1415" spans="7:15">
      <c r="G1415" s="25"/>
      <c r="O1415" s="25"/>
    </row>
    <row r="1416" spans="7:15">
      <c r="G1416" s="25"/>
      <c r="O1416" s="25"/>
    </row>
    <row r="1417" spans="7:15">
      <c r="G1417" s="25"/>
      <c r="O1417" s="25"/>
    </row>
    <row r="1418" spans="7:15">
      <c r="G1418" s="25"/>
      <c r="O1418" s="25"/>
    </row>
    <row r="1419" spans="7:15">
      <c r="G1419" s="25"/>
      <c r="O1419" s="25"/>
    </row>
    <row r="1420" spans="7:15">
      <c r="G1420" s="25"/>
      <c r="O1420" s="25"/>
    </row>
    <row r="1421" spans="7:15">
      <c r="G1421" s="25"/>
      <c r="O1421" s="25"/>
    </row>
    <row r="1422" spans="7:15">
      <c r="G1422" s="25"/>
      <c r="O1422" s="25"/>
    </row>
    <row r="1423" spans="7:15">
      <c r="G1423" s="25"/>
      <c r="O1423" s="25"/>
    </row>
    <row r="1424" spans="7:15">
      <c r="G1424" s="25"/>
      <c r="O1424" s="25"/>
    </row>
    <row r="1425" spans="7:15">
      <c r="G1425" s="25"/>
      <c r="O1425" s="25"/>
    </row>
    <row r="1426" spans="7:15">
      <c r="G1426" s="25"/>
      <c r="O1426" s="25"/>
    </row>
    <row r="1427" spans="7:15">
      <c r="G1427" s="25"/>
      <c r="O1427" s="25"/>
    </row>
    <row r="1428" spans="7:15">
      <c r="G1428" s="25"/>
      <c r="O1428" s="25"/>
    </row>
    <row r="1429" spans="7:15">
      <c r="G1429" s="25"/>
      <c r="O1429" s="25"/>
    </row>
    <row r="1430" spans="7:15">
      <c r="G1430" s="25"/>
      <c r="O1430" s="25"/>
    </row>
    <row r="1431" spans="7:15">
      <c r="G1431" s="25"/>
      <c r="O1431" s="25"/>
    </row>
    <row r="1432" spans="7:15">
      <c r="G1432" s="25"/>
      <c r="O1432" s="25"/>
    </row>
    <row r="1433" spans="7:15">
      <c r="G1433" s="25"/>
      <c r="O1433" s="25"/>
    </row>
    <row r="1434" spans="7:15">
      <c r="G1434" s="25"/>
      <c r="O1434" s="25"/>
    </row>
    <row r="1435" spans="7:15">
      <c r="G1435" s="25"/>
      <c r="O1435" s="25"/>
    </row>
    <row r="1436" spans="7:15">
      <c r="G1436" s="25"/>
      <c r="O1436" s="25"/>
    </row>
    <row r="1437" spans="7:15">
      <c r="G1437" s="25"/>
      <c r="O1437" s="25"/>
    </row>
    <row r="1438" spans="7:15">
      <c r="G1438" s="25"/>
      <c r="O1438" s="25"/>
    </row>
    <row r="1439" spans="7:15">
      <c r="G1439" s="25"/>
      <c r="O1439" s="25"/>
    </row>
    <row r="1440" spans="7:15">
      <c r="G1440" s="25"/>
      <c r="O1440" s="25"/>
    </row>
    <row r="1441" spans="7:15">
      <c r="G1441" s="25"/>
      <c r="O1441" s="25"/>
    </row>
    <row r="1442" spans="7:15">
      <c r="G1442" s="25"/>
      <c r="O1442" s="25"/>
    </row>
    <row r="1443" spans="7:15">
      <c r="G1443" s="25"/>
      <c r="O1443" s="25"/>
    </row>
    <row r="1444" spans="7:15">
      <c r="G1444" s="25"/>
      <c r="O1444" s="25"/>
    </row>
    <row r="1445" spans="7:15">
      <c r="G1445" s="25"/>
      <c r="O1445" s="25"/>
    </row>
    <row r="1446" spans="7:15">
      <c r="G1446" s="25"/>
      <c r="O1446" s="25"/>
    </row>
    <row r="1447" spans="7:15">
      <c r="G1447" s="25"/>
      <c r="O1447" s="25"/>
    </row>
    <row r="1448" spans="7:15">
      <c r="G1448" s="25"/>
      <c r="O1448" s="25"/>
    </row>
    <row r="1449" spans="7:15">
      <c r="G1449" s="25"/>
      <c r="O1449" s="25"/>
    </row>
    <row r="1450" spans="7:15">
      <c r="G1450" s="25"/>
      <c r="O1450" s="25"/>
    </row>
    <row r="1451" spans="7:15">
      <c r="G1451" s="25"/>
      <c r="O1451" s="25"/>
    </row>
    <row r="1452" spans="7:15">
      <c r="G1452" s="25"/>
      <c r="O1452" s="25"/>
    </row>
    <row r="1453" spans="7:15">
      <c r="G1453" s="25"/>
      <c r="O1453" s="25"/>
    </row>
    <row r="1454" spans="7:15">
      <c r="G1454" s="25"/>
      <c r="O1454" s="25"/>
    </row>
    <row r="1455" spans="7:15">
      <c r="G1455" s="25"/>
      <c r="O1455" s="25"/>
    </row>
    <row r="1456" spans="7:15">
      <c r="G1456" s="25"/>
      <c r="O1456" s="25"/>
    </row>
    <row r="1457" spans="7:15">
      <c r="G1457" s="25"/>
      <c r="O1457" s="25"/>
    </row>
    <row r="1458" spans="7:15">
      <c r="G1458" s="25"/>
      <c r="O1458" s="25"/>
    </row>
    <row r="1459" spans="7:15">
      <c r="G1459" s="25"/>
      <c r="O1459" s="25"/>
    </row>
    <row r="1460" spans="7:15">
      <c r="G1460" s="25"/>
      <c r="O1460" s="25"/>
    </row>
    <row r="1461" spans="7:15">
      <c r="G1461" s="25"/>
      <c r="O1461" s="25"/>
    </row>
    <row r="1462" spans="7:15">
      <c r="G1462" s="25"/>
      <c r="O1462" s="25"/>
    </row>
    <row r="1463" spans="7:15">
      <c r="G1463" s="25"/>
      <c r="O1463" s="25"/>
    </row>
    <row r="1464" spans="7:15">
      <c r="G1464" s="25"/>
      <c r="O1464" s="25"/>
    </row>
    <row r="1465" spans="7:15">
      <c r="G1465" s="25"/>
      <c r="O1465" s="25"/>
    </row>
    <row r="1466" spans="7:15">
      <c r="G1466" s="25"/>
      <c r="O1466" s="25"/>
    </row>
    <row r="1467" spans="7:15">
      <c r="G1467" s="25"/>
      <c r="O1467" s="25"/>
    </row>
    <row r="1468" spans="7:15">
      <c r="G1468" s="25"/>
      <c r="O1468" s="25"/>
    </row>
    <row r="1469" spans="7:15">
      <c r="G1469" s="25"/>
      <c r="O1469" s="25"/>
    </row>
    <row r="1470" spans="7:15">
      <c r="G1470" s="25"/>
      <c r="O1470" s="25"/>
    </row>
    <row r="1471" spans="7:15">
      <c r="G1471" s="25"/>
      <c r="O1471" s="25"/>
    </row>
    <row r="1472" spans="7:15">
      <c r="G1472" s="25"/>
      <c r="O1472" s="25"/>
    </row>
    <row r="1473" spans="7:15">
      <c r="G1473" s="25"/>
      <c r="O1473" s="25"/>
    </row>
    <row r="1474" spans="7:15">
      <c r="G1474" s="25"/>
      <c r="O1474" s="25"/>
    </row>
    <row r="1475" spans="7:15">
      <c r="G1475" s="25"/>
      <c r="O1475" s="25"/>
    </row>
    <row r="1476" spans="7:15">
      <c r="G1476" s="25"/>
      <c r="O1476" s="25"/>
    </row>
    <row r="1477" spans="7:15">
      <c r="G1477" s="25"/>
      <c r="O1477" s="25"/>
    </row>
    <row r="1478" spans="7:15">
      <c r="G1478" s="25"/>
      <c r="O1478" s="25"/>
    </row>
    <row r="1479" spans="7:15">
      <c r="G1479" s="25"/>
      <c r="O1479" s="25"/>
    </row>
    <row r="1480" spans="7:15">
      <c r="G1480" s="25"/>
      <c r="O1480" s="25"/>
    </row>
    <row r="1481" spans="7:15">
      <c r="G1481" s="25"/>
      <c r="O1481" s="25"/>
    </row>
    <row r="1482" spans="7:15">
      <c r="G1482" s="25"/>
      <c r="O1482" s="25"/>
    </row>
    <row r="1483" spans="7:15">
      <c r="G1483" s="25"/>
      <c r="O1483" s="25"/>
    </row>
    <row r="1484" spans="7:15">
      <c r="G1484" s="25"/>
      <c r="O1484" s="25"/>
    </row>
    <row r="1485" spans="7:15">
      <c r="G1485" s="25"/>
      <c r="O1485" s="25"/>
    </row>
    <row r="1486" spans="7:15">
      <c r="G1486" s="25"/>
      <c r="O1486" s="25"/>
    </row>
    <row r="1487" spans="7:15">
      <c r="G1487" s="25"/>
      <c r="O1487" s="25"/>
    </row>
    <row r="1488" spans="7:15">
      <c r="G1488" s="25"/>
      <c r="O1488" s="25"/>
    </row>
    <row r="1489" spans="7:15">
      <c r="G1489" s="25"/>
      <c r="O1489" s="25"/>
    </row>
    <row r="1490" spans="7:15">
      <c r="G1490" s="25"/>
      <c r="O1490" s="25"/>
    </row>
    <row r="1491" spans="7:15">
      <c r="G1491" s="25"/>
      <c r="O1491" s="25"/>
    </row>
    <row r="1492" spans="7:15">
      <c r="G1492" s="25"/>
      <c r="O1492" s="25"/>
    </row>
    <row r="1493" spans="7:15">
      <c r="G1493" s="25"/>
      <c r="O1493" s="25"/>
    </row>
    <row r="1494" spans="7:15">
      <c r="G1494" s="25"/>
      <c r="O1494" s="25"/>
    </row>
    <row r="1495" spans="7:15">
      <c r="G1495" s="25"/>
      <c r="O1495" s="25"/>
    </row>
    <row r="1496" spans="7:15">
      <c r="G1496" s="25"/>
      <c r="O1496" s="25"/>
    </row>
    <row r="1497" spans="7:15">
      <c r="G1497" s="25"/>
      <c r="O1497" s="25"/>
    </row>
    <row r="1498" spans="7:15">
      <c r="G1498" s="25"/>
      <c r="O1498" s="25"/>
    </row>
    <row r="1499" spans="7:15">
      <c r="G1499" s="25"/>
      <c r="O1499" s="25"/>
    </row>
    <row r="1500" spans="7:15">
      <c r="G1500" s="25"/>
      <c r="O1500" s="25"/>
    </row>
    <row r="1501" spans="7:15">
      <c r="G1501" s="25"/>
      <c r="O1501" s="25"/>
    </row>
    <row r="1502" spans="7:15">
      <c r="G1502" s="25"/>
      <c r="O1502" s="25"/>
    </row>
    <row r="1503" spans="7:15">
      <c r="G1503" s="25"/>
      <c r="O1503" s="25"/>
    </row>
    <row r="1504" spans="7:15">
      <c r="G1504" s="25"/>
      <c r="O1504" s="25"/>
    </row>
    <row r="1505" spans="7:15">
      <c r="G1505" s="25"/>
      <c r="O1505" s="25"/>
    </row>
    <row r="1506" spans="7:15">
      <c r="G1506" s="25"/>
      <c r="O1506" s="25"/>
    </row>
    <row r="1507" spans="7:15">
      <c r="G1507" s="25"/>
      <c r="O1507" s="25"/>
    </row>
    <row r="1508" spans="7:15">
      <c r="G1508" s="25"/>
      <c r="O1508" s="25"/>
    </row>
    <row r="1509" spans="7:15">
      <c r="G1509" s="25"/>
      <c r="O1509" s="25"/>
    </row>
    <row r="1510" spans="7:15">
      <c r="G1510" s="25"/>
      <c r="O1510" s="25"/>
    </row>
    <row r="1511" spans="7:15">
      <c r="G1511" s="25"/>
      <c r="O1511" s="25"/>
    </row>
    <row r="1512" spans="7:15">
      <c r="G1512" s="25"/>
      <c r="O1512" s="25"/>
    </row>
    <row r="1513" spans="7:15">
      <c r="G1513" s="25"/>
      <c r="O1513" s="25"/>
    </row>
    <row r="1514" spans="7:15">
      <c r="G1514" s="25"/>
      <c r="O1514" s="25"/>
    </row>
    <row r="1515" spans="7:15">
      <c r="G1515" s="25"/>
      <c r="O1515" s="25"/>
    </row>
    <row r="1516" spans="7:15">
      <c r="G1516" s="25"/>
      <c r="O1516" s="25"/>
    </row>
    <row r="1517" spans="7:15">
      <c r="G1517" s="25"/>
      <c r="O1517" s="25"/>
    </row>
    <row r="1518" spans="7:15">
      <c r="G1518" s="25"/>
      <c r="O1518" s="25"/>
    </row>
    <row r="1519" spans="7:15">
      <c r="G1519" s="25"/>
      <c r="O1519" s="25"/>
    </row>
    <row r="1520" spans="7:15">
      <c r="G1520" s="25"/>
      <c r="O1520" s="25"/>
    </row>
    <row r="1521" spans="7:15">
      <c r="G1521" s="25"/>
      <c r="O1521" s="25"/>
    </row>
    <row r="1522" spans="7:15">
      <c r="G1522" s="25"/>
      <c r="O1522" s="25"/>
    </row>
    <row r="1523" spans="7:15">
      <c r="G1523" s="25"/>
      <c r="O1523" s="25"/>
    </row>
    <row r="1524" spans="7:15">
      <c r="G1524" s="25"/>
      <c r="O1524" s="25"/>
    </row>
    <row r="1525" spans="7:15">
      <c r="G1525" s="25"/>
      <c r="O1525" s="25"/>
    </row>
    <row r="1526" spans="7:15">
      <c r="G1526" s="25"/>
      <c r="O1526" s="25"/>
    </row>
    <row r="1527" spans="7:15">
      <c r="G1527" s="25"/>
      <c r="O1527" s="25"/>
    </row>
    <row r="1528" spans="7:15">
      <c r="G1528" s="25"/>
      <c r="O1528" s="25"/>
    </row>
    <row r="1529" spans="7:15">
      <c r="G1529" s="25"/>
      <c r="O1529" s="25"/>
    </row>
    <row r="1530" spans="7:15">
      <c r="G1530" s="25"/>
      <c r="O1530" s="25"/>
    </row>
    <row r="1531" spans="7:15">
      <c r="G1531" s="25"/>
      <c r="O1531" s="25"/>
    </row>
    <row r="1532" spans="7:15">
      <c r="G1532" s="25"/>
      <c r="O1532" s="25"/>
    </row>
    <row r="1533" spans="7:15">
      <c r="G1533" s="25"/>
      <c r="O1533" s="25"/>
    </row>
    <row r="1534" spans="7:15">
      <c r="G1534" s="25"/>
      <c r="O1534" s="25"/>
    </row>
    <row r="1535" spans="7:15">
      <c r="G1535" s="25"/>
      <c r="O1535" s="25"/>
    </row>
    <row r="1536" spans="7:15">
      <c r="G1536" s="25"/>
      <c r="O1536" s="25"/>
    </row>
    <row r="1537" spans="7:15">
      <c r="G1537" s="25"/>
      <c r="O1537" s="25"/>
    </row>
    <row r="1538" spans="7:15">
      <c r="G1538" s="25"/>
      <c r="O1538" s="25"/>
    </row>
    <row r="1539" spans="7:15">
      <c r="G1539" s="25"/>
      <c r="O1539" s="25"/>
    </row>
    <row r="1540" spans="7:15">
      <c r="G1540" s="25"/>
      <c r="O1540" s="25"/>
    </row>
    <row r="1541" spans="7:15">
      <c r="G1541" s="25"/>
      <c r="O1541" s="25"/>
    </row>
    <row r="1542" spans="7:15">
      <c r="G1542" s="25"/>
      <c r="O1542" s="25"/>
    </row>
    <row r="1543" spans="7:15">
      <c r="G1543" s="25"/>
      <c r="O1543" s="25"/>
    </row>
    <row r="1544" spans="7:15">
      <c r="G1544" s="25"/>
      <c r="O1544" s="25"/>
    </row>
    <row r="1545" spans="7:15">
      <c r="G1545" s="25"/>
      <c r="O1545" s="25"/>
    </row>
    <row r="1546" spans="7:15">
      <c r="G1546" s="25"/>
      <c r="O1546" s="25"/>
    </row>
    <row r="1547" spans="7:15">
      <c r="G1547" s="25"/>
      <c r="O1547" s="25"/>
    </row>
    <row r="1548" spans="7:15">
      <c r="G1548" s="25"/>
      <c r="O1548" s="25"/>
    </row>
    <row r="1549" spans="7:15">
      <c r="G1549" s="25"/>
      <c r="O1549" s="25"/>
    </row>
    <row r="1550" spans="7:15">
      <c r="G1550" s="25"/>
      <c r="O1550" s="25"/>
    </row>
    <row r="1551" spans="7:15">
      <c r="G1551" s="25"/>
      <c r="O1551" s="25"/>
    </row>
    <row r="1552" spans="7:15">
      <c r="G1552" s="25"/>
      <c r="O1552" s="25"/>
    </row>
    <row r="1553" spans="7:15">
      <c r="G1553" s="25"/>
      <c r="O1553" s="25"/>
    </row>
    <row r="1554" spans="7:15">
      <c r="G1554" s="25"/>
      <c r="O1554" s="25"/>
    </row>
    <row r="1555" spans="7:15">
      <c r="G1555" s="25"/>
      <c r="O1555" s="25"/>
    </row>
    <row r="1556" spans="7:15">
      <c r="G1556" s="25"/>
      <c r="O1556" s="25"/>
    </row>
    <row r="1557" spans="7:15">
      <c r="G1557" s="25"/>
      <c r="O1557" s="2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799B-D8BD-49AE-8720-99247FC9BA3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sqref="A1:XFD1048576"/>
    </sheetView>
  </sheetViews>
  <sheetFormatPr defaultColWidth="9.140625" defaultRowHeight="14.25"/>
  <cols>
    <col min="1" max="1" width="3.140625" style="1" customWidth="1"/>
    <col min="2" max="16384" width="9.140625" style="1"/>
  </cols>
  <sheetData>
    <row r="2" spans="2:26" ht="15">
      <c r="B2" s="3" t="s">
        <v>10</v>
      </c>
      <c r="C2" s="4"/>
      <c r="D2" s="4"/>
      <c r="E2" s="4"/>
      <c r="F2" s="4"/>
      <c r="G2" s="3" t="s">
        <v>10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11</v>
      </c>
      <c r="C3" s="8"/>
      <c r="D3" s="8"/>
      <c r="E3" s="8"/>
      <c r="F3" s="9"/>
      <c r="G3" s="10" t="s">
        <v>12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11</v>
      </c>
      <c r="C4" s="13"/>
      <c r="D4" s="13"/>
      <c r="E4" s="13"/>
      <c r="F4" s="14"/>
      <c r="G4" s="15" t="s">
        <v>13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11</v>
      </c>
      <c r="C5" s="13"/>
      <c r="D5" s="13"/>
      <c r="E5" s="13"/>
      <c r="F5" s="14"/>
      <c r="G5" s="17" t="s">
        <v>12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11</v>
      </c>
      <c r="C6" s="13"/>
      <c r="D6" s="13"/>
      <c r="E6" s="13"/>
      <c r="F6" s="14"/>
      <c r="G6" s="15" t="s">
        <v>13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11</v>
      </c>
      <c r="C7" s="13"/>
      <c r="D7" s="13"/>
      <c r="E7" s="13"/>
      <c r="F7" s="14"/>
      <c r="G7" s="17" t="s">
        <v>12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11</v>
      </c>
      <c r="C8" s="20"/>
      <c r="D8" s="20"/>
      <c r="E8" s="20"/>
      <c r="F8" s="21"/>
      <c r="G8" s="22" t="s">
        <v>13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Model</vt:lpstr>
      <vt:lpstr>Notes | Quant Analysis</vt:lpstr>
      <vt:lpstr>Product Lines</vt:lpstr>
      <vt:lpstr>Economics</vt:lpstr>
      <vt:lpstr>Management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</cp:lastModifiedBy>
  <dcterms:created xsi:type="dcterms:W3CDTF">2015-06-05T18:17:20Z</dcterms:created>
  <dcterms:modified xsi:type="dcterms:W3CDTF">2026-10-23T08:58:45Z</dcterms:modified>
</cp:coreProperties>
</file>