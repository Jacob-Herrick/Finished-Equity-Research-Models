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8253EC69-1ACD-4F89-B98C-4CDA10670B09}" xr6:coauthVersionLast="47" xr6:coauthVersionMax="47" xr10:uidLastSave="{00000000-0000-0000-0000-000000000000}"/>
  <bookViews>
    <workbookView xWindow="-120" yWindow="-120" windowWidth="29040" windowHeight="15720" activeTab="1"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63" i="2" l="1"/>
  <c r="M100" i="2"/>
  <c r="M99" i="2"/>
  <c r="M83" i="2"/>
  <c r="M85" i="2" s="1"/>
  <c r="M74" i="2"/>
  <c r="M30" i="2"/>
  <c r="M33" i="2" s="1"/>
  <c r="M26" i="2"/>
  <c r="M15" i="2"/>
  <c r="M14" i="2"/>
  <c r="M13" i="2"/>
  <c r="M12" i="2"/>
  <c r="M11" i="2"/>
  <c r="M9" i="2"/>
  <c r="C6" i="1"/>
  <c r="L83" i="2"/>
  <c r="L85" i="2" s="1"/>
  <c r="L100" i="2"/>
  <c r="L99" i="2"/>
  <c r="L74" i="2"/>
  <c r="L30" i="2"/>
  <c r="L33" i="2" s="1"/>
  <c r="L26" i="2"/>
  <c r="L15" i="2"/>
  <c r="L14" i="2"/>
  <c r="L13" i="2"/>
  <c r="L12" i="2"/>
  <c r="L11" i="2"/>
  <c r="L9" i="2"/>
  <c r="L32" i="2" s="1"/>
  <c r="X105" i="2"/>
  <c r="W105" i="2"/>
  <c r="X104" i="2"/>
  <c r="W104" i="2"/>
  <c r="X103" i="2"/>
  <c r="W103" i="2"/>
  <c r="X99" i="2"/>
  <c r="X100" i="2"/>
  <c r="W100" i="2"/>
  <c r="X101" i="2"/>
  <c r="W101" i="2"/>
  <c r="W99" i="2"/>
  <c r="X98" i="2"/>
  <c r="W98" i="2"/>
  <c r="X97" i="2"/>
  <c r="W97" i="2"/>
  <c r="X96" i="2"/>
  <c r="W96" i="2"/>
  <c r="Y40" i="2"/>
  <c r="AR70" i="2"/>
  <c r="AR68" i="2"/>
  <c r="M101" i="2" l="1"/>
  <c r="M32" i="2"/>
  <c r="M104" i="2" s="1"/>
  <c r="M22" i="2"/>
  <c r="M20" i="2"/>
  <c r="M16" i="2"/>
  <c r="M21" i="2"/>
  <c r="M19" i="2"/>
  <c r="M18" i="2"/>
  <c r="L18" i="2"/>
  <c r="L104" i="2"/>
  <c r="L105" i="2"/>
  <c r="L52" i="2"/>
  <c r="L103" i="2"/>
  <c r="L55" i="2"/>
  <c r="L54" i="2"/>
  <c r="L53" i="2"/>
  <c r="L34" i="2"/>
  <c r="L20" i="2"/>
  <c r="L21" i="2"/>
  <c r="L19" i="2"/>
  <c r="L22" i="2"/>
  <c r="L101" i="2"/>
  <c r="L16" i="2"/>
  <c r="T253" i="3"/>
  <c r="T251"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AR62" i="2"/>
  <c r="AM68" i="2"/>
  <c r="AK62" i="2"/>
  <c r="AM62" i="2" s="1"/>
  <c r="AJ62" i="2"/>
  <c r="AM79" i="2"/>
  <c r="AO62" i="2"/>
  <c r="M105" i="2" l="1"/>
  <c r="M52" i="2"/>
  <c r="M103" i="2"/>
  <c r="M34" i="2"/>
  <c r="M53" i="2"/>
  <c r="M54" i="2"/>
  <c r="M55" i="2"/>
  <c r="L51" i="2"/>
  <c r="L39" i="2"/>
  <c r="T250" i="3"/>
  <c r="T254" i="3"/>
  <c r="AO63" i="2"/>
  <c r="M39" i="2" l="1"/>
  <c r="M51" i="2"/>
  <c r="L56" i="2"/>
  <c r="L45" i="2"/>
  <c r="T255" i="3"/>
  <c r="T249" i="3"/>
  <c r="M56" i="2" l="1"/>
  <c r="M45" i="2"/>
  <c r="L57" i="2"/>
  <c r="L47" i="2"/>
  <c r="T248" i="3"/>
  <c r="T256" i="3"/>
  <c r="M47" i="2" l="1"/>
  <c r="M57" i="2"/>
  <c r="L58" i="2"/>
  <c r="L49" i="2"/>
  <c r="L96" i="2"/>
  <c r="T257" i="3"/>
  <c r="T247" i="3"/>
  <c r="M58" i="2" l="1"/>
  <c r="M96" i="2"/>
  <c r="M49" i="2"/>
  <c r="T246" i="3"/>
  <c r="T258" i="3"/>
  <c r="T259" i="3" l="1"/>
  <c r="T245" i="3"/>
  <c r="T244" i="3" l="1"/>
  <c r="T260" i="3"/>
  <c r="T261" i="3" l="1"/>
  <c r="T243" i="3"/>
  <c r="T242" i="3" l="1"/>
  <c r="T262" i="3"/>
  <c r="T263" i="3" l="1"/>
  <c r="T241" i="3"/>
  <c r="T240" i="3" l="1"/>
  <c r="T264" i="3"/>
  <c r="T265" i="3" l="1"/>
  <c r="T239" i="3"/>
  <c r="T238" i="3" l="1"/>
  <c r="T266" i="3"/>
  <c r="T267" i="3" l="1"/>
  <c r="T237" i="3"/>
  <c r="T236" i="3" l="1"/>
  <c r="T268" i="3"/>
  <c r="T269" i="3" l="1"/>
  <c r="T235" i="3"/>
  <c r="T234" i="3" l="1"/>
  <c r="T270" i="3"/>
  <c r="T271" i="3" l="1"/>
  <c r="T233" i="3"/>
  <c r="T232" i="3" l="1"/>
  <c r="T272" i="3"/>
  <c r="T273" i="3" l="1"/>
  <c r="T231" i="3"/>
  <c r="T230" i="3" l="1"/>
  <c r="T274" i="3"/>
  <c r="T275" i="3" l="1"/>
  <c r="T229" i="3"/>
  <c r="T228" i="3" l="1"/>
  <c r="T276" i="3"/>
  <c r="T277" i="3" l="1"/>
  <c r="T227" i="3"/>
  <c r="T226" i="3" l="1"/>
  <c r="T278" i="3"/>
  <c r="T279" i="3" l="1"/>
  <c r="T225" i="3"/>
  <c r="T224" i="3" l="1"/>
  <c r="T280" i="3"/>
  <c r="T281" i="3" l="1"/>
  <c r="T223" i="3"/>
  <c r="T222" i="3" l="1"/>
  <c r="T282" i="3"/>
  <c r="T283" i="3" l="1"/>
  <c r="T221" i="3"/>
  <c r="T220" i="3" l="1"/>
  <c r="T284" i="3"/>
  <c r="T285" i="3" l="1"/>
  <c r="T219" i="3"/>
  <c r="T218" i="3" l="1"/>
  <c r="T286" i="3"/>
  <c r="T287" i="3" l="1"/>
  <c r="T217" i="3"/>
  <c r="T216" i="3" l="1"/>
  <c r="T288" i="3"/>
  <c r="T289" i="3" l="1"/>
  <c r="T215" i="3"/>
  <c r="T214" i="3" l="1"/>
  <c r="T290" i="3"/>
  <c r="T291" i="3" l="1"/>
  <c r="T213" i="3"/>
  <c r="T212" i="3" l="1"/>
  <c r="T292" i="3"/>
  <c r="X58" i="2" l="1"/>
  <c r="W58" i="2"/>
  <c r="X57" i="2"/>
  <c r="W57" i="2"/>
  <c r="X56" i="2"/>
  <c r="W56" i="2"/>
  <c r="X55" i="2"/>
  <c r="W55" i="2"/>
  <c r="X54" i="2"/>
  <c r="W54" i="2"/>
  <c r="X53" i="2"/>
  <c r="W53" i="2"/>
  <c r="X52" i="2"/>
  <c r="W52" i="2"/>
  <c r="X51" i="2"/>
  <c r="W51" i="2"/>
  <c r="X30" i="2"/>
  <c r="W30" i="2"/>
  <c r="X29" i="2"/>
  <c r="W29" i="2"/>
  <c r="X28" i="2"/>
  <c r="W28" i="2"/>
  <c r="X26" i="2"/>
  <c r="W26" i="2"/>
  <c r="X25" i="2"/>
  <c r="W25" i="2"/>
  <c r="X24" i="2"/>
  <c r="W24" i="2"/>
  <c r="X48" i="2"/>
  <c r="W48" i="2"/>
  <c r="X49" i="2"/>
  <c r="W49" i="2"/>
  <c r="X47" i="2"/>
  <c r="W47" i="2"/>
  <c r="X46" i="2"/>
  <c r="W46" i="2"/>
  <c r="X45" i="2"/>
  <c r="W45" i="2"/>
  <c r="X44" i="2"/>
  <c r="W44" i="2"/>
  <c r="X43" i="2"/>
  <c r="W43" i="2"/>
  <c r="X42" i="2"/>
  <c r="W42" i="2"/>
  <c r="X41" i="2"/>
  <c r="W41" i="2"/>
  <c r="X40" i="2"/>
  <c r="W40" i="2"/>
  <c r="X39" i="2"/>
  <c r="W39" i="2"/>
  <c r="X38" i="2"/>
  <c r="W38" i="2"/>
  <c r="X37" i="2"/>
  <c r="W37" i="2"/>
  <c r="X36" i="2"/>
  <c r="W36" i="2"/>
  <c r="X35" i="2"/>
  <c r="W35" i="2"/>
  <c r="X34" i="2"/>
  <c r="W34" i="2"/>
  <c r="X83" i="2"/>
  <c r="W83" i="2"/>
  <c r="X85" i="2"/>
  <c r="W85" i="2"/>
  <c r="X84" i="2"/>
  <c r="W84" i="2"/>
  <c r="X82" i="2"/>
  <c r="W82" i="2"/>
  <c r="X81" i="2"/>
  <c r="W81" i="2"/>
  <c r="X80" i="2"/>
  <c r="W80" i="2"/>
  <c r="X79" i="2"/>
  <c r="W79" i="2"/>
  <c r="X78" i="2"/>
  <c r="W78" i="2"/>
  <c r="X77" i="2"/>
  <c r="W77" i="2"/>
  <c r="X76" i="2"/>
  <c r="W76" i="2"/>
  <c r="X74" i="2"/>
  <c r="W74" i="2"/>
  <c r="X73" i="2"/>
  <c r="W73" i="2"/>
  <c r="X72" i="2"/>
  <c r="W72" i="2"/>
  <c r="X71" i="2"/>
  <c r="W71" i="2"/>
  <c r="X70" i="2"/>
  <c r="W70" i="2"/>
  <c r="X69" i="2"/>
  <c r="W69" i="2"/>
  <c r="X68" i="2"/>
  <c r="W68" i="2"/>
  <c r="X67" i="2"/>
  <c r="W67" i="2"/>
  <c r="X66" i="2"/>
  <c r="W66" i="2"/>
  <c r="X65" i="2"/>
  <c r="W65" i="2"/>
  <c r="X64" i="2"/>
  <c r="W64" i="2"/>
  <c r="X63" i="2"/>
  <c r="W63" i="2"/>
  <c r="X62" i="2"/>
  <c r="W62" i="2"/>
  <c r="X61" i="2"/>
  <c r="W61" i="2"/>
  <c r="X60" i="2"/>
  <c r="W60" i="2"/>
  <c r="F46" i="2"/>
  <c r="F43" i="2"/>
  <c r="F44" i="2"/>
  <c r="F42" i="2"/>
  <c r="F41" i="2"/>
  <c r="F40" i="2"/>
  <c r="F38" i="2"/>
  <c r="F37" i="2"/>
  <c r="F36" i="2"/>
  <c r="F35" i="2"/>
  <c r="J46" i="2"/>
  <c r="J44" i="2"/>
  <c r="J43" i="2"/>
  <c r="J42" i="2"/>
  <c r="J41" i="2"/>
  <c r="J40" i="2"/>
  <c r="J38" i="2"/>
  <c r="J37" i="2"/>
  <c r="J36" i="2"/>
  <c r="J35" i="2"/>
  <c r="F8" i="2"/>
  <c r="F7" i="2"/>
  <c r="F6" i="2"/>
  <c r="F5" i="2"/>
  <c r="F4" i="2"/>
  <c r="F29" i="2"/>
  <c r="F28" i="2"/>
  <c r="F30" i="2" s="1"/>
  <c r="F33" i="2" s="1"/>
  <c r="F25" i="2"/>
  <c r="F26" i="2" s="1"/>
  <c r="F24" i="2"/>
  <c r="J29" i="2"/>
  <c r="J28" i="2"/>
  <c r="J25" i="2"/>
  <c r="J24" i="2"/>
  <c r="J26" i="2" s="1"/>
  <c r="J99" i="2"/>
  <c r="I99" i="2"/>
  <c r="H99" i="2"/>
  <c r="G99" i="2"/>
  <c r="F99" i="2"/>
  <c r="E99" i="2"/>
  <c r="D99" i="2"/>
  <c r="D101" i="2" s="1"/>
  <c r="C99" i="2"/>
  <c r="K99" i="2"/>
  <c r="J100" i="2"/>
  <c r="I100" i="2"/>
  <c r="H100" i="2"/>
  <c r="G100" i="2"/>
  <c r="F100" i="2"/>
  <c r="E100" i="2"/>
  <c r="D100" i="2"/>
  <c r="C100" i="2"/>
  <c r="K100" i="2"/>
  <c r="J83" i="2"/>
  <c r="J85" i="2" s="1"/>
  <c r="I83" i="2"/>
  <c r="I85" i="2" s="1"/>
  <c r="H83" i="2"/>
  <c r="H85" i="2" s="1"/>
  <c r="G83" i="2"/>
  <c r="G85" i="2" s="1"/>
  <c r="F83" i="2"/>
  <c r="F85" i="2" s="1"/>
  <c r="K83" i="2"/>
  <c r="K85" i="2" s="1"/>
  <c r="J74" i="2"/>
  <c r="I74" i="2"/>
  <c r="H74" i="2"/>
  <c r="G74" i="2"/>
  <c r="F74" i="2"/>
  <c r="K74" i="2"/>
  <c r="J8" i="2"/>
  <c r="X8" i="2" s="1"/>
  <c r="Y8" i="2" s="1"/>
  <c r="J7" i="2"/>
  <c r="X7" i="2" s="1"/>
  <c r="J6" i="2"/>
  <c r="X6" i="2" s="1"/>
  <c r="Y6" i="2" s="1"/>
  <c r="J5" i="2"/>
  <c r="X5" i="2" s="1"/>
  <c r="Y5" i="2" s="1"/>
  <c r="J4" i="2"/>
  <c r="X4" i="2" s="1"/>
  <c r="Y4" i="2" s="1"/>
  <c r="K30" i="2"/>
  <c r="K33" i="2" s="1"/>
  <c r="J30" i="2"/>
  <c r="J33" i="2" s="1"/>
  <c r="I30" i="2"/>
  <c r="I33" i="2" s="1"/>
  <c r="H30" i="2"/>
  <c r="H33" i="2" s="1"/>
  <c r="G30" i="2"/>
  <c r="G33" i="2" s="1"/>
  <c r="E30" i="2"/>
  <c r="E33" i="2" s="1"/>
  <c r="D30" i="2"/>
  <c r="D33" i="2" s="1"/>
  <c r="C30" i="2"/>
  <c r="C33" i="2" s="1"/>
  <c r="I26" i="2"/>
  <c r="H26" i="2"/>
  <c r="G26" i="2"/>
  <c r="E26" i="2"/>
  <c r="D26" i="2"/>
  <c r="C26" i="2"/>
  <c r="K26" i="2"/>
  <c r="Y3" i="2"/>
  <c r="J101" i="2" l="1"/>
  <c r="E101" i="2"/>
  <c r="H101" i="2"/>
  <c r="G101" i="2"/>
  <c r="K101" i="2"/>
  <c r="C101" i="2"/>
  <c r="I101" i="2"/>
  <c r="F101" i="2"/>
  <c r="X33" i="2"/>
  <c r="Y7" i="2"/>
  <c r="Y9" i="2" s="1"/>
  <c r="Y16" i="2" l="1"/>
  <c r="Y32" i="2"/>
  <c r="K15" i="2"/>
  <c r="J15" i="2"/>
  <c r="I15" i="2"/>
  <c r="H15" i="2"/>
  <c r="K14" i="2"/>
  <c r="J14" i="2"/>
  <c r="I14" i="2"/>
  <c r="H14" i="2"/>
  <c r="K13" i="2"/>
  <c r="J13" i="2"/>
  <c r="I13" i="2"/>
  <c r="H13" i="2"/>
  <c r="K12" i="2"/>
  <c r="J12" i="2"/>
  <c r="I12" i="2"/>
  <c r="H12" i="2"/>
  <c r="K11" i="2"/>
  <c r="J11" i="2"/>
  <c r="I11" i="2"/>
  <c r="H11" i="2"/>
  <c r="K9" i="2"/>
  <c r="K32" i="2" s="1"/>
  <c r="J9" i="2"/>
  <c r="J32" i="2" s="1"/>
  <c r="I9" i="2"/>
  <c r="I32" i="2" s="1"/>
  <c r="H9" i="2"/>
  <c r="H22" i="2" s="1"/>
  <c r="G15" i="2"/>
  <c r="G14" i="2"/>
  <c r="G13" i="2"/>
  <c r="G12" i="2"/>
  <c r="G11" i="2"/>
  <c r="F9" i="2"/>
  <c r="F32" i="2" s="1"/>
  <c r="E9" i="2"/>
  <c r="E21" i="2" s="1"/>
  <c r="D9" i="2"/>
  <c r="D20" i="2" s="1"/>
  <c r="C9" i="2"/>
  <c r="C32" i="2" s="1"/>
  <c r="G9" i="2"/>
  <c r="W33" i="2"/>
  <c r="G188" i="3"/>
  <c r="W8" i="2"/>
  <c r="W7" i="2"/>
  <c r="W6" i="2"/>
  <c r="W5" i="2"/>
  <c r="W4" i="2"/>
  <c r="Z3" i="2"/>
  <c r="AA3" i="2" s="1"/>
  <c r="AB3" i="2" s="1"/>
  <c r="AC3" i="2" s="1"/>
  <c r="AD3" i="2" s="1"/>
  <c r="AE3" i="2" s="1"/>
  <c r="AF3" i="2" s="1"/>
  <c r="AG3" i="2" s="1"/>
  <c r="AH3" i="2" s="1"/>
  <c r="AI3" i="2" s="1"/>
  <c r="AJ3" i="2" s="1"/>
  <c r="AK3" i="2" s="1"/>
  <c r="AL3" i="2" s="1"/>
  <c r="AM3" i="2" s="1"/>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O188" i="3"/>
  <c r="C5" i="1"/>
  <c r="C8" i="1" l="1"/>
  <c r="AM65" i="2"/>
  <c r="S207" i="3"/>
  <c r="S205" i="3"/>
  <c r="S206" i="3" s="1"/>
  <c r="S204" i="3"/>
  <c r="S203" i="3"/>
  <c r="S202" i="3"/>
  <c r="S201" i="3"/>
  <c r="Y37" i="2"/>
  <c r="Y36" i="2"/>
  <c r="Y35" i="2"/>
  <c r="Y38" i="2"/>
  <c r="Y34" i="2"/>
  <c r="Y33" i="2"/>
  <c r="J105" i="2"/>
  <c r="J103" i="2"/>
  <c r="J104" i="2"/>
  <c r="I105" i="2"/>
  <c r="I103" i="2"/>
  <c r="I104" i="2"/>
  <c r="F103" i="2"/>
  <c r="F105" i="2"/>
  <c r="F104" i="2"/>
  <c r="K55" i="2"/>
  <c r="K105" i="2"/>
  <c r="K103" i="2"/>
  <c r="K104" i="2"/>
  <c r="C104" i="2"/>
  <c r="C105" i="2"/>
  <c r="C103" i="2"/>
  <c r="F34" i="2"/>
  <c r="F54" i="2"/>
  <c r="F55" i="2"/>
  <c r="F53" i="2"/>
  <c r="F52" i="2"/>
  <c r="I34" i="2"/>
  <c r="I55" i="2"/>
  <c r="I54" i="2"/>
  <c r="I53" i="2"/>
  <c r="I52" i="2"/>
  <c r="J34" i="2"/>
  <c r="J55" i="2"/>
  <c r="J54" i="2"/>
  <c r="J53" i="2"/>
  <c r="J52" i="2"/>
  <c r="C34" i="2"/>
  <c r="C53" i="2"/>
  <c r="C55" i="2"/>
  <c r="C52" i="2"/>
  <c r="C54" i="2"/>
  <c r="K54" i="2"/>
  <c r="K52" i="2"/>
  <c r="K34" i="2"/>
  <c r="K53" i="2"/>
  <c r="D32" i="2"/>
  <c r="E20" i="2"/>
  <c r="E32" i="2"/>
  <c r="F20" i="2"/>
  <c r="Z8" i="2"/>
  <c r="AA8" i="2" s="1"/>
  <c r="AB8" i="2" s="1"/>
  <c r="AC8" i="2" s="1"/>
  <c r="AD8" i="2" s="1"/>
  <c r="AE8" i="2" s="1"/>
  <c r="AF8" i="2" s="1"/>
  <c r="AG8" i="2" s="1"/>
  <c r="AH8" i="2" s="1"/>
  <c r="X15" i="2"/>
  <c r="Z5" i="2"/>
  <c r="AA5" i="2" s="1"/>
  <c r="AB5" i="2" s="1"/>
  <c r="AC5" i="2" s="1"/>
  <c r="AD5" i="2" s="1"/>
  <c r="AE5" i="2" s="1"/>
  <c r="AF5" i="2" s="1"/>
  <c r="AG5" i="2" s="1"/>
  <c r="AH5" i="2" s="1"/>
  <c r="X12" i="2"/>
  <c r="E19" i="2"/>
  <c r="Z4" i="2"/>
  <c r="AA4" i="2" s="1"/>
  <c r="AB4" i="2" s="1"/>
  <c r="AC4" i="2" s="1"/>
  <c r="AD4" i="2" s="1"/>
  <c r="AE4" i="2" s="1"/>
  <c r="AF4" i="2" s="1"/>
  <c r="AG4" i="2" s="1"/>
  <c r="AH4" i="2" s="1"/>
  <c r="X11" i="2"/>
  <c r="D21" i="2"/>
  <c r="H18" i="2"/>
  <c r="D22" i="2"/>
  <c r="I18" i="2"/>
  <c r="G32" i="2"/>
  <c r="X9" i="2"/>
  <c r="Z7" i="2"/>
  <c r="AA7" i="2" s="1"/>
  <c r="AB7" i="2" s="1"/>
  <c r="AC7" i="2" s="1"/>
  <c r="AD7" i="2" s="1"/>
  <c r="AE7" i="2" s="1"/>
  <c r="AF7" i="2" s="1"/>
  <c r="AG7" i="2" s="1"/>
  <c r="AH7" i="2" s="1"/>
  <c r="X14" i="2"/>
  <c r="X13" i="2"/>
  <c r="E22" i="2"/>
  <c r="I20" i="2"/>
  <c r="D18" i="2"/>
  <c r="I22" i="2"/>
  <c r="E18" i="2"/>
  <c r="F18" i="2"/>
  <c r="J18" i="2"/>
  <c r="J20" i="2"/>
  <c r="J22" i="2"/>
  <c r="D19" i="2"/>
  <c r="F21" i="2"/>
  <c r="K18" i="2"/>
  <c r="K20" i="2"/>
  <c r="K22" i="2"/>
  <c r="H32" i="2"/>
  <c r="F19" i="2"/>
  <c r="I16" i="2"/>
  <c r="I19" i="2"/>
  <c r="I21" i="2"/>
  <c r="H16" i="2"/>
  <c r="H19" i="2"/>
  <c r="H21" i="2"/>
  <c r="F22" i="2"/>
  <c r="J16" i="2"/>
  <c r="J19" i="2"/>
  <c r="J21" i="2"/>
  <c r="K16" i="2"/>
  <c r="K19" i="2"/>
  <c r="K21" i="2"/>
  <c r="H20" i="2"/>
  <c r="G16" i="2"/>
  <c r="C18" i="2"/>
  <c r="C20" i="2"/>
  <c r="C21" i="2"/>
  <c r="C19" i="2"/>
  <c r="C22" i="2"/>
  <c r="G20" i="2"/>
  <c r="G21" i="2"/>
  <c r="G18" i="2"/>
  <c r="G19" i="2"/>
  <c r="G22" i="2"/>
  <c r="W9" i="2"/>
  <c r="W20" i="2" s="1"/>
  <c r="Z6" i="2"/>
  <c r="AA6" i="2" s="1"/>
  <c r="AB6" i="2" s="1"/>
  <c r="AC6" i="2" s="1"/>
  <c r="AD6" i="2" s="1"/>
  <c r="AE6" i="2" s="1"/>
  <c r="AF6" i="2" s="1"/>
  <c r="AG6" i="2" s="1"/>
  <c r="AH6" i="2" s="1"/>
  <c r="AM66" i="2" l="1"/>
  <c r="AM67" i="2"/>
  <c r="Y39" i="2"/>
  <c r="Y56" i="2" s="1"/>
  <c r="X223" i="3"/>
  <c r="U252" i="3"/>
  <c r="U251" i="3"/>
  <c r="U253" i="3"/>
  <c r="U254" i="3"/>
  <c r="U250" i="3"/>
  <c r="U249" i="3"/>
  <c r="U255" i="3"/>
  <c r="U256" i="3"/>
  <c r="U248" i="3"/>
  <c r="U247" i="3"/>
  <c r="U257" i="3"/>
  <c r="U258" i="3"/>
  <c r="U246" i="3"/>
  <c r="U259" i="3"/>
  <c r="U245" i="3"/>
  <c r="U260" i="3"/>
  <c r="U244" i="3"/>
  <c r="U243" i="3"/>
  <c r="U261" i="3"/>
  <c r="U262" i="3"/>
  <c r="U242" i="3"/>
  <c r="U241" i="3"/>
  <c r="U263" i="3"/>
  <c r="U264" i="3"/>
  <c r="U240" i="3"/>
  <c r="U239" i="3"/>
  <c r="U265" i="3"/>
  <c r="U266" i="3"/>
  <c r="U238" i="3"/>
  <c r="U237" i="3"/>
  <c r="U267" i="3"/>
  <c r="U268" i="3"/>
  <c r="U236" i="3"/>
  <c r="U235" i="3"/>
  <c r="U269" i="3"/>
  <c r="U234" i="3"/>
  <c r="U270" i="3"/>
  <c r="U233" i="3"/>
  <c r="U271" i="3"/>
  <c r="U272" i="3"/>
  <c r="U232" i="3"/>
  <c r="U231" i="3"/>
  <c r="U273" i="3"/>
  <c r="U274" i="3"/>
  <c r="U230" i="3"/>
  <c r="U275" i="3"/>
  <c r="U229" i="3"/>
  <c r="U276" i="3"/>
  <c r="U228" i="3"/>
  <c r="U227" i="3"/>
  <c r="U277" i="3"/>
  <c r="U278" i="3"/>
  <c r="U226" i="3"/>
  <c r="U225" i="3"/>
  <c r="U279" i="3"/>
  <c r="U280" i="3"/>
  <c r="U224" i="3"/>
  <c r="U223" i="3"/>
  <c r="U281" i="3"/>
  <c r="U282" i="3"/>
  <c r="U222" i="3"/>
  <c r="U221" i="3"/>
  <c r="U283" i="3"/>
  <c r="U284" i="3"/>
  <c r="U220" i="3"/>
  <c r="U219" i="3"/>
  <c r="U285" i="3"/>
  <c r="U286" i="3"/>
  <c r="U218" i="3"/>
  <c r="U217" i="3"/>
  <c r="U287" i="3"/>
  <c r="U288" i="3"/>
  <c r="U216" i="3"/>
  <c r="U289" i="3"/>
  <c r="U215" i="3"/>
  <c r="U214" i="3"/>
  <c r="U290" i="3"/>
  <c r="U213" i="3"/>
  <c r="U291" i="3"/>
  <c r="U212" i="3"/>
  <c r="U292" i="3"/>
  <c r="AR64" i="2"/>
  <c r="AR65" i="2" s="1"/>
  <c r="AM72" i="2"/>
  <c r="AM74" i="2" s="1"/>
  <c r="G103" i="2"/>
  <c r="G105" i="2"/>
  <c r="G104" i="2"/>
  <c r="H105" i="2"/>
  <c r="H103" i="2"/>
  <c r="H104" i="2"/>
  <c r="E103" i="2"/>
  <c r="E105" i="2"/>
  <c r="E104" i="2"/>
  <c r="D104" i="2"/>
  <c r="D103" i="2"/>
  <c r="D105" i="2"/>
  <c r="G55" i="2"/>
  <c r="G54" i="2"/>
  <c r="G53" i="2"/>
  <c r="G52" i="2"/>
  <c r="H34" i="2"/>
  <c r="H55" i="2"/>
  <c r="H54" i="2"/>
  <c r="H53" i="2"/>
  <c r="H52" i="2"/>
  <c r="E34" i="2"/>
  <c r="E55" i="2"/>
  <c r="E54" i="2"/>
  <c r="E53" i="2"/>
  <c r="E52" i="2"/>
  <c r="J39" i="2"/>
  <c r="J45" i="2" s="1"/>
  <c r="J47" i="2" s="1"/>
  <c r="J96" i="2" s="1"/>
  <c r="J51" i="2"/>
  <c r="C39" i="2"/>
  <c r="C45" i="2" s="1"/>
  <c r="C47" i="2" s="1"/>
  <c r="C96" i="2" s="1"/>
  <c r="C51" i="2"/>
  <c r="I39" i="2"/>
  <c r="I45" i="2" s="1"/>
  <c r="I47" i="2" s="1"/>
  <c r="I96" i="2" s="1"/>
  <c r="I51" i="2"/>
  <c r="D34" i="2"/>
  <c r="D55" i="2"/>
  <c r="D54" i="2"/>
  <c r="D53" i="2"/>
  <c r="D52" i="2"/>
  <c r="F39" i="2"/>
  <c r="F45" i="2" s="1"/>
  <c r="F47" i="2" s="1"/>
  <c r="F96" i="2" s="1"/>
  <c r="F51" i="2"/>
  <c r="K51" i="2"/>
  <c r="K39" i="2"/>
  <c r="K45" i="2" s="1"/>
  <c r="K47" i="2" s="1"/>
  <c r="K96" i="2" s="1"/>
  <c r="W32" i="2"/>
  <c r="W19" i="2"/>
  <c r="X16" i="2"/>
  <c r="X18" i="2"/>
  <c r="X22" i="2"/>
  <c r="X21" i="2"/>
  <c r="X19" i="2"/>
  <c r="X20" i="2"/>
  <c r="AH9" i="2"/>
  <c r="AH32" i="2" s="1"/>
  <c r="W21" i="2"/>
  <c r="W18" i="2"/>
  <c r="W22" i="2"/>
  <c r="G34" i="2"/>
  <c r="X32" i="2"/>
  <c r="AD9" i="2"/>
  <c r="AD32" i="2" s="1"/>
  <c r="AE9" i="2"/>
  <c r="AE32" i="2" s="1"/>
  <c r="AG9" i="2"/>
  <c r="AG32" i="2" s="1"/>
  <c r="AA9" i="2"/>
  <c r="AA32" i="2" s="1"/>
  <c r="AF9" i="2"/>
  <c r="AF32" i="2" s="1"/>
  <c r="AB9" i="2"/>
  <c r="AB32" i="2" s="1"/>
  <c r="Z9" i="2"/>
  <c r="Z32" i="2" s="1"/>
  <c r="AC9" i="2"/>
  <c r="AC32" i="2" s="1"/>
  <c r="X213" i="3"/>
  <c r="X212" i="3"/>
  <c r="X215" i="3"/>
  <c r="X222" i="3"/>
  <c r="X214" i="3"/>
  <c r="X225" i="3"/>
  <c r="X221" i="3"/>
  <c r="X217" i="3"/>
  <c r="X220" i="3"/>
  <c r="X224" i="3"/>
  <c r="X219" i="3"/>
  <c r="X216" i="3"/>
  <c r="X218" i="3"/>
  <c r="AM81" i="2" l="1"/>
  <c r="Y45" i="2"/>
  <c r="Y46" i="2" s="1"/>
  <c r="Y47" i="2" s="1"/>
  <c r="AA38" i="2"/>
  <c r="AA37" i="2"/>
  <c r="AA34" i="2"/>
  <c r="AA36" i="2"/>
  <c r="AA35" i="2"/>
  <c r="AA33" i="2"/>
  <c r="AG38" i="2"/>
  <c r="AG37" i="2"/>
  <c r="AG34" i="2"/>
  <c r="AG36" i="2"/>
  <c r="AG35" i="2"/>
  <c r="AG33" i="2"/>
  <c r="AB38" i="2"/>
  <c r="AB37" i="2"/>
  <c r="AB34" i="2"/>
  <c r="AB36" i="2"/>
  <c r="AB35" i="2"/>
  <c r="AB33" i="2"/>
  <c r="AH38" i="2"/>
  <c r="AH37" i="2"/>
  <c r="AH34" i="2"/>
  <c r="AH36" i="2"/>
  <c r="AH35" i="2"/>
  <c r="AH33" i="2"/>
  <c r="AD36" i="2"/>
  <c r="AD35" i="2"/>
  <c r="AD33" i="2"/>
  <c r="AD37" i="2"/>
  <c r="AD34" i="2"/>
  <c r="AD38" i="2"/>
  <c r="Z38" i="2"/>
  <c r="Z37" i="2"/>
  <c r="Z34" i="2"/>
  <c r="Z36" i="2"/>
  <c r="Z35" i="2"/>
  <c r="Z33" i="2"/>
  <c r="AF35" i="2"/>
  <c r="AF38" i="2"/>
  <c r="AF37" i="2"/>
  <c r="AF34" i="2"/>
  <c r="AF36" i="2"/>
  <c r="AF33" i="2"/>
  <c r="AE35" i="2"/>
  <c r="AE33" i="2"/>
  <c r="AE36" i="2"/>
  <c r="AE38" i="2"/>
  <c r="AE37" i="2"/>
  <c r="AE34" i="2"/>
  <c r="AC37" i="2"/>
  <c r="AC34" i="2"/>
  <c r="AC36" i="2"/>
  <c r="AC35" i="2"/>
  <c r="AC33" i="2"/>
  <c r="AC38" i="2"/>
  <c r="H39" i="2"/>
  <c r="H45" i="2" s="1"/>
  <c r="H47" i="2" s="1"/>
  <c r="H96" i="2" s="1"/>
  <c r="H51" i="2"/>
  <c r="D39" i="2"/>
  <c r="D45" i="2" s="1"/>
  <c r="D47" i="2" s="1"/>
  <c r="D96" i="2" s="1"/>
  <c r="D51" i="2"/>
  <c r="I56" i="2"/>
  <c r="F56" i="2"/>
  <c r="E39" i="2"/>
  <c r="E45" i="2" s="1"/>
  <c r="E47" i="2" s="1"/>
  <c r="E96" i="2" s="1"/>
  <c r="E51" i="2"/>
  <c r="J56" i="2"/>
  <c r="G39" i="2"/>
  <c r="G45" i="2" s="1"/>
  <c r="G47" i="2" s="1"/>
  <c r="G96" i="2" s="1"/>
  <c r="G51" i="2"/>
  <c r="C56" i="2"/>
  <c r="K56" i="2"/>
  <c r="AF16" i="2"/>
  <c r="Z16" i="2"/>
  <c r="AB16" i="2"/>
  <c r="AE16" i="2"/>
  <c r="AA16" i="2"/>
  <c r="AG16" i="2"/>
  <c r="AC16" i="2"/>
  <c r="AD16" i="2"/>
  <c r="AH16" i="2"/>
  <c r="AH39" i="2" l="1"/>
  <c r="AH56" i="2" s="1"/>
  <c r="Y60" i="2"/>
  <c r="Y58" i="2"/>
  <c r="AF39" i="2"/>
  <c r="AF56" i="2" s="1"/>
  <c r="AE39" i="2"/>
  <c r="AE56" i="2" s="1"/>
  <c r="AC39" i="2"/>
  <c r="AC56" i="2" s="1"/>
  <c r="AG39" i="2"/>
  <c r="AG56" i="2" s="1"/>
  <c r="AA39" i="2"/>
  <c r="AA56" i="2" s="1"/>
  <c r="Z39" i="2"/>
  <c r="AD39" i="2"/>
  <c r="AD56" i="2" s="1"/>
  <c r="AB39" i="2"/>
  <c r="AB56" i="2" s="1"/>
  <c r="F57" i="2"/>
  <c r="I57" i="2"/>
  <c r="J57" i="2"/>
  <c r="C57" i="2"/>
  <c r="G56" i="2"/>
  <c r="D56" i="2"/>
  <c r="E56" i="2"/>
  <c r="H56" i="2"/>
  <c r="K49" i="2"/>
  <c r="K57" i="2"/>
  <c r="Z56" i="2" l="1"/>
  <c r="Z40" i="2"/>
  <c r="Z45" i="2" s="1"/>
  <c r="Z46" i="2" s="1"/>
  <c r="Z47" i="2" s="1"/>
  <c r="C49" i="2"/>
  <c r="C58" i="2"/>
  <c r="E57" i="2"/>
  <c r="J49" i="2"/>
  <c r="J58" i="2"/>
  <c r="D57" i="2"/>
  <c r="I49" i="2"/>
  <c r="I58" i="2"/>
  <c r="H57" i="2"/>
  <c r="G57" i="2"/>
  <c r="F49" i="2"/>
  <c r="F58" i="2"/>
  <c r="K58" i="2"/>
  <c r="Z58" i="2" l="1"/>
  <c r="Z60" i="2"/>
  <c r="AA40" i="2" s="1"/>
  <c r="AA45" i="2" s="1"/>
  <c r="AA46" i="2" s="1"/>
  <c r="AA47" i="2" s="1"/>
  <c r="D49" i="2"/>
  <c r="D58" i="2"/>
  <c r="G49" i="2"/>
  <c r="G58" i="2"/>
  <c r="H49" i="2"/>
  <c r="H58" i="2"/>
  <c r="E49" i="2"/>
  <c r="E58" i="2"/>
  <c r="AA60" i="2" l="1"/>
  <c r="AA58" i="2"/>
  <c r="AB40" i="2" l="1"/>
  <c r="AB45" i="2" s="1"/>
  <c r="AB46" i="2" s="1"/>
  <c r="AB47" i="2" s="1"/>
  <c r="AB60" i="2" s="1"/>
  <c r="AC40" i="2" l="1"/>
  <c r="AC45" i="2" s="1"/>
  <c r="AB58" i="2"/>
  <c r="AC46" i="2" l="1"/>
  <c r="AC47" i="2" s="1"/>
  <c r="AC58" i="2" l="1"/>
  <c r="AC60" i="2"/>
  <c r="AD40" i="2" l="1"/>
  <c r="AD45" i="2" s="1"/>
  <c r="AD46" i="2" s="1"/>
  <c r="AD47" i="2" s="1"/>
  <c r="AD60" i="2" s="1"/>
  <c r="AE40" i="2" l="1"/>
  <c r="AE45" i="2" s="1"/>
  <c r="AE46" i="2" s="1"/>
  <c r="AE47" i="2" s="1"/>
  <c r="AE58" i="2" s="1"/>
  <c r="AD58" i="2"/>
  <c r="AE60" i="2" l="1"/>
  <c r="AF40" i="2" s="1"/>
  <c r="AF45" i="2" s="1"/>
  <c r="AF46" i="2" s="1"/>
  <c r="AF47" i="2" s="1"/>
  <c r="AF58" i="2" s="1"/>
  <c r="AF60" i="2" l="1"/>
  <c r="AG40" i="2" s="1"/>
  <c r="AG45" i="2" s="1"/>
  <c r="AG46" i="2" s="1"/>
  <c r="AG47" i="2" s="1"/>
  <c r="AG58" i="2" s="1"/>
  <c r="AG60" i="2" l="1"/>
  <c r="AH40" i="2" s="1"/>
  <c r="AH45" i="2" s="1"/>
  <c r="AH46" i="2" l="1"/>
  <c r="AH47" i="2" s="1"/>
  <c r="AI47" i="2" l="1"/>
  <c r="AJ47" i="2" s="1"/>
  <c r="AK47" i="2" s="1"/>
  <c r="AL47" i="2" s="1"/>
  <c r="AM47" i="2" s="1"/>
  <c r="AN47" i="2" s="1"/>
  <c r="AO47" i="2" s="1"/>
  <c r="AP47" i="2" s="1"/>
  <c r="AQ47" i="2" s="1"/>
  <c r="AR47" i="2" s="1"/>
  <c r="AS47" i="2" s="1"/>
  <c r="AT47" i="2" s="1"/>
  <c r="AU47" i="2" s="1"/>
  <c r="AV47" i="2" s="1"/>
  <c r="AW47" i="2" s="1"/>
  <c r="AX47" i="2" s="1"/>
  <c r="AY47" i="2" s="1"/>
  <c r="AZ47" i="2" s="1"/>
  <c r="BA47" i="2" s="1"/>
  <c r="BB47" i="2" s="1"/>
  <c r="BC47" i="2" s="1"/>
  <c r="BD47" i="2" s="1"/>
  <c r="BE47" i="2" s="1"/>
  <c r="BF47" i="2" s="1"/>
  <c r="BG47" i="2" s="1"/>
  <c r="BH47" i="2" s="1"/>
  <c r="BI47" i="2" s="1"/>
  <c r="BJ47" i="2" s="1"/>
  <c r="BK47" i="2" s="1"/>
  <c r="BL47" i="2" s="1"/>
  <c r="BM47" i="2" s="1"/>
  <c r="BN47" i="2" s="1"/>
  <c r="BO47" i="2" s="1"/>
  <c r="BP47" i="2" s="1"/>
  <c r="BQ47" i="2" s="1"/>
  <c r="BR47" i="2" s="1"/>
  <c r="BS47" i="2" s="1"/>
  <c r="BT47" i="2" s="1"/>
  <c r="BU47" i="2" s="1"/>
  <c r="BV47" i="2" s="1"/>
  <c r="BW47" i="2" s="1"/>
  <c r="BX47" i="2" s="1"/>
  <c r="BY47" i="2" s="1"/>
  <c r="BZ47" i="2" s="1"/>
  <c r="CA47" i="2" s="1"/>
  <c r="CB47" i="2" s="1"/>
  <c r="CC47" i="2" s="1"/>
  <c r="CD47" i="2" s="1"/>
  <c r="CE47" i="2" s="1"/>
  <c r="CF47" i="2" s="1"/>
  <c r="AR67" i="2" s="1"/>
  <c r="AR69" i="2" s="1"/>
  <c r="AH58" i="2"/>
  <c r="AH60" i="2"/>
  <c r="AR71" i="2" l="1"/>
  <c r="AQ72" i="2" l="1" a="1"/>
  <c r="AS7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<sst xmlns="http://schemas.openxmlformats.org/spreadsheetml/2006/main" count="785" uniqueCount="486">
  <si>
    <t xml:space="preserve">Price </t>
  </si>
  <si>
    <t>SO</t>
  </si>
  <si>
    <t>MC</t>
  </si>
  <si>
    <t>Cash</t>
  </si>
  <si>
    <t>Debt</t>
  </si>
  <si>
    <t>EV</t>
  </si>
  <si>
    <t>Investor Relations Contact:</t>
  </si>
  <si>
    <t>SEC filings</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</si>
  <si>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</si>
  <si>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</si>
  <si>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</si>
  <si>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</si>
  <si>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</si>
  <si>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</si>
  <si>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</si>
  <si>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</si>
  <si>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</si>
  <si>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</si>
  <si>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</si>
  <si>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</si>
  <si>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</si>
  <si>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</si>
  <si>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</si>
  <si>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</si>
  <si>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</si>
  <si>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</si>
  <si>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</si>
  <si>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</si>
  <si>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</si>
  <si>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</si>
  <si>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</si>
  <si>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</si>
  <si>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</si>
  <si>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</si>
  <si>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</si>
  <si>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</si>
  <si>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</si>
  <si>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</si>
  <si>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</si>
  <si>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</si>
  <si>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</si>
  <si>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</si>
  <si>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</si>
  <si>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</si>
  <si>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</si>
  <si>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</si>
  <si>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</si>
  <si>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</si>
  <si>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</si>
  <si>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</si>
  <si>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</si>
  <si>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</si>
  <si>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</si>
  <si>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</si>
  <si>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</si>
  <si>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</si>
  <si>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</si>
  <si>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</si>
  <si>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</si>
  <si>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</si>
  <si>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COGS</t>
  </si>
  <si>
    <t>GP</t>
  </si>
  <si>
    <t>Gross Profit Margin</t>
  </si>
  <si>
    <t>R&amp;D as % of Revenue</t>
  </si>
  <si>
    <t>Operating Profit Margin</t>
  </si>
  <si>
    <t>Effective Tax Rate</t>
  </si>
  <si>
    <t>Net Profit Margin</t>
  </si>
  <si>
    <t xml:space="preserve">Cash &amp; CEs </t>
  </si>
  <si>
    <t>Marketable Securities</t>
  </si>
  <si>
    <t>Current Ratio</t>
  </si>
  <si>
    <t>Quick Ratio</t>
  </si>
  <si>
    <t>Cash Ratio</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</si>
  <si>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</si>
  <si>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</si>
  <si>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</si>
  <si>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</si>
  <si>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</si>
  <si>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</si>
  <si>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</si>
  <si>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</si>
  <si>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</si>
  <si>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</si>
  <si>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</si>
  <si>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</si>
  <si>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</si>
  <si>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</si>
  <si>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</si>
  <si>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</si>
  <si>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</si>
  <si>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</si>
  <si>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</si>
  <si>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</si>
  <si>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</si>
  <si>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</si>
  <si>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</si>
  <si>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</si>
  <si>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</si>
  <si>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</si>
  <si>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</si>
  <si>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</si>
  <si>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</si>
  <si>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</si>
  <si>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</si>
  <si>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Y/y Total Revenues, Net Income, FCF</t>
  </si>
  <si>
    <t>Q/q Total Revenues, Net Income, FCF</t>
  </si>
  <si>
    <t>Institutional Ownership Snapshot Q2'25</t>
  </si>
  <si>
    <t>Company IR Page</t>
  </si>
  <si>
    <t>Company Homepage</t>
  </si>
  <si>
    <t>MacroTrends</t>
  </si>
  <si>
    <t>ROIC, WACC</t>
  </si>
  <si>
    <t>Ttl Revenue Growth Y/y</t>
  </si>
  <si>
    <t>Projected ROIC:</t>
  </si>
  <si>
    <t>Invested Capital</t>
  </si>
  <si>
    <t>ROIC</t>
  </si>
  <si>
    <t>Terminal</t>
  </si>
  <si>
    <t>RFR (10-year yield)</t>
  </si>
  <si>
    <t>ERP 
(Avg. market return - (less) RFR)</t>
  </si>
  <si>
    <t>Equity β (1-year avg.)</t>
  </si>
  <si>
    <t>Discount (Cost of Equity)</t>
  </si>
  <si>
    <t>NPV</t>
  </si>
  <si>
    <t>FV</t>
  </si>
  <si>
    <t>CP</t>
  </si>
  <si>
    <t>Change Δ</t>
  </si>
  <si>
    <t>VOO Historical Returns</t>
  </si>
  <si>
    <t>SHOP</t>
  </si>
  <si>
    <t>Shopify Inc. (SHOP)</t>
  </si>
  <si>
    <t>Founded: 2004</t>
  </si>
  <si>
    <t>Headquarters: Ottawa, ON</t>
  </si>
  <si>
    <t>Current CEO: Tobias Lutke</t>
  </si>
  <si>
    <t>Founder(s): Tobias Lutke, Daniel Weinand and Scott Lake</t>
  </si>
  <si>
    <t>Employees: 7,600</t>
  </si>
  <si>
    <t>Industry: Software Services</t>
  </si>
  <si>
    <t>Sector: Technology</t>
  </si>
  <si>
    <t>IPO: May, 21 2015 -- $1.27B valuation</t>
  </si>
  <si>
    <t>Fiscal Year: [January - December]</t>
  </si>
  <si>
    <t>Registered Exchange: NASDAQ</t>
  </si>
  <si>
    <t>Address: 151 O'Connor Street, Ottawa, ON Canada</t>
  </si>
  <si>
    <t>(613) 241 - 2828</t>
  </si>
  <si>
    <t>https://www.sec.gov/edgar/browse/?CIK=1594805&amp;owner=exclude</t>
  </si>
  <si>
    <t>https://www.shopify.com/</t>
  </si>
  <si>
    <t>https://www.shopify.com/investors</t>
  </si>
  <si>
    <t>https://stockanalysis.com/stocks/shop/company/</t>
  </si>
  <si>
    <t>https://www.macrotrends.net/stocks/charts/SHOP/shopify/income-statement</t>
  </si>
  <si>
    <t>https://www.gurufocus.com/term/wacc/SHOP</t>
  </si>
  <si>
    <t>Shopify Inc., a commerce technology company, provides tools to start, scale, market, and run a business of various sizes in Canada, the United States, Europe, the Middle East, Africa, the Asia Pacific, and Latin America</t>
  </si>
  <si>
    <t>The Company offers Shopify platform that enables merchants to manage products and inventory, process orders and payments, fulfill and ship orders, build customer relationships, source products, leverage analytics, and reporting and access financing for running their business</t>
  </si>
  <si>
    <t>Supports partner businesses across all of their sales channels, including web and mobile storefronts, physical retail locations, social media storefronts, and marketplaces</t>
  </si>
  <si>
    <t>It also provides Shopify Payments, a fully integrated payment processing service that allows merchants to accept and process payment cards online and offline</t>
  </si>
  <si>
    <t>In addition, the company engages in the sale of themes and apps; shipping labels through Shopify Shipping; point-of-sale hardware, advertising on the Shopify App Store … and Shop Campaigns for buyer acquisitions, as well as registration of domain names</t>
  </si>
  <si>
    <t>The Company was formerly known as Jaded Pixel Technologies Inc. and changed its name to Shopify Inc. in November 2011</t>
  </si>
  <si>
    <t>Shopify Inc. was incorporated in 2004 and is based in Ottawa, Canada</t>
  </si>
  <si>
    <t xml:space="preserve">U.S. </t>
  </si>
  <si>
    <t>Canada</t>
  </si>
  <si>
    <t>Europe</t>
  </si>
  <si>
    <t>APAC</t>
  </si>
  <si>
    <t>Rest of World</t>
  </si>
  <si>
    <t xml:space="preserve">U.S. Growth Y/y </t>
  </si>
  <si>
    <t>Canada Growth Y/y</t>
  </si>
  <si>
    <t>Europe Growth Y/y</t>
  </si>
  <si>
    <t>APAC Growth Y/y</t>
  </si>
  <si>
    <t>Rest of World Growth Y/y</t>
  </si>
  <si>
    <t xml:space="preserve">U.S. % of Ttl Revenues </t>
  </si>
  <si>
    <t>Canada % of Ttl Revenues</t>
  </si>
  <si>
    <t>Europe % of Ttl Revenues</t>
  </si>
  <si>
    <t>APAC % of Ttl Revenues</t>
  </si>
  <si>
    <t>Rest of World % of Ttl Revenues</t>
  </si>
  <si>
    <t>EPS</t>
  </si>
  <si>
    <r>
      <rPr>
        <b/>
        <sz val="11"/>
        <color rgb="FF0070C0"/>
        <rFont val="Calibre"/>
      </rPr>
      <t>Avg.</t>
    </r>
    <r>
      <rPr>
        <sz val="11"/>
        <color rgb="FF0070C0"/>
        <rFont val="Calibre"/>
      </rPr>
      <t xml:space="preserve"> (2024-2025)</t>
    </r>
  </si>
  <si>
    <t>2024-2025</t>
  </si>
  <si>
    <t>Capital Structure</t>
  </si>
  <si>
    <t>Mkt Cap</t>
  </si>
  <si>
    <t>Ttl Assets</t>
  </si>
  <si>
    <t>Debt to Ttl Mkt Cap</t>
  </si>
  <si>
    <t>Mkt Equity to Ttl Mkt Cap</t>
  </si>
  <si>
    <t>LT Debt / Equity</t>
  </si>
  <si>
    <t>Cost of Equity</t>
  </si>
  <si>
    <t>Market Return(1-year avg.)</t>
  </si>
  <si>
    <t xml:space="preserve">Cost of Equity </t>
  </si>
  <si>
    <t>Cost of Debt</t>
  </si>
  <si>
    <t>Ttl Liabilities</t>
  </si>
  <si>
    <t>Tax Rate</t>
  </si>
  <si>
    <t>Ttl SE</t>
  </si>
  <si>
    <t>After Tax Cost of Debt</t>
  </si>
  <si>
    <t>Ttl L + SE</t>
  </si>
  <si>
    <t>WACC</t>
  </si>
  <si>
    <t>Fixed Asset Turnover Ratio</t>
  </si>
  <si>
    <t>Ttl Asset Turnover Ratio</t>
  </si>
  <si>
    <t>CFFO Margin</t>
  </si>
  <si>
    <t>FCF Margin</t>
  </si>
  <si>
    <t>CapEx as % of Revenue</t>
  </si>
  <si>
    <t>Subscription Revenue</t>
  </si>
  <si>
    <t>Merchant Revenue</t>
  </si>
  <si>
    <t>Subscription Costs</t>
  </si>
  <si>
    <t>Merchant Costs</t>
  </si>
  <si>
    <t>Ttl Costs</t>
  </si>
  <si>
    <t xml:space="preserve">Sales &amp; Marketing </t>
  </si>
  <si>
    <t>R&amp;D</t>
  </si>
  <si>
    <t>General &amp; Administrative</t>
  </si>
  <si>
    <t>Transaction &amp; Loan Losses</t>
  </si>
  <si>
    <t>Operating Income</t>
  </si>
  <si>
    <t>Interest Income</t>
  </si>
  <si>
    <t>Pretax Income</t>
  </si>
  <si>
    <t>Taxes</t>
  </si>
  <si>
    <t>G&amp;A as % of Revenue</t>
  </si>
  <si>
    <t>S&amp;M as % of Revenue</t>
  </si>
  <si>
    <t>Loss as % of Revenue</t>
  </si>
  <si>
    <t>ForEx G/L</t>
  </si>
  <si>
    <t>Net G/L on Equity Method Inv</t>
  </si>
  <si>
    <t>Net Realized G/L on Equity Inv</t>
  </si>
  <si>
    <t>Net Unealized G/L on Equity Inv</t>
  </si>
  <si>
    <t>A/R</t>
  </si>
  <si>
    <t>ST Loans &amp; Merchant Cash Advances</t>
  </si>
  <si>
    <t>Other ST Assets</t>
  </si>
  <si>
    <t>PP&amp;E</t>
  </si>
  <si>
    <t>LT Operating Lease Assets</t>
  </si>
  <si>
    <t>Intangible Assets</t>
  </si>
  <si>
    <t>LT Deferred Tax Assets</t>
  </si>
  <si>
    <t>Other LT Assets</t>
  </si>
  <si>
    <t>LT Investments</t>
  </si>
  <si>
    <t>LT Equity Investments</t>
  </si>
  <si>
    <t>LT Equity Method Investments</t>
  </si>
  <si>
    <t>Goodwill</t>
  </si>
  <si>
    <t>A/P</t>
  </si>
  <si>
    <t>ST Deferred Revenue</t>
  </si>
  <si>
    <t>ST Operating Lease Liabilities</t>
  </si>
  <si>
    <t>LT Deferred Revenue</t>
  </si>
  <si>
    <t>Operating Lease Liabilities</t>
  </si>
  <si>
    <t>LT Deferred Tax Liabilities</t>
  </si>
  <si>
    <t>Convertible Notes</t>
  </si>
  <si>
    <t>Fri, 31 Jul 2026 00:00:00 GMT</t>
  </si>
  <si>
    <t>Thu, 30 Jul 2026 00:00:00 GMT</t>
  </si>
  <si>
    <t>Wed, 29 Jul 2026 00:00:00 GMT</t>
  </si>
  <si>
    <t>Tue, 28 Jul 2026 00:00:00 GMT</t>
  </si>
  <si>
    <t>Mon, 27 Jul 2026 00:00:00 GMT</t>
  </si>
  <si>
    <t>Fri, 24 Jul 2026 00:00:00 GMT</t>
  </si>
  <si>
    <t>Thu, 23 Jul 2026 00:00:00 GMT</t>
  </si>
  <si>
    <t>Wed, 22 Jul 2026 00:00:00 GMT</t>
  </si>
  <si>
    <t>Tue, 21 Jul 2026 00:00:00 GMT</t>
  </si>
  <si>
    <t>Mon, 20 Jul 2026 00:00:00 GMT</t>
  </si>
  <si>
    <t>Fri, 17 Jul 2026 00:00:00 GMT</t>
  </si>
  <si>
    <t>Thu, 16 Jul 2026 00:00:00 GMT</t>
  </si>
  <si>
    <t>Wed, 15 Jul 2026 00:00:00 GMT</t>
  </si>
  <si>
    <t>Tue, 14 Jul 2026 00:00:00 GMT</t>
  </si>
  <si>
    <t>Mon, 13 Jul 2026 00:00:00 GMT</t>
  </si>
  <si>
    <t>Fri, 10 Jul 2026 00:00:00 GMT</t>
  </si>
  <si>
    <t>Thu, 09 Jul 2026 00:00:00 GMT</t>
  </si>
  <si>
    <t>Wed, 08 Jul 2026 00:00:00 GMT</t>
  </si>
  <si>
    <t>Tue, 07 Jul 2026 00:00:00 GMT</t>
  </si>
  <si>
    <t>Mon, 06 Jul 2026 00:00:00 GMT</t>
  </si>
  <si>
    <t>Thu, 02 Jul 2026 00:00:00 GMT</t>
  </si>
  <si>
    <t>Wed, 01 Jul 2026 00:00:00 GMT</t>
  </si>
  <si>
    <t>Tue, 30 Jun 2026 00:00:00 GMT</t>
  </si>
  <si>
    <t>Mon, 29 Jun 2026 00:00:00 GMT</t>
  </si>
  <si>
    <t>Fri, 26 Jun 2026 00:00:00 GMT</t>
  </si>
  <si>
    <t>Thu, 25 Jun 2026 00:00:00 GMT</t>
  </si>
  <si>
    <t>Wed, 24 Jun 2026 00:00:00 GMT</t>
  </si>
  <si>
    <t>Tue, 23 Jun 2026 00:00:00 GMT</t>
  </si>
  <si>
    <t>Mon, 22 Jun 2026 00:00:00 GMT</t>
  </si>
  <si>
    <t>Thu, 18 Jun 2026 00:00:00 GMT</t>
  </si>
  <si>
    <t>Wed, 17 Jun 2026 00:00:00 GMT</t>
  </si>
  <si>
    <t>Tue, 16 Jun 2026 00:00:00 GMT</t>
  </si>
  <si>
    <t>Mon, 15 Jun 2026 00:00:00 GMT</t>
  </si>
  <si>
    <t>Fri, 12 Jun 2026 00:00:00 GMT</t>
  </si>
  <si>
    <t>Thu, 11 Jun 2026 00:00:00 GMT</t>
  </si>
  <si>
    <t>Wed, 10 Jun 2026 00:00:00 GMT</t>
  </si>
  <si>
    <t>Tue, 09 Jun 2026 00:00:00 GMT</t>
  </si>
  <si>
    <t>Mon, 08 Jun 2026 00:00:00 GMT</t>
  </si>
  <si>
    <t>Fri, 05 Jun 2026 00:00:00 GMT</t>
  </si>
  <si>
    <t>Thu, 04 Jun 2026 00:00:00 GMT</t>
  </si>
  <si>
    <t>Wed, 03 Jun 2026 00:00:00 GMT</t>
  </si>
  <si>
    <t>Tue, 02 Jun 2026 00:00:00 GMT</t>
  </si>
  <si>
    <t>Mon, 01 Jun 2026 00:00:00 GMT</t>
  </si>
  <si>
    <t>Fri, 29 May 2026 00:00:00 GMT</t>
  </si>
  <si>
    <t>Thu, 28 May 2026 00:00:00 GMT</t>
  </si>
  <si>
    <t>Wed, 27 May 2026 00:00:00 GMT</t>
  </si>
  <si>
    <t>Tue, 26 May 2026 00:00:00 GMT</t>
  </si>
  <si>
    <t>Fri, 22 May 2026 00:00:00 GMT</t>
  </si>
  <si>
    <t>Thu, 21 May 2026 00:00:00 GMT</t>
  </si>
  <si>
    <t>Wed, 20 May 2026 00:00:00 GMT</t>
  </si>
  <si>
    <t>Tue, 19 May 2026 00:00:00 GMT</t>
  </si>
  <si>
    <t>Mon, 18 May 2026 00:00:00 GMT</t>
  </si>
  <si>
    <t>Fri, 15 May 2026 00:00:00 GMT</t>
  </si>
  <si>
    <t>Thu, 14 May 2026 00:00:00 GMT</t>
  </si>
  <si>
    <t>Wed, 13 May 2026 00:00:00 GMT</t>
  </si>
  <si>
    <t>Tue, 12 May 2026 00:00:00 GMT</t>
  </si>
  <si>
    <t>Mon, 11 May 2026 00:00:00 GMT</t>
  </si>
  <si>
    <t>Fri, 08 May 2026 00:00:00 GMT</t>
  </si>
  <si>
    <t>Thu, 07 May 2026 00:00:00 GMT</t>
  </si>
  <si>
    <t>Wed, 06 May 2026 00:00:00 GMT</t>
  </si>
  <si>
    <t>Tue, 05 May 2026 00:00:00 GMT</t>
  </si>
  <si>
    <t>Mon, 04 May 2026 00:00:00 GMT</t>
  </si>
  <si>
    <t>Fri, 01 May 2026 00:00:00 GMT</t>
  </si>
  <si>
    <t>Thu, 30 Apr 2026 00:00:00 GMT</t>
  </si>
  <si>
    <t>Wed, 29 Apr 2026 00:00:00 GMT</t>
  </si>
  <si>
    <t>Tue, 28 Apr 2026 00:00:00 GMT</t>
  </si>
  <si>
    <t>Mon, 27 Apr 2026 00:00:00 GMT</t>
  </si>
  <si>
    <t>Fri, 24 Apr 2026 00:00:00 GMT</t>
  </si>
  <si>
    <t>Thu, 23 Apr 2026 00:00:00 GMT</t>
  </si>
  <si>
    <t>Wed, 22 Apr 2026 00:00:00 GMT</t>
  </si>
  <si>
    <t>Tue, 21 Apr 2026 00:00:00 GMT</t>
  </si>
  <si>
    <t>Mon, 20 Apr 2026 00:00:00 GMT</t>
  </si>
  <si>
    <t>Fri, 17 Apr 2026 00:00:00 GMT</t>
  </si>
  <si>
    <t>Thu, 16 Apr 2026 00:00:00 GMT</t>
  </si>
  <si>
    <t>Wed, 15 Apr 2026 00:00:00 GMT</t>
  </si>
  <si>
    <t>Tue, 14 Apr 2026 00:00:00 GMT</t>
  </si>
  <si>
    <t>Mon, 13 Apr 2026 00:00:00 GMT</t>
  </si>
  <si>
    <t>Fri, 10 Apr 2026 00:00:00 GMT</t>
  </si>
  <si>
    <t>Thu, 09 Apr 2026 00:00:00 GMT</t>
  </si>
  <si>
    <t>Wed, 08 Apr 2026 00:00:00 GMT</t>
  </si>
  <si>
    <t>Tue, 07 Apr 2026 00:00:00 GMT</t>
  </si>
  <si>
    <t>Mon, 06 Apr 2026 00:00:00 GMT</t>
  </si>
  <si>
    <t>Thu, 02 Apr 2026 00:00:00 GMT</t>
  </si>
  <si>
    <t>Wed, 01 Apr 2026 00:00:00 GMT</t>
  </si>
  <si>
    <t>Tue, 31 Mar 2026 00:00:00 GMT</t>
  </si>
  <si>
    <t>Mon, 30 Mar 2026 00:00:00 GMT</t>
  </si>
  <si>
    <t>Fri, 27 Mar 2026 00:00:00 GMT</t>
  </si>
  <si>
    <t>Thu, 26 Mar 2026 00:00:00 GMT</t>
  </si>
  <si>
    <t>Wed, 25 Mar 2026 00:00:00 GMT</t>
  </si>
  <si>
    <t>Tue, 24 Mar 2026 00:00:00 GMT</t>
  </si>
  <si>
    <t>Mon, 23 Mar 2026 00:00:00 GMT</t>
  </si>
  <si>
    <t>Fri, 20 Mar 2026 00:00:00 GMT</t>
  </si>
  <si>
    <t>Thu, 19 Mar 2026 00:00:00 GMT</t>
  </si>
  <si>
    <t>Wed, 18 Mar 2026 00:00:00 GMT</t>
  </si>
  <si>
    <t>Tue, 17 Mar 2026 00:00:00 GMT</t>
  </si>
  <si>
    <t>Mon, 16 Mar 2026 00:00:00 GMT</t>
  </si>
  <si>
    <t>Fri, 13 Mar 2026 00:00:00 GMT</t>
  </si>
  <si>
    <t>Thu, 12 Mar 2026 00:00:00 GMT</t>
  </si>
  <si>
    <t>Wed, 11 Mar 2026 00:00:00 GMT</t>
  </si>
  <si>
    <t>Tue, 10 Mar 2026 00:00:00 GMT</t>
  </si>
  <si>
    <t>Mon, 09 Mar 2026 00:00:00 GMT</t>
  </si>
  <si>
    <t>Fri, 06 Mar 2026 00:00:00 GMT</t>
  </si>
  <si>
    <t>Thu, 05 Mar 2026 00:00:00 GMT</t>
  </si>
  <si>
    <t>Wed, 04 Mar 2026 00:00:00 GMT</t>
  </si>
  <si>
    <t>Tue, 03 Mar 2026 00:00:00 GMT</t>
  </si>
  <si>
    <t>Mon, 02 Mar 2026 00:00:00 GMT</t>
  </si>
  <si>
    <t>Fri, 27 Feb 2026 00:00:00 GMT</t>
  </si>
  <si>
    <t>Thu, 26 Feb 2026 00:00:00 GMT</t>
  </si>
  <si>
    <t>Wed, 25 Feb 2026 00:00:00 GMT</t>
  </si>
  <si>
    <t>Tue, 24 Feb 2026 00:00:00 GMT</t>
  </si>
  <si>
    <t>Mon, 23 Feb 2026 00:00:00 GMT</t>
  </si>
  <si>
    <t>Fri, 20 Feb 2026 00:00:00 GMT</t>
  </si>
  <si>
    <t>Thu, 19 Feb 2026 00:00:00 GMT</t>
  </si>
  <si>
    <t>Wed, 18 Feb 2026 00:00:00 GMT</t>
  </si>
  <si>
    <t>Tue, 17 Feb 2026 00:00:00 GMT</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</si>
  <si>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</si>
  <si>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</si>
  <si>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</si>
  <si>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</si>
  <si>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</si>
  <si>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</si>
  <si>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</si>
  <si>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</si>
  <si>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</si>
  <si>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</si>
  <si>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</si>
  <si>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</si>
  <si>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</si>
  <si>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</si>
  <si>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</si>
  <si>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</si>
  <si>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</si>
  <si>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</si>
  <si>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</si>
  <si>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</si>
  <si>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</si>
  <si>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</si>
  <si>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</si>
  <si>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</si>
  <si>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</si>
  <si>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</si>
  <si>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</si>
  <si>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</si>
  <si>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</si>
  <si>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</si>
  <si>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</si>
  <si>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</si>
  <si>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</si>
  <si>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</si>
  <si>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</si>
  <si>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</si>
  <si>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</si>
  <si>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</si>
  <si>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</si>
  <si>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</si>
  <si>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</si>
  <si>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</si>
  <si>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</si>
  <si>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</si>
  <si>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</si>
  <si>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</si>
  <si>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</si>
  <si>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</si>
  <si>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</si>
  <si>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</si>
  <si>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</si>
  <si>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</si>
  <si>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</si>
  <si>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</si>
  <si>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</si>
  <si>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</si>
  <si>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</si>
  <si>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</si>
  <si>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</si>
  <si>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</si>
  <si>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</si>
  <si>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</si>
  <si>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</si>
  <si>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</si>
  <si>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</si>
  <si>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</si>
  <si>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</si>
  <si>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</si>
  <si>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</si>
  <si>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</si>
  <si>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</si>
  <si>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</si>
  <si>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</si>
  <si>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</si>
  <si>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</si>
  <si>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</si>
  <si>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</si>
  <si>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</si>
  <si>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</si>
  <si>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</si>
  <si>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</si>
  <si>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</si>
  <si>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</si>
  <si>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</si>
  <si>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</si>
  <si>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</si>
  <si>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</si>
  <si>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</si>
  <si>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</si>
  <si>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</si>
  <si>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</si>
  <si>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</si>
  <si>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</si>
  <si>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</si>
  <si>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</si>
  <si>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</si>
  <si>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</si>
  <si>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</si>
  <si>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</si>
  <si>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</si>
  <si>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</si>
  <si>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</si>
  <si>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</si>
  <si>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</si>
  <si>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</si>
  <si>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</si>
  <si>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</si>
  <si>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</si>
  <si>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</si>
  <si>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</si>
  <si>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</si>
  <si>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</si>
  <si>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</si>
  <si>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</si>
  <si>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</si>
  <si>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</si>
  <si>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</si>
  <si>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</si>
  <si>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</si>
  <si>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</si>
  <si>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</si>
  <si>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</si>
  <si>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</si>
  <si>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</si>
  <si>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</si>
  <si>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</si>
  <si>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</si>
  <si>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</si>
  <si>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</si>
  <si>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</si>
  <si>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</si>
  <si>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</si>
  <si>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</si>
  <si>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</si>
  <si>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</si>
  <si>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</si>
  <si>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r>
      <rPr>
        <i/>
        <sz val="11"/>
        <color theme="1"/>
        <rFont val="Calibre"/>
      </rPr>
      <t xml:space="preserve">251 </t>
    </r>
    <r>
      <rPr>
        <sz val="11"/>
        <color theme="1"/>
        <rFont val="Calibre"/>
      </rPr>
      <t xml:space="preserve">Trading Days? (From: </t>
    </r>
    <r>
      <rPr>
        <i/>
        <sz val="11"/>
        <color theme="1"/>
        <rFont val="Calibre"/>
      </rPr>
      <t>8/1/2025 - 8/1/2026</t>
    </r>
    <r>
      <rPr>
        <sz val="11"/>
        <color theme="1"/>
        <rFont val="Calibre"/>
      </rPr>
      <t>)</t>
    </r>
  </si>
  <si>
    <t>More</t>
  </si>
  <si>
    <t xml:space="preserve">General Notes/Observations </t>
  </si>
  <si>
    <t>Financial Stmts. Notes/Observations</t>
  </si>
  <si>
    <t>Q2'26</t>
  </si>
  <si>
    <t>10/22/2026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</si>
</sst>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color rgb="FF000000"/>
      <name val="Arial"/>
      <family val="2"/>
    </font>
    <font>
      <sz val="11"/>
      <color rgb="FF000000"/>
      <name val="Arial"/>
      <family val="2"/>
    </font>
    <font>
      <sz val="8.6"/>
      <color rgb="FF666666"/>
      <name val="Arial"/>
      <family val="2"/>
    </font>
    <font>
      <sz val="11"/>
      <color theme="4" tint="-0.249977111117893"/>
      <name val="Calibre"/>
    </font>
    <font>
      <sz val="10"/>
      <color theme="1"/>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xf numFmtId="0" fontId="21" fillId="0" borderId="0"/>
  </cellStyleXfs>
  <cellXfs count="91">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vertical="top" wrapText="1"/>
    </xf>
    <xf numFmtId="1" fontId="13" fillId="0" borderId="0" xfId="0" applyNumberFormat="1" applyFont="1" applyAlignment="1">
      <alignment vertical="top"/>
    </xf>
    <xf numFmtId="0" fontId="12" fillId="0" borderId="0" xfId="0" applyFont="1" applyAlignment="1">
      <alignment vertical="top"/>
    </xf>
    <xf numFmtId="2" fontId="13" fillId="0" borderId="0" xfId="0" applyNumberFormat="1" applyFont="1" applyAlignment="1">
      <alignment vertical="top"/>
    </xf>
    <xf numFmtId="49" fontId="13" fillId="0" borderId="0" xfId="0" applyNumberFormat="1" applyFont="1" applyAlignment="1">
      <alignment horizontal="right" vertical="top"/>
    </xf>
    <xf numFmtId="10" fontId="2" fillId="0" borderId="0" xfId="1" applyNumberFormat="1" applyFont="1"/>
    <xf numFmtId="2" fontId="8" fillId="5" borderId="0" xfId="0" applyNumberFormat="1" applyFont="1" applyFill="1" applyAlignment="1">
      <alignment horizontal="center" vertical="center"/>
    </xf>
    <xf numFmtId="165" fontId="2" fillId="0" borderId="0" xfId="1" applyNumberFormat="1" applyFont="1"/>
    <xf numFmtId="165" fontId="3" fillId="0" borderId="0" xfId="1" applyNumberFormat="1" applyFont="1"/>
    <xf numFmtId="0" fontId="12" fillId="0" borderId="0" xfId="0" applyFont="1" applyAlignment="1">
      <alignment horizontal="left" vertical="top" indent="1"/>
    </xf>
    <xf numFmtId="0" fontId="12" fillId="0" borderId="0" xfId="0" applyFont="1" applyAlignment="1">
      <alignment horizontal="right" vertical="center"/>
    </xf>
    <xf numFmtId="0" fontId="13" fillId="0" borderId="0" xfId="0" applyFont="1" applyAlignment="1">
      <alignment horizontal="left" indent="1"/>
    </xf>
    <xf numFmtId="10" fontId="13" fillId="0" borderId="0" xfId="1" applyNumberFormat="1" applyFont="1"/>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0" fontId="13" fillId="0" borderId="0" xfId="0" applyFont="1" applyAlignment="1">
      <alignment horizontal="left" vertical="top" indent="1"/>
    </xf>
    <xf numFmtId="1" fontId="13" fillId="0" borderId="0" xfId="0" applyNumberFormat="1" applyFont="1"/>
    <xf numFmtId="2" fontId="13" fillId="0" borderId="0" xfId="0" applyNumberFormat="1" applyFont="1"/>
    <xf numFmtId="9" fontId="13" fillId="0" borderId="0" xfId="1" applyFont="1"/>
    <xf numFmtId="10" fontId="13" fillId="0" borderId="0" xfId="1" applyNumberFormat="1" applyFont="1" applyAlignment="1">
      <alignment horizontal="left" indent="1"/>
    </xf>
    <xf numFmtId="10" fontId="13" fillId="0" borderId="0" xfId="1" applyNumberFormat="1" applyFont="1" applyAlignment="1">
      <alignment horizontal="right"/>
    </xf>
    <xf numFmtId="0" fontId="13" fillId="0" borderId="0" xfId="0" applyFont="1" applyAlignment="1">
      <alignment horizontal="center"/>
    </xf>
    <xf numFmtId="1" fontId="12" fillId="0" borderId="0" xfId="0" applyNumberFormat="1" applyFont="1" applyAlignment="1">
      <alignment horizontal="left" indent="1"/>
    </xf>
    <xf numFmtId="10" fontId="13" fillId="0" borderId="0" xfId="0" applyNumberFormat="1" applyFont="1"/>
    <xf numFmtId="43" fontId="2" fillId="0" borderId="0" xfId="3" applyFont="1" applyAlignment="1">
      <alignment horizontal="left"/>
    </xf>
    <xf numFmtId="166" fontId="2" fillId="0" borderId="0" xfId="3" applyNumberFormat="1" applyFont="1" applyAlignment="1">
      <alignment horizontal="left"/>
    </xf>
    <xf numFmtId="167" fontId="2" fillId="0" borderId="0" xfId="3" applyNumberFormat="1" applyFont="1" applyAlignment="1">
      <alignment horizontal="left"/>
    </xf>
    <xf numFmtId="0" fontId="18" fillId="0" borderId="0" xfId="0" applyFont="1" applyAlignment="1">
      <alignment horizontal="left" vertical="center"/>
    </xf>
    <xf numFmtId="0" fontId="17" fillId="0" borderId="0" xfId="0" applyFont="1" applyAlignment="1">
      <alignment horizontal="left" vertical="center"/>
    </xf>
    <xf numFmtId="0" fontId="19" fillId="0" borderId="0" xfId="0" applyFont="1" applyAlignment="1">
      <alignment horizontal="left" vertical="top"/>
    </xf>
    <xf numFmtId="1" fontId="3" fillId="0" borderId="0" xfId="1" applyNumberFormat="1" applyFont="1"/>
    <xf numFmtId="1" fontId="2" fillId="0" borderId="0" xfId="0" applyNumberFormat="1" applyFont="1"/>
    <xf numFmtId="164" fontId="2" fillId="0" borderId="0" xfId="0" applyNumberFormat="1" applyFont="1"/>
    <xf numFmtId="1" fontId="12" fillId="0" borderId="0" xfId="0" applyNumberFormat="1" applyFont="1"/>
    <xf numFmtId="165" fontId="13" fillId="0" borderId="0" xfId="0" applyNumberFormat="1" applyFont="1"/>
    <xf numFmtId="165" fontId="12" fillId="0" borderId="0" xfId="0" applyNumberFormat="1" applyFont="1"/>
    <xf numFmtId="0" fontId="13" fillId="0" borderId="0" xfId="0" applyFont="1" applyAlignment="1">
      <alignment horizontal="right"/>
    </xf>
    <xf numFmtId="0" fontId="21" fillId="0" borderId="0" xfId="4"/>
    <xf numFmtId="4" fontId="21" fillId="0" borderId="0" xfId="4" applyNumberFormat="1"/>
    <xf numFmtId="3" fontId="21" fillId="0" borderId="0" xfId="4" applyNumberFormat="1"/>
    <xf numFmtId="10" fontId="0" fillId="0" borderId="0" xfId="0" applyNumberFormat="1"/>
    <xf numFmtId="0" fontId="0" fillId="0" borderId="18" xfId="0" applyBorder="1"/>
    <xf numFmtId="0" fontId="9" fillId="0" borderId="17" xfId="0" applyFont="1" applyBorder="1" applyAlignment="1">
      <alignment horizontal="center"/>
    </xf>
    <xf numFmtId="0" fontId="20" fillId="0" borderId="0" xfId="0" applyFont="1" applyAlignment="1">
      <alignment horizontal="center"/>
    </xf>
  </cellXfs>
  <cellStyles count="5">
    <cellStyle name="Comma" xfId="3" builtinId="3"/>
    <cellStyle name="Hyperlink" xfId="2" builtinId="8"/>
    <cellStyle name="Normal" xfId="0" builtinId="0"/>
    <cellStyle name="Normal 2" xfId="4" xr:uid="{C1E10E7E-620C-4C1C-A1FC-208005822A52}"/>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FFFF"/>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(SHOP)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Model!$B$4</c:f>
              <c:strCache>
                <c:ptCount val="1"/>
                <c:pt idx="0">
                  <c:v>U.S. </c:v>
                </c:pt>
              </c:strCache>
            </c:strRef>
          </c:tx>
          <c:spPr>
            <a:solidFill>
              <a:schemeClr val="accent1"/>
            </a:solidFill>
            <a:ln>
              <a:noFill/>
            </a:ln>
            <a:effectLst/>
          </c:spPr>
          <c:invertIfNegative val="0"/>
          <c:cat>
            <c:strRef>
              <c:f>Model!$C$1:$K$1</c:f>
              <c:strCache>
                <c:ptCount val="9"/>
                <c:pt idx="0">
                  <c:v>Q1 2024</c:v>
                </c:pt>
                <c:pt idx="4">
                  <c:v>Q1 2025</c:v>
                </c:pt>
                <c:pt idx="8">
                  <c:v>Q1 2026</c:v>
                </c:pt>
              </c:strCache>
            </c:strRef>
          </c:cat>
          <c:val>
            <c:numRef>
              <c:f>Model!$C$4:$K$4</c:f>
              <c:numCache>
                <c:formatCode>General</c:formatCode>
                <c:ptCount val="9"/>
                <c:pt idx="0">
                  <c:v>1198</c:v>
                </c:pt>
                <c:pt idx="1">
                  <c:v>1323</c:v>
                </c:pt>
                <c:pt idx="2">
                  <c:v>1377</c:v>
                </c:pt>
                <c:pt idx="3">
                  <c:v>1810</c:v>
                </c:pt>
                <c:pt idx="4">
                  <c:v>1499</c:v>
                </c:pt>
                <c:pt idx="5">
                  <c:v>1703</c:v>
                </c:pt>
                <c:pt idx="6">
                  <c:v>1783</c:v>
                </c:pt>
                <c:pt idx="7">
                  <c:v>2346</c:v>
                </c:pt>
                <c:pt idx="8">
                  <c:v>2001</c:v>
                </c:pt>
              </c:numCache>
            </c:numRef>
          </c:val>
          <c:extLst>
            <c:ext xmlns:c16="http://schemas.microsoft.com/office/drawing/2014/chart" uri="{C3380CC4-5D6E-409C-BE32-E72D297353CC}">
              <c16:uniqueId val="{00000000-763E-43B3-B662-D76C6E829219}"/>
            </c:ext>
          </c:extLst>
        </c:ser>
        <c:ser>
          <c:idx val="1"/>
          <c:order val="1"/>
          <c:tx>
            <c:strRef>
              <c:f>Model!$B$5</c:f>
              <c:strCache>
                <c:ptCount val="1"/>
                <c:pt idx="0">
                  <c:v>Canada</c:v>
                </c:pt>
              </c:strCache>
            </c:strRef>
          </c:tx>
          <c:spPr>
            <a:solidFill>
              <a:schemeClr val="accent2"/>
            </a:solidFill>
            <a:ln>
              <a:noFill/>
            </a:ln>
            <a:effectLst/>
          </c:spPr>
          <c:invertIfNegative val="0"/>
          <c:cat>
            <c:strRef>
              <c:f>Model!$C$1:$K$1</c:f>
              <c:strCache>
                <c:ptCount val="9"/>
                <c:pt idx="0">
                  <c:v>Q1 2024</c:v>
                </c:pt>
                <c:pt idx="4">
                  <c:v>Q1 2025</c:v>
                </c:pt>
                <c:pt idx="8">
                  <c:v>Q1 2026</c:v>
                </c:pt>
              </c:strCache>
            </c:strRef>
          </c:cat>
          <c:val>
            <c:numRef>
              <c:f>Model!$C$5:$K$5</c:f>
              <c:numCache>
                <c:formatCode>General</c:formatCode>
                <c:ptCount val="9"/>
                <c:pt idx="0">
                  <c:v>99</c:v>
                </c:pt>
                <c:pt idx="1">
                  <c:v>114</c:v>
                </c:pt>
                <c:pt idx="2">
                  <c:v>119</c:v>
                </c:pt>
                <c:pt idx="3">
                  <c:v>151</c:v>
                </c:pt>
                <c:pt idx="4">
                  <c:v>119</c:v>
                </c:pt>
                <c:pt idx="5">
                  <c:v>133</c:v>
                </c:pt>
                <c:pt idx="6">
                  <c:v>138</c:v>
                </c:pt>
                <c:pt idx="7">
                  <c:v>177</c:v>
                </c:pt>
                <c:pt idx="8">
                  <c:v>147</c:v>
                </c:pt>
              </c:numCache>
            </c:numRef>
          </c:val>
          <c:extLst>
            <c:ext xmlns:c16="http://schemas.microsoft.com/office/drawing/2014/chart" uri="{C3380CC4-5D6E-409C-BE32-E72D297353CC}">
              <c16:uniqueId val="{00000001-763E-43B3-B662-D76C6E829219}"/>
            </c:ext>
          </c:extLst>
        </c:ser>
        <c:ser>
          <c:idx val="2"/>
          <c:order val="2"/>
          <c:tx>
            <c:strRef>
              <c:f>Model!$B$6</c:f>
              <c:strCache>
                <c:ptCount val="1"/>
                <c:pt idx="0">
                  <c:v>Europe</c:v>
                </c:pt>
              </c:strCache>
            </c:strRef>
          </c:tx>
          <c:spPr>
            <a:solidFill>
              <a:schemeClr val="accent3"/>
            </a:solidFill>
            <a:ln>
              <a:noFill/>
            </a:ln>
            <a:effectLst/>
          </c:spPr>
          <c:invertIfNegative val="0"/>
          <c:cat>
            <c:strRef>
              <c:f>Model!$C$1:$K$1</c:f>
              <c:strCache>
                <c:ptCount val="9"/>
                <c:pt idx="0">
                  <c:v>Q1 2024</c:v>
                </c:pt>
                <c:pt idx="4">
                  <c:v>Q1 2025</c:v>
                </c:pt>
                <c:pt idx="8">
                  <c:v>Q1 2026</c:v>
                </c:pt>
              </c:strCache>
            </c:strRef>
          </c:cat>
          <c:val>
            <c:numRef>
              <c:f>Model!$C$6:$K$6</c:f>
              <c:numCache>
                <c:formatCode>General</c:formatCode>
                <c:ptCount val="9"/>
                <c:pt idx="0">
                  <c:v>354</c:v>
                </c:pt>
                <c:pt idx="1">
                  <c:v>381</c:v>
                </c:pt>
                <c:pt idx="2">
                  <c:v>418</c:v>
                </c:pt>
                <c:pt idx="3">
                  <c:v>554</c:v>
                </c:pt>
                <c:pt idx="4">
                  <c:v>461</c:v>
                </c:pt>
                <c:pt idx="5">
                  <c:v>554</c:v>
                </c:pt>
                <c:pt idx="6">
                  <c:v>615</c:v>
                </c:pt>
                <c:pt idx="7">
                  <c:v>796</c:v>
                </c:pt>
                <c:pt idx="8">
                  <c:v>653</c:v>
                </c:pt>
              </c:numCache>
            </c:numRef>
          </c:val>
          <c:extLst>
            <c:ext xmlns:c16="http://schemas.microsoft.com/office/drawing/2014/chart" uri="{C3380CC4-5D6E-409C-BE32-E72D297353CC}">
              <c16:uniqueId val="{00000002-763E-43B3-B662-D76C6E829219}"/>
            </c:ext>
          </c:extLst>
        </c:ser>
        <c:ser>
          <c:idx val="3"/>
          <c:order val="3"/>
          <c:tx>
            <c:strRef>
              <c:f>Model!$B$7</c:f>
              <c:strCache>
                <c:ptCount val="1"/>
                <c:pt idx="0">
                  <c:v>APAC</c:v>
                </c:pt>
              </c:strCache>
            </c:strRef>
          </c:tx>
          <c:spPr>
            <a:solidFill>
              <a:schemeClr val="accent4"/>
            </a:solidFill>
            <a:ln>
              <a:noFill/>
            </a:ln>
            <a:effectLst/>
          </c:spPr>
          <c:invertIfNegative val="0"/>
          <c:cat>
            <c:strRef>
              <c:f>Model!$C$1:$K$1</c:f>
              <c:strCache>
                <c:ptCount val="9"/>
                <c:pt idx="0">
                  <c:v>Q1 2024</c:v>
                </c:pt>
                <c:pt idx="4">
                  <c:v>Q1 2025</c:v>
                </c:pt>
                <c:pt idx="8">
                  <c:v>Q1 2026</c:v>
                </c:pt>
              </c:strCache>
            </c:strRef>
          </c:cat>
          <c:val>
            <c:numRef>
              <c:f>Model!$C$7:$K$7</c:f>
              <c:numCache>
                <c:formatCode>General</c:formatCode>
                <c:ptCount val="9"/>
                <c:pt idx="0">
                  <c:v>189</c:v>
                </c:pt>
                <c:pt idx="1">
                  <c:v>203</c:v>
                </c:pt>
                <c:pt idx="2">
                  <c:v>223</c:v>
                </c:pt>
                <c:pt idx="3">
                  <c:v>270</c:v>
                </c:pt>
                <c:pt idx="4">
                  <c:v>240</c:v>
                </c:pt>
                <c:pt idx="5">
                  <c:v>265</c:v>
                </c:pt>
                <c:pt idx="6">
                  <c:v>282</c:v>
                </c:pt>
                <c:pt idx="7">
                  <c:v>341</c:v>
                </c:pt>
                <c:pt idx="8">
                  <c:v>312</c:v>
                </c:pt>
              </c:numCache>
            </c:numRef>
          </c:val>
          <c:extLst>
            <c:ext xmlns:c16="http://schemas.microsoft.com/office/drawing/2014/chart" uri="{C3380CC4-5D6E-409C-BE32-E72D297353CC}">
              <c16:uniqueId val="{00000003-763E-43B3-B662-D76C6E829219}"/>
            </c:ext>
          </c:extLst>
        </c:ser>
        <c:ser>
          <c:idx val="4"/>
          <c:order val="4"/>
          <c:tx>
            <c:strRef>
              <c:f>Model!$B$8</c:f>
              <c:strCache>
                <c:ptCount val="1"/>
                <c:pt idx="0">
                  <c:v>Rest of World</c:v>
                </c:pt>
              </c:strCache>
            </c:strRef>
          </c:tx>
          <c:spPr>
            <a:solidFill>
              <a:schemeClr val="accent5"/>
            </a:solidFill>
            <a:ln>
              <a:noFill/>
            </a:ln>
            <a:effectLst/>
          </c:spPr>
          <c:invertIfNegative val="0"/>
          <c:cat>
            <c:strRef>
              <c:f>Model!$C$1:$K$1</c:f>
              <c:strCache>
                <c:ptCount val="9"/>
                <c:pt idx="0">
                  <c:v>Q1 2024</c:v>
                </c:pt>
                <c:pt idx="4">
                  <c:v>Q1 2025</c:v>
                </c:pt>
                <c:pt idx="8">
                  <c:v>Q1 2026</c:v>
                </c:pt>
              </c:strCache>
            </c:strRef>
          </c:cat>
          <c:val>
            <c:numRef>
              <c:f>Model!$C$8:$K$8</c:f>
              <c:numCache>
                <c:formatCode>General</c:formatCode>
                <c:ptCount val="9"/>
                <c:pt idx="0">
                  <c:v>21</c:v>
                </c:pt>
                <c:pt idx="1">
                  <c:v>24</c:v>
                </c:pt>
                <c:pt idx="2">
                  <c:v>25</c:v>
                </c:pt>
                <c:pt idx="3">
                  <c:v>27</c:v>
                </c:pt>
                <c:pt idx="4">
                  <c:v>41</c:v>
                </c:pt>
                <c:pt idx="5">
                  <c:v>25</c:v>
                </c:pt>
                <c:pt idx="6">
                  <c:v>26</c:v>
                </c:pt>
                <c:pt idx="7">
                  <c:v>12</c:v>
                </c:pt>
                <c:pt idx="8">
                  <c:v>57</c:v>
                </c:pt>
              </c:numCache>
            </c:numRef>
          </c:val>
          <c:extLst>
            <c:ext xmlns:c16="http://schemas.microsoft.com/office/drawing/2014/chart" uri="{C3380CC4-5D6E-409C-BE32-E72D297353CC}">
              <c16:uniqueId val="{00000004-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(SHOP)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Model!$C$47:$K$47</c:f>
              <c:numCache>
                <c:formatCode>General</c:formatCode>
                <c:ptCount val="9"/>
                <c:pt idx="0">
                  <c:v>-273</c:v>
                </c:pt>
                <c:pt idx="1">
                  <c:v>171</c:v>
                </c:pt>
                <c:pt idx="2">
                  <c:v>828</c:v>
                </c:pt>
                <c:pt idx="3">
                  <c:v>1293</c:v>
                </c:pt>
                <c:pt idx="4">
                  <c:v>-682</c:v>
                </c:pt>
                <c:pt idx="5">
                  <c:v>906</c:v>
                </c:pt>
                <c:pt idx="6">
                  <c:v>264</c:v>
                </c:pt>
                <c:pt idx="7">
                  <c:v>743</c:v>
                </c:pt>
                <c:pt idx="8">
                  <c:v>-581</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Model!$C$99:$K$99</c:f>
              <c:numCache>
                <c:formatCode>General</c:formatCode>
                <c:ptCount val="9"/>
                <c:pt idx="0">
                  <c:v>232</c:v>
                </c:pt>
                <c:pt idx="1">
                  <c:v>333</c:v>
                </c:pt>
                <c:pt idx="2">
                  <c:v>421</c:v>
                </c:pt>
                <c:pt idx="3">
                  <c:v>611</c:v>
                </c:pt>
                <c:pt idx="4">
                  <c:v>363</c:v>
                </c:pt>
                <c:pt idx="5">
                  <c:v>422</c:v>
                </c:pt>
                <c:pt idx="6">
                  <c:v>507</c:v>
                </c:pt>
                <c:pt idx="7">
                  <c:v>715</c:v>
                </c:pt>
                <c:pt idx="8">
                  <c:v>476</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Model!$C$32:$K$32</c:f>
              <c:numCache>
                <c:formatCode>General</c:formatCode>
                <c:ptCount val="9"/>
                <c:pt idx="0">
                  <c:v>1861</c:v>
                </c:pt>
                <c:pt idx="1">
                  <c:v>2045</c:v>
                </c:pt>
                <c:pt idx="2">
                  <c:v>2162</c:v>
                </c:pt>
                <c:pt idx="3">
                  <c:v>2812</c:v>
                </c:pt>
                <c:pt idx="4">
                  <c:v>2360</c:v>
                </c:pt>
                <c:pt idx="5">
                  <c:v>2680</c:v>
                </c:pt>
                <c:pt idx="6">
                  <c:v>2844</c:v>
                </c:pt>
                <c:pt idx="7">
                  <c:v>3672</c:v>
                </c:pt>
                <c:pt idx="8">
                  <c:v>3170</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(SHOP)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Analysis'!$Q$210</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Analysis'!$Q$212:$Q$292</c:f>
              <c:numCache>
                <c:formatCode>0.00%</c:formatCode>
                <c:ptCount val="81"/>
                <c:pt idx="0">
                  <c:v>-0.10000000000000005</c:v>
                </c:pt>
                <c:pt idx="1">
                  <c:v>-9.7500000000000045E-2</c:v>
                </c:pt>
                <c:pt idx="2">
                  <c:v>-9.5000000000000043E-2</c:v>
                </c:pt>
                <c:pt idx="3">
                  <c:v>-9.2500000000000041E-2</c:v>
                </c:pt>
                <c:pt idx="4">
                  <c:v>-9.0000000000000038E-2</c:v>
                </c:pt>
                <c:pt idx="5">
                  <c:v>-8.7500000000000036E-2</c:v>
                </c:pt>
                <c:pt idx="6">
                  <c:v>-8.5000000000000034E-2</c:v>
                </c:pt>
                <c:pt idx="7">
                  <c:v>-8.2500000000000032E-2</c:v>
                </c:pt>
                <c:pt idx="8">
                  <c:v>-8.0000000000000029E-2</c:v>
                </c:pt>
                <c:pt idx="9">
                  <c:v>-7.7500000000000027E-2</c:v>
                </c:pt>
                <c:pt idx="10">
                  <c:v>-7.5000000000000025E-2</c:v>
                </c:pt>
                <c:pt idx="11">
                  <c:v>-7.2500000000000023E-2</c:v>
                </c:pt>
                <c:pt idx="12">
                  <c:v>-7.0000000000000021E-2</c:v>
                </c:pt>
                <c:pt idx="13">
                  <c:v>-6.7500000000000018E-2</c:v>
                </c:pt>
                <c:pt idx="14">
                  <c:v>-6.5000000000000016E-2</c:v>
                </c:pt>
                <c:pt idx="15">
                  <c:v>-6.2500000000000014E-2</c:v>
                </c:pt>
                <c:pt idx="16">
                  <c:v>-6.0000000000000019E-2</c:v>
                </c:pt>
                <c:pt idx="17">
                  <c:v>-5.7500000000000016E-2</c:v>
                </c:pt>
                <c:pt idx="18">
                  <c:v>-5.5000000000000014E-2</c:v>
                </c:pt>
                <c:pt idx="19">
                  <c:v>-5.2500000000000012E-2</c:v>
                </c:pt>
                <c:pt idx="20">
                  <c:v>-5.000000000000001E-2</c:v>
                </c:pt>
                <c:pt idx="21">
                  <c:v>-4.7500000000000007E-2</c:v>
                </c:pt>
                <c:pt idx="22">
                  <c:v>-4.5000000000000005E-2</c:v>
                </c:pt>
                <c:pt idx="23">
                  <c:v>-4.2500000000000003E-2</c:v>
                </c:pt>
                <c:pt idx="24">
                  <c:v>-0.04</c:v>
                </c:pt>
                <c:pt idx="25">
                  <c:v>-3.7499999999999999E-2</c:v>
                </c:pt>
                <c:pt idx="26">
                  <c:v>-3.4999999999999996E-2</c:v>
                </c:pt>
                <c:pt idx="27">
                  <c:v>-3.2499999999999994E-2</c:v>
                </c:pt>
                <c:pt idx="28">
                  <c:v>-2.9999999999999995E-2</c:v>
                </c:pt>
                <c:pt idx="29">
                  <c:v>-2.7499999999999997E-2</c:v>
                </c:pt>
                <c:pt idx="30">
                  <c:v>-2.4999999999999998E-2</c:v>
                </c:pt>
                <c:pt idx="31">
                  <c:v>-2.2499999999999999E-2</c:v>
                </c:pt>
                <c:pt idx="32">
                  <c:v>-0.02</c:v>
                </c:pt>
                <c:pt idx="33">
                  <c:v>-1.7500000000000002E-2</c:v>
                </c:pt>
                <c:pt idx="34">
                  <c:v>-1.5000000000000001E-2</c:v>
                </c:pt>
                <c:pt idx="35">
                  <c:v>-1.2500000000000001E-2</c:v>
                </c:pt>
                <c:pt idx="36">
                  <c:v>-0.01</c:v>
                </c:pt>
                <c:pt idx="37">
                  <c:v>-7.4999999999999997E-3</c:v>
                </c:pt>
                <c:pt idx="38">
                  <c:v>-5.0000000000000001E-3</c:v>
                </c:pt>
                <c:pt idx="39">
                  <c:v>-2.5000000000000001E-3</c:v>
                </c:pt>
                <c:pt idx="40">
                  <c:v>0</c:v>
                </c:pt>
                <c:pt idx="41">
                  <c:v>2.5000000000000001E-3</c:v>
                </c:pt>
                <c:pt idx="42">
                  <c:v>5.0000000000000001E-3</c:v>
                </c:pt>
                <c:pt idx="43">
                  <c:v>7.4999999999999997E-3</c:v>
                </c:pt>
                <c:pt idx="44">
                  <c:v>0.01</c:v>
                </c:pt>
                <c:pt idx="45">
                  <c:v>1.2500000000000001E-2</c:v>
                </c:pt>
                <c:pt idx="46">
                  <c:v>1.5000000000000001E-2</c:v>
                </c:pt>
                <c:pt idx="47">
                  <c:v>1.7500000000000002E-2</c:v>
                </c:pt>
                <c:pt idx="48">
                  <c:v>0.02</c:v>
                </c:pt>
                <c:pt idx="49">
                  <c:v>2.2499999999999999E-2</c:v>
                </c:pt>
                <c:pt idx="50">
                  <c:v>2.4999999999999998E-2</c:v>
                </c:pt>
                <c:pt idx="51">
                  <c:v>2.7499999999999997E-2</c:v>
                </c:pt>
                <c:pt idx="52">
                  <c:v>2.9999999999999995E-2</c:v>
                </c:pt>
                <c:pt idx="53">
                  <c:v>3.2499999999999994E-2</c:v>
                </c:pt>
                <c:pt idx="54">
                  <c:v>3.4999999999999996E-2</c:v>
                </c:pt>
                <c:pt idx="55">
                  <c:v>3.7499999999999999E-2</c:v>
                </c:pt>
                <c:pt idx="56">
                  <c:v>0.04</c:v>
                </c:pt>
                <c:pt idx="57">
                  <c:v>4.2500000000000003E-2</c:v>
                </c:pt>
                <c:pt idx="58">
                  <c:v>4.5000000000000005E-2</c:v>
                </c:pt>
                <c:pt idx="59">
                  <c:v>4.7500000000000007E-2</c:v>
                </c:pt>
                <c:pt idx="60">
                  <c:v>5.000000000000001E-2</c:v>
                </c:pt>
                <c:pt idx="61">
                  <c:v>5.2500000000000012E-2</c:v>
                </c:pt>
                <c:pt idx="62">
                  <c:v>5.5000000000000014E-2</c:v>
                </c:pt>
                <c:pt idx="63">
                  <c:v>5.7500000000000016E-2</c:v>
                </c:pt>
                <c:pt idx="64">
                  <c:v>6.0000000000000019E-2</c:v>
                </c:pt>
                <c:pt idx="65">
                  <c:v>6.2500000000000014E-2</c:v>
                </c:pt>
                <c:pt idx="66">
                  <c:v>6.5000000000000016E-2</c:v>
                </c:pt>
                <c:pt idx="67">
                  <c:v>6.7500000000000018E-2</c:v>
                </c:pt>
                <c:pt idx="68">
                  <c:v>7.0000000000000021E-2</c:v>
                </c:pt>
                <c:pt idx="69">
                  <c:v>7.2500000000000023E-2</c:v>
                </c:pt>
                <c:pt idx="70">
                  <c:v>7.5000000000000025E-2</c:v>
                </c:pt>
                <c:pt idx="71">
                  <c:v>7.7500000000000027E-2</c:v>
                </c:pt>
                <c:pt idx="72">
                  <c:v>8.0000000000000029E-2</c:v>
                </c:pt>
                <c:pt idx="73">
                  <c:v>8.2500000000000032E-2</c:v>
                </c:pt>
                <c:pt idx="74">
                  <c:v>8.5000000000000034E-2</c:v>
                </c:pt>
                <c:pt idx="75">
                  <c:v>8.7500000000000036E-2</c:v>
                </c:pt>
                <c:pt idx="76">
                  <c:v>9.0000000000000038E-2</c:v>
                </c:pt>
                <c:pt idx="77">
                  <c:v>9.2500000000000041E-2</c:v>
                </c:pt>
                <c:pt idx="78">
                  <c:v>9.5000000000000043E-2</c:v>
                </c:pt>
                <c:pt idx="79">
                  <c:v>9.7500000000000045E-2</c:v>
                </c:pt>
                <c:pt idx="80">
                  <c:v>0.10000000000000005</c:v>
                </c:pt>
              </c:numCache>
            </c:numRef>
          </c:xVal>
          <c:yVal>
            <c:numRef>
              <c:f>'Notes | Quant Analysis'!$R$212:$R$292</c:f>
              <c:numCache>
                <c:formatCode>General</c:formatCode>
                <c:ptCount val="81"/>
                <c:pt idx="0">
                  <c:v>1</c:v>
                </c:pt>
                <c:pt idx="1">
                  <c:v>0</c:v>
                </c:pt>
                <c:pt idx="2">
                  <c:v>0</c:v>
                </c:pt>
                <c:pt idx="3">
                  <c:v>0</c:v>
                </c:pt>
                <c:pt idx="4">
                  <c:v>1</c:v>
                </c:pt>
                <c:pt idx="5">
                  <c:v>0</c:v>
                </c:pt>
                <c:pt idx="6">
                  <c:v>0</c:v>
                </c:pt>
                <c:pt idx="7">
                  <c:v>1</c:v>
                </c:pt>
                <c:pt idx="8">
                  <c:v>0</c:v>
                </c:pt>
                <c:pt idx="9">
                  <c:v>1</c:v>
                </c:pt>
                <c:pt idx="10">
                  <c:v>0</c:v>
                </c:pt>
                <c:pt idx="11">
                  <c:v>1</c:v>
                </c:pt>
                <c:pt idx="12">
                  <c:v>0</c:v>
                </c:pt>
                <c:pt idx="13">
                  <c:v>0</c:v>
                </c:pt>
                <c:pt idx="14">
                  <c:v>2</c:v>
                </c:pt>
                <c:pt idx="15">
                  <c:v>1</c:v>
                </c:pt>
                <c:pt idx="16">
                  <c:v>0</c:v>
                </c:pt>
                <c:pt idx="17">
                  <c:v>0</c:v>
                </c:pt>
                <c:pt idx="18">
                  <c:v>0</c:v>
                </c:pt>
                <c:pt idx="19">
                  <c:v>1</c:v>
                </c:pt>
                <c:pt idx="20">
                  <c:v>0</c:v>
                </c:pt>
                <c:pt idx="21">
                  <c:v>2</c:v>
                </c:pt>
                <c:pt idx="22">
                  <c:v>3</c:v>
                </c:pt>
                <c:pt idx="23">
                  <c:v>3</c:v>
                </c:pt>
                <c:pt idx="24">
                  <c:v>2</c:v>
                </c:pt>
                <c:pt idx="25">
                  <c:v>3</c:v>
                </c:pt>
                <c:pt idx="26">
                  <c:v>3</c:v>
                </c:pt>
                <c:pt idx="27">
                  <c:v>2</c:v>
                </c:pt>
                <c:pt idx="28">
                  <c:v>4</c:v>
                </c:pt>
                <c:pt idx="29">
                  <c:v>7</c:v>
                </c:pt>
                <c:pt idx="30">
                  <c:v>6</c:v>
                </c:pt>
                <c:pt idx="31">
                  <c:v>7</c:v>
                </c:pt>
                <c:pt idx="32">
                  <c:v>7</c:v>
                </c:pt>
                <c:pt idx="33">
                  <c:v>8</c:v>
                </c:pt>
                <c:pt idx="34">
                  <c:v>8</c:v>
                </c:pt>
                <c:pt idx="35">
                  <c:v>12</c:v>
                </c:pt>
                <c:pt idx="36">
                  <c:v>6</c:v>
                </c:pt>
                <c:pt idx="37">
                  <c:v>6</c:v>
                </c:pt>
                <c:pt idx="38">
                  <c:v>7</c:v>
                </c:pt>
                <c:pt idx="39">
                  <c:v>10</c:v>
                </c:pt>
                <c:pt idx="40">
                  <c:v>12</c:v>
                </c:pt>
                <c:pt idx="41">
                  <c:v>12</c:v>
                </c:pt>
                <c:pt idx="42">
                  <c:v>9</c:v>
                </c:pt>
                <c:pt idx="43">
                  <c:v>7</c:v>
                </c:pt>
                <c:pt idx="44">
                  <c:v>10</c:v>
                </c:pt>
                <c:pt idx="45">
                  <c:v>10</c:v>
                </c:pt>
                <c:pt idx="46">
                  <c:v>2</c:v>
                </c:pt>
                <c:pt idx="47">
                  <c:v>8</c:v>
                </c:pt>
                <c:pt idx="48">
                  <c:v>2</c:v>
                </c:pt>
                <c:pt idx="49">
                  <c:v>10</c:v>
                </c:pt>
                <c:pt idx="50">
                  <c:v>1</c:v>
                </c:pt>
                <c:pt idx="51">
                  <c:v>6</c:v>
                </c:pt>
                <c:pt idx="52">
                  <c:v>3</c:v>
                </c:pt>
                <c:pt idx="53">
                  <c:v>9</c:v>
                </c:pt>
                <c:pt idx="54">
                  <c:v>6</c:v>
                </c:pt>
                <c:pt idx="55">
                  <c:v>3</c:v>
                </c:pt>
                <c:pt idx="56">
                  <c:v>4</c:v>
                </c:pt>
                <c:pt idx="57">
                  <c:v>2</c:v>
                </c:pt>
                <c:pt idx="58">
                  <c:v>1</c:v>
                </c:pt>
                <c:pt idx="59">
                  <c:v>3</c:v>
                </c:pt>
                <c:pt idx="60">
                  <c:v>2</c:v>
                </c:pt>
                <c:pt idx="61">
                  <c:v>4</c:v>
                </c:pt>
                <c:pt idx="62">
                  <c:v>1</c:v>
                </c:pt>
                <c:pt idx="63">
                  <c:v>0</c:v>
                </c:pt>
                <c:pt idx="64">
                  <c:v>0</c:v>
                </c:pt>
                <c:pt idx="65">
                  <c:v>3</c:v>
                </c:pt>
                <c:pt idx="66">
                  <c:v>0</c:v>
                </c:pt>
                <c:pt idx="67">
                  <c:v>1</c:v>
                </c:pt>
                <c:pt idx="68">
                  <c:v>2</c:v>
                </c:pt>
                <c:pt idx="69">
                  <c:v>0</c:v>
                </c:pt>
                <c:pt idx="70">
                  <c:v>2</c:v>
                </c:pt>
                <c:pt idx="71">
                  <c:v>1</c:v>
                </c:pt>
                <c:pt idx="72">
                  <c:v>0</c:v>
                </c:pt>
                <c:pt idx="73">
                  <c:v>0</c:v>
                </c:pt>
                <c:pt idx="74">
                  <c:v>0</c:v>
                </c:pt>
                <c:pt idx="75">
                  <c:v>0</c:v>
                </c:pt>
                <c:pt idx="76">
                  <c:v>0</c:v>
                </c:pt>
                <c:pt idx="77">
                  <c:v>0</c:v>
                </c:pt>
                <c:pt idx="78">
                  <c:v>0</c:v>
                </c:pt>
                <c:pt idx="79">
                  <c:v>0</c:v>
                </c:pt>
                <c:pt idx="80">
                  <c:v>0</c:v>
                </c:pt>
              </c:numCache>
            </c:numRef>
          </c:yVal>
          <c:smooth val="1"/>
          <c:extLst>
            <c:ext xmlns:c16="http://schemas.microsoft.com/office/drawing/2014/chart" uri="{C3380CC4-5D6E-409C-BE32-E72D297353CC}">
              <c16:uniqueId val="{00000000-28C7-4862-86E9-AF862A5BA0AD}"/>
            </c:ext>
          </c:extLst>
        </c:ser>
        <c:ser>
          <c:idx val="1"/>
          <c:order val="1"/>
          <c:tx>
            <c:strRef>
              <c:f>'Notes | Quant Analysis'!$T$210</c:f>
              <c:strCache>
                <c:ptCount val="1"/>
                <c:pt idx="0">
                  <c:v>Distribution Overlay</c:v>
                </c:pt>
              </c:strCache>
            </c:strRef>
          </c:tx>
          <c:spPr>
            <a:ln w="19050" cap="rnd">
              <a:solidFill>
                <a:srgbClr val="FFC000"/>
              </a:solidFill>
              <a:round/>
            </a:ln>
            <a:effectLst/>
          </c:spPr>
          <c:marker>
            <c:symbol val="none"/>
          </c:marker>
          <c:xVal>
            <c:numRef>
              <c:f>'Notes | Quant Analysis'!$T$212:$T$292</c:f>
              <c:numCache>
                <c:formatCode>0.00%</c:formatCode>
                <c:ptCount val="81"/>
                <c:pt idx="0">
                  <c:v>-0.10000000000000005</c:v>
                </c:pt>
                <c:pt idx="1">
                  <c:v>-9.7500000000000045E-2</c:v>
                </c:pt>
                <c:pt idx="2">
                  <c:v>-9.5000000000000043E-2</c:v>
                </c:pt>
                <c:pt idx="3">
                  <c:v>-9.2500000000000041E-2</c:v>
                </c:pt>
                <c:pt idx="4">
                  <c:v>-9.0000000000000038E-2</c:v>
                </c:pt>
                <c:pt idx="5">
                  <c:v>-8.7500000000000036E-2</c:v>
                </c:pt>
                <c:pt idx="6">
                  <c:v>-8.5000000000000034E-2</c:v>
                </c:pt>
                <c:pt idx="7">
                  <c:v>-8.2500000000000032E-2</c:v>
                </c:pt>
                <c:pt idx="8">
                  <c:v>-8.0000000000000029E-2</c:v>
                </c:pt>
                <c:pt idx="9">
                  <c:v>-7.7500000000000027E-2</c:v>
                </c:pt>
                <c:pt idx="10">
                  <c:v>-7.5000000000000025E-2</c:v>
                </c:pt>
                <c:pt idx="11">
                  <c:v>-7.2500000000000023E-2</c:v>
                </c:pt>
                <c:pt idx="12">
                  <c:v>-7.0000000000000021E-2</c:v>
                </c:pt>
                <c:pt idx="13">
                  <c:v>-6.7500000000000018E-2</c:v>
                </c:pt>
                <c:pt idx="14">
                  <c:v>-6.5000000000000016E-2</c:v>
                </c:pt>
                <c:pt idx="15">
                  <c:v>-6.2500000000000014E-2</c:v>
                </c:pt>
                <c:pt idx="16">
                  <c:v>-6.0000000000000019E-2</c:v>
                </c:pt>
                <c:pt idx="17">
                  <c:v>-5.7500000000000016E-2</c:v>
                </c:pt>
                <c:pt idx="18">
                  <c:v>-5.5000000000000014E-2</c:v>
                </c:pt>
                <c:pt idx="19">
                  <c:v>-5.2500000000000012E-2</c:v>
                </c:pt>
                <c:pt idx="20">
                  <c:v>-5.000000000000001E-2</c:v>
                </c:pt>
                <c:pt idx="21">
                  <c:v>-4.7500000000000007E-2</c:v>
                </c:pt>
                <c:pt idx="22">
                  <c:v>-4.5000000000000005E-2</c:v>
                </c:pt>
                <c:pt idx="23">
                  <c:v>-4.2500000000000003E-2</c:v>
                </c:pt>
                <c:pt idx="24">
                  <c:v>-0.04</c:v>
                </c:pt>
                <c:pt idx="25">
                  <c:v>-3.7499999999999999E-2</c:v>
                </c:pt>
                <c:pt idx="26">
                  <c:v>-3.4999999999999996E-2</c:v>
                </c:pt>
                <c:pt idx="27">
                  <c:v>-3.2499999999999994E-2</c:v>
                </c:pt>
                <c:pt idx="28">
                  <c:v>-2.9999999999999995E-2</c:v>
                </c:pt>
                <c:pt idx="29">
                  <c:v>-2.7499999999999997E-2</c:v>
                </c:pt>
                <c:pt idx="30">
                  <c:v>-2.4999999999999998E-2</c:v>
                </c:pt>
                <c:pt idx="31">
                  <c:v>-2.2499999999999999E-2</c:v>
                </c:pt>
                <c:pt idx="32">
                  <c:v>-0.02</c:v>
                </c:pt>
                <c:pt idx="33">
                  <c:v>-1.7500000000000002E-2</c:v>
                </c:pt>
                <c:pt idx="34">
                  <c:v>-1.5000000000000001E-2</c:v>
                </c:pt>
                <c:pt idx="35">
                  <c:v>-1.2500000000000001E-2</c:v>
                </c:pt>
                <c:pt idx="36">
                  <c:v>-0.01</c:v>
                </c:pt>
                <c:pt idx="37">
                  <c:v>-7.4999999999999997E-3</c:v>
                </c:pt>
                <c:pt idx="38">
                  <c:v>-5.0000000000000001E-3</c:v>
                </c:pt>
                <c:pt idx="39">
                  <c:v>-2.5000000000000001E-3</c:v>
                </c:pt>
                <c:pt idx="40">
                  <c:v>0</c:v>
                </c:pt>
                <c:pt idx="41">
                  <c:v>2.5000000000000001E-3</c:v>
                </c:pt>
                <c:pt idx="42">
                  <c:v>5.0000000000000001E-3</c:v>
                </c:pt>
                <c:pt idx="43">
                  <c:v>7.4999999999999997E-3</c:v>
                </c:pt>
                <c:pt idx="44">
                  <c:v>0.01</c:v>
                </c:pt>
                <c:pt idx="45">
                  <c:v>1.2500000000000001E-2</c:v>
                </c:pt>
                <c:pt idx="46">
                  <c:v>1.5000000000000001E-2</c:v>
                </c:pt>
                <c:pt idx="47">
                  <c:v>1.7500000000000002E-2</c:v>
                </c:pt>
                <c:pt idx="48">
                  <c:v>0.02</c:v>
                </c:pt>
                <c:pt idx="49">
                  <c:v>2.2499999999999999E-2</c:v>
                </c:pt>
                <c:pt idx="50">
                  <c:v>2.4999999999999998E-2</c:v>
                </c:pt>
                <c:pt idx="51">
                  <c:v>2.7499999999999997E-2</c:v>
                </c:pt>
                <c:pt idx="52">
                  <c:v>2.9999999999999995E-2</c:v>
                </c:pt>
                <c:pt idx="53">
                  <c:v>3.2499999999999994E-2</c:v>
                </c:pt>
                <c:pt idx="54">
                  <c:v>3.4999999999999996E-2</c:v>
                </c:pt>
                <c:pt idx="55">
                  <c:v>3.7499999999999999E-2</c:v>
                </c:pt>
                <c:pt idx="56">
                  <c:v>0.04</c:v>
                </c:pt>
                <c:pt idx="57">
                  <c:v>4.2500000000000003E-2</c:v>
                </c:pt>
                <c:pt idx="58">
                  <c:v>4.5000000000000005E-2</c:v>
                </c:pt>
                <c:pt idx="59">
                  <c:v>4.7500000000000007E-2</c:v>
                </c:pt>
                <c:pt idx="60">
                  <c:v>5.000000000000001E-2</c:v>
                </c:pt>
                <c:pt idx="61">
                  <c:v>5.2500000000000012E-2</c:v>
                </c:pt>
                <c:pt idx="62">
                  <c:v>5.5000000000000014E-2</c:v>
                </c:pt>
                <c:pt idx="63">
                  <c:v>5.7500000000000016E-2</c:v>
                </c:pt>
                <c:pt idx="64">
                  <c:v>6.0000000000000019E-2</c:v>
                </c:pt>
                <c:pt idx="65">
                  <c:v>6.2500000000000014E-2</c:v>
                </c:pt>
                <c:pt idx="66">
                  <c:v>6.5000000000000016E-2</c:v>
                </c:pt>
                <c:pt idx="67">
                  <c:v>6.7500000000000018E-2</c:v>
                </c:pt>
                <c:pt idx="68">
                  <c:v>7.0000000000000021E-2</c:v>
                </c:pt>
                <c:pt idx="69">
                  <c:v>7.2500000000000023E-2</c:v>
                </c:pt>
                <c:pt idx="70">
                  <c:v>7.5000000000000025E-2</c:v>
                </c:pt>
                <c:pt idx="71">
                  <c:v>7.7500000000000027E-2</c:v>
                </c:pt>
                <c:pt idx="72">
                  <c:v>8.0000000000000029E-2</c:v>
                </c:pt>
                <c:pt idx="73">
                  <c:v>8.2500000000000032E-2</c:v>
                </c:pt>
                <c:pt idx="74">
                  <c:v>8.5000000000000034E-2</c:v>
                </c:pt>
                <c:pt idx="75">
                  <c:v>8.7500000000000036E-2</c:v>
                </c:pt>
                <c:pt idx="76">
                  <c:v>9.0000000000000038E-2</c:v>
                </c:pt>
                <c:pt idx="77">
                  <c:v>9.2500000000000041E-2</c:v>
                </c:pt>
                <c:pt idx="78">
                  <c:v>9.5000000000000043E-2</c:v>
                </c:pt>
                <c:pt idx="79">
                  <c:v>9.7500000000000045E-2</c:v>
                </c:pt>
                <c:pt idx="80">
                  <c:v>0.10000000000000005</c:v>
                </c:pt>
              </c:numCache>
            </c:numRef>
          </c:xVal>
          <c:yVal>
            <c:numRef>
              <c:f>'Notes | Quant Analysis'!$U$212:$U$292</c:f>
              <c:numCache>
                <c:formatCode>General</c:formatCode>
                <c:ptCount val="81"/>
                <c:pt idx="0">
                  <c:v>6.5434788433535326E-2</c:v>
                </c:pt>
                <c:pt idx="1">
                  <c:v>8.4935556378406551E-2</c:v>
                </c:pt>
                <c:pt idx="2">
                  <c:v>0.10952309666928726</c:v>
                </c:pt>
                <c:pt idx="3">
                  <c:v>0.14029986020561233</c:v>
                </c:pt>
                <c:pt idx="4">
                  <c:v>0.1785435259442596</c:v>
                </c:pt>
                <c:pt idx="5">
                  <c:v>0.22571806631568883</c:v>
                </c:pt>
                <c:pt idx="6">
                  <c:v>0.28348095044938554</c:v>
                </c:pt>
                <c:pt idx="7">
                  <c:v>0.35368511637551536</c:v>
                </c:pt>
                <c:pt idx="8">
                  <c:v>0.43837424786547663</c:v>
                </c:pt>
                <c:pt idx="9">
                  <c:v>0.53976985718784909</c:v>
                </c:pt>
                <c:pt idx="10">
                  <c:v>0.66024871986588851</c:v>
                </c:pt>
                <c:pt idx="11">
                  <c:v>0.80230934840792678</c:v>
                </c:pt>
                <c:pt idx="12">
                  <c:v>0.96852644296961199</c:v>
                </c:pt>
                <c:pt idx="13">
                  <c:v>1.1614926273586699</c:v>
                </c:pt>
                <c:pt idx="14">
                  <c:v>1.3837472715682293</c:v>
                </c:pt>
                <c:pt idx="15">
                  <c:v>1.6376928117860299</c:v>
                </c:pt>
                <c:pt idx="16">
                  <c:v>1.9254996906770192</c:v>
                </c:pt>
                <c:pt idx="17">
                  <c:v>2.2490018293903269</c:v>
                </c:pt>
                <c:pt idx="18">
                  <c:v>2.6095853724159759</c:v>
                </c:pt>
                <c:pt idx="19">
                  <c:v>3.0080742716015205</c:v>
                </c:pt>
                <c:pt idx="20">
                  <c:v>3.4446170428399943</c:v>
                </c:pt>
                <c:pt idx="21">
                  <c:v>3.9185796794210801</c:v>
                </c:pt>
                <c:pt idx="22">
                  <c:v>4.4284501794804374</c:v>
                </c:pt>
                <c:pt idx="23">
                  <c:v>4.9717603838985687</c:v>
                </c:pt>
                <c:pt idx="24">
                  <c:v>5.5450307756003001</c:v>
                </c:pt>
                <c:pt idx="25">
                  <c:v>6.1437435243622369</c:v>
                </c:pt>
                <c:pt idx="26">
                  <c:v>6.7623483531061455</c:v>
                </c:pt>
                <c:pt idx="27">
                  <c:v>7.3943047534964501</c:v>
                </c:pt>
                <c:pt idx="28">
                  <c:v>8.0321627153770887</c:v>
                </c:pt>
                <c:pt idx="29">
                  <c:v>8.6676825056436275</c:v>
                </c:pt>
                <c:pt idx="30">
                  <c:v>9.2919922105645689</c:v>
                </c:pt>
                <c:pt idx="31">
                  <c:v>9.8957798348450794</c:v>
                </c:pt>
                <c:pt idx="32">
                  <c:v>10.469514839818297</c:v>
                </c:pt>
                <c:pt idx="33">
                  <c:v>11.003692219684586</c:v>
                </c:pt>
                <c:pt idx="34">
                  <c:v>11.489090676948379</c:v>
                </c:pt>
                <c:pt idx="35">
                  <c:v>11.917035276258009</c:v>
                </c:pt>
                <c:pt idx="36">
                  <c:v>12.279654223040422</c:v>
                </c:pt>
                <c:pt idx="37">
                  <c:v>12.57011919820037</c:v>
                </c:pt>
                <c:pt idx="38">
                  <c:v>12.782859020155884</c:v>
                </c:pt>
                <c:pt idx="39">
                  <c:v>12.913737302697401</c:v>
                </c:pt>
                <c:pt idx="40">
                  <c:v>12.960186196750618</c:v>
                </c:pt>
                <c:pt idx="41">
                  <c:v>12.921290175627494</c:v>
                </c:pt>
                <c:pt idx="42">
                  <c:v>12.797816044829524</c:v>
                </c:pt>
                <c:pt idx="43">
                  <c:v>12.592187802258991</c:v>
                </c:pt>
                <c:pt idx="44">
                  <c:v>12.3084075002083</c:v>
                </c:pt>
                <c:pt idx="45">
                  <c:v>11.951925718362519</c:v>
                </c:pt>
                <c:pt idx="46">
                  <c:v>11.529467503741602</c:v>
                </c:pt>
                <c:pt idx="47">
                  <c:v>11.04882154057006</c:v>
                </c:pt>
                <c:pt idx="48">
                  <c:v>10.518601776058246</c:v>
                </c:pt>
                <c:pt idx="49">
                  <c:v>9.9479916735471949</c:v>
                </c:pt>
                <c:pt idx="50">
                  <c:v>9.3464816543183407</c:v>
                </c:pt>
                <c:pt idx="51">
                  <c:v>8.7236101224387887</c:v>
                </c:pt>
                <c:pt idx="52">
                  <c:v>8.0887177777368287</c:v>
                </c:pt>
                <c:pt idx="53">
                  <c:v>7.4507237764124419</c:v>
                </c:pt>
                <c:pt idx="54">
                  <c:v>6.8179307882967102</c:v>
                </c:pt>
                <c:pt idx="55">
                  <c:v>6.1978642333686373</c:v>
                </c:pt>
                <c:pt idx="56">
                  <c:v>5.5971490757070708</c:v>
                </c:pt>
                <c:pt idx="57">
                  <c:v>5.0214256286243213</c:v>
                </c:pt>
                <c:pt idx="58">
                  <c:v>4.4753039903141314</c:v>
                </c:pt>
                <c:pt idx="59">
                  <c:v>3.9623550800538179</c:v>
                </c:pt>
                <c:pt idx="60">
                  <c:v>3.4851348558125554</c:v>
                </c:pt>
                <c:pt idx="61">
                  <c:v>3.0452372166594852</c:v>
                </c:pt>
                <c:pt idx="62">
                  <c:v>2.6433703547108003</c:v>
                </c:pt>
                <c:pt idx="63">
                  <c:v>2.2794509247743715</c:v>
                </c:pt>
                <c:pt idx="64">
                  <c:v>1.9527103272334601</c:v>
                </c:pt>
                <c:pt idx="65">
                  <c:v>1.6618076152846948</c:v>
                </c:pt>
                <c:pt idx="66">
                  <c:v>1.4049439925436107</c:v>
                </c:pt>
                <c:pt idx="67">
                  <c:v>1.1799745042460128</c:v>
                </c:pt>
                <c:pt idx="68">
                  <c:v>0.98451328455197973</c:v>
                </c:pt>
                <c:pt idx="69">
                  <c:v>0.81602954476401446</c:v>
                </c:pt>
                <c:pt idx="70">
                  <c:v>0.67193231851770729</c:v>
                </c:pt>
                <c:pt idx="71">
                  <c:v>0.54964277388906646</c:v>
                </c:pt>
                <c:pt idx="72">
                  <c:v>0.44665362219778226</c:v>
                </c:pt>
                <c:pt idx="73">
                  <c:v>0.36057577284650355</c:v>
                </c:pt>
                <c:pt idx="74">
                  <c:v>0.28917288702902422</c:v>
                </c:pt>
                <c:pt idx="75">
                  <c:v>0.23038486442864148</c:v>
                </c:pt>
                <c:pt idx="76">
                  <c:v>0.18234155830968002</c:v>
                </c:pt>
                <c:pt idx="77">
                  <c:v>0.14336816453900178</c:v>
                </c:pt>
                <c:pt idx="78">
                  <c:v>0.11198378274822167</c:v>
                </c:pt>
                <c:pt idx="79">
                  <c:v>8.6894619758003055E-2</c:v>
                </c:pt>
                <c:pt idx="80">
                  <c:v>6.6983214565728727E-2</c:v>
                </c:pt>
              </c:numCache>
            </c:numRef>
          </c:yVal>
          <c:smooth val="1"/>
          <c:extLst>
            <c:ext xmlns:c16="http://schemas.microsoft.com/office/drawing/2014/chart" uri="{C3380CC4-5D6E-409C-BE32-E72D297353CC}">
              <c16:uniqueId val="{00000001-28C7-4862-86E9-AF862A5BA0AD}"/>
            </c:ext>
          </c:extLst>
        </c:ser>
        <c:ser>
          <c:idx val="2"/>
          <c:order val="2"/>
          <c:tx>
            <c:strRef>
              <c:f>'Notes | Quant Analysis'!$W$212</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7.0533629064349207E-2"/>
                  <c:y val="-3.234121611658766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2725969490255548"/>
                      <c:h val="7.221023486669975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Analysis'!$X$212:$X$213</c:f>
              <c:numCache>
                <c:formatCode>0.00%</c:formatCode>
                <c:ptCount val="2"/>
                <c:pt idx="0">
                  <c:v>1.1080395860078415E-4</c:v>
                </c:pt>
                <c:pt idx="1">
                  <c:v>1.1080395860078415E-4</c:v>
                </c:pt>
              </c:numCache>
            </c:numRef>
          </c:xVal>
          <c:yVal>
            <c:numRef>
              <c:f>'Notes | Quant Analysis'!$Y$212:$Y$213</c:f>
              <c:numCache>
                <c:formatCode>General</c:formatCode>
                <c:ptCount val="2"/>
                <c:pt idx="0">
                  <c:v>0</c:v>
                </c:pt>
                <c:pt idx="1">
                  <c:v>13</c:v>
                </c:pt>
              </c:numCache>
            </c:numRef>
          </c:yVal>
          <c:smooth val="1"/>
          <c:extLst>
            <c:ext xmlns:c16="http://schemas.microsoft.com/office/drawing/2014/chart" uri="{C3380CC4-5D6E-409C-BE32-E72D297353CC}">
              <c16:uniqueId val="{00000004-28C7-4862-86E9-AF862A5BA0AD}"/>
            </c:ext>
          </c:extLst>
        </c:ser>
        <c:ser>
          <c:idx val="3"/>
          <c:order val="3"/>
          <c:tx>
            <c:strRef>
              <c:f>'Notes | Quant Analysis'!$W$214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Analysis'!$X$214:$X$215</c:f>
              <c:numCache>
                <c:formatCode>0.00%</c:formatCode>
                <c:ptCount val="2"/>
                <c:pt idx="0">
                  <c:v>-9.2235021106440399E-2</c:v>
                </c:pt>
                <c:pt idx="1">
                  <c:v>-9.2235021106440399E-2</c:v>
                </c:pt>
              </c:numCache>
            </c:numRef>
          </c:xVal>
          <c:yVal>
            <c:numRef>
              <c:f>'Notes | Quant Analysis'!$Y$214:$Y$215</c:f>
              <c:numCache>
                <c:formatCode>General</c:formatCode>
                <c:ptCount val="2"/>
                <c:pt idx="0">
                  <c:v>0</c:v>
                </c:pt>
                <c:pt idx="1">
                  <c:v>0.2</c:v>
                </c:pt>
              </c:numCache>
            </c:numRef>
          </c:yVal>
          <c:smooth val="1"/>
          <c:extLst>
            <c:ext xmlns:c16="http://schemas.microsoft.com/office/drawing/2014/chart" uri="{C3380CC4-5D6E-409C-BE32-E72D297353CC}">
              <c16:uniqueId val="{00000007-28C7-4862-86E9-AF862A5BA0AD}"/>
            </c:ext>
          </c:extLst>
        </c:ser>
        <c:ser>
          <c:idx val="4"/>
          <c:order val="4"/>
          <c:tx>
            <c:strRef>
              <c:f>'Notes | Quant Analysis'!$W$216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Analysis'!$X$216:$X$217</c:f>
              <c:numCache>
                <c:formatCode>0.00%</c:formatCode>
                <c:ptCount val="2"/>
                <c:pt idx="0">
                  <c:v>-6.1453079418093338E-2</c:v>
                </c:pt>
                <c:pt idx="1">
                  <c:v>-6.1453079418093338E-2</c:v>
                </c:pt>
              </c:numCache>
            </c:numRef>
          </c:xVal>
          <c:yVal>
            <c:numRef>
              <c:f>'Notes | Quant Analysis'!$Y$216:$Y$217</c:f>
              <c:numCache>
                <c:formatCode>General</c:formatCode>
                <c:ptCount val="2"/>
                <c:pt idx="0">
                  <c:v>0</c:v>
                </c:pt>
                <c:pt idx="1">
                  <c:v>2</c:v>
                </c:pt>
              </c:numCache>
            </c:numRef>
          </c:yVal>
          <c:smooth val="1"/>
          <c:extLst>
            <c:ext xmlns:c16="http://schemas.microsoft.com/office/drawing/2014/chart" uri="{C3380CC4-5D6E-409C-BE32-E72D297353CC}">
              <c16:uniqueId val="{0000000A-28C7-4862-86E9-AF862A5BA0AD}"/>
            </c:ext>
          </c:extLst>
        </c:ser>
        <c:ser>
          <c:idx val="5"/>
          <c:order val="5"/>
          <c:tx>
            <c:strRef>
              <c:f>'Notes | Quant Analysis'!$W$218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Analysis'!$X$218:$X$219</c:f>
              <c:numCache>
                <c:formatCode>0.00%</c:formatCode>
                <c:ptCount val="2"/>
                <c:pt idx="0">
                  <c:v>-3.0671137729746275E-2</c:v>
                </c:pt>
                <c:pt idx="1">
                  <c:v>-3.0671137729746275E-2</c:v>
                </c:pt>
              </c:numCache>
            </c:numRef>
          </c:xVal>
          <c:yVal>
            <c:numRef>
              <c:f>'Notes | Quant Analysis'!$Y$218:$Y$219</c:f>
              <c:numCache>
                <c:formatCode>General</c:formatCode>
                <c:ptCount val="2"/>
                <c:pt idx="0">
                  <c:v>0</c:v>
                </c:pt>
                <c:pt idx="1">
                  <c:v>8</c:v>
                </c:pt>
              </c:numCache>
            </c:numRef>
          </c:yVal>
          <c:smooth val="1"/>
          <c:extLst>
            <c:ext xmlns:c16="http://schemas.microsoft.com/office/drawing/2014/chart" uri="{C3380CC4-5D6E-409C-BE32-E72D297353CC}">
              <c16:uniqueId val="{0000000D-28C7-4862-86E9-AF862A5BA0AD}"/>
            </c:ext>
          </c:extLst>
        </c:ser>
        <c:ser>
          <c:idx val="6"/>
          <c:order val="6"/>
          <c:tx>
            <c:strRef>
              <c:f>'Notes | Quant Analysis'!$W$220</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Analysis'!$X$220:$X$221</c:f>
              <c:numCache>
                <c:formatCode>0.00%</c:formatCode>
                <c:ptCount val="2"/>
                <c:pt idx="0">
                  <c:v>3.0892745646947845E-2</c:v>
                </c:pt>
                <c:pt idx="1">
                  <c:v>3.0892745646947845E-2</c:v>
                </c:pt>
              </c:numCache>
            </c:numRef>
          </c:xVal>
          <c:yVal>
            <c:numRef>
              <c:f>'Notes | Quant Analysis'!$Y$220:$Y$221</c:f>
              <c:numCache>
                <c:formatCode>General</c:formatCode>
                <c:ptCount val="2"/>
                <c:pt idx="0">
                  <c:v>0</c:v>
                </c:pt>
                <c:pt idx="1">
                  <c:v>8</c:v>
                </c:pt>
              </c:numCache>
            </c:numRef>
          </c:yVal>
          <c:smooth val="1"/>
          <c:extLst>
            <c:ext xmlns:c16="http://schemas.microsoft.com/office/drawing/2014/chart" uri="{C3380CC4-5D6E-409C-BE32-E72D297353CC}">
              <c16:uniqueId val="{0000000F-28C7-4862-86E9-AF862A5BA0AD}"/>
            </c:ext>
          </c:extLst>
        </c:ser>
        <c:ser>
          <c:idx val="7"/>
          <c:order val="7"/>
          <c:tx>
            <c:strRef>
              <c:f>'Notes | Quant Analysis'!$W$222</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Analysis'!$X$222:$X$223</c:f>
              <c:numCache>
                <c:formatCode>0.00%</c:formatCode>
                <c:ptCount val="2"/>
                <c:pt idx="0">
                  <c:v>6.1674687335294902E-2</c:v>
                </c:pt>
                <c:pt idx="1">
                  <c:v>6.1674687335294902E-2</c:v>
                </c:pt>
              </c:numCache>
            </c:numRef>
          </c:xVal>
          <c:yVal>
            <c:numRef>
              <c:f>'Notes | Quant Analysis'!$Y$222:$Y$223</c:f>
              <c:numCache>
                <c:formatCode>General</c:formatCode>
                <c:ptCount val="2"/>
                <c:pt idx="0">
                  <c:v>0</c:v>
                </c:pt>
                <c:pt idx="1">
                  <c:v>2</c:v>
                </c:pt>
              </c:numCache>
            </c:numRef>
          </c:yVal>
          <c:smooth val="1"/>
          <c:extLst>
            <c:ext xmlns:c16="http://schemas.microsoft.com/office/drawing/2014/chart" uri="{C3380CC4-5D6E-409C-BE32-E72D297353CC}">
              <c16:uniqueId val="{00000012-28C7-4862-86E9-AF862A5BA0AD}"/>
            </c:ext>
          </c:extLst>
        </c:ser>
        <c:ser>
          <c:idx val="8"/>
          <c:order val="8"/>
          <c:tx>
            <c:strRef>
              <c:f>'Notes | Quant Analysis'!$W$224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Analysis'!$X$224:$X$225</c:f>
              <c:numCache>
                <c:formatCode>0.00%</c:formatCode>
                <c:ptCount val="2"/>
                <c:pt idx="0">
                  <c:v>9.2456629023641976E-2</c:v>
                </c:pt>
                <c:pt idx="1">
                  <c:v>9.2456629023641976E-2</c:v>
                </c:pt>
              </c:numCache>
            </c:numRef>
          </c:xVal>
          <c:yVal>
            <c:numRef>
              <c:f>'Notes | Quant Analysis'!$Y$224:$Y$225</c:f>
              <c:numCache>
                <c:formatCode>General</c:formatCode>
                <c:ptCount val="2"/>
                <c:pt idx="0">
                  <c:v>0</c:v>
                </c:pt>
                <c:pt idx="1">
                  <c:v>0.2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(SHOP)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Model!$W$47:$X$47</c:f>
              <c:numCache>
                <c:formatCode>General</c:formatCode>
                <c:ptCount val="2"/>
                <c:pt idx="0">
                  <c:v>2019</c:v>
                </c:pt>
                <c:pt idx="1">
                  <c:v>1231</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Model!$W$99:$X$99</c:f>
              <c:numCache>
                <c:formatCode>General</c:formatCode>
                <c:ptCount val="2"/>
                <c:pt idx="0">
                  <c:v>1597</c:v>
                </c:pt>
                <c:pt idx="1">
                  <c:v>2007</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Model!$W$32:$X$32</c:f>
              <c:numCache>
                <c:formatCode>General</c:formatCode>
                <c:ptCount val="2"/>
                <c:pt idx="0">
                  <c:v>8880</c:v>
                </c:pt>
                <c:pt idx="1">
                  <c:v>11556</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xdr:colOff>
      <xdr:row>0</xdr:row>
      <xdr:rowOff>0</xdr:rowOff>
    </xdr:from>
    <xdr:to>
      <xdr:col>13</xdr:col>
      <xdr:colOff>1</xdr:colOff>
      <xdr:row>127</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9300883" y="0"/>
          <a:ext cx="0" cy="230348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0</xdr:row>
      <xdr:rowOff>0</xdr:rowOff>
    </xdr:from>
    <xdr:to>
      <xdr:col>24</xdr:col>
      <xdr:colOff>0</xdr:colOff>
      <xdr:row>126</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69</xdr:row>
      <xdr:rowOff>190499</xdr:rowOff>
    </xdr:from>
    <xdr:to>
      <xdr:col>31</xdr:col>
      <xdr:colOff>0</xdr:colOff>
      <xdr:row>100</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106</xdr:row>
      <xdr:rowOff>0</xdr:rowOff>
    </xdr:from>
    <xdr:to>
      <xdr:col>31</xdr:col>
      <xdr:colOff>0</xdr:colOff>
      <xdr:row>134</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171</xdr:row>
      <xdr:rowOff>0</xdr:rowOff>
    </xdr:from>
    <xdr:to>
      <xdr:col>31</xdr:col>
      <xdr:colOff>0</xdr:colOff>
      <xdr:row>199</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139</xdr:row>
      <xdr:rowOff>0</xdr:rowOff>
    </xdr:from>
    <xdr:to>
      <xdr:col>31</xdr:col>
      <xdr:colOff>0</xdr:colOff>
      <xdr:row>167</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17318</xdr:colOff>
      <xdr:row>2</xdr:row>
      <xdr:rowOff>17319</xdr:rowOff>
    </xdr:from>
    <xdr:to>
      <xdr:col>25</xdr:col>
      <xdr:colOff>600808</xdr:colOff>
      <xdr:row>31</xdr:row>
      <xdr:rowOff>0</xdr:rowOff>
    </xdr:to>
    <xdr:pic>
      <xdr:nvPicPr>
        <xdr:cNvPr id="6" name="Picture 5">
          <a:extLst>
            <a:ext uri="{FF2B5EF4-FFF2-40B4-BE49-F238E27FC236}">
              <a16:creationId xmlns:a16="http://schemas.microsoft.com/office/drawing/2014/main" id="{17EB2BA3-77E2-49C7-08EE-90C00E578C9C}"/>
            </a:ext>
          </a:extLst>
        </xdr:cNvPr>
        <xdr:cNvPicPr>
          <a:picLocks noChangeAspect="1"/>
        </xdr:cNvPicPr>
      </xdr:nvPicPr>
      <xdr:blipFill>
        <a:blip xmlns:r="http://schemas.openxmlformats.org/officeDocument/2006/relationships" r:embed="rId5"/>
        <a:stretch>
          <a:fillRect/>
        </a:stretch>
      </xdr:blipFill>
      <xdr:spPr>
        <a:xfrm>
          <a:off x="229799" y="390992"/>
          <a:ext cx="6056701" cy="5294700"/>
        </a:xfrm>
        <a:prstGeom prst="rect">
          <a:avLst/>
        </a:prstGeom>
      </xdr:spPr>
    </xdr:pic>
    <xdr:clientData/>
  </xdr:twoCellAnchor>
  <xdr:twoCellAnchor editAs="oneCell">
    <xdr:from>
      <xdr:col>26</xdr:col>
      <xdr:colOff>0</xdr:colOff>
      <xdr:row>2</xdr:row>
      <xdr:rowOff>11207</xdr:rowOff>
    </xdr:from>
    <xdr:to>
      <xdr:col>35</xdr:col>
      <xdr:colOff>0</xdr:colOff>
      <xdr:row>31</xdr:row>
      <xdr:rowOff>0</xdr:rowOff>
    </xdr:to>
    <xdr:pic>
      <xdr:nvPicPr>
        <xdr:cNvPr id="7" name="Picture 6">
          <a:extLst>
            <a:ext uri="{FF2B5EF4-FFF2-40B4-BE49-F238E27FC236}">
              <a16:creationId xmlns:a16="http://schemas.microsoft.com/office/drawing/2014/main" id="{0B62F023-8EB8-AF96-83A2-BCECD71FA225}"/>
            </a:ext>
          </a:extLst>
        </xdr:cNvPr>
        <xdr:cNvPicPr>
          <a:picLocks noChangeAspect="1"/>
        </xdr:cNvPicPr>
      </xdr:nvPicPr>
      <xdr:blipFill>
        <a:blip xmlns:r="http://schemas.openxmlformats.org/officeDocument/2006/relationships" r:embed="rId6"/>
        <a:stretch>
          <a:fillRect/>
        </a:stretch>
      </xdr:blipFill>
      <xdr:spPr>
        <a:xfrm>
          <a:off x="6264088" y="381001"/>
          <a:ext cx="5446059" cy="5188323"/>
        </a:xfrm>
        <a:prstGeom prst="rect">
          <a:avLst/>
        </a:prstGeom>
      </xdr:spPr>
    </xdr:pic>
    <xdr:clientData/>
  </xdr:twoCellAnchor>
  <xdr:twoCellAnchor editAs="oneCell">
    <xdr:from>
      <xdr:col>15</xdr:col>
      <xdr:colOff>212480</xdr:colOff>
      <xdr:row>35</xdr:row>
      <xdr:rowOff>190499</xdr:rowOff>
    </xdr:from>
    <xdr:to>
      <xdr:col>23</xdr:col>
      <xdr:colOff>608134</xdr:colOff>
      <xdr:row>65</xdr:row>
      <xdr:rowOff>2995</xdr:rowOff>
    </xdr:to>
    <xdr:pic>
      <xdr:nvPicPr>
        <xdr:cNvPr id="8" name="Picture 7">
          <a:extLst>
            <a:ext uri="{FF2B5EF4-FFF2-40B4-BE49-F238E27FC236}">
              <a16:creationId xmlns:a16="http://schemas.microsoft.com/office/drawing/2014/main" id="{E46ED9B5-176D-C4C3-E006-FE10AF85615E}"/>
            </a:ext>
          </a:extLst>
        </xdr:cNvPr>
        <xdr:cNvPicPr>
          <a:picLocks noChangeAspect="1"/>
        </xdr:cNvPicPr>
      </xdr:nvPicPr>
      <xdr:blipFill>
        <a:blip xmlns:r="http://schemas.openxmlformats.org/officeDocument/2006/relationships" r:embed="rId7"/>
        <a:stretch>
          <a:fillRect/>
        </a:stretch>
      </xdr:blipFill>
      <xdr:spPr>
        <a:xfrm>
          <a:off x="212480" y="6616211"/>
          <a:ext cx="4865077" cy="53150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app.godelterminal.com/" TargetMode="External"/><Relationship Id="rId2" Type="http://schemas.openxmlformats.org/officeDocument/2006/relationships/hyperlink" Target="https://www.shopify.com/" TargetMode="External"/><Relationship Id="rId1" Type="http://schemas.openxmlformats.org/officeDocument/2006/relationships/hyperlink" Target="https://app.godelterminal.com/" TargetMode="External"/><Relationship Id="rId4" Type="http://schemas.openxmlformats.org/officeDocument/2006/relationships/hyperlink" Target="https://www.sec.gov/edgar/browse/?CIK=1594805&amp;owner=exclud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4"/>
  <sheetViews>
    <sheetView workbookViewId="0">
      <selection activeCell="D4" sqref="D4"/>
    </sheetView>
  </sheetViews>
  <sheetFormatPr defaultColWidth="9.140625" defaultRowHeight="14.25"/>
  <cols>
    <col min="1" max="1" width="3.42578125" style="1" customWidth="1"/>
    <col min="2" max="2" width="9.140625" style="1" customWidth="1"/>
    <col min="3" max="3" width="11.5703125" style="1" customWidth="1"/>
    <col min="4" max="4" width="9.140625" style="1" customWidth="1"/>
    <col min="5" max="16384" width="9.140625" style="1"/>
  </cols>
  <sheetData>
    <row r="2" spans="2:18" ht="15">
      <c r="B2" s="2" t="s">
        <v>124</v>
      </c>
    </row>
    <row r="3" spans="2:18">
      <c r="B3" s="1" t="s">
        <v>0</v>
      </c>
      <c r="C3" s="71">
        <v>168.81</v>
      </c>
      <c r="D3" s="42" t="s">
        <v>485</v>
      </c>
    </row>
    <row r="4" spans="2:18">
      <c r="B4" s="1" t="s">
        <v>1</v>
      </c>
      <c r="C4" s="72">
        <v>1295.22</v>
      </c>
      <c r="D4" s="1" t="s">
        <v>484</v>
      </c>
    </row>
    <row r="5" spans="2:18">
      <c r="B5" s="1" t="s">
        <v>2</v>
      </c>
      <c r="C5" s="73">
        <f>C3*C4</f>
        <v>218646.0882</v>
      </c>
    </row>
    <row r="6" spans="2:18">
      <c r="B6" s="1" t="s">
        <v>3</v>
      </c>
      <c r="C6" s="73">
        <f>1656+3291</f>
        <v>4947</v>
      </c>
      <c r="D6" s="1" t="s">
        <v>484</v>
      </c>
    </row>
    <row r="7" spans="2:18">
      <c r="B7" s="1" t="s">
        <v>4</v>
      </c>
      <c r="C7" s="73">
        <v>0</v>
      </c>
      <c r="D7" s="1" t="s">
        <v>484</v>
      </c>
    </row>
    <row r="8" spans="2:18">
      <c r="B8" s="1" t="s">
        <v>5</v>
      </c>
      <c r="C8" s="73">
        <f>C5-C6+C7</f>
        <v>213699.0882</v>
      </c>
    </row>
    <row r="10" spans="2:18" ht="15">
      <c r="B10" s="2" t="s">
        <v>125</v>
      </c>
    </row>
    <row r="12" spans="2:18" ht="15">
      <c r="B12" s="1" t="s">
        <v>129</v>
      </c>
      <c r="F12" s="1" t="s">
        <v>135</v>
      </c>
      <c r="N12" s="1" t="s">
        <v>102</v>
      </c>
      <c r="Q12" s="2"/>
    </row>
    <row r="13" spans="2:18">
      <c r="B13" s="1" t="s">
        <v>126</v>
      </c>
      <c r="F13" s="1" t="s">
        <v>136</v>
      </c>
      <c r="N13" s="1" t="s">
        <v>7</v>
      </c>
      <c r="Q13" s="43" t="s">
        <v>138</v>
      </c>
    </row>
    <row r="14" spans="2:18">
      <c r="B14" s="1" t="s">
        <v>127</v>
      </c>
      <c r="F14" s="1" t="s">
        <v>6</v>
      </c>
      <c r="N14" s="1" t="s">
        <v>107</v>
      </c>
      <c r="Q14" s="43" t="s">
        <v>139</v>
      </c>
    </row>
    <row r="15" spans="2:18">
      <c r="B15" s="1" t="s">
        <v>128</v>
      </c>
      <c r="F15" s="1" t="s">
        <v>98</v>
      </c>
      <c r="O15" s="1" t="s">
        <v>106</v>
      </c>
      <c r="R15" s="43" t="s">
        <v>140</v>
      </c>
    </row>
    <row r="16" spans="2:18">
      <c r="B16" s="1" t="s">
        <v>130</v>
      </c>
      <c r="F16" s="1" t="s">
        <v>92</v>
      </c>
      <c r="G16" s="1" t="s">
        <v>137</v>
      </c>
      <c r="I16" s="1" t="s">
        <v>93</v>
      </c>
      <c r="N16" s="1" t="s">
        <v>95</v>
      </c>
      <c r="Q16" s="43" t="s">
        <v>97</v>
      </c>
    </row>
    <row r="17" spans="1:17">
      <c r="B17" s="1" t="s">
        <v>131</v>
      </c>
      <c r="N17" s="1" t="s">
        <v>96</v>
      </c>
      <c r="Q17" s="43" t="s">
        <v>141</v>
      </c>
    </row>
    <row r="18" spans="1:17">
      <c r="B18" s="1" t="s">
        <v>132</v>
      </c>
      <c r="N18" s="1" t="s">
        <v>108</v>
      </c>
      <c r="Q18" s="43" t="s">
        <v>142</v>
      </c>
    </row>
    <row r="19" spans="1:17">
      <c r="B19" s="1" t="s">
        <v>133</v>
      </c>
      <c r="N19" s="1" t="s">
        <v>109</v>
      </c>
      <c r="Q19" s="43" t="s">
        <v>143</v>
      </c>
    </row>
    <row r="20" spans="1:17">
      <c r="B20" s="1" t="s">
        <v>134</v>
      </c>
      <c r="N20" s="1" t="s">
        <v>8</v>
      </c>
      <c r="Q20" s="43" t="s">
        <v>97</v>
      </c>
    </row>
    <row r="21" spans="1:17">
      <c r="Q21" s="43"/>
    </row>
    <row r="22" spans="1:17" ht="15">
      <c r="A22" s="2" t="s">
        <v>9</v>
      </c>
      <c r="N22" s="2"/>
    </row>
    <row r="23" spans="1:17">
      <c r="B23" s="1" t="s">
        <v>144</v>
      </c>
    </row>
    <row r="24" spans="1:17">
      <c r="B24" s="1" t="s">
        <v>145</v>
      </c>
    </row>
    <row r="25" spans="1:17">
      <c r="C25" s="1" t="s">
        <v>146</v>
      </c>
    </row>
    <row r="26" spans="1:17">
      <c r="B26" s="1" t="s">
        <v>147</v>
      </c>
    </row>
    <row r="27" spans="1:17">
      <c r="C27" s="1" t="s">
        <v>148</v>
      </c>
    </row>
    <row r="28" spans="1:17">
      <c r="B28" s="1" t="s">
        <v>150</v>
      </c>
    </row>
    <row r="29" spans="1:17">
      <c r="C29" s="1" t="s">
        <v>149</v>
      </c>
    </row>
    <row r="33" spans="1:2" ht="15">
      <c r="A33" s="2" t="s">
        <v>99</v>
      </c>
    </row>
    <row r="34" spans="1:2">
      <c r="B34" s="1" t="s">
        <v>100</v>
      </c>
    </row>
  </sheetData>
  <hyperlinks>
    <hyperlink ref="Q20" r:id="rId1" xr:uid="{14375537-5C3D-4253-9650-337AB6789785}"/>
    <hyperlink ref="Q14" r:id="rId2" xr:uid="{000F1965-5876-43FC-A416-ED0F3115CA88}"/>
    <hyperlink ref="Q16" r:id="rId3" xr:uid="{830D7DBF-0C50-4E40-A447-8E1D02940EBC}"/>
    <hyperlink ref="Q13" r:id="rId4" xr:uid="{3F1605E6-9F9D-44F4-ADE7-B93266A0CE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CI105"/>
  <sheetViews>
    <sheetView tabSelected="1" zoomScale="85" zoomScaleNormal="85" workbookViewId="0">
      <pane xSplit="2" ySplit="3" topLeftCell="T6" activePane="bottomRight" state="frozen"/>
      <selection pane="topRight" activeCell="C1" sqref="C1"/>
      <selection pane="bottomLeft" activeCell="A4" sqref="A4"/>
      <selection pane="bottomRight" activeCell="AR64" sqref="AR64"/>
    </sheetView>
  </sheetViews>
  <sheetFormatPr defaultColWidth="9.140625" defaultRowHeight="14.25"/>
  <cols>
    <col min="1" max="1" width="3.140625" style="1" customWidth="1"/>
    <col min="2" max="2" width="36.42578125" style="1" customWidth="1"/>
    <col min="3" max="13" width="9.140625" style="1"/>
    <col min="14" max="14" width="9.140625" style="35"/>
    <col min="15" max="24" width="9.140625" style="1"/>
    <col min="25" max="34" width="9.140625" style="35" customWidth="1"/>
    <col min="35" max="86" width="9.140625" style="35"/>
    <col min="87" max="16384" width="9.140625" style="1"/>
  </cols>
  <sheetData>
    <row r="1" spans="2:87" ht="15">
      <c r="B1" s="1" t="s">
        <v>56</v>
      </c>
      <c r="C1" s="33" t="s">
        <v>44</v>
      </c>
      <c r="G1" s="33" t="s">
        <v>48</v>
      </c>
      <c r="K1" s="33" t="s">
        <v>52</v>
      </c>
    </row>
    <row r="2" spans="2:87">
      <c r="B2" s="1" t="s">
        <v>57</v>
      </c>
    </row>
    <row r="3" spans="2:87" ht="15">
      <c r="B3" s="2" t="s">
        <v>58</v>
      </c>
      <c r="C3" s="33" t="s">
        <v>44</v>
      </c>
      <c r="D3" s="33" t="s">
        <v>45</v>
      </c>
      <c r="E3" s="33" t="s">
        <v>46</v>
      </c>
      <c r="F3" s="33" t="s">
        <v>47</v>
      </c>
      <c r="G3" s="33" t="s">
        <v>48</v>
      </c>
      <c r="H3" s="2" t="s">
        <v>49</v>
      </c>
      <c r="I3" s="2" t="s">
        <v>50</v>
      </c>
      <c r="J3" s="2" t="s">
        <v>51</v>
      </c>
      <c r="K3" s="2" t="s">
        <v>52</v>
      </c>
      <c r="L3" s="2" t="s">
        <v>53</v>
      </c>
      <c r="M3" s="2" t="s">
        <v>54</v>
      </c>
      <c r="N3" s="34" t="s">
        <v>55</v>
      </c>
      <c r="W3" s="2">
        <v>2024</v>
      </c>
      <c r="X3" s="2">
        <v>2025</v>
      </c>
      <c r="Y3" s="34">
        <f>X3+1</f>
        <v>2026</v>
      </c>
      <c r="Z3" s="34">
        <f t="shared" ref="Z3:BU3" si="0">Y3+1</f>
        <v>2027</v>
      </c>
      <c r="AA3" s="34">
        <f t="shared" si="0"/>
        <v>2028</v>
      </c>
      <c r="AB3" s="34">
        <f t="shared" si="0"/>
        <v>2029</v>
      </c>
      <c r="AC3" s="34">
        <f t="shared" si="0"/>
        <v>2030</v>
      </c>
      <c r="AD3" s="34">
        <f t="shared" si="0"/>
        <v>2031</v>
      </c>
      <c r="AE3" s="34">
        <f t="shared" si="0"/>
        <v>2032</v>
      </c>
      <c r="AF3" s="34">
        <f t="shared" si="0"/>
        <v>2033</v>
      </c>
      <c r="AG3" s="34">
        <f t="shared" si="0"/>
        <v>2034</v>
      </c>
      <c r="AH3" s="34">
        <f t="shared" si="0"/>
        <v>2035</v>
      </c>
      <c r="AI3" s="34">
        <f t="shared" si="0"/>
        <v>2036</v>
      </c>
      <c r="AJ3" s="34">
        <f t="shared" si="0"/>
        <v>2037</v>
      </c>
      <c r="AK3" s="34">
        <f t="shared" si="0"/>
        <v>2038</v>
      </c>
      <c r="AL3" s="34">
        <f t="shared" si="0"/>
        <v>2039</v>
      </c>
      <c r="AM3" s="34">
        <f t="shared" si="0"/>
        <v>2040</v>
      </c>
      <c r="AN3" s="34">
        <f t="shared" si="0"/>
        <v>2041</v>
      </c>
      <c r="AO3" s="34">
        <f t="shared" si="0"/>
        <v>2042</v>
      </c>
      <c r="AP3" s="34">
        <f t="shared" si="0"/>
        <v>2043</v>
      </c>
      <c r="AQ3" s="34">
        <f t="shared" si="0"/>
        <v>2044</v>
      </c>
      <c r="AR3" s="34">
        <f t="shared" si="0"/>
        <v>2045</v>
      </c>
      <c r="AS3" s="34">
        <f t="shared" si="0"/>
        <v>2046</v>
      </c>
      <c r="AT3" s="34">
        <f t="shared" si="0"/>
        <v>2047</v>
      </c>
      <c r="AU3" s="34">
        <f t="shared" si="0"/>
        <v>2048</v>
      </c>
      <c r="AV3" s="34">
        <f t="shared" si="0"/>
        <v>2049</v>
      </c>
      <c r="AW3" s="34">
        <f t="shared" si="0"/>
        <v>2050</v>
      </c>
      <c r="AX3" s="34">
        <f t="shared" si="0"/>
        <v>2051</v>
      </c>
      <c r="AY3" s="34">
        <f t="shared" si="0"/>
        <v>2052</v>
      </c>
      <c r="AZ3" s="34">
        <f t="shared" si="0"/>
        <v>2053</v>
      </c>
      <c r="BA3" s="34">
        <f t="shared" si="0"/>
        <v>2054</v>
      </c>
      <c r="BB3" s="34">
        <f t="shared" si="0"/>
        <v>2055</v>
      </c>
      <c r="BC3" s="34">
        <f t="shared" si="0"/>
        <v>2056</v>
      </c>
      <c r="BD3" s="34">
        <f t="shared" si="0"/>
        <v>2057</v>
      </c>
      <c r="BE3" s="34">
        <f t="shared" si="0"/>
        <v>2058</v>
      </c>
      <c r="BF3" s="34">
        <f t="shared" si="0"/>
        <v>2059</v>
      </c>
      <c r="BG3" s="34">
        <f t="shared" si="0"/>
        <v>2060</v>
      </c>
      <c r="BH3" s="34">
        <f t="shared" si="0"/>
        <v>2061</v>
      </c>
      <c r="BI3" s="34">
        <f t="shared" si="0"/>
        <v>2062</v>
      </c>
      <c r="BJ3" s="34">
        <f t="shared" si="0"/>
        <v>2063</v>
      </c>
      <c r="BK3" s="34">
        <f t="shared" si="0"/>
        <v>2064</v>
      </c>
      <c r="BL3" s="34">
        <f t="shared" si="0"/>
        <v>2065</v>
      </c>
      <c r="BM3" s="34">
        <f t="shared" si="0"/>
        <v>2066</v>
      </c>
      <c r="BN3" s="34">
        <f t="shared" si="0"/>
        <v>2067</v>
      </c>
      <c r="BO3" s="34">
        <f t="shared" si="0"/>
        <v>2068</v>
      </c>
      <c r="BP3" s="34">
        <f t="shared" si="0"/>
        <v>2069</v>
      </c>
      <c r="BQ3" s="34">
        <f t="shared" si="0"/>
        <v>2070</v>
      </c>
      <c r="BR3" s="34">
        <f t="shared" si="0"/>
        <v>2071</v>
      </c>
      <c r="BS3" s="34">
        <f t="shared" si="0"/>
        <v>2072</v>
      </c>
      <c r="BT3" s="34">
        <f t="shared" si="0"/>
        <v>2073</v>
      </c>
      <c r="BU3" s="34">
        <f t="shared" si="0"/>
        <v>2074</v>
      </c>
      <c r="BV3" s="34">
        <f t="shared" ref="BV3:CF3" si="1">BU3+1</f>
        <v>2075</v>
      </c>
      <c r="BW3" s="34">
        <f t="shared" si="1"/>
        <v>2076</v>
      </c>
      <c r="BX3" s="34">
        <f t="shared" si="1"/>
        <v>2077</v>
      </c>
      <c r="BY3" s="34">
        <f t="shared" si="1"/>
        <v>2078</v>
      </c>
      <c r="BZ3" s="34">
        <f t="shared" si="1"/>
        <v>2079</v>
      </c>
      <c r="CA3" s="34">
        <f t="shared" si="1"/>
        <v>2080</v>
      </c>
      <c r="CB3" s="34">
        <f t="shared" si="1"/>
        <v>2081</v>
      </c>
      <c r="CC3" s="34">
        <f t="shared" si="1"/>
        <v>2082</v>
      </c>
      <c r="CD3" s="34">
        <f t="shared" si="1"/>
        <v>2083</v>
      </c>
      <c r="CE3" s="34">
        <f t="shared" si="1"/>
        <v>2084</v>
      </c>
      <c r="CF3" s="34">
        <f t="shared" si="1"/>
        <v>2085</v>
      </c>
      <c r="CG3" s="34"/>
      <c r="CH3" s="34"/>
      <c r="CI3" s="2"/>
    </row>
    <row r="4" spans="2:87">
      <c r="B4" s="36" t="s">
        <v>151</v>
      </c>
      <c r="C4" s="1">
        <v>1198</v>
      </c>
      <c r="D4" s="1">
        <v>1323</v>
      </c>
      <c r="E4" s="1">
        <v>1377</v>
      </c>
      <c r="F4" s="1">
        <f>5708-SUM(C4:E4)</f>
        <v>1810</v>
      </c>
      <c r="G4" s="1">
        <v>1499</v>
      </c>
      <c r="H4" s="1">
        <v>1703</v>
      </c>
      <c r="I4" s="1">
        <v>1783</v>
      </c>
      <c r="J4" s="1">
        <f>7331-SUM(G4:I4)</f>
        <v>2346</v>
      </c>
      <c r="K4" s="1">
        <v>2001</v>
      </c>
      <c r="L4" s="1">
        <v>2283</v>
      </c>
      <c r="M4" s="1">
        <v>2283</v>
      </c>
      <c r="W4" s="1">
        <f t="shared" ref="W4:W9" si="2">SUM(C4:F4)</f>
        <v>5708</v>
      </c>
      <c r="X4" s="1">
        <f t="shared" ref="X4:X9" si="3">SUM(G4:J4)</f>
        <v>7331</v>
      </c>
      <c r="Y4" s="63">
        <f t="shared" ref="Y4:AH4" si="4">X4*(1+Y11)</f>
        <v>9823.5400000000009</v>
      </c>
      <c r="Z4" s="63">
        <f t="shared" si="4"/>
        <v>12967.072800000002</v>
      </c>
      <c r="AA4" s="63">
        <f t="shared" si="4"/>
        <v>16857.194640000002</v>
      </c>
      <c r="AB4" s="63">
        <f t="shared" si="4"/>
        <v>21408.637192800001</v>
      </c>
      <c r="AC4" s="63">
        <f t="shared" si="4"/>
        <v>26760.796491000001</v>
      </c>
      <c r="AD4" s="63">
        <f t="shared" si="4"/>
        <v>32915.779683929999</v>
      </c>
      <c r="AE4" s="63">
        <f t="shared" si="4"/>
        <v>39828.093417555297</v>
      </c>
      <c r="AF4" s="63">
        <f t="shared" si="4"/>
        <v>47395.431166890805</v>
      </c>
      <c r="AG4" s="63">
        <f t="shared" si="4"/>
        <v>55452.65446526224</v>
      </c>
      <c r="AH4" s="63">
        <f t="shared" si="4"/>
        <v>64325.079179704197</v>
      </c>
    </row>
    <row r="5" spans="2:87">
      <c r="B5" s="36" t="s">
        <v>152</v>
      </c>
      <c r="C5" s="1">
        <v>99</v>
      </c>
      <c r="D5" s="1">
        <v>114</v>
      </c>
      <c r="E5" s="1">
        <v>119</v>
      </c>
      <c r="F5" s="1">
        <f>483-SUM(C5:E5)</f>
        <v>151</v>
      </c>
      <c r="G5" s="1">
        <v>119</v>
      </c>
      <c r="H5" s="1">
        <v>133</v>
      </c>
      <c r="I5" s="1">
        <v>138</v>
      </c>
      <c r="J5" s="1">
        <f>567-SUM(G5:I5)</f>
        <v>177</v>
      </c>
      <c r="K5" s="1">
        <v>147</v>
      </c>
      <c r="L5" s="1">
        <v>171</v>
      </c>
      <c r="M5" s="1">
        <v>171</v>
      </c>
      <c r="W5" s="1">
        <f t="shared" si="2"/>
        <v>483</v>
      </c>
      <c r="X5" s="1">
        <f t="shared" si="3"/>
        <v>567</v>
      </c>
      <c r="Y5" s="63">
        <f t="shared" ref="Y5:AH5" si="5">X5*(1+Y12)</f>
        <v>714.42</v>
      </c>
      <c r="Z5" s="63">
        <f t="shared" si="5"/>
        <v>878.73659999999995</v>
      </c>
      <c r="AA5" s="63">
        <f t="shared" si="5"/>
        <v>1072.0586519999999</v>
      </c>
      <c r="AB5" s="63">
        <f t="shared" si="5"/>
        <v>1286.4703823999998</v>
      </c>
      <c r="AC5" s="63">
        <f t="shared" si="5"/>
        <v>1518.0350512319997</v>
      </c>
      <c r="AD5" s="63">
        <f t="shared" si="5"/>
        <v>1760.9206594291195</v>
      </c>
      <c r="AE5" s="63">
        <f t="shared" si="5"/>
        <v>1989.8403451549048</v>
      </c>
      <c r="AF5" s="63">
        <f t="shared" si="5"/>
        <v>2188.8243796703955</v>
      </c>
      <c r="AG5" s="63">
        <f t="shared" si="5"/>
        <v>2363.9303300440274</v>
      </c>
      <c r="AH5" s="63">
        <f t="shared" si="5"/>
        <v>2505.7661498466691</v>
      </c>
    </row>
    <row r="6" spans="2:87">
      <c r="B6" s="36" t="s">
        <v>153</v>
      </c>
      <c r="C6" s="1">
        <v>354</v>
      </c>
      <c r="D6" s="1">
        <v>381</v>
      </c>
      <c r="E6" s="1">
        <v>418</v>
      </c>
      <c r="F6" s="1">
        <f>1707-SUM(C6:E6)</f>
        <v>554</v>
      </c>
      <c r="G6" s="1">
        <v>461</v>
      </c>
      <c r="H6" s="1">
        <v>554</v>
      </c>
      <c r="I6" s="1">
        <v>615</v>
      </c>
      <c r="J6" s="1">
        <f>2426-SUM(G6:I6)</f>
        <v>796</v>
      </c>
      <c r="K6" s="1">
        <v>653</v>
      </c>
      <c r="L6" s="1">
        <v>721</v>
      </c>
      <c r="M6" s="1">
        <v>721</v>
      </c>
      <c r="W6" s="1">
        <f t="shared" si="2"/>
        <v>1707</v>
      </c>
      <c r="X6" s="1">
        <f t="shared" si="3"/>
        <v>2426</v>
      </c>
      <c r="Y6" s="63">
        <f t="shared" ref="Y6:AH6" si="6">X6*(1+Y13)</f>
        <v>3347.8799999999997</v>
      </c>
      <c r="Z6" s="63">
        <f t="shared" si="6"/>
        <v>4653.5532000000003</v>
      </c>
      <c r="AA6" s="63">
        <f t="shared" si="6"/>
        <v>6096.154692000001</v>
      </c>
      <c r="AB6" s="63">
        <f t="shared" si="6"/>
        <v>7681.1549119200017</v>
      </c>
      <c r="AC6" s="63">
        <f t="shared" si="6"/>
        <v>9294.1974434232015</v>
      </c>
      <c r="AD6" s="63">
        <f t="shared" si="6"/>
        <v>10967.152983239377</v>
      </c>
      <c r="AE6" s="63">
        <f t="shared" si="6"/>
        <v>12612.225930725283</v>
      </c>
      <c r="AF6" s="63">
        <f t="shared" si="6"/>
        <v>14251.815301719567</v>
      </c>
      <c r="AG6" s="63">
        <f t="shared" si="6"/>
        <v>15819.514984908721</v>
      </c>
      <c r="AH6" s="63">
        <f t="shared" si="6"/>
        <v>17243.271333550507</v>
      </c>
    </row>
    <row r="7" spans="2:87">
      <c r="B7" s="36" t="s">
        <v>154</v>
      </c>
      <c r="C7" s="1">
        <v>189</v>
      </c>
      <c r="D7" s="1">
        <v>203</v>
      </c>
      <c r="E7" s="1">
        <v>223</v>
      </c>
      <c r="F7" s="1">
        <f>885-SUM(C7:E7)</f>
        <v>270</v>
      </c>
      <c r="G7" s="1">
        <v>240</v>
      </c>
      <c r="H7" s="1">
        <v>265</v>
      </c>
      <c r="I7" s="1">
        <v>282</v>
      </c>
      <c r="J7" s="1">
        <f>1128-SUM(G7:I7)</f>
        <v>341</v>
      </c>
      <c r="K7" s="1">
        <v>312</v>
      </c>
      <c r="L7" s="1">
        <v>346</v>
      </c>
      <c r="M7" s="1">
        <v>346</v>
      </c>
      <c r="W7" s="1">
        <f t="shared" si="2"/>
        <v>885</v>
      </c>
      <c r="X7" s="1">
        <f t="shared" si="3"/>
        <v>1128</v>
      </c>
      <c r="Y7" s="63">
        <f t="shared" ref="Y7:AH7" si="7">X7*(1+Y14)</f>
        <v>1477.68</v>
      </c>
      <c r="Z7" s="63">
        <f t="shared" si="7"/>
        <v>1965.3144000000002</v>
      </c>
      <c r="AA7" s="63">
        <f t="shared" si="7"/>
        <v>2495.9492880000003</v>
      </c>
      <c r="AB7" s="63">
        <f t="shared" si="7"/>
        <v>3094.9771171200005</v>
      </c>
      <c r="AC7" s="63">
        <f t="shared" si="7"/>
        <v>3744.9223117152005</v>
      </c>
      <c r="AD7" s="63">
        <f t="shared" si="7"/>
        <v>4419.0083278239363</v>
      </c>
      <c r="AE7" s="63">
        <f t="shared" si="7"/>
        <v>5081.8595769975263</v>
      </c>
      <c r="AF7" s="63">
        <f t="shared" si="7"/>
        <v>5691.6827262372299</v>
      </c>
      <c r="AG7" s="63">
        <f t="shared" si="7"/>
        <v>6260.850998860953</v>
      </c>
      <c r="AH7" s="63">
        <f t="shared" si="7"/>
        <v>6761.71907876983</v>
      </c>
    </row>
    <row r="8" spans="2:87">
      <c r="B8" s="36" t="s">
        <v>155</v>
      </c>
      <c r="C8" s="1">
        <v>21</v>
      </c>
      <c r="D8" s="1">
        <v>24</v>
      </c>
      <c r="E8" s="1">
        <v>25</v>
      </c>
      <c r="F8" s="1">
        <f>97-SUM(C8:E8)</f>
        <v>27</v>
      </c>
      <c r="G8" s="1">
        <v>41</v>
      </c>
      <c r="H8" s="1">
        <v>25</v>
      </c>
      <c r="I8" s="1">
        <v>26</v>
      </c>
      <c r="J8" s="1">
        <f>104-SUM(G8:I8)</f>
        <v>12</v>
      </c>
      <c r="K8" s="1">
        <v>57</v>
      </c>
      <c r="L8" s="1">
        <v>62</v>
      </c>
      <c r="M8" s="1">
        <v>62</v>
      </c>
      <c r="W8" s="1">
        <f t="shared" si="2"/>
        <v>97</v>
      </c>
      <c r="X8" s="1">
        <f t="shared" si="3"/>
        <v>104</v>
      </c>
      <c r="Y8" s="63">
        <f t="shared" ref="Y8:AH8" si="8">X8*(1+Y15)</f>
        <v>202.79999999999998</v>
      </c>
      <c r="Z8" s="63">
        <f t="shared" si="8"/>
        <v>275.80799999999994</v>
      </c>
      <c r="AA8" s="63">
        <f t="shared" si="8"/>
        <v>353.0342399999999</v>
      </c>
      <c r="AB8" s="63">
        <f t="shared" si="8"/>
        <v>425.40625919999991</v>
      </c>
      <c r="AC8" s="63">
        <f t="shared" si="8"/>
        <v>495.5982919679999</v>
      </c>
      <c r="AD8" s="63">
        <f t="shared" si="8"/>
        <v>562.50406138367987</v>
      </c>
      <c r="AE8" s="63">
        <f t="shared" si="8"/>
        <v>618.75446752204789</v>
      </c>
      <c r="AF8" s="63">
        <f t="shared" si="8"/>
        <v>668.25482492381173</v>
      </c>
      <c r="AG8" s="63">
        <f t="shared" si="8"/>
        <v>708.35011441924041</v>
      </c>
      <c r="AH8" s="63">
        <f t="shared" si="8"/>
        <v>736.68411899601006</v>
      </c>
    </row>
    <row r="9" spans="2:87" s="2" customFormat="1" ht="15">
      <c r="B9" s="33" t="s">
        <v>59</v>
      </c>
      <c r="C9" s="2">
        <f t="shared" ref="C9:F9" si="9">SUM(C4:C8)</f>
        <v>1861</v>
      </c>
      <c r="D9" s="2">
        <f t="shared" si="9"/>
        <v>2045</v>
      </c>
      <c r="E9" s="2">
        <f t="shared" si="9"/>
        <v>2162</v>
      </c>
      <c r="F9" s="2">
        <f t="shared" si="9"/>
        <v>2812</v>
      </c>
      <c r="G9" s="2">
        <f>SUM(G4:G8)</f>
        <v>2360</v>
      </c>
      <c r="H9" s="2">
        <f t="shared" ref="H9" si="10">SUM(H4:H8)</f>
        <v>2680</v>
      </c>
      <c r="I9" s="2">
        <f t="shared" ref="I9" si="11">SUM(I4:I8)</f>
        <v>2844</v>
      </c>
      <c r="J9" s="2">
        <f t="shared" ref="J9" si="12">SUM(J4:J8)</f>
        <v>3672</v>
      </c>
      <c r="K9" s="2">
        <f t="shared" ref="K9:L9" si="13">SUM(K4:K8)</f>
        <v>3170</v>
      </c>
      <c r="L9" s="2">
        <f t="shared" si="13"/>
        <v>3583</v>
      </c>
      <c r="M9" s="2">
        <f t="shared" ref="M9" si="14">SUM(M4:M8)</f>
        <v>3583</v>
      </c>
      <c r="N9" s="34"/>
      <c r="W9" s="2">
        <f t="shared" si="2"/>
        <v>8880</v>
      </c>
      <c r="X9" s="2">
        <f t="shared" si="3"/>
        <v>11556</v>
      </c>
      <c r="Y9" s="80">
        <f t="shared" ref="Y9:AH9" si="15">SUM(Y4:Y8)</f>
        <v>15566.32</v>
      </c>
      <c r="Z9" s="80">
        <f t="shared" si="15"/>
        <v>20740.485000000001</v>
      </c>
      <c r="AA9" s="80">
        <f t="shared" si="15"/>
        <v>26874.391512000002</v>
      </c>
      <c r="AB9" s="80">
        <f t="shared" si="15"/>
        <v>33896.645863439997</v>
      </c>
      <c r="AC9" s="80">
        <f t="shared" si="15"/>
        <v>41813.549589338407</v>
      </c>
      <c r="AD9" s="80">
        <f t="shared" si="15"/>
        <v>50625.365715806118</v>
      </c>
      <c r="AE9" s="80">
        <f t="shared" si="15"/>
        <v>60130.77373795506</v>
      </c>
      <c r="AF9" s="80">
        <f t="shared" si="15"/>
        <v>70196.008399441809</v>
      </c>
      <c r="AG9" s="80">
        <f t="shared" si="15"/>
        <v>80605.300893495194</v>
      </c>
      <c r="AH9" s="80">
        <f t="shared" si="15"/>
        <v>91572.519860867222</v>
      </c>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row>
    <row r="10" spans="2:87">
      <c r="B10" s="36"/>
    </row>
    <row r="11" spans="2:87">
      <c r="B11" s="36" t="s">
        <v>156</v>
      </c>
      <c r="C11" s="53"/>
      <c r="D11" s="53"/>
      <c r="E11" s="53"/>
      <c r="F11" s="53"/>
      <c r="G11" s="53">
        <f>G4/C4-1</f>
        <v>0.25125208681135236</v>
      </c>
      <c r="H11" s="53">
        <f t="shared" ref="H11:M16" si="16">H4/D4-1</f>
        <v>0.28722600151171584</v>
      </c>
      <c r="I11" s="53">
        <f t="shared" si="16"/>
        <v>0.29484386347131442</v>
      </c>
      <c r="J11" s="53">
        <f t="shared" si="16"/>
        <v>0.29613259668508296</v>
      </c>
      <c r="K11" s="53">
        <f t="shared" si="16"/>
        <v>0.33488992661774519</v>
      </c>
      <c r="L11" s="53">
        <f t="shared" si="16"/>
        <v>0.34057545507927189</v>
      </c>
      <c r="M11" s="53">
        <f t="shared" si="16"/>
        <v>0.28042624789680315</v>
      </c>
      <c r="X11" s="53">
        <f t="shared" ref="X11:X16" si="17">X4/W4-1</f>
        <v>0.28433777154870366</v>
      </c>
      <c r="Y11" s="81">
        <v>0.34</v>
      </c>
      <c r="Z11" s="81">
        <v>0.32</v>
      </c>
      <c r="AA11" s="81">
        <v>0.3</v>
      </c>
      <c r="AB11" s="81">
        <v>0.27</v>
      </c>
      <c r="AC11" s="81">
        <v>0.25</v>
      </c>
      <c r="AD11" s="81">
        <v>0.23</v>
      </c>
      <c r="AE11" s="81">
        <v>0.21</v>
      </c>
      <c r="AF11" s="81">
        <v>0.19</v>
      </c>
      <c r="AG11" s="81">
        <v>0.17</v>
      </c>
      <c r="AH11" s="81">
        <v>0.16</v>
      </c>
    </row>
    <row r="12" spans="2:87">
      <c r="B12" s="36" t="s">
        <v>157</v>
      </c>
      <c r="C12" s="53"/>
      <c r="D12" s="53"/>
      <c r="E12" s="53"/>
      <c r="F12" s="53"/>
      <c r="G12" s="53">
        <f t="shared" ref="G12:G16" si="18">G5/C5-1</f>
        <v>0.20202020202020199</v>
      </c>
      <c r="H12" s="53">
        <f t="shared" si="16"/>
        <v>0.16666666666666674</v>
      </c>
      <c r="I12" s="53">
        <f t="shared" si="16"/>
        <v>0.15966386554621859</v>
      </c>
      <c r="J12" s="53">
        <f t="shared" si="16"/>
        <v>0.17218543046357615</v>
      </c>
      <c r="K12" s="53">
        <f t="shared" si="16"/>
        <v>0.23529411764705888</v>
      </c>
      <c r="L12" s="53">
        <f t="shared" si="16"/>
        <v>0.28571428571428581</v>
      </c>
      <c r="M12" s="53">
        <f t="shared" si="16"/>
        <v>0.23913043478260865</v>
      </c>
      <c r="X12" s="53">
        <f t="shared" si="17"/>
        <v>0.17391304347826098</v>
      </c>
      <c r="Y12" s="81">
        <v>0.26</v>
      </c>
      <c r="Z12" s="81">
        <v>0.23</v>
      </c>
      <c r="AA12" s="81">
        <v>0.22</v>
      </c>
      <c r="AB12" s="81">
        <v>0.2</v>
      </c>
      <c r="AC12" s="81">
        <v>0.18</v>
      </c>
      <c r="AD12" s="81">
        <v>0.16</v>
      </c>
      <c r="AE12" s="81">
        <v>0.13</v>
      </c>
      <c r="AF12" s="81">
        <v>0.1</v>
      </c>
      <c r="AG12" s="81">
        <v>0.08</v>
      </c>
      <c r="AH12" s="81">
        <v>0.06</v>
      </c>
    </row>
    <row r="13" spans="2:87">
      <c r="B13" s="36" t="s">
        <v>158</v>
      </c>
      <c r="C13" s="53"/>
      <c r="D13" s="53"/>
      <c r="E13" s="53"/>
      <c r="F13" s="53"/>
      <c r="G13" s="53">
        <f t="shared" si="18"/>
        <v>0.30225988700564965</v>
      </c>
      <c r="H13" s="53">
        <f t="shared" si="16"/>
        <v>0.45406824146981628</v>
      </c>
      <c r="I13" s="53">
        <f t="shared" si="16"/>
        <v>0.47129186602870821</v>
      </c>
      <c r="J13" s="53">
        <f t="shared" si="16"/>
        <v>0.43682310469314078</v>
      </c>
      <c r="K13" s="53">
        <f t="shared" si="16"/>
        <v>0.41648590021691967</v>
      </c>
      <c r="L13" s="53">
        <f t="shared" si="16"/>
        <v>0.3014440433212997</v>
      </c>
      <c r="M13" s="53">
        <f t="shared" si="16"/>
        <v>0.17235772357723578</v>
      </c>
      <c r="X13" s="53">
        <f t="shared" si="17"/>
        <v>0.42120679554774454</v>
      </c>
      <c r="Y13" s="81">
        <v>0.38</v>
      </c>
      <c r="Z13" s="81">
        <v>0.39</v>
      </c>
      <c r="AA13" s="81">
        <v>0.31</v>
      </c>
      <c r="AB13" s="81">
        <v>0.26</v>
      </c>
      <c r="AC13" s="81">
        <v>0.21</v>
      </c>
      <c r="AD13" s="81">
        <v>0.18</v>
      </c>
      <c r="AE13" s="81">
        <v>0.15</v>
      </c>
      <c r="AF13" s="81">
        <v>0.13</v>
      </c>
      <c r="AG13" s="81">
        <v>0.11</v>
      </c>
      <c r="AH13" s="81">
        <v>0.09</v>
      </c>
    </row>
    <row r="14" spans="2:87">
      <c r="B14" s="36" t="s">
        <v>159</v>
      </c>
      <c r="C14" s="53"/>
      <c r="D14" s="53"/>
      <c r="E14" s="53"/>
      <c r="F14" s="53"/>
      <c r="G14" s="53">
        <f t="shared" si="18"/>
        <v>0.26984126984126977</v>
      </c>
      <c r="H14" s="53">
        <f t="shared" si="16"/>
        <v>0.30541871921182273</v>
      </c>
      <c r="I14" s="53">
        <f t="shared" si="16"/>
        <v>0.26457399103139023</v>
      </c>
      <c r="J14" s="53">
        <f t="shared" si="16"/>
        <v>0.26296296296296306</v>
      </c>
      <c r="K14" s="53">
        <f t="shared" si="16"/>
        <v>0.30000000000000004</v>
      </c>
      <c r="L14" s="53">
        <f t="shared" si="16"/>
        <v>0.3056603773584905</v>
      </c>
      <c r="M14" s="53">
        <f t="shared" si="16"/>
        <v>0.22695035460992918</v>
      </c>
      <c r="X14" s="53">
        <f t="shared" si="17"/>
        <v>0.27457627118644057</v>
      </c>
      <c r="Y14" s="81">
        <v>0.31</v>
      </c>
      <c r="Z14" s="81">
        <v>0.33</v>
      </c>
      <c r="AA14" s="81">
        <v>0.27</v>
      </c>
      <c r="AB14" s="81">
        <v>0.24</v>
      </c>
      <c r="AC14" s="81">
        <v>0.21</v>
      </c>
      <c r="AD14" s="81">
        <v>0.18</v>
      </c>
      <c r="AE14" s="81">
        <v>0.15</v>
      </c>
      <c r="AF14" s="81">
        <v>0.12</v>
      </c>
      <c r="AG14" s="81">
        <v>0.1</v>
      </c>
      <c r="AH14" s="81">
        <v>0.08</v>
      </c>
    </row>
    <row r="15" spans="2:87">
      <c r="B15" s="36" t="s">
        <v>160</v>
      </c>
      <c r="C15" s="53"/>
      <c r="D15" s="53"/>
      <c r="E15" s="53"/>
      <c r="F15" s="53"/>
      <c r="G15" s="53">
        <f t="shared" si="18"/>
        <v>0.95238095238095233</v>
      </c>
      <c r="H15" s="53">
        <f t="shared" si="16"/>
        <v>4.1666666666666741E-2</v>
      </c>
      <c r="I15" s="53">
        <f t="shared" si="16"/>
        <v>4.0000000000000036E-2</v>
      </c>
      <c r="J15" s="53">
        <f t="shared" si="16"/>
        <v>-0.55555555555555558</v>
      </c>
      <c r="K15" s="53">
        <f t="shared" si="16"/>
        <v>0.39024390243902429</v>
      </c>
      <c r="L15" s="53">
        <f t="shared" si="16"/>
        <v>1.48</v>
      </c>
      <c r="M15" s="53">
        <f t="shared" si="16"/>
        <v>1.3846153846153846</v>
      </c>
      <c r="X15" s="53">
        <f t="shared" si="17"/>
        <v>7.2164948453608213E-2</v>
      </c>
      <c r="Y15" s="81">
        <v>0.95</v>
      </c>
      <c r="Z15" s="81">
        <v>0.36</v>
      </c>
      <c r="AA15" s="81">
        <v>0.28000000000000003</v>
      </c>
      <c r="AB15" s="81">
        <v>0.20499999999999999</v>
      </c>
      <c r="AC15" s="81">
        <v>0.16500000000000001</v>
      </c>
      <c r="AD15" s="81">
        <v>0.13500000000000001</v>
      </c>
      <c r="AE15" s="81">
        <v>0.1</v>
      </c>
      <c r="AF15" s="81">
        <v>0.08</v>
      </c>
      <c r="AG15" s="81">
        <v>0.06</v>
      </c>
      <c r="AH15" s="81">
        <v>0.04</v>
      </c>
    </row>
    <row r="16" spans="2:87" s="2" customFormat="1" ht="15">
      <c r="B16" s="33" t="s">
        <v>110</v>
      </c>
      <c r="C16" s="54"/>
      <c r="D16" s="54"/>
      <c r="E16" s="54"/>
      <c r="F16" s="54"/>
      <c r="G16" s="54">
        <f t="shared" si="18"/>
        <v>0.26813541106931749</v>
      </c>
      <c r="H16" s="54">
        <f t="shared" si="16"/>
        <v>0.31051344743276288</v>
      </c>
      <c r="I16" s="54">
        <f t="shared" si="16"/>
        <v>0.31544865864939875</v>
      </c>
      <c r="J16" s="54">
        <f t="shared" si="16"/>
        <v>0.30583214793741109</v>
      </c>
      <c r="K16" s="54">
        <f t="shared" si="16"/>
        <v>0.34322033898305082</v>
      </c>
      <c r="L16" s="54">
        <f t="shared" si="16"/>
        <v>0.33694029850746277</v>
      </c>
      <c r="M16" s="54">
        <f t="shared" si="16"/>
        <v>0.25984528832630094</v>
      </c>
      <c r="N16" s="34"/>
      <c r="X16" s="54">
        <f t="shared" si="17"/>
        <v>0.30135135135135127</v>
      </c>
      <c r="Y16" s="82">
        <f t="shared" ref="Y16:AH16" si="19">Y9/X9-1</f>
        <v>0.34703357563170645</v>
      </c>
      <c r="Z16" s="82">
        <f t="shared" si="19"/>
        <v>0.33239487560322556</v>
      </c>
      <c r="AA16" s="82">
        <f t="shared" si="19"/>
        <v>0.29574556776275962</v>
      </c>
      <c r="AB16" s="82">
        <f t="shared" si="19"/>
        <v>0.26129910135097956</v>
      </c>
      <c r="AC16" s="82">
        <f t="shared" si="19"/>
        <v>0.23356009198648664</v>
      </c>
      <c r="AD16" s="82">
        <f t="shared" si="19"/>
        <v>0.21074068604581098</v>
      </c>
      <c r="AE16" s="82">
        <f t="shared" si="19"/>
        <v>0.18775978973681151</v>
      </c>
      <c r="AF16" s="82">
        <f t="shared" si="19"/>
        <v>0.16738907610519371</v>
      </c>
      <c r="AG16" s="82">
        <f t="shared" si="19"/>
        <v>0.14828895162842559</v>
      </c>
      <c r="AH16" s="82">
        <f t="shared" si="19"/>
        <v>0.13606076580327087</v>
      </c>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row>
    <row r="17" spans="2:86">
      <c r="C17" s="53"/>
      <c r="D17" s="53"/>
      <c r="E17" s="53"/>
      <c r="F17" s="53"/>
      <c r="G17" s="53"/>
    </row>
    <row r="18" spans="2:86">
      <c r="B18" s="36" t="s">
        <v>161</v>
      </c>
      <c r="C18" s="53">
        <f t="shared" ref="C18:F18" si="20">C4/C9</f>
        <v>0.64373992477162811</v>
      </c>
      <c r="D18" s="53">
        <f t="shared" si="20"/>
        <v>0.64694376528117359</v>
      </c>
      <c r="E18" s="53">
        <f t="shared" si="20"/>
        <v>0.63691026827012021</v>
      </c>
      <c r="F18" s="53">
        <f t="shared" si="20"/>
        <v>0.64366998577524892</v>
      </c>
      <c r="G18" s="53">
        <f>G4/G9</f>
        <v>0.63516949152542368</v>
      </c>
      <c r="H18" s="53">
        <f t="shared" ref="H18:K18" si="21">H4/H9</f>
        <v>0.6354477611940299</v>
      </c>
      <c r="I18" s="53">
        <f t="shared" si="21"/>
        <v>0.62693389592123772</v>
      </c>
      <c r="J18" s="53">
        <f t="shared" si="21"/>
        <v>0.63888888888888884</v>
      </c>
      <c r="K18" s="53">
        <f t="shared" si="21"/>
        <v>0.63123028391167191</v>
      </c>
      <c r="L18" s="53">
        <f t="shared" ref="L18:M18" si="22">L4/L9</f>
        <v>0.63717555121406644</v>
      </c>
      <c r="M18" s="53">
        <f t="shared" si="22"/>
        <v>0.63717555121406644</v>
      </c>
      <c r="W18" s="53">
        <f t="shared" ref="W18:X18" si="23">W4/W9</f>
        <v>0.64279279279279278</v>
      </c>
      <c r="X18" s="53">
        <f t="shared" si="23"/>
        <v>0.63438906195915545</v>
      </c>
    </row>
    <row r="19" spans="2:86">
      <c r="B19" s="36" t="s">
        <v>162</v>
      </c>
      <c r="C19" s="53">
        <f t="shared" ref="C19:F19" si="24">C5/C9</f>
        <v>5.3197205803331545E-2</v>
      </c>
      <c r="D19" s="53">
        <f t="shared" si="24"/>
        <v>5.5745721271393642E-2</v>
      </c>
      <c r="E19" s="53">
        <f t="shared" si="24"/>
        <v>5.5041628122109158E-2</v>
      </c>
      <c r="F19" s="53">
        <f t="shared" si="24"/>
        <v>5.3698435277382647E-2</v>
      </c>
      <c r="G19" s="53">
        <f>G5/G9</f>
        <v>5.0423728813559325E-2</v>
      </c>
      <c r="H19" s="53">
        <f t="shared" ref="H19:K19" si="25">H5/H9</f>
        <v>4.962686567164179E-2</v>
      </c>
      <c r="I19" s="53">
        <f t="shared" si="25"/>
        <v>4.852320675105485E-2</v>
      </c>
      <c r="J19" s="53">
        <f t="shared" si="25"/>
        <v>4.820261437908497E-2</v>
      </c>
      <c r="K19" s="53">
        <f t="shared" si="25"/>
        <v>4.6372239747634068E-2</v>
      </c>
      <c r="L19" s="53">
        <f t="shared" ref="L19:M19" si="26">L5/L9</f>
        <v>4.7725369801842034E-2</v>
      </c>
      <c r="M19" s="53">
        <f t="shared" si="26"/>
        <v>4.7725369801842034E-2</v>
      </c>
      <c r="W19" s="53">
        <f t="shared" ref="W19:X19" si="27">W5/W9</f>
        <v>5.4391891891891891E-2</v>
      </c>
      <c r="X19" s="53">
        <f t="shared" si="27"/>
        <v>4.9065420560747662E-2</v>
      </c>
    </row>
    <row r="20" spans="2:86">
      <c r="B20" s="36" t="s">
        <v>163</v>
      </c>
      <c r="C20" s="53">
        <f t="shared" ref="C20:F20" si="28">C6/C9</f>
        <v>0.19022031166039763</v>
      </c>
      <c r="D20" s="53">
        <f t="shared" si="28"/>
        <v>0.18630806845965769</v>
      </c>
      <c r="E20" s="53">
        <f t="shared" si="28"/>
        <v>0.1933395004625347</v>
      </c>
      <c r="F20" s="53">
        <f t="shared" si="28"/>
        <v>0.19701280227596016</v>
      </c>
      <c r="G20" s="53">
        <f>G6/G9</f>
        <v>0.19533898305084746</v>
      </c>
      <c r="H20" s="53">
        <f t="shared" ref="H20:K20" si="29">H6/H9</f>
        <v>0.20671641791044776</v>
      </c>
      <c r="I20" s="53">
        <f t="shared" si="29"/>
        <v>0.21624472573839662</v>
      </c>
      <c r="J20" s="53">
        <f t="shared" si="29"/>
        <v>0.2167755991285403</v>
      </c>
      <c r="K20" s="53">
        <f t="shared" si="29"/>
        <v>0.20599369085173502</v>
      </c>
      <c r="L20" s="53">
        <f t="shared" ref="L20:M20" si="30">L6/L9</f>
        <v>0.20122802121127548</v>
      </c>
      <c r="M20" s="53">
        <f t="shared" si="30"/>
        <v>0.20122802121127548</v>
      </c>
      <c r="W20" s="53">
        <f t="shared" ref="W20:X20" si="31">W6/W9</f>
        <v>0.19222972972972974</v>
      </c>
      <c r="X20" s="53">
        <f t="shared" si="31"/>
        <v>0.20993423329871927</v>
      </c>
    </row>
    <row r="21" spans="2:86">
      <c r="B21" s="36" t="s">
        <v>164</v>
      </c>
      <c r="C21" s="53">
        <f t="shared" ref="C21:F21" si="32">C7/C9</f>
        <v>0.1015583019881784</v>
      </c>
      <c r="D21" s="53">
        <f t="shared" si="32"/>
        <v>9.9266503667481659E-2</v>
      </c>
      <c r="E21" s="53">
        <f t="shared" si="32"/>
        <v>0.10314523589269195</v>
      </c>
      <c r="F21" s="53">
        <f t="shared" si="32"/>
        <v>9.6017069701280225E-2</v>
      </c>
      <c r="G21" s="53">
        <f>G7/G9</f>
        <v>0.10169491525423729</v>
      </c>
      <c r="H21" s="53">
        <f t="shared" ref="H21:K21" si="33">H7/H9</f>
        <v>9.8880597014925367E-2</v>
      </c>
      <c r="I21" s="53">
        <f t="shared" si="33"/>
        <v>9.9156118143459912E-2</v>
      </c>
      <c r="J21" s="53">
        <f t="shared" si="33"/>
        <v>9.2864923747276687E-2</v>
      </c>
      <c r="K21" s="53">
        <f t="shared" si="33"/>
        <v>9.8422712933753945E-2</v>
      </c>
      <c r="L21" s="53">
        <f t="shared" ref="L21:M21" si="34">L7/L9</f>
        <v>9.6567122523025392E-2</v>
      </c>
      <c r="M21" s="53">
        <f t="shared" si="34"/>
        <v>9.6567122523025392E-2</v>
      </c>
      <c r="W21" s="53">
        <f t="shared" ref="W21:X21" si="35">W7/W9</f>
        <v>9.9662162162162157E-2</v>
      </c>
      <c r="X21" s="53">
        <f t="shared" si="35"/>
        <v>9.7611630321910697E-2</v>
      </c>
    </row>
    <row r="22" spans="2:86">
      <c r="B22" s="36" t="s">
        <v>165</v>
      </c>
      <c r="C22" s="53">
        <f t="shared" ref="C22:F22" si="36">C8/C9</f>
        <v>1.1284255776464266E-2</v>
      </c>
      <c r="D22" s="53">
        <f t="shared" si="36"/>
        <v>1.1735941320293399E-2</v>
      </c>
      <c r="E22" s="53">
        <f t="shared" si="36"/>
        <v>1.156336725254394E-2</v>
      </c>
      <c r="F22" s="53">
        <f t="shared" si="36"/>
        <v>9.6017069701280228E-3</v>
      </c>
      <c r="G22" s="53">
        <f>G8/G9</f>
        <v>1.7372881355932204E-2</v>
      </c>
      <c r="H22" s="53">
        <f t="shared" ref="H22:K22" si="37">H8/H9</f>
        <v>9.3283582089552231E-3</v>
      </c>
      <c r="I22" s="53">
        <f t="shared" si="37"/>
        <v>9.1420534458509142E-3</v>
      </c>
      <c r="J22" s="53">
        <f t="shared" si="37"/>
        <v>3.2679738562091504E-3</v>
      </c>
      <c r="K22" s="53">
        <f t="shared" si="37"/>
        <v>1.7981072555205046E-2</v>
      </c>
      <c r="L22" s="53">
        <f t="shared" ref="L22:M22" si="38">L8/L9</f>
        <v>1.7303935249790677E-2</v>
      </c>
      <c r="M22" s="53">
        <f t="shared" si="38"/>
        <v>1.7303935249790677E-2</v>
      </c>
      <c r="W22" s="53">
        <f t="shared" ref="W22:X22" si="39">W8/W9</f>
        <v>1.0923423423423423E-2</v>
      </c>
      <c r="X22" s="53">
        <f t="shared" si="39"/>
        <v>8.9996538594669436E-3</v>
      </c>
    </row>
    <row r="23" spans="2:86">
      <c r="B23" s="36"/>
      <c r="C23" s="53"/>
      <c r="D23" s="53"/>
      <c r="E23" s="53"/>
      <c r="F23" s="53"/>
      <c r="G23" s="53"/>
      <c r="H23" s="53"/>
      <c r="I23" s="53"/>
      <c r="J23" s="53"/>
      <c r="K23" s="53"/>
      <c r="L23" s="53"/>
      <c r="M23" s="53"/>
      <c r="W23" s="53"/>
      <c r="X23" s="53"/>
    </row>
    <row r="24" spans="2:86">
      <c r="B24" s="36" t="s">
        <v>190</v>
      </c>
      <c r="C24" s="1">
        <v>511</v>
      </c>
      <c r="D24" s="1">
        <v>563</v>
      </c>
      <c r="E24" s="1">
        <v>610</v>
      </c>
      <c r="F24" s="1">
        <f>2350-SUM(C24:E24)</f>
        <v>666</v>
      </c>
      <c r="G24" s="1">
        <v>620</v>
      </c>
      <c r="H24" s="1">
        <v>656</v>
      </c>
      <c r="I24" s="1">
        <v>699</v>
      </c>
      <c r="J24" s="1">
        <f>2752-SUM(G24:I24)</f>
        <v>777</v>
      </c>
      <c r="K24" s="1">
        <v>750</v>
      </c>
      <c r="L24" s="1">
        <v>802</v>
      </c>
      <c r="M24" s="1">
        <v>802</v>
      </c>
      <c r="W24" s="1">
        <f t="shared" ref="W24:W26" si="40">SUM(C24:F24)</f>
        <v>2350</v>
      </c>
      <c r="X24" s="1">
        <f t="shared" ref="X24:X26" si="41">SUM(G24:J24)</f>
        <v>2752</v>
      </c>
    </row>
    <row r="25" spans="2:86">
      <c r="B25" s="36" t="s">
        <v>191</v>
      </c>
      <c r="C25" s="1">
        <v>1350</v>
      </c>
      <c r="D25" s="1">
        <v>1482</v>
      </c>
      <c r="E25" s="1">
        <v>1552</v>
      </c>
      <c r="F25" s="1">
        <f>6530-SUM(C25:E25)</f>
        <v>2146</v>
      </c>
      <c r="G25" s="1">
        <v>1740</v>
      </c>
      <c r="H25" s="1">
        <v>2024</v>
      </c>
      <c r="I25" s="1">
        <v>2145</v>
      </c>
      <c r="J25" s="1">
        <f>8804-SUM(G25:I25)</f>
        <v>2895</v>
      </c>
      <c r="K25" s="1">
        <v>2420</v>
      </c>
      <c r="L25" s="1">
        <v>2781</v>
      </c>
      <c r="M25" s="1">
        <v>2781</v>
      </c>
      <c r="W25" s="1">
        <f t="shared" si="40"/>
        <v>6530</v>
      </c>
      <c r="X25" s="1">
        <f t="shared" si="41"/>
        <v>8804</v>
      </c>
    </row>
    <row r="26" spans="2:86" ht="15">
      <c r="B26" s="33" t="s">
        <v>59</v>
      </c>
      <c r="C26" s="77">
        <f t="shared" ref="C26:J26" si="42">SUM(C24:C25)</f>
        <v>1861</v>
      </c>
      <c r="D26" s="77">
        <f t="shared" si="42"/>
        <v>2045</v>
      </c>
      <c r="E26" s="77">
        <f t="shared" si="42"/>
        <v>2162</v>
      </c>
      <c r="F26" s="77">
        <f t="shared" si="42"/>
        <v>2812</v>
      </c>
      <c r="G26" s="77">
        <f t="shared" si="42"/>
        <v>2360</v>
      </c>
      <c r="H26" s="77">
        <f t="shared" si="42"/>
        <v>2680</v>
      </c>
      <c r="I26" s="77">
        <f t="shared" si="42"/>
        <v>2844</v>
      </c>
      <c r="J26" s="77">
        <f t="shared" si="42"/>
        <v>3672</v>
      </c>
      <c r="K26" s="77">
        <f>SUM(K24:K25)</f>
        <v>3170</v>
      </c>
      <c r="L26" s="77">
        <f>SUM(L24:L25)</f>
        <v>3583</v>
      </c>
      <c r="M26" s="77">
        <f>SUM(M24:M25)</f>
        <v>3583</v>
      </c>
      <c r="W26" s="2">
        <f t="shared" si="40"/>
        <v>8880</v>
      </c>
      <c r="X26" s="2">
        <f t="shared" si="41"/>
        <v>11556</v>
      </c>
    </row>
    <row r="27" spans="2:86" ht="15">
      <c r="B27" s="33"/>
      <c r="C27" s="53"/>
      <c r="D27" s="53"/>
      <c r="E27" s="53"/>
      <c r="F27" s="53"/>
      <c r="G27" s="53"/>
      <c r="H27" s="53"/>
      <c r="I27" s="53"/>
      <c r="J27" s="53"/>
      <c r="K27" s="53"/>
      <c r="L27" s="53"/>
      <c r="M27" s="53"/>
      <c r="W27" s="53"/>
      <c r="X27" s="53"/>
    </row>
    <row r="28" spans="2:86">
      <c r="B28" s="36" t="s">
        <v>192</v>
      </c>
      <c r="C28" s="1">
        <v>95</v>
      </c>
      <c r="D28" s="1">
        <v>97</v>
      </c>
      <c r="E28" s="1">
        <v>108</v>
      </c>
      <c r="F28" s="1">
        <f>434-SUM(C28:E28)</f>
        <v>134</v>
      </c>
      <c r="G28" s="1">
        <v>123</v>
      </c>
      <c r="H28" s="1">
        <v>121</v>
      </c>
      <c r="I28" s="1">
        <v>128</v>
      </c>
      <c r="J28" s="1">
        <f>520-SUM(G28:I28)</f>
        <v>148</v>
      </c>
      <c r="K28" s="1">
        <v>148</v>
      </c>
      <c r="L28" s="1">
        <v>163</v>
      </c>
      <c r="M28" s="1">
        <v>163</v>
      </c>
      <c r="W28" s="1">
        <f t="shared" ref="W28:W30" si="43">SUM(C28:F28)</f>
        <v>434</v>
      </c>
      <c r="X28" s="1">
        <f t="shared" ref="X28:X30" si="44">SUM(G28:J28)</f>
        <v>520</v>
      </c>
    </row>
    <row r="29" spans="2:86">
      <c r="B29" s="36" t="s">
        <v>193</v>
      </c>
      <c r="C29" s="1">
        <v>809</v>
      </c>
      <c r="D29" s="1">
        <v>903</v>
      </c>
      <c r="E29" s="1">
        <v>936</v>
      </c>
      <c r="F29" s="1">
        <f>3974-SUM(C29:E29)</f>
        <v>1326</v>
      </c>
      <c r="G29" s="1">
        <v>1068</v>
      </c>
      <c r="H29" s="1">
        <v>1257</v>
      </c>
      <c r="I29" s="1">
        <v>1325</v>
      </c>
      <c r="J29" s="1">
        <f>5481-SUM(G29:I29)</f>
        <v>1831</v>
      </c>
      <c r="K29" s="1">
        <v>1476</v>
      </c>
      <c r="L29" s="1">
        <v>1712</v>
      </c>
      <c r="M29" s="1">
        <v>1712</v>
      </c>
      <c r="W29" s="1">
        <f t="shared" si="43"/>
        <v>3974</v>
      </c>
      <c r="X29" s="1">
        <f t="shared" si="44"/>
        <v>5481</v>
      </c>
    </row>
    <row r="30" spans="2:86" ht="15">
      <c r="B30" s="33" t="s">
        <v>194</v>
      </c>
      <c r="C30" s="77">
        <f t="shared" ref="C30:K30" si="45">SUM(C28:C29)</f>
        <v>904</v>
      </c>
      <c r="D30" s="77">
        <f t="shared" si="45"/>
        <v>1000</v>
      </c>
      <c r="E30" s="77">
        <f t="shared" si="45"/>
        <v>1044</v>
      </c>
      <c r="F30" s="77">
        <f t="shared" si="45"/>
        <v>1460</v>
      </c>
      <c r="G30" s="77">
        <f t="shared" si="45"/>
        <v>1191</v>
      </c>
      <c r="H30" s="77">
        <f t="shared" si="45"/>
        <v>1378</v>
      </c>
      <c r="I30" s="77">
        <f t="shared" si="45"/>
        <v>1453</v>
      </c>
      <c r="J30" s="77">
        <f t="shared" si="45"/>
        <v>1979</v>
      </c>
      <c r="K30" s="77">
        <f t="shared" si="45"/>
        <v>1624</v>
      </c>
      <c r="L30" s="77">
        <f t="shared" ref="L30:M30" si="46">SUM(L28:L29)</f>
        <v>1875</v>
      </c>
      <c r="M30" s="77">
        <f t="shared" si="46"/>
        <v>1875</v>
      </c>
      <c r="W30" s="2">
        <f t="shared" si="43"/>
        <v>4408</v>
      </c>
      <c r="X30" s="2">
        <f t="shared" si="44"/>
        <v>6001</v>
      </c>
    </row>
    <row r="32" spans="2:86" s="2" customFormat="1" ht="15">
      <c r="B32" s="2" t="s">
        <v>58</v>
      </c>
      <c r="C32" s="2">
        <f>C9</f>
        <v>1861</v>
      </c>
      <c r="D32" s="2">
        <f>D9</f>
        <v>2045</v>
      </c>
      <c r="E32" s="2">
        <f>E9</f>
        <v>2162</v>
      </c>
      <c r="F32" s="2">
        <f>F9</f>
        <v>2812</v>
      </c>
      <c r="G32" s="2">
        <f>G9</f>
        <v>2360</v>
      </c>
      <c r="H32" s="2">
        <f t="shared" ref="H32:K32" si="47">H9</f>
        <v>2680</v>
      </c>
      <c r="I32" s="2">
        <f t="shared" si="47"/>
        <v>2844</v>
      </c>
      <c r="J32" s="2">
        <f t="shared" si="47"/>
        <v>3672</v>
      </c>
      <c r="K32" s="2">
        <f t="shared" si="47"/>
        <v>3170</v>
      </c>
      <c r="L32" s="2">
        <f t="shared" ref="L32:M32" si="48">L9</f>
        <v>3583</v>
      </c>
      <c r="M32" s="2">
        <f t="shared" si="48"/>
        <v>3583</v>
      </c>
      <c r="N32" s="34"/>
      <c r="W32" s="2">
        <f>SUM(C32:F32)</f>
        <v>8880</v>
      </c>
      <c r="X32" s="2">
        <f>SUM(G32:J32)</f>
        <v>11556</v>
      </c>
      <c r="Y32" s="80">
        <f>Y9</f>
        <v>15566.32</v>
      </c>
      <c r="Z32" s="80">
        <f t="shared" ref="Z32:AH32" si="49">Z9</f>
        <v>20740.485000000001</v>
      </c>
      <c r="AA32" s="80">
        <f t="shared" si="49"/>
        <v>26874.391512000002</v>
      </c>
      <c r="AB32" s="80">
        <f t="shared" si="49"/>
        <v>33896.645863439997</v>
      </c>
      <c r="AC32" s="80">
        <f t="shared" si="49"/>
        <v>41813.549589338407</v>
      </c>
      <c r="AD32" s="80">
        <f t="shared" si="49"/>
        <v>50625.365715806118</v>
      </c>
      <c r="AE32" s="80">
        <f t="shared" si="49"/>
        <v>60130.77373795506</v>
      </c>
      <c r="AF32" s="80">
        <f t="shared" si="49"/>
        <v>70196.008399441809</v>
      </c>
      <c r="AG32" s="80">
        <f t="shared" si="49"/>
        <v>80605.300893495194</v>
      </c>
      <c r="AH32" s="80">
        <f t="shared" si="49"/>
        <v>91572.519860867222</v>
      </c>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row>
    <row r="33" spans="2:86">
      <c r="B33" s="1" t="s">
        <v>60</v>
      </c>
      <c r="C33" s="78">
        <f t="shared" ref="C33:J33" si="50">C30</f>
        <v>904</v>
      </c>
      <c r="D33" s="78">
        <f t="shared" si="50"/>
        <v>1000</v>
      </c>
      <c r="E33" s="78">
        <f t="shared" si="50"/>
        <v>1044</v>
      </c>
      <c r="F33" s="78">
        <f t="shared" si="50"/>
        <v>1460</v>
      </c>
      <c r="G33" s="78">
        <f t="shared" si="50"/>
        <v>1191</v>
      </c>
      <c r="H33" s="78">
        <f t="shared" si="50"/>
        <v>1378</v>
      </c>
      <c r="I33" s="78">
        <f t="shared" si="50"/>
        <v>1453</v>
      </c>
      <c r="J33" s="78">
        <f t="shared" si="50"/>
        <v>1979</v>
      </c>
      <c r="K33" s="78">
        <f>K30</f>
        <v>1624</v>
      </c>
      <c r="L33" s="78">
        <f>L30</f>
        <v>1875</v>
      </c>
      <c r="M33" s="78">
        <f>M30</f>
        <v>1875</v>
      </c>
      <c r="W33" s="1">
        <f>SUM(C33:F33)</f>
        <v>4408</v>
      </c>
      <c r="X33" s="1">
        <f>SUM(G33:J33)</f>
        <v>6001</v>
      </c>
      <c r="Y33" s="63">
        <f>Y32*(1-Y51)</f>
        <v>8083.5484873658716</v>
      </c>
      <c r="Z33" s="63">
        <f t="shared" ref="Z33:AH33" si="51">Z32*(1-Z51)</f>
        <v>10577.647350000001</v>
      </c>
      <c r="AA33" s="63">
        <f t="shared" si="51"/>
        <v>13437.195756000001</v>
      </c>
      <c r="AB33" s="63">
        <f t="shared" si="51"/>
        <v>16778.839702402798</v>
      </c>
      <c r="AC33" s="63">
        <f t="shared" si="51"/>
        <v>20488.639298775819</v>
      </c>
      <c r="AD33" s="63">
        <f t="shared" si="51"/>
        <v>24679.865786455484</v>
      </c>
      <c r="AE33" s="63">
        <f t="shared" si="51"/>
        <v>29163.425262908204</v>
      </c>
      <c r="AF33" s="63">
        <f t="shared" si="51"/>
        <v>33869.574052730677</v>
      </c>
      <c r="AG33" s="63">
        <f t="shared" si="51"/>
        <v>38690.544428877693</v>
      </c>
      <c r="AH33" s="63">
        <f t="shared" si="51"/>
        <v>43954.809533216263</v>
      </c>
    </row>
    <row r="34" spans="2:86">
      <c r="B34" s="1" t="s">
        <v>61</v>
      </c>
      <c r="C34" s="1">
        <f t="shared" ref="C34:F34" si="52">C32-C33</f>
        <v>957</v>
      </c>
      <c r="D34" s="1">
        <f t="shared" si="52"/>
        <v>1045</v>
      </c>
      <c r="E34" s="1">
        <f t="shared" si="52"/>
        <v>1118</v>
      </c>
      <c r="F34" s="1">
        <f t="shared" si="52"/>
        <v>1352</v>
      </c>
      <c r="G34" s="1">
        <f>G32-G33</f>
        <v>1169</v>
      </c>
      <c r="H34" s="1">
        <f t="shared" ref="H34:K34" si="53">H32-H33</f>
        <v>1302</v>
      </c>
      <c r="I34" s="1">
        <f t="shared" si="53"/>
        <v>1391</v>
      </c>
      <c r="J34" s="1">
        <f t="shared" si="53"/>
        <v>1693</v>
      </c>
      <c r="K34" s="1">
        <f t="shared" si="53"/>
        <v>1546</v>
      </c>
      <c r="L34" s="1">
        <f t="shared" ref="L34:M34" si="54">L32-L33</f>
        <v>1708</v>
      </c>
      <c r="M34" s="1">
        <f t="shared" si="54"/>
        <v>1708</v>
      </c>
      <c r="W34" s="1">
        <f t="shared" ref="W34:W49" si="55">SUM(C34:F34)</f>
        <v>4472</v>
      </c>
      <c r="X34" s="1">
        <f t="shared" ref="X34:X49" si="56">SUM(G34:J34)</f>
        <v>5555</v>
      </c>
      <c r="Y34" s="63">
        <f>Y32*Y51</f>
        <v>7482.7715126341291</v>
      </c>
      <c r="Z34" s="63">
        <f t="shared" ref="Z34:AH34" si="57">Z32*Z51</f>
        <v>10162.837649999999</v>
      </c>
      <c r="AA34" s="63">
        <f t="shared" si="57"/>
        <v>13437.195756000001</v>
      </c>
      <c r="AB34" s="63">
        <f t="shared" si="57"/>
        <v>17117.806161037199</v>
      </c>
      <c r="AC34" s="63">
        <f t="shared" si="57"/>
        <v>21324.910290562588</v>
      </c>
      <c r="AD34" s="63">
        <f t="shared" si="57"/>
        <v>25945.499929350633</v>
      </c>
      <c r="AE34" s="63">
        <f t="shared" si="57"/>
        <v>30967.348475046856</v>
      </c>
      <c r="AF34" s="63">
        <f t="shared" si="57"/>
        <v>36326.434346711132</v>
      </c>
      <c r="AG34" s="63">
        <f t="shared" si="57"/>
        <v>41914.756464617501</v>
      </c>
      <c r="AH34" s="63">
        <f t="shared" si="57"/>
        <v>47617.710327650959</v>
      </c>
    </row>
    <row r="35" spans="2:86">
      <c r="B35" s="1" t="s">
        <v>195</v>
      </c>
      <c r="C35" s="1">
        <v>361</v>
      </c>
      <c r="D35" s="1">
        <v>353</v>
      </c>
      <c r="E35" s="1">
        <v>331</v>
      </c>
      <c r="F35" s="1">
        <f>1393-SUM(C35:E35)</f>
        <v>348</v>
      </c>
      <c r="G35" s="1">
        <v>405</v>
      </c>
      <c r="H35" s="1">
        <v>415</v>
      </c>
      <c r="I35" s="1">
        <v>410</v>
      </c>
      <c r="J35" s="1">
        <f>1663-SUM(G35:I35)</f>
        <v>433</v>
      </c>
      <c r="K35" s="1">
        <v>496</v>
      </c>
      <c r="L35" s="1">
        <v>498</v>
      </c>
      <c r="M35" s="1">
        <v>498</v>
      </c>
      <c r="W35" s="1">
        <f t="shared" si="55"/>
        <v>1393</v>
      </c>
      <c r="X35" s="1">
        <f t="shared" si="56"/>
        <v>1663</v>
      </c>
      <c r="Y35" s="63">
        <f>Y32*Y52</f>
        <v>2240.1168362755279</v>
      </c>
      <c r="Z35" s="63">
        <f t="shared" ref="Z35:AH35" si="58">Z32*Z52</f>
        <v>2841.4464450000005</v>
      </c>
      <c r="AA35" s="63">
        <f t="shared" si="58"/>
        <v>3547.4196795840003</v>
      </c>
      <c r="AB35" s="63">
        <f t="shared" si="58"/>
        <v>4304.8740246568796</v>
      </c>
      <c r="AC35" s="63">
        <f t="shared" si="58"/>
        <v>5226.6936986673009</v>
      </c>
      <c r="AD35" s="63">
        <f t="shared" si="58"/>
        <v>6277.5453487599589</v>
      </c>
      <c r="AE35" s="63">
        <f t="shared" si="58"/>
        <v>7396.085169768472</v>
      </c>
      <c r="AF35" s="63">
        <f t="shared" si="58"/>
        <v>8563.9130247319008</v>
      </c>
      <c r="AG35" s="63">
        <f t="shared" si="58"/>
        <v>9753.2414081129191</v>
      </c>
      <c r="AH35" s="63">
        <f t="shared" si="58"/>
        <v>10988.702383304066</v>
      </c>
    </row>
    <row r="36" spans="2:86">
      <c r="B36" s="1" t="s">
        <v>196</v>
      </c>
      <c r="C36" s="1">
        <v>335</v>
      </c>
      <c r="D36" s="1">
        <v>349</v>
      </c>
      <c r="E36" s="1">
        <v>332</v>
      </c>
      <c r="F36" s="1">
        <f>1367-SUM(C36:E36)</f>
        <v>351</v>
      </c>
      <c r="G36" s="1">
        <v>377</v>
      </c>
      <c r="H36" s="1">
        <v>394</v>
      </c>
      <c r="I36" s="1">
        <v>375</v>
      </c>
      <c r="J36" s="1">
        <f>1536-SUM(G36:I36)</f>
        <v>390</v>
      </c>
      <c r="K36" s="1">
        <v>437</v>
      </c>
      <c r="L36" s="1">
        <v>445</v>
      </c>
      <c r="M36" s="1">
        <v>445</v>
      </c>
      <c r="W36" s="1">
        <f t="shared" si="55"/>
        <v>1367</v>
      </c>
      <c r="X36" s="1">
        <f t="shared" si="56"/>
        <v>1536</v>
      </c>
      <c r="Y36" s="63">
        <f>Y32*Y53</f>
        <v>2117.0195200000003</v>
      </c>
      <c r="Z36" s="63">
        <f t="shared" ref="Z36:AH36" si="59">Z32*Z53</f>
        <v>2799.9654750000004</v>
      </c>
      <c r="AA36" s="63">
        <f t="shared" si="59"/>
        <v>3547.4196795840003</v>
      </c>
      <c r="AB36" s="63">
        <f t="shared" si="59"/>
        <v>4372.6673163837595</v>
      </c>
      <c r="AC36" s="63">
        <f t="shared" si="59"/>
        <v>5310.3207978459777</v>
      </c>
      <c r="AD36" s="63">
        <f t="shared" si="59"/>
        <v>6328.1707144757647</v>
      </c>
      <c r="AE36" s="63">
        <f t="shared" si="59"/>
        <v>7215.6928485546068</v>
      </c>
      <c r="AF36" s="63">
        <f t="shared" si="59"/>
        <v>8072.5409659358083</v>
      </c>
      <c r="AG36" s="63">
        <f t="shared" si="59"/>
        <v>8866.5830982844709</v>
      </c>
      <c r="AH36" s="63">
        <f t="shared" si="59"/>
        <v>9615.1145853910584</v>
      </c>
    </row>
    <row r="37" spans="2:86">
      <c r="B37" s="1" t="s">
        <v>197</v>
      </c>
      <c r="C37" s="1">
        <v>124</v>
      </c>
      <c r="D37" s="1">
        <v>60</v>
      </c>
      <c r="E37" s="1">
        <v>114</v>
      </c>
      <c r="F37" s="1">
        <f>410-SUM(C37:E37)</f>
        <v>112</v>
      </c>
      <c r="G37" s="1">
        <v>109</v>
      </c>
      <c r="H37" s="1">
        <v>122</v>
      </c>
      <c r="I37" s="1">
        <v>115</v>
      </c>
      <c r="J37" s="1">
        <f>471-SUM(G37:I37)</f>
        <v>125</v>
      </c>
      <c r="K37" s="1">
        <v>115</v>
      </c>
      <c r="L37" s="1">
        <v>136</v>
      </c>
      <c r="M37" s="1">
        <v>136</v>
      </c>
      <c r="W37" s="1">
        <f t="shared" si="55"/>
        <v>410</v>
      </c>
      <c r="X37" s="1">
        <f t="shared" si="56"/>
        <v>471</v>
      </c>
      <c r="Y37" s="63">
        <f>Y32*Y54</f>
        <v>634.45281412253382</v>
      </c>
      <c r="Z37" s="63">
        <f t="shared" ref="Z37:AH37" si="60">Z32*Z54</f>
        <v>788.13842999999997</v>
      </c>
      <c r="AA37" s="63">
        <f t="shared" si="60"/>
        <v>967.47809443200003</v>
      </c>
      <c r="AB37" s="63">
        <f t="shared" si="60"/>
        <v>1186.3826052203999</v>
      </c>
      <c r="AC37" s="63">
        <f t="shared" si="60"/>
        <v>1463.4742356268443</v>
      </c>
      <c r="AD37" s="63">
        <f t="shared" si="60"/>
        <v>1771.8878000532143</v>
      </c>
      <c r="AE37" s="63">
        <f t="shared" si="60"/>
        <v>2104.5770808284274</v>
      </c>
      <c r="AF37" s="63">
        <f t="shared" si="60"/>
        <v>2456.8602939804637</v>
      </c>
      <c r="AG37" s="63">
        <f t="shared" si="60"/>
        <v>2821.1855312723319</v>
      </c>
      <c r="AH37" s="63">
        <f t="shared" si="60"/>
        <v>3205.038195130353</v>
      </c>
    </row>
    <row r="38" spans="2:86">
      <c r="B38" s="1" t="s">
        <v>198</v>
      </c>
      <c r="C38" s="1">
        <v>51</v>
      </c>
      <c r="D38" s="1">
        <v>42</v>
      </c>
      <c r="E38" s="1">
        <v>58</v>
      </c>
      <c r="F38" s="1">
        <f>227-SUM(C38:E38)</f>
        <v>76</v>
      </c>
      <c r="G38" s="1">
        <v>75</v>
      </c>
      <c r="H38" s="1">
        <v>80</v>
      </c>
      <c r="I38" s="1">
        <v>148</v>
      </c>
      <c r="J38" s="1">
        <f>417-SUM(G38:I38)</f>
        <v>114</v>
      </c>
      <c r="K38" s="1">
        <v>116</v>
      </c>
      <c r="L38" s="1">
        <v>141</v>
      </c>
      <c r="M38" s="1">
        <v>141</v>
      </c>
      <c r="W38" s="1">
        <f t="shared" si="55"/>
        <v>227</v>
      </c>
      <c r="X38" s="1">
        <f t="shared" si="56"/>
        <v>417</v>
      </c>
      <c r="Y38" s="63">
        <f>Y32*Y55</f>
        <v>561.71300103842157</v>
      </c>
      <c r="Z38" s="63">
        <f t="shared" ref="Z38:AH38" si="61">Z32*Z55</f>
        <v>705.17649000000006</v>
      </c>
      <c r="AA38" s="63">
        <f t="shared" si="61"/>
        <v>886.85491989600007</v>
      </c>
      <c r="AB38" s="63">
        <f t="shared" si="61"/>
        <v>1084.69266763008</v>
      </c>
      <c r="AC38" s="63">
        <f t="shared" si="61"/>
        <v>1296.2200372694906</v>
      </c>
      <c r="AD38" s="63">
        <f t="shared" si="61"/>
        <v>1518.7609714741834</v>
      </c>
      <c r="AE38" s="63">
        <f t="shared" si="61"/>
        <v>1803.9232121386517</v>
      </c>
      <c r="AF38" s="63">
        <f t="shared" si="61"/>
        <v>2105.8802519832543</v>
      </c>
      <c r="AG38" s="63">
        <f t="shared" si="61"/>
        <v>2418.1590268048558</v>
      </c>
      <c r="AH38" s="63">
        <f t="shared" si="61"/>
        <v>2747.1755958260164</v>
      </c>
    </row>
    <row r="39" spans="2:86">
      <c r="B39" s="1" t="s">
        <v>199</v>
      </c>
      <c r="C39" s="1">
        <f t="shared" ref="C39:J39" si="62">C34-SUM(C35:C38)</f>
        <v>86</v>
      </c>
      <c r="D39" s="1">
        <f t="shared" si="62"/>
        <v>241</v>
      </c>
      <c r="E39" s="1">
        <f t="shared" si="62"/>
        <v>283</v>
      </c>
      <c r="F39" s="1">
        <f t="shared" si="62"/>
        <v>465</v>
      </c>
      <c r="G39" s="1">
        <f t="shared" si="62"/>
        <v>203</v>
      </c>
      <c r="H39" s="1">
        <f t="shared" si="62"/>
        <v>291</v>
      </c>
      <c r="I39" s="1">
        <f t="shared" si="62"/>
        <v>343</v>
      </c>
      <c r="J39" s="1">
        <f t="shared" si="62"/>
        <v>631</v>
      </c>
      <c r="K39" s="1">
        <f>K34-SUM(K35:K38)</f>
        <v>382</v>
      </c>
      <c r="L39" s="1">
        <f>L34-SUM(L35:L38)</f>
        <v>488</v>
      </c>
      <c r="M39" s="1">
        <f>M34-SUM(M35:M38)</f>
        <v>488</v>
      </c>
      <c r="W39" s="1">
        <f t="shared" si="55"/>
        <v>1075</v>
      </c>
      <c r="X39" s="1">
        <f t="shared" si="56"/>
        <v>1468</v>
      </c>
      <c r="Y39" s="63">
        <f>Y34-SUM(Y35:Y38)</f>
        <v>1929.469341197645</v>
      </c>
      <c r="Z39" s="63">
        <f t="shared" ref="Z39:AH39" si="63">Z34-SUM(Z35:Z38)</f>
        <v>3028.1108099999992</v>
      </c>
      <c r="AA39" s="63">
        <f t="shared" si="63"/>
        <v>4488.0233825039995</v>
      </c>
      <c r="AB39" s="63">
        <f t="shared" si="63"/>
        <v>6169.1895471460775</v>
      </c>
      <c r="AC39" s="63">
        <f t="shared" si="63"/>
        <v>8028.2015211529761</v>
      </c>
      <c r="AD39" s="63">
        <f t="shared" si="63"/>
        <v>10049.135094587513</v>
      </c>
      <c r="AE39" s="63">
        <f t="shared" si="63"/>
        <v>12447.070163756696</v>
      </c>
      <c r="AF39" s="63">
        <f t="shared" si="63"/>
        <v>15127.239810079707</v>
      </c>
      <c r="AG39" s="63">
        <f t="shared" si="63"/>
        <v>18055.587400142926</v>
      </c>
      <c r="AH39" s="63">
        <f t="shared" si="63"/>
        <v>21061.679567999468</v>
      </c>
    </row>
    <row r="40" spans="2:86">
      <c r="B40" s="1" t="s">
        <v>200</v>
      </c>
      <c r="C40" s="1">
        <v>79</v>
      </c>
      <c r="D40" s="1">
        <v>80</v>
      </c>
      <c r="E40" s="1">
        <v>77</v>
      </c>
      <c r="F40" s="1">
        <f>308-SUM(C40:E40)</f>
        <v>72</v>
      </c>
      <c r="G40" s="1">
        <v>65</v>
      </c>
      <c r="H40" s="1">
        <v>106</v>
      </c>
      <c r="I40" s="1">
        <v>81</v>
      </c>
      <c r="J40" s="1">
        <f>331-SUM(G40:I40)</f>
        <v>79</v>
      </c>
      <c r="K40" s="1">
        <v>75</v>
      </c>
      <c r="L40" s="1">
        <v>1228</v>
      </c>
      <c r="M40" s="1">
        <v>1228</v>
      </c>
      <c r="W40" s="1">
        <f t="shared" si="55"/>
        <v>308</v>
      </c>
      <c r="X40" s="1">
        <f t="shared" si="56"/>
        <v>331</v>
      </c>
      <c r="Y40" s="63">
        <f>X60*($AR$60)</f>
        <v>374.66249999999997</v>
      </c>
      <c r="Z40" s="63">
        <f>Y60*($AR$60)</f>
        <v>978.11462920966312</v>
      </c>
      <c r="AA40" s="63">
        <f>Z60*($AR$60)</f>
        <v>2075.9205551890909</v>
      </c>
      <c r="AB40" s="63">
        <f>AA60*($AR$60)</f>
        <v>3906.4404208132514</v>
      </c>
      <c r="AC40" s="63">
        <f>AB60*($AR$60)</f>
        <v>6740.7151308002103</v>
      </c>
      <c r="AD40" s="63">
        <f>AC60*($AR$60)</f>
        <v>10913.118696435136</v>
      </c>
      <c r="AE40" s="63">
        <f>AD60*($AR$60)</f>
        <v>16860.634153293035</v>
      </c>
      <c r="AF40" s="63">
        <f>AE60*($AR$60)</f>
        <v>25211.498152132393</v>
      </c>
      <c r="AG40" s="63">
        <f>AF60*($AR$60)</f>
        <v>36754.428020019383</v>
      </c>
      <c r="AH40" s="63">
        <f>AG60*($AR$60)</f>
        <v>52438.31393249883</v>
      </c>
    </row>
    <row r="41" spans="2:86">
      <c r="B41" s="1" t="s">
        <v>208</v>
      </c>
      <c r="C41" s="1">
        <v>-373</v>
      </c>
      <c r="D41" s="1">
        <v>3</v>
      </c>
      <c r="E41" s="1">
        <v>0</v>
      </c>
      <c r="F41" s="1">
        <f>3-SUM(C41:E41)</f>
        <v>373</v>
      </c>
      <c r="G41" s="1">
        <v>0</v>
      </c>
      <c r="H41" s="1">
        <v>1</v>
      </c>
      <c r="I41" s="1">
        <v>0</v>
      </c>
      <c r="J41" s="1">
        <f>33-SUM(G41:I41)</f>
        <v>32</v>
      </c>
      <c r="K41" s="1">
        <v>3</v>
      </c>
      <c r="L41" s="1">
        <v>59</v>
      </c>
      <c r="M41" s="1">
        <v>59</v>
      </c>
      <c r="W41" s="1">
        <f t="shared" si="55"/>
        <v>3</v>
      </c>
      <c r="X41" s="1">
        <f t="shared" si="56"/>
        <v>33</v>
      </c>
      <c r="Y41" s="35">
        <v>0</v>
      </c>
      <c r="Z41" s="35">
        <v>0</v>
      </c>
      <c r="AA41" s="35">
        <v>0</v>
      </c>
      <c r="AB41" s="35">
        <v>0</v>
      </c>
      <c r="AC41" s="35">
        <v>0</v>
      </c>
      <c r="AD41" s="35">
        <v>0</v>
      </c>
      <c r="AE41" s="35">
        <v>0</v>
      </c>
      <c r="AF41" s="35">
        <v>0</v>
      </c>
      <c r="AG41" s="35">
        <v>0</v>
      </c>
      <c r="AH41" s="35">
        <v>0</v>
      </c>
    </row>
    <row r="42" spans="2:86">
      <c r="B42" s="1" t="s">
        <v>209</v>
      </c>
      <c r="C42" s="1">
        <v>0</v>
      </c>
      <c r="D42" s="1">
        <v>-79</v>
      </c>
      <c r="E42" s="1">
        <v>512</v>
      </c>
      <c r="F42" s="1">
        <f>988-SUM(C42:E42)</f>
        <v>555</v>
      </c>
      <c r="G42" s="1">
        <v>-1021</v>
      </c>
      <c r="H42" s="1">
        <v>681</v>
      </c>
      <c r="I42" s="1">
        <v>-62</v>
      </c>
      <c r="J42" s="1">
        <f>-186-SUM(G42:I42)</f>
        <v>216</v>
      </c>
      <c r="K42" s="1">
        <v>-1064</v>
      </c>
      <c r="L42" s="1">
        <v>0</v>
      </c>
      <c r="M42" s="1">
        <v>0</v>
      </c>
      <c r="W42" s="1">
        <f t="shared" si="55"/>
        <v>988</v>
      </c>
      <c r="X42" s="1">
        <f t="shared" si="56"/>
        <v>-186</v>
      </c>
      <c r="Y42" s="35">
        <v>0</v>
      </c>
      <c r="Z42" s="35">
        <v>0</v>
      </c>
      <c r="AA42" s="35">
        <v>0</v>
      </c>
      <c r="AB42" s="35">
        <v>0</v>
      </c>
      <c r="AC42" s="35">
        <v>0</v>
      </c>
      <c r="AD42" s="35">
        <v>0</v>
      </c>
      <c r="AE42" s="35">
        <v>0</v>
      </c>
      <c r="AF42" s="35">
        <v>0</v>
      </c>
      <c r="AG42" s="35">
        <v>0</v>
      </c>
      <c r="AH42" s="35">
        <v>0</v>
      </c>
    </row>
    <row r="43" spans="2:86">
      <c r="B43" s="1" t="s">
        <v>207</v>
      </c>
      <c r="C43" s="1">
        <v>-44</v>
      </c>
      <c r="D43" s="1">
        <v>-44</v>
      </c>
      <c r="E43" s="1">
        <v>-28</v>
      </c>
      <c r="F43" s="1">
        <f>-138-SUM(C43:E43)</f>
        <v>-22</v>
      </c>
      <c r="G43" s="1">
        <v>-23</v>
      </c>
      <c r="H43" s="1">
        <v>-24</v>
      </c>
      <c r="I43" s="1">
        <v>-21</v>
      </c>
      <c r="J43" s="1">
        <f>-40-SUM(G43:I43)</f>
        <v>28</v>
      </c>
      <c r="K43" s="1">
        <v>-21</v>
      </c>
      <c r="L43" s="1">
        <v>0</v>
      </c>
      <c r="M43" s="1">
        <v>0</v>
      </c>
      <c r="W43" s="1">
        <f t="shared" si="55"/>
        <v>-138</v>
      </c>
      <c r="X43" s="1">
        <f t="shared" si="56"/>
        <v>-40</v>
      </c>
      <c r="Y43" s="35">
        <v>0</v>
      </c>
      <c r="Z43" s="35">
        <v>0</v>
      </c>
      <c r="AA43" s="35">
        <v>0</v>
      </c>
      <c r="AB43" s="35">
        <v>0</v>
      </c>
      <c r="AC43" s="35">
        <v>0</v>
      </c>
      <c r="AD43" s="35">
        <v>0</v>
      </c>
      <c r="AE43" s="35">
        <v>0</v>
      </c>
      <c r="AF43" s="35">
        <v>0</v>
      </c>
      <c r="AG43" s="35">
        <v>0</v>
      </c>
      <c r="AH43" s="35">
        <v>0</v>
      </c>
    </row>
    <row r="44" spans="2:86">
      <c r="B44" s="1" t="s">
        <v>206</v>
      </c>
      <c r="C44" s="1">
        <v>-4</v>
      </c>
      <c r="D44" s="1">
        <v>2</v>
      </c>
      <c r="E44" s="1">
        <v>16</v>
      </c>
      <c r="F44" s="1">
        <f>-8-SUM(C44:E44)</f>
        <v>-22</v>
      </c>
      <c r="G44" s="1">
        <v>6</v>
      </c>
      <c r="H44" s="1">
        <v>24</v>
      </c>
      <c r="I44" s="1">
        <v>-33</v>
      </c>
      <c r="J44" s="1">
        <f>-123+26-SUM(G44:I44)</f>
        <v>-94</v>
      </c>
      <c r="K44" s="1">
        <v>-9</v>
      </c>
      <c r="L44" s="1">
        <v>0</v>
      </c>
      <c r="M44" s="1">
        <v>0</v>
      </c>
      <c r="W44" s="1">
        <f t="shared" si="55"/>
        <v>-8</v>
      </c>
      <c r="X44" s="1">
        <f t="shared" si="56"/>
        <v>-97</v>
      </c>
      <c r="Y44" s="35">
        <v>0</v>
      </c>
      <c r="Z44" s="35">
        <v>0</v>
      </c>
      <c r="AA44" s="35">
        <v>0</v>
      </c>
      <c r="AB44" s="35">
        <v>0</v>
      </c>
      <c r="AC44" s="35">
        <v>0</v>
      </c>
      <c r="AD44" s="35">
        <v>0</v>
      </c>
      <c r="AE44" s="35">
        <v>0</v>
      </c>
      <c r="AF44" s="35">
        <v>0</v>
      </c>
      <c r="AG44" s="35">
        <v>0</v>
      </c>
      <c r="AH44" s="35">
        <v>0</v>
      </c>
    </row>
    <row r="45" spans="2:86">
      <c r="B45" s="1" t="s">
        <v>201</v>
      </c>
      <c r="C45" s="1">
        <f t="shared" ref="C45:J45" si="64">C39+SUM(C40:C44)</f>
        <v>-256</v>
      </c>
      <c r="D45" s="1">
        <f t="shared" si="64"/>
        <v>203</v>
      </c>
      <c r="E45" s="1">
        <f t="shared" si="64"/>
        <v>860</v>
      </c>
      <c r="F45" s="1">
        <f t="shared" si="64"/>
        <v>1421</v>
      </c>
      <c r="G45" s="1">
        <f t="shared" si="64"/>
        <v>-770</v>
      </c>
      <c r="H45" s="1">
        <f t="shared" si="64"/>
        <v>1079</v>
      </c>
      <c r="I45" s="1">
        <f t="shared" si="64"/>
        <v>308</v>
      </c>
      <c r="J45" s="1">
        <f t="shared" si="64"/>
        <v>892</v>
      </c>
      <c r="K45" s="1">
        <f>K39+SUM(K40:K44)</f>
        <v>-634</v>
      </c>
      <c r="L45" s="1">
        <f>L39+SUM(L40:L44)</f>
        <v>1775</v>
      </c>
      <c r="M45" s="1">
        <f>M39+SUM(M40:M44)</f>
        <v>1775</v>
      </c>
      <c r="W45" s="1">
        <f t="shared" si="55"/>
        <v>2228</v>
      </c>
      <c r="X45" s="1">
        <f t="shared" si="56"/>
        <v>1509</v>
      </c>
      <c r="Y45" s="63">
        <f>Y39+Y40</f>
        <v>2304.1318411976449</v>
      </c>
      <c r="Z45" s="63">
        <f t="shared" ref="Z45:AH45" si="65">Z39+Z40</f>
        <v>4006.2254392096625</v>
      </c>
      <c r="AA45" s="63">
        <f t="shared" si="65"/>
        <v>6563.9439376930904</v>
      </c>
      <c r="AB45" s="63">
        <f t="shared" si="65"/>
        <v>10075.629967959328</v>
      </c>
      <c r="AC45" s="63">
        <f t="shared" si="65"/>
        <v>14768.916651953186</v>
      </c>
      <c r="AD45" s="63">
        <f t="shared" si="65"/>
        <v>20962.253791022649</v>
      </c>
      <c r="AE45" s="63">
        <f t="shared" si="65"/>
        <v>29307.704317049731</v>
      </c>
      <c r="AF45" s="63">
        <f t="shared" si="65"/>
        <v>40338.737962212101</v>
      </c>
      <c r="AG45" s="63">
        <f t="shared" si="65"/>
        <v>54810.015420162308</v>
      </c>
      <c r="AH45" s="63">
        <f t="shared" si="65"/>
        <v>73499.993500498298</v>
      </c>
    </row>
    <row r="46" spans="2:86">
      <c r="B46" s="1" t="s">
        <v>202</v>
      </c>
      <c r="C46" s="1">
        <v>-17</v>
      </c>
      <c r="D46" s="1">
        <v>-32</v>
      </c>
      <c r="E46" s="1">
        <v>-32</v>
      </c>
      <c r="F46" s="1">
        <f>-209-SUM(C46:E46)</f>
        <v>-128</v>
      </c>
      <c r="G46" s="1">
        <v>88</v>
      </c>
      <c r="H46" s="1">
        <v>-173</v>
      </c>
      <c r="I46" s="1">
        <v>-44</v>
      </c>
      <c r="J46" s="1">
        <f>-278-SUM(G46:I46)</f>
        <v>-149</v>
      </c>
      <c r="K46" s="1">
        <v>53</v>
      </c>
      <c r="L46" s="1">
        <v>-273</v>
      </c>
      <c r="M46" s="1">
        <v>-273</v>
      </c>
      <c r="W46" s="1">
        <f t="shared" si="55"/>
        <v>-209</v>
      </c>
      <c r="X46" s="1">
        <f t="shared" si="56"/>
        <v>-278</v>
      </c>
      <c r="Y46" s="63">
        <f>Y45*Y57</f>
        <v>184.33054729581158</v>
      </c>
      <c r="Z46" s="63">
        <f t="shared" ref="Z46:AH46" si="66">Z45*Z57</f>
        <v>520.80930709725612</v>
      </c>
      <c r="AA46" s="63">
        <f t="shared" si="66"/>
        <v>984.59159065396352</v>
      </c>
      <c r="AB46" s="63">
        <f t="shared" si="66"/>
        <v>1612.1007948734925</v>
      </c>
      <c r="AC46" s="63">
        <f t="shared" si="66"/>
        <v>2436.8712475722759</v>
      </c>
      <c r="AD46" s="63">
        <f t="shared" si="66"/>
        <v>3563.5831444738506</v>
      </c>
      <c r="AE46" s="63">
        <f t="shared" si="66"/>
        <v>5128.8482554837028</v>
      </c>
      <c r="AF46" s="63">
        <f t="shared" si="66"/>
        <v>7260.9728331981778</v>
      </c>
      <c r="AG46" s="63">
        <f t="shared" si="66"/>
        <v>9865.8027756292158</v>
      </c>
      <c r="AH46" s="63">
        <f t="shared" si="66"/>
        <v>13229.998830089693</v>
      </c>
    </row>
    <row r="47" spans="2:86" s="2" customFormat="1" ht="15">
      <c r="B47" s="2" t="s">
        <v>75</v>
      </c>
      <c r="C47" s="2">
        <f t="shared" ref="C47:J47" si="67">C45+C46</f>
        <v>-273</v>
      </c>
      <c r="D47" s="2">
        <f t="shared" si="67"/>
        <v>171</v>
      </c>
      <c r="E47" s="2">
        <f t="shared" si="67"/>
        <v>828</v>
      </c>
      <c r="F47" s="2">
        <f t="shared" si="67"/>
        <v>1293</v>
      </c>
      <c r="G47" s="2">
        <f t="shared" si="67"/>
        <v>-682</v>
      </c>
      <c r="H47" s="2">
        <f t="shared" si="67"/>
        <v>906</v>
      </c>
      <c r="I47" s="2">
        <f t="shared" si="67"/>
        <v>264</v>
      </c>
      <c r="J47" s="2">
        <f t="shared" si="67"/>
        <v>743</v>
      </c>
      <c r="K47" s="2">
        <f>K45+K46</f>
        <v>-581</v>
      </c>
      <c r="L47" s="2">
        <f>L45+L46</f>
        <v>1502</v>
      </c>
      <c r="M47" s="2">
        <f>M45+M46</f>
        <v>1502</v>
      </c>
      <c r="N47" s="34"/>
      <c r="W47" s="1">
        <f t="shared" si="55"/>
        <v>2019</v>
      </c>
      <c r="X47" s="1">
        <f t="shared" si="56"/>
        <v>1231</v>
      </c>
      <c r="Y47" s="80">
        <f>Y45+Y46</f>
        <v>2488.4623884934563</v>
      </c>
      <c r="Z47" s="80">
        <f t="shared" ref="Z47:AH47" si="68">Z45+Z46</f>
        <v>4527.0347463069184</v>
      </c>
      <c r="AA47" s="80">
        <f t="shared" si="68"/>
        <v>7548.5355283470544</v>
      </c>
      <c r="AB47" s="80">
        <f t="shared" si="68"/>
        <v>11687.730762832822</v>
      </c>
      <c r="AC47" s="80">
        <f t="shared" si="68"/>
        <v>17205.787899525461</v>
      </c>
      <c r="AD47" s="80">
        <f t="shared" si="68"/>
        <v>24525.8369354965</v>
      </c>
      <c r="AE47" s="80">
        <f t="shared" si="68"/>
        <v>34436.55257253343</v>
      </c>
      <c r="AF47" s="80">
        <f t="shared" si="68"/>
        <v>47599.710795410276</v>
      </c>
      <c r="AG47" s="80">
        <f t="shared" si="68"/>
        <v>64675.818195791522</v>
      </c>
      <c r="AH47" s="80">
        <f t="shared" si="68"/>
        <v>86729.992330587993</v>
      </c>
      <c r="AI47" s="80">
        <f>AH47*(1+$AR$61)</f>
        <v>88768.147150356817</v>
      </c>
      <c r="AJ47" s="80">
        <f>AI47*(1+$AR$61)</f>
        <v>90854.198608390216</v>
      </c>
      <c r="AK47" s="80">
        <f>AJ47*(1+$AR$61)</f>
        <v>92989.272275687399</v>
      </c>
      <c r="AL47" s="80">
        <f>AK47*(1+$AR$61)</f>
        <v>95174.520174166057</v>
      </c>
      <c r="AM47" s="80">
        <f>AL47*(1+$AR$61)</f>
        <v>97411.121398258969</v>
      </c>
      <c r="AN47" s="80">
        <f>AM47*(1+$AR$61)</f>
        <v>99700.282751118066</v>
      </c>
      <c r="AO47" s="80">
        <f>AN47*(1+$AR$61)</f>
        <v>102043.23939576934</v>
      </c>
      <c r="AP47" s="80">
        <f>AO47*(1+$AR$61)</f>
        <v>104441.25552156992</v>
      </c>
      <c r="AQ47" s="80">
        <f>AP47*(1+$AR$61)</f>
        <v>106895.62502632683</v>
      </c>
      <c r="AR47" s="80">
        <f>AQ47*(1+$AR$61)</f>
        <v>109407.67221444551</v>
      </c>
      <c r="AS47" s="80">
        <f>AR47*(1+$AR$61)</f>
        <v>111978.75251148499</v>
      </c>
      <c r="AT47" s="80">
        <f>AS47*(1+$AR$61)</f>
        <v>114610.25319550489</v>
      </c>
      <c r="AU47" s="80">
        <f>AT47*(1+$AR$61)</f>
        <v>117303.59414559926</v>
      </c>
      <c r="AV47" s="80">
        <f>AU47*(1+$AR$61)</f>
        <v>120060.22860802084</v>
      </c>
      <c r="AW47" s="80">
        <f>AV47*(1+$AR$61)</f>
        <v>122881.64398030934</v>
      </c>
      <c r="AX47" s="80">
        <f>AW47*(1+$AR$61)</f>
        <v>125769.36261384662</v>
      </c>
      <c r="AY47" s="80">
        <f>AX47*(1+$AR$61)</f>
        <v>128724.94263527203</v>
      </c>
      <c r="AZ47" s="80">
        <f>AY47*(1+$AR$61)</f>
        <v>131749.97878720093</v>
      </c>
      <c r="BA47" s="80">
        <f>AZ47*(1+$AR$61)</f>
        <v>134846.10328870016</v>
      </c>
      <c r="BB47" s="80">
        <f>BA47*(1+$AR$61)</f>
        <v>138014.98671598462</v>
      </c>
      <c r="BC47" s="80">
        <f>BB47*(1+$AR$61)</f>
        <v>141258.33890381028</v>
      </c>
      <c r="BD47" s="80">
        <f>BC47*(1+$AR$61)</f>
        <v>144577.90986804984</v>
      </c>
      <c r="BE47" s="80">
        <f>BD47*(1+$AR$61)</f>
        <v>147975.49074994904</v>
      </c>
      <c r="BF47" s="80">
        <f>BE47*(1+$AR$61)</f>
        <v>151452.91478257286</v>
      </c>
      <c r="BG47" s="80">
        <f>BF47*(1+$AR$61)</f>
        <v>155012.05827996333</v>
      </c>
      <c r="BH47" s="80">
        <f>BG47*(1+$AR$61)</f>
        <v>158654.84164954248</v>
      </c>
      <c r="BI47" s="80">
        <f>BH47*(1+$AR$61)</f>
        <v>162383.23042830674</v>
      </c>
      <c r="BJ47" s="80">
        <f>BI47*(1+$AR$61)</f>
        <v>166199.23634337194</v>
      </c>
      <c r="BK47" s="80">
        <f>BJ47*(1+$AR$61)</f>
        <v>170104.91839744119</v>
      </c>
      <c r="BL47" s="80">
        <f>BK47*(1+$AR$61)</f>
        <v>174102.38397978107</v>
      </c>
      <c r="BM47" s="80">
        <f>BL47*(1+$AR$61)</f>
        <v>178193.79000330594</v>
      </c>
      <c r="BN47" s="80">
        <f>BM47*(1+$AR$61)</f>
        <v>182381.34406838365</v>
      </c>
      <c r="BO47" s="80">
        <f>BN47*(1+$AR$61)</f>
        <v>186667.30565399068</v>
      </c>
      <c r="BP47" s="80">
        <f>BO47*(1+$AR$61)</f>
        <v>191053.98733685949</v>
      </c>
      <c r="BQ47" s="80">
        <f>BP47*(1+$AR$61)</f>
        <v>195543.7560392757</v>
      </c>
      <c r="BR47" s="80">
        <f>BQ47*(1+$AR$61)</f>
        <v>200139.03430619871</v>
      </c>
      <c r="BS47" s="80">
        <f>BR47*(1+$AR$61)</f>
        <v>204842.3016123944</v>
      </c>
      <c r="BT47" s="80">
        <f>BS47*(1+$AR$61)</f>
        <v>209656.09570028569</v>
      </c>
      <c r="BU47" s="80">
        <f>BT47*(1+$AR$61)</f>
        <v>214583.01394924242</v>
      </c>
      <c r="BV47" s="80">
        <f>BU47*(1+$AR$61)</f>
        <v>219625.71477704964</v>
      </c>
      <c r="BW47" s="80">
        <f>BV47*(1+$AR$61)</f>
        <v>224786.91907431031</v>
      </c>
      <c r="BX47" s="80">
        <f>BW47*(1+$AR$61)</f>
        <v>230069.41167255663</v>
      </c>
      <c r="BY47" s="80">
        <f>BX47*(1+$AR$61)</f>
        <v>235476.04284686173</v>
      </c>
      <c r="BZ47" s="80">
        <f>BY47*(1+$AR$61)</f>
        <v>241009.72985376301</v>
      </c>
      <c r="CA47" s="80">
        <f>BZ47*(1+$AR$61)</f>
        <v>246673.45850532647</v>
      </c>
      <c r="CB47" s="80">
        <f>CA47*(1+$AR$61)</f>
        <v>252470.28478020168</v>
      </c>
      <c r="CC47" s="80">
        <f>CB47*(1+$AR$61)</f>
        <v>258403.33647253644</v>
      </c>
      <c r="CD47" s="80">
        <f>CC47*(1+$AR$61)</f>
        <v>264475.81487964105</v>
      </c>
      <c r="CE47" s="80">
        <f>CD47*(1+$AR$61)</f>
        <v>270690.99652931263</v>
      </c>
      <c r="CF47" s="80">
        <f>CE47*(1+$AR$61)</f>
        <v>277052.23494775151</v>
      </c>
      <c r="CG47" s="34"/>
      <c r="CH47" s="34"/>
    </row>
    <row r="48" spans="2:86">
      <c r="B48" s="1" t="s">
        <v>79</v>
      </c>
      <c r="C48" s="79">
        <v>1287.376</v>
      </c>
      <c r="D48" s="79">
        <v>1288.9000000000001</v>
      </c>
      <c r="E48" s="79">
        <v>1290.585</v>
      </c>
      <c r="F48" s="79">
        <v>1289.8119999999999</v>
      </c>
      <c r="G48" s="79">
        <v>1295.377</v>
      </c>
      <c r="H48" s="79">
        <v>1297.74</v>
      </c>
      <c r="I48" s="79">
        <v>1300.069</v>
      </c>
      <c r="J48" s="79">
        <v>1298.9549999999999</v>
      </c>
      <c r="K48" s="79">
        <v>1303.3499999999999</v>
      </c>
      <c r="L48" s="79">
        <v>1295.22</v>
      </c>
      <c r="M48" s="79">
        <v>1295.22</v>
      </c>
      <c r="W48" s="79">
        <f>AVERAGE(C48:F48)</f>
        <v>1289.1682499999999</v>
      </c>
      <c r="X48" s="79">
        <f>AVERAGE(G48:J48)</f>
        <v>1298.0352499999999</v>
      </c>
    </row>
    <row r="49" spans="2:45">
      <c r="B49" s="1" t="s">
        <v>166</v>
      </c>
      <c r="C49" s="39">
        <f t="shared" ref="C49:J49" si="69">C47/C48</f>
        <v>-0.21205925852276258</v>
      </c>
      <c r="D49" s="39">
        <f t="shared" si="69"/>
        <v>0.13267127007525797</v>
      </c>
      <c r="E49" s="39">
        <f t="shared" si="69"/>
        <v>0.64156952079870755</v>
      </c>
      <c r="F49" s="39">
        <f t="shared" si="69"/>
        <v>1.0024716780430016</v>
      </c>
      <c r="G49" s="39">
        <f t="shared" si="69"/>
        <v>-0.5264876557172159</v>
      </c>
      <c r="H49" s="39">
        <f t="shared" si="69"/>
        <v>0.69813676083036669</v>
      </c>
      <c r="I49" s="39">
        <f t="shared" si="69"/>
        <v>0.203066144950768</v>
      </c>
      <c r="J49" s="39">
        <f t="shared" si="69"/>
        <v>0.57199826013988175</v>
      </c>
      <c r="K49" s="39">
        <f>K47/K48</f>
        <v>-0.44577435071162774</v>
      </c>
      <c r="L49" s="39">
        <f>L47/L48</f>
        <v>1.1596485539136208</v>
      </c>
      <c r="M49" s="39">
        <f>M47/M48</f>
        <v>1.1596485539136208</v>
      </c>
      <c r="W49" s="39">
        <f t="shared" si="55"/>
        <v>1.5646532103942046</v>
      </c>
      <c r="X49" s="39">
        <f t="shared" si="56"/>
        <v>0.94671351020380057</v>
      </c>
    </row>
    <row r="51" spans="2:45">
      <c r="B51" s="37" t="s">
        <v>62</v>
      </c>
      <c r="C51" s="53">
        <f t="shared" ref="C51:J51" si="70">C34/C32</f>
        <v>0.51423965609887157</v>
      </c>
      <c r="D51" s="53">
        <f t="shared" si="70"/>
        <v>0.51100244498777503</v>
      </c>
      <c r="E51" s="53">
        <f t="shared" si="70"/>
        <v>0.51711378353376503</v>
      </c>
      <c r="F51" s="53">
        <f t="shared" si="70"/>
        <v>0.48079658605974396</v>
      </c>
      <c r="G51" s="53">
        <f t="shared" si="70"/>
        <v>0.49533898305084745</v>
      </c>
      <c r="H51" s="53">
        <f t="shared" si="70"/>
        <v>0.48582089552238805</v>
      </c>
      <c r="I51" s="53">
        <f t="shared" si="70"/>
        <v>0.48909985935302391</v>
      </c>
      <c r="J51" s="53">
        <f t="shared" si="70"/>
        <v>0.46105664488017428</v>
      </c>
      <c r="K51" s="53">
        <f>K34/K32</f>
        <v>0.48769716088328074</v>
      </c>
      <c r="L51" s="53">
        <f>L34/L32</f>
        <v>0.47669550655874965</v>
      </c>
      <c r="M51" s="53">
        <f>M34/M32</f>
        <v>0.47669550655874965</v>
      </c>
      <c r="W51" s="53">
        <f t="shared" ref="W51:X51" si="71">W34/W32</f>
        <v>0.50360360360360357</v>
      </c>
      <c r="X51" s="53">
        <f t="shared" si="71"/>
        <v>0.48070266528210454</v>
      </c>
      <c r="Y51" s="81">
        <v>0.48070266528210454</v>
      </c>
      <c r="Z51" s="81">
        <v>0.49</v>
      </c>
      <c r="AA51" s="81">
        <v>0.5</v>
      </c>
      <c r="AB51" s="81">
        <v>0.505</v>
      </c>
      <c r="AC51" s="81">
        <v>0.51</v>
      </c>
      <c r="AD51" s="81">
        <v>0.51249999999999996</v>
      </c>
      <c r="AE51" s="81">
        <v>0.51500000000000001</v>
      </c>
      <c r="AF51" s="81">
        <v>0.51749999999999996</v>
      </c>
      <c r="AG51" s="81">
        <v>0.52</v>
      </c>
      <c r="AH51" s="81">
        <v>0.52</v>
      </c>
    </row>
    <row r="52" spans="2:45">
      <c r="B52" s="37" t="s">
        <v>204</v>
      </c>
      <c r="C52" s="53">
        <f t="shared" ref="C52:J52" si="72">C35/C32</f>
        <v>0.19398173025255239</v>
      </c>
      <c r="D52" s="53">
        <f t="shared" si="72"/>
        <v>0.1726161369193154</v>
      </c>
      <c r="E52" s="53">
        <f t="shared" si="72"/>
        <v>0.15309898242368178</v>
      </c>
      <c r="F52" s="53">
        <f t="shared" si="72"/>
        <v>0.12375533428165007</v>
      </c>
      <c r="G52" s="53">
        <f t="shared" si="72"/>
        <v>0.17161016949152541</v>
      </c>
      <c r="H52" s="53">
        <f t="shared" si="72"/>
        <v>0.15485074626865672</v>
      </c>
      <c r="I52" s="53">
        <f t="shared" si="72"/>
        <v>0.14416315049226441</v>
      </c>
      <c r="J52" s="53">
        <f t="shared" si="72"/>
        <v>0.11791938997821351</v>
      </c>
      <c r="K52" s="53">
        <f>K35/K32</f>
        <v>0.15646687697160883</v>
      </c>
      <c r="L52" s="53">
        <f>L35/L32</f>
        <v>0.13898967345799609</v>
      </c>
      <c r="M52" s="53">
        <f>M35/M32</f>
        <v>0.13898967345799609</v>
      </c>
      <c r="W52" s="53">
        <f t="shared" ref="W52:X52" si="73">W35/W32</f>
        <v>0.15686936936936938</v>
      </c>
      <c r="X52" s="53">
        <f t="shared" si="73"/>
        <v>0.143907926618207</v>
      </c>
      <c r="Y52" s="81">
        <v>0.143907926618207</v>
      </c>
      <c r="Z52" s="81">
        <v>0.13700000000000001</v>
      </c>
      <c r="AA52" s="81">
        <v>0.13200000000000001</v>
      </c>
      <c r="AB52" s="81">
        <v>0.127</v>
      </c>
      <c r="AC52" s="81">
        <v>0.125</v>
      </c>
      <c r="AD52" s="81">
        <v>0.124</v>
      </c>
      <c r="AE52" s="81">
        <v>0.123</v>
      </c>
      <c r="AF52" s="81">
        <v>0.122</v>
      </c>
      <c r="AG52" s="81">
        <v>0.121</v>
      </c>
      <c r="AH52" s="81">
        <v>0.12</v>
      </c>
    </row>
    <row r="53" spans="2:45">
      <c r="B53" s="37" t="s">
        <v>63</v>
      </c>
      <c r="C53" s="53">
        <f t="shared" ref="C53:J53" si="74">C36/C32</f>
        <v>0.18001074691026331</v>
      </c>
      <c r="D53" s="53">
        <f t="shared" si="74"/>
        <v>0.17066014669926649</v>
      </c>
      <c r="E53" s="53">
        <f t="shared" si="74"/>
        <v>0.15356151711378355</v>
      </c>
      <c r="F53" s="53">
        <f t="shared" si="74"/>
        <v>0.1248221906116643</v>
      </c>
      <c r="G53" s="53">
        <f t="shared" si="74"/>
        <v>0.15974576271186441</v>
      </c>
      <c r="H53" s="53">
        <f t="shared" si="74"/>
        <v>0.14701492537313432</v>
      </c>
      <c r="I53" s="53">
        <f t="shared" si="74"/>
        <v>0.13185654008438819</v>
      </c>
      <c r="J53" s="53">
        <f t="shared" si="74"/>
        <v>0.10620915032679738</v>
      </c>
      <c r="K53" s="53">
        <f>K36/K32</f>
        <v>0.13785488958990536</v>
      </c>
      <c r="L53" s="53">
        <f>L36/L32</f>
        <v>0.12419759977672341</v>
      </c>
      <c r="M53" s="53">
        <f>M36/M32</f>
        <v>0.12419759977672341</v>
      </c>
      <c r="W53" s="53">
        <f t="shared" ref="W53:X53" si="75">W36/W32</f>
        <v>0.15394144144144145</v>
      </c>
      <c r="X53" s="53">
        <f t="shared" si="75"/>
        <v>0.13291796469366562</v>
      </c>
      <c r="Y53" s="81">
        <v>0.13600000000000001</v>
      </c>
      <c r="Z53" s="81">
        <v>0.13500000000000001</v>
      </c>
      <c r="AA53" s="81">
        <v>0.13200000000000001</v>
      </c>
      <c r="AB53" s="81">
        <v>0.129</v>
      </c>
      <c r="AC53" s="81">
        <v>0.127</v>
      </c>
      <c r="AD53" s="81">
        <v>0.125</v>
      </c>
      <c r="AE53" s="81">
        <v>0.12</v>
      </c>
      <c r="AF53" s="81">
        <v>0.115</v>
      </c>
      <c r="AG53" s="81">
        <v>0.11</v>
      </c>
      <c r="AH53" s="81">
        <v>0.105</v>
      </c>
    </row>
    <row r="54" spans="2:45">
      <c r="B54" s="37" t="s">
        <v>203</v>
      </c>
      <c r="C54" s="53">
        <f t="shared" ref="C54:J54" si="76">C37/C32</f>
        <v>6.6630843632455666E-2</v>
      </c>
      <c r="D54" s="53">
        <f t="shared" si="76"/>
        <v>2.9339853300733496E-2</v>
      </c>
      <c r="E54" s="53">
        <f t="shared" si="76"/>
        <v>5.2728954671600367E-2</v>
      </c>
      <c r="F54" s="53">
        <f t="shared" si="76"/>
        <v>3.9829302987197723E-2</v>
      </c>
      <c r="G54" s="53">
        <f t="shared" si="76"/>
        <v>4.6186440677966102E-2</v>
      </c>
      <c r="H54" s="53">
        <f t="shared" si="76"/>
        <v>4.5522388059701491E-2</v>
      </c>
      <c r="I54" s="53">
        <f t="shared" si="76"/>
        <v>4.0436005625879047E-2</v>
      </c>
      <c r="J54" s="53">
        <f t="shared" si="76"/>
        <v>3.4041394335511982E-2</v>
      </c>
      <c r="K54" s="53">
        <f>K37/K32</f>
        <v>3.6277602523659309E-2</v>
      </c>
      <c r="L54" s="53">
        <f>L37/L32</f>
        <v>3.7957019257605355E-2</v>
      </c>
      <c r="M54" s="53">
        <f>M37/M32</f>
        <v>3.7957019257605355E-2</v>
      </c>
      <c r="W54" s="53">
        <f t="shared" ref="W54:X54" si="77">W37/W32</f>
        <v>4.6171171171171171E-2</v>
      </c>
      <c r="X54" s="53">
        <f t="shared" si="77"/>
        <v>4.0758047767393564E-2</v>
      </c>
      <c r="Y54" s="81">
        <v>4.0758047767393564E-2</v>
      </c>
      <c r="Z54" s="81">
        <v>3.7999999999999999E-2</v>
      </c>
      <c r="AA54" s="81">
        <v>3.5999999999999997E-2</v>
      </c>
      <c r="AB54" s="81">
        <v>3.5000000000000003E-2</v>
      </c>
      <c r="AC54" s="81">
        <v>3.5000000000000003E-2</v>
      </c>
      <c r="AD54" s="81">
        <v>3.5000000000000003E-2</v>
      </c>
      <c r="AE54" s="81">
        <v>3.5000000000000003E-2</v>
      </c>
      <c r="AF54" s="81">
        <v>3.5000000000000003E-2</v>
      </c>
      <c r="AG54" s="81">
        <v>3.5000000000000003E-2</v>
      </c>
      <c r="AH54" s="81">
        <v>3.5000000000000003E-2</v>
      </c>
    </row>
    <row r="55" spans="2:45">
      <c r="B55" s="37" t="s">
        <v>205</v>
      </c>
      <c r="C55" s="53">
        <f t="shared" ref="C55:J55" si="78">C38/C32</f>
        <v>2.7404621171413217E-2</v>
      </c>
      <c r="D55" s="53">
        <f t="shared" si="78"/>
        <v>2.0537897310513448E-2</v>
      </c>
      <c r="E55" s="53">
        <f t="shared" si="78"/>
        <v>2.6827012025901941E-2</v>
      </c>
      <c r="F55" s="53">
        <f t="shared" si="78"/>
        <v>2.7027027027027029E-2</v>
      </c>
      <c r="G55" s="53">
        <f t="shared" si="78"/>
        <v>3.1779661016949151E-2</v>
      </c>
      <c r="H55" s="53">
        <f t="shared" si="78"/>
        <v>2.9850746268656716E-2</v>
      </c>
      <c r="I55" s="53">
        <f t="shared" si="78"/>
        <v>5.2039381153305204E-2</v>
      </c>
      <c r="J55" s="53">
        <f t="shared" si="78"/>
        <v>3.1045751633986929E-2</v>
      </c>
      <c r="K55" s="53">
        <f>K38/K32</f>
        <v>3.659305993690852E-2</v>
      </c>
      <c r="L55" s="53">
        <f>L38/L32</f>
        <v>3.9352497906782025E-2</v>
      </c>
      <c r="M55" s="53">
        <f>M38/M32</f>
        <v>3.9352497906782025E-2</v>
      </c>
      <c r="W55" s="53">
        <f t="shared" ref="W55:X55" si="79">W38/W32</f>
        <v>2.5563063063063062E-2</v>
      </c>
      <c r="X55" s="53">
        <f t="shared" si="79"/>
        <v>3.6085150571131881E-2</v>
      </c>
      <c r="Y55" s="81">
        <v>3.6085150571131881E-2</v>
      </c>
      <c r="Z55" s="81">
        <v>3.4000000000000002E-2</v>
      </c>
      <c r="AA55" s="81">
        <v>3.3000000000000002E-2</v>
      </c>
      <c r="AB55" s="81">
        <v>3.2000000000000001E-2</v>
      </c>
      <c r="AC55" s="81">
        <v>3.1E-2</v>
      </c>
      <c r="AD55" s="81">
        <v>0.03</v>
      </c>
      <c r="AE55" s="81">
        <v>0.03</v>
      </c>
      <c r="AF55" s="81">
        <v>0.03</v>
      </c>
      <c r="AG55" s="81">
        <v>0.03</v>
      </c>
      <c r="AH55" s="81">
        <v>0.03</v>
      </c>
    </row>
    <row r="56" spans="2:45">
      <c r="B56" s="37" t="s">
        <v>64</v>
      </c>
      <c r="C56" s="53">
        <f t="shared" ref="C56:J56" si="80">C39/C32</f>
        <v>4.6211714132186998E-2</v>
      </c>
      <c r="D56" s="53">
        <f t="shared" si="80"/>
        <v>0.11784841075794621</v>
      </c>
      <c r="E56" s="53">
        <f t="shared" si="80"/>
        <v>0.13089731729879742</v>
      </c>
      <c r="F56" s="53">
        <f t="shared" si="80"/>
        <v>0.16536273115220484</v>
      </c>
      <c r="G56" s="53">
        <f t="shared" si="80"/>
        <v>8.6016949152542377E-2</v>
      </c>
      <c r="H56" s="53">
        <f t="shared" si="80"/>
        <v>0.1085820895522388</v>
      </c>
      <c r="I56" s="53">
        <f t="shared" si="80"/>
        <v>0.12060478199718706</v>
      </c>
      <c r="J56" s="53">
        <f t="shared" si="80"/>
        <v>0.17184095860566448</v>
      </c>
      <c r="K56" s="53">
        <f>K39/K32</f>
        <v>0.12050473186119874</v>
      </c>
      <c r="L56" s="53">
        <f>L39/L32</f>
        <v>0.13619871615964277</v>
      </c>
      <c r="M56" s="53">
        <f>M39/M32</f>
        <v>0.13619871615964277</v>
      </c>
      <c r="W56" s="53">
        <f t="shared" ref="W56:X56" si="81">W39/W32</f>
        <v>0.12105855855855856</v>
      </c>
      <c r="X56" s="53">
        <f t="shared" si="81"/>
        <v>0.12703357563170647</v>
      </c>
      <c r="Y56" s="81">
        <f>Y39/Y32</f>
        <v>0.12395154032537202</v>
      </c>
      <c r="Z56" s="81">
        <f t="shared" ref="Z56:AH56" si="82">Z39/Z32</f>
        <v>0.14599999999999996</v>
      </c>
      <c r="AA56" s="81">
        <f t="shared" si="82"/>
        <v>0.16699999999999998</v>
      </c>
      <c r="AB56" s="81">
        <f t="shared" si="82"/>
        <v>0.18199999999999994</v>
      </c>
      <c r="AC56" s="81">
        <f t="shared" si="82"/>
        <v>0.19200000000000006</v>
      </c>
      <c r="AD56" s="81">
        <f t="shared" si="82"/>
        <v>0.19849999999999998</v>
      </c>
      <c r="AE56" s="81">
        <f t="shared" si="82"/>
        <v>0.20699999999999999</v>
      </c>
      <c r="AF56" s="81">
        <f t="shared" si="82"/>
        <v>0.21549999999999997</v>
      </c>
      <c r="AG56" s="81">
        <f t="shared" si="82"/>
        <v>0.22400000000000003</v>
      </c>
      <c r="AH56" s="81">
        <f t="shared" si="82"/>
        <v>0.23000000000000009</v>
      </c>
    </row>
    <row r="57" spans="2:45">
      <c r="B57" s="37" t="s">
        <v>65</v>
      </c>
      <c r="C57" s="53">
        <f t="shared" ref="C57:J57" si="83">C46/C45</f>
        <v>6.640625E-2</v>
      </c>
      <c r="D57" s="53">
        <f t="shared" si="83"/>
        <v>-0.15763546798029557</v>
      </c>
      <c r="E57" s="53">
        <f t="shared" si="83"/>
        <v>-3.7209302325581395E-2</v>
      </c>
      <c r="F57" s="53">
        <f t="shared" si="83"/>
        <v>-9.0077410274454608E-2</v>
      </c>
      <c r="G57" s="53">
        <f t="shared" si="83"/>
        <v>-0.11428571428571428</v>
      </c>
      <c r="H57" s="53">
        <f t="shared" si="83"/>
        <v>-0.1603336422613531</v>
      </c>
      <c r="I57" s="53">
        <f t="shared" si="83"/>
        <v>-0.14285714285714285</v>
      </c>
      <c r="J57" s="53">
        <f t="shared" si="83"/>
        <v>-0.16704035874439463</v>
      </c>
      <c r="K57" s="53">
        <f>K46/K45</f>
        <v>-8.3596214511041003E-2</v>
      </c>
      <c r="L57" s="53">
        <f>L46/L45</f>
        <v>-0.15380281690140846</v>
      </c>
      <c r="M57" s="53">
        <f>M46/M45</f>
        <v>-0.15380281690140846</v>
      </c>
      <c r="W57" s="53">
        <f t="shared" ref="W57:X57" si="84">W46/W45</f>
        <v>-9.380610412926392E-2</v>
      </c>
      <c r="X57" s="53">
        <f t="shared" si="84"/>
        <v>-0.18422796554009277</v>
      </c>
      <c r="Y57" s="81">
        <v>0.08</v>
      </c>
      <c r="Z57" s="81">
        <v>0.13</v>
      </c>
      <c r="AA57" s="81">
        <v>0.15</v>
      </c>
      <c r="AB57" s="81">
        <v>0.16</v>
      </c>
      <c r="AC57" s="81">
        <v>0.16500000000000001</v>
      </c>
      <c r="AD57" s="81">
        <v>0.17</v>
      </c>
      <c r="AE57" s="81">
        <v>0.17499999999999999</v>
      </c>
      <c r="AF57" s="81">
        <v>0.18</v>
      </c>
      <c r="AG57" s="81">
        <v>0.18</v>
      </c>
      <c r="AH57" s="81">
        <v>0.18</v>
      </c>
    </row>
    <row r="58" spans="2:45">
      <c r="B58" s="37" t="s">
        <v>66</v>
      </c>
      <c r="C58" s="53">
        <f t="shared" ref="C58:J58" si="85">C47/C32</f>
        <v>-0.14669532509403546</v>
      </c>
      <c r="D58" s="53">
        <f t="shared" si="85"/>
        <v>8.361858190709047E-2</v>
      </c>
      <c r="E58" s="53">
        <f t="shared" si="85"/>
        <v>0.38297872340425532</v>
      </c>
      <c r="F58" s="53">
        <f t="shared" si="85"/>
        <v>0.45981507823613088</v>
      </c>
      <c r="G58" s="53">
        <f t="shared" si="85"/>
        <v>-0.28898305084745762</v>
      </c>
      <c r="H58" s="53">
        <f t="shared" si="85"/>
        <v>0.33805970149253733</v>
      </c>
      <c r="I58" s="53">
        <f t="shared" si="85"/>
        <v>9.2827004219409287E-2</v>
      </c>
      <c r="J58" s="53">
        <f t="shared" si="85"/>
        <v>0.20234204793028324</v>
      </c>
      <c r="K58" s="53">
        <f>K47/K32</f>
        <v>-0.18328075709779179</v>
      </c>
      <c r="L58" s="53">
        <f>L47/L32</f>
        <v>0.41920178621267096</v>
      </c>
      <c r="M58" s="53">
        <f>M47/M32</f>
        <v>0.41920178621267096</v>
      </c>
      <c r="W58" s="53">
        <f t="shared" ref="W58:X58" si="86">W47/W32</f>
        <v>0.22736486486486487</v>
      </c>
      <c r="X58" s="53">
        <f t="shared" si="86"/>
        <v>0.10652474904811353</v>
      </c>
      <c r="Y58" s="81">
        <f>Y47/Y32</f>
        <v>0.15986195764274769</v>
      </c>
      <c r="Z58" s="81">
        <f t="shared" ref="Z58:AH58" si="87">Z47/Z32</f>
        <v>0.21827043804939558</v>
      </c>
      <c r="AA58" s="81">
        <f t="shared" si="87"/>
        <v>0.2808821001575596</v>
      </c>
      <c r="AB58" s="81">
        <f t="shared" si="87"/>
        <v>0.34480493468053991</v>
      </c>
      <c r="AC58" s="81">
        <f t="shared" si="87"/>
        <v>0.4114883349657687</v>
      </c>
      <c r="AD58" s="81">
        <f t="shared" si="87"/>
        <v>0.4844574767751082</v>
      </c>
      <c r="AE58" s="81">
        <f t="shared" si="87"/>
        <v>0.57269431992684938</v>
      </c>
      <c r="AF58" s="81">
        <f t="shared" si="87"/>
        <v>0.67809711521700688</v>
      </c>
      <c r="AG58" s="81">
        <f t="shared" si="87"/>
        <v>0.80237673551083821</v>
      </c>
      <c r="AH58" s="81">
        <f t="shared" si="87"/>
        <v>0.94711811428104375</v>
      </c>
    </row>
    <row r="60" spans="2:45" ht="14.25" customHeight="1">
      <c r="B60" s="1" t="s">
        <v>67</v>
      </c>
      <c r="F60" s="1">
        <v>1498</v>
      </c>
      <c r="G60" s="1">
        <v>1309</v>
      </c>
      <c r="H60" s="1">
        <v>1542</v>
      </c>
      <c r="I60" s="1">
        <v>2414</v>
      </c>
      <c r="J60" s="1">
        <v>1545</v>
      </c>
      <c r="K60" s="1">
        <v>1848</v>
      </c>
      <c r="L60" s="1">
        <v>1656</v>
      </c>
      <c r="M60" s="1">
        <v>1656</v>
      </c>
      <c r="W60" s="1">
        <f>F60</f>
        <v>1498</v>
      </c>
      <c r="X60" s="1">
        <f>J60</f>
        <v>1545</v>
      </c>
      <c r="Y60" s="63">
        <f>X60+Y47</f>
        <v>4033.4623884934563</v>
      </c>
      <c r="Z60" s="63">
        <f t="shared" ref="Z60:AH60" si="88">Y60+Z47</f>
        <v>8560.4971348003746</v>
      </c>
      <c r="AA60" s="63">
        <f t="shared" si="88"/>
        <v>16109.032663147429</v>
      </c>
      <c r="AB60" s="63">
        <f t="shared" si="88"/>
        <v>27796.763425980251</v>
      </c>
      <c r="AC60" s="63">
        <f t="shared" si="88"/>
        <v>45002.551325505716</v>
      </c>
      <c r="AD60" s="63">
        <f t="shared" si="88"/>
        <v>69528.388261002212</v>
      </c>
      <c r="AE60" s="63">
        <f t="shared" si="88"/>
        <v>103964.94083353564</v>
      </c>
      <c r="AF60" s="63">
        <f t="shared" si="88"/>
        <v>151564.65162894593</v>
      </c>
      <c r="AG60" s="63">
        <f t="shared" si="88"/>
        <v>216240.46982473746</v>
      </c>
      <c r="AH60" s="63">
        <f t="shared" si="88"/>
        <v>302970.46215532545</v>
      </c>
      <c r="AJ60" s="55" t="s">
        <v>112</v>
      </c>
      <c r="AM60" s="44" t="s">
        <v>167</v>
      </c>
      <c r="AN60" s="45"/>
      <c r="AO60" s="56" t="s">
        <v>111</v>
      </c>
      <c r="AP60" s="45"/>
      <c r="AQ60" s="46" t="s">
        <v>113</v>
      </c>
      <c r="AR60" s="58">
        <v>0.24249999999999999</v>
      </c>
      <c r="AS60" s="45"/>
    </row>
    <row r="61" spans="2:45" ht="14.25" customHeight="1">
      <c r="B61" s="1" t="s">
        <v>68</v>
      </c>
      <c r="F61" s="1">
        <v>3981</v>
      </c>
      <c r="G61" s="1">
        <v>4205</v>
      </c>
      <c r="H61" s="1">
        <v>4278</v>
      </c>
      <c r="I61" s="1">
        <v>3935</v>
      </c>
      <c r="J61" s="1">
        <v>4233</v>
      </c>
      <c r="K61" s="1">
        <v>3895</v>
      </c>
      <c r="L61" s="1">
        <v>3291</v>
      </c>
      <c r="M61" s="1">
        <v>3291</v>
      </c>
      <c r="W61" s="1">
        <f t="shared" ref="W61:W74" si="89">F61</f>
        <v>3981</v>
      </c>
      <c r="X61" s="1">
        <f t="shared" ref="X61:X74" si="90">J61</f>
        <v>4233</v>
      </c>
      <c r="AJ61" s="45">
        <v>2024</v>
      </c>
      <c r="AK61" s="45">
        <v>2025</v>
      </c>
      <c r="AM61" s="44" t="s">
        <v>168</v>
      </c>
      <c r="AN61" s="45"/>
      <c r="AO61" s="45">
        <v>2025</v>
      </c>
      <c r="AP61" s="45"/>
      <c r="AQ61" s="46" t="s">
        <v>114</v>
      </c>
      <c r="AR61" s="70">
        <v>2.35E-2</v>
      </c>
      <c r="AS61" s="45"/>
    </row>
    <row r="62" spans="2:45" ht="14.25" customHeight="1">
      <c r="B62" s="1" t="s">
        <v>210</v>
      </c>
      <c r="F62" s="1">
        <v>342</v>
      </c>
      <c r="G62" s="1">
        <v>297</v>
      </c>
      <c r="H62" s="1">
        <v>350</v>
      </c>
      <c r="I62" s="1">
        <v>396</v>
      </c>
      <c r="J62" s="1">
        <v>500</v>
      </c>
      <c r="K62" s="1">
        <v>449</v>
      </c>
      <c r="L62" s="1">
        <v>466</v>
      </c>
      <c r="M62" s="1">
        <v>466</v>
      </c>
      <c r="W62" s="1">
        <f t="shared" si="89"/>
        <v>342</v>
      </c>
      <c r="X62" s="1">
        <f t="shared" si="90"/>
        <v>500</v>
      </c>
      <c r="AJ62" s="35">
        <f>SUM(W60:W64)-SUM(W76:W78)+W65+W73+W67</f>
        <v>6737</v>
      </c>
      <c r="AK62" s="35">
        <f>SUM(X60:X64)-SUM(X76:X78)+X65+X73+X67</f>
        <v>7478</v>
      </c>
      <c r="AM62" s="35">
        <f>AVERAGE(AJ62:AK62)</f>
        <v>7107.5</v>
      </c>
      <c r="AN62" s="45"/>
      <c r="AO62" s="63">
        <f>X40*(1-X54)</f>
        <v>317.50908618899274</v>
      </c>
      <c r="AP62" s="45"/>
      <c r="AQ62" s="46" t="s">
        <v>115</v>
      </c>
      <c r="AR62" s="70">
        <f>AM71</f>
        <v>5.1700000000000003E-2</v>
      </c>
      <c r="AS62" s="45"/>
    </row>
    <row r="63" spans="2:45" ht="14.25" customHeight="1">
      <c r="B63" s="1" t="s">
        <v>211</v>
      </c>
      <c r="F63" s="1">
        <v>1224</v>
      </c>
      <c r="G63" s="1">
        <v>1392</v>
      </c>
      <c r="H63" s="1">
        <v>1597</v>
      </c>
      <c r="I63" s="1">
        <v>1733</v>
      </c>
      <c r="J63" s="1">
        <v>1784</v>
      </c>
      <c r="K63" s="1">
        <v>2097</v>
      </c>
      <c r="L63" s="1">
        <v>2184</v>
      </c>
      <c r="M63" s="1">
        <v>2184</v>
      </c>
      <c r="W63" s="1">
        <f t="shared" si="89"/>
        <v>1224</v>
      </c>
      <c r="X63" s="1">
        <f t="shared" si="90"/>
        <v>1784</v>
      </c>
      <c r="AK63" s="45"/>
      <c r="AL63" s="45"/>
      <c r="AM63" s="45"/>
      <c r="AN63" s="45"/>
      <c r="AO63" s="58">
        <f>AO62/AM62</f>
        <v>4.4672400448679948E-2</v>
      </c>
      <c r="AP63" s="45"/>
      <c r="AQ63" s="46" t="s">
        <v>116</v>
      </c>
      <c r="AR63" s="70">
        <f>10.35%-AR62</f>
        <v>5.1799999999999992E-2</v>
      </c>
      <c r="AS63" s="45"/>
    </row>
    <row r="64" spans="2:45" ht="14.25" customHeight="1">
      <c r="B64" s="1" t="s">
        <v>212</v>
      </c>
      <c r="F64" s="1">
        <v>209</v>
      </c>
      <c r="G64" s="1">
        <v>242</v>
      </c>
      <c r="H64" s="1">
        <v>234</v>
      </c>
      <c r="I64" s="1">
        <v>227</v>
      </c>
      <c r="J64" s="1">
        <v>234</v>
      </c>
      <c r="K64" s="1">
        <v>206</v>
      </c>
      <c r="L64" s="1">
        <v>219</v>
      </c>
      <c r="M64" s="1">
        <v>219</v>
      </c>
      <c r="W64" s="1">
        <f t="shared" si="89"/>
        <v>209</v>
      </c>
      <c r="X64" s="1">
        <f t="shared" si="90"/>
        <v>234</v>
      </c>
      <c r="AJ64" s="48" t="s">
        <v>169</v>
      </c>
      <c r="AK64" s="45"/>
      <c r="AL64" s="45"/>
      <c r="AN64" s="45"/>
      <c r="AO64" s="45"/>
      <c r="AP64" s="45"/>
      <c r="AQ64" s="46" t="s">
        <v>117</v>
      </c>
      <c r="AR64" s="64">
        <f>'Notes | Quant Analysis'!S207</f>
        <v>2.2109452650660075</v>
      </c>
      <c r="AS64" s="45"/>
    </row>
    <row r="65" spans="2:46" ht="14.25" customHeight="1">
      <c r="B65" s="1" t="s">
        <v>213</v>
      </c>
      <c r="F65" s="1">
        <v>47</v>
      </c>
      <c r="G65" s="1">
        <v>46</v>
      </c>
      <c r="H65" s="1">
        <v>46</v>
      </c>
      <c r="I65" s="1">
        <v>51</v>
      </c>
      <c r="J65" s="1">
        <v>53</v>
      </c>
      <c r="K65" s="1">
        <v>54</v>
      </c>
      <c r="L65" s="1">
        <v>53</v>
      </c>
      <c r="M65" s="1">
        <v>53</v>
      </c>
      <c r="W65" s="1">
        <f t="shared" si="89"/>
        <v>47</v>
      </c>
      <c r="X65" s="1">
        <f t="shared" si="90"/>
        <v>53</v>
      </c>
      <c r="AJ65" s="57" t="s">
        <v>170</v>
      </c>
      <c r="AM65" s="47">
        <f>Main!C5</f>
        <v>218646.0882</v>
      </c>
      <c r="AN65" s="45"/>
      <c r="AP65" s="45"/>
      <c r="AQ65" s="46" t="s">
        <v>118</v>
      </c>
      <c r="AR65" s="70">
        <f>+AR62+(AR63*AR64)</f>
        <v>0.16622696473041917</v>
      </c>
      <c r="AS65" s="45"/>
    </row>
    <row r="66" spans="2:46" ht="14.25" customHeight="1">
      <c r="B66" s="1" t="s">
        <v>214</v>
      </c>
      <c r="F66" s="1">
        <v>93</v>
      </c>
      <c r="G66" s="1">
        <v>105</v>
      </c>
      <c r="H66" s="1">
        <v>97</v>
      </c>
      <c r="I66" s="1">
        <v>94</v>
      </c>
      <c r="J66" s="1">
        <v>88</v>
      </c>
      <c r="K66" s="1">
        <v>84</v>
      </c>
      <c r="L66" s="1">
        <v>90</v>
      </c>
      <c r="M66" s="1">
        <v>90</v>
      </c>
      <c r="W66" s="1">
        <f t="shared" si="89"/>
        <v>93</v>
      </c>
      <c r="X66" s="1">
        <f t="shared" si="90"/>
        <v>88</v>
      </c>
      <c r="AJ66" s="57" t="s">
        <v>172</v>
      </c>
      <c r="AM66" s="58">
        <f>Main!C7/(Main!C7+AM65)</f>
        <v>0</v>
      </c>
      <c r="AN66" s="48"/>
      <c r="AP66" s="45"/>
      <c r="AQ66" s="46"/>
      <c r="AR66" s="45"/>
      <c r="AS66" s="45"/>
    </row>
    <row r="67" spans="2:46" ht="14.25" customHeight="1">
      <c r="B67" s="1" t="s">
        <v>215</v>
      </c>
      <c r="F67" s="1">
        <v>22</v>
      </c>
      <c r="G67" s="1">
        <v>39</v>
      </c>
      <c r="H67" s="1">
        <v>36</v>
      </c>
      <c r="I67" s="1">
        <v>33</v>
      </c>
      <c r="J67" s="1">
        <v>30</v>
      </c>
      <c r="K67" s="1">
        <v>28</v>
      </c>
      <c r="L67" s="1">
        <v>27</v>
      </c>
      <c r="M67" s="1">
        <v>27</v>
      </c>
      <c r="W67" s="1">
        <f t="shared" si="89"/>
        <v>22</v>
      </c>
      <c r="X67" s="1">
        <f t="shared" si="90"/>
        <v>30</v>
      </c>
      <c r="AJ67" s="57" t="s">
        <v>173</v>
      </c>
      <c r="AM67" s="58">
        <f>AM65/(AM65+Main!C7)</f>
        <v>1</v>
      </c>
      <c r="AN67" s="45"/>
      <c r="AP67" s="45"/>
      <c r="AQ67" s="46" t="s">
        <v>119</v>
      </c>
      <c r="AR67" s="63">
        <f>NPV(AR65,Y47:CG47)</f>
        <v>228191.74854379756</v>
      </c>
      <c r="AS67" s="45"/>
      <c r="AT67" s="2"/>
    </row>
    <row r="68" spans="2:46" ht="14.25" customHeight="1">
      <c r="B68" s="1" t="s">
        <v>216</v>
      </c>
      <c r="F68" s="1">
        <v>37</v>
      </c>
      <c r="G68" s="1">
        <v>98</v>
      </c>
      <c r="H68" s="1">
        <v>31</v>
      </c>
      <c r="I68" s="1">
        <v>29</v>
      </c>
      <c r="J68" s="1">
        <v>33</v>
      </c>
      <c r="K68" s="1">
        <v>117</v>
      </c>
      <c r="L68" s="1">
        <v>30</v>
      </c>
      <c r="M68" s="1">
        <v>30</v>
      </c>
      <c r="W68" s="1">
        <f t="shared" si="89"/>
        <v>37</v>
      </c>
      <c r="X68" s="1">
        <f t="shared" si="90"/>
        <v>33</v>
      </c>
      <c r="AJ68" s="59" t="s">
        <v>174</v>
      </c>
      <c r="AK68" s="34"/>
      <c r="AL68" s="34"/>
      <c r="AM68" s="60">
        <f>X79/X85</f>
        <v>0</v>
      </c>
      <c r="AN68" s="45"/>
      <c r="AO68" s="45"/>
      <c r="AP68" s="45"/>
      <c r="AQ68" s="46" t="s">
        <v>79</v>
      </c>
      <c r="AR68" s="63">
        <f>Main!C4</f>
        <v>1295.22</v>
      </c>
      <c r="AS68" s="61"/>
    </row>
    <row r="69" spans="2:46" ht="14.25" customHeight="1">
      <c r="B69" s="1" t="s">
        <v>217</v>
      </c>
      <c r="F69" s="1">
        <v>21</v>
      </c>
      <c r="G69" s="1">
        <v>23</v>
      </c>
      <c r="H69" s="1">
        <v>28</v>
      </c>
      <c r="I69" s="1">
        <v>23</v>
      </c>
      <c r="J69" s="1">
        <v>39</v>
      </c>
      <c r="K69" s="1">
        <v>30</v>
      </c>
      <c r="L69" s="1">
        <v>25</v>
      </c>
      <c r="M69" s="1">
        <v>25</v>
      </c>
      <c r="W69" s="1">
        <f t="shared" si="89"/>
        <v>21</v>
      </c>
      <c r="X69" s="1">
        <f t="shared" si="90"/>
        <v>39</v>
      </c>
      <c r="AN69" s="45"/>
      <c r="AO69" s="45"/>
      <c r="AP69" s="45"/>
      <c r="AQ69" s="46" t="s">
        <v>120</v>
      </c>
      <c r="AR69" s="64">
        <f>AR67/AR68</f>
        <v>176.17991425688112</v>
      </c>
      <c r="AS69" s="44"/>
    </row>
    <row r="70" spans="2:46" ht="14.25" customHeight="1">
      <c r="B70" s="1" t="s">
        <v>218</v>
      </c>
      <c r="F70" s="1">
        <v>709</v>
      </c>
      <c r="G70" s="1">
        <v>894</v>
      </c>
      <c r="H70" s="1">
        <v>831</v>
      </c>
      <c r="I70" s="1">
        <v>676</v>
      </c>
      <c r="J70" s="1">
        <v>975</v>
      </c>
      <c r="K70" s="1">
        <v>708</v>
      </c>
      <c r="L70" s="1">
        <v>525</v>
      </c>
      <c r="M70" s="1">
        <v>525</v>
      </c>
      <c r="W70" s="1">
        <f t="shared" si="89"/>
        <v>709</v>
      </c>
      <c r="X70" s="1">
        <f t="shared" si="90"/>
        <v>975</v>
      </c>
      <c r="AJ70" s="34" t="s">
        <v>175</v>
      </c>
      <c r="AM70" s="45"/>
      <c r="AN70" s="48"/>
      <c r="AO70" s="48"/>
      <c r="AP70" s="48"/>
      <c r="AQ70" s="46" t="s">
        <v>121</v>
      </c>
      <c r="AR70" s="64">
        <f>Main!C3</f>
        <v>168.81</v>
      </c>
      <c r="AS70" s="50"/>
    </row>
    <row r="71" spans="2:46" ht="14.25" customHeight="1">
      <c r="B71" s="1" t="s">
        <v>219</v>
      </c>
      <c r="F71" s="1">
        <v>4647</v>
      </c>
      <c r="G71" s="1">
        <v>3640</v>
      </c>
      <c r="H71" s="1">
        <v>4405</v>
      </c>
      <c r="I71" s="1">
        <v>4363</v>
      </c>
      <c r="J71" s="1">
        <v>4582</v>
      </c>
      <c r="K71" s="1">
        <v>3533</v>
      </c>
      <c r="L71" s="1">
        <v>4854</v>
      </c>
      <c r="M71" s="1">
        <v>4854</v>
      </c>
      <c r="W71" s="1">
        <f t="shared" si="89"/>
        <v>4647</v>
      </c>
      <c r="X71" s="1">
        <f t="shared" si="90"/>
        <v>4582</v>
      </c>
      <c r="AJ71" s="62" t="s">
        <v>115</v>
      </c>
      <c r="AM71" s="58">
        <v>5.1700000000000003E-2</v>
      </c>
      <c r="AN71" s="45"/>
      <c r="AO71" s="45"/>
      <c r="AP71" s="45"/>
      <c r="AQ71" s="46" t="s">
        <v>122</v>
      </c>
      <c r="AR71" s="70">
        <f>AR69/AR70-1</f>
        <v>4.3658043106931554E-2</v>
      </c>
      <c r="AS71" s="83" t="str">
        <f>IF(AR71&gt;0,"Upside","Downside")</f>
        <v>Upside</v>
      </c>
    </row>
    <row r="72" spans="2:46" ht="14.25" customHeight="1">
      <c r="B72" s="1" t="s">
        <v>220</v>
      </c>
      <c r="F72" s="1">
        <v>642</v>
      </c>
      <c r="G72" s="1">
        <v>619</v>
      </c>
      <c r="H72" s="1">
        <v>595</v>
      </c>
      <c r="I72" s="1">
        <v>574</v>
      </c>
      <c r="J72" s="1">
        <v>602</v>
      </c>
      <c r="K72" s="1">
        <v>581</v>
      </c>
      <c r="L72" s="1">
        <v>559</v>
      </c>
      <c r="M72" s="1">
        <v>559</v>
      </c>
      <c r="W72" s="1">
        <f t="shared" si="89"/>
        <v>642</v>
      </c>
      <c r="X72" s="1">
        <f t="shared" si="90"/>
        <v>602</v>
      </c>
      <c r="AJ72" s="62" t="s">
        <v>117</v>
      </c>
      <c r="AM72" s="49">
        <f>'Notes | Quant Analysis'!S207</f>
        <v>2.2109452650660075</v>
      </c>
      <c r="AQ72" s="90" t="str" cm="1">
        <f t="array" ref="AQ72">_xlfn.IFS(AR71&gt;=25%,"Strong Buy",AR71&gt;=10.00001%,"Buy",AND(AR71&lt;=10%,AR71&gt;=-4.9999%),"Hold",AND(AR71&lt;=-5%,AR71&gt;=-14.999999%),"Sell",AR71&lt;=-15%,"Strong Sell")</f>
        <v>Hold</v>
      </c>
      <c r="AR72" s="90"/>
    </row>
    <row r="73" spans="2:46" ht="14.25" customHeight="1">
      <c r="B73" s="1" t="s">
        <v>221</v>
      </c>
      <c r="F73" s="1">
        <v>452</v>
      </c>
      <c r="G73" s="1">
        <v>491</v>
      </c>
      <c r="H73" s="1">
        <v>491</v>
      </c>
      <c r="I73" s="1">
        <v>491</v>
      </c>
      <c r="J73" s="1">
        <v>491</v>
      </c>
      <c r="K73" s="1">
        <v>491</v>
      </c>
      <c r="L73" s="1">
        <v>491</v>
      </c>
      <c r="M73" s="1">
        <v>491</v>
      </c>
      <c r="W73" s="1">
        <f t="shared" si="89"/>
        <v>452</v>
      </c>
      <c r="X73" s="1">
        <f t="shared" si="90"/>
        <v>491</v>
      </c>
      <c r="AJ73" s="57" t="s">
        <v>176</v>
      </c>
      <c r="AM73" s="58">
        <v>0.1457</v>
      </c>
    </row>
    <row r="74" spans="2:46" ht="14.25" customHeight="1">
      <c r="B74" s="2" t="s">
        <v>171</v>
      </c>
      <c r="C74" s="2"/>
      <c r="D74" s="2"/>
      <c r="E74" s="2"/>
      <c r="F74" s="2">
        <f t="shared" ref="F74:J74" si="91">SUM(F60:F73)</f>
        <v>13924</v>
      </c>
      <c r="G74" s="2">
        <f t="shared" si="91"/>
        <v>13400</v>
      </c>
      <c r="H74" s="2">
        <f t="shared" si="91"/>
        <v>14561</v>
      </c>
      <c r="I74" s="2">
        <f t="shared" si="91"/>
        <v>15039</v>
      </c>
      <c r="J74" s="2">
        <f t="shared" si="91"/>
        <v>15189</v>
      </c>
      <c r="K74" s="2">
        <f>SUM(K60:K73)</f>
        <v>14121</v>
      </c>
      <c r="L74" s="2">
        <f>SUM(L60:L73)</f>
        <v>14470</v>
      </c>
      <c r="M74" s="2">
        <f>SUM(M60:M73)</f>
        <v>14470</v>
      </c>
      <c r="W74" s="2">
        <f t="shared" si="89"/>
        <v>13924</v>
      </c>
      <c r="X74" s="2">
        <f t="shared" si="90"/>
        <v>15189</v>
      </c>
      <c r="AJ74" s="59" t="s">
        <v>177</v>
      </c>
      <c r="AK74" s="45"/>
      <c r="AL74" s="2"/>
      <c r="AM74" s="60">
        <f>(AM71+AM72)*(AM73-AM71)</f>
        <v>0.2126886549162047</v>
      </c>
    </row>
    <row r="75" spans="2:46" ht="14.25" customHeight="1">
      <c r="AJ75" s="63"/>
    </row>
    <row r="76" spans="2:46" ht="14.25" customHeight="1">
      <c r="B76" s="1" t="s">
        <v>222</v>
      </c>
      <c r="F76" s="1">
        <v>737</v>
      </c>
      <c r="G76" s="1">
        <v>776</v>
      </c>
      <c r="H76" s="1">
        <v>841</v>
      </c>
      <c r="I76" s="1">
        <v>974</v>
      </c>
      <c r="J76" s="1">
        <v>1075</v>
      </c>
      <c r="K76" s="1">
        <v>1034</v>
      </c>
      <c r="L76" s="1">
        <v>1115</v>
      </c>
      <c r="M76" s="1">
        <v>1115</v>
      </c>
      <c r="W76" s="1">
        <f t="shared" ref="W76:W85" si="92">F76</f>
        <v>737</v>
      </c>
      <c r="X76" s="1">
        <f t="shared" ref="X76:X85" si="93">J76</f>
        <v>1075</v>
      </c>
      <c r="AJ76" s="34" t="s">
        <v>178</v>
      </c>
      <c r="AK76" s="64"/>
      <c r="AM76" s="65"/>
    </row>
    <row r="77" spans="2:46" ht="14.25" customHeight="1">
      <c r="B77" s="1" t="s">
        <v>223</v>
      </c>
      <c r="F77" s="1">
        <v>283</v>
      </c>
      <c r="G77" s="1">
        <v>295</v>
      </c>
      <c r="H77" s="1">
        <v>298</v>
      </c>
      <c r="I77" s="1">
        <v>300</v>
      </c>
      <c r="J77" s="1">
        <v>300</v>
      </c>
      <c r="K77" s="1">
        <v>321</v>
      </c>
      <c r="L77" s="1">
        <v>335</v>
      </c>
      <c r="M77" s="1">
        <v>335</v>
      </c>
      <c r="W77" s="1">
        <f t="shared" si="92"/>
        <v>283</v>
      </c>
      <c r="X77" s="1">
        <f t="shared" si="93"/>
        <v>300</v>
      </c>
      <c r="AJ77" s="66" t="s">
        <v>178</v>
      </c>
      <c r="AM77" s="67">
        <v>0</v>
      </c>
      <c r="AO77" s="68"/>
      <c r="AQ77" s="46"/>
    </row>
    <row r="78" spans="2:46" ht="14.25" customHeight="1">
      <c r="B78" s="1" t="s">
        <v>224</v>
      </c>
      <c r="F78" s="1">
        <v>18</v>
      </c>
      <c r="G78" s="1">
        <v>19</v>
      </c>
      <c r="H78" s="1">
        <v>20</v>
      </c>
      <c r="I78" s="1">
        <v>19</v>
      </c>
      <c r="J78" s="1">
        <v>17</v>
      </c>
      <c r="K78" s="1">
        <v>16</v>
      </c>
      <c r="L78" s="1">
        <v>10</v>
      </c>
      <c r="M78" s="1">
        <v>10</v>
      </c>
      <c r="W78" s="1">
        <f t="shared" si="92"/>
        <v>18</v>
      </c>
      <c r="X78" s="1">
        <f t="shared" si="93"/>
        <v>17</v>
      </c>
      <c r="AJ78" s="57" t="s">
        <v>180</v>
      </c>
      <c r="AM78" s="58">
        <v>0.23</v>
      </c>
      <c r="AO78" s="68"/>
      <c r="AP78" s="58"/>
      <c r="AQ78" s="46"/>
      <c r="AR78" s="2"/>
      <c r="AS78" s="2"/>
    </row>
    <row r="79" spans="2:46" ht="14.25" customHeight="1">
      <c r="B79" s="1" t="s">
        <v>228</v>
      </c>
      <c r="F79" s="1">
        <v>918</v>
      </c>
      <c r="G79" s="1">
        <v>919</v>
      </c>
      <c r="H79" s="1">
        <v>919</v>
      </c>
      <c r="I79" s="1">
        <v>920</v>
      </c>
      <c r="J79" s="1">
        <v>0</v>
      </c>
      <c r="K79" s="1">
        <v>0</v>
      </c>
      <c r="L79" s="1">
        <v>79</v>
      </c>
      <c r="M79" s="1">
        <v>79</v>
      </c>
      <c r="W79" s="1">
        <f t="shared" si="92"/>
        <v>918</v>
      </c>
      <c r="X79" s="1">
        <f t="shared" si="93"/>
        <v>0</v>
      </c>
      <c r="AJ79" s="69" t="s">
        <v>182</v>
      </c>
      <c r="AM79" s="60">
        <f>AM77*(1-AM78)</f>
        <v>0</v>
      </c>
      <c r="AQ79" s="46"/>
    </row>
    <row r="80" spans="2:46" ht="14.25" customHeight="1">
      <c r="B80" s="1" t="s">
        <v>225</v>
      </c>
      <c r="F80" s="1">
        <v>147</v>
      </c>
      <c r="G80" s="1">
        <v>135</v>
      </c>
      <c r="H80" s="1">
        <v>123</v>
      </c>
      <c r="I80" s="1">
        <v>110</v>
      </c>
      <c r="J80" s="1">
        <v>98</v>
      </c>
      <c r="K80" s="1">
        <v>86</v>
      </c>
      <c r="L80" s="1">
        <v>168</v>
      </c>
      <c r="M80" s="1">
        <v>168</v>
      </c>
      <c r="W80" s="1">
        <f t="shared" si="92"/>
        <v>147</v>
      </c>
      <c r="X80" s="1">
        <f t="shared" si="93"/>
        <v>98</v>
      </c>
      <c r="AQ80" s="46"/>
    </row>
    <row r="81" spans="2:46" ht="14.25" customHeight="1">
      <c r="B81" s="1" t="s">
        <v>226</v>
      </c>
      <c r="F81" s="1">
        <v>190</v>
      </c>
      <c r="G81" s="1">
        <v>200</v>
      </c>
      <c r="H81" s="1">
        <v>200</v>
      </c>
      <c r="I81" s="1">
        <v>176</v>
      </c>
      <c r="J81" s="1">
        <v>171</v>
      </c>
      <c r="K81" s="1">
        <v>163</v>
      </c>
      <c r="L81" s="1">
        <v>79</v>
      </c>
      <c r="M81" s="1">
        <v>79</v>
      </c>
      <c r="W81" s="1">
        <f t="shared" si="92"/>
        <v>190</v>
      </c>
      <c r="X81" s="1">
        <f t="shared" si="93"/>
        <v>171</v>
      </c>
      <c r="AJ81" s="34" t="s">
        <v>184</v>
      </c>
      <c r="AM81" s="60">
        <f>(AM67*AM74)+(AM66*AM79*(1-AM78))</f>
        <v>0.2126886549162047</v>
      </c>
      <c r="AQ81" s="46"/>
      <c r="AR81" s="70"/>
      <c r="AT81" s="34"/>
    </row>
    <row r="82" spans="2:46" ht="14.25" customHeight="1">
      <c r="B82" s="1" t="s">
        <v>227</v>
      </c>
      <c r="F82" s="1">
        <v>73</v>
      </c>
      <c r="G82" s="1">
        <v>5</v>
      </c>
      <c r="H82" s="1">
        <v>36</v>
      </c>
      <c r="I82" s="1">
        <v>29</v>
      </c>
      <c r="J82" s="1">
        <v>55</v>
      </c>
      <c r="K82" s="1">
        <v>0</v>
      </c>
      <c r="L82" s="1">
        <v>0</v>
      </c>
      <c r="M82" s="1">
        <v>0</v>
      </c>
      <c r="W82" s="1">
        <f t="shared" si="92"/>
        <v>73</v>
      </c>
      <c r="X82" s="1">
        <f t="shared" si="93"/>
        <v>55</v>
      </c>
    </row>
    <row r="83" spans="2:46" ht="14.25" customHeight="1">
      <c r="B83" s="2" t="s">
        <v>179</v>
      </c>
      <c r="C83" s="2"/>
      <c r="D83" s="2"/>
      <c r="E83" s="2"/>
      <c r="F83" s="2">
        <f t="shared" ref="F83:J83" si="94">SUM(F76:F82)</f>
        <v>2366</v>
      </c>
      <c r="G83" s="2">
        <f t="shared" si="94"/>
        <v>2349</v>
      </c>
      <c r="H83" s="2">
        <f t="shared" si="94"/>
        <v>2437</v>
      </c>
      <c r="I83" s="2">
        <f t="shared" si="94"/>
        <v>2528</v>
      </c>
      <c r="J83" s="2">
        <f t="shared" si="94"/>
        <v>1716</v>
      </c>
      <c r="K83" s="2">
        <f>SUM(K76:K82)</f>
        <v>1620</v>
      </c>
      <c r="L83" s="2">
        <f>SUM(L76:L82)</f>
        <v>1786</v>
      </c>
      <c r="M83" s="2">
        <f>SUM(M76:M82)</f>
        <v>1786</v>
      </c>
      <c r="W83" s="2">
        <f t="shared" si="92"/>
        <v>2366</v>
      </c>
      <c r="X83" s="2">
        <f t="shared" si="93"/>
        <v>1716</v>
      </c>
    </row>
    <row r="84" spans="2:46" ht="13.5" customHeight="1">
      <c r="B84" s="1" t="s">
        <v>181</v>
      </c>
      <c r="F84" s="1">
        <v>11558</v>
      </c>
      <c r="G84" s="1">
        <v>11051</v>
      </c>
      <c r="H84" s="1">
        <v>12124</v>
      </c>
      <c r="I84" s="1">
        <v>12511</v>
      </c>
      <c r="J84" s="1">
        <v>13473</v>
      </c>
      <c r="K84" s="1">
        <v>12501</v>
      </c>
      <c r="L84" s="1">
        <v>12684</v>
      </c>
      <c r="M84" s="1">
        <v>12684</v>
      </c>
      <c r="W84" s="1">
        <f t="shared" si="92"/>
        <v>11558</v>
      </c>
      <c r="X84" s="1">
        <f t="shared" si="93"/>
        <v>13473</v>
      </c>
    </row>
    <row r="85" spans="2:46" ht="13.5" customHeight="1">
      <c r="B85" s="2" t="s">
        <v>183</v>
      </c>
      <c r="C85" s="2"/>
      <c r="D85" s="2"/>
      <c r="E85" s="2"/>
      <c r="F85" s="2">
        <f t="shared" ref="F85:J85" si="95">F83+F84</f>
        <v>13924</v>
      </c>
      <c r="G85" s="2">
        <f t="shared" si="95"/>
        <v>13400</v>
      </c>
      <c r="H85" s="2">
        <f t="shared" si="95"/>
        <v>14561</v>
      </c>
      <c r="I85" s="2">
        <f t="shared" si="95"/>
        <v>15039</v>
      </c>
      <c r="J85" s="2">
        <f t="shared" si="95"/>
        <v>15189</v>
      </c>
      <c r="K85" s="2">
        <f>K83+K84</f>
        <v>14121</v>
      </c>
      <c r="L85" s="2">
        <f>L83+L84</f>
        <v>14470</v>
      </c>
      <c r="M85" s="2">
        <f>M83+M84</f>
        <v>14470</v>
      </c>
      <c r="W85" s="2">
        <f t="shared" si="92"/>
        <v>13924</v>
      </c>
      <c r="X85" s="2">
        <f t="shared" si="93"/>
        <v>15189</v>
      </c>
    </row>
    <row r="86" spans="2:46" ht="13.5" customHeight="1">
      <c r="AJ86" s="34"/>
    </row>
    <row r="87" spans="2:46" ht="15">
      <c r="B87" s="1" t="s">
        <v>69</v>
      </c>
      <c r="Z87" s="34"/>
      <c r="AA87" s="34"/>
      <c r="AB87" s="34"/>
      <c r="AC87" s="34"/>
      <c r="AD87" s="34"/>
      <c r="AE87" s="34"/>
      <c r="AF87" s="34"/>
      <c r="AG87" s="34"/>
      <c r="AH87" s="34"/>
      <c r="AI87" s="34"/>
    </row>
    <row r="88" spans="2:46">
      <c r="B88" s="1" t="s">
        <v>70</v>
      </c>
    </row>
    <row r="89" spans="2:46" ht="15">
      <c r="B89" s="1" t="s">
        <v>71</v>
      </c>
      <c r="Z89" s="34"/>
      <c r="AA89" s="34"/>
      <c r="AB89" s="34"/>
      <c r="AC89" s="34"/>
      <c r="AD89" s="34"/>
      <c r="AE89" s="34"/>
      <c r="AF89" s="34"/>
      <c r="AG89" s="34"/>
      <c r="AH89" s="34"/>
      <c r="AI89" s="34"/>
    </row>
    <row r="90" spans="2:46">
      <c r="B90" s="1" t="s">
        <v>185</v>
      </c>
    </row>
    <row r="91" spans="2:46">
      <c r="B91" s="1" t="s">
        <v>186</v>
      </c>
    </row>
    <row r="92" spans="2:46">
      <c r="B92" s="1" t="s">
        <v>72</v>
      </c>
    </row>
    <row r="93" spans="2:46">
      <c r="B93" s="1" t="s">
        <v>73</v>
      </c>
    </row>
    <row r="94" spans="2:46">
      <c r="B94" s="1" t="s">
        <v>74</v>
      </c>
    </row>
    <row r="96" spans="2:46">
      <c r="B96" s="1" t="s">
        <v>75</v>
      </c>
      <c r="C96" s="1">
        <f t="shared" ref="C96:J96" si="96">C47</f>
        <v>-273</v>
      </c>
      <c r="D96" s="1">
        <f t="shared" si="96"/>
        <v>171</v>
      </c>
      <c r="E96" s="1">
        <f t="shared" si="96"/>
        <v>828</v>
      </c>
      <c r="F96" s="1">
        <f t="shared" si="96"/>
        <v>1293</v>
      </c>
      <c r="G96" s="1">
        <f t="shared" si="96"/>
        <v>-682</v>
      </c>
      <c r="H96" s="1">
        <f t="shared" si="96"/>
        <v>906</v>
      </c>
      <c r="I96" s="1">
        <f t="shared" si="96"/>
        <v>264</v>
      </c>
      <c r="J96" s="1">
        <f t="shared" si="96"/>
        <v>743</v>
      </c>
      <c r="K96" s="1">
        <f>K47</f>
        <v>-581</v>
      </c>
      <c r="L96" s="1">
        <f>L47</f>
        <v>1502</v>
      </c>
      <c r="M96" s="1">
        <f>M47</f>
        <v>1502</v>
      </c>
      <c r="W96" s="1">
        <f t="shared" ref="W96:W101" si="97">SUM(C96:F96)</f>
        <v>2019</v>
      </c>
      <c r="X96" s="1">
        <f t="shared" ref="X96:X101" si="98">SUM(G96:J96)</f>
        <v>1231</v>
      </c>
    </row>
    <row r="97" spans="2:86" s="2" customFormat="1" ht="15">
      <c r="B97" s="2" t="s">
        <v>76</v>
      </c>
      <c r="C97" s="2">
        <v>238</v>
      </c>
      <c r="D97" s="2">
        <v>340</v>
      </c>
      <c r="E97" s="2">
        <v>423</v>
      </c>
      <c r="F97" s="2">
        <v>615</v>
      </c>
      <c r="G97" s="2">
        <v>367</v>
      </c>
      <c r="H97" s="2">
        <v>428</v>
      </c>
      <c r="I97" s="2">
        <v>513</v>
      </c>
      <c r="J97" s="2">
        <v>725</v>
      </c>
      <c r="K97" s="2">
        <v>481</v>
      </c>
      <c r="L97" s="2">
        <v>481</v>
      </c>
      <c r="M97" s="2">
        <v>481</v>
      </c>
      <c r="N97" s="34"/>
      <c r="W97" s="2">
        <f t="shared" si="97"/>
        <v>1616</v>
      </c>
      <c r="X97" s="2">
        <f t="shared" si="98"/>
        <v>2033</v>
      </c>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row>
    <row r="98" spans="2:86">
      <c r="B98" s="1" t="s">
        <v>77</v>
      </c>
      <c r="C98" s="1">
        <v>-6</v>
      </c>
      <c r="D98" s="1">
        <v>-7</v>
      </c>
      <c r="E98" s="1">
        <v>-2</v>
      </c>
      <c r="F98" s="1">
        <v>-4</v>
      </c>
      <c r="G98" s="1">
        <v>-4</v>
      </c>
      <c r="H98" s="1">
        <v>-6</v>
      </c>
      <c r="I98" s="1">
        <v>-6</v>
      </c>
      <c r="J98" s="1">
        <v>-10</v>
      </c>
      <c r="K98" s="1">
        <v>-5</v>
      </c>
      <c r="L98" s="1">
        <v>-5</v>
      </c>
      <c r="M98" s="1">
        <v>-5</v>
      </c>
      <c r="W98" s="1">
        <f t="shared" si="97"/>
        <v>-19</v>
      </c>
      <c r="X98" s="1">
        <f t="shared" si="98"/>
        <v>-26</v>
      </c>
    </row>
    <row r="99" spans="2:86" s="2" customFormat="1" ht="15">
      <c r="B99" s="2" t="s">
        <v>78</v>
      </c>
      <c r="C99" s="2">
        <f t="shared" ref="C99:J99" si="99">C97+C98</f>
        <v>232</v>
      </c>
      <c r="D99" s="2">
        <f t="shared" si="99"/>
        <v>333</v>
      </c>
      <c r="E99" s="2">
        <f t="shared" si="99"/>
        <v>421</v>
      </c>
      <c r="F99" s="2">
        <f t="shared" si="99"/>
        <v>611</v>
      </c>
      <c r="G99" s="2">
        <f t="shared" si="99"/>
        <v>363</v>
      </c>
      <c r="H99" s="2">
        <f t="shared" si="99"/>
        <v>422</v>
      </c>
      <c r="I99" s="2">
        <f t="shared" si="99"/>
        <v>507</v>
      </c>
      <c r="J99" s="2">
        <f t="shared" si="99"/>
        <v>715</v>
      </c>
      <c r="K99" s="2">
        <f>K97+K98</f>
        <v>476</v>
      </c>
      <c r="L99" s="2">
        <f>L97+L98</f>
        <v>476</v>
      </c>
      <c r="M99" s="2">
        <f>M97+M98</f>
        <v>476</v>
      </c>
      <c r="N99" s="34"/>
      <c r="W99" s="2">
        <f t="shared" si="97"/>
        <v>1597</v>
      </c>
      <c r="X99" s="2">
        <f>SUM(G99:J99)</f>
        <v>2007</v>
      </c>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row>
    <row r="100" spans="2:86">
      <c r="B100" s="1" t="s">
        <v>79</v>
      </c>
      <c r="C100" s="79">
        <f t="shared" ref="C100:J100" si="100">C48</f>
        <v>1287.376</v>
      </c>
      <c r="D100" s="79">
        <f t="shared" si="100"/>
        <v>1288.9000000000001</v>
      </c>
      <c r="E100" s="79">
        <f t="shared" si="100"/>
        <v>1290.585</v>
      </c>
      <c r="F100" s="79">
        <f t="shared" si="100"/>
        <v>1289.8119999999999</v>
      </c>
      <c r="G100" s="79">
        <f t="shared" si="100"/>
        <v>1295.377</v>
      </c>
      <c r="H100" s="79">
        <f t="shared" si="100"/>
        <v>1297.74</v>
      </c>
      <c r="I100" s="79">
        <f t="shared" si="100"/>
        <v>1300.069</v>
      </c>
      <c r="J100" s="79">
        <f t="shared" si="100"/>
        <v>1298.9549999999999</v>
      </c>
      <c r="K100" s="79">
        <f>K48</f>
        <v>1303.3499999999999</v>
      </c>
      <c r="L100" s="79">
        <f>L48</f>
        <v>1295.22</v>
      </c>
      <c r="M100" s="79">
        <f>M48</f>
        <v>1295.22</v>
      </c>
      <c r="W100" s="79">
        <f>AVERAGE(C100:F100)</f>
        <v>1289.1682499999999</v>
      </c>
      <c r="X100" s="79">
        <f>AVERAGE(G100:J100)</f>
        <v>1298.0352499999999</v>
      </c>
    </row>
    <row r="101" spans="2:86">
      <c r="B101" s="1" t="s">
        <v>80</v>
      </c>
      <c r="C101" s="39">
        <f t="shared" ref="C101:J101" si="101">C99/C100</f>
        <v>0.18021153105231105</v>
      </c>
      <c r="D101" s="39">
        <f t="shared" si="101"/>
        <v>0.25835984172550236</v>
      </c>
      <c r="E101" s="39">
        <f t="shared" si="101"/>
        <v>0.3262086573143187</v>
      </c>
      <c r="F101" s="39">
        <f t="shared" si="101"/>
        <v>0.47371244801567985</v>
      </c>
      <c r="G101" s="39">
        <f t="shared" si="101"/>
        <v>0.28022730062367945</v>
      </c>
      <c r="H101" s="39">
        <f t="shared" si="101"/>
        <v>0.32518069875321715</v>
      </c>
      <c r="I101" s="39">
        <f t="shared" si="101"/>
        <v>0.38997930109863399</v>
      </c>
      <c r="J101" s="39">
        <f t="shared" si="101"/>
        <v>0.55044247106327782</v>
      </c>
      <c r="K101" s="39">
        <f>K99/K100</f>
        <v>0.36521272106494806</v>
      </c>
      <c r="L101" s="39">
        <f>L99/L100</f>
        <v>0.36750513426290515</v>
      </c>
      <c r="M101" s="39">
        <f>M99/M100</f>
        <v>0.36750513426290515</v>
      </c>
      <c r="W101" s="39">
        <f t="shared" si="97"/>
        <v>1.2384924781078119</v>
      </c>
      <c r="X101" s="39">
        <f t="shared" si="98"/>
        <v>1.5458297715388083</v>
      </c>
    </row>
    <row r="103" spans="2:86">
      <c r="B103" s="1" t="s">
        <v>187</v>
      </c>
      <c r="C103" s="53">
        <f t="shared" ref="C103:J103" si="102">C97/C32</f>
        <v>0.1278882321332617</v>
      </c>
      <c r="D103" s="53">
        <f t="shared" si="102"/>
        <v>0.16625916870415647</v>
      </c>
      <c r="E103" s="53">
        <f t="shared" si="102"/>
        <v>0.19565217391304349</v>
      </c>
      <c r="F103" s="53">
        <f t="shared" si="102"/>
        <v>0.21870554765291608</v>
      </c>
      <c r="G103" s="53">
        <f t="shared" si="102"/>
        <v>0.15550847457627118</v>
      </c>
      <c r="H103" s="53">
        <f t="shared" si="102"/>
        <v>0.15970149253731344</v>
      </c>
      <c r="I103" s="53">
        <f t="shared" si="102"/>
        <v>0.18037974683544303</v>
      </c>
      <c r="J103" s="53">
        <f t="shared" si="102"/>
        <v>0.1974400871459695</v>
      </c>
      <c r="K103" s="53">
        <f>K97/K32</f>
        <v>0.15173501577287066</v>
      </c>
      <c r="L103" s="53">
        <f>L97/L32</f>
        <v>0.13424504605079543</v>
      </c>
      <c r="M103" s="53">
        <f>M97/M32</f>
        <v>0.13424504605079543</v>
      </c>
      <c r="W103" s="53">
        <f t="shared" ref="W103:X103" si="103">W97/W32</f>
        <v>0.18198198198198198</v>
      </c>
      <c r="X103" s="53">
        <f t="shared" si="103"/>
        <v>0.17592592592592593</v>
      </c>
    </row>
    <row r="104" spans="2:86">
      <c r="B104" s="1" t="s">
        <v>188</v>
      </c>
      <c r="C104" s="53">
        <f t="shared" ref="C104:J104" si="104">C99/C32</f>
        <v>0.1246641590542719</v>
      </c>
      <c r="D104" s="53">
        <f t="shared" si="104"/>
        <v>0.16283618581907092</v>
      </c>
      <c r="E104" s="53">
        <f t="shared" si="104"/>
        <v>0.19472710453283995</v>
      </c>
      <c r="F104" s="53">
        <f t="shared" si="104"/>
        <v>0.21728307254623044</v>
      </c>
      <c r="G104" s="53">
        <f t="shared" si="104"/>
        <v>0.15381355932203389</v>
      </c>
      <c r="H104" s="53">
        <f t="shared" si="104"/>
        <v>0.15746268656716417</v>
      </c>
      <c r="I104" s="53">
        <f t="shared" si="104"/>
        <v>0.17827004219409281</v>
      </c>
      <c r="J104" s="53">
        <f t="shared" si="104"/>
        <v>0.19471677559912853</v>
      </c>
      <c r="K104" s="53">
        <f>K99/K32</f>
        <v>0.15015772870662461</v>
      </c>
      <c r="L104" s="53">
        <f>L99/L32</f>
        <v>0.13284956740161877</v>
      </c>
      <c r="M104" s="53">
        <f>M99/M32</f>
        <v>0.13284956740161877</v>
      </c>
      <c r="W104" s="53">
        <f t="shared" ref="W104:X104" si="105">W99/W32</f>
        <v>0.17984234234234234</v>
      </c>
      <c r="X104" s="53">
        <f t="shared" si="105"/>
        <v>0.17367601246105918</v>
      </c>
    </row>
    <row r="105" spans="2:86">
      <c r="B105" s="1" t="s">
        <v>189</v>
      </c>
      <c r="C105" s="53">
        <f t="shared" ref="C105:J105" si="106">C98/C32</f>
        <v>-3.2240730789897904E-3</v>
      </c>
      <c r="D105" s="53">
        <f t="shared" si="106"/>
        <v>-3.4229828850855745E-3</v>
      </c>
      <c r="E105" s="53">
        <f t="shared" si="106"/>
        <v>-9.2506938020351531E-4</v>
      </c>
      <c r="F105" s="53">
        <f t="shared" si="106"/>
        <v>-1.4224751066856331E-3</v>
      </c>
      <c r="G105" s="53">
        <f t="shared" si="106"/>
        <v>-1.6949152542372881E-3</v>
      </c>
      <c r="H105" s="53">
        <f t="shared" si="106"/>
        <v>-2.2388059701492539E-3</v>
      </c>
      <c r="I105" s="53">
        <f t="shared" si="106"/>
        <v>-2.1097046413502108E-3</v>
      </c>
      <c r="J105" s="53">
        <f t="shared" si="106"/>
        <v>-2.7233115468409588E-3</v>
      </c>
      <c r="K105" s="53">
        <f>K98/K32</f>
        <v>-1.5772870662460567E-3</v>
      </c>
      <c r="L105" s="53">
        <f>L98/L32</f>
        <v>-1.3954786491766676E-3</v>
      </c>
      <c r="M105" s="53">
        <f>M98/M32</f>
        <v>-1.3954786491766676E-3</v>
      </c>
      <c r="W105" s="53">
        <f t="shared" ref="W105:X105" si="107">W98/W32</f>
        <v>-2.1396396396396395E-3</v>
      </c>
      <c r="X105" s="53">
        <f t="shared" si="107"/>
        <v>-2.2499134648667359E-3</v>
      </c>
    </row>
  </sheetData>
  <mergeCells count="1">
    <mergeCell ref="AQ72:AR72"/>
  </mergeCells>
  <conditionalFormatting sqref="AQ72">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Sell",AQ72)))</formula>
    </cfRule>
    <cfRule type="containsText" dxfId="3" priority="3" operator="containsText" text="Sell">
      <formula>NOT(ISERROR(SEARCH("Sell",AQ72)))</formula>
    </cfRule>
    <cfRule type="containsText" dxfId="2" priority="4" operator="containsText" text="Hold">
      <formula>NOT(ISERROR(SEARCH("Hold",AQ72)))</formula>
    </cfRule>
    <cfRule type="beginsWith" dxfId="1" priority="5" operator="beginsWith" text="Buy">
      <formula>LEFT(AQ72,LEN("Buy"))="Buy"</formula>
    </cfRule>
    <cfRule type="beginsWith" dxfId="0" priority="6" operator="beginsWith" text="Strong">
      <formula>LEFT(AQ72,LEN("Strong"))="Strong"</formula>
    </cfRule>
  </conditionalFormatting>
  <pageMargins left="0.7" right="0.7" top="0.75" bottom="0.75" header="0.3" footer="0.3"/>
  <ignoredErrors>
    <ignoredError sqref="Z16:AH16 W17 C18:G22 C49:J49" evalError="1"/>
    <ignoredError sqref="W97:X98 W101:X101 W99" formulaRange="1"/>
    <ignoredError sqref="W100" formula="1" formulaRange="1"/>
    <ignoredError sqref="X100"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I1558"/>
  <sheetViews>
    <sheetView topLeftCell="P156" zoomScale="55" zoomScaleNormal="55" workbookViewId="0">
      <selection activeCell="AF40" sqref="AF40"/>
    </sheetView>
  </sheetViews>
  <sheetFormatPr defaultColWidth="9.140625" defaultRowHeight="14.25"/>
  <cols>
    <col min="1" max="7" width="0" style="1" hidden="1" customWidth="1"/>
    <col min="8" max="8" width="3.140625" style="1" hidden="1" customWidth="1"/>
    <col min="9" max="15" width="0" style="1" hidden="1" customWidth="1"/>
    <col min="16" max="16" width="3.140625" style="1" customWidth="1"/>
    <col min="17" max="36" width="9.140625" style="1"/>
    <col min="37" max="37" width="2.85546875" style="1" customWidth="1"/>
    <col min="38" max="16384" width="9.140625" style="1"/>
  </cols>
  <sheetData>
    <row r="1" spans="16:87">
      <c r="CI1" s="1">
        <v>0</v>
      </c>
    </row>
    <row r="2" spans="16:87" ht="15">
      <c r="P2" s="2" t="s">
        <v>101</v>
      </c>
      <c r="AL2" s="2" t="s">
        <v>482</v>
      </c>
    </row>
    <row r="32" spans="17:18">
      <c r="Q32" s="1" t="s">
        <v>15</v>
      </c>
      <c r="R32" s="1" t="s">
        <v>16</v>
      </c>
    </row>
    <row r="33" spans="16:38">
      <c r="R33" s="1" t="s">
        <v>17</v>
      </c>
    </row>
    <row r="34" spans="16:38">
      <c r="R34" s="1" t="s">
        <v>18</v>
      </c>
    </row>
    <row r="35" spans="16:38" ht="15">
      <c r="AL35" s="2" t="s">
        <v>483</v>
      </c>
    </row>
    <row r="36" spans="16:38" ht="15">
      <c r="P36" s="2" t="s">
        <v>105</v>
      </c>
      <c r="AL36" s="2" t="s">
        <v>81</v>
      </c>
    </row>
    <row r="66" spans="16:38">
      <c r="Q66" s="1" t="s">
        <v>15</v>
      </c>
      <c r="R66" s="1" t="s">
        <v>16</v>
      </c>
    </row>
    <row r="67" spans="16:38">
      <c r="R67" s="1" t="s">
        <v>17</v>
      </c>
    </row>
    <row r="68" spans="16:38">
      <c r="R68" s="1" t="s">
        <v>18</v>
      </c>
    </row>
    <row r="70" spans="16:38" ht="15">
      <c r="P70" s="2" t="s">
        <v>14</v>
      </c>
      <c r="AL70" s="2" t="s">
        <v>82</v>
      </c>
    </row>
    <row r="102" spans="16:38">
      <c r="Q102" s="1" t="s">
        <v>15</v>
      </c>
      <c r="R102" s="1" t="s">
        <v>16</v>
      </c>
    </row>
    <row r="103" spans="16:38">
      <c r="R103" s="1" t="s">
        <v>17</v>
      </c>
    </row>
    <row r="104" spans="16:38">
      <c r="R104" s="1" t="s">
        <v>18</v>
      </c>
    </row>
    <row r="106" spans="16:38" ht="15">
      <c r="P106" s="2" t="s">
        <v>104</v>
      </c>
      <c r="AL106" s="2" t="s">
        <v>83</v>
      </c>
    </row>
    <row r="135" spans="16:38">
      <c r="Q135" s="1" t="s">
        <v>15</v>
      </c>
      <c r="R135" s="1" t="s">
        <v>16</v>
      </c>
    </row>
    <row r="136" spans="16:38">
      <c r="R136" s="1" t="s">
        <v>17</v>
      </c>
    </row>
    <row r="137" spans="16:38">
      <c r="R137" s="1" t="s">
        <v>18</v>
      </c>
    </row>
    <row r="139" spans="16:38" ht="15">
      <c r="P139" s="2" t="s">
        <v>103</v>
      </c>
      <c r="AL139" s="2" t="s">
        <v>84</v>
      </c>
    </row>
    <row r="155" ht="15" customHeight="1"/>
    <row r="168" spans="17:18">
      <c r="Q168" s="1" t="s">
        <v>15</v>
      </c>
      <c r="R168" s="1" t="s">
        <v>16</v>
      </c>
    </row>
    <row r="169" spans="17:18">
      <c r="R169" s="1" t="s">
        <v>17</v>
      </c>
    </row>
    <row r="170" spans="17:18">
      <c r="R170" s="1" t="s">
        <v>18</v>
      </c>
    </row>
    <row r="185" spans="1:15">
      <c r="A185" s="1" t="s">
        <v>123</v>
      </c>
    </row>
    <row r="186" spans="1:15">
      <c r="A186" s="1" t="s">
        <v>480</v>
      </c>
      <c r="I186" s="1" t="s">
        <v>480</v>
      </c>
    </row>
    <row r="187" spans="1:15">
      <c r="A187" s="24" t="s">
        <v>19</v>
      </c>
      <c r="B187" s="24" t="s">
        <v>20</v>
      </c>
      <c r="C187" s="24" t="s">
        <v>21</v>
      </c>
      <c r="D187" s="24" t="s">
        <v>22</v>
      </c>
      <c r="E187" s="24" t="s">
        <v>23</v>
      </c>
      <c r="F187" s="24" t="s">
        <v>24</v>
      </c>
      <c r="G187" s="24" t="s">
        <v>25</v>
      </c>
      <c r="I187" s="24" t="s">
        <v>19</v>
      </c>
      <c r="J187" s="24" t="s">
        <v>20</v>
      </c>
      <c r="K187" s="24" t="s">
        <v>21</v>
      </c>
      <c r="L187" s="24" t="s">
        <v>22</v>
      </c>
      <c r="M187" s="24" t="s">
        <v>23</v>
      </c>
      <c r="N187" s="24" t="s">
        <v>24</v>
      </c>
      <c r="O187" s="24" t="s">
        <v>25</v>
      </c>
    </row>
    <row r="188" spans="1:15">
      <c r="A188" s="85">
        <v>686.65</v>
      </c>
      <c r="B188" s="85">
        <v>688.35</v>
      </c>
      <c r="C188" s="85">
        <v>678.06</v>
      </c>
      <c r="D188" s="85">
        <v>684.5</v>
      </c>
      <c r="E188" s="86">
        <v>7661568.1813000003</v>
      </c>
      <c r="F188" s="84" t="s">
        <v>229</v>
      </c>
      <c r="G188" s="25">
        <f>A188/D188-1</f>
        <v>3.1409788166545383E-3</v>
      </c>
      <c r="I188" s="85">
        <v>117.15</v>
      </c>
      <c r="J188" s="85">
        <v>122.25</v>
      </c>
      <c r="K188" s="85">
        <v>115.27</v>
      </c>
      <c r="L188" s="85">
        <v>120.93</v>
      </c>
      <c r="M188" s="86">
        <v>12043764.405099999</v>
      </c>
      <c r="N188" s="84" t="s">
        <v>229</v>
      </c>
      <c r="O188" s="25">
        <f>I188/L188-1</f>
        <v>-3.1257752418754614E-2</v>
      </c>
    </row>
    <row r="189" spans="1:15">
      <c r="A189" s="85">
        <v>681.79</v>
      </c>
      <c r="B189" s="85">
        <v>682.43629999999996</v>
      </c>
      <c r="C189" s="85">
        <v>675.21</v>
      </c>
      <c r="D189" s="85">
        <v>676.54</v>
      </c>
      <c r="E189" s="86">
        <v>6009104.4682999998</v>
      </c>
      <c r="F189" s="84" t="s">
        <v>230</v>
      </c>
      <c r="G189" s="25">
        <f t="shared" ref="G189:G252" si="0">A189/D189-1</f>
        <v>7.7600733142164646E-3</v>
      </c>
      <c r="I189" s="85">
        <v>122.4</v>
      </c>
      <c r="J189" s="85">
        <v>126.61</v>
      </c>
      <c r="K189" s="85">
        <v>122.29</v>
      </c>
      <c r="L189" s="85">
        <v>126.315</v>
      </c>
      <c r="M189" s="86">
        <v>10314840.266100001</v>
      </c>
      <c r="N189" s="84" t="s">
        <v>230</v>
      </c>
      <c r="O189" s="25">
        <f t="shared" ref="O189:O252" si="1">I189/L189-1</f>
        <v>-3.0993943712148142E-2</v>
      </c>
    </row>
    <row r="190" spans="1:15">
      <c r="A190" s="85">
        <v>670.63</v>
      </c>
      <c r="B190" s="85">
        <v>682.63</v>
      </c>
      <c r="C190" s="85">
        <v>670.15499999999997</v>
      </c>
      <c r="D190" s="85">
        <v>680.12</v>
      </c>
      <c r="E190" s="86">
        <v>7845443.5132999998</v>
      </c>
      <c r="F190" s="84" t="s">
        <v>231</v>
      </c>
      <c r="G190" s="25">
        <f t="shared" si="0"/>
        <v>-1.3953419984708559E-2</v>
      </c>
      <c r="I190" s="85">
        <v>129.16999999999999</v>
      </c>
      <c r="J190" s="85">
        <v>133.72999999999999</v>
      </c>
      <c r="K190" s="85">
        <v>128.22</v>
      </c>
      <c r="L190" s="85">
        <v>129.04499999999999</v>
      </c>
      <c r="M190" s="86">
        <v>7304206.9249</v>
      </c>
      <c r="N190" s="84" t="s">
        <v>231</v>
      </c>
      <c r="O190" s="25">
        <f t="shared" si="1"/>
        <v>9.6865434538329076E-4</v>
      </c>
    </row>
    <row r="191" spans="1:15">
      <c r="A191" s="85">
        <v>680.96</v>
      </c>
      <c r="B191" s="85">
        <v>682.755</v>
      </c>
      <c r="C191" s="85">
        <v>676.48009999999999</v>
      </c>
      <c r="D191" s="85">
        <v>679.45</v>
      </c>
      <c r="E191" s="86">
        <v>5021079.9676999999</v>
      </c>
      <c r="F191" s="84" t="s">
        <v>232</v>
      </c>
      <c r="G191" s="25">
        <f t="shared" si="0"/>
        <v>2.2223857531826763E-3</v>
      </c>
      <c r="I191" s="85">
        <v>130.28</v>
      </c>
      <c r="J191" s="85">
        <v>133.99</v>
      </c>
      <c r="K191" s="85">
        <v>127.87</v>
      </c>
      <c r="L191" s="85">
        <v>128.29</v>
      </c>
      <c r="M191" s="86">
        <v>9553143.1688000001</v>
      </c>
      <c r="N191" s="84" t="s">
        <v>232</v>
      </c>
      <c r="O191" s="25">
        <f t="shared" si="1"/>
        <v>1.5511731233923243E-2</v>
      </c>
    </row>
    <row r="192" spans="1:15">
      <c r="A192" s="85">
        <v>679.31</v>
      </c>
      <c r="B192" s="85">
        <v>685.23910000000001</v>
      </c>
      <c r="C192" s="85">
        <v>676.39499999999998</v>
      </c>
      <c r="D192" s="85">
        <v>684.69</v>
      </c>
      <c r="E192" s="86">
        <v>5207757.8120999997</v>
      </c>
      <c r="F192" s="84" t="s">
        <v>233</v>
      </c>
      <c r="G192" s="25">
        <f t="shared" si="0"/>
        <v>-7.8575705793864081E-3</v>
      </c>
      <c r="I192" s="85">
        <v>126.88</v>
      </c>
      <c r="J192" s="85">
        <v>126.91</v>
      </c>
      <c r="K192" s="85">
        <v>117.81</v>
      </c>
      <c r="L192" s="85">
        <v>118.19499999999999</v>
      </c>
      <c r="M192" s="86">
        <v>10161837.582699999</v>
      </c>
      <c r="N192" s="84" t="s">
        <v>233</v>
      </c>
      <c r="O192" s="25">
        <f t="shared" si="1"/>
        <v>7.348026566267607E-2</v>
      </c>
    </row>
    <row r="193" spans="1:21">
      <c r="A193" s="85">
        <v>679.14</v>
      </c>
      <c r="B193" s="85">
        <v>683.55</v>
      </c>
      <c r="C193" s="85">
        <v>677.7</v>
      </c>
      <c r="D193" s="85">
        <v>678.8</v>
      </c>
      <c r="E193" s="86">
        <v>6286806.9738999996</v>
      </c>
      <c r="F193" s="84" t="s">
        <v>234</v>
      </c>
      <c r="G193" s="25">
        <f t="shared" si="0"/>
        <v>5.0088391278735322E-4</v>
      </c>
      <c r="I193" s="85">
        <v>113.75</v>
      </c>
      <c r="J193" s="85">
        <v>114.6</v>
      </c>
      <c r="K193" s="85">
        <v>111.26</v>
      </c>
      <c r="L193" s="85">
        <v>112.99</v>
      </c>
      <c r="M193" s="86">
        <v>6998804.4342999998</v>
      </c>
      <c r="N193" s="84" t="s">
        <v>234</v>
      </c>
      <c r="O193" s="25">
        <f t="shared" si="1"/>
        <v>6.7262589609700107E-3</v>
      </c>
    </row>
    <row r="194" spans="1:21">
      <c r="A194" s="85">
        <v>678.61</v>
      </c>
      <c r="B194" s="85">
        <v>682.54949999999997</v>
      </c>
      <c r="C194" s="85">
        <v>675.755</v>
      </c>
      <c r="D194" s="85">
        <v>679.55</v>
      </c>
      <c r="E194" s="86">
        <v>4942804.8118000003</v>
      </c>
      <c r="F194" s="84" t="s">
        <v>235</v>
      </c>
      <c r="G194" s="25">
        <f t="shared" si="0"/>
        <v>-1.383268339342103E-3</v>
      </c>
      <c r="I194" s="85">
        <v>112</v>
      </c>
      <c r="J194" s="85">
        <v>117.91</v>
      </c>
      <c r="K194" s="85">
        <v>111.05500000000001</v>
      </c>
      <c r="L194" s="85">
        <v>117.44</v>
      </c>
      <c r="M194" s="86">
        <v>10236843.3353</v>
      </c>
      <c r="N194" s="84" t="s">
        <v>235</v>
      </c>
      <c r="O194" s="25">
        <f t="shared" si="1"/>
        <v>-4.6321525885558601E-2</v>
      </c>
    </row>
    <row r="195" spans="1:21">
      <c r="A195" s="85">
        <v>687.03</v>
      </c>
      <c r="B195" s="85">
        <v>689.4</v>
      </c>
      <c r="C195" s="85">
        <v>686.02</v>
      </c>
      <c r="D195" s="85">
        <v>686.29</v>
      </c>
      <c r="E195" s="86">
        <v>3349102.6779999998</v>
      </c>
      <c r="F195" s="84" t="s">
        <v>236</v>
      </c>
      <c r="G195" s="25">
        <f t="shared" si="0"/>
        <v>1.0782613763860027E-3</v>
      </c>
      <c r="I195" s="85">
        <v>118.42</v>
      </c>
      <c r="J195" s="85">
        <v>123.425</v>
      </c>
      <c r="K195" s="85">
        <v>116.621</v>
      </c>
      <c r="L195" s="85">
        <v>122.95</v>
      </c>
      <c r="M195" s="86">
        <v>7679815.6253000004</v>
      </c>
      <c r="N195" s="84" t="s">
        <v>236</v>
      </c>
      <c r="O195" s="25">
        <f t="shared" si="1"/>
        <v>-3.684424562830424E-2</v>
      </c>
    </row>
    <row r="196" spans="1:21">
      <c r="A196" s="85">
        <v>687.87</v>
      </c>
      <c r="B196" s="85">
        <v>688.48500000000001</v>
      </c>
      <c r="C196" s="85">
        <v>684.03</v>
      </c>
      <c r="D196" s="85">
        <v>685.95</v>
      </c>
      <c r="E196" s="86">
        <v>4054717.8730000001</v>
      </c>
      <c r="F196" s="84" t="s">
        <v>237</v>
      </c>
      <c r="G196" s="25">
        <f t="shared" si="0"/>
        <v>2.7990378307456432E-3</v>
      </c>
      <c r="I196" s="85">
        <v>123.03</v>
      </c>
      <c r="J196" s="85">
        <v>124.29</v>
      </c>
      <c r="K196" s="85">
        <v>119.25</v>
      </c>
      <c r="L196" s="85">
        <v>121.21</v>
      </c>
      <c r="M196" s="86">
        <v>6551861.4664000003</v>
      </c>
      <c r="N196" s="84" t="s">
        <v>237</v>
      </c>
      <c r="O196" s="25">
        <f t="shared" si="1"/>
        <v>1.5015262767098525E-2</v>
      </c>
    </row>
    <row r="197" spans="1:21">
      <c r="A197" s="85">
        <v>682.21</v>
      </c>
      <c r="B197" s="85">
        <v>688.2</v>
      </c>
      <c r="C197" s="85">
        <v>681.57</v>
      </c>
      <c r="D197" s="85">
        <v>686.67</v>
      </c>
      <c r="E197" s="86">
        <v>5321985.3398000002</v>
      </c>
      <c r="F197" s="84" t="s">
        <v>238</v>
      </c>
      <c r="G197" s="25">
        <f t="shared" si="0"/>
        <v>-6.4951141013877001E-3</v>
      </c>
      <c r="I197" s="85">
        <v>124.48</v>
      </c>
      <c r="J197" s="85">
        <v>128.26</v>
      </c>
      <c r="K197" s="85">
        <v>123.45</v>
      </c>
      <c r="L197" s="85">
        <v>124.23</v>
      </c>
      <c r="M197" s="86">
        <v>7312521.2128999997</v>
      </c>
      <c r="N197" s="84" t="s">
        <v>238</v>
      </c>
      <c r="O197" s="25">
        <f t="shared" si="1"/>
        <v>2.0123963615874541E-3</v>
      </c>
    </row>
    <row r="198" spans="1:21">
      <c r="A198" s="85">
        <v>683.17</v>
      </c>
      <c r="B198" s="85">
        <v>686.86530000000005</v>
      </c>
      <c r="C198" s="85">
        <v>680.92</v>
      </c>
      <c r="D198" s="85">
        <v>682.12</v>
      </c>
      <c r="E198" s="86">
        <v>5627641.4215000002</v>
      </c>
      <c r="F198" s="84" t="s">
        <v>239</v>
      </c>
      <c r="G198" s="25">
        <f t="shared" si="0"/>
        <v>1.5393185949685861E-3</v>
      </c>
      <c r="I198" s="85">
        <v>123.56</v>
      </c>
      <c r="J198" s="85">
        <v>124.6</v>
      </c>
      <c r="K198" s="85">
        <v>121.11</v>
      </c>
      <c r="L198" s="85">
        <v>124.6</v>
      </c>
      <c r="M198" s="86">
        <v>6312592.4587000003</v>
      </c>
      <c r="N198" s="84" t="s">
        <v>239</v>
      </c>
      <c r="O198" s="25">
        <f t="shared" si="1"/>
        <v>-8.3467094703049138E-3</v>
      </c>
    </row>
    <row r="199" spans="1:21">
      <c r="A199" s="85">
        <v>690.14</v>
      </c>
      <c r="B199" s="85">
        <v>693.55</v>
      </c>
      <c r="C199" s="85">
        <v>687.43</v>
      </c>
      <c r="D199" s="85">
        <v>691.98</v>
      </c>
      <c r="E199" s="86">
        <v>4722611.2061000001</v>
      </c>
      <c r="F199" s="84" t="s">
        <v>240</v>
      </c>
      <c r="G199" s="25">
        <f t="shared" si="0"/>
        <v>-2.6590363883349788E-3</v>
      </c>
      <c r="I199" s="85">
        <v>125.06</v>
      </c>
      <c r="J199" s="85">
        <v>127.89</v>
      </c>
      <c r="K199" s="85">
        <v>121.78</v>
      </c>
      <c r="L199" s="85">
        <v>124.6</v>
      </c>
      <c r="M199" s="86">
        <v>7302620.3552999999</v>
      </c>
      <c r="N199" s="84" t="s">
        <v>240</v>
      </c>
      <c r="O199" s="25">
        <f t="shared" si="1"/>
        <v>3.6918138041734938E-3</v>
      </c>
    </row>
    <row r="200" spans="1:21">
      <c r="A200" s="85">
        <v>693.8</v>
      </c>
      <c r="B200" s="85">
        <v>694.5</v>
      </c>
      <c r="C200" s="85">
        <v>689.58</v>
      </c>
      <c r="D200" s="85">
        <v>693.27</v>
      </c>
      <c r="E200" s="86">
        <v>4110059.9393000002</v>
      </c>
      <c r="F200" s="84" t="s">
        <v>241</v>
      </c>
      <c r="G200" s="25">
        <f t="shared" si="0"/>
        <v>7.6449291041003065E-4</v>
      </c>
      <c r="I200" s="85">
        <v>123.55</v>
      </c>
      <c r="J200" s="85">
        <v>127.59</v>
      </c>
      <c r="K200" s="85">
        <v>120.87</v>
      </c>
      <c r="L200" s="85">
        <v>126.45</v>
      </c>
      <c r="M200" s="86">
        <v>8182482.0136000002</v>
      </c>
      <c r="N200" s="84" t="s">
        <v>241</v>
      </c>
      <c r="O200" s="25">
        <f t="shared" si="1"/>
        <v>-2.2933965994464289E-2</v>
      </c>
    </row>
    <row r="201" spans="1:21">
      <c r="A201" s="85">
        <v>691.1</v>
      </c>
      <c r="B201" s="85">
        <v>692.4</v>
      </c>
      <c r="C201" s="85">
        <v>688.2</v>
      </c>
      <c r="D201" s="85">
        <v>690.21</v>
      </c>
      <c r="E201" s="86">
        <v>4570040.4051000001</v>
      </c>
      <c r="F201" s="84" t="s">
        <v>242</v>
      </c>
      <c r="G201" s="25">
        <f t="shared" si="0"/>
        <v>1.289462627316329E-3</v>
      </c>
      <c r="I201" s="85">
        <v>125.68</v>
      </c>
      <c r="J201" s="85">
        <v>126.11</v>
      </c>
      <c r="K201" s="85">
        <v>120</v>
      </c>
      <c r="L201" s="85">
        <v>121.63</v>
      </c>
      <c r="M201" s="86">
        <v>4727877.2335000001</v>
      </c>
      <c r="N201" s="84" t="s">
        <v>242</v>
      </c>
      <c r="O201" s="25">
        <f t="shared" si="1"/>
        <v>3.3297706158020413E-2</v>
      </c>
      <c r="Q201" s="26"/>
      <c r="R201" s="26" t="s">
        <v>26</v>
      </c>
      <c r="S201" s="27">
        <f>MIN(O188:O438)</f>
        <v>-0.14535637149028091</v>
      </c>
    </row>
    <row r="202" spans="1:21">
      <c r="A202" s="85">
        <v>688.5</v>
      </c>
      <c r="B202" s="85">
        <v>692.96</v>
      </c>
      <c r="C202" s="85">
        <v>687.54</v>
      </c>
      <c r="D202" s="85">
        <v>691.6</v>
      </c>
      <c r="E202" s="86">
        <v>6587891.3572000004</v>
      </c>
      <c r="F202" s="84" t="s">
        <v>243</v>
      </c>
      <c r="G202" s="25">
        <f t="shared" si="0"/>
        <v>-4.4823597455176944E-3</v>
      </c>
      <c r="I202" s="85">
        <v>124.74</v>
      </c>
      <c r="J202" s="85">
        <v>126.7</v>
      </c>
      <c r="K202" s="85">
        <v>121.7</v>
      </c>
      <c r="L202" s="85">
        <v>124.63</v>
      </c>
      <c r="M202" s="86">
        <v>6576280.3832</v>
      </c>
      <c r="N202" s="84" t="s">
        <v>243</v>
      </c>
      <c r="O202" s="25">
        <f t="shared" si="1"/>
        <v>8.8261253309807053E-4</v>
      </c>
      <c r="Q202" s="26"/>
      <c r="R202" s="26" t="s">
        <v>27</v>
      </c>
      <c r="S202" s="27">
        <f>MAX(O188:O438)</f>
        <v>7.6364923458100975E-2</v>
      </c>
    </row>
    <row r="203" spans="1:21">
      <c r="A203" s="85">
        <v>693.86</v>
      </c>
      <c r="B203" s="85">
        <v>694.33</v>
      </c>
      <c r="C203" s="85">
        <v>687.63</v>
      </c>
      <c r="D203" s="85">
        <v>691.25</v>
      </c>
      <c r="E203" s="86">
        <v>4666892.8554999996</v>
      </c>
      <c r="F203" s="84" t="s">
        <v>244</v>
      </c>
      <c r="G203" s="25">
        <f t="shared" si="0"/>
        <v>3.7757685352621806E-3</v>
      </c>
      <c r="I203" s="85">
        <v>122.54</v>
      </c>
      <c r="J203" s="85">
        <v>130.75</v>
      </c>
      <c r="K203" s="85">
        <v>122.3</v>
      </c>
      <c r="L203" s="85">
        <v>126.765</v>
      </c>
      <c r="M203" s="86">
        <v>5358760.3339999998</v>
      </c>
      <c r="N203" s="84" t="s">
        <v>244</v>
      </c>
      <c r="O203" s="25">
        <f t="shared" si="1"/>
        <v>-3.3329389026939604E-2</v>
      </c>
      <c r="Q203" s="26"/>
      <c r="R203" s="26" t="s">
        <v>28</v>
      </c>
      <c r="S203" s="27">
        <f>AVERAGE(O188:O438)</f>
        <v>1.1080395860078415E-4</v>
      </c>
    </row>
    <row r="204" spans="1:21">
      <c r="A204" s="85">
        <v>690.69</v>
      </c>
      <c r="B204" s="85">
        <v>691.18619999999999</v>
      </c>
      <c r="C204" s="85">
        <v>685.29</v>
      </c>
      <c r="D204" s="85">
        <v>686.95</v>
      </c>
      <c r="E204" s="86">
        <v>6395880.3809000002</v>
      </c>
      <c r="F204" s="84" t="s">
        <v>245</v>
      </c>
      <c r="G204" s="25">
        <f t="shared" si="0"/>
        <v>5.4443554843874864E-3</v>
      </c>
      <c r="I204" s="85">
        <v>123.17</v>
      </c>
      <c r="J204" s="85">
        <v>123.22</v>
      </c>
      <c r="K204" s="85">
        <v>116.71</v>
      </c>
      <c r="L204" s="85">
        <v>117.25</v>
      </c>
      <c r="M204" s="86">
        <v>5872204.3679999998</v>
      </c>
      <c r="N204" s="84" t="s">
        <v>245</v>
      </c>
      <c r="O204" s="25">
        <f t="shared" si="1"/>
        <v>5.0490405117270765E-2</v>
      </c>
      <c r="Q204" s="26"/>
      <c r="R204" s="26" t="s">
        <v>29</v>
      </c>
      <c r="S204" s="27">
        <f>MEDIAN(O188:O438)</f>
        <v>-2.716407098877216E-4</v>
      </c>
    </row>
    <row r="205" spans="1:21" ht="15">
      <c r="A205" s="85">
        <v>685.26</v>
      </c>
      <c r="B205" s="85">
        <v>685.84</v>
      </c>
      <c r="C205" s="85">
        <v>679.73</v>
      </c>
      <c r="D205" s="85">
        <v>683.1</v>
      </c>
      <c r="E205" s="86">
        <v>4805362.7424999997</v>
      </c>
      <c r="F205" s="84" t="s">
        <v>246</v>
      </c>
      <c r="G205" s="25">
        <f t="shared" si="0"/>
        <v>3.1620553359683612E-3</v>
      </c>
      <c r="I205" s="85">
        <v>119.22</v>
      </c>
      <c r="J205" s="85">
        <v>120.94</v>
      </c>
      <c r="K205" s="85">
        <v>115.17</v>
      </c>
      <c r="L205" s="85">
        <v>120.93</v>
      </c>
      <c r="M205" s="86">
        <v>5507901.2598000001</v>
      </c>
      <c r="N205" s="84" t="s">
        <v>246</v>
      </c>
      <c r="O205" s="25">
        <f t="shared" si="1"/>
        <v>-1.4140411808484354E-2</v>
      </c>
      <c r="Q205" s="26"/>
      <c r="R205" s="26" t="s">
        <v>30</v>
      </c>
      <c r="S205" s="27">
        <f>_xlfn.STDEV.P(O188:O438)</f>
        <v>3.078194168834706E-2</v>
      </c>
      <c r="U205" s="2"/>
    </row>
    <row r="206" spans="1:21" ht="15">
      <c r="A206" s="85">
        <v>687.08</v>
      </c>
      <c r="B206" s="85">
        <v>690.24</v>
      </c>
      <c r="C206" s="85">
        <v>684.98900000000003</v>
      </c>
      <c r="D206" s="85">
        <v>689.58</v>
      </c>
      <c r="E206" s="86">
        <v>4816042.4768000003</v>
      </c>
      <c r="F206" s="84" t="s">
        <v>247</v>
      </c>
      <c r="G206" s="25">
        <f t="shared" si="0"/>
        <v>-3.6253951680733643E-3</v>
      </c>
      <c r="I206" s="85">
        <v>121.88</v>
      </c>
      <c r="J206" s="85">
        <v>125.94</v>
      </c>
      <c r="K206" s="85">
        <v>121.47</v>
      </c>
      <c r="L206" s="85">
        <v>122.84</v>
      </c>
      <c r="M206" s="86">
        <v>10065823.194399999</v>
      </c>
      <c r="N206" s="84" t="s">
        <v>247</v>
      </c>
      <c r="O206" s="25">
        <f t="shared" si="1"/>
        <v>-7.815043959622292E-3</v>
      </c>
      <c r="Q206" s="26"/>
      <c r="R206" s="28" t="s">
        <v>31</v>
      </c>
      <c r="S206" s="27">
        <f>3*S205</f>
        <v>9.2345825065041187E-2</v>
      </c>
      <c r="T206" s="26"/>
      <c r="U206" s="2" t="s">
        <v>94</v>
      </c>
    </row>
    <row r="207" spans="1:21" ht="15">
      <c r="A207" s="85">
        <v>690.62</v>
      </c>
      <c r="B207" s="85">
        <v>691.57500000000005</v>
      </c>
      <c r="C207" s="85">
        <v>687</v>
      </c>
      <c r="D207" s="85">
        <v>688.11</v>
      </c>
      <c r="E207" s="86">
        <v>5575659.2198000001</v>
      </c>
      <c r="F207" s="84" t="s">
        <v>248</v>
      </c>
      <c r="G207" s="25">
        <f t="shared" si="0"/>
        <v>3.6476726104837098E-3</v>
      </c>
      <c r="I207" s="85">
        <v>120.14</v>
      </c>
      <c r="J207" s="85">
        <v>121.54</v>
      </c>
      <c r="K207" s="85">
        <v>115.71</v>
      </c>
      <c r="L207" s="85">
        <v>118.96</v>
      </c>
      <c r="M207" s="86">
        <v>7258857.7929999996</v>
      </c>
      <c r="N207" s="84" t="s">
        <v>248</v>
      </c>
      <c r="O207" s="25">
        <f t="shared" si="1"/>
        <v>9.9193006052455956E-3</v>
      </c>
      <c r="Q207" s="26"/>
      <c r="R207" s="28" t="s">
        <v>32</v>
      </c>
      <c r="S207" s="52">
        <f>_xlfn.COVARIANCE.P(O188:O436,G188:G436)/_xlfn.VAR.P(G188:G436)</f>
        <v>2.2109452650660075</v>
      </c>
      <c r="T207" s="26"/>
      <c r="U207" s="2" t="s">
        <v>33</v>
      </c>
    </row>
    <row r="208" spans="1:21">
      <c r="A208" s="85">
        <v>684.84</v>
      </c>
      <c r="B208" s="85">
        <v>690.5</v>
      </c>
      <c r="C208" s="85">
        <v>680.21500000000003</v>
      </c>
      <c r="D208" s="85">
        <v>686.98</v>
      </c>
      <c r="E208" s="86">
        <v>6980816.8136</v>
      </c>
      <c r="F208" s="84" t="s">
        <v>249</v>
      </c>
      <c r="G208" s="25">
        <f t="shared" si="0"/>
        <v>-3.1150834085417189E-3</v>
      </c>
      <c r="I208" s="85">
        <v>119.46</v>
      </c>
      <c r="J208" s="85">
        <v>121.3</v>
      </c>
      <c r="K208" s="85">
        <v>118.42</v>
      </c>
      <c r="L208" s="85">
        <v>119.05</v>
      </c>
      <c r="M208" s="86">
        <v>6631413.8863000004</v>
      </c>
      <c r="N208" s="84" t="s">
        <v>249</v>
      </c>
      <c r="O208" s="25">
        <f t="shared" si="1"/>
        <v>3.4439311213776413E-3</v>
      </c>
    </row>
    <row r="209" spans="1:25">
      <c r="A209" s="85">
        <v>685.46</v>
      </c>
      <c r="B209" s="85">
        <v>688.83</v>
      </c>
      <c r="C209" s="85">
        <v>682.3</v>
      </c>
      <c r="D209" s="85">
        <v>684.73</v>
      </c>
      <c r="E209" s="86">
        <v>8627875.0035999995</v>
      </c>
      <c r="F209" s="84" t="s">
        <v>250</v>
      </c>
      <c r="G209" s="25">
        <f t="shared" si="0"/>
        <v>1.0661136506360247E-3</v>
      </c>
      <c r="I209" s="85">
        <v>121.63</v>
      </c>
      <c r="J209" s="85">
        <v>123.7</v>
      </c>
      <c r="K209" s="85">
        <v>117.325</v>
      </c>
      <c r="L209" s="85">
        <v>117.325</v>
      </c>
      <c r="M209" s="86">
        <v>8295889.6708000004</v>
      </c>
      <c r="N209" s="84" t="s">
        <v>250</v>
      </c>
      <c r="O209" s="25">
        <f t="shared" si="1"/>
        <v>3.6692946942254334E-2</v>
      </c>
      <c r="Q209" s="29" t="s">
        <v>34</v>
      </c>
      <c r="R209" s="30">
        <v>251</v>
      </c>
    </row>
    <row r="210" spans="1:25" ht="15" thickBot="1">
      <c r="A210" s="85">
        <v>686.81</v>
      </c>
      <c r="B210" s="85">
        <v>687.529</v>
      </c>
      <c r="C210" s="85">
        <v>680.99</v>
      </c>
      <c r="D210" s="85">
        <v>681.32</v>
      </c>
      <c r="E210" s="86">
        <v>9853712.8944000006</v>
      </c>
      <c r="F210" s="84" t="s">
        <v>251</v>
      </c>
      <c r="G210" s="25">
        <f t="shared" si="0"/>
        <v>8.0578876298946778E-3</v>
      </c>
      <c r="I210" s="85">
        <v>114.18</v>
      </c>
      <c r="J210" s="85">
        <v>116</v>
      </c>
      <c r="K210" s="85">
        <v>112</v>
      </c>
      <c r="L210" s="85">
        <v>113</v>
      </c>
      <c r="M210" s="86">
        <v>6467826.3864000002</v>
      </c>
      <c r="N210" s="84" t="s">
        <v>251</v>
      </c>
      <c r="O210" s="25">
        <f t="shared" si="1"/>
        <v>1.0442477876106304E-2</v>
      </c>
      <c r="Q210" s="1" t="s">
        <v>35</v>
      </c>
      <c r="T210" s="1" t="s">
        <v>36</v>
      </c>
      <c r="X210" s="1" t="s">
        <v>37</v>
      </c>
    </row>
    <row r="211" spans="1:25" ht="15" customHeight="1">
      <c r="A211" s="85">
        <v>681.01</v>
      </c>
      <c r="B211" s="85">
        <v>681.56500000000005</v>
      </c>
      <c r="C211" s="85">
        <v>672.93</v>
      </c>
      <c r="D211" s="85">
        <v>677.01</v>
      </c>
      <c r="E211" s="86">
        <v>5649228.7867999999</v>
      </c>
      <c r="F211" s="84" t="s">
        <v>252</v>
      </c>
      <c r="G211" s="25">
        <f t="shared" si="0"/>
        <v>5.9083322255211179E-3</v>
      </c>
      <c r="I211" s="85">
        <v>114.21</v>
      </c>
      <c r="J211" s="85">
        <v>120.62</v>
      </c>
      <c r="K211" s="85">
        <v>113.99</v>
      </c>
      <c r="L211" s="85">
        <v>118.38</v>
      </c>
      <c r="M211" s="86">
        <v>9688149.0403000005</v>
      </c>
      <c r="N211" s="84" t="s">
        <v>252</v>
      </c>
      <c r="O211" s="25">
        <f t="shared" si="1"/>
        <v>-3.5225544855549962E-2</v>
      </c>
      <c r="Q211" s="89" t="s">
        <v>38</v>
      </c>
      <c r="R211" s="89" t="s">
        <v>39</v>
      </c>
      <c r="T211" s="31" t="s">
        <v>40</v>
      </c>
      <c r="U211" s="32" t="s">
        <v>41</v>
      </c>
      <c r="X211" s="31" t="s">
        <v>42</v>
      </c>
      <c r="Y211" s="32" t="s">
        <v>43</v>
      </c>
    </row>
    <row r="212" spans="1:25" ht="15" customHeight="1">
      <c r="A212" s="85">
        <v>670.26</v>
      </c>
      <c r="B212" s="85">
        <v>676.95500000000004</v>
      </c>
      <c r="C212" s="85">
        <v>668.1</v>
      </c>
      <c r="D212" s="85">
        <v>669.96</v>
      </c>
      <c r="E212" s="86">
        <v>5935648.6288000001</v>
      </c>
      <c r="F212" s="84" t="s">
        <v>253</v>
      </c>
      <c r="G212" s="25">
        <f t="shared" si="0"/>
        <v>4.4778792763744413E-4</v>
      </c>
      <c r="I212" s="85">
        <v>116.86</v>
      </c>
      <c r="J212" s="85">
        <v>117.87</v>
      </c>
      <c r="K212" s="85">
        <v>112.1</v>
      </c>
      <c r="L212" s="85">
        <v>112.595</v>
      </c>
      <c r="M212" s="86">
        <v>9721542.2401999999</v>
      </c>
      <c r="N212" s="84" t="s">
        <v>253</v>
      </c>
      <c r="O212" s="25">
        <f t="shared" si="1"/>
        <v>3.7879124295039812E-2</v>
      </c>
      <c r="Q212" s="87">
        <v>-0.10000000000000005</v>
      </c>
      <c r="R212">
        <v>1</v>
      </c>
      <c r="T212" s="51">
        <f t="shared" ref="T212:T219" si="2">T213-0.0025</f>
        <v>-0.10000000000000005</v>
      </c>
      <c r="U212" s="1">
        <f t="shared" ref="U212:U243" si="3">_xlfn.NORM.DIST(T212,$S$203,$S$205,FALSE)</f>
        <v>6.5434788433535326E-2</v>
      </c>
      <c r="W212" s="1" t="s">
        <v>85</v>
      </c>
      <c r="X212" s="51">
        <f>S203</f>
        <v>1.1080395860078415E-4</v>
      </c>
      <c r="Y212" s="1">
        <v>0</v>
      </c>
    </row>
    <row r="213" spans="1:25" ht="15">
      <c r="A213" s="85">
        <v>673.74779998746499</v>
      </c>
      <c r="B213" s="85">
        <v>679.56087020091002</v>
      </c>
      <c r="C213" s="85">
        <v>670.62688922107009</v>
      </c>
      <c r="D213" s="85">
        <v>679.16203176430997</v>
      </c>
      <c r="E213" s="86">
        <v>23355606.123143647</v>
      </c>
      <c r="F213" s="84" t="s">
        <v>254</v>
      </c>
      <c r="G213" s="25">
        <f t="shared" si="0"/>
        <v>-7.9719294124556139E-3</v>
      </c>
      <c r="I213" s="85">
        <v>111.62</v>
      </c>
      <c r="J213" s="85">
        <v>115.69</v>
      </c>
      <c r="K213" s="85">
        <v>111.325</v>
      </c>
      <c r="L213" s="85">
        <v>113.4</v>
      </c>
      <c r="M213" s="86">
        <v>7807277.5321000004</v>
      </c>
      <c r="N213" s="84" t="s">
        <v>254</v>
      </c>
      <c r="O213" s="25">
        <f t="shared" si="1"/>
        <v>-1.5696649029982357E-2</v>
      </c>
      <c r="Q213" s="87">
        <v>-9.7500000000000045E-2</v>
      </c>
      <c r="R213">
        <v>0</v>
      </c>
      <c r="T213" s="51">
        <f t="shared" si="2"/>
        <v>-9.7500000000000045E-2</v>
      </c>
      <c r="U213" s="1">
        <f t="shared" si="3"/>
        <v>8.4935556378406551E-2</v>
      </c>
      <c r="X213" s="51">
        <f>S203</f>
        <v>1.1080395860078415E-4</v>
      </c>
      <c r="Y213" s="1">
        <v>13</v>
      </c>
    </row>
    <row r="214" spans="1:25" ht="15">
      <c r="A214" s="85">
        <v>673.72785806563502</v>
      </c>
      <c r="B214" s="85">
        <v>680.08933112940508</v>
      </c>
      <c r="C214" s="85">
        <v>671.72369492171993</v>
      </c>
      <c r="D214" s="85">
        <v>675.71207928771992</v>
      </c>
      <c r="E214" s="86">
        <v>9593615.7837200798</v>
      </c>
      <c r="F214" s="84" t="s">
        <v>255</v>
      </c>
      <c r="G214" s="25">
        <f t="shared" si="0"/>
        <v>-2.9364891984415831E-3</v>
      </c>
      <c r="I214" s="85">
        <v>114.17</v>
      </c>
      <c r="J214" s="85">
        <v>114.49</v>
      </c>
      <c r="K214" s="85">
        <v>106.72</v>
      </c>
      <c r="L214" s="85">
        <v>106.87</v>
      </c>
      <c r="M214" s="86">
        <v>19813656.725900002</v>
      </c>
      <c r="N214" s="84" t="s">
        <v>255</v>
      </c>
      <c r="O214" s="25">
        <f t="shared" si="1"/>
        <v>6.8307289229905477E-2</v>
      </c>
      <c r="Q214" s="87">
        <v>-9.5000000000000043E-2</v>
      </c>
      <c r="R214">
        <v>0</v>
      </c>
      <c r="T214" s="51">
        <f t="shared" si="2"/>
        <v>-9.5000000000000043E-2</v>
      </c>
      <c r="U214" s="1">
        <f t="shared" si="3"/>
        <v>0.10952309666928726</v>
      </c>
      <c r="W214" s="38" t="s">
        <v>86</v>
      </c>
      <c r="X214" s="51">
        <f>($S$205*-3)+$S$203</f>
        <v>-9.2235021106440399E-2</v>
      </c>
      <c r="Y214" s="1">
        <v>0</v>
      </c>
    </row>
    <row r="215" spans="1:25" ht="15">
      <c r="A215" s="85">
        <v>674.37597052511001</v>
      </c>
      <c r="B215" s="85">
        <v>679.7491219429852</v>
      </c>
      <c r="C215" s="85">
        <v>673.05980368432995</v>
      </c>
      <c r="D215" s="85">
        <v>674.39092696648254</v>
      </c>
      <c r="E215" s="86">
        <v>17263981.413069256</v>
      </c>
      <c r="F215" s="84" t="s">
        <v>256</v>
      </c>
      <c r="G215" s="25">
        <f t="shared" si="0"/>
        <v>-2.2177702537873323E-5</v>
      </c>
      <c r="I215" s="85">
        <v>107.68</v>
      </c>
      <c r="J215" s="85">
        <v>110.02</v>
      </c>
      <c r="K215" s="85">
        <v>106.99</v>
      </c>
      <c r="L215" s="85">
        <v>107.855</v>
      </c>
      <c r="M215" s="86">
        <v>10546149.454</v>
      </c>
      <c r="N215" s="84" t="s">
        <v>256</v>
      </c>
      <c r="O215" s="25">
        <f t="shared" si="1"/>
        <v>-1.6225487923601234E-3</v>
      </c>
      <c r="Q215" s="87">
        <v>-9.2500000000000041E-2</v>
      </c>
      <c r="R215">
        <v>0</v>
      </c>
      <c r="T215" s="51">
        <f t="shared" si="2"/>
        <v>-9.2500000000000041E-2</v>
      </c>
      <c r="U215" s="1">
        <f t="shared" si="3"/>
        <v>0.14029986020561233</v>
      </c>
      <c r="W215" s="39"/>
      <c r="X215" s="51">
        <f>($S$205*-3)+$S$203</f>
        <v>-9.2235021106440399E-2</v>
      </c>
      <c r="Y215" s="1">
        <v>0.2</v>
      </c>
    </row>
    <row r="216" spans="1:25" ht="15">
      <c r="A216" s="85">
        <v>684.10762837815003</v>
      </c>
      <c r="B216" s="85">
        <v>689.49194727225006</v>
      </c>
      <c r="C216" s="85">
        <v>683.01082267749996</v>
      </c>
      <c r="D216" s="85">
        <v>687.16871337905491</v>
      </c>
      <c r="E216" s="86">
        <v>13365184.608990114</v>
      </c>
      <c r="F216" s="84" t="s">
        <v>257</v>
      </c>
      <c r="G216" s="25">
        <f t="shared" si="0"/>
        <v>-4.4546338349026326E-3</v>
      </c>
      <c r="I216" s="85">
        <v>107.98</v>
      </c>
      <c r="J216" s="85">
        <v>111.58</v>
      </c>
      <c r="K216" s="85">
        <v>106</v>
      </c>
      <c r="L216" s="85">
        <v>106.75</v>
      </c>
      <c r="M216" s="86">
        <v>8324641.9412000002</v>
      </c>
      <c r="N216" s="84" t="s">
        <v>257</v>
      </c>
      <c r="O216" s="25">
        <f t="shared" si="1"/>
        <v>1.1522248243559741E-2</v>
      </c>
      <c r="Q216" s="87">
        <v>-9.0000000000000038E-2</v>
      </c>
      <c r="R216">
        <v>1</v>
      </c>
      <c r="T216" s="51">
        <f t="shared" si="2"/>
        <v>-9.0000000000000038E-2</v>
      </c>
      <c r="U216" s="1">
        <f t="shared" si="3"/>
        <v>0.1785435259442596</v>
      </c>
      <c r="W216" s="38" t="s">
        <v>87</v>
      </c>
      <c r="X216" s="51">
        <f>($S$205*-2)+$S$203</f>
        <v>-6.1453079418093338E-2</v>
      </c>
      <c r="Y216" s="1">
        <v>0</v>
      </c>
    </row>
    <row r="217" spans="1:25" ht="15">
      <c r="A217" s="85">
        <v>686.111791522065</v>
      </c>
      <c r="B217" s="85">
        <v>687.69717430755009</v>
      </c>
      <c r="C217" s="85">
        <v>683.70878994155009</v>
      </c>
      <c r="D217" s="85">
        <v>687.29833587094993</v>
      </c>
      <c r="E217" s="86">
        <v>17768871.503895573</v>
      </c>
      <c r="F217" s="84" t="s">
        <v>258</v>
      </c>
      <c r="G217" s="25">
        <f t="shared" si="0"/>
        <v>-1.7263890903814749E-3</v>
      </c>
      <c r="I217" s="85">
        <v>108.85</v>
      </c>
      <c r="J217" s="85">
        <v>109.66</v>
      </c>
      <c r="K217" s="85">
        <v>106.14</v>
      </c>
      <c r="L217" s="85">
        <v>107.79</v>
      </c>
      <c r="M217" s="86">
        <v>9827409.9153000005</v>
      </c>
      <c r="N217" s="84" t="s">
        <v>258</v>
      </c>
      <c r="O217" s="25">
        <f t="shared" si="1"/>
        <v>9.8339363577324423E-3</v>
      </c>
      <c r="Q217" s="87">
        <v>-8.7500000000000036E-2</v>
      </c>
      <c r="R217">
        <v>0</v>
      </c>
      <c r="T217" s="51">
        <f t="shared" si="2"/>
        <v>-8.7500000000000036E-2</v>
      </c>
      <c r="U217" s="1">
        <f t="shared" si="3"/>
        <v>0.22571806631568883</v>
      </c>
      <c r="W217" s="39"/>
      <c r="X217" s="51">
        <f>($S$205*-2)+$S$203</f>
        <v>-6.1453079418093338E-2</v>
      </c>
      <c r="Y217" s="1">
        <v>2</v>
      </c>
    </row>
    <row r="218" spans="1:25" ht="15">
      <c r="A218" s="85">
        <v>679.431247709015</v>
      </c>
      <c r="B218" s="85">
        <v>689.52186015499501</v>
      </c>
      <c r="C218" s="85">
        <v>677.66638762705998</v>
      </c>
      <c r="D218" s="85">
        <v>688.75409616453999</v>
      </c>
      <c r="E218" s="86">
        <v>15004527.195962839</v>
      </c>
      <c r="F218" s="84" t="s">
        <v>259</v>
      </c>
      <c r="G218" s="25">
        <f t="shared" si="0"/>
        <v>-1.3535815623371361E-2</v>
      </c>
      <c r="I218" s="85">
        <v>108.09</v>
      </c>
      <c r="J218" s="85">
        <v>114.07</v>
      </c>
      <c r="K218" s="85">
        <v>107.76</v>
      </c>
      <c r="L218" s="85">
        <v>112.4</v>
      </c>
      <c r="M218" s="86">
        <v>8375989.5839999998</v>
      </c>
      <c r="N218" s="84" t="s">
        <v>259</v>
      </c>
      <c r="O218" s="25">
        <f t="shared" si="1"/>
        <v>-3.8345195729537429E-2</v>
      </c>
      <c r="Q218" s="87">
        <v>-8.5000000000000034E-2</v>
      </c>
      <c r="R218">
        <v>0</v>
      </c>
      <c r="T218" s="51">
        <f t="shared" si="2"/>
        <v>-8.5000000000000034E-2</v>
      </c>
      <c r="U218" s="1">
        <f t="shared" si="3"/>
        <v>0.28348095044938554</v>
      </c>
      <c r="W218" s="40" t="s">
        <v>88</v>
      </c>
      <c r="X218" s="51">
        <f>($S$205*-1)+$S$203</f>
        <v>-3.0671137729746275E-2</v>
      </c>
      <c r="Y218" s="1">
        <v>0</v>
      </c>
    </row>
    <row r="219" spans="1:25" ht="15">
      <c r="A219" s="85">
        <v>687.74702911212501</v>
      </c>
      <c r="B219" s="85">
        <v>692.55303227315505</v>
      </c>
      <c r="C219" s="85">
        <v>687.43792932376005</v>
      </c>
      <c r="D219" s="85">
        <v>691.8151811654451</v>
      </c>
      <c r="E219" s="86">
        <v>13322313.582251165</v>
      </c>
      <c r="F219" s="84" t="s">
        <v>260</v>
      </c>
      <c r="G219" s="25">
        <f t="shared" si="0"/>
        <v>-5.8804029805573643E-3</v>
      </c>
      <c r="I219" s="85">
        <v>113.23</v>
      </c>
      <c r="J219" s="85">
        <v>114.58</v>
      </c>
      <c r="K219" s="85">
        <v>111.595</v>
      </c>
      <c r="L219" s="85">
        <v>111.98</v>
      </c>
      <c r="M219" s="86">
        <v>5015760.0533999996</v>
      </c>
      <c r="N219" s="84" t="s">
        <v>260</v>
      </c>
      <c r="O219" s="25">
        <f t="shared" si="1"/>
        <v>1.1162707626361845E-2</v>
      </c>
      <c r="Q219" s="87">
        <v>-8.2500000000000032E-2</v>
      </c>
      <c r="R219">
        <v>1</v>
      </c>
      <c r="T219" s="51">
        <f t="shared" si="2"/>
        <v>-8.2500000000000032E-2</v>
      </c>
      <c r="U219" s="1">
        <f t="shared" si="3"/>
        <v>0.35368511637551536</v>
      </c>
      <c r="X219" s="51">
        <f>($S$205*-1)+$S$203</f>
        <v>-3.0671137729746275E-2</v>
      </c>
      <c r="Y219" s="1">
        <v>8</v>
      </c>
    </row>
    <row r="220" spans="1:25" ht="15">
      <c r="A220" s="85">
        <v>691.8151811654451</v>
      </c>
      <c r="B220" s="85">
        <v>693.72960566112499</v>
      </c>
      <c r="C220" s="85">
        <v>689.25264421028999</v>
      </c>
      <c r="D220" s="85">
        <v>689.29252805394992</v>
      </c>
      <c r="E220" s="86">
        <v>14057972.880540572</v>
      </c>
      <c r="F220" s="84" t="s">
        <v>261</v>
      </c>
      <c r="G220" s="25">
        <f t="shared" si="0"/>
        <v>3.6597714451036545E-3</v>
      </c>
      <c r="I220" s="85">
        <v>112.49</v>
      </c>
      <c r="J220" s="85">
        <v>115.315</v>
      </c>
      <c r="K220" s="85">
        <v>110.2</v>
      </c>
      <c r="L220" s="85">
        <v>110.9</v>
      </c>
      <c r="M220" s="86">
        <v>6737783.1475999998</v>
      </c>
      <c r="N220" s="84" t="s">
        <v>261</v>
      </c>
      <c r="O220" s="25">
        <f t="shared" si="1"/>
        <v>1.433724075743914E-2</v>
      </c>
      <c r="Q220" s="87">
        <v>-8.0000000000000029E-2</v>
      </c>
      <c r="R220">
        <v>0</v>
      </c>
      <c r="T220" s="51">
        <f t="shared" ref="T220:T250" si="4">T221-0.0025</f>
        <v>-8.0000000000000029E-2</v>
      </c>
      <c r="U220" s="1">
        <f t="shared" si="3"/>
        <v>0.43837424786547663</v>
      </c>
      <c r="W220" s="1" t="s">
        <v>89</v>
      </c>
      <c r="X220" s="51">
        <f>($S$205*1)+$S$203</f>
        <v>3.0892745646947845E-2</v>
      </c>
      <c r="Y220" s="1">
        <v>0</v>
      </c>
    </row>
    <row r="221" spans="1:25" ht="15" customHeight="1">
      <c r="A221" s="85">
        <v>679.96967959842505</v>
      </c>
      <c r="B221" s="85">
        <v>682.45115264134108</v>
      </c>
      <c r="C221" s="85">
        <v>673.84750959661494</v>
      </c>
      <c r="D221" s="85">
        <v>679.09722051836252</v>
      </c>
      <c r="E221" s="86">
        <v>6314635.7692848304</v>
      </c>
      <c r="F221" s="84" t="s">
        <v>262</v>
      </c>
      <c r="G221" s="25">
        <f t="shared" si="0"/>
        <v>1.2847336930588149E-3</v>
      </c>
      <c r="I221" s="85">
        <v>108.24</v>
      </c>
      <c r="J221" s="85">
        <v>111.03</v>
      </c>
      <c r="K221" s="85">
        <v>106.98</v>
      </c>
      <c r="L221" s="85">
        <v>110.1</v>
      </c>
      <c r="M221" s="86">
        <v>8707990.3498999998</v>
      </c>
      <c r="N221" s="84" t="s">
        <v>262</v>
      </c>
      <c r="O221" s="25">
        <f t="shared" si="1"/>
        <v>-1.6893732970027275E-2</v>
      </c>
      <c r="Q221" s="87">
        <v>-7.7500000000000027E-2</v>
      </c>
      <c r="R221">
        <v>1</v>
      </c>
      <c r="T221" s="51">
        <f t="shared" si="4"/>
        <v>-7.7500000000000027E-2</v>
      </c>
      <c r="U221" s="1">
        <f t="shared" si="3"/>
        <v>0.53976985718784909</v>
      </c>
      <c r="X221" s="51">
        <f>($S$205*1)+$S$203</f>
        <v>3.0892745646947845E-2</v>
      </c>
      <c r="Y221" s="1">
        <v>8</v>
      </c>
    </row>
    <row r="222" spans="1:25" ht="15">
      <c r="A222" s="85">
        <v>676.26048213804506</v>
      </c>
      <c r="B222" s="85">
        <v>678.40423873477005</v>
      </c>
      <c r="C222" s="85">
        <v>664.065996939</v>
      </c>
      <c r="D222" s="85">
        <v>668.15409091415006</v>
      </c>
      <c r="E222" s="86">
        <v>19926769.008100156</v>
      </c>
      <c r="F222" s="84" t="s">
        <v>263</v>
      </c>
      <c r="G222" s="25">
        <f t="shared" si="0"/>
        <v>1.2132517534696241E-2</v>
      </c>
      <c r="I222" s="85">
        <v>110.47</v>
      </c>
      <c r="J222" s="85">
        <v>110.57</v>
      </c>
      <c r="K222" s="85">
        <v>104.11</v>
      </c>
      <c r="L222" s="85">
        <v>106.9</v>
      </c>
      <c r="M222" s="86">
        <v>8018926.8324999996</v>
      </c>
      <c r="N222" s="84" t="s">
        <v>263</v>
      </c>
      <c r="O222" s="25">
        <f t="shared" si="1"/>
        <v>3.3395696913002704E-2</v>
      </c>
      <c r="Q222" s="87">
        <v>-7.5000000000000025E-2</v>
      </c>
      <c r="R222">
        <v>0</v>
      </c>
      <c r="T222" s="51">
        <f t="shared" si="4"/>
        <v>-7.5000000000000025E-2</v>
      </c>
      <c r="U222" s="1">
        <f t="shared" si="3"/>
        <v>0.66024871986588851</v>
      </c>
      <c r="W222" s="41" t="s">
        <v>90</v>
      </c>
      <c r="X222" s="51">
        <f>($S$205*2)+$S$203</f>
        <v>6.1674687335294902E-2</v>
      </c>
      <c r="Y222" s="1">
        <v>0</v>
      </c>
    </row>
    <row r="223" spans="1:25" ht="15">
      <c r="A223" s="85">
        <v>665.11294783507492</v>
      </c>
      <c r="B223" s="85">
        <v>676.9036091170625</v>
      </c>
      <c r="C223" s="85">
        <v>664.94344149951996</v>
      </c>
      <c r="D223" s="85">
        <v>672.35685093982261</v>
      </c>
      <c r="E223" s="86">
        <v>16356103.013668267</v>
      </c>
      <c r="F223" s="84" t="s">
        <v>264</v>
      </c>
      <c r="G223" s="25">
        <f t="shared" si="0"/>
        <v>-1.0773896472716982E-2</v>
      </c>
      <c r="I223" s="85">
        <v>108.2</v>
      </c>
      <c r="J223" s="85">
        <v>110.25</v>
      </c>
      <c r="K223" s="85">
        <v>106.4</v>
      </c>
      <c r="L223" s="85">
        <v>108.6</v>
      </c>
      <c r="M223" s="86">
        <v>7304284.4998000003</v>
      </c>
      <c r="N223" s="84" t="s">
        <v>264</v>
      </c>
      <c r="O223" s="25">
        <f t="shared" si="1"/>
        <v>-3.6832412523019054E-3</v>
      </c>
      <c r="Q223" s="87">
        <v>-7.2500000000000023E-2</v>
      </c>
      <c r="R223">
        <v>1</v>
      </c>
      <c r="T223" s="51">
        <f t="shared" si="4"/>
        <v>-7.2500000000000023E-2</v>
      </c>
      <c r="U223" s="1">
        <f t="shared" si="3"/>
        <v>0.80230934840792678</v>
      </c>
      <c r="X223" s="51">
        <f>($S$205*2)+$S$203</f>
        <v>6.1674687335294902E-2</v>
      </c>
      <c r="Y223" s="1">
        <v>2</v>
      </c>
    </row>
    <row r="224" spans="1:25" ht="15">
      <c r="A224" s="85">
        <v>675.73202120955</v>
      </c>
      <c r="B224" s="85">
        <v>684.76571179854</v>
      </c>
      <c r="C224" s="85">
        <v>662.39097521488918</v>
      </c>
      <c r="D224" s="85">
        <v>681.72456871946508</v>
      </c>
      <c r="E224" s="86">
        <v>13824281.688200761</v>
      </c>
      <c r="F224" s="84" t="s">
        <v>265</v>
      </c>
      <c r="G224" s="25">
        <f t="shared" si="0"/>
        <v>-8.7902765792515769E-3</v>
      </c>
      <c r="I224" s="85">
        <v>110.42</v>
      </c>
      <c r="J224" s="85">
        <v>116.96</v>
      </c>
      <c r="K224" s="85">
        <v>107.19</v>
      </c>
      <c r="L224" s="85">
        <v>111</v>
      </c>
      <c r="M224" s="86">
        <v>7805019.1010999996</v>
      </c>
      <c r="N224" s="84" t="s">
        <v>265</v>
      </c>
      <c r="O224" s="25">
        <f t="shared" si="1"/>
        <v>-5.2252252252251719E-3</v>
      </c>
      <c r="Q224" s="87">
        <v>-7.0000000000000021E-2</v>
      </c>
      <c r="R224">
        <v>0</v>
      </c>
      <c r="T224" s="51">
        <f t="shared" si="4"/>
        <v>-7.0000000000000021E-2</v>
      </c>
      <c r="U224" s="1">
        <f t="shared" si="3"/>
        <v>0.96852644296961199</v>
      </c>
      <c r="W224" s="41" t="s">
        <v>91</v>
      </c>
      <c r="X224" s="51">
        <f>($S$205*3)+$S$203</f>
        <v>9.2456629023641976E-2</v>
      </c>
      <c r="Y224" s="1">
        <v>0</v>
      </c>
    </row>
    <row r="225" spans="1:25" ht="15">
      <c r="A225" s="85">
        <v>677.70627147071991</v>
      </c>
      <c r="B225" s="85">
        <v>683.29998054403495</v>
      </c>
      <c r="C225" s="85">
        <v>676.72911730105</v>
      </c>
      <c r="D225" s="85">
        <v>681.48526565750501</v>
      </c>
      <c r="E225" s="86">
        <v>8770213.3491915297</v>
      </c>
      <c r="F225" s="84" t="s">
        <v>266</v>
      </c>
      <c r="G225" s="25">
        <f t="shared" si="0"/>
        <v>-5.5452324169313894E-3</v>
      </c>
      <c r="I225" s="85">
        <v>110.78</v>
      </c>
      <c r="J225" s="85">
        <v>114.88</v>
      </c>
      <c r="K225" s="85">
        <v>110.52</v>
      </c>
      <c r="L225" s="85">
        <v>113.58</v>
      </c>
      <c r="M225" s="86">
        <v>6945929.5788000003</v>
      </c>
      <c r="N225" s="84" t="s">
        <v>266</v>
      </c>
      <c r="O225" s="25">
        <f t="shared" si="1"/>
        <v>-2.4652227504842417E-2</v>
      </c>
      <c r="Q225" s="87">
        <v>-6.7500000000000018E-2</v>
      </c>
      <c r="R225">
        <v>0</v>
      </c>
      <c r="T225" s="51">
        <f t="shared" si="4"/>
        <v>-6.7500000000000018E-2</v>
      </c>
      <c r="U225" s="1">
        <f t="shared" si="3"/>
        <v>1.1614926273586699</v>
      </c>
      <c r="W225" s="41"/>
      <c r="X225" s="51">
        <f>($S$205*3)+$S$203</f>
        <v>9.2456629023641976E-2</v>
      </c>
      <c r="Y225" s="1">
        <v>0.2</v>
      </c>
    </row>
    <row r="226" spans="1:25" ht="15">
      <c r="A226" s="85">
        <v>676.03115003699997</v>
      </c>
      <c r="B226" s="85">
        <v>690.16997261447</v>
      </c>
      <c r="C226" s="85">
        <v>674.28623187687504</v>
      </c>
      <c r="D226" s="85">
        <v>689.70133745146506</v>
      </c>
      <c r="E226" s="86">
        <v>10720357.273910748</v>
      </c>
      <c r="F226" s="84" t="s">
        <v>267</v>
      </c>
      <c r="G226" s="25">
        <f t="shared" si="0"/>
        <v>-1.9820444984169794E-2</v>
      </c>
      <c r="I226" s="85">
        <v>109.54</v>
      </c>
      <c r="J226" s="85">
        <v>115.9</v>
      </c>
      <c r="K226" s="85">
        <v>108.29</v>
      </c>
      <c r="L226" s="85">
        <v>114.5</v>
      </c>
      <c r="M226" s="86">
        <v>7940731.2940999996</v>
      </c>
      <c r="N226" s="84" t="s">
        <v>267</v>
      </c>
      <c r="O226" s="25">
        <f t="shared" si="1"/>
        <v>-4.3318777292576383E-2</v>
      </c>
      <c r="Q226" s="87">
        <v>-6.5000000000000016E-2</v>
      </c>
      <c r="R226">
        <v>2</v>
      </c>
      <c r="T226" s="51">
        <f t="shared" si="4"/>
        <v>-6.5000000000000016E-2</v>
      </c>
      <c r="U226" s="1">
        <f t="shared" si="3"/>
        <v>1.3837472715682293</v>
      </c>
    </row>
    <row r="227" spans="1:25" ht="15">
      <c r="A227" s="85">
        <v>694.03870544948995</v>
      </c>
      <c r="B227" s="85">
        <v>695.17539499380007</v>
      </c>
      <c r="C227" s="85">
        <v>688.89368961734999</v>
      </c>
      <c r="D227" s="85">
        <v>689.48197631133496</v>
      </c>
      <c r="E227" s="86">
        <v>6594037.9644944174</v>
      </c>
      <c r="F227" s="84" t="s">
        <v>268</v>
      </c>
      <c r="G227" s="25">
        <f t="shared" si="0"/>
        <v>6.608916976384327E-3</v>
      </c>
      <c r="I227" s="85">
        <v>116.04</v>
      </c>
      <c r="J227" s="85">
        <v>117.77</v>
      </c>
      <c r="K227" s="85">
        <v>114.33459999999999</v>
      </c>
      <c r="L227" s="85">
        <v>115.875</v>
      </c>
      <c r="M227" s="86">
        <v>7037415.5219000001</v>
      </c>
      <c r="N227" s="84" t="s">
        <v>268</v>
      </c>
      <c r="O227" s="25">
        <f t="shared" si="1"/>
        <v>1.4239482200648634E-3</v>
      </c>
      <c r="Q227" s="87">
        <v>-6.2500000000000014E-2</v>
      </c>
      <c r="R227">
        <v>1</v>
      </c>
      <c r="T227" s="51">
        <f t="shared" si="4"/>
        <v>-6.2500000000000014E-2</v>
      </c>
      <c r="U227" s="1">
        <f t="shared" si="3"/>
        <v>1.6376928117860299</v>
      </c>
    </row>
    <row r="228" spans="1:25" ht="15">
      <c r="A228" s="85">
        <v>691.34654600244005</v>
      </c>
      <c r="B228" s="85">
        <v>695.6239885253658</v>
      </c>
      <c r="C228" s="85">
        <v>690.83802699577507</v>
      </c>
      <c r="D228" s="85">
        <v>695.05574346282003</v>
      </c>
      <c r="E228" s="86">
        <v>5899709.4767972017</v>
      </c>
      <c r="F228" s="84" t="s">
        <v>269</v>
      </c>
      <c r="G228" s="25">
        <f t="shared" si="0"/>
        <v>-5.33654673782058E-3</v>
      </c>
      <c r="I228" s="85">
        <v>112.94</v>
      </c>
      <c r="J228" s="85">
        <v>115.26</v>
      </c>
      <c r="K228" s="85">
        <v>112.5</v>
      </c>
      <c r="L228" s="85">
        <v>114.61</v>
      </c>
      <c r="M228" s="86">
        <v>7404148.7515000002</v>
      </c>
      <c r="N228" s="84" t="s">
        <v>269</v>
      </c>
      <c r="O228" s="25">
        <f t="shared" si="1"/>
        <v>-1.4571154349533266E-2</v>
      </c>
      <c r="Q228" s="87">
        <v>-6.0000000000000019E-2</v>
      </c>
      <c r="R228">
        <v>0</v>
      </c>
      <c r="T228" s="51">
        <f t="shared" si="4"/>
        <v>-6.0000000000000019E-2</v>
      </c>
      <c r="U228" s="1">
        <f t="shared" si="3"/>
        <v>1.9254996906770192</v>
      </c>
    </row>
    <row r="229" spans="1:25" ht="15">
      <c r="A229" s="85">
        <v>696.23231685078997</v>
      </c>
      <c r="B229" s="85">
        <v>697.11973237222503</v>
      </c>
      <c r="C229" s="85">
        <v>693.75951854386994</v>
      </c>
      <c r="D229" s="85">
        <v>694.03870544948995</v>
      </c>
      <c r="E229" s="86">
        <v>4712079.9863249687</v>
      </c>
      <c r="F229" s="84" t="s">
        <v>270</v>
      </c>
      <c r="G229" s="25">
        <f t="shared" si="0"/>
        <v>3.1606470706548873E-3</v>
      </c>
      <c r="I229" s="85">
        <v>117.01</v>
      </c>
      <c r="J229" s="85">
        <v>121.53</v>
      </c>
      <c r="K229" s="85">
        <v>115.535</v>
      </c>
      <c r="L229" s="85">
        <v>120.455</v>
      </c>
      <c r="M229" s="86">
        <v>9024535.2786999997</v>
      </c>
      <c r="N229" s="84" t="s">
        <v>270</v>
      </c>
      <c r="O229" s="25">
        <f t="shared" si="1"/>
        <v>-2.8599892075878874E-2</v>
      </c>
      <c r="Q229" s="87">
        <v>-5.7500000000000016E-2</v>
      </c>
      <c r="R229">
        <v>0</v>
      </c>
      <c r="T229" s="51">
        <f t="shared" si="4"/>
        <v>-5.7500000000000016E-2</v>
      </c>
      <c r="U229" s="1">
        <f t="shared" si="3"/>
        <v>2.2490018293903269</v>
      </c>
    </row>
    <row r="230" spans="1:25" ht="15">
      <c r="A230" s="85">
        <v>695.27510460294991</v>
      </c>
      <c r="B230" s="85">
        <v>697.02999372398995</v>
      </c>
      <c r="C230" s="85">
        <v>691.92486173551004</v>
      </c>
      <c r="D230" s="85">
        <v>692.52311939040999</v>
      </c>
      <c r="E230" s="86">
        <v>9977807.5136502534</v>
      </c>
      <c r="F230" s="84" t="s">
        <v>271</v>
      </c>
      <c r="G230" s="25">
        <f t="shared" si="0"/>
        <v>3.9738531977999703E-3</v>
      </c>
      <c r="I230" s="85">
        <v>124.12</v>
      </c>
      <c r="J230" s="85">
        <v>124.625</v>
      </c>
      <c r="K230" s="85">
        <v>119.05500000000001</v>
      </c>
      <c r="L230" s="85">
        <v>120.25</v>
      </c>
      <c r="M230" s="86">
        <v>10538706.6296</v>
      </c>
      <c r="N230" s="84" t="s">
        <v>271</v>
      </c>
      <c r="O230" s="25">
        <f t="shared" si="1"/>
        <v>3.2182952182952196E-2</v>
      </c>
      <c r="Q230" s="87">
        <v>-5.5000000000000014E-2</v>
      </c>
      <c r="R230">
        <v>0</v>
      </c>
      <c r="T230" s="51">
        <f t="shared" si="4"/>
        <v>-5.5000000000000014E-2</v>
      </c>
      <c r="U230" s="1">
        <f t="shared" si="3"/>
        <v>2.6095853724159759</v>
      </c>
    </row>
    <row r="231" spans="1:25" ht="15">
      <c r="A231" s="85">
        <v>693.47036067733507</v>
      </c>
      <c r="B231" s="85">
        <v>694.97597577550005</v>
      </c>
      <c r="C231" s="85">
        <v>691.875006930935</v>
      </c>
      <c r="D231" s="85">
        <v>692.98178359250005</v>
      </c>
      <c r="E231" s="86">
        <v>5053895.6306800442</v>
      </c>
      <c r="F231" s="84" t="s">
        <v>272</v>
      </c>
      <c r="G231" s="25">
        <f t="shared" si="0"/>
        <v>7.0503597122306694E-4</v>
      </c>
      <c r="I231" s="85">
        <v>118.71</v>
      </c>
      <c r="J231" s="85">
        <v>119.84</v>
      </c>
      <c r="K231" s="85">
        <v>113.45</v>
      </c>
      <c r="L231" s="85">
        <v>116.38200000000001</v>
      </c>
      <c r="M231" s="86">
        <v>11548729.853599999</v>
      </c>
      <c r="N231" s="84" t="s">
        <v>272</v>
      </c>
      <c r="O231" s="25">
        <f t="shared" si="1"/>
        <v>2.0003093261844462E-2</v>
      </c>
      <c r="Q231" s="87">
        <v>-5.2500000000000012E-2</v>
      </c>
      <c r="R231">
        <v>1</v>
      </c>
      <c r="T231" s="51">
        <f t="shared" si="4"/>
        <v>-5.2500000000000012E-2</v>
      </c>
      <c r="U231" s="1">
        <f t="shared" si="3"/>
        <v>3.0080742716015205</v>
      </c>
    </row>
    <row r="232" spans="1:25" ht="15">
      <c r="A232" s="85">
        <v>691.89494885276497</v>
      </c>
      <c r="B232" s="85">
        <v>692.27384536753493</v>
      </c>
      <c r="C232" s="85">
        <v>686.84964262977508</v>
      </c>
      <c r="D232" s="85">
        <v>687.75700007303999</v>
      </c>
      <c r="E232" s="86">
        <v>8469446.3909650184</v>
      </c>
      <c r="F232" s="84" t="s">
        <v>273</v>
      </c>
      <c r="G232" s="25">
        <f t="shared" si="0"/>
        <v>6.016585479007075E-3</v>
      </c>
      <c r="I232" s="85">
        <v>115.03</v>
      </c>
      <c r="J232" s="85">
        <v>115.25</v>
      </c>
      <c r="K232" s="85">
        <v>106.96</v>
      </c>
      <c r="L232" s="85">
        <v>107.185</v>
      </c>
      <c r="M232" s="86">
        <v>14132226.9405</v>
      </c>
      <c r="N232" s="84" t="s">
        <v>273</v>
      </c>
      <c r="O232" s="25">
        <f t="shared" si="1"/>
        <v>7.3191211456826943E-2</v>
      </c>
      <c r="Q232" s="87">
        <v>-5.000000000000001E-2</v>
      </c>
      <c r="R232">
        <v>0</v>
      </c>
      <c r="T232" s="51">
        <f t="shared" si="4"/>
        <v>-5.000000000000001E-2</v>
      </c>
      <c r="U232" s="1">
        <f t="shared" si="3"/>
        <v>3.4446170428399943</v>
      </c>
    </row>
    <row r="233" spans="1:25" ht="15">
      <c r="A233" s="85">
        <v>687.95641929134001</v>
      </c>
      <c r="B233" s="85">
        <v>688.77403808636996</v>
      </c>
      <c r="C233" s="85">
        <v>685.92234326467997</v>
      </c>
      <c r="D233" s="85">
        <v>688.35525772794006</v>
      </c>
      <c r="E233" s="86">
        <v>7356729.2231232254</v>
      </c>
      <c r="F233" s="84" t="s">
        <v>274</v>
      </c>
      <c r="G233" s="25">
        <f t="shared" si="0"/>
        <v>-5.7940784518228927E-4</v>
      </c>
      <c r="I233" s="85">
        <v>106.6</v>
      </c>
      <c r="J233" s="85">
        <v>109.1</v>
      </c>
      <c r="K233" s="85">
        <v>103.825</v>
      </c>
      <c r="L233" s="85">
        <v>103.98</v>
      </c>
      <c r="M233" s="86">
        <v>8211035.2882000003</v>
      </c>
      <c r="N233" s="84" t="s">
        <v>274</v>
      </c>
      <c r="O233" s="25">
        <f t="shared" si="1"/>
        <v>2.5197153298711195E-2</v>
      </c>
      <c r="Q233" s="87">
        <v>-4.7500000000000007E-2</v>
      </c>
      <c r="R233">
        <v>2</v>
      </c>
      <c r="T233" s="51">
        <f t="shared" si="4"/>
        <v>-4.7500000000000007E-2</v>
      </c>
      <c r="U233" s="1">
        <f t="shared" si="3"/>
        <v>3.9185796794210801</v>
      </c>
    </row>
    <row r="234" spans="1:25" ht="15">
      <c r="A234" s="85">
        <v>688.00627409591505</v>
      </c>
      <c r="B234" s="85">
        <v>689.50241678121074</v>
      </c>
      <c r="C234" s="85">
        <v>686.08187863932005</v>
      </c>
      <c r="D234" s="85">
        <v>687.64731950297494</v>
      </c>
      <c r="E234" s="86">
        <v>6622042.8364802189</v>
      </c>
      <c r="F234" s="84" t="s">
        <v>275</v>
      </c>
      <c r="G234" s="25">
        <f t="shared" si="0"/>
        <v>5.2200391502954524E-4</v>
      </c>
      <c r="I234" s="85">
        <v>104.9</v>
      </c>
      <c r="J234" s="85">
        <v>105.1</v>
      </c>
      <c r="K234" s="85">
        <v>102.32</v>
      </c>
      <c r="L234" s="85">
        <v>103.23</v>
      </c>
      <c r="M234" s="86">
        <v>7912458.5103000002</v>
      </c>
      <c r="N234" s="84" t="s">
        <v>275</v>
      </c>
      <c r="O234" s="25">
        <f t="shared" si="1"/>
        <v>1.6177467790370992E-2</v>
      </c>
      <c r="Q234" s="87">
        <v>-4.5000000000000005E-2</v>
      </c>
      <c r="R234">
        <v>3</v>
      </c>
      <c r="T234" s="51">
        <f t="shared" si="4"/>
        <v>-4.5000000000000005E-2</v>
      </c>
      <c r="U234" s="1">
        <f t="shared" si="3"/>
        <v>4.4284501794804374</v>
      </c>
    </row>
    <row r="235" spans="1:25" ht="15">
      <c r="A235" s="85">
        <v>683.55922552782499</v>
      </c>
      <c r="B235" s="85">
        <v>686.58042668507005</v>
      </c>
      <c r="C235" s="85">
        <v>682.49223300031088</v>
      </c>
      <c r="D235" s="85">
        <v>684.10762837815003</v>
      </c>
      <c r="E235" s="86">
        <v>4276144.8892912446</v>
      </c>
      <c r="F235" s="84" t="s">
        <v>276</v>
      </c>
      <c r="G235" s="25">
        <f t="shared" si="0"/>
        <v>-8.0163241509989547E-4</v>
      </c>
      <c r="I235" s="85">
        <v>103</v>
      </c>
      <c r="J235" s="85">
        <v>107.85</v>
      </c>
      <c r="K235" s="85">
        <v>102.98</v>
      </c>
      <c r="L235" s="85">
        <v>105.81</v>
      </c>
      <c r="M235" s="86">
        <v>10431077.960999999</v>
      </c>
      <c r="N235" s="84" t="s">
        <v>276</v>
      </c>
      <c r="O235" s="25">
        <f t="shared" si="1"/>
        <v>-2.6557036196956818E-2</v>
      </c>
      <c r="Q235" s="87">
        <v>-4.2500000000000003E-2</v>
      </c>
      <c r="R235">
        <v>3</v>
      </c>
      <c r="T235" s="51">
        <f t="shared" si="4"/>
        <v>-4.2500000000000003E-2</v>
      </c>
      <c r="U235" s="1">
        <f t="shared" si="3"/>
        <v>4.9717603838985687</v>
      </c>
    </row>
    <row r="236" spans="1:25" ht="15">
      <c r="A236" s="85">
        <v>680.85709511985999</v>
      </c>
      <c r="B236" s="85">
        <v>682.83633086148757</v>
      </c>
      <c r="C236" s="85">
        <v>675.65225352223001</v>
      </c>
      <c r="D236" s="85">
        <v>677.10801381582007</v>
      </c>
      <c r="E236" s="86">
        <v>7310162.5559826996</v>
      </c>
      <c r="F236" s="84" t="s">
        <v>277</v>
      </c>
      <c r="G236" s="25">
        <f t="shared" si="0"/>
        <v>5.5369028685867683E-3</v>
      </c>
      <c r="I236" s="85">
        <v>104.86</v>
      </c>
      <c r="J236" s="85">
        <v>106.42</v>
      </c>
      <c r="K236" s="85">
        <v>101.655</v>
      </c>
      <c r="L236" s="85">
        <v>103.24</v>
      </c>
      <c r="M236" s="86">
        <v>6925634.6475</v>
      </c>
      <c r="N236" s="84" t="s">
        <v>277</v>
      </c>
      <c r="O236" s="25">
        <f t="shared" si="1"/>
        <v>1.5691592406044119E-2</v>
      </c>
      <c r="Q236" s="87">
        <v>-0.04</v>
      </c>
      <c r="R236">
        <v>2</v>
      </c>
      <c r="T236" s="51">
        <f t="shared" si="4"/>
        <v>-0.04</v>
      </c>
      <c r="U236" s="1">
        <f t="shared" si="3"/>
        <v>5.5450307756003001</v>
      </c>
    </row>
    <row r="237" spans="1:25" ht="15">
      <c r="A237" s="85">
        <v>679.59078308365508</v>
      </c>
      <c r="B237" s="85">
        <v>680.01953440299997</v>
      </c>
      <c r="C237" s="85">
        <v>672.78071648831917</v>
      </c>
      <c r="D237" s="85">
        <v>674.35602860328004</v>
      </c>
      <c r="E237" s="86">
        <v>5453356.5187483234</v>
      </c>
      <c r="F237" s="84" t="s">
        <v>278</v>
      </c>
      <c r="G237" s="25">
        <f t="shared" si="0"/>
        <v>7.762597586941089E-3</v>
      </c>
      <c r="I237" s="85">
        <v>105.01</v>
      </c>
      <c r="J237" s="85">
        <v>105.12</v>
      </c>
      <c r="K237" s="85">
        <v>99.230999999999995</v>
      </c>
      <c r="L237" s="85">
        <v>100.19</v>
      </c>
      <c r="M237" s="86">
        <v>8074999.5904000001</v>
      </c>
      <c r="N237" s="84" t="s">
        <v>278</v>
      </c>
      <c r="O237" s="25">
        <f t="shared" si="1"/>
        <v>4.8108593672023137E-2</v>
      </c>
      <c r="Q237" s="87">
        <v>-3.7499999999999999E-2</v>
      </c>
      <c r="R237">
        <v>3</v>
      </c>
      <c r="T237" s="51">
        <f t="shared" si="4"/>
        <v>-3.7499999999999999E-2</v>
      </c>
      <c r="U237" s="1">
        <f t="shared" si="3"/>
        <v>6.1437435243622369</v>
      </c>
    </row>
    <row r="238" spans="1:25" ht="15">
      <c r="A238" s="85">
        <v>672.63105236498507</v>
      </c>
      <c r="B238" s="85">
        <v>676.18071445072496</v>
      </c>
      <c r="C238" s="85">
        <v>670.59697633832491</v>
      </c>
      <c r="D238" s="85">
        <v>673.59823557374</v>
      </c>
      <c r="E238" s="86">
        <v>5611397.2201845711</v>
      </c>
      <c r="F238" s="84" t="s">
        <v>279</v>
      </c>
      <c r="G238" s="25">
        <f t="shared" si="0"/>
        <v>-1.4358458168037824E-3</v>
      </c>
      <c r="I238" s="85">
        <v>101.01</v>
      </c>
      <c r="J238" s="85">
        <v>104.9</v>
      </c>
      <c r="K238" s="85">
        <v>100.72</v>
      </c>
      <c r="L238" s="85">
        <v>102.97</v>
      </c>
      <c r="M238" s="86">
        <v>10960751.887499999</v>
      </c>
      <c r="N238" s="84" t="s">
        <v>279</v>
      </c>
      <c r="O238" s="25">
        <f t="shared" si="1"/>
        <v>-1.903467029231809E-2</v>
      </c>
      <c r="Q238" s="87">
        <v>-3.4999999999999996E-2</v>
      </c>
      <c r="R238">
        <v>3</v>
      </c>
      <c r="T238" s="51">
        <f t="shared" si="4"/>
        <v>-3.4999999999999996E-2</v>
      </c>
      <c r="U238" s="1">
        <f t="shared" si="3"/>
        <v>6.7623483531061455</v>
      </c>
    </row>
    <row r="239" spans="1:25" ht="15">
      <c r="A239" s="85">
        <v>676.938507480265</v>
      </c>
      <c r="B239" s="85">
        <v>679.63066692731502</v>
      </c>
      <c r="C239" s="85">
        <v>672.29203969387504</v>
      </c>
      <c r="D239" s="85">
        <v>678.20481951646991</v>
      </c>
      <c r="E239" s="86">
        <v>7569986.8603887716</v>
      </c>
      <c r="F239" s="84" t="s">
        <v>280</v>
      </c>
      <c r="G239" s="25">
        <f t="shared" si="0"/>
        <v>-1.8671528124907244E-3</v>
      </c>
      <c r="I239" s="85">
        <v>102.39</v>
      </c>
      <c r="J239" s="85">
        <v>103.33</v>
      </c>
      <c r="K239" s="85">
        <v>98.7</v>
      </c>
      <c r="L239" s="85">
        <v>99.2</v>
      </c>
      <c r="M239" s="86">
        <v>9888252.1961000003</v>
      </c>
      <c r="N239" s="84" t="s">
        <v>280</v>
      </c>
      <c r="O239" s="25">
        <f t="shared" si="1"/>
        <v>3.2157258064516192E-2</v>
      </c>
      <c r="Q239" s="87">
        <v>-3.2499999999999994E-2</v>
      </c>
      <c r="R239">
        <v>2</v>
      </c>
      <c r="T239" s="51">
        <f t="shared" si="4"/>
        <v>-3.2499999999999994E-2</v>
      </c>
      <c r="U239" s="1">
        <f t="shared" si="3"/>
        <v>7.3943047534964501</v>
      </c>
    </row>
    <row r="240" spans="1:25" ht="15">
      <c r="A240" s="85">
        <v>677.46696840876007</v>
      </c>
      <c r="B240" s="85">
        <v>681.53512046207993</v>
      </c>
      <c r="C240" s="85">
        <v>676.47086941335158</v>
      </c>
      <c r="D240" s="85">
        <v>680.05941824666002</v>
      </c>
      <c r="E240" s="86">
        <v>6421958.6023720764</v>
      </c>
      <c r="F240" s="84" t="s">
        <v>281</v>
      </c>
      <c r="G240" s="25">
        <f t="shared" si="0"/>
        <v>-3.8120931323675222E-3</v>
      </c>
      <c r="I240" s="85">
        <v>100.28</v>
      </c>
      <c r="J240" s="85">
        <v>101.4499</v>
      </c>
      <c r="K240" s="85">
        <v>96</v>
      </c>
      <c r="L240" s="85">
        <v>97.5</v>
      </c>
      <c r="M240" s="86">
        <v>15672161.651000001</v>
      </c>
      <c r="N240" s="84" t="s">
        <v>281</v>
      </c>
      <c r="O240" s="25">
        <f t="shared" si="1"/>
        <v>2.8512820512820447E-2</v>
      </c>
      <c r="Q240" s="87">
        <v>-2.9999999999999995E-2</v>
      </c>
      <c r="R240">
        <v>4</v>
      </c>
      <c r="T240" s="51">
        <f t="shared" si="4"/>
        <v>-2.9999999999999995E-2</v>
      </c>
      <c r="U240" s="1">
        <f t="shared" si="3"/>
        <v>8.0321627153770887</v>
      </c>
    </row>
    <row r="241" spans="1:21" ht="15">
      <c r="A241" s="85">
        <v>685.73289500729504</v>
      </c>
      <c r="B241" s="85">
        <v>687.09891665265002</v>
      </c>
      <c r="C241" s="85">
        <v>681.67471391488994</v>
      </c>
      <c r="D241" s="85">
        <v>681.75448160221003</v>
      </c>
      <c r="E241" s="86">
        <v>5353379.5342331855</v>
      </c>
      <c r="F241" s="84" t="s">
        <v>282</v>
      </c>
      <c r="G241" s="25">
        <f t="shared" si="0"/>
        <v>5.8355515254335799E-3</v>
      </c>
      <c r="I241" s="85">
        <v>97.42</v>
      </c>
      <c r="J241" s="85">
        <v>97.96</v>
      </c>
      <c r="K241" s="85">
        <v>94</v>
      </c>
      <c r="L241" s="85">
        <v>95.4</v>
      </c>
      <c r="M241" s="86">
        <v>16090995.7633</v>
      </c>
      <c r="N241" s="84" t="s">
        <v>282</v>
      </c>
      <c r="O241" s="25">
        <f t="shared" si="1"/>
        <v>2.1174004192872076E-2</v>
      </c>
      <c r="Q241" s="87">
        <v>-2.7499999999999997E-2</v>
      </c>
      <c r="R241">
        <v>7</v>
      </c>
      <c r="T241" s="51">
        <f t="shared" si="4"/>
        <v>-2.7499999999999997E-2</v>
      </c>
      <c r="U241" s="1">
        <f t="shared" si="3"/>
        <v>8.6676825056436275</v>
      </c>
    </row>
    <row r="242" spans="1:21" ht="15">
      <c r="A242" s="85">
        <v>680.42834380051499</v>
      </c>
      <c r="B242" s="85">
        <v>681.92398793776499</v>
      </c>
      <c r="C242" s="85">
        <v>674.2363770723</v>
      </c>
      <c r="D242" s="85">
        <v>676.92853651935002</v>
      </c>
      <c r="E242" s="86">
        <v>4896730.0244401768</v>
      </c>
      <c r="F242" s="84" t="s">
        <v>283</v>
      </c>
      <c r="G242" s="25">
        <f t="shared" si="0"/>
        <v>5.1701281484755057E-3</v>
      </c>
      <c r="I242" s="85">
        <v>95.4</v>
      </c>
      <c r="J242" s="85">
        <v>98.83</v>
      </c>
      <c r="K242" s="85">
        <v>94.56</v>
      </c>
      <c r="L242" s="85">
        <v>98.715000000000003</v>
      </c>
      <c r="M242" s="86">
        <v>20109541.479899999</v>
      </c>
      <c r="N242" s="84" t="s">
        <v>283</v>
      </c>
      <c r="O242" s="25">
        <f t="shared" si="1"/>
        <v>-3.358152256495972E-2</v>
      </c>
      <c r="Q242" s="87">
        <v>-2.4999999999999998E-2</v>
      </c>
      <c r="R242">
        <v>6</v>
      </c>
      <c r="T242" s="51">
        <f t="shared" si="4"/>
        <v>-2.4999999999999998E-2</v>
      </c>
      <c r="U242" s="1">
        <f t="shared" si="3"/>
        <v>9.2919922105645689</v>
      </c>
    </row>
    <row r="243" spans="1:21" ht="15">
      <c r="A243" s="85">
        <v>676.69920441830493</v>
      </c>
      <c r="B243" s="85">
        <v>677.28749111229001</v>
      </c>
      <c r="C243" s="85">
        <v>670.84625036119996</v>
      </c>
      <c r="D243" s="85">
        <v>675.50268910850502</v>
      </c>
      <c r="E243" s="86">
        <v>6037564.596651515</v>
      </c>
      <c r="F243" s="84" t="s">
        <v>284</v>
      </c>
      <c r="G243" s="25">
        <f t="shared" si="0"/>
        <v>1.771296145954615E-3</v>
      </c>
      <c r="I243" s="85">
        <v>99.84</v>
      </c>
      <c r="J243" s="85">
        <v>103.19</v>
      </c>
      <c r="K243" s="85">
        <v>98.564999999999998</v>
      </c>
      <c r="L243" s="85">
        <v>102.39</v>
      </c>
      <c r="M243" s="86">
        <v>13668283.453299999</v>
      </c>
      <c r="N243" s="84" t="s">
        <v>284</v>
      </c>
      <c r="O243" s="25">
        <f t="shared" si="1"/>
        <v>-2.4904775857017225E-2</v>
      </c>
      <c r="Q243" s="87">
        <v>-2.2499999999999999E-2</v>
      </c>
      <c r="R243">
        <v>7</v>
      </c>
      <c r="T243" s="51">
        <f t="shared" si="4"/>
        <v>-2.2499999999999999E-2</v>
      </c>
      <c r="U243" s="1">
        <f t="shared" si="3"/>
        <v>9.8957798348450794</v>
      </c>
    </row>
    <row r="244" spans="1:21" ht="15">
      <c r="A244" s="85">
        <v>677.54673609607994</v>
      </c>
      <c r="B244" s="85">
        <v>679.08226407698999</v>
      </c>
      <c r="C244" s="85">
        <v>675.11382163282008</v>
      </c>
      <c r="D244" s="85">
        <v>675.11382163282008</v>
      </c>
      <c r="E244" s="86">
        <v>5676979.9163333699</v>
      </c>
      <c r="F244" s="84" t="s">
        <v>285</v>
      </c>
      <c r="G244" s="25">
        <f t="shared" si="0"/>
        <v>3.6037100490338148E-3</v>
      </c>
      <c r="I244" s="85">
        <v>102.54</v>
      </c>
      <c r="J244" s="85">
        <v>108.42</v>
      </c>
      <c r="K244" s="85">
        <v>102.38</v>
      </c>
      <c r="L244" s="85">
        <v>107.35</v>
      </c>
      <c r="M244" s="86">
        <v>18397257.647300001</v>
      </c>
      <c r="N244" s="84" t="s">
        <v>285</v>
      </c>
      <c r="O244" s="25">
        <f t="shared" si="1"/>
        <v>-4.4806707033069326E-2</v>
      </c>
      <c r="Q244" s="87">
        <v>-0.02</v>
      </c>
      <c r="R244">
        <v>7</v>
      </c>
      <c r="T244" s="51">
        <f t="shared" si="4"/>
        <v>-0.02</v>
      </c>
      <c r="U244" s="1">
        <f t="shared" ref="U244:U275" si="5">_xlfn.NORM.DIST(T244,$S$203,$S$205,FALSE)</f>
        <v>10.469514839818297</v>
      </c>
    </row>
    <row r="245" spans="1:21" ht="15">
      <c r="A245" s="85">
        <v>676.07103388065991</v>
      </c>
      <c r="B245" s="85">
        <v>676.55961096549493</v>
      </c>
      <c r="C245" s="85">
        <v>673.40878731635496</v>
      </c>
      <c r="D245" s="85">
        <v>673.73782902655</v>
      </c>
      <c r="E245" s="86">
        <v>4322344.0995706683</v>
      </c>
      <c r="F245" s="84" t="s">
        <v>286</v>
      </c>
      <c r="G245" s="25">
        <f t="shared" si="0"/>
        <v>3.4630753292879124E-3</v>
      </c>
      <c r="I245" s="85">
        <v>110.41</v>
      </c>
      <c r="J245" s="85">
        <v>110.84</v>
      </c>
      <c r="K245" s="85">
        <v>107.35</v>
      </c>
      <c r="L245" s="85">
        <v>110.44</v>
      </c>
      <c r="M245" s="86">
        <v>14379797.596000001</v>
      </c>
      <c r="N245" s="84" t="s">
        <v>286</v>
      </c>
      <c r="O245" s="25">
        <f t="shared" si="1"/>
        <v>-2.716407098877216E-4</v>
      </c>
      <c r="Q245" s="87">
        <v>-1.7500000000000002E-2</v>
      </c>
      <c r="R245">
        <v>8</v>
      </c>
      <c r="T245" s="51">
        <f t="shared" si="4"/>
        <v>-1.7500000000000002E-2</v>
      </c>
      <c r="U245" s="1">
        <f t="shared" si="5"/>
        <v>11.003692219684586</v>
      </c>
    </row>
    <row r="246" spans="1:21" ht="15">
      <c r="A246" s="85">
        <v>670.58700537740992</v>
      </c>
      <c r="B246" s="85">
        <v>674.79485059314914</v>
      </c>
      <c r="C246" s="85">
        <v>668.97170970918</v>
      </c>
      <c r="D246" s="85">
        <v>673.85748055753004</v>
      </c>
      <c r="E246" s="86">
        <v>6066984.8096581372</v>
      </c>
      <c r="F246" s="84" t="s">
        <v>287</v>
      </c>
      <c r="G246" s="25">
        <f t="shared" si="0"/>
        <v>-4.8533633215946947E-3</v>
      </c>
      <c r="I246" s="85">
        <v>111.74</v>
      </c>
      <c r="J246" s="85">
        <v>111.91</v>
      </c>
      <c r="K246" s="85">
        <v>106.7</v>
      </c>
      <c r="L246" s="85">
        <v>106.74</v>
      </c>
      <c r="M246" s="86">
        <v>22009244.681000002</v>
      </c>
      <c r="N246" s="84" t="s">
        <v>287</v>
      </c>
      <c r="O246" s="25">
        <f t="shared" si="1"/>
        <v>4.6842795578040164E-2</v>
      </c>
      <c r="Q246" s="87">
        <v>-1.5000000000000001E-2</v>
      </c>
      <c r="R246">
        <v>8</v>
      </c>
      <c r="T246" s="51">
        <f t="shared" si="4"/>
        <v>-1.5000000000000001E-2</v>
      </c>
      <c r="U246" s="1">
        <f t="shared" si="5"/>
        <v>11.489090676948379</v>
      </c>
    </row>
    <row r="247" spans="1:21" ht="15">
      <c r="A247" s="85">
        <v>672.70084909138995</v>
      </c>
      <c r="B247" s="85">
        <v>673.37887443361001</v>
      </c>
      <c r="C247" s="85">
        <v>667.20684962722498</v>
      </c>
      <c r="D247" s="85">
        <v>667.50597845467507</v>
      </c>
      <c r="E247" s="86">
        <v>6416177.8384626228</v>
      </c>
      <c r="F247" s="84" t="s">
        <v>288</v>
      </c>
      <c r="G247" s="25">
        <f t="shared" si="0"/>
        <v>7.7825080289788406E-3</v>
      </c>
      <c r="I247" s="85">
        <v>105.44</v>
      </c>
      <c r="J247" s="85">
        <v>109.63</v>
      </c>
      <c r="K247" s="85">
        <v>104.27</v>
      </c>
      <c r="L247" s="85">
        <v>108.61</v>
      </c>
      <c r="M247" s="86">
        <v>24253590.443399999</v>
      </c>
      <c r="N247" s="84" t="s">
        <v>288</v>
      </c>
      <c r="O247" s="25">
        <f t="shared" si="1"/>
        <v>-2.9186999355492182E-2</v>
      </c>
      <c r="Q247" s="87">
        <v>-1.2500000000000001E-2</v>
      </c>
      <c r="R247">
        <v>12</v>
      </c>
      <c r="T247" s="51">
        <f t="shared" si="4"/>
        <v>-1.2500000000000001E-2</v>
      </c>
      <c r="U247" s="1">
        <f t="shared" si="5"/>
        <v>11.917035276258009</v>
      </c>
    </row>
    <row r="248" spans="1:21" ht="15">
      <c r="A248" s="85">
        <v>663.36802967494998</v>
      </c>
      <c r="B248" s="85">
        <v>664.61439978932492</v>
      </c>
      <c r="C248" s="85">
        <v>661.40375037469505</v>
      </c>
      <c r="D248" s="85">
        <v>661.65302439756999</v>
      </c>
      <c r="E248" s="86">
        <v>4962020.0405729897</v>
      </c>
      <c r="F248" s="84" t="s">
        <v>289</v>
      </c>
      <c r="G248" s="25">
        <f t="shared" si="0"/>
        <v>2.5920009644655462E-3</v>
      </c>
      <c r="I248" s="85">
        <v>107.63</v>
      </c>
      <c r="J248" s="85">
        <v>118.98</v>
      </c>
      <c r="K248" s="85">
        <v>105.6</v>
      </c>
      <c r="L248" s="85">
        <v>116.05</v>
      </c>
      <c r="M248" s="86">
        <v>39546209.649599999</v>
      </c>
      <c r="N248" s="84" t="s">
        <v>289</v>
      </c>
      <c r="O248" s="25">
        <f t="shared" si="1"/>
        <v>-7.255493321844031E-2</v>
      </c>
      <c r="Q248" s="87">
        <v>-0.01</v>
      </c>
      <c r="R248">
        <v>6</v>
      </c>
      <c r="T248" s="51">
        <f t="shared" si="4"/>
        <v>-0.01</v>
      </c>
      <c r="U248" s="1">
        <f t="shared" si="5"/>
        <v>12.279654223040422</v>
      </c>
    </row>
    <row r="249" spans="1:21" ht="15">
      <c r="A249" s="85">
        <v>658.20307192098005</v>
      </c>
      <c r="B249" s="85">
        <v>661.92224034227502</v>
      </c>
      <c r="C249" s="85">
        <v>655.48099959118497</v>
      </c>
      <c r="D249" s="85">
        <v>660.06764161208503</v>
      </c>
      <c r="E249" s="86">
        <v>5944718.78260291</v>
      </c>
      <c r="F249" s="84" t="s">
        <v>290</v>
      </c>
      <c r="G249" s="25">
        <f t="shared" si="0"/>
        <v>-2.8248160848350912E-3</v>
      </c>
      <c r="I249" s="85">
        <v>127.55</v>
      </c>
      <c r="J249" s="85">
        <v>129.38999999999999</v>
      </c>
      <c r="K249" s="85">
        <v>125.1</v>
      </c>
      <c r="L249" s="85">
        <v>126.65</v>
      </c>
      <c r="M249" s="86">
        <v>10920608.9802</v>
      </c>
      <c r="N249" s="84" t="s">
        <v>290</v>
      </c>
      <c r="O249" s="25">
        <f t="shared" si="1"/>
        <v>7.1061981839715127E-3</v>
      </c>
      <c r="Q249" s="87">
        <v>-7.4999999999999997E-3</v>
      </c>
      <c r="R249">
        <v>6</v>
      </c>
      <c r="T249" s="51">
        <f t="shared" si="4"/>
        <v>-7.4999999999999997E-3</v>
      </c>
      <c r="U249" s="1">
        <f t="shared" si="5"/>
        <v>12.57011919820037</v>
      </c>
    </row>
    <row r="250" spans="1:21" ht="15">
      <c r="A250" s="85">
        <v>660.59610254057998</v>
      </c>
      <c r="B250" s="85">
        <v>664.47979181697247</v>
      </c>
      <c r="C250" s="85">
        <v>660.45650908776997</v>
      </c>
      <c r="D250" s="85">
        <v>661.16444731273498</v>
      </c>
      <c r="E250" s="86">
        <v>4948602.4611500539</v>
      </c>
      <c r="F250" s="84" t="s">
        <v>291</v>
      </c>
      <c r="G250" s="25">
        <f t="shared" si="0"/>
        <v>-8.5961181740035197E-4</v>
      </c>
      <c r="I250" s="85">
        <v>127.67</v>
      </c>
      <c r="J250" s="85">
        <v>127.92</v>
      </c>
      <c r="K250" s="85">
        <v>123.3907</v>
      </c>
      <c r="L250" s="85">
        <v>123.62</v>
      </c>
      <c r="M250" s="86">
        <v>7750898.5877</v>
      </c>
      <c r="N250" s="84" t="s">
        <v>291</v>
      </c>
      <c r="O250" s="25">
        <f t="shared" si="1"/>
        <v>3.2761689047079656E-2</v>
      </c>
      <c r="Q250" s="87">
        <v>-5.0000000000000001E-3</v>
      </c>
      <c r="R250">
        <v>7</v>
      </c>
      <c r="T250" s="51">
        <f t="shared" si="4"/>
        <v>-5.0000000000000001E-3</v>
      </c>
      <c r="U250" s="1">
        <f t="shared" si="5"/>
        <v>12.782859020155884</v>
      </c>
    </row>
    <row r="251" spans="1:21" ht="15">
      <c r="A251" s="85">
        <v>658.66173612307</v>
      </c>
      <c r="B251" s="85">
        <v>659.84828047195504</v>
      </c>
      <c r="C251" s="85">
        <v>651.24832668276747</v>
      </c>
      <c r="D251" s="85">
        <v>655.09213211550002</v>
      </c>
      <c r="E251" s="86">
        <v>5919880.3991099587</v>
      </c>
      <c r="F251" s="84" t="s">
        <v>292</v>
      </c>
      <c r="G251" s="25">
        <f t="shared" si="0"/>
        <v>5.4490106544899941E-3</v>
      </c>
      <c r="I251" s="85">
        <v>121.13</v>
      </c>
      <c r="J251" s="85">
        <v>122.58</v>
      </c>
      <c r="K251" s="85">
        <v>118.35</v>
      </c>
      <c r="L251" s="85">
        <v>120.79</v>
      </c>
      <c r="M251" s="86">
        <v>6633004.0414000005</v>
      </c>
      <c r="N251" s="84" t="s">
        <v>292</v>
      </c>
      <c r="O251" s="25">
        <f t="shared" si="1"/>
        <v>2.814802549879758E-3</v>
      </c>
      <c r="Q251" s="87">
        <v>-2.5000000000000001E-3</v>
      </c>
      <c r="R251">
        <v>10</v>
      </c>
      <c r="T251" s="51">
        <f>T252-0.0025</f>
        <v>-2.5000000000000001E-3</v>
      </c>
      <c r="U251" s="1">
        <f t="shared" si="5"/>
        <v>12.913737302697401</v>
      </c>
    </row>
    <row r="252" spans="1:21" ht="15">
      <c r="A252" s="85">
        <v>652.34014690295999</v>
      </c>
      <c r="B252" s="85">
        <v>652.82244228241859</v>
      </c>
      <c r="C252" s="85">
        <v>649.36880055028996</v>
      </c>
      <c r="D252" s="85">
        <v>651.72194732622995</v>
      </c>
      <c r="E252" s="86">
        <v>6221167.1225872021</v>
      </c>
      <c r="F252" s="84" t="s">
        <v>293</v>
      </c>
      <c r="G252" s="25">
        <f t="shared" si="0"/>
        <v>9.4856338545334928E-4</v>
      </c>
      <c r="I252" s="85">
        <v>121.26</v>
      </c>
      <c r="J252" s="85">
        <v>122.0325</v>
      </c>
      <c r="K252" s="85">
        <v>119.42</v>
      </c>
      <c r="L252" s="85">
        <v>121.14</v>
      </c>
      <c r="M252" s="86">
        <v>5053389.7670999998</v>
      </c>
      <c r="N252" s="84" t="s">
        <v>293</v>
      </c>
      <c r="O252" s="25">
        <f t="shared" si="1"/>
        <v>9.9058940069340906E-4</v>
      </c>
      <c r="Q252" s="87">
        <v>0</v>
      </c>
      <c r="R252">
        <v>12</v>
      </c>
      <c r="T252" s="51">
        <v>0</v>
      </c>
      <c r="U252" s="1">
        <f t="shared" si="5"/>
        <v>12.960186196750618</v>
      </c>
    </row>
    <row r="253" spans="1:21" ht="15">
      <c r="A253" s="85">
        <v>652.36008882478995</v>
      </c>
      <c r="B253" s="85">
        <v>653.48680740818497</v>
      </c>
      <c r="C253" s="85">
        <v>650.11662261891502</v>
      </c>
      <c r="D253" s="85">
        <v>652.50965323851494</v>
      </c>
      <c r="E253" s="86">
        <v>5525715.9773953436</v>
      </c>
      <c r="F253" s="84" t="s">
        <v>294</v>
      </c>
      <c r="G253" s="25">
        <f t="shared" ref="G253:G316" si="6">A253/D253-1</f>
        <v>-2.2921410125154029E-4</v>
      </c>
      <c r="I253" s="85">
        <v>122.05</v>
      </c>
      <c r="J253" s="85">
        <v>127.31</v>
      </c>
      <c r="K253" s="85">
        <v>121.98</v>
      </c>
      <c r="L253" s="85">
        <v>123.69</v>
      </c>
      <c r="M253" s="86">
        <v>4814702.3724999996</v>
      </c>
      <c r="N253" s="84" t="s">
        <v>294</v>
      </c>
      <c r="O253" s="25">
        <f t="shared" ref="O253:O316" si="7">I253/L253-1</f>
        <v>-1.3258953836203458E-2</v>
      </c>
      <c r="Q253" s="87">
        <v>2.5000000000000001E-3</v>
      </c>
      <c r="R253">
        <v>12</v>
      </c>
      <c r="T253" s="25">
        <f>T252+0.0025</f>
        <v>2.5000000000000001E-3</v>
      </c>
      <c r="U253" s="1">
        <f t="shared" si="5"/>
        <v>12.921290175627494</v>
      </c>
    </row>
    <row r="254" spans="1:21" ht="15">
      <c r="A254" s="85">
        <v>655.59068016125002</v>
      </c>
      <c r="B254" s="85">
        <v>655.98951859784995</v>
      </c>
      <c r="C254" s="85">
        <v>652.93840455786005</v>
      </c>
      <c r="D254" s="85">
        <v>653.76599431380498</v>
      </c>
      <c r="E254" s="86">
        <v>5297681.2909310255</v>
      </c>
      <c r="F254" s="84" t="s">
        <v>295</v>
      </c>
      <c r="G254" s="25">
        <f t="shared" si="6"/>
        <v>2.791038174691618E-3</v>
      </c>
      <c r="I254" s="85">
        <v>124.23</v>
      </c>
      <c r="J254" s="85">
        <v>126.2282</v>
      </c>
      <c r="K254" s="85">
        <v>123.09</v>
      </c>
      <c r="L254" s="85">
        <v>124.405</v>
      </c>
      <c r="M254" s="86">
        <v>3871174.32</v>
      </c>
      <c r="N254" s="84" t="s">
        <v>295</v>
      </c>
      <c r="O254" s="25">
        <f t="shared" si="7"/>
        <v>-1.4066958723524259E-3</v>
      </c>
      <c r="Q254" s="87">
        <v>5.0000000000000001E-3</v>
      </c>
      <c r="R254">
        <v>9</v>
      </c>
      <c r="T254" s="25">
        <f t="shared" ref="T254:T292" si="8">T253+0.0025</f>
        <v>5.0000000000000001E-3</v>
      </c>
      <c r="U254" s="1">
        <f t="shared" si="5"/>
        <v>12.797816044829524</v>
      </c>
    </row>
    <row r="255" spans="1:21" ht="15">
      <c r="A255" s="85">
        <v>654.51381638242992</v>
      </c>
      <c r="B255" s="85">
        <v>654.91265481903008</v>
      </c>
      <c r="C255" s="85">
        <v>649.92737378074833</v>
      </c>
      <c r="D255" s="85">
        <v>651.50258618609996</v>
      </c>
      <c r="E255" s="86">
        <v>4736752.4966373816</v>
      </c>
      <c r="F255" s="84" t="s">
        <v>296</v>
      </c>
      <c r="G255" s="25">
        <f t="shared" si="6"/>
        <v>4.6219773492499616E-3</v>
      </c>
      <c r="I255" s="85">
        <v>125.83</v>
      </c>
      <c r="J255" s="85">
        <v>126.46</v>
      </c>
      <c r="K255" s="85">
        <v>121.66</v>
      </c>
      <c r="L255" s="85">
        <v>124.5</v>
      </c>
      <c r="M255" s="86">
        <v>8290803.9245999996</v>
      </c>
      <c r="N255" s="84" t="s">
        <v>296</v>
      </c>
      <c r="O255" s="25">
        <f t="shared" si="7"/>
        <v>1.0682730923694761E-2</v>
      </c>
      <c r="Q255" s="87">
        <v>7.4999999999999997E-3</v>
      </c>
      <c r="R255">
        <v>7</v>
      </c>
      <c r="T255" s="25">
        <f t="shared" si="8"/>
        <v>7.4999999999999997E-3</v>
      </c>
      <c r="U255" s="1">
        <f t="shared" si="5"/>
        <v>12.592187802258991</v>
      </c>
    </row>
    <row r="256" spans="1:21" ht="15">
      <c r="A256" s="85">
        <v>649.36880055028996</v>
      </c>
      <c r="B256" s="85">
        <v>652.99823032334996</v>
      </c>
      <c r="C256" s="85">
        <v>643.78506243789002</v>
      </c>
      <c r="D256" s="85">
        <v>650.33598375904501</v>
      </c>
      <c r="E256" s="86">
        <v>6034316.5947511885</v>
      </c>
      <c r="F256" s="84" t="s">
        <v>297</v>
      </c>
      <c r="G256" s="25">
        <f t="shared" si="6"/>
        <v>-1.4872054336660945E-3</v>
      </c>
      <c r="I256" s="85">
        <v>124.23</v>
      </c>
      <c r="J256" s="85">
        <v>130.30000000000001</v>
      </c>
      <c r="K256" s="85">
        <v>121.73009999999999</v>
      </c>
      <c r="L256" s="85">
        <v>130</v>
      </c>
      <c r="M256" s="86">
        <v>7419992.2785999998</v>
      </c>
      <c r="N256" s="84" t="s">
        <v>297</v>
      </c>
      <c r="O256" s="25">
        <f t="shared" si="7"/>
        <v>-4.4384615384615356E-2</v>
      </c>
      <c r="Q256" s="87">
        <v>0.01</v>
      </c>
      <c r="R256">
        <v>10</v>
      </c>
      <c r="T256" s="25">
        <f t="shared" si="8"/>
        <v>0.01</v>
      </c>
      <c r="U256" s="1">
        <f t="shared" si="5"/>
        <v>12.3084075002083</v>
      </c>
    </row>
    <row r="257" spans="1:21" ht="15">
      <c r="A257" s="85">
        <v>652.00113423184996</v>
      </c>
      <c r="B257" s="85">
        <v>652.29029209838507</v>
      </c>
      <c r="C257" s="85">
        <v>649.199294214735</v>
      </c>
      <c r="D257" s="85">
        <v>650.08670973617006</v>
      </c>
      <c r="E257" s="86">
        <v>4504953.3060976798</v>
      </c>
      <c r="F257" s="84" t="s">
        <v>298</v>
      </c>
      <c r="G257" s="25">
        <f t="shared" si="6"/>
        <v>2.9448756096810413E-3</v>
      </c>
      <c r="I257" s="85">
        <v>131.96</v>
      </c>
      <c r="J257" s="85">
        <v>133.77000000000001</v>
      </c>
      <c r="K257" s="85">
        <v>131.25</v>
      </c>
      <c r="L257" s="85">
        <v>133.38999999999999</v>
      </c>
      <c r="M257" s="86">
        <v>5604966.4167999998</v>
      </c>
      <c r="N257" s="84" t="s">
        <v>298</v>
      </c>
      <c r="O257" s="25">
        <f t="shared" si="7"/>
        <v>-1.0720443811380043E-2</v>
      </c>
      <c r="Q257" s="87">
        <v>1.2500000000000001E-2</v>
      </c>
      <c r="R257">
        <v>10</v>
      </c>
      <c r="T257" s="25">
        <f t="shared" si="8"/>
        <v>1.2500000000000001E-2</v>
      </c>
      <c r="U257" s="1">
        <f t="shared" si="5"/>
        <v>11.951925718362519</v>
      </c>
    </row>
    <row r="258" spans="1:21" ht="15">
      <c r="A258" s="85">
        <v>645.37044522337499</v>
      </c>
      <c r="B258" s="85">
        <v>651.96125038819002</v>
      </c>
      <c r="C258" s="85">
        <v>644.06464818194661</v>
      </c>
      <c r="D258" s="85">
        <v>651.04392198401001</v>
      </c>
      <c r="E258" s="86">
        <v>8481656.2908972148</v>
      </c>
      <c r="F258" s="84" t="s">
        <v>299</v>
      </c>
      <c r="G258" s="25">
        <f t="shared" si="6"/>
        <v>-8.7144301160902993E-3</v>
      </c>
      <c r="I258" s="85">
        <v>131.13</v>
      </c>
      <c r="J258" s="85">
        <v>137.30000000000001</v>
      </c>
      <c r="K258" s="85">
        <v>130.86000000000001</v>
      </c>
      <c r="L258" s="85">
        <v>135.215</v>
      </c>
      <c r="M258" s="86">
        <v>6860771.9418000001</v>
      </c>
      <c r="N258" s="84" t="s">
        <v>299</v>
      </c>
      <c r="O258" s="25">
        <f t="shared" si="7"/>
        <v>-3.0211145213179025E-2</v>
      </c>
      <c r="Q258" s="87">
        <v>1.5000000000000001E-2</v>
      </c>
      <c r="R258">
        <v>2</v>
      </c>
      <c r="T258" s="25">
        <f t="shared" si="8"/>
        <v>1.5000000000000001E-2</v>
      </c>
      <c r="U258" s="1">
        <f t="shared" si="5"/>
        <v>11.529467503741602</v>
      </c>
    </row>
    <row r="259" spans="1:21" ht="15">
      <c r="A259" s="85">
        <v>649.64798745590997</v>
      </c>
      <c r="B259" s="85">
        <v>650.70490931289999</v>
      </c>
      <c r="C259" s="85">
        <v>647.284869719055</v>
      </c>
      <c r="D259" s="85">
        <v>649.72775514322996</v>
      </c>
      <c r="E259" s="86">
        <v>6369044.2896495899</v>
      </c>
      <c r="F259" s="84" t="s">
        <v>300</v>
      </c>
      <c r="G259" s="25">
        <f t="shared" si="6"/>
        <v>-1.2277094011847733E-4</v>
      </c>
      <c r="I259" s="85">
        <v>135.13999999999999</v>
      </c>
      <c r="J259" s="85">
        <v>135.33000000000001</v>
      </c>
      <c r="K259" s="85">
        <v>129.56</v>
      </c>
      <c r="L259" s="85">
        <v>130.05000000000001</v>
      </c>
      <c r="M259" s="86">
        <v>5607038.3957000002</v>
      </c>
      <c r="N259" s="84" t="s">
        <v>300</v>
      </c>
      <c r="O259" s="25">
        <f t="shared" si="7"/>
        <v>3.91387927720106E-2</v>
      </c>
      <c r="Q259" s="87">
        <v>1.7500000000000002E-2</v>
      </c>
      <c r="R259">
        <v>8</v>
      </c>
      <c r="T259" s="25">
        <f t="shared" si="8"/>
        <v>1.7500000000000002E-2</v>
      </c>
      <c r="U259" s="1">
        <f t="shared" si="5"/>
        <v>11.04882154057006</v>
      </c>
    </row>
    <row r="260" spans="1:21" ht="15">
      <c r="A260" s="85">
        <v>650.88438660936993</v>
      </c>
      <c r="B260" s="85">
        <v>652.97828840151999</v>
      </c>
      <c r="C260" s="85">
        <v>646.97576993069003</v>
      </c>
      <c r="D260" s="85">
        <v>647.29484067996998</v>
      </c>
      <c r="E260" s="86">
        <v>7806647.4112741025</v>
      </c>
      <c r="F260" s="84" t="s">
        <v>301</v>
      </c>
      <c r="G260" s="25">
        <f t="shared" si="6"/>
        <v>5.5454573461903856E-3</v>
      </c>
      <c r="I260" s="85">
        <v>131.15</v>
      </c>
      <c r="J260" s="85">
        <v>133.32</v>
      </c>
      <c r="K260" s="85">
        <v>129.82499999999999</v>
      </c>
      <c r="L260" s="85">
        <v>130.13999999999999</v>
      </c>
      <c r="M260" s="86">
        <v>8465085.4953000005</v>
      </c>
      <c r="N260" s="84" t="s">
        <v>301</v>
      </c>
      <c r="O260" s="25">
        <f t="shared" si="7"/>
        <v>7.7608729061011683E-3</v>
      </c>
      <c r="Q260" s="87">
        <v>0.02</v>
      </c>
      <c r="R260">
        <v>2</v>
      </c>
      <c r="T260" s="25">
        <f t="shared" si="8"/>
        <v>0.02</v>
      </c>
      <c r="U260" s="1">
        <f t="shared" si="5"/>
        <v>10.518601776058246</v>
      </c>
    </row>
    <row r="261" spans="1:21" ht="15">
      <c r="A261" s="85">
        <v>642.98738556469004</v>
      </c>
      <c r="B261" s="85">
        <v>644.19387183540505</v>
      </c>
      <c r="C261" s="85">
        <v>640.28525515672493</v>
      </c>
      <c r="D261" s="85">
        <v>642.63840193266503</v>
      </c>
      <c r="E261" s="86">
        <v>5875107.2734497823</v>
      </c>
      <c r="F261" s="84" t="s">
        <v>302</v>
      </c>
      <c r="G261" s="25">
        <f t="shared" si="6"/>
        <v>5.4304820716510882E-4</v>
      </c>
      <c r="I261" s="85">
        <v>126.94</v>
      </c>
      <c r="J261" s="85">
        <v>130.69</v>
      </c>
      <c r="K261" s="85">
        <v>125.84</v>
      </c>
      <c r="L261" s="85">
        <v>130.15</v>
      </c>
      <c r="M261" s="86">
        <v>6306399.8011999996</v>
      </c>
      <c r="N261" s="84" t="s">
        <v>302</v>
      </c>
      <c r="O261" s="25">
        <f t="shared" si="7"/>
        <v>-2.4663849404533256E-2</v>
      </c>
      <c r="Q261" s="87">
        <v>2.2499999999999999E-2</v>
      </c>
      <c r="R261">
        <v>10</v>
      </c>
      <c r="T261" s="25">
        <f t="shared" si="8"/>
        <v>2.2499999999999999E-2</v>
      </c>
      <c r="U261" s="1">
        <f t="shared" si="5"/>
        <v>9.9479916735471949</v>
      </c>
    </row>
    <row r="262" spans="1:21" ht="15">
      <c r="A262" s="85">
        <v>641.58148007567502</v>
      </c>
      <c r="B262" s="85">
        <v>641.92049274678493</v>
      </c>
      <c r="C262" s="85">
        <v>636.37663847804504</v>
      </c>
      <c r="D262" s="85">
        <v>637.3338507258851</v>
      </c>
      <c r="E262" s="86">
        <v>5065156.4900853885</v>
      </c>
      <c r="F262" s="84" t="s">
        <v>303</v>
      </c>
      <c r="G262" s="25">
        <f t="shared" si="6"/>
        <v>6.6646849919427265E-3</v>
      </c>
      <c r="I262" s="85">
        <v>127.41</v>
      </c>
      <c r="J262" s="85">
        <v>127.7</v>
      </c>
      <c r="K262" s="85">
        <v>118.23</v>
      </c>
      <c r="L262" s="85">
        <v>119.1</v>
      </c>
      <c r="M262" s="86">
        <v>9131130.3714000005</v>
      </c>
      <c r="N262" s="84" t="s">
        <v>303</v>
      </c>
      <c r="O262" s="25">
        <f t="shared" si="7"/>
        <v>6.9773299748110862E-2</v>
      </c>
      <c r="Q262" s="87">
        <v>2.4999999999999998E-2</v>
      </c>
      <c r="R262">
        <v>1</v>
      </c>
      <c r="T262" s="25">
        <f t="shared" si="8"/>
        <v>2.4999999999999998E-2</v>
      </c>
      <c r="U262" s="1">
        <f t="shared" si="5"/>
        <v>9.3464816543183407</v>
      </c>
    </row>
    <row r="263" spans="1:21" ht="15">
      <c r="A263" s="85">
        <v>636.49629000902507</v>
      </c>
      <c r="B263" s="85">
        <v>636.66579634458003</v>
      </c>
      <c r="C263" s="85">
        <v>630.38409096813007</v>
      </c>
      <c r="D263" s="85">
        <v>630.3890764485875</v>
      </c>
      <c r="E263" s="86">
        <v>5013507.8729270091</v>
      </c>
      <c r="F263" s="84" t="s">
        <v>304</v>
      </c>
      <c r="G263" s="25">
        <f t="shared" si="6"/>
        <v>9.6880066432045719E-3</v>
      </c>
      <c r="I263" s="85">
        <v>117.64</v>
      </c>
      <c r="J263" s="85">
        <v>119.11499999999999</v>
      </c>
      <c r="K263" s="85">
        <v>115.56</v>
      </c>
      <c r="L263" s="85">
        <v>116.97</v>
      </c>
      <c r="M263" s="86">
        <v>8928276.5548999999</v>
      </c>
      <c r="N263" s="84" t="s">
        <v>304</v>
      </c>
      <c r="O263" s="25">
        <f t="shared" si="7"/>
        <v>5.7279644353254167E-3</v>
      </c>
      <c r="Q263" s="87">
        <v>2.7499999999999997E-2</v>
      </c>
      <c r="R263">
        <v>6</v>
      </c>
      <c r="T263" s="25">
        <f t="shared" si="8"/>
        <v>2.7499999999999997E-2</v>
      </c>
      <c r="U263" s="1">
        <f t="shared" si="5"/>
        <v>8.7236101224387887</v>
      </c>
    </row>
    <row r="264" spans="1:21" ht="15">
      <c r="A264" s="85">
        <v>628.88844683088007</v>
      </c>
      <c r="B264" s="85">
        <v>629.06792412735001</v>
      </c>
      <c r="C264" s="85">
        <v>620.17382699117002</v>
      </c>
      <c r="D264" s="85">
        <v>620.94159098162504</v>
      </c>
      <c r="E264" s="86">
        <v>5115773.6243117144</v>
      </c>
      <c r="F264" s="84" t="s">
        <v>305</v>
      </c>
      <c r="G264" s="25">
        <f t="shared" si="6"/>
        <v>1.2798073063027049E-2</v>
      </c>
      <c r="I264" s="85">
        <v>114.97</v>
      </c>
      <c r="J264" s="85">
        <v>115.68</v>
      </c>
      <c r="K264" s="85">
        <v>109.32</v>
      </c>
      <c r="L264" s="85">
        <v>109.45</v>
      </c>
      <c r="M264" s="86">
        <v>10095151.049699999</v>
      </c>
      <c r="N264" s="84" t="s">
        <v>305</v>
      </c>
      <c r="O264" s="25">
        <f t="shared" si="7"/>
        <v>5.0433988122430273E-2</v>
      </c>
      <c r="Q264" s="87">
        <v>2.9999999999999995E-2</v>
      </c>
      <c r="R264">
        <v>3</v>
      </c>
      <c r="T264" s="25">
        <f t="shared" si="8"/>
        <v>2.9999999999999995E-2</v>
      </c>
      <c r="U264" s="1">
        <f t="shared" si="5"/>
        <v>8.0887177777368287</v>
      </c>
    </row>
    <row r="265" spans="1:21" ht="15">
      <c r="A265" s="85">
        <v>622.78621875090005</v>
      </c>
      <c r="B265" s="85">
        <v>625.16927840958499</v>
      </c>
      <c r="C265" s="85">
        <v>621.90877419038009</v>
      </c>
      <c r="D265" s="85">
        <v>624.50620950873758</v>
      </c>
      <c r="E265" s="86">
        <v>4587617.0252744388</v>
      </c>
      <c r="F265" s="84" t="s">
        <v>306</v>
      </c>
      <c r="G265" s="25">
        <f t="shared" si="6"/>
        <v>-2.7541611783020725E-3</v>
      </c>
      <c r="I265" s="85">
        <v>110.79</v>
      </c>
      <c r="J265" s="85">
        <v>113.8999</v>
      </c>
      <c r="K265" s="85">
        <v>108.94750000000001</v>
      </c>
      <c r="L265" s="85">
        <v>113.01</v>
      </c>
      <c r="M265" s="86">
        <v>8752637.6853</v>
      </c>
      <c r="N265" s="84" t="s">
        <v>306</v>
      </c>
      <c r="O265" s="25">
        <f t="shared" si="7"/>
        <v>-1.9644279267321485E-2</v>
      </c>
      <c r="Q265" s="87">
        <v>3.2499999999999994E-2</v>
      </c>
      <c r="R265">
        <v>9</v>
      </c>
      <c r="T265" s="25">
        <f t="shared" si="8"/>
        <v>3.2499999999999994E-2</v>
      </c>
      <c r="U265" s="1">
        <f t="shared" si="5"/>
        <v>7.4507237764124419</v>
      </c>
    </row>
    <row r="266" spans="1:21" ht="15">
      <c r="A266" s="85">
        <v>623.20499910932995</v>
      </c>
      <c r="B266" s="85">
        <v>624.35165961455493</v>
      </c>
      <c r="C266" s="85">
        <v>617.60131907509992</v>
      </c>
      <c r="D266" s="85">
        <v>618.53858940111002</v>
      </c>
      <c r="E266" s="86">
        <v>5486228.9817731176</v>
      </c>
      <c r="F266" s="84" t="s">
        <v>307</v>
      </c>
      <c r="G266" s="25">
        <f t="shared" si="6"/>
        <v>7.5442499274589458E-3</v>
      </c>
      <c r="I266" s="85">
        <v>112.38</v>
      </c>
      <c r="J266" s="85">
        <v>120.61</v>
      </c>
      <c r="K266" s="85">
        <v>112</v>
      </c>
      <c r="L266" s="85">
        <v>120.31</v>
      </c>
      <c r="M266" s="86">
        <v>10388936.596999999</v>
      </c>
      <c r="N266" s="84" t="s">
        <v>307</v>
      </c>
      <c r="O266" s="25">
        <f t="shared" si="7"/>
        <v>-6.5913057933671415E-2</v>
      </c>
      <c r="Q266" s="87">
        <v>3.4999999999999996E-2</v>
      </c>
      <c r="R266">
        <v>6</v>
      </c>
      <c r="T266" s="25">
        <f t="shared" si="8"/>
        <v>3.4999999999999996E-2</v>
      </c>
      <c r="U266" s="1">
        <f t="shared" si="5"/>
        <v>6.8179307882967102</v>
      </c>
    </row>
    <row r="267" spans="1:21" ht="15">
      <c r="A267" s="85">
        <v>619.53568549261001</v>
      </c>
      <c r="B267" s="85">
        <v>620.682345997835</v>
      </c>
      <c r="C267" s="85">
        <v>615.50741728294997</v>
      </c>
      <c r="D267" s="85">
        <v>619.98936421424241</v>
      </c>
      <c r="E267" s="86">
        <v>9794014.5090820454</v>
      </c>
      <c r="F267" s="84" t="s">
        <v>308</v>
      </c>
      <c r="G267" s="25">
        <f t="shared" si="6"/>
        <v>-7.3175242644263339E-4</v>
      </c>
      <c r="I267" s="85">
        <v>120.1</v>
      </c>
      <c r="J267" s="85">
        <v>126.5</v>
      </c>
      <c r="K267" s="85">
        <v>119.57</v>
      </c>
      <c r="L267" s="85">
        <v>124.83</v>
      </c>
      <c r="M267" s="86">
        <v>7852854.6213999996</v>
      </c>
      <c r="N267" s="84" t="s">
        <v>308</v>
      </c>
      <c r="O267" s="25">
        <f t="shared" si="7"/>
        <v>-3.7891532484178536E-2</v>
      </c>
      <c r="Q267" s="87">
        <v>3.7499999999999999E-2</v>
      </c>
      <c r="R267">
        <v>3</v>
      </c>
      <c r="T267" s="25">
        <f t="shared" si="8"/>
        <v>3.7499999999999999E-2</v>
      </c>
      <c r="U267" s="1">
        <f t="shared" si="5"/>
        <v>6.1978642333686373</v>
      </c>
    </row>
    <row r="268" spans="1:21" ht="15">
      <c r="A268" s="85">
        <v>604.28011529265996</v>
      </c>
      <c r="B268" s="85">
        <v>604.54933123736498</v>
      </c>
      <c r="C268" s="85">
        <v>596.76201076275004</v>
      </c>
      <c r="D268" s="85">
        <v>601.82725890757001</v>
      </c>
      <c r="E268" s="86">
        <v>6164208.2777134217</v>
      </c>
      <c r="F268" s="84" t="s">
        <v>309</v>
      </c>
      <c r="G268" s="25">
        <f t="shared" si="6"/>
        <v>4.0756817654659105E-3</v>
      </c>
      <c r="I268" s="85">
        <v>117.06</v>
      </c>
      <c r="J268" s="85">
        <v>117.85</v>
      </c>
      <c r="K268" s="85">
        <v>113.59</v>
      </c>
      <c r="L268" s="85">
        <v>117.55500000000001</v>
      </c>
      <c r="M268" s="86">
        <v>5670208.7795000002</v>
      </c>
      <c r="N268" s="84" t="s">
        <v>309</v>
      </c>
      <c r="O268" s="25">
        <f t="shared" si="7"/>
        <v>-4.2107949470461259E-3</v>
      </c>
      <c r="Q268" s="87">
        <v>0.04</v>
      </c>
      <c r="R268">
        <v>4</v>
      </c>
      <c r="T268" s="25">
        <f t="shared" si="8"/>
        <v>0.04</v>
      </c>
      <c r="U268" s="1">
        <f t="shared" si="5"/>
        <v>5.5971490757070708</v>
      </c>
    </row>
    <row r="269" spans="1:21" ht="15">
      <c r="A269" s="85">
        <v>603.91118973880498</v>
      </c>
      <c r="B269" s="85">
        <v>604.67895372926</v>
      </c>
      <c r="C269" s="85">
        <v>600.86007569881497</v>
      </c>
      <c r="D269" s="85">
        <v>601.16917548717993</v>
      </c>
      <c r="E269" s="86">
        <v>6300935.5060740402</v>
      </c>
      <c r="F269" s="84" t="s">
        <v>310</v>
      </c>
      <c r="G269" s="25">
        <f t="shared" si="6"/>
        <v>4.5611358057453533E-3</v>
      </c>
      <c r="I269" s="85">
        <v>118.8</v>
      </c>
      <c r="J269" s="85">
        <v>121.14</v>
      </c>
      <c r="K269" s="85">
        <v>117.1</v>
      </c>
      <c r="L269" s="85">
        <v>117.79</v>
      </c>
      <c r="M269" s="86">
        <v>4595167.3287000004</v>
      </c>
      <c r="N269" s="84" t="s">
        <v>310</v>
      </c>
      <c r="O269" s="25">
        <f t="shared" si="7"/>
        <v>8.5745818830120779E-3</v>
      </c>
      <c r="Q269" s="87">
        <v>4.2500000000000003E-2</v>
      </c>
      <c r="R269">
        <v>2</v>
      </c>
      <c r="T269" s="25">
        <f t="shared" si="8"/>
        <v>4.2500000000000003E-2</v>
      </c>
      <c r="U269" s="1">
        <f t="shared" si="5"/>
        <v>5.0214256286243213</v>
      </c>
    </row>
    <row r="270" spans="1:21" ht="15">
      <c r="A270" s="85">
        <v>601.23897221358504</v>
      </c>
      <c r="B270" s="85">
        <v>603.03374517828502</v>
      </c>
      <c r="C270" s="85">
        <v>591.30988933442802</v>
      </c>
      <c r="D270" s="85">
        <v>592.50441045204502</v>
      </c>
      <c r="E270" s="86">
        <v>12776618.258261422</v>
      </c>
      <c r="F270" s="84" t="s">
        <v>311</v>
      </c>
      <c r="G270" s="25">
        <f t="shared" si="6"/>
        <v>1.474176665600857E-2</v>
      </c>
      <c r="I270" s="85">
        <v>118.25</v>
      </c>
      <c r="J270" s="85">
        <v>119.7</v>
      </c>
      <c r="K270" s="85">
        <v>112.02500000000001</v>
      </c>
      <c r="L270" s="85">
        <v>114.34</v>
      </c>
      <c r="M270" s="86">
        <v>6993935.7511</v>
      </c>
      <c r="N270" s="84" t="s">
        <v>311</v>
      </c>
      <c r="O270" s="25">
        <f t="shared" si="7"/>
        <v>3.4196256778030509E-2</v>
      </c>
      <c r="Q270" s="87">
        <v>4.5000000000000005E-2</v>
      </c>
      <c r="R270">
        <v>1</v>
      </c>
      <c r="T270" s="25">
        <f t="shared" si="8"/>
        <v>4.5000000000000005E-2</v>
      </c>
      <c r="U270" s="1">
        <f t="shared" si="5"/>
        <v>4.4753039903141314</v>
      </c>
    </row>
    <row r="271" spans="1:21" ht="15">
      <c r="A271" s="85">
        <v>600.55097591045001</v>
      </c>
      <c r="B271" s="85">
        <v>603.59211898952503</v>
      </c>
      <c r="C271" s="85">
        <v>598.52687084470494</v>
      </c>
      <c r="D271" s="85">
        <v>599.31457675698994</v>
      </c>
      <c r="E271" s="86">
        <v>11314501.039140819</v>
      </c>
      <c r="F271" s="84" t="s">
        <v>312</v>
      </c>
      <c r="G271" s="25">
        <f t="shared" si="6"/>
        <v>2.0630219944766104E-3</v>
      </c>
      <c r="I271" s="85">
        <v>118.52</v>
      </c>
      <c r="J271" s="85">
        <v>120.8702</v>
      </c>
      <c r="K271" s="85">
        <v>116.18</v>
      </c>
      <c r="L271" s="85">
        <v>120.71</v>
      </c>
      <c r="M271" s="86">
        <v>6264224.2180000003</v>
      </c>
      <c r="N271" s="84" t="s">
        <v>312</v>
      </c>
      <c r="O271" s="25">
        <f t="shared" si="7"/>
        <v>-1.8142655952282261E-2</v>
      </c>
      <c r="Q271" s="87">
        <v>4.7500000000000007E-2</v>
      </c>
      <c r="R271">
        <v>3</v>
      </c>
      <c r="T271" s="25">
        <f t="shared" si="8"/>
        <v>4.7500000000000007E-2</v>
      </c>
      <c r="U271" s="1">
        <f t="shared" si="5"/>
        <v>3.9623550800538179</v>
      </c>
    </row>
    <row r="272" spans="1:21" ht="15">
      <c r="A272" s="85">
        <v>595.81476947582496</v>
      </c>
      <c r="B272" s="85">
        <v>597.11099439477505</v>
      </c>
      <c r="C272" s="85">
        <v>584.79685766474995</v>
      </c>
      <c r="D272" s="85">
        <v>585.64438934252507</v>
      </c>
      <c r="E272" s="86">
        <v>12375375.254592501</v>
      </c>
      <c r="F272" s="84" t="s">
        <v>313</v>
      </c>
      <c r="G272" s="25">
        <f t="shared" si="6"/>
        <v>1.7366136034732138E-2</v>
      </c>
      <c r="I272" s="85">
        <v>118.62</v>
      </c>
      <c r="J272" s="85">
        <v>119.22</v>
      </c>
      <c r="K272" s="85">
        <v>111.2</v>
      </c>
      <c r="L272" s="85">
        <v>113.505</v>
      </c>
      <c r="M272" s="86">
        <v>9840748.1927000005</v>
      </c>
      <c r="N272" s="84" t="s">
        <v>313</v>
      </c>
      <c r="O272" s="25">
        <f t="shared" si="7"/>
        <v>4.5064094092771345E-2</v>
      </c>
      <c r="Q272" s="87">
        <v>5.000000000000001E-2</v>
      </c>
      <c r="R272">
        <v>2</v>
      </c>
      <c r="T272" s="25">
        <f t="shared" si="8"/>
        <v>5.000000000000001E-2</v>
      </c>
      <c r="U272" s="1">
        <f t="shared" si="5"/>
        <v>3.4851348558125554</v>
      </c>
    </row>
    <row r="273" spans="1:21" ht="15">
      <c r="A273" s="85">
        <v>579.24303243509496</v>
      </c>
      <c r="B273" s="85">
        <v>586.96055618330502</v>
      </c>
      <c r="C273" s="85">
        <v>576.78020508909003</v>
      </c>
      <c r="D273" s="85">
        <v>586.68136927768501</v>
      </c>
      <c r="E273" s="86">
        <v>11776668.833025908</v>
      </c>
      <c r="F273" s="84" t="s">
        <v>314</v>
      </c>
      <c r="G273" s="25">
        <f t="shared" si="6"/>
        <v>-1.2678665510970744E-2</v>
      </c>
      <c r="I273" s="85">
        <v>111.77</v>
      </c>
      <c r="J273" s="85">
        <v>114.57</v>
      </c>
      <c r="K273" s="85">
        <v>110.61</v>
      </c>
      <c r="L273" s="85">
        <v>112.35</v>
      </c>
      <c r="M273" s="86">
        <v>7362473.9846999999</v>
      </c>
      <c r="N273" s="84" t="s">
        <v>314</v>
      </c>
      <c r="O273" s="25">
        <f t="shared" si="7"/>
        <v>-5.1624388072986083E-3</v>
      </c>
      <c r="Q273" s="87">
        <v>5.2500000000000012E-2</v>
      </c>
      <c r="R273">
        <v>4</v>
      </c>
      <c r="T273" s="25">
        <f t="shared" si="8"/>
        <v>5.2500000000000012E-2</v>
      </c>
      <c r="U273" s="1">
        <f t="shared" si="5"/>
        <v>3.0452372166594852</v>
      </c>
    </row>
    <row r="274" spans="1:21" ht="15">
      <c r="A274" s="85">
        <v>581.26713750084002</v>
      </c>
      <c r="B274" s="85">
        <v>589.1142837409451</v>
      </c>
      <c r="C274" s="85">
        <v>580.33983813574503</v>
      </c>
      <c r="D274" s="85">
        <v>588.96471932722</v>
      </c>
      <c r="E274" s="86">
        <v>11637656.547668856</v>
      </c>
      <c r="F274" s="84" t="s">
        <v>315</v>
      </c>
      <c r="G274" s="25">
        <f t="shared" si="6"/>
        <v>-1.306968239994577E-2</v>
      </c>
      <c r="I274" s="85">
        <v>111.85</v>
      </c>
      <c r="J274" s="85">
        <v>115</v>
      </c>
      <c r="K274" s="85">
        <v>110.175</v>
      </c>
      <c r="L274" s="85">
        <v>113.51</v>
      </c>
      <c r="M274" s="86">
        <v>7542237.1178000001</v>
      </c>
      <c r="N274" s="84" t="s">
        <v>315</v>
      </c>
      <c r="O274" s="25">
        <f t="shared" si="7"/>
        <v>-1.4624262179543712E-2</v>
      </c>
      <c r="Q274" s="87">
        <v>5.5000000000000014E-2</v>
      </c>
      <c r="R274">
        <v>1</v>
      </c>
      <c r="T274" s="25">
        <f t="shared" si="8"/>
        <v>5.5000000000000014E-2</v>
      </c>
      <c r="U274" s="1">
        <f t="shared" si="5"/>
        <v>2.6433703547108003</v>
      </c>
    </row>
    <row r="275" spans="1:21" ht="15">
      <c r="A275" s="85">
        <v>591.32544404802491</v>
      </c>
      <c r="B275" s="85">
        <v>600.25615593327257</v>
      </c>
      <c r="C275" s="85">
        <v>591.0868941479182</v>
      </c>
      <c r="D275" s="85">
        <v>597.66192576961134</v>
      </c>
      <c r="E275" s="86">
        <v>7632666.5755088478</v>
      </c>
      <c r="F275" s="84" t="s">
        <v>316</v>
      </c>
      <c r="G275" s="25">
        <f t="shared" si="6"/>
        <v>-1.0602117097265218E-2</v>
      </c>
      <c r="I275" s="85">
        <v>115.43</v>
      </c>
      <c r="J275" s="85">
        <v>120.68</v>
      </c>
      <c r="K275" s="85">
        <v>115</v>
      </c>
      <c r="L275" s="85">
        <v>116.25</v>
      </c>
      <c r="M275" s="86">
        <v>7489123.6014</v>
      </c>
      <c r="N275" s="84" t="s">
        <v>316</v>
      </c>
      <c r="O275" s="25">
        <f t="shared" si="7"/>
        <v>-7.0537634408601724E-3</v>
      </c>
      <c r="Q275" s="87">
        <v>5.7500000000000016E-2</v>
      </c>
      <c r="R275">
        <v>0</v>
      </c>
      <c r="T275" s="25">
        <f t="shared" si="8"/>
        <v>5.7500000000000016E-2</v>
      </c>
      <c r="U275" s="1">
        <f t="shared" si="5"/>
        <v>2.2794509247743715</v>
      </c>
    </row>
    <row r="276" spans="1:21" ht="15">
      <c r="A276" s="85">
        <v>602.00055207780338</v>
      </c>
      <c r="B276" s="85">
        <v>605.75771300448525</v>
      </c>
      <c r="C276" s="85">
        <v>599.71444886844677</v>
      </c>
      <c r="D276" s="85">
        <v>603.73003885357753</v>
      </c>
      <c r="E276" s="86">
        <v>23373517.757283315</v>
      </c>
      <c r="F276" s="84" t="s">
        <v>317</v>
      </c>
      <c r="G276" s="25">
        <f t="shared" si="6"/>
        <v>-2.8646690813302067E-3</v>
      </c>
      <c r="I276" s="85">
        <v>118.42</v>
      </c>
      <c r="J276" s="85">
        <v>121.27500000000001</v>
      </c>
      <c r="K276" s="85">
        <v>115.59</v>
      </c>
      <c r="L276" s="85">
        <v>120.02</v>
      </c>
      <c r="M276" s="86">
        <v>8120668.9884000001</v>
      </c>
      <c r="N276" s="84" t="s">
        <v>317</v>
      </c>
      <c r="O276" s="25">
        <f t="shared" si="7"/>
        <v>-1.3331111481419744E-2</v>
      </c>
      <c r="Q276" s="87">
        <v>6.0000000000000019E-2</v>
      </c>
      <c r="R276">
        <v>0</v>
      </c>
      <c r="T276" s="25">
        <f t="shared" si="8"/>
        <v>6.0000000000000019E-2</v>
      </c>
      <c r="U276" s="1">
        <f t="shared" ref="U276:U292" si="9">_xlfn.NORM.DIST(T276,$S$203,$S$205,FALSE)</f>
        <v>1.9527103272334601</v>
      </c>
    </row>
    <row r="277" spans="1:21" ht="15">
      <c r="A277" s="85">
        <v>598.74037010967743</v>
      </c>
      <c r="B277" s="85">
        <v>602.24904155708134</v>
      </c>
      <c r="C277" s="85">
        <v>595.69885888331601</v>
      </c>
      <c r="D277" s="85">
        <v>597.00094375473213</v>
      </c>
      <c r="E277" s="86">
        <v>18309374.751382884</v>
      </c>
      <c r="F277" s="84" t="s">
        <v>318</v>
      </c>
      <c r="G277" s="25">
        <f t="shared" si="6"/>
        <v>2.913607378918881E-3</v>
      </c>
      <c r="I277" s="85">
        <v>116.15</v>
      </c>
      <c r="J277" s="85">
        <v>119.05</v>
      </c>
      <c r="K277" s="85">
        <v>114.46</v>
      </c>
      <c r="L277" s="85">
        <v>118.25</v>
      </c>
      <c r="M277" s="86">
        <v>13070378.2929</v>
      </c>
      <c r="N277" s="84" t="s">
        <v>318</v>
      </c>
      <c r="O277" s="25">
        <f t="shared" si="7"/>
        <v>-1.7758985200845623E-2</v>
      </c>
      <c r="Q277" s="87">
        <v>6.2500000000000014E-2</v>
      </c>
      <c r="R277">
        <v>3</v>
      </c>
      <c r="T277" s="25">
        <f t="shared" si="8"/>
        <v>6.2500000000000014E-2</v>
      </c>
      <c r="U277" s="1">
        <f t="shared" si="9"/>
        <v>1.6618076152846948</v>
      </c>
    </row>
    <row r="278" spans="1:21" ht="15">
      <c r="A278" s="85">
        <v>600.77798383975619</v>
      </c>
      <c r="B278" s="85">
        <v>607.33313630310704</v>
      </c>
      <c r="C278" s="85">
        <v>599.4162614933133</v>
      </c>
      <c r="D278" s="85">
        <v>603.19330157833735</v>
      </c>
      <c r="E278" s="86">
        <v>24112839.904276684</v>
      </c>
      <c r="F278" s="84" t="s">
        <v>319</v>
      </c>
      <c r="G278" s="25">
        <f t="shared" si="6"/>
        <v>-4.0042184358830557E-3</v>
      </c>
      <c r="I278" s="85">
        <v>121.1</v>
      </c>
      <c r="J278" s="85">
        <v>122.8</v>
      </c>
      <c r="K278" s="85">
        <v>118.34</v>
      </c>
      <c r="L278" s="85">
        <v>118.59</v>
      </c>
      <c r="M278" s="86">
        <v>8634145.6116000004</v>
      </c>
      <c r="N278" s="84" t="s">
        <v>319</v>
      </c>
      <c r="O278" s="25">
        <f t="shared" si="7"/>
        <v>2.1165359642465464E-2</v>
      </c>
      <c r="Q278" s="87">
        <v>6.5000000000000016E-2</v>
      </c>
      <c r="R278">
        <v>0</v>
      </c>
      <c r="T278" s="25">
        <f t="shared" si="8"/>
        <v>6.5000000000000016E-2</v>
      </c>
      <c r="U278" s="1">
        <f t="shared" si="9"/>
        <v>1.4049439925436107</v>
      </c>
    </row>
    <row r="279" spans="1:21" ht="15">
      <c r="A279" s="85">
        <v>594.32719695770209</v>
      </c>
      <c r="B279" s="85">
        <v>601.94091460277673</v>
      </c>
      <c r="C279" s="85">
        <v>590.97755877703594</v>
      </c>
      <c r="D279" s="85">
        <v>601.7719417568677</v>
      </c>
      <c r="E279" s="86">
        <v>17638954.135451324</v>
      </c>
      <c r="F279" s="84" t="s">
        <v>320</v>
      </c>
      <c r="G279" s="25">
        <f t="shared" si="6"/>
        <v>-1.2371372412995463E-2</v>
      </c>
      <c r="I279" s="85">
        <v>116.78</v>
      </c>
      <c r="J279" s="85">
        <v>121.86</v>
      </c>
      <c r="K279" s="85">
        <v>115.5104</v>
      </c>
      <c r="L279" s="85">
        <v>121.655</v>
      </c>
      <c r="M279" s="86">
        <v>11599642.334000001</v>
      </c>
      <c r="N279" s="84" t="s">
        <v>320</v>
      </c>
      <c r="O279" s="25">
        <f t="shared" si="7"/>
        <v>-4.0072335703423612E-2</v>
      </c>
      <c r="Q279" s="87">
        <v>6.7500000000000018E-2</v>
      </c>
      <c r="R279">
        <v>1</v>
      </c>
      <c r="T279" s="25">
        <f t="shared" si="8"/>
        <v>6.7500000000000018E-2</v>
      </c>
      <c r="U279" s="1">
        <f t="shared" si="9"/>
        <v>1.1799745042460128</v>
      </c>
    </row>
    <row r="280" spans="1:21" ht="15">
      <c r="A280" s="85">
        <v>603.08396620745509</v>
      </c>
      <c r="B280" s="85">
        <v>606.00620248376322</v>
      </c>
      <c r="C280" s="85">
        <v>598.89940337641531</v>
      </c>
      <c r="D280" s="85">
        <v>600.48973604379387</v>
      </c>
      <c r="E280" s="86">
        <v>10249751.360103374</v>
      </c>
      <c r="F280" s="84" t="s">
        <v>321</v>
      </c>
      <c r="G280" s="25">
        <f t="shared" si="6"/>
        <v>4.3201906842784688E-3</v>
      </c>
      <c r="I280" s="85">
        <v>122.37</v>
      </c>
      <c r="J280" s="85">
        <v>124.59</v>
      </c>
      <c r="K280" s="85">
        <v>120.51</v>
      </c>
      <c r="L280" s="85">
        <v>122.51</v>
      </c>
      <c r="M280" s="86">
        <v>6996027.2964000003</v>
      </c>
      <c r="N280" s="84" t="s">
        <v>321</v>
      </c>
      <c r="O280" s="25">
        <f t="shared" si="7"/>
        <v>-1.1427638560117526E-3</v>
      </c>
      <c r="Q280" s="87">
        <v>7.0000000000000021E-2</v>
      </c>
      <c r="R280">
        <v>2</v>
      </c>
      <c r="T280" s="25">
        <f t="shared" si="8"/>
        <v>7.0000000000000021E-2</v>
      </c>
      <c r="U280" s="1">
        <f t="shared" si="9"/>
        <v>0.98451328455197973</v>
      </c>
    </row>
    <row r="281" spans="1:21" ht="15">
      <c r="A281" s="85">
        <v>604.70411761234698</v>
      </c>
      <c r="B281" s="85">
        <v>612.168741569855</v>
      </c>
      <c r="C281" s="85">
        <v>604.45562813306901</v>
      </c>
      <c r="D281" s="85">
        <v>610.97599206932114</v>
      </c>
      <c r="E281" s="86">
        <v>12362167.267208908</v>
      </c>
      <c r="F281" s="84" t="s">
        <v>322</v>
      </c>
      <c r="G281" s="25">
        <f t="shared" si="6"/>
        <v>-1.0265336999137897E-2</v>
      </c>
      <c r="I281" s="85">
        <v>123.75</v>
      </c>
      <c r="J281" s="85">
        <v>128.66</v>
      </c>
      <c r="K281" s="85">
        <v>123.6</v>
      </c>
      <c r="L281" s="85">
        <v>126.94</v>
      </c>
      <c r="M281" s="86">
        <v>6610864.6474000001</v>
      </c>
      <c r="N281" s="84" t="s">
        <v>322</v>
      </c>
      <c r="O281" s="25">
        <f t="shared" si="7"/>
        <v>-2.512998266897748E-2</v>
      </c>
      <c r="Q281" s="87">
        <v>7.2500000000000023E-2</v>
      </c>
      <c r="R281">
        <v>0</v>
      </c>
      <c r="T281" s="25">
        <f t="shared" si="8"/>
        <v>7.2500000000000023E-2</v>
      </c>
      <c r="U281" s="1">
        <f t="shared" si="9"/>
        <v>0.81602954476401446</v>
      </c>
    </row>
    <row r="282" spans="1:21" ht="15">
      <c r="A282" s="85">
        <v>613.16269948696652</v>
      </c>
      <c r="B282" s="85">
        <v>616.5222772468037</v>
      </c>
      <c r="C282" s="85">
        <v>612.54644557835741</v>
      </c>
      <c r="D282" s="85">
        <v>614.63375720429167</v>
      </c>
      <c r="E282" s="86">
        <v>8800087.6880364232</v>
      </c>
      <c r="F282" s="84" t="s">
        <v>323</v>
      </c>
      <c r="G282" s="25">
        <f t="shared" si="6"/>
        <v>-2.3933890712680705E-3</v>
      </c>
      <c r="I282" s="85">
        <v>127.8</v>
      </c>
      <c r="J282" s="85">
        <v>132.94</v>
      </c>
      <c r="K282" s="85">
        <v>126.9376</v>
      </c>
      <c r="L282" s="85">
        <v>127.36</v>
      </c>
      <c r="M282" s="86">
        <v>4943808.3279999997</v>
      </c>
      <c r="N282" s="84" t="s">
        <v>323</v>
      </c>
      <c r="O282" s="25">
        <f t="shared" si="7"/>
        <v>3.4547738693466723E-3</v>
      </c>
      <c r="Q282" s="87">
        <v>7.5000000000000025E-2</v>
      </c>
      <c r="R282">
        <v>2</v>
      </c>
      <c r="T282" s="25">
        <f t="shared" si="8"/>
        <v>7.5000000000000025E-2</v>
      </c>
      <c r="U282" s="1">
        <f t="shared" si="9"/>
        <v>0.67193231851770729</v>
      </c>
    </row>
    <row r="283" spans="1:21" ht="15">
      <c r="A283" s="85">
        <v>611.47297102787695</v>
      </c>
      <c r="B283" s="85">
        <v>614.34550940832935</v>
      </c>
      <c r="C283" s="85">
        <v>609.83294046464266</v>
      </c>
      <c r="D283" s="85">
        <v>611.00581080683446</v>
      </c>
      <c r="E283" s="86">
        <v>8274060.0646342319</v>
      </c>
      <c r="F283" s="84" t="s">
        <v>324</v>
      </c>
      <c r="G283" s="25">
        <f t="shared" si="6"/>
        <v>7.645757418011101E-4</v>
      </c>
      <c r="I283" s="85">
        <v>126.58</v>
      </c>
      <c r="J283" s="85">
        <v>127.61499999999999</v>
      </c>
      <c r="K283" s="85">
        <v>124.54</v>
      </c>
      <c r="L283" s="85">
        <v>125.24</v>
      </c>
      <c r="M283" s="86">
        <v>4798521.0028999997</v>
      </c>
      <c r="N283" s="84" t="s">
        <v>324</v>
      </c>
      <c r="O283" s="25">
        <f t="shared" si="7"/>
        <v>1.0699457042478544E-2</v>
      </c>
      <c r="Q283" s="87">
        <v>7.7500000000000027E-2</v>
      </c>
      <c r="R283">
        <v>1</v>
      </c>
      <c r="T283" s="25">
        <f t="shared" si="8"/>
        <v>7.7500000000000027E-2</v>
      </c>
      <c r="U283" s="1">
        <f t="shared" si="9"/>
        <v>0.54964277388906646</v>
      </c>
    </row>
    <row r="284" spans="1:21" ht="15">
      <c r="A284" s="85">
        <v>605.40982773349617</v>
      </c>
      <c r="B284" s="85">
        <v>614.59797471927561</v>
      </c>
      <c r="C284" s="85">
        <v>604.57490308312242</v>
      </c>
      <c r="D284" s="85">
        <v>611.82085629886592</v>
      </c>
      <c r="E284" s="86">
        <v>23660320.16711612</v>
      </c>
      <c r="F284" s="84" t="s">
        <v>325</v>
      </c>
      <c r="G284" s="25">
        <f t="shared" si="6"/>
        <v>-1.0478604152451498E-2</v>
      </c>
      <c r="I284" s="85">
        <v>122.96</v>
      </c>
      <c r="J284" s="85">
        <v>128.93</v>
      </c>
      <c r="K284" s="85">
        <v>121.23</v>
      </c>
      <c r="L284" s="85">
        <v>125.82</v>
      </c>
      <c r="M284" s="86">
        <v>7700375.4183999998</v>
      </c>
      <c r="N284" s="84" t="s">
        <v>325</v>
      </c>
      <c r="O284" s="25">
        <f t="shared" si="7"/>
        <v>-2.2730885391829547E-2</v>
      </c>
      <c r="Q284" s="87">
        <v>8.0000000000000029E-2</v>
      </c>
      <c r="R284">
        <v>0</v>
      </c>
      <c r="T284" s="25">
        <f t="shared" si="8"/>
        <v>8.0000000000000029E-2</v>
      </c>
      <c r="U284" s="1">
        <f t="shared" si="9"/>
        <v>0.44665362219778226</v>
      </c>
    </row>
    <row r="285" spans="1:21" ht="15">
      <c r="A285" s="85">
        <v>608.79922423084668</v>
      </c>
      <c r="B285" s="85">
        <v>613.97774497899809</v>
      </c>
      <c r="C285" s="85">
        <v>608.71970759747774</v>
      </c>
      <c r="D285" s="85">
        <v>613.49070559961342</v>
      </c>
      <c r="E285" s="86">
        <v>12076075.97440413</v>
      </c>
      <c r="F285" s="84" t="s">
        <v>326</v>
      </c>
      <c r="G285" s="25">
        <f t="shared" si="6"/>
        <v>-7.6471922491171407E-3</v>
      </c>
      <c r="I285" s="85">
        <v>126.17</v>
      </c>
      <c r="J285" s="85">
        <v>131.68</v>
      </c>
      <c r="K285" s="85">
        <v>125.6712</v>
      </c>
      <c r="L285" s="85">
        <v>127.8</v>
      </c>
      <c r="M285" s="86">
        <v>5773139.3674999997</v>
      </c>
      <c r="N285" s="84" t="s">
        <v>326</v>
      </c>
      <c r="O285" s="25">
        <f t="shared" si="7"/>
        <v>-1.2754303599374017E-2</v>
      </c>
      <c r="Q285" s="87">
        <v>8.2500000000000032E-2</v>
      </c>
      <c r="R285">
        <v>0</v>
      </c>
      <c r="T285" s="25">
        <f t="shared" si="8"/>
        <v>8.2500000000000032E-2</v>
      </c>
      <c r="U285" s="1">
        <f t="shared" si="9"/>
        <v>0.36057577284650355</v>
      </c>
    </row>
    <row r="286" spans="1:21" ht="15">
      <c r="A286" s="85">
        <v>618.27164318092014</v>
      </c>
      <c r="B286" s="85">
        <v>621.65110009909949</v>
      </c>
      <c r="C286" s="85">
        <v>615.55813806720539</v>
      </c>
      <c r="D286" s="85">
        <v>619.43457394394068</v>
      </c>
      <c r="E286" s="86">
        <v>6365253.0199522767</v>
      </c>
      <c r="F286" s="84" t="s">
        <v>327</v>
      </c>
      <c r="G286" s="25">
        <f t="shared" si="6"/>
        <v>-1.8774069319640319E-3</v>
      </c>
      <c r="I286" s="85">
        <v>129.52000000000001</v>
      </c>
      <c r="J286" s="85">
        <v>134.46</v>
      </c>
      <c r="K286" s="85">
        <v>126.58</v>
      </c>
      <c r="L286" s="85">
        <v>130.55000000000001</v>
      </c>
      <c r="M286" s="86">
        <v>6115000.0667000003</v>
      </c>
      <c r="N286" s="84" t="s">
        <v>327</v>
      </c>
      <c r="O286" s="25">
        <f t="shared" si="7"/>
        <v>-7.889697433933418E-3</v>
      </c>
      <c r="Q286" s="87">
        <v>8.5000000000000034E-2</v>
      </c>
      <c r="R286">
        <v>0</v>
      </c>
      <c r="T286" s="25">
        <f t="shared" si="8"/>
        <v>8.5000000000000034E-2</v>
      </c>
      <c r="U286" s="1">
        <f t="shared" si="9"/>
        <v>0.28917288702902422</v>
      </c>
    </row>
    <row r="287" spans="1:21" ht="15">
      <c r="A287" s="85">
        <v>618.95747414372715</v>
      </c>
      <c r="B287" s="85">
        <v>624.70294848779895</v>
      </c>
      <c r="C287" s="85">
        <v>616.88010209696392</v>
      </c>
      <c r="D287" s="85">
        <v>619.55384889399409</v>
      </c>
      <c r="E287" s="86">
        <v>15629246.759101963</v>
      </c>
      <c r="F287" s="84" t="s">
        <v>328</v>
      </c>
      <c r="G287" s="25">
        <f t="shared" si="6"/>
        <v>-9.625874350253083E-4</v>
      </c>
      <c r="I287" s="85">
        <v>129.36000000000001</v>
      </c>
      <c r="J287" s="85">
        <v>134.35</v>
      </c>
      <c r="K287" s="85">
        <v>128.27000000000001</v>
      </c>
      <c r="L287" s="85">
        <v>133.17500000000001</v>
      </c>
      <c r="M287" s="86">
        <v>6910478.7041999996</v>
      </c>
      <c r="N287" s="84" t="s">
        <v>328</v>
      </c>
      <c r="O287" s="25">
        <f t="shared" si="7"/>
        <v>-2.8646517739815969E-2</v>
      </c>
      <c r="Q287" s="87">
        <v>8.7500000000000036E-2</v>
      </c>
      <c r="R287">
        <v>0</v>
      </c>
      <c r="T287" s="25">
        <f t="shared" si="8"/>
        <v>8.7500000000000036E-2</v>
      </c>
      <c r="U287" s="1">
        <f t="shared" si="9"/>
        <v>0.23038486442864148</v>
      </c>
    </row>
    <row r="288" spans="1:21" ht="15">
      <c r="A288" s="85">
        <v>620.03094869420761</v>
      </c>
      <c r="B288" s="85">
        <v>621.54176472821723</v>
      </c>
      <c r="C288" s="85">
        <v>605.51916310437855</v>
      </c>
      <c r="D288" s="85">
        <v>609.1570490810069</v>
      </c>
      <c r="E288" s="86">
        <v>13259006.27684268</v>
      </c>
      <c r="F288" s="84" t="s">
        <v>329</v>
      </c>
      <c r="G288" s="25">
        <f t="shared" si="6"/>
        <v>1.7850732630616983E-2</v>
      </c>
      <c r="I288" s="85">
        <v>133.5</v>
      </c>
      <c r="J288" s="85">
        <v>134.79</v>
      </c>
      <c r="K288" s="85">
        <v>127.66</v>
      </c>
      <c r="L288" s="85">
        <v>127.87</v>
      </c>
      <c r="M288" s="86">
        <v>9128040.9166999999</v>
      </c>
      <c r="N288" s="84" t="s">
        <v>329</v>
      </c>
      <c r="O288" s="25">
        <f t="shared" si="7"/>
        <v>4.4029092046609763E-2</v>
      </c>
      <c r="Q288" s="87">
        <v>9.0000000000000038E-2</v>
      </c>
      <c r="R288">
        <v>0</v>
      </c>
      <c r="T288" s="25">
        <f t="shared" si="8"/>
        <v>9.0000000000000038E-2</v>
      </c>
      <c r="U288" s="1">
        <f t="shared" si="9"/>
        <v>0.18234155830968002</v>
      </c>
    </row>
    <row r="289" spans="1:21" ht="15">
      <c r="A289" s="85">
        <v>614.69339467931832</v>
      </c>
      <c r="B289" s="85">
        <v>618.06291201832676</v>
      </c>
      <c r="C289" s="85">
        <v>612.27807694073726</v>
      </c>
      <c r="D289" s="85">
        <v>615.59292659430446</v>
      </c>
      <c r="E289" s="86">
        <v>9721290.7967764959</v>
      </c>
      <c r="F289" s="84" t="s">
        <v>330</v>
      </c>
      <c r="G289" s="25">
        <f t="shared" si="6"/>
        <v>-1.461244722161914E-3</v>
      </c>
      <c r="I289" s="85">
        <v>130.19999999999999</v>
      </c>
      <c r="J289" s="85">
        <v>135.02000000000001</v>
      </c>
      <c r="K289" s="85">
        <v>128.01</v>
      </c>
      <c r="L289" s="85">
        <v>130.71</v>
      </c>
      <c r="M289" s="86">
        <v>15243862.5371</v>
      </c>
      <c r="N289" s="84" t="s">
        <v>330</v>
      </c>
      <c r="O289" s="25">
        <f t="shared" si="7"/>
        <v>-3.9017672710581763E-3</v>
      </c>
      <c r="Q289" s="87">
        <v>9.2500000000000041E-2</v>
      </c>
      <c r="R289">
        <v>0</v>
      </c>
      <c r="T289" s="25">
        <f t="shared" si="8"/>
        <v>9.2500000000000041E-2</v>
      </c>
      <c r="U289" s="1">
        <f t="shared" si="9"/>
        <v>0.14336816453900178</v>
      </c>
    </row>
    <row r="290" spans="1:21" ht="15">
      <c r="A290" s="85">
        <v>623.02276202471342</v>
      </c>
      <c r="B290" s="85">
        <v>626.69046673885521</v>
      </c>
      <c r="C290" s="85">
        <v>617.64544969313977</v>
      </c>
      <c r="D290" s="85">
        <v>623.49986182492705</v>
      </c>
      <c r="E290" s="86">
        <v>12232951.097802835</v>
      </c>
      <c r="F290" s="84" t="s">
        <v>331</v>
      </c>
      <c r="G290" s="25">
        <f t="shared" si="6"/>
        <v>-7.6519632068117183E-4</v>
      </c>
      <c r="I290" s="85">
        <v>134.79</v>
      </c>
      <c r="J290" s="85">
        <v>135.96</v>
      </c>
      <c r="K290" s="85">
        <v>128.42500000000001</v>
      </c>
      <c r="L290" s="85">
        <v>128.42500000000001</v>
      </c>
      <c r="M290" s="86">
        <v>13047691.978800001</v>
      </c>
      <c r="N290" s="84" t="s">
        <v>331</v>
      </c>
      <c r="O290" s="25">
        <f t="shared" si="7"/>
        <v>4.9562001167996694E-2</v>
      </c>
      <c r="Q290" s="87">
        <v>9.5000000000000043E-2</v>
      </c>
      <c r="R290">
        <v>0</v>
      </c>
      <c r="T290" s="25">
        <f t="shared" si="8"/>
        <v>9.5000000000000043E-2</v>
      </c>
      <c r="U290" s="1">
        <f t="shared" si="9"/>
        <v>0.11198378274822167</v>
      </c>
    </row>
    <row r="291" spans="1:21" ht="15">
      <c r="A291" s="85">
        <v>626.37240020537945</v>
      </c>
      <c r="B291" s="85">
        <v>628.14164529783818</v>
      </c>
      <c r="C291" s="85">
        <v>621.29327524893938</v>
      </c>
      <c r="D291" s="85">
        <v>623.13209739559568</v>
      </c>
      <c r="E291" s="86">
        <v>13466889.564598415</v>
      </c>
      <c r="F291" s="84" t="s">
        <v>332</v>
      </c>
      <c r="G291" s="25">
        <f t="shared" si="6"/>
        <v>5.2000255215975955E-3</v>
      </c>
      <c r="I291" s="85">
        <v>129.65</v>
      </c>
      <c r="J291" s="85">
        <v>130.25</v>
      </c>
      <c r="K291" s="85">
        <v>121.502</v>
      </c>
      <c r="L291" s="85">
        <v>122.245</v>
      </c>
      <c r="M291" s="86">
        <v>11326255.0878</v>
      </c>
      <c r="N291" s="84" t="s">
        <v>332</v>
      </c>
      <c r="O291" s="25">
        <f t="shared" si="7"/>
        <v>6.0575074645179861E-2</v>
      </c>
      <c r="Q291" s="87">
        <v>9.7500000000000045E-2</v>
      </c>
      <c r="R291">
        <v>0</v>
      </c>
      <c r="T291" s="25">
        <f t="shared" si="8"/>
        <v>9.7500000000000045E-2</v>
      </c>
      <c r="U291" s="1">
        <f t="shared" si="9"/>
        <v>8.6894619758003055E-2</v>
      </c>
    </row>
    <row r="292" spans="1:21" ht="15">
      <c r="A292" s="85">
        <v>621.93934789506193</v>
      </c>
      <c r="B292" s="85">
        <v>623.99684078348275</v>
      </c>
      <c r="C292" s="85">
        <v>612.15880199068386</v>
      </c>
      <c r="D292" s="85">
        <v>617.05901452204387</v>
      </c>
      <c r="E292" s="86">
        <v>17858757.235400345</v>
      </c>
      <c r="F292" s="84" t="s">
        <v>333</v>
      </c>
      <c r="G292" s="25">
        <f t="shared" si="6"/>
        <v>7.9090220840518644E-3</v>
      </c>
      <c r="I292" s="85">
        <v>121.87</v>
      </c>
      <c r="J292" s="85">
        <v>122.03</v>
      </c>
      <c r="K292" s="85">
        <v>112.4478</v>
      </c>
      <c r="L292" s="85">
        <v>114.94499999999999</v>
      </c>
      <c r="M292" s="86">
        <v>11915489.2599</v>
      </c>
      <c r="N292" s="84" t="s">
        <v>333</v>
      </c>
      <c r="O292" s="25">
        <f t="shared" si="7"/>
        <v>6.0246204706598805E-2</v>
      </c>
      <c r="Q292" s="87">
        <v>0.10000000000000005</v>
      </c>
      <c r="R292">
        <v>0</v>
      </c>
      <c r="T292" s="25">
        <f t="shared" si="8"/>
        <v>0.10000000000000005</v>
      </c>
      <c r="U292" s="1">
        <f t="shared" si="9"/>
        <v>6.6983214565728727E-2</v>
      </c>
    </row>
    <row r="293" spans="1:21" ht="15.75" thickBot="1">
      <c r="A293" s="85">
        <v>627.46575391420231</v>
      </c>
      <c r="B293" s="85">
        <v>629.51330722345222</v>
      </c>
      <c r="C293" s="85">
        <v>619.83215711078537</v>
      </c>
      <c r="D293" s="85">
        <v>620.41362249229553</v>
      </c>
      <c r="E293" s="86">
        <v>9196640.0864975248</v>
      </c>
      <c r="F293" s="84" t="s">
        <v>334</v>
      </c>
      <c r="G293" s="25">
        <f t="shared" si="6"/>
        <v>1.1366822336326798E-2</v>
      </c>
      <c r="I293" s="85">
        <v>119.38</v>
      </c>
      <c r="J293" s="85">
        <v>120.24</v>
      </c>
      <c r="K293" s="85">
        <v>114.37</v>
      </c>
      <c r="L293" s="85">
        <v>115.8</v>
      </c>
      <c r="M293" s="86">
        <v>8139670.3869000003</v>
      </c>
      <c r="N293" s="84" t="s">
        <v>334</v>
      </c>
      <c r="O293" s="25">
        <f t="shared" si="7"/>
        <v>3.0915371329879093E-2</v>
      </c>
      <c r="Q293" s="88" t="s">
        <v>481</v>
      </c>
      <c r="R293" s="88">
        <v>0</v>
      </c>
    </row>
    <row r="294" spans="1:21">
      <c r="A294" s="85">
        <v>627.22720401409549</v>
      </c>
      <c r="B294" s="85">
        <v>627.87327666021804</v>
      </c>
      <c r="C294" s="85">
        <v>623.15197655393808</v>
      </c>
      <c r="D294" s="85">
        <v>624.44412184618307</v>
      </c>
      <c r="E294" s="86">
        <v>10491519.318548061</v>
      </c>
      <c r="F294" s="84" t="s">
        <v>335</v>
      </c>
      <c r="G294" s="25">
        <f t="shared" si="6"/>
        <v>4.4568954539665473E-3</v>
      </c>
      <c r="I294" s="85">
        <v>120.73</v>
      </c>
      <c r="J294" s="85">
        <v>123.925</v>
      </c>
      <c r="K294" s="85">
        <v>118.56</v>
      </c>
      <c r="L294" s="85">
        <v>123.47499999999999</v>
      </c>
      <c r="M294" s="86">
        <v>9773941.4638</v>
      </c>
      <c r="N294" s="84" t="s">
        <v>335</v>
      </c>
      <c r="O294" s="25">
        <f t="shared" si="7"/>
        <v>-2.2231220894917914E-2</v>
      </c>
    </row>
    <row r="295" spans="1:21">
      <c r="A295" s="85">
        <v>630.11962155289029</v>
      </c>
      <c r="B295" s="85">
        <v>633.91654079625641</v>
      </c>
      <c r="C295" s="85">
        <v>625.62693176754578</v>
      </c>
      <c r="D295" s="85">
        <v>633.79726584620312</v>
      </c>
      <c r="E295" s="86">
        <v>9465251.0645919107</v>
      </c>
      <c r="F295" s="84" t="s">
        <v>336</v>
      </c>
      <c r="G295" s="25">
        <f t="shared" si="6"/>
        <v>-5.8025562612717962E-3</v>
      </c>
      <c r="I295" s="85">
        <v>125.94</v>
      </c>
      <c r="J295" s="85">
        <v>126</v>
      </c>
      <c r="K295" s="85">
        <v>120.75</v>
      </c>
      <c r="L295" s="85">
        <v>121.49</v>
      </c>
      <c r="M295" s="86">
        <v>11976294.5987</v>
      </c>
      <c r="N295" s="84" t="s">
        <v>336</v>
      </c>
      <c r="O295" s="25">
        <f t="shared" si="7"/>
        <v>3.6628529097044948E-2</v>
      </c>
    </row>
    <row r="296" spans="1:21">
      <c r="A296" s="85">
        <v>633.67799089614971</v>
      </c>
      <c r="B296" s="85">
        <v>634.1451511171922</v>
      </c>
      <c r="C296" s="85">
        <v>630.90484830740843</v>
      </c>
      <c r="D296" s="85">
        <v>630.93466704492175</v>
      </c>
      <c r="E296" s="86">
        <v>12065849.900015049</v>
      </c>
      <c r="F296" s="84" t="s">
        <v>337</v>
      </c>
      <c r="G296" s="25">
        <f t="shared" si="6"/>
        <v>4.3480315704900185E-3</v>
      </c>
      <c r="I296" s="85">
        <v>120.31</v>
      </c>
      <c r="J296" s="85">
        <v>123.77</v>
      </c>
      <c r="K296" s="85">
        <v>117.6401</v>
      </c>
      <c r="L296" s="85">
        <v>117.955</v>
      </c>
      <c r="M296" s="86">
        <v>10120395.3289</v>
      </c>
      <c r="N296" s="84" t="s">
        <v>337</v>
      </c>
      <c r="O296" s="25">
        <f t="shared" si="7"/>
        <v>1.9965240981730359E-2</v>
      </c>
    </row>
    <row r="297" spans="1:21">
      <c r="A297" s="85">
        <v>628.39013477711615</v>
      </c>
      <c r="B297" s="85">
        <v>629.26481774417425</v>
      </c>
      <c r="C297" s="85">
        <v>621.62128136158617</v>
      </c>
      <c r="D297" s="85">
        <v>623.36070771653135</v>
      </c>
      <c r="E297" s="86">
        <v>6934297.6936378954</v>
      </c>
      <c r="F297" s="84" t="s">
        <v>338</v>
      </c>
      <c r="G297" s="25">
        <f t="shared" si="6"/>
        <v>8.0682452363871615E-3</v>
      </c>
      <c r="I297" s="85">
        <v>116.93</v>
      </c>
      <c r="J297" s="85">
        <v>120.28</v>
      </c>
      <c r="K297" s="85">
        <v>115.7</v>
      </c>
      <c r="L297" s="85">
        <v>117</v>
      </c>
      <c r="M297" s="86">
        <v>11120838.3036</v>
      </c>
      <c r="N297" s="84" t="s">
        <v>338</v>
      </c>
      <c r="O297" s="25">
        <f t="shared" si="7"/>
        <v>-5.9829059829052955E-4</v>
      </c>
    </row>
    <row r="298" spans="1:21">
      <c r="A298" s="85">
        <v>623.83780751674499</v>
      </c>
      <c r="B298" s="85">
        <v>630.77563377818387</v>
      </c>
      <c r="C298" s="85">
        <v>621.96916663257525</v>
      </c>
      <c r="D298" s="85">
        <v>628.78771794396073</v>
      </c>
      <c r="E298" s="86">
        <v>10883525.717704553</v>
      </c>
      <c r="F298" s="84" t="s">
        <v>339</v>
      </c>
      <c r="G298" s="25">
        <f t="shared" si="6"/>
        <v>-7.8721487172191962E-3</v>
      </c>
      <c r="I298" s="85">
        <v>117.28</v>
      </c>
      <c r="J298" s="85">
        <v>124.4</v>
      </c>
      <c r="K298" s="85">
        <v>115.88</v>
      </c>
      <c r="L298" s="85">
        <v>123.935</v>
      </c>
      <c r="M298" s="86">
        <v>12529266.194800001</v>
      </c>
      <c r="N298" s="84" t="s">
        <v>339</v>
      </c>
      <c r="O298" s="25">
        <f t="shared" si="7"/>
        <v>-5.3697502723201729E-2</v>
      </c>
    </row>
    <row r="299" spans="1:21">
      <c r="A299" s="85">
        <v>630.18919860708797</v>
      </c>
      <c r="B299" s="85">
        <v>630.74581504067055</v>
      </c>
      <c r="C299" s="85">
        <v>623.24143276647806</v>
      </c>
      <c r="D299" s="85">
        <v>623.68871382917825</v>
      </c>
      <c r="E299" s="86">
        <v>7493334.3472365998</v>
      </c>
      <c r="F299" s="84" t="s">
        <v>340</v>
      </c>
      <c r="G299" s="25">
        <f t="shared" si="6"/>
        <v>1.0422642952763406E-2</v>
      </c>
      <c r="I299" s="85">
        <v>126.2</v>
      </c>
      <c r="J299" s="85">
        <v>131.01</v>
      </c>
      <c r="K299" s="85">
        <v>120.736</v>
      </c>
      <c r="L299" s="85">
        <v>122.26</v>
      </c>
      <c r="M299" s="86">
        <v>14548006</v>
      </c>
      <c r="N299" s="84" t="s">
        <v>340</v>
      </c>
      <c r="O299" s="25">
        <f t="shared" si="7"/>
        <v>3.2226402748241512E-2</v>
      </c>
    </row>
    <row r="300" spans="1:21">
      <c r="A300" s="85">
        <v>625.72632755925702</v>
      </c>
      <c r="B300" s="85">
        <v>627.26696233077996</v>
      </c>
      <c r="C300" s="85">
        <v>623.02276202471342</v>
      </c>
      <c r="D300" s="85">
        <v>625.14983196733237</v>
      </c>
      <c r="E300" s="86">
        <v>5201993.878197087</v>
      </c>
      <c r="F300" s="84" t="s">
        <v>341</v>
      </c>
      <c r="G300" s="25">
        <f t="shared" si="6"/>
        <v>9.2217187375776E-4</v>
      </c>
      <c r="I300" s="85">
        <v>123.8</v>
      </c>
      <c r="J300" s="85">
        <v>124.65</v>
      </c>
      <c r="K300" s="85">
        <v>119.62</v>
      </c>
      <c r="L300" s="85">
        <v>120.13</v>
      </c>
      <c r="M300" s="86">
        <v>12218011</v>
      </c>
      <c r="N300" s="84" t="s">
        <v>341</v>
      </c>
      <c r="O300" s="25">
        <f t="shared" si="7"/>
        <v>3.0550237242986888E-2</v>
      </c>
    </row>
    <row r="301" spans="1:21">
      <c r="A301" s="85">
        <v>627.33653938497775</v>
      </c>
      <c r="B301" s="85">
        <v>629.97052786532345</v>
      </c>
      <c r="C301" s="85">
        <v>624.20557194607625</v>
      </c>
      <c r="D301" s="85">
        <v>625.30886523407014</v>
      </c>
      <c r="E301" s="86">
        <v>9566979.4830282088</v>
      </c>
      <c r="F301" s="84" t="s">
        <v>342</v>
      </c>
      <c r="G301" s="25">
        <f t="shared" si="6"/>
        <v>3.2426761615615973E-3</v>
      </c>
      <c r="I301" s="85">
        <v>121.64</v>
      </c>
      <c r="J301" s="85">
        <v>124.73</v>
      </c>
      <c r="K301" s="85">
        <v>112.49</v>
      </c>
      <c r="L301" s="85">
        <v>113.01</v>
      </c>
      <c r="M301" s="86">
        <v>18689967</v>
      </c>
      <c r="N301" s="84" t="s">
        <v>342</v>
      </c>
      <c r="O301" s="25">
        <f t="shared" si="7"/>
        <v>7.6364923458100975E-2</v>
      </c>
    </row>
    <row r="302" spans="1:21">
      <c r="A302" s="85">
        <v>624.19563236690522</v>
      </c>
      <c r="B302" s="85">
        <v>626.1239107261016</v>
      </c>
      <c r="C302" s="85">
        <v>617.75478506402203</v>
      </c>
      <c r="D302" s="85">
        <v>621.76043546998176</v>
      </c>
      <c r="E302" s="86">
        <v>8088295.1497205654</v>
      </c>
      <c r="F302" s="84" t="s">
        <v>343</v>
      </c>
      <c r="G302" s="25">
        <f t="shared" si="6"/>
        <v>3.9166160437382747E-3</v>
      </c>
      <c r="I302" s="85">
        <v>113.54</v>
      </c>
      <c r="J302" s="85">
        <v>116.63</v>
      </c>
      <c r="K302" s="85">
        <v>110.91</v>
      </c>
      <c r="L302" s="85">
        <v>112.5</v>
      </c>
      <c r="M302" s="86">
        <v>14545616</v>
      </c>
      <c r="N302" s="84" t="s">
        <v>343</v>
      </c>
      <c r="O302" s="25">
        <f t="shared" si="7"/>
        <v>9.2444444444446106E-3</v>
      </c>
    </row>
    <row r="303" spans="1:21">
      <c r="A303" s="85">
        <v>623.10227865808235</v>
      </c>
      <c r="B303" s="85">
        <v>627.35641854331993</v>
      </c>
      <c r="C303" s="85">
        <v>619.35008752098622</v>
      </c>
      <c r="D303" s="85">
        <v>623.14203697476682</v>
      </c>
      <c r="E303" s="86">
        <v>9304973.4206822477</v>
      </c>
      <c r="F303" s="84" t="s">
        <v>344</v>
      </c>
      <c r="G303" s="25">
        <f t="shared" si="6"/>
        <v>-6.3802976408844359E-5</v>
      </c>
      <c r="I303" s="85">
        <v>112.7</v>
      </c>
      <c r="J303" s="85">
        <v>113.39</v>
      </c>
      <c r="K303" s="85">
        <v>107.43</v>
      </c>
      <c r="L303" s="85">
        <v>110.21</v>
      </c>
      <c r="M303" s="86">
        <v>18117418</v>
      </c>
      <c r="N303" s="84" t="s">
        <v>344</v>
      </c>
      <c r="O303" s="25">
        <f t="shared" si="7"/>
        <v>2.2593231104255596E-2</v>
      </c>
    </row>
    <row r="304" spans="1:21">
      <c r="A304" s="85">
        <v>622.70469549123777</v>
      </c>
      <c r="B304" s="85">
        <v>635.65596715120171</v>
      </c>
      <c r="C304" s="85">
        <v>621.97910621174628</v>
      </c>
      <c r="D304" s="85">
        <v>634.65206965491905</v>
      </c>
      <c r="E304" s="86">
        <v>8920772.0441192109</v>
      </c>
      <c r="F304" s="84" t="s">
        <v>345</v>
      </c>
      <c r="G304" s="25">
        <f t="shared" si="6"/>
        <v>-1.8825077132699541E-2</v>
      </c>
      <c r="I304" s="85">
        <v>110.66</v>
      </c>
      <c r="J304" s="85">
        <v>121</v>
      </c>
      <c r="K304" s="85">
        <v>104.92</v>
      </c>
      <c r="L304" s="85">
        <v>120.69</v>
      </c>
      <c r="M304" s="86">
        <v>36187784</v>
      </c>
      <c r="N304" s="84" t="s">
        <v>345</v>
      </c>
      <c r="O304" s="25">
        <f t="shared" si="7"/>
        <v>-8.3105476841494719E-2</v>
      </c>
    </row>
    <row r="305" spans="1:15">
      <c r="A305" s="85">
        <v>632.50512055395802</v>
      </c>
      <c r="B305" s="85">
        <v>637.27611855609359</v>
      </c>
      <c r="C305" s="85">
        <v>630.01028618200803</v>
      </c>
      <c r="D305" s="85">
        <v>636.62010633080001</v>
      </c>
      <c r="E305" s="86">
        <v>5349413.6003778903</v>
      </c>
      <c r="F305" s="84" t="s">
        <v>346</v>
      </c>
      <c r="G305" s="25">
        <f t="shared" si="6"/>
        <v>-6.4638011522428762E-3</v>
      </c>
      <c r="I305" s="85">
        <v>118.71</v>
      </c>
      <c r="J305" s="85">
        <v>139.1</v>
      </c>
      <c r="K305" s="85">
        <v>109.6</v>
      </c>
      <c r="L305" s="85">
        <v>138.9</v>
      </c>
      <c r="M305" s="86">
        <v>53138417</v>
      </c>
      <c r="N305" s="84" t="s">
        <v>346</v>
      </c>
      <c r="O305" s="25">
        <f t="shared" si="7"/>
        <v>-0.14535637149028091</v>
      </c>
    </row>
    <row r="306" spans="1:15">
      <c r="A306" s="85">
        <v>632.59457676649811</v>
      </c>
      <c r="B306" s="85">
        <v>636.74932086002445</v>
      </c>
      <c r="C306" s="85">
        <v>632.23675191633799</v>
      </c>
      <c r="D306" s="85">
        <v>635.2782631426993</v>
      </c>
      <c r="E306" s="86">
        <v>13702744.115746059</v>
      </c>
      <c r="F306" s="84" t="s">
        <v>347</v>
      </c>
      <c r="G306" s="25">
        <f t="shared" si="6"/>
        <v>-4.2244265732076514E-3</v>
      </c>
      <c r="I306" s="85">
        <v>127.24</v>
      </c>
      <c r="J306" s="85">
        <v>128.8237</v>
      </c>
      <c r="K306" s="85">
        <v>122.69</v>
      </c>
      <c r="L306" s="85">
        <v>122.69</v>
      </c>
      <c r="M306" s="86">
        <v>26552095</v>
      </c>
      <c r="N306" s="84" t="s">
        <v>347</v>
      </c>
      <c r="O306" s="25">
        <f t="shared" si="7"/>
        <v>3.708533702828265E-2</v>
      </c>
    </row>
    <row r="307" spans="1:15">
      <c r="A307" s="85">
        <v>634.37376143812787</v>
      </c>
      <c r="B307" s="85">
        <v>636.1231273722442</v>
      </c>
      <c r="C307" s="85">
        <v>629.28469690251654</v>
      </c>
      <c r="D307" s="85">
        <v>630.2388965029437</v>
      </c>
      <c r="E307" s="86">
        <v>8939190.3289226554</v>
      </c>
      <c r="F307" s="84" t="s">
        <v>348</v>
      </c>
      <c r="G307" s="25">
        <f t="shared" si="6"/>
        <v>6.5607898181587743E-3</v>
      </c>
      <c r="I307" s="85">
        <v>118.4</v>
      </c>
      <c r="J307" s="85">
        <v>120.08</v>
      </c>
      <c r="K307" s="85">
        <v>110.88</v>
      </c>
      <c r="L307" s="85">
        <v>112.66500000000001</v>
      </c>
      <c r="M307" s="86">
        <v>13764816</v>
      </c>
      <c r="N307" s="84" t="s">
        <v>348</v>
      </c>
      <c r="O307" s="25">
        <f t="shared" si="7"/>
        <v>5.0903119868637159E-2</v>
      </c>
    </row>
    <row r="308" spans="1:15">
      <c r="A308" s="85">
        <v>631.40182726596413</v>
      </c>
      <c r="B308" s="85">
        <v>632.8728849832894</v>
      </c>
      <c r="C308" s="85">
        <v>622.41644769527545</v>
      </c>
      <c r="D308" s="85">
        <v>622.93330581217344</v>
      </c>
      <c r="E308" s="86">
        <v>13038197.87225973</v>
      </c>
      <c r="F308" s="84" t="s">
        <v>349</v>
      </c>
      <c r="G308" s="25">
        <f t="shared" si="6"/>
        <v>1.3594587694664151E-2</v>
      </c>
      <c r="I308" s="85">
        <v>112.05</v>
      </c>
      <c r="J308" s="85">
        <v>115.04</v>
      </c>
      <c r="K308" s="85">
        <v>109.78</v>
      </c>
      <c r="L308" s="85">
        <v>112.05</v>
      </c>
      <c r="M308" s="86">
        <v>12120753</v>
      </c>
      <c r="N308" s="84" t="s">
        <v>349</v>
      </c>
      <c r="O308" s="25">
        <f t="shared" si="7"/>
        <v>0</v>
      </c>
    </row>
    <row r="309" spans="1:15">
      <c r="A309" s="85">
        <v>619.33517815222956</v>
      </c>
      <c r="B309" s="85">
        <v>624.95104038390991</v>
      </c>
      <c r="C309" s="85">
        <v>617.744845484851</v>
      </c>
      <c r="D309" s="85">
        <v>622.45620601195992</v>
      </c>
      <c r="E309" s="86">
        <v>11576929.769259207</v>
      </c>
      <c r="F309" s="84" t="s">
        <v>350</v>
      </c>
      <c r="G309" s="25">
        <f t="shared" si="6"/>
        <v>-5.0140521205926936E-3</v>
      </c>
      <c r="I309" s="85">
        <v>111.24</v>
      </c>
      <c r="J309" s="85">
        <v>115.72</v>
      </c>
      <c r="K309" s="85">
        <v>108.7867</v>
      </c>
      <c r="L309" s="85">
        <v>112.75</v>
      </c>
      <c r="M309" s="86">
        <v>17624668</v>
      </c>
      <c r="N309" s="84" t="s">
        <v>350</v>
      </c>
      <c r="O309" s="25">
        <f t="shared" si="7"/>
        <v>-1.3392461197339278E-2</v>
      </c>
    </row>
    <row r="310" spans="1:15">
      <c r="A310" s="85">
        <v>627.09798948487094</v>
      </c>
      <c r="B310" s="85">
        <v>632.0777186496</v>
      </c>
      <c r="C310" s="85">
        <v>623.21161402896473</v>
      </c>
      <c r="D310" s="85">
        <v>631.09370031165952</v>
      </c>
      <c r="E310" s="86">
        <v>11296495.361321686</v>
      </c>
      <c r="F310" s="84" t="s">
        <v>351</v>
      </c>
      <c r="G310" s="25">
        <f t="shared" si="6"/>
        <v>-6.3314066117524659E-3</v>
      </c>
      <c r="I310" s="85">
        <v>114.02</v>
      </c>
      <c r="J310" s="85">
        <v>116.4</v>
      </c>
      <c r="K310" s="85">
        <v>109.89</v>
      </c>
      <c r="L310" s="85">
        <v>116.01</v>
      </c>
      <c r="M310" s="86">
        <v>20750296</v>
      </c>
      <c r="N310" s="84" t="s">
        <v>351</v>
      </c>
      <c r="O310" s="25">
        <f t="shared" si="7"/>
        <v>-1.715369364709951E-2</v>
      </c>
    </row>
    <row r="311" spans="1:15">
      <c r="A311" s="85">
        <v>630.31841313631253</v>
      </c>
      <c r="B311" s="85">
        <v>637.12702486852686</v>
      </c>
      <c r="C311" s="85">
        <v>625.30389544448462</v>
      </c>
      <c r="D311" s="85">
        <v>636.46107306406213</v>
      </c>
      <c r="E311" s="86">
        <v>9702820.2441666313</v>
      </c>
      <c r="F311" s="84" t="s">
        <v>352</v>
      </c>
      <c r="G311" s="25">
        <f t="shared" si="6"/>
        <v>-9.6512735620695178E-3</v>
      </c>
      <c r="I311" s="85">
        <v>119.29</v>
      </c>
      <c r="J311" s="85">
        <v>131.66499999999999</v>
      </c>
      <c r="K311" s="85">
        <v>117.5</v>
      </c>
      <c r="L311" s="85">
        <v>131.29499999999999</v>
      </c>
      <c r="M311" s="86">
        <v>25691572</v>
      </c>
      <c r="N311" s="84" t="s">
        <v>352</v>
      </c>
      <c r="O311" s="25">
        <f t="shared" si="7"/>
        <v>-9.1435317414981343E-2</v>
      </c>
    </row>
    <row r="312" spans="1:15">
      <c r="A312" s="85">
        <v>635.81500041793959</v>
      </c>
      <c r="B312" s="85">
        <v>637.0872665518425</v>
      </c>
      <c r="C312" s="85">
        <v>630.2388965029437</v>
      </c>
      <c r="D312" s="85">
        <v>630.34823187382585</v>
      </c>
      <c r="E312" s="86">
        <v>9179997.3046299871</v>
      </c>
      <c r="F312" s="84" t="s">
        <v>353</v>
      </c>
      <c r="G312" s="25">
        <f t="shared" si="6"/>
        <v>8.6726166072723654E-3</v>
      </c>
      <c r="I312" s="85">
        <v>132.19999999999999</v>
      </c>
      <c r="J312" s="85">
        <v>136.61799999999999</v>
      </c>
      <c r="K312" s="85">
        <v>130.47999999999999</v>
      </c>
      <c r="L312" s="85">
        <v>132</v>
      </c>
      <c r="M312" s="86">
        <v>12195732</v>
      </c>
      <c r="N312" s="84" t="s">
        <v>353</v>
      </c>
      <c r="O312" s="25">
        <f t="shared" si="7"/>
        <v>1.5151515151514694E-3</v>
      </c>
    </row>
    <row r="313" spans="1:15">
      <c r="A313" s="85">
        <v>632.37590602473358</v>
      </c>
      <c r="B313" s="85">
        <v>634.5924321798924</v>
      </c>
      <c r="C313" s="85">
        <v>628.13170571866704</v>
      </c>
      <c r="D313" s="85">
        <v>632.4057247622469</v>
      </c>
      <c r="E313" s="86">
        <v>6559183.1281405091</v>
      </c>
      <c r="F313" s="84" t="s">
        <v>354</v>
      </c>
      <c r="G313" s="25">
        <f t="shared" si="6"/>
        <v>-4.71512770137128E-5</v>
      </c>
      <c r="I313" s="85">
        <v>131.22999999999999</v>
      </c>
      <c r="J313" s="85">
        <v>141.5</v>
      </c>
      <c r="K313" s="85">
        <v>130.43</v>
      </c>
      <c r="L313" s="85">
        <v>140.47</v>
      </c>
      <c r="M313" s="86">
        <v>13497305</v>
      </c>
      <c r="N313" s="84" t="s">
        <v>354</v>
      </c>
      <c r="O313" s="25">
        <f t="shared" si="7"/>
        <v>-6.5779169929522374E-2</v>
      </c>
    </row>
    <row r="314" spans="1:15">
      <c r="A314" s="85">
        <v>634.41351975481223</v>
      </c>
      <c r="B314" s="85">
        <v>637.16678318521133</v>
      </c>
      <c r="C314" s="85">
        <v>626.01457535521945</v>
      </c>
      <c r="D314" s="85">
        <v>636.56046885577325</v>
      </c>
      <c r="E314" s="86">
        <v>8537440.9257281832</v>
      </c>
      <c r="F314" s="84" t="s">
        <v>355</v>
      </c>
      <c r="G314" s="25">
        <f t="shared" si="6"/>
        <v>-3.37273394438109E-3</v>
      </c>
      <c r="I314" s="85">
        <v>143.63999999999999</v>
      </c>
      <c r="J314" s="85">
        <v>144.13999999999999</v>
      </c>
      <c r="K314" s="85">
        <v>137.43</v>
      </c>
      <c r="L314" s="85">
        <v>142.4</v>
      </c>
      <c r="M314" s="86">
        <v>12750341</v>
      </c>
      <c r="N314" s="84" t="s">
        <v>355</v>
      </c>
      <c r="O314" s="25">
        <f t="shared" si="7"/>
        <v>8.7078651685392749E-3</v>
      </c>
    </row>
    <row r="315" spans="1:15">
      <c r="A315" s="85">
        <v>635.73548378457065</v>
      </c>
      <c r="B315" s="85">
        <v>637.93213078138729</v>
      </c>
      <c r="C315" s="85">
        <v>634.36382185895673</v>
      </c>
      <c r="D315" s="85">
        <v>637.17672276438248</v>
      </c>
      <c r="E315" s="86">
        <v>5521735.7853027182</v>
      </c>
      <c r="F315" s="84" t="s">
        <v>356</v>
      </c>
      <c r="G315" s="25">
        <f t="shared" si="6"/>
        <v>-2.261914047266278E-3</v>
      </c>
      <c r="I315" s="85">
        <v>138.91999999999999</v>
      </c>
      <c r="J315" s="85">
        <v>141.66</v>
      </c>
      <c r="K315" s="85">
        <v>137.68</v>
      </c>
      <c r="L315" s="85">
        <v>138.715</v>
      </c>
      <c r="M315" s="86">
        <v>8711373</v>
      </c>
      <c r="N315" s="84" t="s">
        <v>356</v>
      </c>
      <c r="O315" s="25">
        <f t="shared" si="7"/>
        <v>1.4778502685361961E-3</v>
      </c>
    </row>
    <row r="316" spans="1:15">
      <c r="A316" s="85">
        <v>635.83487957628188</v>
      </c>
      <c r="B316" s="85">
        <v>636.72536647422214</v>
      </c>
      <c r="C316" s="85">
        <v>634.01593658796764</v>
      </c>
      <c r="D316" s="85">
        <v>634.56261344237896</v>
      </c>
      <c r="E316" s="86">
        <v>4334495.3803676274</v>
      </c>
      <c r="F316" s="84" t="s">
        <v>357</v>
      </c>
      <c r="G316" s="25">
        <f t="shared" si="6"/>
        <v>2.0049497196203969E-3</v>
      </c>
      <c r="I316" s="85">
        <v>137.5</v>
      </c>
      <c r="J316" s="85">
        <v>138.13</v>
      </c>
      <c r="K316" s="85">
        <v>135.29499999999999</v>
      </c>
      <c r="L316" s="85">
        <v>137.25</v>
      </c>
      <c r="M316" s="86">
        <v>7081180</v>
      </c>
      <c r="N316" s="84" t="s">
        <v>357</v>
      </c>
      <c r="O316" s="25">
        <f t="shared" si="7"/>
        <v>1.8214936247722413E-3</v>
      </c>
    </row>
    <row r="317" spans="1:15">
      <c r="A317" s="85">
        <v>633.24064941262066</v>
      </c>
      <c r="B317" s="85">
        <v>634.53279470486564</v>
      </c>
      <c r="C317" s="85">
        <v>630.68617756564379</v>
      </c>
      <c r="D317" s="85">
        <v>631.19309610337075</v>
      </c>
      <c r="E317" s="86">
        <v>9030953.7712473068</v>
      </c>
      <c r="F317" s="84" t="s">
        <v>358</v>
      </c>
      <c r="G317" s="25">
        <f t="shared" ref="G317:G380" si="10">A317/D317-1</f>
        <v>3.2439412311229265E-3</v>
      </c>
      <c r="I317" s="85">
        <v>136.31</v>
      </c>
      <c r="J317" s="85">
        <v>138.18</v>
      </c>
      <c r="K317" s="85">
        <v>135.84010000000001</v>
      </c>
      <c r="L317" s="85">
        <v>136.72999999999999</v>
      </c>
      <c r="M317" s="86">
        <v>6523131</v>
      </c>
      <c r="N317" s="84" t="s">
        <v>358</v>
      </c>
      <c r="O317" s="25">
        <f t="shared" ref="O317:O380" si="11">I317/L317-1</f>
        <v>-3.0717472390842104E-3</v>
      </c>
    </row>
    <row r="318" spans="1:15">
      <c r="A318" s="85">
        <v>630.00034660283688</v>
      </c>
      <c r="B318" s="85">
        <v>631.63093456585841</v>
      </c>
      <c r="C318" s="85">
        <v>628.15158487700933</v>
      </c>
      <c r="D318" s="85">
        <v>629.05608658158087</v>
      </c>
      <c r="E318" s="86">
        <v>5862676.7790469797</v>
      </c>
      <c r="F318" s="84" t="s">
        <v>359</v>
      </c>
      <c r="G318" s="25">
        <f t="shared" si="10"/>
        <v>1.5010744532928388E-3</v>
      </c>
      <c r="I318" s="85">
        <v>137.88999999999999</v>
      </c>
      <c r="J318" s="85">
        <v>139.88999999999999</v>
      </c>
      <c r="K318" s="85">
        <v>134.65</v>
      </c>
      <c r="L318" s="85">
        <v>137.19999999999999</v>
      </c>
      <c r="M318" s="86">
        <v>9515421</v>
      </c>
      <c r="N318" s="84" t="s">
        <v>359</v>
      </c>
      <c r="O318" s="25">
        <f t="shared" si="11"/>
        <v>5.0291545189504738E-3</v>
      </c>
    </row>
    <row r="319" spans="1:15">
      <c r="A319" s="85">
        <v>629.74191754438789</v>
      </c>
      <c r="B319" s="85">
        <v>631.77953127446654</v>
      </c>
      <c r="C319" s="85">
        <v>627.93291413524469</v>
      </c>
      <c r="D319" s="85">
        <v>630.5967213531037</v>
      </c>
      <c r="E319" s="86">
        <v>6094608.1274786247</v>
      </c>
      <c r="F319" s="84" t="s">
        <v>360</v>
      </c>
      <c r="G319" s="25">
        <f t="shared" si="10"/>
        <v>-1.3555474993298677E-3</v>
      </c>
      <c r="I319" s="85">
        <v>137.63999999999999</v>
      </c>
      <c r="J319" s="85">
        <v>144.19</v>
      </c>
      <c r="K319" s="85">
        <v>137.24</v>
      </c>
      <c r="L319" s="85">
        <v>141.79</v>
      </c>
      <c r="M319" s="86">
        <v>9536470</v>
      </c>
      <c r="N319" s="84" t="s">
        <v>360</v>
      </c>
      <c r="O319" s="25">
        <f t="shared" si="11"/>
        <v>-2.9268636716270557E-2</v>
      </c>
    </row>
    <row r="320" spans="1:15">
      <c r="A320" s="85">
        <v>626.48173557626183</v>
      </c>
      <c r="B320" s="85">
        <v>629.57294469847886</v>
      </c>
      <c r="C320" s="85">
        <v>619.88185500664088</v>
      </c>
      <c r="D320" s="85">
        <v>621.24357735308377</v>
      </c>
      <c r="E320" s="86">
        <v>10417923.960092066</v>
      </c>
      <c r="F320" s="84" t="s">
        <v>361</v>
      </c>
      <c r="G320" s="25">
        <f t="shared" si="10"/>
        <v>8.4317301846341675E-3</v>
      </c>
      <c r="I320" s="85">
        <v>138.54</v>
      </c>
      <c r="J320" s="85">
        <v>146.1</v>
      </c>
      <c r="K320" s="85">
        <v>137.69</v>
      </c>
      <c r="L320" s="85">
        <v>145.55000000000001</v>
      </c>
      <c r="M320" s="86">
        <v>15772030</v>
      </c>
      <c r="N320" s="84" t="s">
        <v>361</v>
      </c>
      <c r="O320" s="25">
        <f t="shared" si="11"/>
        <v>-4.8162143593267093E-2</v>
      </c>
    </row>
    <row r="321" spans="1:15">
      <c r="A321" s="85">
        <v>619.38487604808506</v>
      </c>
      <c r="B321" s="85">
        <v>625.95483848440097</v>
      </c>
      <c r="C321" s="85">
        <v>618.46049518517134</v>
      </c>
      <c r="D321" s="85">
        <v>622.97306412885791</v>
      </c>
      <c r="E321" s="86">
        <v>14968067.30332605</v>
      </c>
      <c r="F321" s="84" t="s">
        <v>362</v>
      </c>
      <c r="G321" s="25">
        <f t="shared" si="10"/>
        <v>-5.7597804582296686E-3</v>
      </c>
      <c r="I321" s="85">
        <v>144.5</v>
      </c>
      <c r="J321" s="85">
        <v>151.72</v>
      </c>
      <c r="K321" s="85">
        <v>143.87</v>
      </c>
      <c r="L321" s="85">
        <v>150.08199999999999</v>
      </c>
      <c r="M321" s="86">
        <v>13203633</v>
      </c>
      <c r="N321" s="84" t="s">
        <v>362</v>
      </c>
      <c r="O321" s="25">
        <f t="shared" si="11"/>
        <v>-3.719300115936619E-2</v>
      </c>
    </row>
    <row r="322" spans="1:15">
      <c r="A322" s="85">
        <v>632.24669149550903</v>
      </c>
      <c r="B322" s="85">
        <v>634.65197025912732</v>
      </c>
      <c r="C322" s="85">
        <v>630.84521083238167</v>
      </c>
      <c r="D322" s="85">
        <v>634.10539280050773</v>
      </c>
      <c r="E322" s="86">
        <v>6734732.813892859</v>
      </c>
      <c r="F322" s="84" t="s">
        <v>363</v>
      </c>
      <c r="G322" s="25">
        <f t="shared" si="10"/>
        <v>-2.9312182581980872E-3</v>
      </c>
      <c r="I322" s="85">
        <v>155.81</v>
      </c>
      <c r="J322" s="85">
        <v>159.91999999999999</v>
      </c>
      <c r="K322" s="85">
        <v>155.565</v>
      </c>
      <c r="L322" s="85">
        <v>159.9</v>
      </c>
      <c r="M322" s="86">
        <v>8114606</v>
      </c>
      <c r="N322" s="84" t="s">
        <v>363</v>
      </c>
      <c r="O322" s="25">
        <f t="shared" si="11"/>
        <v>-2.5578486554096336E-2</v>
      </c>
    </row>
    <row r="323" spans="1:15">
      <c r="A323" s="85">
        <v>632.77348919157816</v>
      </c>
      <c r="B323" s="85">
        <v>635.71560462622847</v>
      </c>
      <c r="C323" s="85">
        <v>631.85904790783559</v>
      </c>
      <c r="D323" s="85">
        <v>634.91049871336804</v>
      </c>
      <c r="E323" s="86">
        <v>6792642.7102869321</v>
      </c>
      <c r="F323" s="84" t="s">
        <v>364</v>
      </c>
      <c r="G323" s="25">
        <f t="shared" si="10"/>
        <v>-3.3658437309203038E-3</v>
      </c>
      <c r="I323" s="85">
        <v>157.99</v>
      </c>
      <c r="J323" s="85">
        <v>161.29</v>
      </c>
      <c r="K323" s="85">
        <v>157.36000000000001</v>
      </c>
      <c r="L323" s="85">
        <v>159.65</v>
      </c>
      <c r="M323" s="86">
        <v>4850664</v>
      </c>
      <c r="N323" s="84" t="s">
        <v>364</v>
      </c>
      <c r="O323" s="25">
        <f t="shared" si="11"/>
        <v>-1.0397745067334818E-2</v>
      </c>
    </row>
    <row r="324" spans="1:15">
      <c r="A324" s="85">
        <v>631.10363989083078</v>
      </c>
      <c r="B324" s="85">
        <v>632.27551627510525</v>
      </c>
      <c r="C324" s="85">
        <v>627.18744569741102</v>
      </c>
      <c r="D324" s="85">
        <v>631.65031674524209</v>
      </c>
      <c r="E324" s="86">
        <v>8628389.4442154616</v>
      </c>
      <c r="F324" s="84" t="s">
        <v>365</v>
      </c>
      <c r="G324" s="25">
        <f t="shared" si="10"/>
        <v>-8.6547388629243382E-4</v>
      </c>
      <c r="I324" s="85">
        <v>157.51</v>
      </c>
      <c r="J324" s="85">
        <v>165.16</v>
      </c>
      <c r="K324" s="85">
        <v>153.78</v>
      </c>
      <c r="L324" s="85">
        <v>165.16</v>
      </c>
      <c r="M324" s="86">
        <v>10229579</v>
      </c>
      <c r="N324" s="84" t="s">
        <v>365</v>
      </c>
      <c r="O324" s="25">
        <f t="shared" si="11"/>
        <v>-4.6318721240009686E-2</v>
      </c>
    </row>
    <row r="325" spans="1:15">
      <c r="A325" s="85">
        <v>634.17496985470541</v>
      </c>
      <c r="B325" s="85">
        <v>636.28285640952402</v>
      </c>
      <c r="C325" s="85">
        <v>631.97335306830337</v>
      </c>
      <c r="D325" s="85">
        <v>635.81500041793959</v>
      </c>
      <c r="E325" s="86">
        <v>8890847.2359478194</v>
      </c>
      <c r="F325" s="84" t="s">
        <v>366</v>
      </c>
      <c r="G325" s="25">
        <f t="shared" si="10"/>
        <v>-2.5794147073537887E-3</v>
      </c>
      <c r="I325" s="85">
        <v>167.44</v>
      </c>
      <c r="J325" s="85">
        <v>170.9</v>
      </c>
      <c r="K325" s="85">
        <v>164.7</v>
      </c>
      <c r="L325" s="85">
        <v>168.08</v>
      </c>
      <c r="M325" s="86">
        <v>4746451</v>
      </c>
      <c r="N325" s="84" t="s">
        <v>366</v>
      </c>
      <c r="O325" s="25">
        <f t="shared" si="11"/>
        <v>-3.8077106139934314E-3</v>
      </c>
    </row>
    <row r="326" spans="1:15">
      <c r="A326" s="85">
        <v>635.47705472612165</v>
      </c>
      <c r="B326" s="85">
        <v>636.29210021815311</v>
      </c>
      <c r="C326" s="85">
        <v>631.32231063259519</v>
      </c>
      <c r="D326" s="85">
        <v>631.35212937010863</v>
      </c>
      <c r="E326" s="86">
        <v>7937845.1181593072</v>
      </c>
      <c r="F326" s="84" t="s">
        <v>367</v>
      </c>
      <c r="G326" s="25">
        <f t="shared" si="10"/>
        <v>6.5334781718855428E-3</v>
      </c>
      <c r="I326" s="85">
        <v>167.93</v>
      </c>
      <c r="J326" s="85">
        <v>168.51499999999999</v>
      </c>
      <c r="K326" s="85">
        <v>160.72</v>
      </c>
      <c r="L326" s="85">
        <v>162.53100000000001</v>
      </c>
      <c r="M326" s="86">
        <v>5581178</v>
      </c>
      <c r="N326" s="84" t="s">
        <v>367</v>
      </c>
      <c r="O326" s="25">
        <f t="shared" si="11"/>
        <v>3.3218278359205433E-2</v>
      </c>
    </row>
    <row r="327" spans="1:15">
      <c r="A327" s="85">
        <v>634.4532780714967</v>
      </c>
      <c r="B327" s="85">
        <v>635.57645051783288</v>
      </c>
      <c r="C327" s="85">
        <v>629.97052786532345</v>
      </c>
      <c r="D327" s="85">
        <v>631.31237105342404</v>
      </c>
      <c r="E327" s="86">
        <v>7891396.4715866614</v>
      </c>
      <c r="F327" s="84" t="s">
        <v>368</v>
      </c>
      <c r="G327" s="25">
        <f t="shared" si="10"/>
        <v>4.9752027080218753E-3</v>
      </c>
      <c r="I327" s="85">
        <v>164.48</v>
      </c>
      <c r="J327" s="85">
        <v>168.91</v>
      </c>
      <c r="K327" s="85">
        <v>163.03</v>
      </c>
      <c r="L327" s="85">
        <v>168.01</v>
      </c>
      <c r="M327" s="86">
        <v>4920413</v>
      </c>
      <c r="N327" s="84" t="s">
        <v>368</v>
      </c>
      <c r="O327" s="25">
        <f t="shared" si="11"/>
        <v>-2.101065412773051E-2</v>
      </c>
    </row>
    <row r="328" spans="1:15">
      <c r="A328" s="85">
        <v>630.22895692377244</v>
      </c>
      <c r="B328" s="85">
        <v>631.26277255336026</v>
      </c>
      <c r="C328" s="85">
        <v>628.41617647454439</v>
      </c>
      <c r="D328" s="85">
        <v>629.6524613318478</v>
      </c>
      <c r="E328" s="86">
        <v>9017282.1662768591</v>
      </c>
      <c r="F328" s="84" t="s">
        <v>369</v>
      </c>
      <c r="G328" s="25">
        <f t="shared" si="10"/>
        <v>9.155774452231924E-4</v>
      </c>
      <c r="I328" s="85">
        <v>168.28</v>
      </c>
      <c r="J328" s="85">
        <v>168.41499999999999</v>
      </c>
      <c r="K328" s="85">
        <v>163.6327</v>
      </c>
      <c r="L328" s="85">
        <v>167.8</v>
      </c>
      <c r="M328" s="86">
        <v>4081631</v>
      </c>
      <c r="N328" s="84" t="s">
        <v>369</v>
      </c>
      <c r="O328" s="25">
        <f t="shared" si="11"/>
        <v>2.8605482717520836E-3</v>
      </c>
    </row>
    <row r="329" spans="1:15">
      <c r="A329" s="85">
        <v>630.33829229465471</v>
      </c>
      <c r="B329" s="85">
        <v>634.36382185895673</v>
      </c>
      <c r="C329" s="85">
        <v>630.09974239454789</v>
      </c>
      <c r="D329" s="85">
        <v>632.73373087489369</v>
      </c>
      <c r="E329" s="86">
        <v>8850232.8404034786</v>
      </c>
      <c r="F329" s="84" t="s">
        <v>370</v>
      </c>
      <c r="G329" s="25">
        <f t="shared" si="10"/>
        <v>-3.7858556662164755E-3</v>
      </c>
      <c r="I329" s="85">
        <v>166.74</v>
      </c>
      <c r="J329" s="85">
        <v>169.55</v>
      </c>
      <c r="K329" s="85">
        <v>164.57</v>
      </c>
      <c r="L329" s="85">
        <v>167.84</v>
      </c>
      <c r="M329" s="86">
        <v>3995210</v>
      </c>
      <c r="N329" s="84" t="s">
        <v>370</v>
      </c>
      <c r="O329" s="25">
        <f t="shared" si="11"/>
        <v>-6.5538608198283388E-3</v>
      </c>
    </row>
    <row r="330" spans="1:15">
      <c r="A330" s="85">
        <v>632.36596644556244</v>
      </c>
      <c r="B330" s="85">
        <v>632.83312666660481</v>
      </c>
      <c r="C330" s="85">
        <v>628.70820131059179</v>
      </c>
      <c r="D330" s="85">
        <v>628.81753668147405</v>
      </c>
      <c r="E330" s="86">
        <v>8683365.6147949919</v>
      </c>
      <c r="F330" s="84" t="s">
        <v>371</v>
      </c>
      <c r="G330" s="25">
        <f t="shared" si="10"/>
        <v>5.6430197268588778E-3</v>
      </c>
      <c r="I330" s="85">
        <v>168.45</v>
      </c>
      <c r="J330" s="85">
        <v>168.92</v>
      </c>
      <c r="K330" s="85">
        <v>160.33500000000001</v>
      </c>
      <c r="L330" s="85">
        <v>163.85</v>
      </c>
      <c r="M330" s="86">
        <v>5024528</v>
      </c>
      <c r="N330" s="84" t="s">
        <v>371</v>
      </c>
      <c r="O330" s="25">
        <f t="shared" si="11"/>
        <v>2.8074458346048159E-2</v>
      </c>
    </row>
    <row r="331" spans="1:15">
      <c r="A331" s="85">
        <v>628.638624256394</v>
      </c>
      <c r="B331" s="85">
        <v>630.20907776543027</v>
      </c>
      <c r="C331" s="85">
        <v>627.41605601834669</v>
      </c>
      <c r="D331" s="85">
        <v>627.56514970591343</v>
      </c>
      <c r="E331" s="86">
        <v>16238522.498923866</v>
      </c>
      <c r="F331" s="84" t="s">
        <v>372</v>
      </c>
      <c r="G331" s="25">
        <f t="shared" si="10"/>
        <v>1.7105388197282689E-3</v>
      </c>
      <c r="I331" s="85">
        <v>166.21</v>
      </c>
      <c r="J331" s="85">
        <v>166.92</v>
      </c>
      <c r="K331" s="85">
        <v>158.6</v>
      </c>
      <c r="L331" s="85">
        <v>158.84</v>
      </c>
      <c r="M331" s="86">
        <v>5779003</v>
      </c>
      <c r="N331" s="84" t="s">
        <v>372</v>
      </c>
      <c r="O331" s="25">
        <f t="shared" si="11"/>
        <v>4.6398891966759059E-2</v>
      </c>
    </row>
    <row r="332" spans="1:15">
      <c r="A332" s="85">
        <v>624.50375932120971</v>
      </c>
      <c r="B332" s="85">
        <v>627.8434579227046</v>
      </c>
      <c r="C332" s="85">
        <v>621.43242935733497</v>
      </c>
      <c r="D332" s="85">
        <v>626.82465105766528</v>
      </c>
      <c r="E332" s="86">
        <v>11064395.997728506</v>
      </c>
      <c r="F332" s="84" t="s">
        <v>373</v>
      </c>
      <c r="G332" s="25">
        <f t="shared" si="10"/>
        <v>-3.7026172032951221E-3</v>
      </c>
      <c r="I332" s="85">
        <v>157.19999999999999</v>
      </c>
      <c r="J332" s="85">
        <v>164.3</v>
      </c>
      <c r="K332" s="85">
        <v>155.15</v>
      </c>
      <c r="L332" s="85">
        <v>162.19</v>
      </c>
      <c r="M332" s="86">
        <v>6506941</v>
      </c>
      <c r="N332" s="84" t="s">
        <v>373</v>
      </c>
      <c r="O332" s="25">
        <f t="shared" si="11"/>
        <v>-3.0766385103890515E-2</v>
      </c>
    </row>
    <row r="333" spans="1:15">
      <c r="A333" s="85">
        <v>623.34082855818917</v>
      </c>
      <c r="B333" s="85">
        <v>628.32055772291824</v>
      </c>
      <c r="C333" s="85">
        <v>623.15197655393808</v>
      </c>
      <c r="D333" s="85">
        <v>628.121766139496</v>
      </c>
      <c r="E333" s="86">
        <v>5544694.5037827864</v>
      </c>
      <c r="F333" s="84" t="s">
        <v>374</v>
      </c>
      <c r="G333" s="25">
        <f t="shared" si="10"/>
        <v>-7.6114821027314372E-3</v>
      </c>
      <c r="I333" s="85">
        <v>160.97</v>
      </c>
      <c r="J333" s="85">
        <v>163.83000000000001</v>
      </c>
      <c r="K333" s="85">
        <v>160.75</v>
      </c>
      <c r="L333" s="85">
        <v>163.59</v>
      </c>
      <c r="M333" s="86">
        <v>3928045</v>
      </c>
      <c r="N333" s="84" t="s">
        <v>374</v>
      </c>
      <c r="O333" s="25">
        <f t="shared" si="11"/>
        <v>-1.601564887829332E-2</v>
      </c>
    </row>
    <row r="334" spans="1:15">
      <c r="A334" s="85">
        <v>627.90309539773136</v>
      </c>
      <c r="B334" s="85">
        <v>629.38409269422766</v>
      </c>
      <c r="C334" s="85">
        <v>627.59496844342675</v>
      </c>
      <c r="D334" s="85">
        <v>628.380195197945</v>
      </c>
      <c r="E334" s="86">
        <v>4176099.3383525754</v>
      </c>
      <c r="F334" s="84" t="s">
        <v>375</v>
      </c>
      <c r="G334" s="25">
        <f t="shared" si="10"/>
        <v>-7.5925340082261261E-4</v>
      </c>
      <c r="I334" s="85">
        <v>163.74</v>
      </c>
      <c r="J334" s="85">
        <v>167.15</v>
      </c>
      <c r="K334" s="85">
        <v>163.66</v>
      </c>
      <c r="L334" s="85">
        <v>166.98</v>
      </c>
      <c r="M334" s="86">
        <v>4617444</v>
      </c>
      <c r="N334" s="84" t="s">
        <v>375</v>
      </c>
      <c r="O334" s="25">
        <f t="shared" si="11"/>
        <v>-1.9403521379805833E-2</v>
      </c>
    </row>
    <row r="335" spans="1:15">
      <c r="A335" s="85">
        <v>628.77777836478958</v>
      </c>
      <c r="B335" s="85">
        <v>629.9605882861523</v>
      </c>
      <c r="C335" s="85">
        <v>627.13774780155552</v>
      </c>
      <c r="D335" s="85">
        <v>628.479590989656</v>
      </c>
      <c r="E335" s="86">
        <v>6536446.7530777976</v>
      </c>
      <c r="F335" s="84" t="s">
        <v>376</v>
      </c>
      <c r="G335" s="25">
        <f t="shared" si="10"/>
        <v>4.744583267437541E-4</v>
      </c>
      <c r="I335" s="85">
        <v>167.88</v>
      </c>
      <c r="J335" s="85">
        <v>170.88</v>
      </c>
      <c r="K335" s="85">
        <v>167.27</v>
      </c>
      <c r="L335" s="85">
        <v>169.75</v>
      </c>
      <c r="M335" s="86">
        <v>2637676</v>
      </c>
      <c r="N335" s="84" t="s">
        <v>376</v>
      </c>
      <c r="O335" s="25">
        <f t="shared" si="11"/>
        <v>-1.101620029455086E-2</v>
      </c>
    </row>
    <row r="336" spans="1:15">
      <c r="A336" s="85">
        <v>631.00424409911955</v>
      </c>
      <c r="B336" s="85">
        <v>632.23178212675236</v>
      </c>
      <c r="C336" s="85">
        <v>630.05004449869239</v>
      </c>
      <c r="D336" s="85">
        <v>631.30243147425301</v>
      </c>
      <c r="E336" s="86">
        <v>3853135.9668922909</v>
      </c>
      <c r="F336" s="84" t="s">
        <v>377</v>
      </c>
      <c r="G336" s="25">
        <f t="shared" si="10"/>
        <v>-4.7233680763292263E-4</v>
      </c>
      <c r="I336" s="85">
        <v>170.83</v>
      </c>
      <c r="J336" s="85">
        <v>171.07</v>
      </c>
      <c r="K336" s="85">
        <v>168.095</v>
      </c>
      <c r="L336" s="85">
        <v>169.05</v>
      </c>
      <c r="M336" s="86">
        <v>2415320</v>
      </c>
      <c r="N336" s="84" t="s">
        <v>377</v>
      </c>
      <c r="O336" s="25">
        <f t="shared" si="11"/>
        <v>1.0529429162969617E-2</v>
      </c>
    </row>
    <row r="337" spans="1:15">
      <c r="A337" s="85">
        <v>630.94460662409278</v>
      </c>
      <c r="B337" s="85">
        <v>631.48134389933318</v>
      </c>
      <c r="C337" s="85">
        <v>628.71814088976282</v>
      </c>
      <c r="D337" s="85">
        <v>628.84735541898738</v>
      </c>
      <c r="E337" s="86">
        <v>3293313.472981282</v>
      </c>
      <c r="F337" s="84" t="s">
        <v>378</v>
      </c>
      <c r="G337" s="25">
        <f t="shared" si="10"/>
        <v>3.3350719964593267E-3</v>
      </c>
      <c r="I337" s="85">
        <v>169.45</v>
      </c>
      <c r="J337" s="85">
        <v>170.4</v>
      </c>
      <c r="K337" s="85">
        <v>168.12029999999999</v>
      </c>
      <c r="L337" s="85">
        <v>168.79</v>
      </c>
      <c r="M337" s="86">
        <v>1831935</v>
      </c>
      <c r="N337" s="84" t="s">
        <v>378</v>
      </c>
      <c r="O337" s="25">
        <f t="shared" si="11"/>
        <v>3.9101842526216846E-3</v>
      </c>
    </row>
    <row r="338" spans="1:15">
      <c r="A338" s="85">
        <v>628.84735541898738</v>
      </c>
      <c r="B338" s="85">
        <v>629.05608658158087</v>
      </c>
      <c r="C338" s="85">
        <v>625.12001322981894</v>
      </c>
      <c r="D338" s="85">
        <v>625.13989238816123</v>
      </c>
      <c r="E338" s="86">
        <v>13842509.590328423</v>
      </c>
      <c r="F338" s="84" t="s">
        <v>379</v>
      </c>
      <c r="G338" s="25">
        <f t="shared" si="10"/>
        <v>5.9306134130441279E-3</v>
      </c>
      <c r="I338" s="85">
        <v>169.53</v>
      </c>
      <c r="J338" s="85">
        <v>169.63</v>
      </c>
      <c r="K338" s="85">
        <v>166.91</v>
      </c>
      <c r="L338" s="85">
        <v>168.52</v>
      </c>
      <c r="M338" s="86">
        <v>3056157</v>
      </c>
      <c r="N338" s="84" t="s">
        <v>379</v>
      </c>
      <c r="O338" s="25">
        <f t="shared" si="11"/>
        <v>5.9933539045811113E-3</v>
      </c>
    </row>
    <row r="339" spans="1:15">
      <c r="A339" s="85">
        <v>625.92511914267936</v>
      </c>
      <c r="B339" s="85">
        <v>626.46185641791953</v>
      </c>
      <c r="C339" s="85">
        <v>624.0067803626539</v>
      </c>
      <c r="D339" s="85">
        <v>625.16474133608904</v>
      </c>
      <c r="E339" s="86">
        <v>9855614.4393588509</v>
      </c>
      <c r="F339" s="84" t="s">
        <v>380</v>
      </c>
      <c r="G339" s="25">
        <f t="shared" si="10"/>
        <v>1.2162838949703048E-3</v>
      </c>
      <c r="I339" s="85">
        <v>169.67</v>
      </c>
      <c r="J339" s="85">
        <v>172.98</v>
      </c>
      <c r="K339" s="85">
        <v>169.55</v>
      </c>
      <c r="L339" s="85">
        <v>172.71</v>
      </c>
      <c r="M339" s="86">
        <v>4974673</v>
      </c>
      <c r="N339" s="84" t="s">
        <v>380</v>
      </c>
      <c r="O339" s="25">
        <f t="shared" si="11"/>
        <v>-1.7601760176017667E-2</v>
      </c>
    </row>
    <row r="340" spans="1:15">
      <c r="A340" s="85">
        <v>622.00793100406111</v>
      </c>
      <c r="B340" s="85">
        <v>622.57288817257461</v>
      </c>
      <c r="C340" s="85">
        <v>618.34066517335975</v>
      </c>
      <c r="D340" s="85">
        <v>618.45960352462566</v>
      </c>
      <c r="E340" s="86">
        <v>10540579.27199837</v>
      </c>
      <c r="F340" s="84" t="s">
        <v>381</v>
      </c>
      <c r="G340" s="25">
        <f t="shared" si="10"/>
        <v>5.7373633770312349E-3</v>
      </c>
      <c r="I340" s="85">
        <v>169.57</v>
      </c>
      <c r="J340" s="85">
        <v>171.77</v>
      </c>
      <c r="K340" s="85">
        <v>167.01</v>
      </c>
      <c r="L340" s="85">
        <v>167.04</v>
      </c>
      <c r="M340" s="86">
        <v>13321021</v>
      </c>
      <c r="N340" s="84" t="s">
        <v>381</v>
      </c>
      <c r="O340" s="25">
        <f t="shared" si="11"/>
        <v>1.5146072796934806E-2</v>
      </c>
    </row>
    <row r="341" spans="1:15">
      <c r="A341" s="85">
        <v>616.50703225800896</v>
      </c>
      <c r="B341" s="85">
        <v>620.40226326197035</v>
      </c>
      <c r="C341" s="85">
        <v>615.07977204281713</v>
      </c>
      <c r="D341" s="85">
        <v>617.5378313023142</v>
      </c>
      <c r="E341" s="86">
        <v>33719254.700537026</v>
      </c>
      <c r="F341" s="84" t="s">
        <v>382</v>
      </c>
      <c r="G341" s="25">
        <f t="shared" si="10"/>
        <v>-1.6692079287375927E-3</v>
      </c>
      <c r="I341" s="85">
        <v>166.8</v>
      </c>
      <c r="J341" s="85">
        <v>172.96</v>
      </c>
      <c r="K341" s="85">
        <v>165.3</v>
      </c>
      <c r="L341" s="85">
        <v>167.18</v>
      </c>
      <c r="M341" s="86">
        <v>7722071</v>
      </c>
      <c r="N341" s="84" t="s">
        <v>382</v>
      </c>
      <c r="O341" s="25">
        <f t="shared" si="11"/>
        <v>-2.2729991625792811E-3</v>
      </c>
    </row>
    <row r="342" spans="1:15">
      <c r="A342" s="85">
        <v>611.88825961717953</v>
      </c>
      <c r="B342" s="85">
        <v>620.10491738380529</v>
      </c>
      <c r="C342" s="85">
        <v>611.69894940808115</v>
      </c>
      <c r="D342" s="85">
        <v>619.65889856655781</v>
      </c>
      <c r="E342" s="86">
        <v>21140105.048008054</v>
      </c>
      <c r="F342" s="84" t="s">
        <v>383</v>
      </c>
      <c r="G342" s="25">
        <f t="shared" si="10"/>
        <v>-1.2540187782913992E-2</v>
      </c>
      <c r="I342" s="85">
        <v>161.72999999999999</v>
      </c>
      <c r="J342" s="85">
        <v>170.33</v>
      </c>
      <c r="K342" s="85">
        <v>161.56899999999999</v>
      </c>
      <c r="L342" s="85">
        <v>166.53</v>
      </c>
      <c r="M342" s="86">
        <v>8124123</v>
      </c>
      <c r="N342" s="84" t="s">
        <v>383</v>
      </c>
      <c r="O342" s="25">
        <f t="shared" si="11"/>
        <v>-2.8823635381012513E-2</v>
      </c>
    </row>
    <row r="343" spans="1:15">
      <c r="A343" s="85">
        <v>618.68756869788558</v>
      </c>
      <c r="B343" s="85">
        <v>620.67978608159092</v>
      </c>
      <c r="C343" s="85">
        <v>615.15906427699429</v>
      </c>
      <c r="D343" s="85">
        <v>619.02456069313916</v>
      </c>
      <c r="E343" s="86">
        <v>14046703.205626735</v>
      </c>
      <c r="F343" s="84" t="s">
        <v>384</v>
      </c>
      <c r="G343" s="25">
        <f t="shared" si="10"/>
        <v>-5.4439196221267583E-4</v>
      </c>
      <c r="I343" s="85">
        <v>163.13999999999999</v>
      </c>
      <c r="J343" s="85">
        <v>163.66</v>
      </c>
      <c r="K343" s="85">
        <v>155.66</v>
      </c>
      <c r="L343" s="85">
        <v>157.21</v>
      </c>
      <c r="M343" s="86">
        <v>5953729</v>
      </c>
      <c r="N343" s="84" t="s">
        <v>384</v>
      </c>
      <c r="O343" s="25">
        <f t="shared" si="11"/>
        <v>3.7720246803638391E-2</v>
      </c>
    </row>
    <row r="344" spans="1:15">
      <c r="A344" s="85">
        <v>620.42208632051461</v>
      </c>
      <c r="B344" s="85">
        <v>624.98138978571103</v>
      </c>
      <c r="C344" s="85">
        <v>619.04438375168354</v>
      </c>
      <c r="D344" s="85">
        <v>624.98138978571103</v>
      </c>
      <c r="E344" s="86">
        <v>11407850.079959303</v>
      </c>
      <c r="F344" s="84" t="s">
        <v>385</v>
      </c>
      <c r="G344" s="25">
        <f t="shared" si="10"/>
        <v>-7.2951027657954803E-3</v>
      </c>
      <c r="I344" s="85">
        <v>159.85</v>
      </c>
      <c r="J344" s="85">
        <v>169.39</v>
      </c>
      <c r="K344" s="85">
        <v>159.52000000000001</v>
      </c>
      <c r="L344" s="85">
        <v>166.69</v>
      </c>
      <c r="M344" s="86">
        <v>6645071</v>
      </c>
      <c r="N344" s="84" t="s">
        <v>385</v>
      </c>
      <c r="O344" s="25">
        <f t="shared" si="11"/>
        <v>-4.1034255204271397E-2</v>
      </c>
    </row>
    <row r="345" spans="1:15">
      <c r="A345" s="85">
        <v>621.32403548428169</v>
      </c>
      <c r="B345" s="85">
        <v>627.82599868682269</v>
      </c>
      <c r="C345" s="85">
        <v>618.95517998823402</v>
      </c>
      <c r="D345" s="85">
        <v>627.20157234267617</v>
      </c>
      <c r="E345" s="86">
        <v>8580697.0513453986</v>
      </c>
      <c r="F345" s="84" t="s">
        <v>386</v>
      </c>
      <c r="G345" s="25">
        <f t="shared" si="10"/>
        <v>-9.3710493046774701E-3</v>
      </c>
      <c r="I345" s="85">
        <v>164.19</v>
      </c>
      <c r="J345" s="85">
        <v>164.67</v>
      </c>
      <c r="K345" s="85">
        <v>159.1</v>
      </c>
      <c r="L345" s="85">
        <v>164.67</v>
      </c>
      <c r="M345" s="86">
        <v>5799678</v>
      </c>
      <c r="N345" s="84" t="s">
        <v>386</v>
      </c>
      <c r="O345" s="25">
        <f t="shared" si="11"/>
        <v>-2.914920750592076E-3</v>
      </c>
    </row>
    <row r="346" spans="1:15">
      <c r="A346" s="85">
        <v>628.10352150644337</v>
      </c>
      <c r="B346" s="85">
        <v>628.26210597479803</v>
      </c>
      <c r="C346" s="85">
        <v>621.7204966551684</v>
      </c>
      <c r="D346" s="85">
        <v>624.42634414646977</v>
      </c>
      <c r="E346" s="86">
        <v>22325749.531044696</v>
      </c>
      <c r="F346" s="84" t="s">
        <v>387</v>
      </c>
      <c r="G346" s="25">
        <f t="shared" si="10"/>
        <v>5.8888888888888324E-3</v>
      </c>
      <c r="I346" s="85">
        <v>164.75</v>
      </c>
      <c r="J346" s="85">
        <v>167.57</v>
      </c>
      <c r="K346" s="85">
        <v>162.38</v>
      </c>
      <c r="L346" s="85">
        <v>167.48</v>
      </c>
      <c r="M346" s="86">
        <v>4932660</v>
      </c>
      <c r="N346" s="84" t="s">
        <v>387</v>
      </c>
      <c r="O346" s="25">
        <f t="shared" si="11"/>
        <v>-1.6300453785526581E-2</v>
      </c>
    </row>
    <row r="347" spans="1:15">
      <c r="A347" s="85">
        <v>626.56723446925764</v>
      </c>
      <c r="B347" s="85">
        <v>627.90033515636401</v>
      </c>
      <c r="C347" s="85">
        <v>620.9275743133951</v>
      </c>
      <c r="D347" s="85">
        <v>622.07731170896636</v>
      </c>
      <c r="E347" s="86">
        <v>22599171.515239444</v>
      </c>
      <c r="F347" s="84" t="s">
        <v>388</v>
      </c>
      <c r="G347" s="25">
        <f t="shared" si="10"/>
        <v>7.2176282204483577E-3</v>
      </c>
      <c r="I347" s="85">
        <v>168.42</v>
      </c>
      <c r="J347" s="85">
        <v>168.93</v>
      </c>
      <c r="K347" s="85">
        <v>158.11000000000001</v>
      </c>
      <c r="L347" s="85">
        <v>158.65</v>
      </c>
      <c r="M347" s="86">
        <v>6648029</v>
      </c>
      <c r="N347" s="84" t="s">
        <v>388</v>
      </c>
      <c r="O347" s="25">
        <f t="shared" si="11"/>
        <v>6.1582098959974685E-2</v>
      </c>
    </row>
    <row r="348" spans="1:15">
      <c r="A348" s="85">
        <v>622.54315358475822</v>
      </c>
      <c r="B348" s="85">
        <v>624.63448626118532</v>
      </c>
      <c r="C348" s="85">
        <v>622.10704629678287</v>
      </c>
      <c r="D348" s="85">
        <v>622.62244581893549</v>
      </c>
      <c r="E348" s="86">
        <v>9703690.2539440319</v>
      </c>
      <c r="F348" s="84" t="s">
        <v>389</v>
      </c>
      <c r="G348" s="25">
        <f t="shared" si="10"/>
        <v>-1.2735203285674235E-4</v>
      </c>
      <c r="I348" s="85">
        <v>159.88999999999999</v>
      </c>
      <c r="J348" s="85">
        <v>162.447</v>
      </c>
      <c r="K348" s="85">
        <v>158.09</v>
      </c>
      <c r="L348" s="85">
        <v>158.6</v>
      </c>
      <c r="M348" s="86">
        <v>4722687</v>
      </c>
      <c r="N348" s="84" t="s">
        <v>389</v>
      </c>
      <c r="O348" s="25">
        <f t="shared" si="11"/>
        <v>8.1336696090794636E-3</v>
      </c>
    </row>
    <row r="349" spans="1:15">
      <c r="A349" s="85">
        <v>623.0486415776387</v>
      </c>
      <c r="B349" s="85">
        <v>625.88333894947823</v>
      </c>
      <c r="C349" s="85">
        <v>621.15653063958212</v>
      </c>
      <c r="D349" s="85">
        <v>625.77431212748434</v>
      </c>
      <c r="E349" s="86">
        <v>6894887.5721843466</v>
      </c>
      <c r="F349" s="84" t="s">
        <v>390</v>
      </c>
      <c r="G349" s="25">
        <f t="shared" si="10"/>
        <v>-4.3556766345664855E-3</v>
      </c>
      <c r="I349" s="85">
        <v>158.41</v>
      </c>
      <c r="J349" s="85">
        <v>163.77000000000001</v>
      </c>
      <c r="K349" s="85">
        <v>156.31</v>
      </c>
      <c r="L349" s="85">
        <v>161.91</v>
      </c>
      <c r="M349" s="86">
        <v>4706834</v>
      </c>
      <c r="N349" s="84" t="s">
        <v>390</v>
      </c>
      <c r="O349" s="25">
        <f t="shared" si="11"/>
        <v>-2.1616947686986632E-2</v>
      </c>
    </row>
    <row r="350" spans="1:15">
      <c r="A350" s="85">
        <v>624.90209755153376</v>
      </c>
      <c r="B350" s="85">
        <v>627.37997986957532</v>
      </c>
      <c r="C350" s="85">
        <v>623.91094462431715</v>
      </c>
      <c r="D350" s="85">
        <v>624.72369002463472</v>
      </c>
      <c r="E350" s="86">
        <v>5052250.6290349569</v>
      </c>
      <c r="F350" s="84" t="s">
        <v>391</v>
      </c>
      <c r="G350" s="25">
        <f t="shared" si="10"/>
        <v>2.8557829604958229E-4</v>
      </c>
      <c r="I350" s="85">
        <v>161.08000000000001</v>
      </c>
      <c r="J350" s="85">
        <v>163.15</v>
      </c>
      <c r="K350" s="85">
        <v>158.94</v>
      </c>
      <c r="L350" s="85">
        <v>161.94999999999999</v>
      </c>
      <c r="M350" s="86">
        <v>5309580</v>
      </c>
      <c r="N350" s="84" t="s">
        <v>391</v>
      </c>
      <c r="O350" s="25">
        <f t="shared" si="11"/>
        <v>-5.3720284038282218E-3</v>
      </c>
    </row>
    <row r="351" spans="1:15">
      <c r="A351" s="85">
        <v>623.732537097418</v>
      </c>
      <c r="B351" s="85">
        <v>624.6047516733687</v>
      </c>
      <c r="C351" s="85">
        <v>620.93748584266723</v>
      </c>
      <c r="D351" s="85">
        <v>624.55519402700793</v>
      </c>
      <c r="E351" s="86">
        <v>5160085.6533436133</v>
      </c>
      <c r="F351" s="84" t="s">
        <v>392</v>
      </c>
      <c r="G351" s="25">
        <f t="shared" si="10"/>
        <v>-1.3171885166555208E-3</v>
      </c>
      <c r="I351" s="85">
        <v>162.31</v>
      </c>
      <c r="J351" s="85">
        <v>163.26</v>
      </c>
      <c r="K351" s="85">
        <v>157.87</v>
      </c>
      <c r="L351" s="85">
        <v>160.34</v>
      </c>
      <c r="M351" s="86">
        <v>5281652</v>
      </c>
      <c r="N351" s="84" t="s">
        <v>392</v>
      </c>
      <c r="O351" s="25">
        <f t="shared" si="11"/>
        <v>1.2286391418236287E-2</v>
      </c>
    </row>
    <row r="352" spans="1:15">
      <c r="A352" s="85">
        <v>623.20722604599325</v>
      </c>
      <c r="B352" s="85">
        <v>624.2082905024821</v>
      </c>
      <c r="C352" s="85">
        <v>619.42102186402587</v>
      </c>
      <c r="D352" s="85">
        <v>620.23376726434344</v>
      </c>
      <c r="E352" s="86">
        <v>5195495.9306441704</v>
      </c>
      <c r="F352" s="84" t="s">
        <v>393</v>
      </c>
      <c r="G352" s="25">
        <f t="shared" si="10"/>
        <v>4.7940936765904496E-3</v>
      </c>
      <c r="I352" s="85">
        <v>160</v>
      </c>
      <c r="J352" s="85">
        <v>161.22499999999999</v>
      </c>
      <c r="K352" s="85">
        <v>155.19999999999999</v>
      </c>
      <c r="L352" s="85">
        <v>156</v>
      </c>
      <c r="M352" s="86">
        <v>5062919</v>
      </c>
      <c r="N352" s="84" t="s">
        <v>393</v>
      </c>
      <c r="O352" s="25">
        <f t="shared" si="11"/>
        <v>2.564102564102555E-2</v>
      </c>
    </row>
    <row r="353" spans="1:15">
      <c r="A353" s="85">
        <v>621.03660113538899</v>
      </c>
      <c r="B353" s="85">
        <v>623.20722604599325</v>
      </c>
      <c r="C353" s="85">
        <v>619.09394139804431</v>
      </c>
      <c r="D353" s="85">
        <v>621.46279689409209</v>
      </c>
      <c r="E353" s="86">
        <v>5303719.3914790461</v>
      </c>
      <c r="F353" s="84" t="s">
        <v>394</v>
      </c>
      <c r="G353" s="25">
        <f t="shared" si="10"/>
        <v>-6.8579448493633066E-4</v>
      </c>
      <c r="I353" s="85">
        <v>156.83000000000001</v>
      </c>
      <c r="J353" s="85">
        <v>158.73990000000001</v>
      </c>
      <c r="K353" s="85">
        <v>152.13</v>
      </c>
      <c r="L353" s="85">
        <v>153.46</v>
      </c>
      <c r="M353" s="86">
        <v>7898698</v>
      </c>
      <c r="N353" s="84" t="s">
        <v>394</v>
      </c>
      <c r="O353" s="25">
        <f t="shared" si="11"/>
        <v>2.1960119900951369E-2</v>
      </c>
    </row>
    <row r="354" spans="1:15">
      <c r="A354" s="85">
        <v>619.98597903253926</v>
      </c>
      <c r="B354" s="85">
        <v>622.4539498213087</v>
      </c>
      <c r="C354" s="85">
        <v>618.57854187589169</v>
      </c>
      <c r="D354" s="85">
        <v>618.64792258079683</v>
      </c>
      <c r="E354" s="86">
        <v>8456174.3902999498</v>
      </c>
      <c r="F354" s="84" t="s">
        <v>395</v>
      </c>
      <c r="G354" s="25">
        <f t="shared" si="10"/>
        <v>2.1628722944069256E-3</v>
      </c>
      <c r="I354" s="85">
        <v>149.28</v>
      </c>
      <c r="J354" s="85">
        <v>155.56</v>
      </c>
      <c r="K354" s="85">
        <v>149.09</v>
      </c>
      <c r="L354" s="85">
        <v>152.80000000000001</v>
      </c>
      <c r="M354" s="86">
        <v>11427017</v>
      </c>
      <c r="N354" s="84" t="s">
        <v>395</v>
      </c>
      <c r="O354" s="25">
        <f t="shared" si="11"/>
        <v>-2.3036649214659755E-2</v>
      </c>
    </row>
    <row r="355" spans="1:15">
      <c r="A355" s="85">
        <v>622.85041099219529</v>
      </c>
      <c r="B355" s="85">
        <v>623.06846463618297</v>
      </c>
      <c r="C355" s="85">
        <v>620.16934232407436</v>
      </c>
      <c r="D355" s="85">
        <v>620.48651126078369</v>
      </c>
      <c r="E355" s="86">
        <v>2975491.3888837793</v>
      </c>
      <c r="F355" s="84" t="s">
        <v>396</v>
      </c>
      <c r="G355" s="25">
        <f t="shared" si="10"/>
        <v>3.8097520067088553E-3</v>
      </c>
      <c r="I355" s="85">
        <v>158.63999999999999</v>
      </c>
      <c r="J355" s="85">
        <v>161</v>
      </c>
      <c r="K355" s="85">
        <v>157.85</v>
      </c>
      <c r="L355" s="85">
        <v>160</v>
      </c>
      <c r="M355" s="86">
        <v>4188334</v>
      </c>
      <c r="N355" s="84" t="s">
        <v>396</v>
      </c>
      <c r="O355" s="25">
        <f t="shared" si="11"/>
        <v>-8.5000000000000631E-3</v>
      </c>
    </row>
    <row r="356" spans="1:15">
      <c r="A356" s="85">
        <v>619.42102186402587</v>
      </c>
      <c r="B356" s="85">
        <v>621.26456630864868</v>
      </c>
      <c r="C356" s="85">
        <v>616.75482048981314</v>
      </c>
      <c r="D356" s="85">
        <v>617.54774283158633</v>
      </c>
      <c r="E356" s="86">
        <v>5339774.3725205241</v>
      </c>
      <c r="F356" s="84" t="s">
        <v>397</v>
      </c>
      <c r="G356" s="25">
        <f t="shared" si="10"/>
        <v>3.033415722402566E-3</v>
      </c>
      <c r="I356" s="85">
        <v>159.34</v>
      </c>
      <c r="J356" s="85">
        <v>160.58000000000001</v>
      </c>
      <c r="K356" s="85">
        <v>157.41999999999999</v>
      </c>
      <c r="L356" s="85">
        <v>158.32</v>
      </c>
      <c r="M356" s="86">
        <v>4721578</v>
      </c>
      <c r="N356" s="84" t="s">
        <v>397</v>
      </c>
      <c r="O356" s="25">
        <f t="shared" si="11"/>
        <v>6.442647801920165E-3</v>
      </c>
    </row>
    <row r="357" spans="1:15">
      <c r="A357" s="85">
        <v>615.16897580626653</v>
      </c>
      <c r="B357" s="85">
        <v>616.24933249693265</v>
      </c>
      <c r="C357" s="85">
        <v>605.58452700008183</v>
      </c>
      <c r="D357" s="85">
        <v>609.34099659423282</v>
      </c>
      <c r="E357" s="86">
        <v>7354974.9991373178</v>
      </c>
      <c r="F357" s="84" t="s">
        <v>398</v>
      </c>
      <c r="G357" s="25">
        <f t="shared" si="10"/>
        <v>9.5643970200722794E-3</v>
      </c>
      <c r="I357" s="85">
        <v>157.37</v>
      </c>
      <c r="J357" s="85">
        <v>158.31</v>
      </c>
      <c r="K357" s="85">
        <v>151.38</v>
      </c>
      <c r="L357" s="85">
        <v>154.58000000000001</v>
      </c>
      <c r="M357" s="86">
        <v>7950810</v>
      </c>
      <c r="N357" s="84" t="s">
        <v>398</v>
      </c>
      <c r="O357" s="25">
        <f t="shared" si="11"/>
        <v>1.8048906714969615E-2</v>
      </c>
    </row>
    <row r="358" spans="1:15">
      <c r="A358" s="85">
        <v>609.49958106258748</v>
      </c>
      <c r="B358" s="85">
        <v>610.63940692888661</v>
      </c>
      <c r="C358" s="85">
        <v>602.92328139050517</v>
      </c>
      <c r="D358" s="85">
        <v>603.88965549454133</v>
      </c>
      <c r="E358" s="86">
        <v>6274066.119607918</v>
      </c>
      <c r="F358" s="84" t="s">
        <v>399</v>
      </c>
      <c r="G358" s="25">
        <f t="shared" si="10"/>
        <v>9.2896533613446852E-3</v>
      </c>
      <c r="I358" s="85">
        <v>155.31</v>
      </c>
      <c r="J358" s="85">
        <v>156.35</v>
      </c>
      <c r="K358" s="85">
        <v>147.08000000000001</v>
      </c>
      <c r="L358" s="85">
        <v>149.02000000000001</v>
      </c>
      <c r="M358" s="86">
        <v>9008550</v>
      </c>
      <c r="N358" s="84" t="s">
        <v>399</v>
      </c>
      <c r="O358" s="25">
        <f t="shared" si="11"/>
        <v>4.2209099449738163E-2</v>
      </c>
    </row>
    <row r="359" spans="1:15">
      <c r="A359" s="85">
        <v>600.56929318836569</v>
      </c>
      <c r="B359" s="85">
        <v>605.6043500586261</v>
      </c>
      <c r="C359" s="85">
        <v>593.08608858788023</v>
      </c>
      <c r="D359" s="85">
        <v>596.9218504162086</v>
      </c>
      <c r="E359" s="86">
        <v>9877250.7563410588</v>
      </c>
      <c r="F359" s="84" t="s">
        <v>400</v>
      </c>
      <c r="G359" s="25">
        <f t="shared" si="10"/>
        <v>6.1104192611041164E-3</v>
      </c>
      <c r="I359" s="85">
        <v>147.80000000000001</v>
      </c>
      <c r="J359" s="85">
        <v>149.88</v>
      </c>
      <c r="K359" s="85">
        <v>142.43</v>
      </c>
      <c r="L359" s="85">
        <v>144.57</v>
      </c>
      <c r="M359" s="86">
        <v>9220182</v>
      </c>
      <c r="N359" s="84" t="s">
        <v>400</v>
      </c>
      <c r="O359" s="25">
        <f t="shared" si="11"/>
        <v>2.234211800511865E-2</v>
      </c>
    </row>
    <row r="360" spans="1:15">
      <c r="A360" s="85">
        <v>594.65211021288258</v>
      </c>
      <c r="B360" s="85">
        <v>615.63362829854566</v>
      </c>
      <c r="C360" s="85">
        <v>594.05741845655257</v>
      </c>
      <c r="D360" s="85">
        <v>613.24613912746634</v>
      </c>
      <c r="E360" s="86">
        <v>13981349.012321869</v>
      </c>
      <c r="F360" s="84" t="s">
        <v>401</v>
      </c>
      <c r="G360" s="25">
        <f t="shared" si="10"/>
        <v>-3.0320662011895538E-2</v>
      </c>
      <c r="I360" s="85">
        <v>144.56</v>
      </c>
      <c r="J360" s="85">
        <v>154.87</v>
      </c>
      <c r="K360" s="85">
        <v>143.81</v>
      </c>
      <c r="L360" s="85">
        <v>154.48500000000001</v>
      </c>
      <c r="M360" s="86">
        <v>13038567</v>
      </c>
      <c r="N360" s="84" t="s">
        <v>401</v>
      </c>
      <c r="O360" s="25">
        <f t="shared" si="11"/>
        <v>-6.4245719649156929E-2</v>
      </c>
    </row>
    <row r="361" spans="1:15">
      <c r="A361" s="85">
        <v>603.81036326036417</v>
      </c>
      <c r="B361" s="85">
        <v>608.14160243700792</v>
      </c>
      <c r="C361" s="85">
        <v>600.31159342728938</v>
      </c>
      <c r="D361" s="85">
        <v>602.14522634264017</v>
      </c>
      <c r="E361" s="86">
        <v>7362433.9893667689</v>
      </c>
      <c r="F361" s="84" t="s">
        <v>402</v>
      </c>
      <c r="G361" s="25">
        <f t="shared" si="10"/>
        <v>2.7653410587307192E-3</v>
      </c>
      <c r="I361" s="85">
        <v>146</v>
      </c>
      <c r="J361" s="85">
        <v>147.05000000000001</v>
      </c>
      <c r="K361" s="85">
        <v>140.61269999999999</v>
      </c>
      <c r="L361" s="85">
        <v>141.69999999999999</v>
      </c>
      <c r="M361" s="86">
        <v>9259547</v>
      </c>
      <c r="N361" s="84" t="s">
        <v>402</v>
      </c>
      <c r="O361" s="25">
        <f t="shared" si="11"/>
        <v>3.034580098800288E-2</v>
      </c>
    </row>
    <row r="362" spans="1:15">
      <c r="A362" s="85">
        <v>601.62982682048755</v>
      </c>
      <c r="B362" s="85">
        <v>606.09992652223445</v>
      </c>
      <c r="C362" s="85">
        <v>597.66521511162102</v>
      </c>
      <c r="D362" s="85">
        <v>603.33460985530007</v>
      </c>
      <c r="E362" s="86">
        <v>8561307.5106677879</v>
      </c>
      <c r="F362" s="84" t="s">
        <v>403</v>
      </c>
      <c r="G362" s="25">
        <f t="shared" si="10"/>
        <v>-2.8256012616637571E-3</v>
      </c>
      <c r="I362" s="85">
        <v>140.44999999999999</v>
      </c>
      <c r="J362" s="85">
        <v>142.41999999999999</v>
      </c>
      <c r="K362" s="85">
        <v>136.18</v>
      </c>
      <c r="L362" s="85">
        <v>137.5</v>
      </c>
      <c r="M362" s="86">
        <v>12743304</v>
      </c>
      <c r="N362" s="84" t="s">
        <v>403</v>
      </c>
      <c r="O362" s="25">
        <f t="shared" si="11"/>
        <v>2.1454545454545393E-2</v>
      </c>
    </row>
    <row r="363" spans="1:15">
      <c r="A363" s="85">
        <v>606.62523757365921</v>
      </c>
      <c r="B363" s="85">
        <v>613.96819403494351</v>
      </c>
      <c r="C363" s="85">
        <v>603.42381361874948</v>
      </c>
      <c r="D363" s="85">
        <v>610.29250340436079</v>
      </c>
      <c r="E363" s="86">
        <v>8937943.6378982458</v>
      </c>
      <c r="F363" s="84" t="s">
        <v>404</v>
      </c>
      <c r="G363" s="25">
        <f t="shared" si="10"/>
        <v>-6.0090297852991581E-3</v>
      </c>
      <c r="I363" s="85">
        <v>139.93</v>
      </c>
      <c r="J363" s="85">
        <v>145.30000000000001</v>
      </c>
      <c r="K363" s="85">
        <v>138.71</v>
      </c>
      <c r="L363" s="85">
        <v>143.65</v>
      </c>
      <c r="M363" s="86">
        <v>11665202</v>
      </c>
      <c r="N363" s="84" t="s">
        <v>404</v>
      </c>
      <c r="O363" s="25">
        <f t="shared" si="11"/>
        <v>-2.5896275670031277E-2</v>
      </c>
    </row>
    <row r="364" spans="1:15">
      <c r="A364" s="85">
        <v>612.36401302224351</v>
      </c>
      <c r="B364" s="85">
        <v>615.72392233021515</v>
      </c>
      <c r="C364" s="85">
        <v>604.43478960451057</v>
      </c>
      <c r="D364" s="85">
        <v>606.33780322476639</v>
      </c>
      <c r="E364" s="86">
        <v>9738048.2213826496</v>
      </c>
      <c r="F364" s="84" t="s">
        <v>405</v>
      </c>
      <c r="G364" s="25">
        <f t="shared" si="10"/>
        <v>9.9387004495301579E-3</v>
      </c>
      <c r="I364" s="85">
        <v>146.04</v>
      </c>
      <c r="J364" s="85">
        <v>149.72</v>
      </c>
      <c r="K364" s="85">
        <v>141</v>
      </c>
      <c r="L364" s="85">
        <v>142.33000000000001</v>
      </c>
      <c r="M364" s="86">
        <v>8251150</v>
      </c>
      <c r="N364" s="84" t="s">
        <v>405</v>
      </c>
      <c r="O364" s="25">
        <f t="shared" si="11"/>
        <v>2.6066184219770916E-2</v>
      </c>
    </row>
    <row r="365" spans="1:15">
      <c r="A365" s="85">
        <v>612.52259749059817</v>
      </c>
      <c r="B365" s="85">
        <v>620.48155549614762</v>
      </c>
      <c r="C365" s="85">
        <v>611.05569115831759</v>
      </c>
      <c r="D365" s="85">
        <v>620.13465197162179</v>
      </c>
      <c r="E365" s="86">
        <v>10620360.098779622</v>
      </c>
      <c r="F365" s="84" t="s">
        <v>406</v>
      </c>
      <c r="G365" s="25">
        <f t="shared" si="10"/>
        <v>-1.2274841370051304E-2</v>
      </c>
      <c r="I365" s="85">
        <v>146.34</v>
      </c>
      <c r="J365" s="85">
        <v>155</v>
      </c>
      <c r="K365" s="85">
        <v>143.80000000000001</v>
      </c>
      <c r="L365" s="85">
        <v>153.84</v>
      </c>
      <c r="M365" s="86">
        <v>10276586</v>
      </c>
      <c r="N365" s="84" t="s">
        <v>406</v>
      </c>
      <c r="O365" s="25">
        <f t="shared" si="11"/>
        <v>-4.8751950078003148E-2</v>
      </c>
    </row>
    <row r="366" spans="1:15">
      <c r="A366" s="85">
        <v>622.66209193602413</v>
      </c>
      <c r="B366" s="85">
        <v>624.19837897320986</v>
      </c>
      <c r="C366" s="85">
        <v>620.56084773032489</v>
      </c>
      <c r="D366" s="85">
        <v>624.07944062194395</v>
      </c>
      <c r="E366" s="86">
        <v>6119969.8184156204</v>
      </c>
      <c r="F366" s="84" t="s">
        <v>407</v>
      </c>
      <c r="G366" s="25">
        <f t="shared" si="10"/>
        <v>-2.2711029937267924E-3</v>
      </c>
      <c r="I366" s="85">
        <v>156.59</v>
      </c>
      <c r="J366" s="85">
        <v>160.494</v>
      </c>
      <c r="K366" s="85">
        <v>156.22999999999999</v>
      </c>
      <c r="L366" s="85">
        <v>160.11000000000001</v>
      </c>
      <c r="M366" s="86">
        <v>5630180</v>
      </c>
      <c r="N366" s="84" t="s">
        <v>407</v>
      </c>
      <c r="O366" s="25">
        <f t="shared" si="11"/>
        <v>-2.1984885391293507E-2</v>
      </c>
    </row>
    <row r="367" spans="1:15">
      <c r="A367" s="85">
        <v>622.35483452858693</v>
      </c>
      <c r="B367" s="85">
        <v>622.92970322637268</v>
      </c>
      <c r="C367" s="85">
        <v>618.54880728807518</v>
      </c>
      <c r="D367" s="85">
        <v>619.6291639787413</v>
      </c>
      <c r="E367" s="86">
        <v>5660956.8976975149</v>
      </c>
      <c r="F367" s="84" t="s">
        <v>408</v>
      </c>
      <c r="G367" s="25">
        <f t="shared" si="10"/>
        <v>4.3988738882845269E-3</v>
      </c>
      <c r="I367" s="85">
        <v>158.94</v>
      </c>
      <c r="J367" s="85">
        <v>160.04</v>
      </c>
      <c r="K367" s="85">
        <v>155.52000000000001</v>
      </c>
      <c r="L367" s="85">
        <v>156.83000000000001</v>
      </c>
      <c r="M367" s="86">
        <v>5074059</v>
      </c>
      <c r="N367" s="84" t="s">
        <v>408</v>
      </c>
      <c r="O367" s="25">
        <f t="shared" si="11"/>
        <v>1.3454058534718927E-2</v>
      </c>
    </row>
    <row r="368" spans="1:15">
      <c r="A368" s="85">
        <v>620.9275743133951</v>
      </c>
      <c r="B368" s="85">
        <v>621.66102747953539</v>
      </c>
      <c r="C368" s="85">
        <v>615.16897580626653</v>
      </c>
      <c r="D368" s="85">
        <v>617.18101624851636</v>
      </c>
      <c r="E368" s="86">
        <v>8458626.0805823188</v>
      </c>
      <c r="F368" s="84" t="s">
        <v>409</v>
      </c>
      <c r="G368" s="25">
        <f t="shared" si="10"/>
        <v>6.0704363326855582E-3</v>
      </c>
      <c r="I368" s="85">
        <v>158.88</v>
      </c>
      <c r="J368" s="85">
        <v>159.63</v>
      </c>
      <c r="K368" s="85">
        <v>155.75</v>
      </c>
      <c r="L368" s="85">
        <v>157.11500000000001</v>
      </c>
      <c r="M368" s="86">
        <v>9459688</v>
      </c>
      <c r="N368" s="84" t="s">
        <v>409</v>
      </c>
      <c r="O368" s="25">
        <f t="shared" si="11"/>
        <v>1.1233809629888958E-2</v>
      </c>
    </row>
    <row r="369" spans="1:15">
      <c r="A369" s="85">
        <v>611.43232927065981</v>
      </c>
      <c r="B369" s="85">
        <v>611.56117915119796</v>
      </c>
      <c r="C369" s="85">
        <v>602.54168751352677</v>
      </c>
      <c r="D369" s="85">
        <v>608.65710107445341</v>
      </c>
      <c r="E369" s="86">
        <v>7594386.0864519393</v>
      </c>
      <c r="F369" s="84" t="s">
        <v>410</v>
      </c>
      <c r="G369" s="25">
        <f t="shared" si="10"/>
        <v>4.5595922421792778E-3</v>
      </c>
      <c r="I369" s="85">
        <v>152.41</v>
      </c>
      <c r="J369" s="85">
        <v>154</v>
      </c>
      <c r="K369" s="85">
        <v>146.88</v>
      </c>
      <c r="L369" s="85">
        <v>153.94499999999999</v>
      </c>
      <c r="M369" s="86">
        <v>10067983</v>
      </c>
      <c r="N369" s="84" t="s">
        <v>410</v>
      </c>
      <c r="O369" s="25">
        <f t="shared" si="11"/>
        <v>-9.9710935723796856E-3</v>
      </c>
    </row>
    <row r="370" spans="1:15">
      <c r="A370" s="85">
        <v>610.78807986796903</v>
      </c>
      <c r="B370" s="85">
        <v>617.28013154123789</v>
      </c>
      <c r="C370" s="85">
        <v>609.38064271132157</v>
      </c>
      <c r="D370" s="85">
        <v>616.45747461164819</v>
      </c>
      <c r="E370" s="86">
        <v>7094884.9636632465</v>
      </c>
      <c r="F370" s="84" t="s">
        <v>411</v>
      </c>
      <c r="G370" s="25">
        <f t="shared" si="10"/>
        <v>-9.1967329088689098E-3</v>
      </c>
      <c r="I370" s="85">
        <v>156.05000000000001</v>
      </c>
      <c r="J370" s="85">
        <v>163.09</v>
      </c>
      <c r="K370" s="85">
        <v>155.34</v>
      </c>
      <c r="L370" s="85">
        <v>162.42500000000001</v>
      </c>
      <c r="M370" s="86">
        <v>9635424</v>
      </c>
      <c r="N370" s="84" t="s">
        <v>411</v>
      </c>
      <c r="O370" s="25">
        <f t="shared" si="11"/>
        <v>-3.9248884100353987E-2</v>
      </c>
    </row>
    <row r="371" spans="1:15">
      <c r="A371" s="85">
        <v>617.34951224614315</v>
      </c>
      <c r="B371" s="85">
        <v>620.46173243760325</v>
      </c>
      <c r="C371" s="85">
        <v>614.34631887667672</v>
      </c>
      <c r="D371" s="85">
        <v>615.09959510136139</v>
      </c>
      <c r="E371" s="86">
        <v>10356082.011304678</v>
      </c>
      <c r="F371" s="84" t="s">
        <v>412</v>
      </c>
      <c r="G371" s="25">
        <f t="shared" si="10"/>
        <v>3.6578095038592995E-3</v>
      </c>
      <c r="I371" s="85">
        <v>162.91999999999999</v>
      </c>
      <c r="J371" s="85">
        <v>166.685</v>
      </c>
      <c r="K371" s="85">
        <v>156.23099999999999</v>
      </c>
      <c r="L371" s="85">
        <v>159.56</v>
      </c>
      <c r="M371" s="86">
        <v>8703811</v>
      </c>
      <c r="N371" s="84" t="s">
        <v>412</v>
      </c>
      <c r="O371" s="25">
        <f t="shared" si="11"/>
        <v>2.10579092504386E-2</v>
      </c>
    </row>
    <row r="372" spans="1:15">
      <c r="A372" s="85">
        <v>615.49605627224798</v>
      </c>
      <c r="B372" s="85">
        <v>619.63907550801343</v>
      </c>
      <c r="C372" s="85">
        <v>614.71304545974692</v>
      </c>
      <c r="D372" s="85">
        <v>616.150217204211</v>
      </c>
      <c r="E372" s="86">
        <v>8276576.4744668305</v>
      </c>
      <c r="F372" s="84" t="s">
        <v>413</v>
      </c>
      <c r="G372" s="25">
        <f t="shared" si="10"/>
        <v>-1.061690661948167E-3</v>
      </c>
      <c r="I372" s="85">
        <v>160.94</v>
      </c>
      <c r="J372" s="85">
        <v>174.13390000000001</v>
      </c>
      <c r="K372" s="85">
        <v>160.46</v>
      </c>
      <c r="L372" s="85">
        <v>163.065</v>
      </c>
      <c r="M372" s="86">
        <v>14930346</v>
      </c>
      <c r="N372" s="84" t="s">
        <v>413</v>
      </c>
      <c r="O372" s="25">
        <f t="shared" si="11"/>
        <v>-1.3031613160396138E-2</v>
      </c>
    </row>
    <row r="373" spans="1:15">
      <c r="A373" s="85">
        <v>622.71164958238501</v>
      </c>
      <c r="B373" s="85">
        <v>624.96156672716666</v>
      </c>
      <c r="C373" s="85">
        <v>619.6291639787413</v>
      </c>
      <c r="D373" s="85">
        <v>624.84262837590063</v>
      </c>
      <c r="E373" s="86">
        <v>5559411.518335483</v>
      </c>
      <c r="F373" s="84" t="s">
        <v>414</v>
      </c>
      <c r="G373" s="25">
        <f t="shared" si="10"/>
        <v>-3.4104247961674883E-3</v>
      </c>
      <c r="I373" s="85">
        <v>172.94</v>
      </c>
      <c r="J373" s="85">
        <v>178.37520000000001</v>
      </c>
      <c r="K373" s="85">
        <v>169.72</v>
      </c>
      <c r="L373" s="85">
        <v>175.5</v>
      </c>
      <c r="M373" s="86">
        <v>13392904</v>
      </c>
      <c r="N373" s="84" t="s">
        <v>414</v>
      </c>
      <c r="O373" s="25">
        <f t="shared" si="11"/>
        <v>-1.458689458689455E-2</v>
      </c>
    </row>
    <row r="374" spans="1:15">
      <c r="A374" s="85">
        <v>621.49253148190849</v>
      </c>
      <c r="B374" s="85">
        <v>624.36687497083676</v>
      </c>
      <c r="C374" s="85">
        <v>618.97500304677828</v>
      </c>
      <c r="D374" s="85">
        <v>624.26775967811511</v>
      </c>
      <c r="E374" s="86">
        <v>7081931.3622083683</v>
      </c>
      <c r="F374" s="84" t="s">
        <v>415</v>
      </c>
      <c r="G374" s="25">
        <f t="shared" si="10"/>
        <v>-4.4455734789788925E-3</v>
      </c>
      <c r="I374" s="85">
        <v>173.86</v>
      </c>
      <c r="J374" s="85">
        <v>179.76</v>
      </c>
      <c r="K374" s="85">
        <v>171.69</v>
      </c>
      <c r="L374" s="85">
        <v>178.95</v>
      </c>
      <c r="M374" s="86">
        <v>10892492</v>
      </c>
      <c r="N374" s="84" t="s">
        <v>415</v>
      </c>
      <c r="O374" s="25">
        <f t="shared" si="11"/>
        <v>-2.844369935736224E-2</v>
      </c>
    </row>
    <row r="375" spans="1:15">
      <c r="A375" s="85">
        <v>619.70845621291869</v>
      </c>
      <c r="B375" s="85">
        <v>625.05077049061617</v>
      </c>
      <c r="C375" s="85">
        <v>619.56969480310829</v>
      </c>
      <c r="D375" s="85">
        <v>623.24687216308189</v>
      </c>
      <c r="E375" s="86">
        <v>6226766.6578269275</v>
      </c>
      <c r="F375" s="84" t="s">
        <v>416</v>
      </c>
      <c r="G375" s="25">
        <f t="shared" si="10"/>
        <v>-5.6773906267392205E-3</v>
      </c>
      <c r="I375" s="85">
        <v>173.61</v>
      </c>
      <c r="J375" s="85">
        <v>178.23</v>
      </c>
      <c r="K375" s="85">
        <v>172.69</v>
      </c>
      <c r="L375" s="85">
        <v>176.92500000000001</v>
      </c>
      <c r="M375" s="86">
        <v>9357403</v>
      </c>
      <c r="N375" s="84" t="s">
        <v>416</v>
      </c>
      <c r="O375" s="25">
        <f t="shared" si="11"/>
        <v>-1.8736752861381878E-2</v>
      </c>
    </row>
    <row r="376" spans="1:15">
      <c r="A376" s="85">
        <v>626.35909235454221</v>
      </c>
      <c r="B376" s="85">
        <v>628.51980573587434</v>
      </c>
      <c r="C376" s="85">
        <v>622.3151884114983</v>
      </c>
      <c r="D376" s="85">
        <v>627.60794504283513</v>
      </c>
      <c r="E376" s="86">
        <v>6091277.9796295911</v>
      </c>
      <c r="F376" s="84" t="s">
        <v>417</v>
      </c>
      <c r="G376" s="25">
        <f t="shared" si="10"/>
        <v>-1.9898611834935354E-3</v>
      </c>
      <c r="I376" s="85">
        <v>179.01</v>
      </c>
      <c r="J376" s="85">
        <v>182.19</v>
      </c>
      <c r="K376" s="85">
        <v>176.3</v>
      </c>
      <c r="L376" s="85">
        <v>180</v>
      </c>
      <c r="M376" s="86">
        <v>10738223</v>
      </c>
      <c r="N376" s="84" t="s">
        <v>417</v>
      </c>
      <c r="O376" s="25">
        <f t="shared" si="11"/>
        <v>-5.5000000000000604E-3</v>
      </c>
    </row>
    <row r="377" spans="1:15">
      <c r="A377" s="85">
        <v>626.1013925934659</v>
      </c>
      <c r="B377" s="85">
        <v>627.78635256973405</v>
      </c>
      <c r="C377" s="85">
        <v>624.0695290926717</v>
      </c>
      <c r="D377" s="85">
        <v>626.12121565201016</v>
      </c>
      <c r="E377" s="86">
        <v>5625042.1573758936</v>
      </c>
      <c r="F377" s="84" t="s">
        <v>418</v>
      </c>
      <c r="G377" s="25">
        <f t="shared" si="10"/>
        <v>-3.1660097196350989E-5</v>
      </c>
      <c r="I377" s="85">
        <v>178.96</v>
      </c>
      <c r="J377" s="85">
        <v>179.6</v>
      </c>
      <c r="K377" s="85">
        <v>172.8</v>
      </c>
      <c r="L377" s="85">
        <v>173.42500000000001</v>
      </c>
      <c r="M377" s="86">
        <v>7114806</v>
      </c>
      <c r="N377" s="84" t="s">
        <v>418</v>
      </c>
      <c r="O377" s="25">
        <f t="shared" si="11"/>
        <v>3.1915813752342537E-2</v>
      </c>
    </row>
    <row r="378" spans="1:15">
      <c r="A378" s="85">
        <v>624.42634414646977</v>
      </c>
      <c r="B378" s="85">
        <v>624.71377849536248</v>
      </c>
      <c r="C378" s="85">
        <v>621.61146983317451</v>
      </c>
      <c r="D378" s="85">
        <v>622.18633853096014</v>
      </c>
      <c r="E378" s="86">
        <v>7873977.6533942977</v>
      </c>
      <c r="F378" s="84" t="s">
        <v>419</v>
      </c>
      <c r="G378" s="25">
        <f t="shared" si="10"/>
        <v>3.600216650205601E-3</v>
      </c>
      <c r="I378" s="85">
        <v>175.06</v>
      </c>
      <c r="J378" s="85">
        <v>176.88</v>
      </c>
      <c r="K378" s="85">
        <v>172.63499999999999</v>
      </c>
      <c r="L378" s="85">
        <v>174.78</v>
      </c>
      <c r="M378" s="86">
        <v>9929506</v>
      </c>
      <c r="N378" s="84" t="s">
        <v>419</v>
      </c>
      <c r="O378" s="25">
        <f t="shared" si="11"/>
        <v>1.602013960407378E-3</v>
      </c>
    </row>
    <row r="379" spans="1:15">
      <c r="A379" s="85">
        <v>617.04225483870584</v>
      </c>
      <c r="B379" s="85">
        <v>618.27118535316185</v>
      </c>
      <c r="C379" s="85">
        <v>615.71113645745402</v>
      </c>
      <c r="D379" s="85">
        <v>616.41782849455944</v>
      </c>
      <c r="E379" s="86">
        <v>5701283.6716013607</v>
      </c>
      <c r="F379" s="84" t="s">
        <v>420</v>
      </c>
      <c r="G379" s="25">
        <f t="shared" si="10"/>
        <v>1.0129920246975122E-3</v>
      </c>
      <c r="I379" s="85">
        <v>172.95</v>
      </c>
      <c r="J379" s="85">
        <v>174.74</v>
      </c>
      <c r="K379" s="85">
        <v>168.5</v>
      </c>
      <c r="L379" s="85">
        <v>168.5</v>
      </c>
      <c r="M379" s="86">
        <v>7566490</v>
      </c>
      <c r="N379" s="84" t="s">
        <v>420</v>
      </c>
      <c r="O379" s="25">
        <f t="shared" si="11"/>
        <v>2.6409495548961326E-2</v>
      </c>
    </row>
    <row r="380" spans="1:15">
      <c r="A380" s="85">
        <v>611.97746338062905</v>
      </c>
      <c r="B380" s="85">
        <v>613.00231550737101</v>
      </c>
      <c r="C380" s="85">
        <v>608.55798578173165</v>
      </c>
      <c r="D380" s="85">
        <v>608.81568554280796</v>
      </c>
      <c r="E380" s="86">
        <v>5877357.4087693281</v>
      </c>
      <c r="F380" s="84" t="s">
        <v>421</v>
      </c>
      <c r="G380" s="25">
        <f t="shared" si="10"/>
        <v>5.1933251933253821E-3</v>
      </c>
      <c r="I380" s="85">
        <v>167.03</v>
      </c>
      <c r="J380" s="85">
        <v>167.67</v>
      </c>
      <c r="K380" s="85">
        <v>162.14070000000001</v>
      </c>
      <c r="L380" s="85">
        <v>162.5</v>
      </c>
      <c r="M380" s="86">
        <v>5913837</v>
      </c>
      <c r="N380" s="84" t="s">
        <v>421</v>
      </c>
      <c r="O380" s="25">
        <f t="shared" si="11"/>
        <v>2.7876923076923132E-2</v>
      </c>
    </row>
    <row r="381" spans="1:15">
      <c r="A381" s="85">
        <v>608.53816272318738</v>
      </c>
      <c r="B381" s="85">
        <v>612.36401302224351</v>
      </c>
      <c r="C381" s="85">
        <v>604.43478960451057</v>
      </c>
      <c r="D381" s="85">
        <v>612.36401302224351</v>
      </c>
      <c r="E381" s="86">
        <v>6173644.683856817</v>
      </c>
      <c r="F381" s="84" t="s">
        <v>422</v>
      </c>
      <c r="G381" s="25">
        <f t="shared" ref="G381:G438" si="12">A381/D381-1</f>
        <v>-6.247673308191537E-3</v>
      </c>
      <c r="I381" s="85">
        <v>162.01</v>
      </c>
      <c r="J381" s="85">
        <v>163.35</v>
      </c>
      <c r="K381" s="85">
        <v>159.23419999999999</v>
      </c>
      <c r="L381" s="85">
        <v>162.49</v>
      </c>
      <c r="M381" s="86">
        <v>5900207</v>
      </c>
      <c r="N381" s="84" t="s">
        <v>422</v>
      </c>
      <c r="O381" s="25">
        <f t="shared" ref="O381:O438" si="13">I381/L381-1</f>
        <v>-2.9540279401810698E-3</v>
      </c>
    </row>
    <row r="382" spans="1:15">
      <c r="A382" s="85">
        <v>611.63055985610322</v>
      </c>
      <c r="B382" s="85">
        <v>613.2659621860106</v>
      </c>
      <c r="C382" s="85">
        <v>610.53137125981993</v>
      </c>
      <c r="D382" s="85">
        <v>611.86843655863527</v>
      </c>
      <c r="E382" s="86">
        <v>4193228.8003944606</v>
      </c>
      <c r="F382" s="84" t="s">
        <v>423</v>
      </c>
      <c r="G382" s="25">
        <f t="shared" si="12"/>
        <v>-3.8877099768364065E-4</v>
      </c>
      <c r="I382" s="85">
        <v>162.63999999999999</v>
      </c>
      <c r="J382" s="85">
        <v>165.2</v>
      </c>
      <c r="K382" s="85">
        <v>161.11000000000001</v>
      </c>
      <c r="L382" s="85">
        <v>164.79</v>
      </c>
      <c r="M382" s="86">
        <v>6103020</v>
      </c>
      <c r="N382" s="84" t="s">
        <v>423</v>
      </c>
      <c r="O382" s="25">
        <f t="shared" si="13"/>
        <v>-1.3046908186176376E-2</v>
      </c>
    </row>
    <row r="383" spans="1:15">
      <c r="A383" s="85">
        <v>611.70985209028049</v>
      </c>
      <c r="B383" s="85">
        <v>612.54242054914243</v>
      </c>
      <c r="C383" s="85">
        <v>608.08223237666766</v>
      </c>
      <c r="D383" s="85">
        <v>608.08223237666766</v>
      </c>
      <c r="E383" s="86">
        <v>4085368.5529347514</v>
      </c>
      <c r="F383" s="84" t="s">
        <v>424</v>
      </c>
      <c r="G383" s="25">
        <f t="shared" si="12"/>
        <v>5.9656729311665657E-3</v>
      </c>
      <c r="I383" s="85">
        <v>164.71</v>
      </c>
      <c r="J383" s="85">
        <v>165.08</v>
      </c>
      <c r="K383" s="85">
        <v>159.42500000000001</v>
      </c>
      <c r="L383" s="85">
        <v>159.42500000000001</v>
      </c>
      <c r="M383" s="86">
        <v>6223377</v>
      </c>
      <c r="N383" s="84" t="s">
        <v>424</v>
      </c>
      <c r="O383" s="25">
        <f t="shared" si="13"/>
        <v>3.315038419319416E-2</v>
      </c>
    </row>
    <row r="384" spans="1:15">
      <c r="A384" s="85">
        <v>605.35656182682203</v>
      </c>
      <c r="B384" s="85">
        <v>606.60541451511494</v>
      </c>
      <c r="C384" s="85">
        <v>599.74663625877599</v>
      </c>
      <c r="D384" s="85">
        <v>600.97566588852453</v>
      </c>
      <c r="E384" s="86">
        <v>6945537.6773512438</v>
      </c>
      <c r="F384" s="84" t="s">
        <v>425</v>
      </c>
      <c r="G384" s="25">
        <f t="shared" si="12"/>
        <v>7.2896394762016481E-3</v>
      </c>
      <c r="I384" s="85">
        <v>157.76</v>
      </c>
      <c r="J384" s="85">
        <v>158.9067</v>
      </c>
      <c r="K384" s="85">
        <v>154.53</v>
      </c>
      <c r="L384" s="85">
        <v>155.88</v>
      </c>
      <c r="M384" s="86">
        <v>7559641</v>
      </c>
      <c r="N384" s="84" t="s">
        <v>425</v>
      </c>
      <c r="O384" s="25">
        <f t="shared" si="13"/>
        <v>1.2060559404670324E-2</v>
      </c>
    </row>
    <row r="385" spans="1:15">
      <c r="A385" s="85">
        <v>602.01637646210202</v>
      </c>
      <c r="B385" s="85">
        <v>609.36081965277708</v>
      </c>
      <c r="C385" s="85">
        <v>598.79512944864791</v>
      </c>
      <c r="D385" s="85">
        <v>607.68577120578107</v>
      </c>
      <c r="E385" s="86">
        <v>7600450.7408911688</v>
      </c>
      <c r="F385" s="84" t="s">
        <v>426</v>
      </c>
      <c r="G385" s="25">
        <f t="shared" si="12"/>
        <v>-9.3294841056253963E-3</v>
      </c>
      <c r="I385" s="85">
        <v>156.57</v>
      </c>
      <c r="J385" s="85">
        <v>164.95</v>
      </c>
      <c r="K385" s="85">
        <v>155.88999999999999</v>
      </c>
      <c r="L385" s="85">
        <v>160.76</v>
      </c>
      <c r="M385" s="86">
        <v>8836334</v>
      </c>
      <c r="N385" s="84" t="s">
        <v>426</v>
      </c>
      <c r="O385" s="25">
        <f t="shared" si="13"/>
        <v>-2.6063697437173405E-2</v>
      </c>
    </row>
    <row r="386" spans="1:15">
      <c r="A386" s="85">
        <v>606.02063428805707</v>
      </c>
      <c r="B386" s="85">
        <v>610.75338951551657</v>
      </c>
      <c r="C386" s="85">
        <v>600.46026636637191</v>
      </c>
      <c r="D386" s="85">
        <v>607.64612508869243</v>
      </c>
      <c r="E386" s="86">
        <v>6532781.997812612</v>
      </c>
      <c r="F386" s="84" t="s">
        <v>427</v>
      </c>
      <c r="G386" s="25">
        <f t="shared" si="12"/>
        <v>-2.6750615753504681E-3</v>
      </c>
      <c r="I386" s="85">
        <v>156.21</v>
      </c>
      <c r="J386" s="85">
        <v>158.66499999999999</v>
      </c>
      <c r="K386" s="85">
        <v>154.244</v>
      </c>
      <c r="L386" s="85">
        <v>154.94999999999999</v>
      </c>
      <c r="M386" s="86">
        <v>5956584</v>
      </c>
      <c r="N386" s="84" t="s">
        <v>427</v>
      </c>
      <c r="O386" s="25">
        <f t="shared" si="13"/>
        <v>8.1316553727011076E-3</v>
      </c>
    </row>
    <row r="387" spans="1:15">
      <c r="A387" s="85">
        <v>603.36434444311658</v>
      </c>
      <c r="B387" s="85">
        <v>606.72435286638097</v>
      </c>
      <c r="C387" s="85">
        <v>595.19724432285159</v>
      </c>
      <c r="D387" s="85">
        <v>598.85459862428104</v>
      </c>
      <c r="E387" s="86">
        <v>7535686.7693209462</v>
      </c>
      <c r="F387" s="84" t="s">
        <v>428</v>
      </c>
      <c r="G387" s="25">
        <f t="shared" si="12"/>
        <v>7.5306190003308071E-3</v>
      </c>
      <c r="I387" s="85">
        <v>152.88</v>
      </c>
      <c r="J387" s="85">
        <v>154.91990000000001</v>
      </c>
      <c r="K387" s="85">
        <v>145.16</v>
      </c>
      <c r="L387" s="85">
        <v>148.41999999999999</v>
      </c>
      <c r="M387" s="86">
        <v>8631111</v>
      </c>
      <c r="N387" s="84" t="s">
        <v>428</v>
      </c>
      <c r="O387" s="25">
        <f t="shared" si="13"/>
        <v>3.004985850963493E-2</v>
      </c>
    </row>
    <row r="388" spans="1:15">
      <c r="A388" s="85">
        <v>604.2167359605229</v>
      </c>
      <c r="B388" s="85">
        <v>605.62139788897423</v>
      </c>
      <c r="C388" s="85">
        <v>601.20858682642051</v>
      </c>
      <c r="D388" s="85">
        <v>601.99655340355764</v>
      </c>
      <c r="E388" s="86">
        <v>7004428.6904302407</v>
      </c>
      <c r="F388" s="84" t="s">
        <v>429</v>
      </c>
      <c r="G388" s="25">
        <f t="shared" si="12"/>
        <v>3.6880320068493067E-3</v>
      </c>
      <c r="I388" s="85">
        <v>153.66</v>
      </c>
      <c r="J388" s="85">
        <v>154.9716</v>
      </c>
      <c r="K388" s="85">
        <v>151.1</v>
      </c>
      <c r="L388" s="85">
        <v>154.11500000000001</v>
      </c>
      <c r="M388" s="86">
        <v>7962079</v>
      </c>
      <c r="N388" s="84" t="s">
        <v>429</v>
      </c>
      <c r="O388" s="25">
        <f t="shared" si="13"/>
        <v>-2.9523407844792571E-3</v>
      </c>
    </row>
    <row r="389" spans="1:15">
      <c r="A389" s="85">
        <v>595.19724432285159</v>
      </c>
      <c r="B389" s="85">
        <v>614.11835370341691</v>
      </c>
      <c r="C389" s="85">
        <v>594.91972150323102</v>
      </c>
      <c r="D389" s="85">
        <v>612.52259749059817</v>
      </c>
      <c r="E389" s="86">
        <v>13458268.279002609</v>
      </c>
      <c r="F389" s="84" t="s">
        <v>430</v>
      </c>
      <c r="G389" s="25">
        <f t="shared" si="12"/>
        <v>-2.8285247334099428E-2</v>
      </c>
      <c r="I389" s="85">
        <v>151.02000000000001</v>
      </c>
      <c r="J389" s="85">
        <v>165.2535</v>
      </c>
      <c r="K389" s="85">
        <v>150.6019</v>
      </c>
      <c r="L389" s="85">
        <v>164.01</v>
      </c>
      <c r="M389" s="86">
        <v>12270016</v>
      </c>
      <c r="N389" s="84" t="s">
        <v>430</v>
      </c>
      <c r="O389" s="25">
        <f t="shared" si="13"/>
        <v>-7.9202487653191711E-2</v>
      </c>
    </row>
    <row r="390" spans="1:15">
      <c r="A390" s="85">
        <v>611.64047138537535</v>
      </c>
      <c r="B390" s="85">
        <v>614.10844217414478</v>
      </c>
      <c r="C390" s="85">
        <v>609.83657305784106</v>
      </c>
      <c r="D390" s="85">
        <v>613.75162712034682</v>
      </c>
      <c r="E390" s="86">
        <v>5932230.8783485722</v>
      </c>
      <c r="F390" s="84" t="s">
        <v>431</v>
      </c>
      <c r="G390" s="25">
        <f t="shared" si="12"/>
        <v>-3.439755825783708E-3</v>
      </c>
      <c r="I390" s="85">
        <v>163.87</v>
      </c>
      <c r="J390" s="85">
        <v>167.59909999999999</v>
      </c>
      <c r="K390" s="85">
        <v>162.47030000000001</v>
      </c>
      <c r="L390" s="85">
        <v>166.69499999999999</v>
      </c>
      <c r="M390" s="86">
        <v>7037109</v>
      </c>
      <c r="N390" s="84" t="s">
        <v>431</v>
      </c>
      <c r="O390" s="25">
        <f t="shared" si="13"/>
        <v>-1.6947118989771637E-2</v>
      </c>
    </row>
    <row r="391" spans="1:15">
      <c r="A391" s="85">
        <v>613.2956967738271</v>
      </c>
      <c r="B391" s="85">
        <v>613.42454665436526</v>
      </c>
      <c r="C391" s="85">
        <v>610.01914342703446</v>
      </c>
      <c r="D391" s="85">
        <v>610.7633010447887</v>
      </c>
      <c r="E391" s="86">
        <v>5045070.1023931336</v>
      </c>
      <c r="F391" s="84" t="s">
        <v>432</v>
      </c>
      <c r="G391" s="25">
        <f t="shared" si="12"/>
        <v>4.1462801132721161E-3</v>
      </c>
      <c r="I391" s="85">
        <v>166.43</v>
      </c>
      <c r="J391" s="85">
        <v>167.54</v>
      </c>
      <c r="K391" s="85">
        <v>163</v>
      </c>
      <c r="L391" s="85">
        <v>163</v>
      </c>
      <c r="M391" s="86">
        <v>7331451</v>
      </c>
      <c r="N391" s="84" t="s">
        <v>432</v>
      </c>
      <c r="O391" s="25">
        <f t="shared" si="13"/>
        <v>2.1042944785276019E-2</v>
      </c>
    </row>
    <row r="392" spans="1:15">
      <c r="A392" s="85">
        <v>609.75728082366379</v>
      </c>
      <c r="B392" s="85">
        <v>613.26526837896154</v>
      </c>
      <c r="C392" s="85">
        <v>608.38948978410485</v>
      </c>
      <c r="D392" s="85">
        <v>612.82985489803525</v>
      </c>
      <c r="E392" s="86">
        <v>7505913.3618177567</v>
      </c>
      <c r="F392" s="84" t="s">
        <v>433</v>
      </c>
      <c r="G392" s="25">
        <f t="shared" si="12"/>
        <v>-5.0137473718259162E-3</v>
      </c>
      <c r="I392" s="85">
        <v>161.28</v>
      </c>
      <c r="J392" s="85">
        <v>168.39750000000001</v>
      </c>
      <c r="K392" s="85">
        <v>160.74</v>
      </c>
      <c r="L392" s="85">
        <v>165</v>
      </c>
      <c r="M392" s="86">
        <v>6846068</v>
      </c>
      <c r="N392" s="84" t="s">
        <v>433</v>
      </c>
      <c r="O392" s="25">
        <f t="shared" si="13"/>
        <v>-2.2545454545454535E-2</v>
      </c>
    </row>
    <row r="393" spans="1:15">
      <c r="A393" s="85">
        <v>611.9378172635403</v>
      </c>
      <c r="B393" s="85">
        <v>612.81003183949099</v>
      </c>
      <c r="C393" s="85">
        <v>610.03480364328448</v>
      </c>
      <c r="D393" s="85">
        <v>611.99728643917342</v>
      </c>
      <c r="E393" s="86">
        <v>6011376.081723284</v>
      </c>
      <c r="F393" s="84" t="s">
        <v>434</v>
      </c>
      <c r="G393" s="25">
        <f t="shared" si="12"/>
        <v>-9.7172286464108915E-5</v>
      </c>
      <c r="I393" s="85">
        <v>164.5</v>
      </c>
      <c r="J393" s="85">
        <v>169.69</v>
      </c>
      <c r="K393" s="85">
        <v>162.81</v>
      </c>
      <c r="L393" s="85">
        <v>166.55</v>
      </c>
      <c r="M393" s="86">
        <v>11175880</v>
      </c>
      <c r="N393" s="84" t="s">
        <v>434</v>
      </c>
      <c r="O393" s="25">
        <f t="shared" si="13"/>
        <v>-1.2308616031221908E-2</v>
      </c>
    </row>
    <row r="394" spans="1:15">
      <c r="A394" s="85">
        <v>609.85639611638544</v>
      </c>
      <c r="B394" s="85">
        <v>612.94879324930127</v>
      </c>
      <c r="C394" s="85">
        <v>608.85334935404228</v>
      </c>
      <c r="D394" s="85">
        <v>610.50064551907633</v>
      </c>
      <c r="E394" s="86">
        <v>7251315.9197170287</v>
      </c>
      <c r="F394" s="84" t="s">
        <v>435</v>
      </c>
      <c r="G394" s="25">
        <f t="shared" si="12"/>
        <v>-1.0552804610765021E-3</v>
      </c>
      <c r="I394" s="85">
        <v>161.13999999999999</v>
      </c>
      <c r="J394" s="85">
        <v>162.6</v>
      </c>
      <c r="K394" s="85">
        <v>152.5</v>
      </c>
      <c r="L394" s="85">
        <v>152.88</v>
      </c>
      <c r="M394" s="86">
        <v>15645373</v>
      </c>
      <c r="N394" s="84" t="s">
        <v>435</v>
      </c>
      <c r="O394" s="25">
        <f t="shared" si="13"/>
        <v>5.4029304029304059E-2</v>
      </c>
    </row>
    <row r="395" spans="1:15">
      <c r="A395" s="85">
        <v>609.80683847002456</v>
      </c>
      <c r="B395" s="85">
        <v>611.02595657050108</v>
      </c>
      <c r="C395" s="85">
        <v>607.59656744233155</v>
      </c>
      <c r="D395" s="85">
        <v>610.95657586559582</v>
      </c>
      <c r="E395" s="86">
        <v>7099455.3986340854</v>
      </c>
      <c r="F395" s="84" t="s">
        <v>436</v>
      </c>
      <c r="G395" s="25">
        <f t="shared" si="12"/>
        <v>-1.8818643435375426E-3</v>
      </c>
      <c r="I395" s="85">
        <v>151.30000000000001</v>
      </c>
      <c r="J395" s="85">
        <v>151.47</v>
      </c>
      <c r="K395" s="85">
        <v>147.85499999999999</v>
      </c>
      <c r="L395" s="85">
        <v>151.25</v>
      </c>
      <c r="M395" s="86">
        <v>7248488</v>
      </c>
      <c r="N395" s="84" t="s">
        <v>436</v>
      </c>
      <c r="O395" s="25">
        <f t="shared" si="13"/>
        <v>3.3057851239681746E-4</v>
      </c>
    </row>
    <row r="396" spans="1:15">
      <c r="A396" s="85">
        <v>609.13285447951739</v>
      </c>
      <c r="B396" s="85">
        <v>609.94559987983496</v>
      </c>
      <c r="C396" s="85">
        <v>604.17708984343426</v>
      </c>
      <c r="D396" s="85">
        <v>604.30593972397241</v>
      </c>
      <c r="E396" s="86">
        <v>9840084.9477271978</v>
      </c>
      <c r="F396" s="84" t="s">
        <v>437</v>
      </c>
      <c r="G396" s="25">
        <f t="shared" si="12"/>
        <v>7.9875348532065793E-3</v>
      </c>
      <c r="I396" s="85">
        <v>149.57</v>
      </c>
      <c r="J396" s="85">
        <v>151.74350000000001</v>
      </c>
      <c r="K396" s="85">
        <v>146.1</v>
      </c>
      <c r="L396" s="85">
        <v>146.28</v>
      </c>
      <c r="M396" s="86">
        <v>6703273</v>
      </c>
      <c r="N396" s="84" t="s">
        <v>437</v>
      </c>
      <c r="O396" s="25">
        <f t="shared" si="13"/>
        <v>2.2491112934099E-2</v>
      </c>
    </row>
    <row r="397" spans="1:15">
      <c r="A397" s="85">
        <v>606.9622295689129</v>
      </c>
      <c r="B397" s="85">
        <v>607.43798297397689</v>
      </c>
      <c r="C397" s="85">
        <v>602.8885910380526</v>
      </c>
      <c r="D397" s="85">
        <v>604.03832843362386</v>
      </c>
      <c r="E397" s="86">
        <v>6539276.4547457881</v>
      </c>
      <c r="F397" s="84" t="s">
        <v>438</v>
      </c>
      <c r="G397" s="25">
        <f t="shared" si="12"/>
        <v>4.8405887468618847E-3</v>
      </c>
      <c r="I397" s="85">
        <v>148.61000000000001</v>
      </c>
      <c r="J397" s="85">
        <v>151.78</v>
      </c>
      <c r="K397" s="85">
        <v>145.47</v>
      </c>
      <c r="L397" s="85">
        <v>147.99</v>
      </c>
      <c r="M397" s="86">
        <v>9213663</v>
      </c>
      <c r="N397" s="84" t="s">
        <v>438</v>
      </c>
      <c r="O397" s="25">
        <f t="shared" si="13"/>
        <v>4.1894722616393487E-3</v>
      </c>
    </row>
    <row r="398" spans="1:15">
      <c r="A398" s="85">
        <v>604.73213548267552</v>
      </c>
      <c r="B398" s="85">
        <v>606.26842251986125</v>
      </c>
      <c r="C398" s="85">
        <v>603.09673315276814</v>
      </c>
      <c r="D398" s="85">
        <v>605.38629641463842</v>
      </c>
      <c r="E398" s="86">
        <v>5709345.9996040035</v>
      </c>
      <c r="F398" s="84" t="s">
        <v>439</v>
      </c>
      <c r="G398" s="25">
        <f t="shared" si="12"/>
        <v>-1.0805677892564702E-3</v>
      </c>
      <c r="I398" s="85">
        <v>149</v>
      </c>
      <c r="J398" s="85">
        <v>149.58000000000001</v>
      </c>
      <c r="K398" s="85">
        <v>140.91</v>
      </c>
      <c r="L398" s="85">
        <v>141.75</v>
      </c>
      <c r="M398" s="86">
        <v>14702730</v>
      </c>
      <c r="N398" s="84" t="s">
        <v>439</v>
      </c>
      <c r="O398" s="25">
        <f t="shared" si="13"/>
        <v>5.1146384479717755E-2</v>
      </c>
    </row>
    <row r="399" spans="1:15">
      <c r="A399" s="85">
        <v>603.03726399323136</v>
      </c>
      <c r="B399" s="85">
        <v>603.5709602738076</v>
      </c>
      <c r="C399" s="85">
        <v>599.48423042161801</v>
      </c>
      <c r="D399" s="85">
        <v>600.93212866429212</v>
      </c>
      <c r="E399" s="86">
        <v>6514683.512964623</v>
      </c>
      <c r="F399" s="84" t="s">
        <v>440</v>
      </c>
      <c r="G399" s="25">
        <f t="shared" si="12"/>
        <v>3.5031166225349963E-3</v>
      </c>
      <c r="I399" s="85">
        <v>140.25</v>
      </c>
      <c r="J399" s="85">
        <v>144</v>
      </c>
      <c r="K399" s="85">
        <v>139.5</v>
      </c>
      <c r="L399" s="85">
        <v>143.12</v>
      </c>
      <c r="M399" s="86">
        <v>7259536</v>
      </c>
      <c r="N399" s="84" t="s">
        <v>440</v>
      </c>
      <c r="O399" s="25">
        <f t="shared" si="13"/>
        <v>-2.0053102291783143E-2</v>
      </c>
    </row>
    <row r="400" spans="1:15">
      <c r="A400" s="85">
        <v>599.50893858275583</v>
      </c>
      <c r="B400" s="85">
        <v>600.83329601974094</v>
      </c>
      <c r="C400" s="85">
        <v>596.30676089929887</v>
      </c>
      <c r="D400" s="85">
        <v>599.53858837612108</v>
      </c>
      <c r="E400" s="86">
        <v>7009572.6280149827</v>
      </c>
      <c r="F400" s="84" t="s">
        <v>441</v>
      </c>
      <c r="G400" s="25">
        <f t="shared" si="12"/>
        <v>-4.9454353631461778E-5</v>
      </c>
      <c r="I400" s="85">
        <v>143.44999999999999</v>
      </c>
      <c r="J400" s="85">
        <v>145.13999999999999</v>
      </c>
      <c r="K400" s="85">
        <v>142.09</v>
      </c>
      <c r="L400" s="85">
        <v>145</v>
      </c>
      <c r="M400" s="86">
        <v>8463826</v>
      </c>
      <c r="N400" s="84" t="s">
        <v>441</v>
      </c>
      <c r="O400" s="25">
        <f t="shared" si="13"/>
        <v>-1.0689655172413826E-2</v>
      </c>
    </row>
    <row r="401" spans="1:15">
      <c r="A401" s="85">
        <v>602.38496853919389</v>
      </c>
      <c r="B401" s="85">
        <v>605.58714622265086</v>
      </c>
      <c r="C401" s="85">
        <v>601.09026089557403</v>
      </c>
      <c r="D401" s="85">
        <v>605.47843031364459</v>
      </c>
      <c r="E401" s="86">
        <v>24044766.896532532</v>
      </c>
      <c r="F401" s="84" t="s">
        <v>442</v>
      </c>
      <c r="G401" s="25">
        <f t="shared" si="12"/>
        <v>-5.1091196970439734E-3</v>
      </c>
      <c r="I401" s="85">
        <v>148.83000000000001</v>
      </c>
      <c r="J401" s="85">
        <v>152.31</v>
      </c>
      <c r="K401" s="85">
        <v>148.28</v>
      </c>
      <c r="L401" s="85">
        <v>150.79</v>
      </c>
      <c r="M401" s="86">
        <v>5522535</v>
      </c>
      <c r="N401" s="84" t="s">
        <v>442</v>
      </c>
      <c r="O401" s="25">
        <f t="shared" si="13"/>
        <v>-1.2998209430333474E-2</v>
      </c>
    </row>
    <row r="402" spans="1:15">
      <c r="A402" s="85">
        <v>604.40115448803715</v>
      </c>
      <c r="B402" s="85">
        <v>608.07772886533951</v>
      </c>
      <c r="C402" s="85">
        <v>603.21615107986906</v>
      </c>
      <c r="D402" s="85">
        <v>607.52920768808076</v>
      </c>
      <c r="E402" s="86">
        <v>10855272.616375949</v>
      </c>
      <c r="F402" s="84" t="s">
        <v>443</v>
      </c>
      <c r="G402" s="25">
        <f t="shared" si="12"/>
        <v>-5.148811218389393E-3</v>
      </c>
      <c r="I402" s="85">
        <v>149.94</v>
      </c>
      <c r="J402" s="85">
        <v>157.18969999999999</v>
      </c>
      <c r="K402" s="85">
        <v>149.1</v>
      </c>
      <c r="L402" s="85">
        <v>157.1</v>
      </c>
      <c r="M402" s="86">
        <v>7352577</v>
      </c>
      <c r="N402" s="84" t="s">
        <v>443</v>
      </c>
      <c r="O402" s="25">
        <f t="shared" si="13"/>
        <v>-4.5576066199872645E-2</v>
      </c>
    </row>
    <row r="403" spans="1:15">
      <c r="A403" s="85">
        <v>607.58356564258384</v>
      </c>
      <c r="B403" s="85">
        <v>608.03819580751906</v>
      </c>
      <c r="C403" s="85">
        <v>603.38317824916044</v>
      </c>
      <c r="D403" s="85">
        <v>603.39306151361552</v>
      </c>
      <c r="E403" s="86">
        <v>11688027.829734767</v>
      </c>
      <c r="F403" s="84" t="s">
        <v>444</v>
      </c>
      <c r="G403" s="25">
        <f t="shared" si="12"/>
        <v>6.9448994299941003E-3</v>
      </c>
      <c r="I403" s="85">
        <v>157.12</v>
      </c>
      <c r="J403" s="85">
        <v>159.01</v>
      </c>
      <c r="K403" s="85">
        <v>151.81</v>
      </c>
      <c r="L403" s="85">
        <v>153.18</v>
      </c>
      <c r="M403" s="86">
        <v>6861999</v>
      </c>
      <c r="N403" s="84" t="s">
        <v>444</v>
      </c>
      <c r="O403" s="25">
        <f t="shared" si="13"/>
        <v>2.5721373547460402E-2</v>
      </c>
    </row>
    <row r="404" spans="1:15">
      <c r="A404" s="85">
        <v>604.63835283495985</v>
      </c>
      <c r="B404" s="85">
        <v>605.51796337146504</v>
      </c>
      <c r="C404" s="85">
        <v>601.7425563496115</v>
      </c>
      <c r="D404" s="85">
        <v>603.4918941581667</v>
      </c>
      <c r="E404" s="86">
        <v>6137299.0954030668</v>
      </c>
      <c r="F404" s="84" t="s">
        <v>445</v>
      </c>
      <c r="G404" s="25">
        <f t="shared" si="12"/>
        <v>1.899708493007024E-3</v>
      </c>
      <c r="I404" s="85">
        <v>153.30000000000001</v>
      </c>
      <c r="J404" s="85">
        <v>155.13</v>
      </c>
      <c r="K404" s="85">
        <v>151.75</v>
      </c>
      <c r="L404" s="85">
        <v>151.96</v>
      </c>
      <c r="M404" s="86">
        <v>8812925</v>
      </c>
      <c r="N404" s="84" t="s">
        <v>445</v>
      </c>
      <c r="O404" s="25">
        <f t="shared" si="13"/>
        <v>8.8181100289550507E-3</v>
      </c>
    </row>
    <row r="405" spans="1:15">
      <c r="A405" s="85">
        <v>601.8315057297076</v>
      </c>
      <c r="B405" s="85">
        <v>604.17383940556954</v>
      </c>
      <c r="C405" s="85">
        <v>599.98333527660134</v>
      </c>
      <c r="D405" s="85">
        <v>601.44605841595808</v>
      </c>
      <c r="E405" s="86">
        <v>11159501.043496931</v>
      </c>
      <c r="F405" s="84" t="s">
        <v>446</v>
      </c>
      <c r="G405" s="25">
        <f t="shared" si="12"/>
        <v>6.4086763618442788E-4</v>
      </c>
      <c r="I405" s="85">
        <v>152.11000000000001</v>
      </c>
      <c r="J405" s="85">
        <v>152.93</v>
      </c>
      <c r="K405" s="85">
        <v>148.19</v>
      </c>
      <c r="L405" s="85">
        <v>149.5</v>
      </c>
      <c r="M405" s="86">
        <v>6437876</v>
      </c>
      <c r="N405" s="84" t="s">
        <v>446</v>
      </c>
      <c r="O405" s="25">
        <f t="shared" si="13"/>
        <v>1.7458193979933201E-2</v>
      </c>
    </row>
    <row r="406" spans="1:15">
      <c r="A406" s="85">
        <v>599.01477536000016</v>
      </c>
      <c r="B406" s="85">
        <v>601.22862659794566</v>
      </c>
      <c r="C406" s="85">
        <v>594.5277732973783</v>
      </c>
      <c r="D406" s="85">
        <v>599.75602019413361</v>
      </c>
      <c r="E406" s="86">
        <v>11750801.62303127</v>
      </c>
      <c r="F406" s="84" t="s">
        <v>447</v>
      </c>
      <c r="G406" s="25">
        <f t="shared" si="12"/>
        <v>-1.2359106189439029E-3</v>
      </c>
      <c r="I406" s="85">
        <v>147.87</v>
      </c>
      <c r="J406" s="85">
        <v>149.1</v>
      </c>
      <c r="K406" s="85">
        <v>145.37010000000001</v>
      </c>
      <c r="L406" s="85">
        <v>148.47</v>
      </c>
      <c r="M406" s="86">
        <v>4291166</v>
      </c>
      <c r="N406" s="84" t="s">
        <v>447</v>
      </c>
      <c r="O406" s="25">
        <f t="shared" si="13"/>
        <v>-4.0412204485754666E-3</v>
      </c>
    </row>
    <row r="407" spans="1:15">
      <c r="A407" s="85">
        <v>599.70660387185796</v>
      </c>
      <c r="B407" s="85">
        <v>601.31757597804153</v>
      </c>
      <c r="C407" s="85">
        <v>598.98601506043565</v>
      </c>
      <c r="D407" s="85">
        <v>601.06061110220867</v>
      </c>
      <c r="E407" s="86">
        <v>6442357.2079015095</v>
      </c>
      <c r="F407" s="84" t="s">
        <v>448</v>
      </c>
      <c r="G407" s="25">
        <f t="shared" si="12"/>
        <v>-2.2526966587741448E-3</v>
      </c>
      <c r="I407" s="85">
        <v>147.21</v>
      </c>
      <c r="J407" s="85">
        <v>150.16999999999999</v>
      </c>
      <c r="K407" s="85">
        <v>145.19999999999999</v>
      </c>
      <c r="L407" s="85">
        <v>149.09</v>
      </c>
      <c r="M407" s="86">
        <v>5411973</v>
      </c>
      <c r="N407" s="84" t="s">
        <v>448</v>
      </c>
      <c r="O407" s="25">
        <f t="shared" si="13"/>
        <v>-1.2609832986786529E-2</v>
      </c>
    </row>
    <row r="408" spans="1:15">
      <c r="A408" s="85">
        <v>600.49726502826718</v>
      </c>
      <c r="B408" s="85">
        <v>600.67516378845914</v>
      </c>
      <c r="C408" s="85">
        <v>599.12349126900642</v>
      </c>
      <c r="D408" s="85">
        <v>599.39033940929448</v>
      </c>
      <c r="E408" s="86">
        <v>7535095.3460995434</v>
      </c>
      <c r="F408" s="84" t="s">
        <v>449</v>
      </c>
      <c r="G408" s="25">
        <f t="shared" si="12"/>
        <v>1.8467525186736111E-3</v>
      </c>
      <c r="I408" s="85">
        <v>147.88999999999999</v>
      </c>
      <c r="J408" s="85">
        <v>148.19999999999999</v>
      </c>
      <c r="K408" s="85">
        <v>142.88999999999999</v>
      </c>
      <c r="L408" s="85">
        <v>144.24</v>
      </c>
      <c r="M408" s="86">
        <v>6694392</v>
      </c>
      <c r="N408" s="84" t="s">
        <v>449</v>
      </c>
      <c r="O408" s="25">
        <f t="shared" si="13"/>
        <v>2.530504714364934E-2</v>
      </c>
    </row>
    <row r="409" spans="1:15">
      <c r="A409" s="85">
        <v>597.38403672490631</v>
      </c>
      <c r="B409" s="85">
        <v>598.90605945099378</v>
      </c>
      <c r="C409" s="85">
        <v>596.89975676660572</v>
      </c>
      <c r="D409" s="85">
        <v>597.53228569173302</v>
      </c>
      <c r="E409" s="86">
        <v>8204467.2960302038</v>
      </c>
      <c r="F409" s="84" t="s">
        <v>450</v>
      </c>
      <c r="G409" s="25">
        <f t="shared" si="12"/>
        <v>-2.4810201955050015E-4</v>
      </c>
      <c r="I409" s="85">
        <v>143.38</v>
      </c>
      <c r="J409" s="85">
        <v>144.62</v>
      </c>
      <c r="K409" s="85">
        <v>141.52000000000001</v>
      </c>
      <c r="L409" s="85">
        <v>143.52000000000001</v>
      </c>
      <c r="M409" s="86">
        <v>4905729</v>
      </c>
      <c r="N409" s="84" t="s">
        <v>450</v>
      </c>
      <c r="O409" s="25">
        <f t="shared" si="13"/>
        <v>-9.754738015608222E-4</v>
      </c>
    </row>
    <row r="410" spans="1:15">
      <c r="A410" s="85">
        <v>597.51251916282285</v>
      </c>
      <c r="B410" s="85">
        <v>598.16481461686033</v>
      </c>
      <c r="C410" s="85">
        <v>593.87547784334083</v>
      </c>
      <c r="D410" s="85">
        <v>594.40917412391696</v>
      </c>
      <c r="E410" s="86">
        <v>9194134.2268729694</v>
      </c>
      <c r="F410" s="84" t="s">
        <v>451</v>
      </c>
      <c r="G410" s="25">
        <f t="shared" si="12"/>
        <v>5.2208902116623879E-3</v>
      </c>
      <c r="I410" s="85">
        <v>145.03</v>
      </c>
      <c r="J410" s="85">
        <v>146.98990000000001</v>
      </c>
      <c r="K410" s="85">
        <v>142.05000000000001</v>
      </c>
      <c r="L410" s="85">
        <v>142.05000000000001</v>
      </c>
      <c r="M410" s="86">
        <v>6031003</v>
      </c>
      <c r="N410" s="84" t="s">
        <v>451</v>
      </c>
      <c r="O410" s="25">
        <f t="shared" si="13"/>
        <v>2.0978528687081832E-2</v>
      </c>
    </row>
    <row r="411" spans="1:15">
      <c r="A411" s="85">
        <v>592.67960284427204</v>
      </c>
      <c r="B411" s="85">
        <v>594.72543858648066</v>
      </c>
      <c r="C411" s="85">
        <v>591.17734664709474</v>
      </c>
      <c r="D411" s="85">
        <v>593.90512763670608</v>
      </c>
      <c r="E411" s="86">
        <v>21796803.169476327</v>
      </c>
      <c r="F411" s="84" t="s">
        <v>452</v>
      </c>
      <c r="G411" s="25">
        <f t="shared" si="12"/>
        <v>-2.0635026293015502E-3</v>
      </c>
      <c r="I411" s="85">
        <v>142.19999999999999</v>
      </c>
      <c r="J411" s="85">
        <v>145.46</v>
      </c>
      <c r="K411" s="85">
        <v>141.30000000000001</v>
      </c>
      <c r="L411" s="85">
        <v>144.55000000000001</v>
      </c>
      <c r="M411" s="86">
        <v>7331369</v>
      </c>
      <c r="N411" s="84" t="s">
        <v>452</v>
      </c>
      <c r="O411" s="25">
        <f t="shared" si="13"/>
        <v>-1.6257350397786419E-2</v>
      </c>
    </row>
    <row r="412" spans="1:15">
      <c r="A412" s="85">
        <v>590.96979809353741</v>
      </c>
      <c r="B412" s="85">
        <v>591.38489520065207</v>
      </c>
      <c r="C412" s="85">
        <v>588.06411834373387</v>
      </c>
      <c r="D412" s="85">
        <v>589.64544065655207</v>
      </c>
      <c r="E412" s="86">
        <v>7872008.3180353548</v>
      </c>
      <c r="F412" s="84" t="s">
        <v>453</v>
      </c>
      <c r="G412" s="25">
        <f t="shared" si="12"/>
        <v>2.2460233653476269E-3</v>
      </c>
      <c r="I412" s="85">
        <v>143.44</v>
      </c>
      <c r="J412" s="85">
        <v>146.61000000000001</v>
      </c>
      <c r="K412" s="85">
        <v>142.85</v>
      </c>
      <c r="L412" s="85">
        <v>145.02500000000001</v>
      </c>
      <c r="M412" s="86">
        <v>5718974</v>
      </c>
      <c r="N412" s="84" t="s">
        <v>453</v>
      </c>
      <c r="O412" s="25">
        <f t="shared" si="13"/>
        <v>-1.0929150146526512E-2</v>
      </c>
    </row>
    <row r="413" spans="1:15">
      <c r="A413" s="85">
        <v>589.5367247475458</v>
      </c>
      <c r="B413" s="85">
        <v>590.43610181296117</v>
      </c>
      <c r="C413" s="85">
        <v>588.08388487264403</v>
      </c>
      <c r="D413" s="85">
        <v>589.34894272289864</v>
      </c>
      <c r="E413" s="86">
        <v>9559890.9074128233</v>
      </c>
      <c r="F413" s="84" t="s">
        <v>454</v>
      </c>
      <c r="G413" s="25">
        <f t="shared" si="12"/>
        <v>3.1862621790668122E-4</v>
      </c>
      <c r="I413" s="85">
        <v>146.22</v>
      </c>
      <c r="J413" s="85">
        <v>148.57</v>
      </c>
      <c r="K413" s="85">
        <v>144.07839999999999</v>
      </c>
      <c r="L413" s="85">
        <v>147.56</v>
      </c>
      <c r="M413" s="86">
        <v>5753343</v>
      </c>
      <c r="N413" s="84" t="s">
        <v>454</v>
      </c>
      <c r="O413" s="25">
        <f t="shared" si="13"/>
        <v>-9.081051775548965E-3</v>
      </c>
    </row>
    <row r="414" spans="1:15">
      <c r="A414" s="85">
        <v>588.01470202145833</v>
      </c>
      <c r="B414" s="85">
        <v>592.60053672863114</v>
      </c>
      <c r="C414" s="85">
        <v>584.54567619771331</v>
      </c>
      <c r="D414" s="85">
        <v>591.91859148122819</v>
      </c>
      <c r="E414" s="86">
        <v>6700346.8642119467</v>
      </c>
      <c r="F414" s="84" t="s">
        <v>455</v>
      </c>
      <c r="G414" s="25">
        <f t="shared" si="12"/>
        <v>-6.5953148219262125E-3</v>
      </c>
      <c r="I414" s="85">
        <v>146.82</v>
      </c>
      <c r="J414" s="85">
        <v>147.97</v>
      </c>
      <c r="K414" s="85">
        <v>144.91999999999999</v>
      </c>
      <c r="L414" s="85">
        <v>146.59</v>
      </c>
      <c r="M414" s="86">
        <v>5643200</v>
      </c>
      <c r="N414" s="84" t="s">
        <v>455</v>
      </c>
      <c r="O414" s="25">
        <f t="shared" si="13"/>
        <v>1.5690019783067832E-3</v>
      </c>
    </row>
    <row r="415" spans="1:15">
      <c r="A415" s="85">
        <v>589.6256741276419</v>
      </c>
      <c r="B415" s="85">
        <v>589.80357288783387</v>
      </c>
      <c r="C415" s="85">
        <v>584.69392516454002</v>
      </c>
      <c r="D415" s="85">
        <v>585.55376917213493</v>
      </c>
      <c r="E415" s="86">
        <v>8107115.8587222453</v>
      </c>
      <c r="F415" s="84" t="s">
        <v>456</v>
      </c>
      <c r="G415" s="25">
        <f t="shared" si="12"/>
        <v>6.9539385960470934E-3</v>
      </c>
      <c r="I415" s="85">
        <v>145.15</v>
      </c>
      <c r="J415" s="85">
        <v>145.61000000000001</v>
      </c>
      <c r="K415" s="85">
        <v>140.07320000000001</v>
      </c>
      <c r="L415" s="85">
        <v>140.905</v>
      </c>
      <c r="M415" s="86">
        <v>6420092</v>
      </c>
      <c r="N415" s="84" t="s">
        <v>456</v>
      </c>
      <c r="O415" s="25">
        <f t="shared" si="13"/>
        <v>3.0126681097193186E-2</v>
      </c>
    </row>
    <row r="416" spans="1:15">
      <c r="A416" s="85">
        <v>584.81252433800137</v>
      </c>
      <c r="B416" s="85">
        <v>585.31657082521224</v>
      </c>
      <c r="C416" s="85">
        <v>581.90684458819783</v>
      </c>
      <c r="D416" s="85">
        <v>583.91314727258589</v>
      </c>
      <c r="E416" s="86">
        <v>6748655.8012204012</v>
      </c>
      <c r="F416" s="84" t="s">
        <v>457</v>
      </c>
      <c r="G416" s="25">
        <f t="shared" si="12"/>
        <v>1.5402582894672445E-3</v>
      </c>
      <c r="I416" s="85">
        <v>140.22</v>
      </c>
      <c r="J416" s="85">
        <v>140.98650000000001</v>
      </c>
      <c r="K416" s="85">
        <v>138.11269999999999</v>
      </c>
      <c r="L416" s="85">
        <v>140</v>
      </c>
      <c r="M416" s="86">
        <v>3491476</v>
      </c>
      <c r="N416" s="84" t="s">
        <v>457</v>
      </c>
      <c r="O416" s="25">
        <f t="shared" si="13"/>
        <v>1.571428571428557E-3</v>
      </c>
    </row>
    <row r="417" spans="1:15">
      <c r="A417" s="85">
        <v>581.83766173701213</v>
      </c>
      <c r="B417" s="85">
        <v>581.926611117108</v>
      </c>
      <c r="C417" s="85">
        <v>576.8564964516346</v>
      </c>
      <c r="D417" s="85">
        <v>579.21859665640682</v>
      </c>
      <c r="E417" s="86">
        <v>11194339.734858856</v>
      </c>
      <c r="F417" s="84" t="s">
        <v>458</v>
      </c>
      <c r="G417" s="25">
        <f t="shared" si="12"/>
        <v>4.5217213254618027E-3</v>
      </c>
      <c r="I417" s="85">
        <v>139.04</v>
      </c>
      <c r="J417" s="85">
        <v>139.32</v>
      </c>
      <c r="K417" s="85">
        <v>133.4</v>
      </c>
      <c r="L417" s="85">
        <v>136.94999999999999</v>
      </c>
      <c r="M417" s="86">
        <v>5025584</v>
      </c>
      <c r="N417" s="84" t="s">
        <v>458</v>
      </c>
      <c r="O417" s="25">
        <f t="shared" si="13"/>
        <v>1.5261044176706928E-2</v>
      </c>
    </row>
    <row r="418" spans="1:15">
      <c r="A418" s="85">
        <v>586.15664830389687</v>
      </c>
      <c r="B418" s="85">
        <v>588.59781462430999</v>
      </c>
      <c r="C418" s="85">
        <v>584.3430692763834</v>
      </c>
      <c r="D418" s="85">
        <v>588.29143342620148</v>
      </c>
      <c r="E418" s="86">
        <v>7569104.3520840062</v>
      </c>
      <c r="F418" s="84" t="s">
        <v>459</v>
      </c>
      <c r="G418" s="25">
        <f t="shared" si="12"/>
        <v>-3.6287883878771687E-3</v>
      </c>
      <c r="I418" s="85">
        <v>141.28</v>
      </c>
      <c r="J418" s="85">
        <v>143.09</v>
      </c>
      <c r="K418" s="85">
        <v>139.91</v>
      </c>
      <c r="L418" s="85">
        <v>141.43</v>
      </c>
      <c r="M418" s="86">
        <v>4524057</v>
      </c>
      <c r="N418" s="84" t="s">
        <v>459</v>
      </c>
      <c r="O418" s="25">
        <f t="shared" si="13"/>
        <v>-1.0605953475217866E-3</v>
      </c>
    </row>
    <row r="419" spans="1:15">
      <c r="A419" s="85">
        <v>589.55649127645597</v>
      </c>
      <c r="B419" s="85">
        <v>590.10007082148741</v>
      </c>
      <c r="C419" s="85">
        <v>586.34443032854404</v>
      </c>
      <c r="D419" s="85">
        <v>588.1234179304646</v>
      </c>
      <c r="E419" s="86">
        <v>5097488.8134185066</v>
      </c>
      <c r="F419" s="84" t="s">
        <v>460</v>
      </c>
      <c r="G419" s="25">
        <f t="shared" si="12"/>
        <v>2.4366881207249502E-3</v>
      </c>
      <c r="I419" s="85">
        <v>141.54</v>
      </c>
      <c r="J419" s="85">
        <v>144.19999999999999</v>
      </c>
      <c r="K419" s="85">
        <v>140.59</v>
      </c>
      <c r="L419" s="85">
        <v>140.82</v>
      </c>
      <c r="M419" s="86">
        <v>6300768</v>
      </c>
      <c r="N419" s="84" t="s">
        <v>460</v>
      </c>
      <c r="O419" s="25">
        <f t="shared" si="13"/>
        <v>5.112910097997414E-3</v>
      </c>
    </row>
    <row r="420" spans="1:15">
      <c r="A420" s="85">
        <v>587.4810057408821</v>
      </c>
      <c r="B420" s="85">
        <v>588.1926007816503</v>
      </c>
      <c r="C420" s="85">
        <v>585.52411937876957</v>
      </c>
      <c r="D420" s="85">
        <v>585.60318549441047</v>
      </c>
      <c r="E420" s="86">
        <v>6161490.4950247062</v>
      </c>
      <c r="F420" s="84" t="s">
        <v>461</v>
      </c>
      <c r="G420" s="25">
        <f t="shared" si="12"/>
        <v>3.20664281374472E-3</v>
      </c>
      <c r="I420" s="85">
        <v>139.88999999999999</v>
      </c>
      <c r="J420" s="85">
        <v>142.5</v>
      </c>
      <c r="K420" s="85">
        <v>137.2801</v>
      </c>
      <c r="L420" s="85">
        <v>142.08000000000001</v>
      </c>
      <c r="M420" s="86">
        <v>5252646</v>
      </c>
      <c r="N420" s="84" t="s">
        <v>461</v>
      </c>
      <c r="O420" s="25">
        <f t="shared" si="13"/>
        <v>-1.5413851351351537E-2</v>
      </c>
    </row>
    <row r="421" spans="1:15">
      <c r="A421" s="85">
        <v>586.13688177498659</v>
      </c>
      <c r="B421" s="85">
        <v>586.50256255982583</v>
      </c>
      <c r="C421" s="85">
        <v>582.90999593039191</v>
      </c>
      <c r="D421" s="85">
        <v>583.48816690101603</v>
      </c>
      <c r="E421" s="86">
        <v>4802918.1264534742</v>
      </c>
      <c r="F421" s="84" t="s">
        <v>462</v>
      </c>
      <c r="G421" s="25">
        <f t="shared" si="12"/>
        <v>4.5394491683323768E-3</v>
      </c>
      <c r="I421" s="85">
        <v>140.85</v>
      </c>
      <c r="J421" s="85">
        <v>141.18</v>
      </c>
      <c r="K421" s="85">
        <v>139.12</v>
      </c>
      <c r="L421" s="85">
        <v>140.88999999999999</v>
      </c>
      <c r="M421" s="86">
        <v>4212717</v>
      </c>
      <c r="N421" s="84" t="s">
        <v>462</v>
      </c>
      <c r="O421" s="25">
        <f t="shared" si="13"/>
        <v>-2.8390943289080539E-4</v>
      </c>
    </row>
    <row r="422" spans="1:15">
      <c r="A422" s="85">
        <v>583.80443136357974</v>
      </c>
      <c r="B422" s="85">
        <v>586.30479843807905</v>
      </c>
      <c r="C422" s="85">
        <v>583.65618239675302</v>
      </c>
      <c r="D422" s="85">
        <v>585.13867206502005</v>
      </c>
      <c r="E422" s="86">
        <v>6559608.9525313303</v>
      </c>
      <c r="F422" s="84" t="s">
        <v>463</v>
      </c>
      <c r="G422" s="25">
        <f t="shared" si="12"/>
        <v>-2.2802128198630145E-3</v>
      </c>
      <c r="I422" s="85">
        <v>140.53</v>
      </c>
      <c r="J422" s="85">
        <v>142.85640000000001</v>
      </c>
      <c r="K422" s="85">
        <v>139.5</v>
      </c>
      <c r="L422" s="85">
        <v>140.75</v>
      </c>
      <c r="M422" s="86">
        <v>4944975</v>
      </c>
      <c r="N422" s="84" t="s">
        <v>463</v>
      </c>
      <c r="O422" s="25">
        <f t="shared" si="13"/>
        <v>-1.5630550621669181E-3</v>
      </c>
    </row>
    <row r="423" spans="1:15">
      <c r="A423" s="85">
        <v>586.28513074181342</v>
      </c>
      <c r="B423" s="85">
        <v>587.38217309633103</v>
      </c>
      <c r="C423" s="85">
        <v>579.0011648383944</v>
      </c>
      <c r="D423" s="85">
        <v>579.42614520996426</v>
      </c>
      <c r="E423" s="86">
        <v>6443763.6257974515</v>
      </c>
      <c r="F423" s="84" t="s">
        <v>464</v>
      </c>
      <c r="G423" s="25">
        <f t="shared" si="12"/>
        <v>1.1837549252051272E-2</v>
      </c>
      <c r="I423" s="85">
        <v>142.11000000000001</v>
      </c>
      <c r="J423" s="85">
        <v>143.16999999999999</v>
      </c>
      <c r="K423" s="85">
        <v>135.38499999999999</v>
      </c>
      <c r="L423" s="85">
        <v>136.78</v>
      </c>
      <c r="M423" s="86">
        <v>7581208</v>
      </c>
      <c r="N423" s="84" t="s">
        <v>464</v>
      </c>
      <c r="O423" s="25">
        <f t="shared" si="13"/>
        <v>3.8967685334113211E-2</v>
      </c>
    </row>
    <row r="424" spans="1:15">
      <c r="A424" s="85">
        <v>577.44949231894145</v>
      </c>
      <c r="B424" s="85">
        <v>579.61392723461142</v>
      </c>
      <c r="C424" s="85">
        <v>575.84840347721297</v>
      </c>
      <c r="D424" s="85">
        <v>578.10178777297892</v>
      </c>
      <c r="E424" s="86">
        <v>4864057.8442809507</v>
      </c>
      <c r="F424" s="84" t="s">
        <v>465</v>
      </c>
      <c r="G424" s="25">
        <f t="shared" si="12"/>
        <v>-1.1283401432649054E-3</v>
      </c>
      <c r="I424" s="85">
        <v>136.68</v>
      </c>
      <c r="J424" s="85">
        <v>137.96</v>
      </c>
      <c r="K424" s="85">
        <v>134.88</v>
      </c>
      <c r="L424" s="85">
        <v>136.26</v>
      </c>
      <c r="M424" s="86">
        <v>4420400</v>
      </c>
      <c r="N424" s="84" t="s">
        <v>465</v>
      </c>
      <c r="O424" s="25">
        <f t="shared" si="13"/>
        <v>3.0823425803612192E-3</v>
      </c>
    </row>
    <row r="425" spans="1:15">
      <c r="A425" s="85">
        <v>579.73252640807289</v>
      </c>
      <c r="B425" s="85">
        <v>581.13594996069901</v>
      </c>
      <c r="C425" s="85">
        <v>575.05774232080398</v>
      </c>
      <c r="D425" s="85">
        <v>580.94816793605173</v>
      </c>
      <c r="E425" s="86">
        <v>7137587.0108887851</v>
      </c>
      <c r="F425" s="84" t="s">
        <v>466</v>
      </c>
      <c r="G425" s="25">
        <f t="shared" si="12"/>
        <v>-2.0925128868168885E-3</v>
      </c>
      <c r="I425" s="85">
        <v>137.29</v>
      </c>
      <c r="J425" s="85">
        <v>138.53</v>
      </c>
      <c r="K425" s="85">
        <v>134.75</v>
      </c>
      <c r="L425" s="85">
        <v>137.91999999999999</v>
      </c>
      <c r="M425" s="86">
        <v>7188126</v>
      </c>
      <c r="N425" s="84" t="s">
        <v>466</v>
      </c>
      <c r="O425" s="25">
        <f t="shared" si="13"/>
        <v>-4.5678654292342635E-3</v>
      </c>
    </row>
    <row r="426" spans="1:15">
      <c r="A426" s="85">
        <v>581.26443239861544</v>
      </c>
      <c r="B426" s="85">
        <v>585.20785491620597</v>
      </c>
      <c r="C426" s="85">
        <v>580.08832392845693</v>
      </c>
      <c r="D426" s="85">
        <v>584.34801090861095</v>
      </c>
      <c r="E426" s="86">
        <v>6768609.7345483676</v>
      </c>
      <c r="F426" s="84" t="s">
        <v>467</v>
      </c>
      <c r="G426" s="25">
        <f t="shared" si="12"/>
        <v>-5.2769556025369369E-3</v>
      </c>
      <c r="I426" s="85">
        <v>139.25</v>
      </c>
      <c r="J426" s="85">
        <v>144.41</v>
      </c>
      <c r="K426" s="85">
        <v>138.97</v>
      </c>
      <c r="L426" s="85">
        <v>143</v>
      </c>
      <c r="M426" s="86">
        <v>6274544</v>
      </c>
      <c r="N426" s="84" t="s">
        <v>467</v>
      </c>
      <c r="O426" s="25">
        <f t="shared" si="13"/>
        <v>-2.6223776223776252E-2</v>
      </c>
    </row>
    <row r="427" spans="1:15">
      <c r="A427" s="85">
        <v>584.45672681761732</v>
      </c>
      <c r="B427" s="85">
        <v>585.10902227165479</v>
      </c>
      <c r="C427" s="85">
        <v>583.45851710765078</v>
      </c>
      <c r="D427" s="85">
        <v>584.081162768323</v>
      </c>
      <c r="E427" s="86">
        <v>5374482.3121185713</v>
      </c>
      <c r="F427" s="84" t="s">
        <v>468</v>
      </c>
      <c r="G427" s="25">
        <f t="shared" si="12"/>
        <v>6.4299976310544515E-4</v>
      </c>
      <c r="I427" s="85">
        <v>143.11000000000001</v>
      </c>
      <c r="J427" s="85">
        <v>143.37</v>
      </c>
      <c r="K427" s="85">
        <v>140.07</v>
      </c>
      <c r="L427" s="85">
        <v>141.38499999999999</v>
      </c>
      <c r="M427" s="86">
        <v>4435692</v>
      </c>
      <c r="N427" s="84" t="s">
        <v>468</v>
      </c>
      <c r="O427" s="25">
        <f t="shared" si="13"/>
        <v>1.2200728507267611E-2</v>
      </c>
    </row>
    <row r="428" spans="1:15">
      <c r="A428" s="85">
        <v>584.66427537117465</v>
      </c>
      <c r="B428" s="85">
        <v>587.01649231149179</v>
      </c>
      <c r="C428" s="85">
        <v>583.76489830575929</v>
      </c>
      <c r="D428" s="85">
        <v>586.92754293139581</v>
      </c>
      <c r="E428" s="86">
        <v>7281313.8135511372</v>
      </c>
      <c r="F428" s="84" t="s">
        <v>469</v>
      </c>
      <c r="G428" s="25">
        <f t="shared" si="12"/>
        <v>-3.8561277068670519E-3</v>
      </c>
      <c r="I428" s="85">
        <v>141.47</v>
      </c>
      <c r="J428" s="85">
        <v>145.22</v>
      </c>
      <c r="K428" s="85">
        <v>140.70009999999999</v>
      </c>
      <c r="L428" s="85">
        <v>144.27000000000001</v>
      </c>
      <c r="M428" s="86">
        <v>7198849</v>
      </c>
      <c r="N428" s="84" t="s">
        <v>469</v>
      </c>
      <c r="O428" s="25">
        <f t="shared" si="13"/>
        <v>-1.9408054342552217E-2</v>
      </c>
    </row>
    <row r="429" spans="1:15">
      <c r="A429" s="85">
        <v>585.92933322142926</v>
      </c>
      <c r="B429" s="85">
        <v>586.58162867546673</v>
      </c>
      <c r="C429" s="85">
        <v>583.60676607447749</v>
      </c>
      <c r="D429" s="85">
        <v>584.02186318159215</v>
      </c>
      <c r="E429" s="86">
        <v>6310329.9808728099</v>
      </c>
      <c r="F429" s="84" t="s">
        <v>470</v>
      </c>
      <c r="G429" s="25">
        <f t="shared" si="12"/>
        <v>3.2660935490422816E-3</v>
      </c>
      <c r="I429" s="85">
        <v>144.27000000000001</v>
      </c>
      <c r="J429" s="85">
        <v>148.5</v>
      </c>
      <c r="K429" s="85">
        <v>142.93</v>
      </c>
      <c r="L429" s="85">
        <v>148.375</v>
      </c>
      <c r="M429" s="86">
        <v>9499666</v>
      </c>
      <c r="N429" s="84" t="s">
        <v>470</v>
      </c>
      <c r="O429" s="25">
        <f t="shared" si="13"/>
        <v>-2.7666385846672248E-2</v>
      </c>
    </row>
    <row r="430" spans="1:15">
      <c r="A430" s="85">
        <v>585.91944995697418</v>
      </c>
      <c r="B430" s="85">
        <v>587.09555842713269</v>
      </c>
      <c r="C430" s="85">
        <v>583.91314727258589</v>
      </c>
      <c r="D430" s="85">
        <v>585.93921648588434</v>
      </c>
      <c r="E430" s="86">
        <v>5456671.7550591268</v>
      </c>
      <c r="F430" s="84" t="s">
        <v>471</v>
      </c>
      <c r="G430" s="25">
        <f t="shared" si="12"/>
        <v>-3.3734777181715359E-5</v>
      </c>
      <c r="I430" s="85">
        <v>150.09</v>
      </c>
      <c r="J430" s="85">
        <v>151.65</v>
      </c>
      <c r="K430" s="85">
        <v>148.38999999999999</v>
      </c>
      <c r="L430" s="85">
        <v>150.21</v>
      </c>
      <c r="M430" s="86">
        <v>6660684</v>
      </c>
      <c r="N430" s="84" t="s">
        <v>471</v>
      </c>
      <c r="O430" s="25">
        <f t="shared" si="13"/>
        <v>-7.9888156580787406E-4</v>
      </c>
    </row>
    <row r="431" spans="1:15">
      <c r="A431" s="85">
        <v>583.88349747922064</v>
      </c>
      <c r="B431" s="85">
        <v>584.06139623941272</v>
      </c>
      <c r="C431" s="85">
        <v>578.60089262796225</v>
      </c>
      <c r="D431" s="85">
        <v>579.90054190380977</v>
      </c>
      <c r="E431" s="86">
        <v>5943628.2684517978</v>
      </c>
      <c r="F431" s="84" t="s">
        <v>472</v>
      </c>
      <c r="G431" s="25">
        <f t="shared" si="12"/>
        <v>6.8683425649764818E-3</v>
      </c>
      <c r="I431" s="85">
        <v>149.30000000000001</v>
      </c>
      <c r="J431" s="85">
        <v>150.69999999999999</v>
      </c>
      <c r="K431" s="85">
        <v>147.08000000000001</v>
      </c>
      <c r="L431" s="85">
        <v>148.02500000000001</v>
      </c>
      <c r="M431" s="86">
        <v>7176148</v>
      </c>
      <c r="N431" s="84" t="s">
        <v>472</v>
      </c>
      <c r="O431" s="25">
        <f t="shared" si="13"/>
        <v>8.613409896977009E-3</v>
      </c>
    </row>
    <row r="432" spans="1:15">
      <c r="A432" s="85">
        <v>577.71634045922951</v>
      </c>
      <c r="B432" s="85">
        <v>580.50342103557171</v>
      </c>
      <c r="C432" s="85">
        <v>576.6291813691671</v>
      </c>
      <c r="D432" s="85">
        <v>579.18894686304145</v>
      </c>
      <c r="E432" s="86">
        <v>5437423.0543020032</v>
      </c>
      <c r="F432" s="84" t="s">
        <v>473</v>
      </c>
      <c r="G432" s="25">
        <f t="shared" si="12"/>
        <v>-2.5425319522890399E-3</v>
      </c>
      <c r="I432" s="85">
        <v>147.5</v>
      </c>
      <c r="J432" s="85">
        <v>153.32</v>
      </c>
      <c r="K432" s="85">
        <v>147.22</v>
      </c>
      <c r="L432" s="85">
        <v>150.755</v>
      </c>
      <c r="M432" s="86">
        <v>10131027</v>
      </c>
      <c r="N432" s="84" t="s">
        <v>473</v>
      </c>
      <c r="O432" s="25">
        <f t="shared" si="13"/>
        <v>-2.1591323670856699E-2</v>
      </c>
    </row>
    <row r="433" spans="1:15">
      <c r="A433" s="85">
        <v>578.90233219384322</v>
      </c>
      <c r="B433" s="85">
        <v>579.32731256541308</v>
      </c>
      <c r="C433" s="85">
        <v>575.79898715493744</v>
      </c>
      <c r="D433" s="85">
        <v>576.12513488195611</v>
      </c>
      <c r="E433" s="86">
        <v>4393630.282505624</v>
      </c>
      <c r="F433" s="84" t="s">
        <v>474</v>
      </c>
      <c r="G433" s="25">
        <f t="shared" si="12"/>
        <v>4.8204758718888296E-3</v>
      </c>
      <c r="I433" s="85">
        <v>149.61000000000001</v>
      </c>
      <c r="J433" s="85">
        <v>150.72999999999999</v>
      </c>
      <c r="K433" s="85">
        <v>148.03</v>
      </c>
      <c r="L433" s="85">
        <v>150.49</v>
      </c>
      <c r="M433" s="86">
        <v>9571003</v>
      </c>
      <c r="N433" s="84" t="s">
        <v>474</v>
      </c>
      <c r="O433" s="25">
        <f t="shared" si="13"/>
        <v>-5.8475646222340139E-3</v>
      </c>
    </row>
    <row r="434" spans="1:15">
      <c r="A434" s="85">
        <v>574.50427951131746</v>
      </c>
      <c r="B434" s="85">
        <v>578.68490037583069</v>
      </c>
      <c r="C434" s="85">
        <v>571.56173518509638</v>
      </c>
      <c r="D434" s="85">
        <v>578.04248818624831</v>
      </c>
      <c r="E434" s="86">
        <v>4648524.8076335527</v>
      </c>
      <c r="F434" s="84" t="s">
        <v>475</v>
      </c>
      <c r="G434" s="25">
        <f t="shared" si="12"/>
        <v>-6.1210183459573519E-3</v>
      </c>
      <c r="I434" s="85">
        <v>151.07</v>
      </c>
      <c r="J434" s="85">
        <v>156.85</v>
      </c>
      <c r="K434" s="85">
        <v>147.5001</v>
      </c>
      <c r="L434" s="85">
        <v>154.46</v>
      </c>
      <c r="M434" s="86">
        <v>15934840</v>
      </c>
      <c r="N434" s="84" t="s">
        <v>475</v>
      </c>
      <c r="O434" s="25">
        <f t="shared" si="13"/>
        <v>-2.1947429755276526E-2</v>
      </c>
    </row>
    <row r="435" spans="1:15">
      <c r="A435" s="85">
        <v>574.85019376724654</v>
      </c>
      <c r="B435" s="85">
        <v>575.47283942791864</v>
      </c>
      <c r="C435" s="85">
        <v>570.66957290273331</v>
      </c>
      <c r="D435" s="85">
        <v>571.49976711696286</v>
      </c>
      <c r="E435" s="86">
        <v>4598698.1534712035</v>
      </c>
      <c r="F435" s="84" t="s">
        <v>476</v>
      </c>
      <c r="G435" s="25">
        <f t="shared" si="12"/>
        <v>5.8625162127108332E-3</v>
      </c>
      <c r="I435" s="85">
        <v>154.9</v>
      </c>
      <c r="J435" s="85">
        <v>156.38990000000001</v>
      </c>
      <c r="K435" s="85">
        <v>145.11000000000001</v>
      </c>
      <c r="L435" s="85">
        <v>145.16</v>
      </c>
      <c r="M435" s="86">
        <v>38572096</v>
      </c>
      <c r="N435" s="84" t="s">
        <v>476</v>
      </c>
      <c r="O435" s="25">
        <f t="shared" si="13"/>
        <v>6.7098374207770872E-2</v>
      </c>
    </row>
    <row r="436" spans="1:15">
      <c r="A436" s="85">
        <v>570.61027331600269</v>
      </c>
      <c r="B436" s="85">
        <v>574.71182806487491</v>
      </c>
      <c r="C436" s="85">
        <v>569.67136319276676</v>
      </c>
      <c r="D436" s="85">
        <v>574.01011628856179</v>
      </c>
      <c r="E436" s="86">
        <v>4702273.2429215647</v>
      </c>
      <c r="F436" s="84" t="s">
        <v>477</v>
      </c>
      <c r="G436" s="25">
        <f t="shared" si="12"/>
        <v>-5.9229669932332474E-3</v>
      </c>
      <c r="I436" s="85">
        <v>127</v>
      </c>
      <c r="J436" s="85">
        <v>127.23</v>
      </c>
      <c r="K436" s="85">
        <v>123</v>
      </c>
      <c r="L436" s="85">
        <v>125</v>
      </c>
      <c r="M436" s="86">
        <v>9223309</v>
      </c>
      <c r="N436" s="84" t="s">
        <v>477</v>
      </c>
      <c r="O436" s="25">
        <f t="shared" si="13"/>
        <v>1.6000000000000014E-2</v>
      </c>
    </row>
    <row r="437" spans="1:15">
      <c r="A437" s="85">
        <v>573.3677040989794</v>
      </c>
      <c r="B437" s="85">
        <v>573.43688695016522</v>
      </c>
      <c r="C437" s="85">
        <v>568.36677228469182</v>
      </c>
      <c r="D437" s="85">
        <v>568.4557216647878</v>
      </c>
      <c r="E437" s="86">
        <v>6718517.9857898047</v>
      </c>
      <c r="F437" s="84" t="s">
        <v>478</v>
      </c>
      <c r="G437" s="25">
        <f t="shared" si="12"/>
        <v>8.6409235530364725E-3</v>
      </c>
      <c r="I437" s="85">
        <v>125.21</v>
      </c>
      <c r="J437" s="85">
        <v>125.49</v>
      </c>
      <c r="K437" s="85">
        <v>120.23</v>
      </c>
      <c r="L437" s="85">
        <v>120.23</v>
      </c>
      <c r="M437" s="86">
        <v>6881693</v>
      </c>
      <c r="N437" s="84" t="s">
        <v>478</v>
      </c>
      <c r="O437" s="25">
        <f t="shared" si="13"/>
        <v>4.1420610496548216E-2</v>
      </c>
    </row>
    <row r="438" spans="1:15">
      <c r="A438" s="85">
        <v>564.77914728748544</v>
      </c>
      <c r="B438" s="85">
        <v>569.01906773872929</v>
      </c>
      <c r="C438" s="85">
        <v>562.64436216518072</v>
      </c>
      <c r="D438" s="85">
        <v>569.00918447427421</v>
      </c>
      <c r="E438" s="86">
        <v>8884973.2190018333</v>
      </c>
      <c r="F438" s="84" t="s">
        <v>479</v>
      </c>
      <c r="G438" s="25">
        <f t="shared" si="12"/>
        <v>-7.4340402619282875E-3</v>
      </c>
      <c r="I438" s="85">
        <v>118.6</v>
      </c>
      <c r="J438" s="85">
        <v>120.19</v>
      </c>
      <c r="K438" s="85">
        <v>115.95</v>
      </c>
      <c r="L438" s="85">
        <v>118.05</v>
      </c>
      <c r="M438" s="86">
        <v>9886738</v>
      </c>
      <c r="N438" s="84" t="s">
        <v>479</v>
      </c>
      <c r="O438" s="25">
        <f t="shared" si="13"/>
        <v>4.659042778483613E-3</v>
      </c>
    </row>
    <row r="439" spans="1:15">
      <c r="G439" s="25"/>
      <c r="O439" s="25"/>
    </row>
    <row r="440" spans="1:15">
      <c r="G440" s="25"/>
      <c r="O440" s="25"/>
    </row>
    <row r="441" spans="1:15">
      <c r="G441" s="25"/>
      <c r="O441" s="25"/>
    </row>
    <row r="442" spans="1:15">
      <c r="G442" s="25"/>
      <c r="O442" s="25"/>
    </row>
    <row r="443" spans="1:15">
      <c r="G443" s="25"/>
      <c r="O443" s="25"/>
    </row>
    <row r="444" spans="1:15">
      <c r="G444" s="25"/>
      <c r="O444" s="25"/>
    </row>
    <row r="445" spans="1:15">
      <c r="G445" s="25"/>
      <c r="O445" s="25"/>
    </row>
    <row r="446" spans="1:15">
      <c r="G446" s="25"/>
      <c r="O446" s="25"/>
    </row>
    <row r="447" spans="1:15">
      <c r="G447" s="25"/>
      <c r="O447" s="25"/>
    </row>
    <row r="448" spans="1:15">
      <c r="G448" s="25"/>
      <c r="O448" s="25"/>
    </row>
    <row r="449" spans="7:15">
      <c r="G449" s="25"/>
      <c r="O449" s="25"/>
    </row>
    <row r="450" spans="7:15">
      <c r="G450" s="25"/>
      <c r="O450" s="25"/>
    </row>
    <row r="451" spans="7:15">
      <c r="G451" s="25"/>
      <c r="O451" s="25"/>
    </row>
    <row r="452" spans="7:15">
      <c r="G452" s="25"/>
      <c r="O452" s="25"/>
    </row>
    <row r="453" spans="7:15">
      <c r="G453" s="25"/>
      <c r="O453" s="25"/>
    </row>
    <row r="454" spans="7:15">
      <c r="G454" s="25"/>
      <c r="O454" s="25"/>
    </row>
    <row r="455" spans="7:15">
      <c r="G455" s="25"/>
      <c r="O455" s="25"/>
    </row>
    <row r="456" spans="7:15">
      <c r="G456" s="25"/>
      <c r="O456" s="25"/>
    </row>
    <row r="457" spans="7:15">
      <c r="G457" s="25"/>
      <c r="O457" s="25"/>
    </row>
    <row r="458" spans="7:15">
      <c r="G458" s="25"/>
      <c r="O458" s="25"/>
    </row>
    <row r="459" spans="7:15">
      <c r="G459" s="25"/>
      <c r="O459" s="25"/>
    </row>
    <row r="460" spans="7:15">
      <c r="G460" s="25"/>
      <c r="O460" s="25"/>
    </row>
    <row r="461" spans="7:15">
      <c r="G461" s="25"/>
      <c r="O461" s="25"/>
    </row>
    <row r="462" spans="7:15">
      <c r="G462" s="25"/>
      <c r="O462" s="25"/>
    </row>
    <row r="463" spans="7:15">
      <c r="G463" s="25"/>
      <c r="O463" s="25"/>
    </row>
    <row r="464" spans="7:15">
      <c r="G464" s="25"/>
      <c r="O464" s="25"/>
    </row>
    <row r="465" spans="7:15">
      <c r="G465" s="25"/>
      <c r="O465" s="25"/>
    </row>
    <row r="466" spans="7:15">
      <c r="G466" s="25"/>
      <c r="O466" s="25"/>
    </row>
    <row r="467" spans="7:15">
      <c r="G467" s="25"/>
      <c r="O467" s="25"/>
    </row>
    <row r="468" spans="7:15">
      <c r="G468" s="25"/>
      <c r="O468" s="25"/>
    </row>
    <row r="469" spans="7:15">
      <c r="G469" s="25"/>
      <c r="O469" s="25"/>
    </row>
    <row r="470" spans="7:15">
      <c r="G470" s="25"/>
      <c r="O470" s="25"/>
    </row>
    <row r="471" spans="7:15">
      <c r="G471" s="25"/>
      <c r="O471" s="25"/>
    </row>
    <row r="472" spans="7:15">
      <c r="G472" s="25"/>
      <c r="O472" s="25"/>
    </row>
    <row r="473" spans="7:15">
      <c r="G473" s="25"/>
      <c r="O473" s="25"/>
    </row>
    <row r="474" spans="7:15">
      <c r="G474" s="25"/>
      <c r="O474" s="25"/>
    </row>
    <row r="475" spans="7:15">
      <c r="G475" s="25"/>
      <c r="O475" s="25"/>
    </row>
    <row r="476" spans="7:15">
      <c r="G476" s="25"/>
      <c r="O476" s="25"/>
    </row>
    <row r="477" spans="7:15">
      <c r="G477" s="25"/>
      <c r="O477" s="25"/>
    </row>
    <row r="478" spans="7:15">
      <c r="G478" s="25"/>
      <c r="O478" s="25"/>
    </row>
    <row r="479" spans="7:15">
      <c r="G479" s="25"/>
      <c r="O479" s="25"/>
    </row>
    <row r="480" spans="7:15">
      <c r="G480" s="25"/>
      <c r="O480" s="25"/>
    </row>
    <row r="481" spans="7:15">
      <c r="G481" s="25"/>
      <c r="O481" s="25"/>
    </row>
    <row r="482" spans="7:15">
      <c r="G482" s="25"/>
      <c r="O482" s="25"/>
    </row>
    <row r="483" spans="7:15">
      <c r="G483" s="25"/>
      <c r="O483" s="25"/>
    </row>
    <row r="484" spans="7:15">
      <c r="G484" s="25"/>
      <c r="O484" s="25"/>
    </row>
    <row r="485" spans="7:15">
      <c r="G485" s="25"/>
      <c r="O485" s="25"/>
    </row>
    <row r="486" spans="7:15">
      <c r="G486" s="25"/>
      <c r="O486" s="25"/>
    </row>
    <row r="487" spans="7:15">
      <c r="G487" s="25"/>
      <c r="O487" s="25"/>
    </row>
    <row r="488" spans="7:15">
      <c r="G488" s="25"/>
      <c r="O488" s="25"/>
    </row>
    <row r="489" spans="7:15">
      <c r="G489" s="25"/>
      <c r="O489" s="25"/>
    </row>
    <row r="490" spans="7:15">
      <c r="G490" s="25"/>
      <c r="O490" s="25"/>
    </row>
    <row r="491" spans="7:15">
      <c r="G491" s="25"/>
      <c r="O491" s="25"/>
    </row>
    <row r="492" spans="7:15">
      <c r="G492" s="25"/>
      <c r="O492" s="25"/>
    </row>
    <row r="493" spans="7:15">
      <c r="G493" s="25"/>
      <c r="O493" s="25"/>
    </row>
    <row r="494" spans="7:15">
      <c r="G494" s="25"/>
      <c r="O494" s="25"/>
    </row>
    <row r="495" spans="7:15">
      <c r="G495" s="25"/>
      <c r="O495" s="25"/>
    </row>
    <row r="496" spans="7:15">
      <c r="G496" s="25"/>
      <c r="O496" s="25"/>
    </row>
    <row r="497" spans="7:15">
      <c r="G497" s="25"/>
      <c r="O497" s="25"/>
    </row>
    <row r="498" spans="7:15">
      <c r="G498" s="25"/>
      <c r="O498" s="25"/>
    </row>
    <row r="499" spans="7:15">
      <c r="G499" s="25"/>
      <c r="O499" s="25"/>
    </row>
    <row r="500" spans="7:15">
      <c r="G500" s="25"/>
      <c r="O500" s="25"/>
    </row>
    <row r="501" spans="7:15">
      <c r="G501" s="25"/>
      <c r="O501" s="25"/>
    </row>
    <row r="502" spans="7:15">
      <c r="G502" s="25"/>
      <c r="O502" s="25"/>
    </row>
    <row r="503" spans="7:15">
      <c r="G503" s="25"/>
      <c r="O503" s="25"/>
    </row>
    <row r="504" spans="7:15">
      <c r="G504" s="25"/>
      <c r="O504" s="25"/>
    </row>
    <row r="505" spans="7:15">
      <c r="G505" s="25"/>
      <c r="O505" s="25"/>
    </row>
    <row r="506" spans="7:15">
      <c r="G506" s="25"/>
      <c r="O506" s="25"/>
    </row>
    <row r="507" spans="7:15">
      <c r="G507" s="25"/>
      <c r="O507" s="25"/>
    </row>
    <row r="508" spans="7:15">
      <c r="G508" s="25"/>
      <c r="O508" s="25"/>
    </row>
    <row r="509" spans="7:15">
      <c r="G509" s="25"/>
      <c r="O509" s="25"/>
    </row>
    <row r="510" spans="7:15">
      <c r="G510" s="25"/>
      <c r="O510" s="25"/>
    </row>
    <row r="511" spans="7:15">
      <c r="G511" s="25"/>
      <c r="O511" s="25"/>
    </row>
    <row r="512" spans="7:15">
      <c r="G512" s="25"/>
      <c r="O512" s="25"/>
    </row>
    <row r="513" spans="7:15">
      <c r="G513" s="25"/>
      <c r="O513" s="25"/>
    </row>
    <row r="514" spans="7:15">
      <c r="G514" s="25"/>
      <c r="O514" s="25"/>
    </row>
    <row r="515" spans="7:15">
      <c r="G515" s="25"/>
      <c r="O515" s="25"/>
    </row>
    <row r="516" spans="7:15">
      <c r="G516" s="25"/>
      <c r="O516" s="25"/>
    </row>
    <row r="517" spans="7:15">
      <c r="G517" s="25"/>
      <c r="O517" s="25"/>
    </row>
    <row r="518" spans="7:15">
      <c r="G518" s="25"/>
      <c r="O518" s="25"/>
    </row>
    <row r="519" spans="7:15">
      <c r="G519" s="25"/>
      <c r="O519" s="25"/>
    </row>
    <row r="520" spans="7:15">
      <c r="G520" s="25"/>
      <c r="O520" s="25"/>
    </row>
    <row r="521" spans="7:15">
      <c r="G521" s="25"/>
      <c r="O521" s="25"/>
    </row>
    <row r="522" spans="7:15">
      <c r="G522" s="25"/>
      <c r="O522" s="25"/>
    </row>
    <row r="523" spans="7:15">
      <c r="G523" s="25"/>
      <c r="O523" s="25"/>
    </row>
    <row r="524" spans="7:15">
      <c r="G524" s="25"/>
      <c r="O524" s="25"/>
    </row>
    <row r="525" spans="7:15">
      <c r="G525" s="25"/>
      <c r="O525" s="25"/>
    </row>
    <row r="526" spans="7:15">
      <c r="G526" s="25"/>
      <c r="O526" s="25"/>
    </row>
    <row r="527" spans="7:15">
      <c r="G527" s="25"/>
      <c r="O527" s="25"/>
    </row>
    <row r="528" spans="7:15">
      <c r="G528" s="25"/>
      <c r="O528" s="25"/>
    </row>
    <row r="529" spans="7:15">
      <c r="G529" s="25"/>
      <c r="O529" s="25"/>
    </row>
    <row r="530" spans="7:15">
      <c r="G530" s="25"/>
      <c r="O530" s="25"/>
    </row>
    <row r="531" spans="7:15">
      <c r="G531" s="25"/>
      <c r="O531" s="25"/>
    </row>
    <row r="532" spans="7:15">
      <c r="G532" s="25"/>
      <c r="O532" s="25"/>
    </row>
    <row r="533" spans="7:15">
      <c r="G533" s="25"/>
      <c r="O533" s="25"/>
    </row>
    <row r="534" spans="7:15">
      <c r="G534" s="25"/>
      <c r="O534" s="25"/>
    </row>
    <row r="535" spans="7:15">
      <c r="G535" s="25"/>
      <c r="O535" s="25"/>
    </row>
    <row r="536" spans="7:15">
      <c r="G536" s="25"/>
      <c r="O536" s="25"/>
    </row>
    <row r="537" spans="7:15">
      <c r="G537" s="25"/>
      <c r="O537" s="25"/>
    </row>
    <row r="538" spans="7:15">
      <c r="G538" s="25"/>
      <c r="O538" s="25"/>
    </row>
    <row r="539" spans="7:15">
      <c r="G539" s="25"/>
      <c r="O539" s="25"/>
    </row>
    <row r="540" spans="7:15">
      <c r="G540" s="25"/>
      <c r="O540" s="25"/>
    </row>
    <row r="541" spans="7:15">
      <c r="G541" s="25"/>
      <c r="O541" s="25"/>
    </row>
    <row r="542" spans="7:15">
      <c r="G542" s="25"/>
      <c r="O542" s="25"/>
    </row>
    <row r="543" spans="7:15">
      <c r="G543" s="25"/>
      <c r="O543" s="25"/>
    </row>
    <row r="544" spans="7:15">
      <c r="G544" s="25"/>
      <c r="O544" s="25"/>
    </row>
    <row r="545" spans="7:15">
      <c r="G545" s="25"/>
      <c r="O545" s="25"/>
    </row>
    <row r="546" spans="7:15">
      <c r="G546" s="25"/>
      <c r="O546" s="25"/>
    </row>
    <row r="547" spans="7:15">
      <c r="G547" s="25"/>
      <c r="O547" s="25"/>
    </row>
    <row r="548" spans="7:15">
      <c r="G548" s="25"/>
      <c r="O548" s="25"/>
    </row>
    <row r="549" spans="7:15">
      <c r="G549" s="25"/>
      <c r="O549" s="25"/>
    </row>
    <row r="550" spans="7:15">
      <c r="G550" s="25"/>
      <c r="O550" s="25"/>
    </row>
    <row r="551" spans="7:15">
      <c r="G551" s="25"/>
      <c r="O551" s="25"/>
    </row>
    <row r="552" spans="7:15">
      <c r="G552" s="25"/>
      <c r="O552" s="25"/>
    </row>
    <row r="553" spans="7:15">
      <c r="G553" s="25"/>
      <c r="O553" s="25"/>
    </row>
    <row r="554" spans="7:15">
      <c r="G554" s="25"/>
      <c r="O554" s="25"/>
    </row>
    <row r="555" spans="7:15">
      <c r="G555" s="25"/>
      <c r="O555" s="25"/>
    </row>
    <row r="556" spans="7:15">
      <c r="G556" s="25"/>
      <c r="O556" s="25"/>
    </row>
    <row r="557" spans="7:15">
      <c r="G557" s="25"/>
      <c r="O557" s="25"/>
    </row>
    <row r="558" spans="7:15">
      <c r="G558" s="25"/>
      <c r="O558" s="25"/>
    </row>
    <row r="559" spans="7:15">
      <c r="G559" s="25"/>
      <c r="O559" s="25"/>
    </row>
    <row r="560" spans="7:15">
      <c r="G560" s="25"/>
      <c r="O560" s="25"/>
    </row>
    <row r="561" spans="7:15">
      <c r="G561" s="25"/>
      <c r="O561" s="25"/>
    </row>
    <row r="562" spans="7:15">
      <c r="G562" s="25"/>
      <c r="O562" s="25"/>
    </row>
    <row r="563" spans="7:15">
      <c r="G563" s="25"/>
      <c r="O563" s="25"/>
    </row>
    <row r="564" spans="7:15">
      <c r="G564" s="25"/>
      <c r="O564" s="25"/>
    </row>
    <row r="565" spans="7:15">
      <c r="G565" s="25"/>
      <c r="O565" s="25"/>
    </row>
    <row r="566" spans="7:15">
      <c r="G566" s="25"/>
      <c r="O566" s="25"/>
    </row>
    <row r="567" spans="7:15">
      <c r="G567" s="25"/>
      <c r="O567" s="25"/>
    </row>
    <row r="568" spans="7:15">
      <c r="G568" s="25"/>
      <c r="O568" s="25"/>
    </row>
    <row r="569" spans="7:15">
      <c r="G569" s="25"/>
      <c r="O569" s="25"/>
    </row>
    <row r="570" spans="7:15">
      <c r="G570" s="25"/>
      <c r="O570" s="25"/>
    </row>
    <row r="571" spans="7:15">
      <c r="G571" s="25"/>
      <c r="O571" s="25"/>
    </row>
    <row r="572" spans="7:15">
      <c r="G572" s="25"/>
      <c r="O572" s="25"/>
    </row>
    <row r="573" spans="7:15">
      <c r="G573" s="25"/>
      <c r="O573" s="25"/>
    </row>
    <row r="574" spans="7:15">
      <c r="G574" s="25"/>
      <c r="O574" s="25"/>
    </row>
    <row r="575" spans="7:15">
      <c r="G575" s="25"/>
      <c r="O575" s="25"/>
    </row>
    <row r="576" spans="7:15">
      <c r="G576" s="25"/>
      <c r="O576" s="25"/>
    </row>
    <row r="577" spans="7:15">
      <c r="G577" s="25"/>
      <c r="O577" s="25"/>
    </row>
    <row r="578" spans="7:15">
      <c r="G578" s="25"/>
      <c r="O578" s="25"/>
    </row>
    <row r="579" spans="7:15">
      <c r="G579" s="25"/>
      <c r="O579" s="25"/>
    </row>
    <row r="580" spans="7:15">
      <c r="G580" s="25"/>
      <c r="O580" s="25"/>
    </row>
    <row r="581" spans="7:15">
      <c r="G581" s="25"/>
      <c r="O581" s="25"/>
    </row>
    <row r="582" spans="7:15">
      <c r="G582" s="25"/>
      <c r="O582" s="25"/>
    </row>
    <row r="583" spans="7:15">
      <c r="G583" s="25"/>
      <c r="O583" s="25"/>
    </row>
    <row r="584" spans="7:15">
      <c r="G584" s="25"/>
      <c r="O584" s="25"/>
    </row>
    <row r="585" spans="7:15">
      <c r="G585" s="25"/>
      <c r="O585" s="25"/>
    </row>
    <row r="586" spans="7:15">
      <c r="G586" s="25"/>
      <c r="O586" s="25"/>
    </row>
    <row r="587" spans="7:15">
      <c r="G587" s="25"/>
      <c r="O587" s="25"/>
    </row>
    <row r="588" spans="7:15">
      <c r="G588" s="25"/>
      <c r="O588" s="25"/>
    </row>
    <row r="589" spans="7:15">
      <c r="G589" s="25"/>
      <c r="O589" s="25"/>
    </row>
    <row r="590" spans="7:15">
      <c r="G590" s="25"/>
      <c r="O590" s="25"/>
    </row>
    <row r="591" spans="7:15">
      <c r="G591" s="25"/>
      <c r="O591" s="25"/>
    </row>
    <row r="592" spans="7:15">
      <c r="G592" s="25"/>
      <c r="O592" s="25"/>
    </row>
    <row r="593" spans="7:15">
      <c r="G593" s="25"/>
      <c r="O593" s="25"/>
    </row>
    <row r="594" spans="7:15">
      <c r="G594" s="25"/>
      <c r="O594" s="25"/>
    </row>
    <row r="595" spans="7:15">
      <c r="G595" s="25"/>
      <c r="O595" s="25"/>
    </row>
    <row r="596" spans="7:15">
      <c r="G596" s="25"/>
      <c r="O596" s="25"/>
    </row>
    <row r="597" spans="7:15">
      <c r="G597" s="25"/>
      <c r="O597" s="25"/>
    </row>
    <row r="598" spans="7:15">
      <c r="G598" s="25"/>
      <c r="O598" s="25"/>
    </row>
    <row r="599" spans="7:15">
      <c r="G599" s="25"/>
      <c r="O599" s="25"/>
    </row>
    <row r="600" spans="7:15">
      <c r="G600" s="25"/>
      <c r="O600" s="25"/>
    </row>
    <row r="601" spans="7:15">
      <c r="G601" s="25"/>
      <c r="O601" s="25"/>
    </row>
    <row r="602" spans="7:15">
      <c r="G602" s="25"/>
      <c r="O602" s="25"/>
    </row>
    <row r="603" spans="7:15">
      <c r="G603" s="25"/>
      <c r="O603" s="25"/>
    </row>
    <row r="604" spans="7:15">
      <c r="G604" s="25"/>
      <c r="O604" s="25"/>
    </row>
    <row r="605" spans="7:15">
      <c r="G605" s="25"/>
      <c r="O605" s="25"/>
    </row>
    <row r="606" spans="7:15">
      <c r="G606" s="25"/>
      <c r="O606" s="25"/>
    </row>
    <row r="607" spans="7:15">
      <c r="G607" s="25"/>
      <c r="O607" s="25"/>
    </row>
    <row r="608" spans="7:15">
      <c r="G608" s="25"/>
      <c r="O608" s="25"/>
    </row>
    <row r="609" spans="7:15">
      <c r="G609" s="25"/>
      <c r="O609" s="25"/>
    </row>
    <row r="610" spans="7:15">
      <c r="G610" s="25"/>
      <c r="O610" s="25"/>
    </row>
    <row r="611" spans="7:15">
      <c r="G611" s="25"/>
      <c r="O611" s="25"/>
    </row>
    <row r="612" spans="7:15">
      <c r="G612" s="25"/>
      <c r="O612" s="25"/>
    </row>
    <row r="613" spans="7:15">
      <c r="G613" s="25"/>
      <c r="O613" s="25"/>
    </row>
    <row r="614" spans="7:15">
      <c r="G614" s="25"/>
      <c r="O614" s="25"/>
    </row>
    <row r="615" spans="7:15">
      <c r="G615" s="25"/>
      <c r="O615" s="25"/>
    </row>
    <row r="616" spans="7:15">
      <c r="G616" s="25"/>
      <c r="O616" s="25"/>
    </row>
    <row r="617" spans="7:15">
      <c r="G617" s="25"/>
      <c r="O617" s="25"/>
    </row>
    <row r="618" spans="7:15">
      <c r="G618" s="25"/>
      <c r="O618" s="25"/>
    </row>
    <row r="619" spans="7:15">
      <c r="G619" s="25"/>
      <c r="O619" s="25"/>
    </row>
    <row r="620" spans="7:15">
      <c r="G620" s="25"/>
      <c r="O620" s="25"/>
    </row>
    <row r="621" spans="7:15">
      <c r="G621" s="25"/>
      <c r="O621" s="25"/>
    </row>
    <row r="622" spans="7:15">
      <c r="G622" s="25"/>
      <c r="O622" s="25"/>
    </row>
    <row r="623" spans="7:15">
      <c r="G623" s="25"/>
      <c r="O623" s="25"/>
    </row>
    <row r="624" spans="7:15">
      <c r="G624" s="25"/>
      <c r="O624" s="25"/>
    </row>
    <row r="625" spans="7:15">
      <c r="G625" s="25"/>
      <c r="O625" s="25"/>
    </row>
    <row r="626" spans="7:15">
      <c r="G626" s="25"/>
      <c r="O626" s="25"/>
    </row>
    <row r="627" spans="7:15">
      <c r="G627" s="25"/>
      <c r="O627" s="25"/>
    </row>
    <row r="628" spans="7:15">
      <c r="G628" s="25"/>
      <c r="O628" s="25"/>
    </row>
    <row r="629" spans="7:15">
      <c r="G629" s="25"/>
      <c r="O629" s="25"/>
    </row>
    <row r="630" spans="7:15">
      <c r="G630" s="25"/>
      <c r="O630" s="25"/>
    </row>
    <row r="631" spans="7:15">
      <c r="G631" s="25"/>
      <c r="O631" s="25"/>
    </row>
    <row r="632" spans="7:15">
      <c r="G632" s="25"/>
      <c r="O632" s="25"/>
    </row>
    <row r="633" spans="7:15">
      <c r="G633" s="25"/>
      <c r="O633" s="25"/>
    </row>
    <row r="634" spans="7:15">
      <c r="G634" s="25"/>
      <c r="O634" s="25"/>
    </row>
    <row r="635" spans="7:15">
      <c r="G635" s="25"/>
      <c r="O635" s="25"/>
    </row>
    <row r="636" spans="7:15">
      <c r="G636" s="25"/>
      <c r="O636" s="25"/>
    </row>
    <row r="637" spans="7:15">
      <c r="G637" s="25"/>
      <c r="O637" s="25"/>
    </row>
    <row r="638" spans="7:15">
      <c r="G638" s="25"/>
      <c r="O638" s="25"/>
    </row>
    <row r="639" spans="7:15">
      <c r="G639" s="25"/>
      <c r="O639" s="25"/>
    </row>
    <row r="640" spans="7:15">
      <c r="G640" s="25"/>
      <c r="O640" s="25"/>
    </row>
    <row r="641" spans="7:15">
      <c r="G641" s="25"/>
      <c r="O641" s="25"/>
    </row>
    <row r="642" spans="7:15">
      <c r="G642" s="25"/>
      <c r="O642" s="25"/>
    </row>
    <row r="643" spans="7:15">
      <c r="G643" s="25"/>
      <c r="O643" s="25"/>
    </row>
    <row r="644" spans="7:15">
      <c r="G644" s="25"/>
      <c r="O644" s="25"/>
    </row>
    <row r="645" spans="7:15">
      <c r="G645" s="25"/>
      <c r="O645" s="25"/>
    </row>
    <row r="646" spans="7:15">
      <c r="G646" s="25"/>
      <c r="O646" s="25"/>
    </row>
    <row r="647" spans="7:15">
      <c r="G647" s="25"/>
      <c r="O647" s="25"/>
    </row>
    <row r="648" spans="7:15">
      <c r="G648" s="25"/>
      <c r="O648" s="25"/>
    </row>
    <row r="649" spans="7:15">
      <c r="G649" s="25"/>
      <c r="O649" s="25"/>
    </row>
    <row r="650" spans="7:15">
      <c r="G650" s="25"/>
      <c r="O650" s="25"/>
    </row>
    <row r="651" spans="7:15">
      <c r="G651" s="25"/>
      <c r="O651" s="25"/>
    </row>
    <row r="652" spans="7:15">
      <c r="G652" s="25"/>
      <c r="O652" s="25"/>
    </row>
    <row r="653" spans="7:15">
      <c r="G653" s="25"/>
      <c r="O653" s="25"/>
    </row>
    <row r="654" spans="7:15">
      <c r="G654" s="25"/>
      <c r="O654" s="25"/>
    </row>
    <row r="655" spans="7:15">
      <c r="G655" s="25"/>
      <c r="O655" s="25"/>
    </row>
    <row r="656" spans="7:15">
      <c r="G656" s="25"/>
      <c r="O656" s="25"/>
    </row>
    <row r="657" spans="7:15">
      <c r="G657" s="25"/>
      <c r="O657" s="25"/>
    </row>
    <row r="658" spans="7:15">
      <c r="G658" s="25"/>
      <c r="O658" s="25"/>
    </row>
    <row r="659" spans="7:15">
      <c r="G659" s="25"/>
      <c r="O659" s="25"/>
    </row>
    <row r="660" spans="7:15">
      <c r="G660" s="25"/>
      <c r="O660" s="25"/>
    </row>
    <row r="661" spans="7:15">
      <c r="G661" s="25"/>
      <c r="O661" s="25"/>
    </row>
    <row r="662" spans="7:15">
      <c r="G662" s="25"/>
      <c r="O662" s="25"/>
    </row>
    <row r="663" spans="7:15">
      <c r="G663" s="25"/>
      <c r="O663" s="25"/>
    </row>
    <row r="664" spans="7:15">
      <c r="G664" s="25"/>
      <c r="O664" s="25"/>
    </row>
    <row r="665" spans="7:15">
      <c r="G665" s="25"/>
      <c r="O665" s="25"/>
    </row>
    <row r="666" spans="7:15">
      <c r="G666" s="25"/>
      <c r="O666" s="25"/>
    </row>
    <row r="667" spans="7:15">
      <c r="G667" s="25"/>
      <c r="O667" s="25"/>
    </row>
    <row r="668" spans="7:15">
      <c r="G668" s="25"/>
      <c r="O668" s="25"/>
    </row>
    <row r="669" spans="7:15">
      <c r="G669" s="25"/>
      <c r="O669" s="25"/>
    </row>
    <row r="670" spans="7:15">
      <c r="G670" s="25"/>
      <c r="O670" s="25"/>
    </row>
    <row r="671" spans="7:15">
      <c r="G671" s="25"/>
      <c r="O671" s="25"/>
    </row>
    <row r="672" spans="7:15">
      <c r="G672" s="25"/>
      <c r="O672" s="25"/>
    </row>
    <row r="673" spans="7:15">
      <c r="G673" s="25"/>
      <c r="O673" s="25"/>
    </row>
    <row r="674" spans="7:15">
      <c r="G674" s="25"/>
      <c r="O674" s="25"/>
    </row>
    <row r="675" spans="7:15">
      <c r="G675" s="25"/>
      <c r="O675" s="25"/>
    </row>
    <row r="676" spans="7:15">
      <c r="G676" s="25"/>
      <c r="O676" s="25"/>
    </row>
    <row r="677" spans="7:15">
      <c r="G677" s="25"/>
      <c r="O677" s="25"/>
    </row>
    <row r="678" spans="7:15">
      <c r="G678" s="25"/>
      <c r="O678" s="25"/>
    </row>
    <row r="679" spans="7:15">
      <c r="G679" s="25"/>
      <c r="O679" s="25"/>
    </row>
    <row r="680" spans="7:15">
      <c r="G680" s="25"/>
      <c r="O680" s="25"/>
    </row>
    <row r="681" spans="7:15">
      <c r="G681" s="25"/>
      <c r="O681" s="25"/>
    </row>
    <row r="682" spans="7:15">
      <c r="G682" s="25"/>
      <c r="O682" s="25"/>
    </row>
    <row r="683" spans="7:15">
      <c r="G683" s="25"/>
      <c r="O683" s="25"/>
    </row>
    <row r="684" spans="7:15">
      <c r="G684" s="25"/>
      <c r="O684" s="25"/>
    </row>
    <row r="685" spans="7:15">
      <c r="G685" s="25"/>
      <c r="O685" s="25"/>
    </row>
    <row r="686" spans="7:15">
      <c r="G686" s="25"/>
      <c r="O686" s="25"/>
    </row>
    <row r="687" spans="7:15">
      <c r="G687" s="25"/>
      <c r="O687" s="25"/>
    </row>
    <row r="688" spans="7:15">
      <c r="G688" s="25"/>
      <c r="O688" s="25"/>
    </row>
    <row r="689" spans="7:15">
      <c r="G689" s="25"/>
      <c r="O689" s="25"/>
    </row>
    <row r="690" spans="7:15">
      <c r="G690" s="25"/>
      <c r="O690" s="25"/>
    </row>
    <row r="691" spans="7:15">
      <c r="G691" s="25"/>
      <c r="O691" s="25"/>
    </row>
    <row r="692" spans="7:15">
      <c r="G692" s="25"/>
      <c r="O692" s="25"/>
    </row>
    <row r="693" spans="7:15">
      <c r="G693" s="25"/>
      <c r="O693" s="25"/>
    </row>
    <row r="694" spans="7:15">
      <c r="G694" s="25"/>
      <c r="O694" s="25"/>
    </row>
    <row r="695" spans="7:15">
      <c r="G695" s="25"/>
      <c r="O695" s="25"/>
    </row>
    <row r="696" spans="7:15">
      <c r="G696" s="25"/>
      <c r="O696" s="25"/>
    </row>
    <row r="697" spans="7:15">
      <c r="G697" s="25"/>
      <c r="O697" s="25"/>
    </row>
    <row r="698" spans="7:15">
      <c r="G698" s="25"/>
      <c r="O698" s="25"/>
    </row>
    <row r="699" spans="7:15">
      <c r="G699" s="25"/>
      <c r="O699" s="25"/>
    </row>
    <row r="700" spans="7:15">
      <c r="G700" s="25"/>
      <c r="O700" s="25"/>
    </row>
    <row r="701" spans="7:15">
      <c r="G701" s="25"/>
      <c r="O701" s="25"/>
    </row>
    <row r="702" spans="7:15">
      <c r="G702" s="25"/>
      <c r="O702" s="25"/>
    </row>
    <row r="703" spans="7:15">
      <c r="G703" s="25"/>
      <c r="O703" s="25"/>
    </row>
    <row r="704" spans="7:15">
      <c r="G704" s="25"/>
      <c r="O704" s="25"/>
    </row>
    <row r="705" spans="7:15">
      <c r="G705" s="25"/>
      <c r="O705" s="25"/>
    </row>
    <row r="706" spans="7:15">
      <c r="G706" s="25"/>
      <c r="O706" s="25"/>
    </row>
    <row r="707" spans="7:15">
      <c r="G707" s="25"/>
      <c r="O707" s="25"/>
    </row>
    <row r="708" spans="7:15">
      <c r="G708" s="25"/>
      <c r="O708" s="25"/>
    </row>
    <row r="709" spans="7:15">
      <c r="G709" s="25"/>
      <c r="O709" s="25"/>
    </row>
    <row r="710" spans="7:15">
      <c r="G710" s="25"/>
      <c r="O710" s="25"/>
    </row>
    <row r="711" spans="7:15">
      <c r="G711" s="25"/>
      <c r="O711" s="25"/>
    </row>
    <row r="712" spans="7:15">
      <c r="G712" s="25"/>
      <c r="O712" s="25"/>
    </row>
    <row r="713" spans="7:15">
      <c r="G713" s="25"/>
      <c r="O713" s="25"/>
    </row>
    <row r="714" spans="7:15">
      <c r="G714" s="25"/>
      <c r="O714" s="25"/>
    </row>
    <row r="715" spans="7:15">
      <c r="G715" s="25"/>
      <c r="O715" s="25"/>
    </row>
    <row r="716" spans="7:15">
      <c r="G716" s="25"/>
      <c r="O716" s="25"/>
    </row>
    <row r="717" spans="7:15">
      <c r="G717" s="25"/>
      <c r="O717" s="25"/>
    </row>
    <row r="718" spans="7:15">
      <c r="G718" s="25"/>
      <c r="O718" s="25"/>
    </row>
    <row r="719" spans="7:15">
      <c r="G719" s="25"/>
      <c r="O719" s="25"/>
    </row>
    <row r="720" spans="7:15">
      <c r="G720" s="25"/>
      <c r="O720" s="25"/>
    </row>
    <row r="721" spans="7:15">
      <c r="G721" s="25"/>
      <c r="O721" s="25"/>
    </row>
    <row r="722" spans="7:15">
      <c r="G722" s="25"/>
      <c r="O722" s="25"/>
    </row>
    <row r="723" spans="7:15">
      <c r="G723" s="25"/>
      <c r="O723" s="25"/>
    </row>
    <row r="724" spans="7:15">
      <c r="G724" s="25"/>
      <c r="O724" s="25"/>
    </row>
    <row r="725" spans="7:15">
      <c r="G725" s="25"/>
      <c r="O725" s="25"/>
    </row>
    <row r="726" spans="7:15">
      <c r="G726" s="25"/>
      <c r="O726" s="25"/>
    </row>
    <row r="727" spans="7:15">
      <c r="G727" s="25"/>
      <c r="O727" s="25"/>
    </row>
    <row r="728" spans="7:15">
      <c r="G728" s="25"/>
      <c r="O728" s="25"/>
    </row>
    <row r="729" spans="7:15">
      <c r="G729" s="25"/>
      <c r="O729" s="25"/>
    </row>
    <row r="730" spans="7:15">
      <c r="G730" s="25"/>
      <c r="O730" s="25"/>
    </row>
    <row r="731" spans="7:15">
      <c r="G731" s="25"/>
      <c r="O731" s="25"/>
    </row>
    <row r="732" spans="7:15">
      <c r="G732" s="25"/>
      <c r="O732" s="25"/>
    </row>
    <row r="733" spans="7:15">
      <c r="G733" s="25"/>
      <c r="O733" s="25"/>
    </row>
    <row r="734" spans="7:15">
      <c r="G734" s="25"/>
      <c r="O734" s="25"/>
    </row>
    <row r="735" spans="7:15">
      <c r="G735" s="25"/>
      <c r="O735" s="25"/>
    </row>
    <row r="736" spans="7:15">
      <c r="G736" s="25"/>
      <c r="O736" s="25"/>
    </row>
    <row r="737" spans="7:15">
      <c r="G737" s="25"/>
      <c r="O737" s="25"/>
    </row>
    <row r="738" spans="7:15">
      <c r="G738" s="25"/>
      <c r="O738" s="25"/>
    </row>
    <row r="739" spans="7:15">
      <c r="G739" s="25"/>
      <c r="O739" s="25"/>
    </row>
    <row r="740" spans="7:15">
      <c r="G740" s="25"/>
      <c r="O740" s="25"/>
    </row>
    <row r="741" spans="7:15">
      <c r="G741" s="25"/>
      <c r="O741" s="25"/>
    </row>
    <row r="742" spans="7:15">
      <c r="G742" s="25"/>
      <c r="O742" s="25"/>
    </row>
    <row r="743" spans="7:15">
      <c r="G743" s="25"/>
      <c r="O743" s="25"/>
    </row>
    <row r="744" spans="7:15">
      <c r="G744" s="25"/>
      <c r="O744" s="25"/>
    </row>
    <row r="745" spans="7:15">
      <c r="G745" s="25"/>
      <c r="O745" s="25"/>
    </row>
    <row r="746" spans="7:15">
      <c r="G746" s="25"/>
      <c r="O746" s="25"/>
    </row>
    <row r="747" spans="7:15">
      <c r="G747" s="25"/>
      <c r="O747" s="25"/>
    </row>
    <row r="748" spans="7:15">
      <c r="G748" s="25"/>
      <c r="O748" s="25"/>
    </row>
    <row r="749" spans="7:15">
      <c r="G749" s="25"/>
      <c r="O749" s="25"/>
    </row>
    <row r="750" spans="7:15">
      <c r="G750" s="25"/>
      <c r="O750" s="25"/>
    </row>
    <row r="751" spans="7:15">
      <c r="G751" s="25"/>
      <c r="O751" s="25"/>
    </row>
    <row r="752" spans="7:15">
      <c r="G752" s="25"/>
      <c r="O752" s="25"/>
    </row>
    <row r="753" spans="7:15">
      <c r="G753" s="25"/>
      <c r="O753" s="25"/>
    </row>
    <row r="754" spans="7:15">
      <c r="G754" s="25"/>
      <c r="O754" s="25"/>
    </row>
    <row r="755" spans="7:15">
      <c r="G755" s="25"/>
      <c r="O755" s="25"/>
    </row>
    <row r="756" spans="7:15">
      <c r="G756" s="25"/>
      <c r="O756" s="25"/>
    </row>
    <row r="757" spans="7:15">
      <c r="G757" s="25"/>
      <c r="O757" s="25"/>
    </row>
    <row r="758" spans="7:15">
      <c r="G758" s="25"/>
      <c r="O758" s="25"/>
    </row>
    <row r="759" spans="7:15">
      <c r="G759" s="25"/>
      <c r="O759" s="25"/>
    </row>
    <row r="760" spans="7:15">
      <c r="G760" s="25"/>
      <c r="O760" s="25"/>
    </row>
    <row r="761" spans="7:15">
      <c r="G761" s="25"/>
      <c r="O761" s="25"/>
    </row>
    <row r="762" spans="7:15">
      <c r="G762" s="25"/>
      <c r="O762" s="25"/>
    </row>
    <row r="763" spans="7:15">
      <c r="G763" s="25"/>
      <c r="O763" s="25"/>
    </row>
    <row r="764" spans="7:15">
      <c r="G764" s="25"/>
      <c r="O764" s="25"/>
    </row>
    <row r="765" spans="7:15">
      <c r="G765" s="25"/>
      <c r="O765" s="25"/>
    </row>
    <row r="766" spans="7:15">
      <c r="G766" s="25"/>
      <c r="O766" s="25"/>
    </row>
    <row r="767" spans="7:15">
      <c r="G767" s="25"/>
      <c r="O767" s="25"/>
    </row>
    <row r="768" spans="7:15">
      <c r="G768" s="25"/>
      <c r="O768" s="25"/>
    </row>
    <row r="769" spans="7:15">
      <c r="G769" s="25"/>
      <c r="O769" s="25"/>
    </row>
    <row r="770" spans="7:15">
      <c r="G770" s="25"/>
      <c r="O770" s="25"/>
    </row>
    <row r="771" spans="7:15">
      <c r="G771" s="25"/>
      <c r="O771" s="25"/>
    </row>
    <row r="772" spans="7:15">
      <c r="G772" s="25"/>
      <c r="O772" s="25"/>
    </row>
    <row r="773" spans="7:15">
      <c r="G773" s="25"/>
      <c r="O773" s="25"/>
    </row>
    <row r="774" spans="7:15">
      <c r="G774" s="25"/>
      <c r="O774" s="25"/>
    </row>
    <row r="775" spans="7:15">
      <c r="G775" s="25"/>
      <c r="O775" s="25"/>
    </row>
    <row r="776" spans="7:15">
      <c r="G776" s="25"/>
      <c r="O776" s="25"/>
    </row>
    <row r="777" spans="7:15">
      <c r="G777" s="25"/>
      <c r="O777" s="25"/>
    </row>
    <row r="778" spans="7:15">
      <c r="G778" s="25"/>
      <c r="O778" s="25"/>
    </row>
    <row r="779" spans="7:15">
      <c r="G779" s="25"/>
      <c r="O779" s="25"/>
    </row>
    <row r="780" spans="7:15">
      <c r="G780" s="25"/>
      <c r="O780" s="25"/>
    </row>
    <row r="781" spans="7:15">
      <c r="G781" s="25"/>
      <c r="O781" s="25"/>
    </row>
    <row r="782" spans="7:15">
      <c r="G782" s="25"/>
      <c r="O782" s="25"/>
    </row>
    <row r="783" spans="7:15">
      <c r="G783" s="25"/>
      <c r="O783" s="25"/>
    </row>
    <row r="784" spans="7:15">
      <c r="G784" s="25"/>
      <c r="O784" s="25"/>
    </row>
    <row r="785" spans="7:15">
      <c r="G785" s="25"/>
      <c r="O785" s="25"/>
    </row>
    <row r="786" spans="7:15">
      <c r="G786" s="25"/>
      <c r="O786" s="25"/>
    </row>
    <row r="787" spans="7:15">
      <c r="G787" s="25"/>
      <c r="O787" s="25"/>
    </row>
    <row r="788" spans="7:15">
      <c r="G788" s="25"/>
      <c r="O788" s="25"/>
    </row>
    <row r="789" spans="7:15">
      <c r="G789" s="25"/>
      <c r="O789" s="25"/>
    </row>
    <row r="790" spans="7:15">
      <c r="G790" s="25"/>
      <c r="O790" s="25"/>
    </row>
    <row r="791" spans="7:15">
      <c r="G791" s="25"/>
      <c r="O791" s="25"/>
    </row>
    <row r="792" spans="7:15">
      <c r="G792" s="25"/>
      <c r="O792" s="25"/>
    </row>
    <row r="793" spans="7:15">
      <c r="G793" s="25"/>
      <c r="O793" s="25"/>
    </row>
    <row r="794" spans="7:15">
      <c r="G794" s="25"/>
      <c r="O794" s="25"/>
    </row>
    <row r="795" spans="7:15">
      <c r="G795" s="25"/>
      <c r="O795" s="25"/>
    </row>
    <row r="796" spans="7:15">
      <c r="G796" s="25"/>
      <c r="O796" s="25"/>
    </row>
    <row r="797" spans="7:15">
      <c r="G797" s="25"/>
      <c r="O797" s="25"/>
    </row>
    <row r="798" spans="7:15">
      <c r="G798" s="25"/>
      <c r="O798" s="25"/>
    </row>
    <row r="799" spans="7:15">
      <c r="G799" s="25"/>
      <c r="O799" s="25"/>
    </row>
    <row r="800" spans="7:15">
      <c r="G800" s="25"/>
      <c r="O800" s="25"/>
    </row>
    <row r="801" spans="7:15">
      <c r="G801" s="25"/>
      <c r="O801" s="25"/>
    </row>
    <row r="802" spans="7:15">
      <c r="G802" s="25"/>
      <c r="O802" s="25"/>
    </row>
    <row r="803" spans="7:15">
      <c r="G803" s="25"/>
      <c r="O803" s="25"/>
    </row>
    <row r="804" spans="7:15">
      <c r="G804" s="25"/>
      <c r="O804" s="25"/>
    </row>
    <row r="805" spans="7:15">
      <c r="G805" s="25"/>
      <c r="O805" s="25"/>
    </row>
    <row r="806" spans="7:15">
      <c r="G806" s="25"/>
      <c r="O806" s="25"/>
    </row>
    <row r="807" spans="7:15">
      <c r="G807" s="25"/>
      <c r="O807" s="25"/>
    </row>
    <row r="808" spans="7:15">
      <c r="G808" s="25"/>
      <c r="O808" s="25"/>
    </row>
    <row r="809" spans="7:15">
      <c r="G809" s="25"/>
      <c r="O809" s="25"/>
    </row>
    <row r="810" spans="7:15">
      <c r="G810" s="25"/>
      <c r="O810" s="25"/>
    </row>
    <row r="811" spans="7:15">
      <c r="G811" s="25"/>
      <c r="O811" s="25"/>
    </row>
    <row r="812" spans="7:15">
      <c r="G812" s="25"/>
      <c r="O812" s="25"/>
    </row>
    <row r="813" spans="7:15">
      <c r="G813" s="25"/>
      <c r="O813" s="25"/>
    </row>
    <row r="814" spans="7:15">
      <c r="G814" s="25"/>
      <c r="O814" s="25"/>
    </row>
    <row r="815" spans="7:15">
      <c r="G815" s="25"/>
      <c r="O815" s="25"/>
    </row>
    <row r="816" spans="7:15">
      <c r="G816" s="25"/>
      <c r="O816" s="25"/>
    </row>
    <row r="817" spans="7:15">
      <c r="G817" s="25"/>
      <c r="O817" s="25"/>
    </row>
    <row r="818" spans="7:15">
      <c r="G818" s="25"/>
      <c r="O818" s="25"/>
    </row>
    <row r="819" spans="7:15">
      <c r="G819" s="25"/>
      <c r="O819" s="25"/>
    </row>
    <row r="820" spans="7:15">
      <c r="G820" s="25"/>
      <c r="O820" s="25"/>
    </row>
    <row r="821" spans="7:15">
      <c r="G821" s="25"/>
      <c r="O821" s="25"/>
    </row>
    <row r="822" spans="7:15">
      <c r="G822" s="25"/>
      <c r="O822" s="25"/>
    </row>
    <row r="823" spans="7:15">
      <c r="G823" s="25"/>
      <c r="O823" s="25"/>
    </row>
    <row r="824" spans="7:15">
      <c r="G824" s="25"/>
      <c r="O824" s="25"/>
    </row>
    <row r="825" spans="7:15">
      <c r="G825" s="25"/>
      <c r="O825" s="25"/>
    </row>
    <row r="826" spans="7:15">
      <c r="G826" s="25"/>
      <c r="O826" s="25"/>
    </row>
    <row r="827" spans="7:15">
      <c r="G827" s="25"/>
      <c r="O827" s="25"/>
    </row>
    <row r="828" spans="7:15">
      <c r="G828" s="25"/>
      <c r="O828" s="25"/>
    </row>
    <row r="829" spans="7:15">
      <c r="G829" s="25"/>
      <c r="O829" s="25"/>
    </row>
    <row r="830" spans="7:15">
      <c r="G830" s="25"/>
      <c r="O830" s="25"/>
    </row>
    <row r="831" spans="7:15">
      <c r="G831" s="25"/>
      <c r="O831" s="25"/>
    </row>
    <row r="832" spans="7:15">
      <c r="G832" s="25"/>
      <c r="O832" s="25"/>
    </row>
    <row r="833" spans="7:15">
      <c r="G833" s="25"/>
      <c r="O833" s="25"/>
    </row>
    <row r="834" spans="7:15">
      <c r="G834" s="25"/>
      <c r="O834" s="25"/>
    </row>
    <row r="835" spans="7:15">
      <c r="G835" s="25"/>
      <c r="O835" s="25"/>
    </row>
    <row r="836" spans="7:15">
      <c r="G836" s="25"/>
      <c r="O836" s="25"/>
    </row>
    <row r="837" spans="7:15">
      <c r="G837" s="25"/>
      <c r="O837" s="25"/>
    </row>
    <row r="838" spans="7:15">
      <c r="G838" s="25"/>
      <c r="O838" s="25"/>
    </row>
    <row r="839" spans="7:15">
      <c r="G839" s="25"/>
      <c r="O839" s="25"/>
    </row>
    <row r="840" spans="7:15">
      <c r="G840" s="25"/>
      <c r="O840" s="25"/>
    </row>
    <row r="841" spans="7:15">
      <c r="G841" s="25"/>
      <c r="O841" s="25"/>
    </row>
    <row r="842" spans="7:15">
      <c r="G842" s="25"/>
      <c r="O842" s="25"/>
    </row>
    <row r="843" spans="7:15">
      <c r="G843" s="25"/>
      <c r="O843" s="25"/>
    </row>
    <row r="844" spans="7:15">
      <c r="G844" s="25"/>
      <c r="O844" s="25"/>
    </row>
    <row r="845" spans="7:15">
      <c r="G845" s="25"/>
      <c r="O845" s="25"/>
    </row>
    <row r="846" spans="7:15">
      <c r="G846" s="25"/>
      <c r="O846" s="25"/>
    </row>
    <row r="847" spans="7:15">
      <c r="G847" s="25"/>
      <c r="O847" s="25"/>
    </row>
    <row r="848" spans="7:15">
      <c r="G848" s="25"/>
      <c r="O848" s="25"/>
    </row>
    <row r="849" spans="7:15">
      <c r="G849" s="25"/>
      <c r="O849" s="25"/>
    </row>
    <row r="850" spans="7:15">
      <c r="G850" s="25"/>
      <c r="O850" s="25"/>
    </row>
    <row r="851" spans="7:15">
      <c r="G851" s="25"/>
      <c r="O851" s="25"/>
    </row>
    <row r="852" spans="7:15">
      <c r="G852" s="25"/>
      <c r="O852" s="25"/>
    </row>
    <row r="853" spans="7:15">
      <c r="G853" s="25"/>
      <c r="O853" s="25"/>
    </row>
    <row r="854" spans="7:15">
      <c r="G854" s="25"/>
      <c r="O854" s="25"/>
    </row>
    <row r="855" spans="7:15">
      <c r="G855" s="25"/>
      <c r="O855" s="25"/>
    </row>
    <row r="856" spans="7:15">
      <c r="G856" s="25"/>
      <c r="O856" s="25"/>
    </row>
    <row r="857" spans="7:15">
      <c r="G857" s="25"/>
      <c r="O857" s="25"/>
    </row>
    <row r="858" spans="7:15">
      <c r="G858" s="25"/>
      <c r="O858" s="25"/>
    </row>
    <row r="859" spans="7:15">
      <c r="G859" s="25"/>
      <c r="O859" s="25"/>
    </row>
    <row r="860" spans="7:15">
      <c r="G860" s="25"/>
      <c r="O860" s="25"/>
    </row>
    <row r="861" spans="7:15">
      <c r="G861" s="25"/>
      <c r="O861" s="25"/>
    </row>
    <row r="862" spans="7:15">
      <c r="G862" s="25"/>
      <c r="O862" s="25"/>
    </row>
    <row r="863" spans="7:15">
      <c r="G863" s="25"/>
      <c r="O863" s="25"/>
    </row>
    <row r="864" spans="7:15">
      <c r="G864" s="25"/>
      <c r="O864" s="25"/>
    </row>
    <row r="865" spans="7:15">
      <c r="G865" s="25"/>
      <c r="O865" s="25"/>
    </row>
    <row r="866" spans="7:15">
      <c r="G866" s="25"/>
      <c r="O866" s="25"/>
    </row>
    <row r="867" spans="7:15">
      <c r="G867" s="25"/>
      <c r="O867" s="25"/>
    </row>
    <row r="868" spans="7:15">
      <c r="G868" s="25"/>
      <c r="O868" s="25"/>
    </row>
    <row r="869" spans="7:15">
      <c r="G869" s="25"/>
      <c r="O869" s="25"/>
    </row>
    <row r="870" spans="7:15">
      <c r="G870" s="25"/>
      <c r="O870" s="25"/>
    </row>
    <row r="871" spans="7:15">
      <c r="G871" s="25"/>
      <c r="O871" s="25"/>
    </row>
    <row r="872" spans="7:15">
      <c r="G872" s="25"/>
      <c r="O872" s="25"/>
    </row>
    <row r="873" spans="7:15">
      <c r="G873" s="25"/>
      <c r="O873" s="25"/>
    </row>
    <row r="874" spans="7:15">
      <c r="G874" s="25"/>
      <c r="O874" s="25"/>
    </row>
    <row r="875" spans="7:15">
      <c r="G875" s="25"/>
      <c r="O875" s="25"/>
    </row>
    <row r="876" spans="7:15">
      <c r="G876" s="25"/>
      <c r="O876" s="25"/>
    </row>
    <row r="877" spans="7:15">
      <c r="G877" s="25"/>
      <c r="O877" s="25"/>
    </row>
    <row r="878" spans="7:15">
      <c r="G878" s="25"/>
      <c r="O878" s="25"/>
    </row>
    <row r="879" spans="7:15">
      <c r="G879" s="25"/>
      <c r="O879" s="25"/>
    </row>
    <row r="880" spans="7:15">
      <c r="G880" s="25"/>
      <c r="O880" s="25"/>
    </row>
    <row r="881" spans="7:15">
      <c r="G881" s="25"/>
      <c r="O881" s="25"/>
    </row>
    <row r="882" spans="7:15">
      <c r="G882" s="25"/>
      <c r="O882" s="25"/>
    </row>
    <row r="883" spans="7:15">
      <c r="G883" s="25"/>
      <c r="O883" s="25"/>
    </row>
    <row r="884" spans="7:15">
      <c r="G884" s="25"/>
      <c r="O884" s="25"/>
    </row>
    <row r="885" spans="7:15">
      <c r="G885" s="25"/>
      <c r="O885" s="25"/>
    </row>
    <row r="886" spans="7:15">
      <c r="G886" s="25"/>
      <c r="O886" s="25"/>
    </row>
    <row r="887" spans="7:15">
      <c r="G887" s="25"/>
      <c r="O887" s="25"/>
    </row>
    <row r="888" spans="7:15">
      <c r="G888" s="25"/>
      <c r="O888" s="25"/>
    </row>
    <row r="889" spans="7:15">
      <c r="G889" s="25"/>
      <c r="O889" s="25"/>
    </row>
    <row r="890" spans="7:15">
      <c r="G890" s="25"/>
      <c r="O890" s="25"/>
    </row>
    <row r="891" spans="7:15">
      <c r="G891" s="25"/>
      <c r="O891" s="25"/>
    </row>
    <row r="892" spans="7:15">
      <c r="G892" s="25"/>
      <c r="O892" s="25"/>
    </row>
    <row r="893" spans="7:15">
      <c r="G893" s="25"/>
      <c r="O893" s="25"/>
    </row>
    <row r="894" spans="7:15">
      <c r="G894" s="25"/>
      <c r="O894" s="25"/>
    </row>
    <row r="895" spans="7:15">
      <c r="G895" s="25"/>
      <c r="O895" s="25"/>
    </row>
    <row r="896" spans="7:15">
      <c r="G896" s="25"/>
      <c r="O896" s="25"/>
    </row>
    <row r="897" spans="7:15">
      <c r="G897" s="25"/>
      <c r="O897" s="25"/>
    </row>
    <row r="898" spans="7:15">
      <c r="G898" s="25"/>
      <c r="O898" s="25"/>
    </row>
    <row r="899" spans="7:15">
      <c r="G899" s="25"/>
      <c r="O899" s="25"/>
    </row>
    <row r="900" spans="7:15">
      <c r="G900" s="25"/>
      <c r="O900" s="25"/>
    </row>
    <row r="901" spans="7:15">
      <c r="G901" s="25"/>
      <c r="O901" s="25"/>
    </row>
    <row r="902" spans="7:15">
      <c r="G902" s="25"/>
      <c r="O902" s="25"/>
    </row>
    <row r="903" spans="7:15">
      <c r="G903" s="25"/>
      <c r="O903" s="25"/>
    </row>
    <row r="904" spans="7:15">
      <c r="G904" s="25"/>
      <c r="O904" s="25"/>
    </row>
    <row r="905" spans="7:15">
      <c r="G905" s="25"/>
      <c r="O905" s="25"/>
    </row>
    <row r="906" spans="7:15">
      <c r="G906" s="25"/>
      <c r="O906" s="25"/>
    </row>
    <row r="907" spans="7:15">
      <c r="G907" s="25"/>
      <c r="O907" s="25"/>
    </row>
    <row r="908" spans="7:15">
      <c r="G908" s="25"/>
      <c r="O908" s="25"/>
    </row>
    <row r="909" spans="7:15">
      <c r="G909" s="25"/>
      <c r="O909" s="25"/>
    </row>
    <row r="910" spans="7:15">
      <c r="G910" s="25"/>
      <c r="O910" s="25"/>
    </row>
    <row r="911" spans="7:15">
      <c r="G911" s="25"/>
      <c r="O911" s="25"/>
    </row>
    <row r="912" spans="7:15">
      <c r="G912" s="25"/>
      <c r="O912" s="25"/>
    </row>
    <row r="913" spans="7:15">
      <c r="G913" s="25"/>
      <c r="O913" s="25"/>
    </row>
    <row r="914" spans="7:15">
      <c r="G914" s="25"/>
      <c r="O914" s="25"/>
    </row>
    <row r="915" spans="7:15">
      <c r="G915" s="25"/>
      <c r="O915" s="25"/>
    </row>
    <row r="916" spans="7:15">
      <c r="G916" s="25"/>
      <c r="O916" s="25"/>
    </row>
    <row r="917" spans="7:15">
      <c r="G917" s="25"/>
      <c r="O917" s="25"/>
    </row>
    <row r="918" spans="7:15">
      <c r="G918" s="25"/>
      <c r="O918" s="25"/>
    </row>
    <row r="919" spans="7:15">
      <c r="G919" s="25"/>
      <c r="O919" s="25"/>
    </row>
    <row r="920" spans="7:15">
      <c r="G920" s="25"/>
      <c r="O920" s="25"/>
    </row>
    <row r="921" spans="7:15">
      <c r="G921" s="25"/>
      <c r="O921" s="25"/>
    </row>
    <row r="922" spans="7:15">
      <c r="G922" s="25"/>
      <c r="O922" s="25"/>
    </row>
    <row r="923" spans="7:15">
      <c r="G923" s="25"/>
      <c r="O923" s="25"/>
    </row>
    <row r="924" spans="7:15">
      <c r="G924" s="25"/>
      <c r="O924" s="25"/>
    </row>
    <row r="925" spans="7:15">
      <c r="G925" s="25"/>
      <c r="O925" s="25"/>
    </row>
    <row r="926" spans="7:15">
      <c r="G926" s="25"/>
      <c r="O926" s="25"/>
    </row>
    <row r="927" spans="7:15">
      <c r="G927" s="25"/>
      <c r="O927" s="25"/>
    </row>
    <row r="928" spans="7:15">
      <c r="G928" s="25"/>
      <c r="O928" s="25"/>
    </row>
    <row r="929" spans="7:15">
      <c r="G929" s="25"/>
      <c r="O929" s="25"/>
    </row>
    <row r="930" spans="7:15">
      <c r="G930" s="25"/>
      <c r="O930" s="25"/>
    </row>
    <row r="931" spans="7:15">
      <c r="G931" s="25"/>
      <c r="O931" s="25"/>
    </row>
    <row r="932" spans="7:15">
      <c r="G932" s="25"/>
      <c r="O932" s="25"/>
    </row>
    <row r="933" spans="7:15">
      <c r="G933" s="25"/>
      <c r="O933" s="25"/>
    </row>
    <row r="934" spans="7:15">
      <c r="G934" s="25"/>
      <c r="O934" s="25"/>
    </row>
    <row r="935" spans="7:15">
      <c r="G935" s="25"/>
      <c r="O935" s="25"/>
    </row>
    <row r="936" spans="7:15">
      <c r="G936" s="25"/>
      <c r="O936" s="25"/>
    </row>
    <row r="937" spans="7:15">
      <c r="G937" s="25"/>
      <c r="O937" s="25"/>
    </row>
    <row r="938" spans="7:15">
      <c r="G938" s="25"/>
      <c r="O938" s="25"/>
    </row>
    <row r="939" spans="7:15">
      <c r="G939" s="25"/>
      <c r="O939" s="25"/>
    </row>
    <row r="940" spans="7:15">
      <c r="G940" s="25"/>
      <c r="O940" s="25"/>
    </row>
    <row r="941" spans="7:15">
      <c r="G941" s="25"/>
      <c r="O941" s="25"/>
    </row>
    <row r="942" spans="7:15">
      <c r="G942" s="25"/>
      <c r="O942" s="25"/>
    </row>
    <row r="943" spans="7:15">
      <c r="G943" s="25"/>
      <c r="O943" s="25"/>
    </row>
    <row r="944" spans="7:15">
      <c r="G944" s="25"/>
      <c r="O944" s="25"/>
    </row>
    <row r="945" spans="7:15">
      <c r="G945" s="25"/>
      <c r="O945" s="25"/>
    </row>
    <row r="946" spans="7:15">
      <c r="G946" s="25"/>
      <c r="O946" s="25"/>
    </row>
    <row r="947" spans="7:15">
      <c r="G947" s="25"/>
      <c r="O947" s="25"/>
    </row>
    <row r="948" spans="7:15">
      <c r="G948" s="25"/>
      <c r="O948" s="25"/>
    </row>
    <row r="949" spans="7:15">
      <c r="G949" s="25"/>
      <c r="O949" s="25"/>
    </row>
    <row r="950" spans="7:15">
      <c r="G950" s="25"/>
      <c r="O950" s="25"/>
    </row>
    <row r="951" spans="7:15">
      <c r="G951" s="25"/>
      <c r="O951" s="25"/>
    </row>
    <row r="952" spans="7:15">
      <c r="G952" s="25"/>
      <c r="O952" s="25"/>
    </row>
    <row r="953" spans="7:15">
      <c r="G953" s="25"/>
      <c r="O953" s="25"/>
    </row>
    <row r="954" spans="7:15">
      <c r="G954" s="25"/>
      <c r="O954" s="25"/>
    </row>
    <row r="955" spans="7:15">
      <c r="G955" s="25"/>
      <c r="O955" s="25"/>
    </row>
    <row r="956" spans="7:15">
      <c r="G956" s="25"/>
      <c r="O956" s="25"/>
    </row>
    <row r="957" spans="7:15">
      <c r="G957" s="25"/>
      <c r="O957" s="25"/>
    </row>
    <row r="958" spans="7:15">
      <c r="G958" s="25"/>
      <c r="O958" s="25"/>
    </row>
    <row r="959" spans="7:15">
      <c r="G959" s="25"/>
      <c r="O959" s="25"/>
    </row>
    <row r="960" spans="7:15">
      <c r="G960" s="25"/>
      <c r="O960" s="25"/>
    </row>
    <row r="961" spans="7:15">
      <c r="G961" s="25"/>
      <c r="O961" s="25"/>
    </row>
    <row r="962" spans="7:15">
      <c r="G962" s="25"/>
      <c r="O962" s="25"/>
    </row>
    <row r="963" spans="7:15">
      <c r="G963" s="25"/>
      <c r="O963" s="25"/>
    </row>
    <row r="964" spans="7:15">
      <c r="G964" s="25"/>
      <c r="O964" s="25"/>
    </row>
    <row r="965" spans="7:15">
      <c r="G965" s="25"/>
      <c r="O965" s="25"/>
    </row>
    <row r="966" spans="7:15">
      <c r="G966" s="25"/>
      <c r="O966" s="25"/>
    </row>
    <row r="967" spans="7:15">
      <c r="G967" s="25"/>
      <c r="O967" s="25"/>
    </row>
    <row r="968" spans="7:15">
      <c r="G968" s="25"/>
      <c r="O968" s="25"/>
    </row>
    <row r="969" spans="7:15">
      <c r="G969" s="25"/>
      <c r="O969" s="25"/>
    </row>
    <row r="970" spans="7:15">
      <c r="G970" s="25"/>
      <c r="O970" s="25"/>
    </row>
    <row r="971" spans="7:15">
      <c r="G971" s="25"/>
      <c r="O971" s="25"/>
    </row>
    <row r="972" spans="7:15">
      <c r="G972" s="25"/>
      <c r="O972" s="25"/>
    </row>
    <row r="973" spans="7:15">
      <c r="G973" s="25"/>
      <c r="O973" s="25"/>
    </row>
    <row r="974" spans="7:15">
      <c r="G974" s="25"/>
      <c r="O974" s="25"/>
    </row>
    <row r="975" spans="7:15">
      <c r="G975" s="25"/>
      <c r="O975" s="25"/>
    </row>
    <row r="976" spans="7:15">
      <c r="G976" s="25"/>
      <c r="O976" s="25"/>
    </row>
    <row r="977" spans="7:15">
      <c r="G977" s="25"/>
      <c r="O977" s="25"/>
    </row>
    <row r="978" spans="7:15">
      <c r="G978" s="25"/>
      <c r="O978" s="25"/>
    </row>
    <row r="979" spans="7:15">
      <c r="G979" s="25"/>
      <c r="O979" s="25"/>
    </row>
    <row r="980" spans="7:15">
      <c r="G980" s="25"/>
      <c r="O980" s="25"/>
    </row>
    <row r="981" spans="7:15">
      <c r="G981" s="25"/>
      <c r="O981" s="25"/>
    </row>
    <row r="982" spans="7:15">
      <c r="G982" s="25"/>
      <c r="O982" s="25"/>
    </row>
    <row r="983" spans="7:15">
      <c r="G983" s="25"/>
      <c r="O983" s="25"/>
    </row>
    <row r="984" spans="7:15">
      <c r="G984" s="25"/>
      <c r="O984" s="25"/>
    </row>
    <row r="985" spans="7:15">
      <c r="G985" s="25"/>
      <c r="O985" s="25"/>
    </row>
    <row r="986" spans="7:15">
      <c r="G986" s="25"/>
      <c r="O986" s="25"/>
    </row>
    <row r="987" spans="7:15">
      <c r="G987" s="25"/>
      <c r="O987" s="25"/>
    </row>
    <row r="988" spans="7:15">
      <c r="G988" s="25"/>
      <c r="O988" s="25"/>
    </row>
    <row r="989" spans="7:15">
      <c r="G989" s="25"/>
      <c r="O989" s="25"/>
    </row>
    <row r="990" spans="7:15">
      <c r="G990" s="25"/>
      <c r="O990" s="25"/>
    </row>
    <row r="991" spans="7:15">
      <c r="G991" s="25"/>
      <c r="O991" s="25"/>
    </row>
    <row r="992" spans="7:15">
      <c r="G992" s="25"/>
      <c r="O992" s="25"/>
    </row>
    <row r="993" spans="7:15">
      <c r="G993" s="25"/>
      <c r="O993" s="25"/>
    </row>
    <row r="994" spans="7:15">
      <c r="G994" s="25"/>
      <c r="O994" s="25"/>
    </row>
    <row r="995" spans="7:15">
      <c r="G995" s="25"/>
      <c r="O995" s="25"/>
    </row>
    <row r="996" spans="7:15">
      <c r="G996" s="25"/>
      <c r="O996" s="25"/>
    </row>
    <row r="997" spans="7:15">
      <c r="G997" s="25"/>
      <c r="O997" s="25"/>
    </row>
    <row r="998" spans="7:15">
      <c r="G998" s="25"/>
      <c r="O998" s="25"/>
    </row>
    <row r="999" spans="7:15">
      <c r="G999" s="25"/>
      <c r="O999" s="25"/>
    </row>
    <row r="1000" spans="7:15">
      <c r="G1000" s="25"/>
      <c r="O1000" s="25"/>
    </row>
    <row r="1001" spans="7:15">
      <c r="G1001" s="25"/>
      <c r="O1001" s="25"/>
    </row>
    <row r="1002" spans="7:15">
      <c r="G1002" s="25"/>
      <c r="O1002" s="25"/>
    </row>
    <row r="1003" spans="7:15">
      <c r="G1003" s="25"/>
      <c r="O1003" s="25"/>
    </row>
    <row r="1004" spans="7:15">
      <c r="G1004" s="25"/>
      <c r="O1004" s="25"/>
    </row>
    <row r="1005" spans="7:15">
      <c r="G1005" s="25"/>
      <c r="O1005" s="25"/>
    </row>
    <row r="1006" spans="7:15">
      <c r="G1006" s="25"/>
      <c r="O1006" s="25"/>
    </row>
    <row r="1007" spans="7:15">
      <c r="G1007" s="25"/>
      <c r="O1007" s="25"/>
    </row>
    <row r="1008" spans="7:15">
      <c r="G1008" s="25"/>
      <c r="O1008" s="25"/>
    </row>
    <row r="1009" spans="7:15">
      <c r="G1009" s="25"/>
      <c r="O1009" s="25"/>
    </row>
    <row r="1010" spans="7:15">
      <c r="G1010" s="25"/>
      <c r="O1010" s="25"/>
    </row>
    <row r="1011" spans="7:15">
      <c r="G1011" s="25"/>
      <c r="O1011" s="25"/>
    </row>
    <row r="1012" spans="7:15">
      <c r="G1012" s="25"/>
      <c r="O1012" s="25"/>
    </row>
    <row r="1013" spans="7:15">
      <c r="G1013" s="25"/>
      <c r="O1013" s="25"/>
    </row>
    <row r="1014" spans="7:15">
      <c r="G1014" s="25"/>
      <c r="O1014" s="25"/>
    </row>
    <row r="1015" spans="7:15">
      <c r="G1015" s="25"/>
      <c r="O1015" s="25"/>
    </row>
    <row r="1016" spans="7:15">
      <c r="G1016" s="25"/>
      <c r="O1016" s="25"/>
    </row>
    <row r="1017" spans="7:15">
      <c r="G1017" s="25"/>
      <c r="O1017" s="25"/>
    </row>
    <row r="1018" spans="7:15">
      <c r="G1018" s="25"/>
      <c r="O1018" s="25"/>
    </row>
    <row r="1019" spans="7:15">
      <c r="G1019" s="25"/>
      <c r="O1019" s="25"/>
    </row>
    <row r="1020" spans="7:15">
      <c r="G1020" s="25"/>
      <c r="O1020" s="25"/>
    </row>
    <row r="1021" spans="7:15">
      <c r="G1021" s="25"/>
      <c r="O1021" s="25"/>
    </row>
    <row r="1022" spans="7:15">
      <c r="G1022" s="25"/>
      <c r="O1022" s="25"/>
    </row>
    <row r="1023" spans="7:15">
      <c r="G1023" s="25"/>
      <c r="O1023" s="25"/>
    </row>
    <row r="1024" spans="7:15">
      <c r="G1024" s="25"/>
      <c r="O1024" s="25"/>
    </row>
    <row r="1025" spans="7:15">
      <c r="G1025" s="25"/>
      <c r="O1025" s="25"/>
    </row>
    <row r="1026" spans="7:15">
      <c r="G1026" s="25"/>
      <c r="O1026" s="25"/>
    </row>
    <row r="1027" spans="7:15">
      <c r="G1027" s="25"/>
      <c r="O1027" s="25"/>
    </row>
    <row r="1028" spans="7:15">
      <c r="G1028" s="25"/>
      <c r="O1028" s="25"/>
    </row>
    <row r="1029" spans="7:15">
      <c r="G1029" s="25"/>
      <c r="O1029" s="25"/>
    </row>
    <row r="1030" spans="7:15">
      <c r="G1030" s="25"/>
      <c r="O1030" s="25"/>
    </row>
    <row r="1031" spans="7:15">
      <c r="G1031" s="25"/>
      <c r="O1031" s="25"/>
    </row>
    <row r="1032" spans="7:15">
      <c r="G1032" s="25"/>
      <c r="O1032" s="25"/>
    </row>
    <row r="1033" spans="7:15">
      <c r="G1033" s="25"/>
      <c r="O1033" s="25"/>
    </row>
    <row r="1034" spans="7:15">
      <c r="G1034" s="25"/>
      <c r="O1034" s="25"/>
    </row>
    <row r="1035" spans="7:15">
      <c r="G1035" s="25"/>
      <c r="O1035" s="25"/>
    </row>
    <row r="1036" spans="7:15">
      <c r="G1036" s="25"/>
      <c r="O1036" s="25"/>
    </row>
    <row r="1037" spans="7:15">
      <c r="G1037" s="25"/>
      <c r="O1037" s="25"/>
    </row>
    <row r="1038" spans="7:15">
      <c r="G1038" s="25"/>
      <c r="O1038" s="25"/>
    </row>
    <row r="1039" spans="7:15">
      <c r="G1039" s="25"/>
      <c r="O1039" s="25"/>
    </row>
    <row r="1040" spans="7:15">
      <c r="G1040" s="25"/>
      <c r="O1040" s="25"/>
    </row>
    <row r="1041" spans="7:15">
      <c r="G1041" s="25"/>
      <c r="O1041" s="25"/>
    </row>
    <row r="1042" spans="7:15">
      <c r="G1042" s="25"/>
      <c r="O1042" s="25"/>
    </row>
    <row r="1043" spans="7:15">
      <c r="G1043" s="25"/>
      <c r="O1043" s="25"/>
    </row>
    <row r="1044" spans="7:15">
      <c r="G1044" s="25"/>
      <c r="O1044" s="25"/>
    </row>
    <row r="1045" spans="7:15">
      <c r="G1045" s="25"/>
      <c r="O1045" s="25"/>
    </row>
    <row r="1046" spans="7:15">
      <c r="G1046" s="25"/>
      <c r="O1046" s="25"/>
    </row>
    <row r="1047" spans="7:15">
      <c r="G1047" s="25"/>
      <c r="O1047" s="25"/>
    </row>
    <row r="1048" spans="7:15">
      <c r="G1048" s="25"/>
      <c r="O1048" s="25"/>
    </row>
    <row r="1049" spans="7:15">
      <c r="G1049" s="25"/>
      <c r="O1049" s="25"/>
    </row>
    <row r="1050" spans="7:15">
      <c r="G1050" s="25"/>
      <c r="O1050" s="25"/>
    </row>
    <row r="1051" spans="7:15">
      <c r="G1051" s="25"/>
      <c r="O1051" s="25"/>
    </row>
    <row r="1052" spans="7:15">
      <c r="G1052" s="25"/>
      <c r="O1052" s="25"/>
    </row>
    <row r="1053" spans="7:15">
      <c r="G1053" s="25"/>
      <c r="O1053" s="25"/>
    </row>
    <row r="1054" spans="7:15">
      <c r="G1054" s="25"/>
      <c r="O1054" s="25"/>
    </row>
    <row r="1055" spans="7:15">
      <c r="G1055" s="25"/>
      <c r="O1055" s="25"/>
    </row>
    <row r="1056" spans="7:15">
      <c r="G1056" s="25"/>
      <c r="O1056" s="25"/>
    </row>
    <row r="1057" spans="7:15">
      <c r="G1057" s="25"/>
      <c r="O1057" s="25"/>
    </row>
    <row r="1058" spans="7:15">
      <c r="G1058" s="25"/>
      <c r="O1058" s="25"/>
    </row>
    <row r="1059" spans="7:15">
      <c r="G1059" s="25"/>
      <c r="O1059" s="25"/>
    </row>
    <row r="1060" spans="7:15">
      <c r="G1060" s="25"/>
      <c r="O1060" s="25"/>
    </row>
    <row r="1061" spans="7:15">
      <c r="G1061" s="25"/>
      <c r="O1061" s="25"/>
    </row>
    <row r="1062" spans="7:15">
      <c r="G1062" s="25"/>
      <c r="O1062" s="25"/>
    </row>
    <row r="1063" spans="7:15">
      <c r="G1063" s="25"/>
      <c r="O1063" s="25"/>
    </row>
    <row r="1064" spans="7:15">
      <c r="G1064" s="25"/>
      <c r="O1064" s="25"/>
    </row>
    <row r="1065" spans="7:15">
      <c r="G1065" s="25"/>
      <c r="O1065" s="25"/>
    </row>
    <row r="1066" spans="7:15">
      <c r="G1066" s="25"/>
      <c r="O1066" s="25"/>
    </row>
    <row r="1067" spans="7:15">
      <c r="G1067" s="25"/>
      <c r="O1067" s="25"/>
    </row>
    <row r="1068" spans="7:15">
      <c r="G1068" s="25"/>
      <c r="O1068" s="25"/>
    </row>
    <row r="1069" spans="7:15">
      <c r="G1069" s="25"/>
      <c r="O1069" s="25"/>
    </row>
    <row r="1070" spans="7:15">
      <c r="G1070" s="25"/>
      <c r="O1070" s="25"/>
    </row>
    <row r="1071" spans="7:15">
      <c r="G1071" s="25"/>
      <c r="O1071" s="25"/>
    </row>
    <row r="1072" spans="7:15">
      <c r="G1072" s="25"/>
      <c r="O1072" s="25"/>
    </row>
    <row r="1073" spans="7:15">
      <c r="G1073" s="25"/>
      <c r="O1073" s="25"/>
    </row>
    <row r="1074" spans="7:15">
      <c r="G1074" s="25"/>
      <c r="O1074" s="25"/>
    </row>
    <row r="1075" spans="7:15">
      <c r="G1075" s="25"/>
      <c r="O1075" s="25"/>
    </row>
    <row r="1076" spans="7:15">
      <c r="G1076" s="25"/>
      <c r="O1076" s="25"/>
    </row>
    <row r="1077" spans="7:15">
      <c r="G1077" s="25"/>
      <c r="O1077" s="25"/>
    </row>
    <row r="1078" spans="7:15">
      <c r="G1078" s="25"/>
      <c r="O1078" s="25"/>
    </row>
    <row r="1079" spans="7:15">
      <c r="G1079" s="25"/>
      <c r="O1079" s="25"/>
    </row>
    <row r="1080" spans="7:15">
      <c r="G1080" s="25"/>
      <c r="O1080" s="25"/>
    </row>
    <row r="1081" spans="7:15">
      <c r="G1081" s="25"/>
      <c r="O1081" s="25"/>
    </row>
    <row r="1082" spans="7:15">
      <c r="G1082" s="25"/>
      <c r="O1082" s="25"/>
    </row>
    <row r="1083" spans="7:15">
      <c r="G1083" s="25"/>
      <c r="O1083" s="25"/>
    </row>
    <row r="1084" spans="7:15">
      <c r="G1084" s="25"/>
      <c r="O1084" s="25"/>
    </row>
    <row r="1085" spans="7:15">
      <c r="G1085" s="25"/>
      <c r="O1085" s="25"/>
    </row>
    <row r="1086" spans="7:15">
      <c r="G1086" s="25"/>
      <c r="O1086" s="25"/>
    </row>
    <row r="1087" spans="7:15">
      <c r="G1087" s="25"/>
      <c r="O1087" s="25"/>
    </row>
    <row r="1088" spans="7:15">
      <c r="G1088" s="25"/>
      <c r="O1088" s="25"/>
    </row>
    <row r="1089" spans="7:15">
      <c r="G1089" s="25"/>
      <c r="O1089" s="25"/>
    </row>
    <row r="1090" spans="7:15">
      <c r="G1090" s="25"/>
      <c r="O1090" s="25"/>
    </row>
    <row r="1091" spans="7:15">
      <c r="G1091" s="25"/>
      <c r="O1091" s="25"/>
    </row>
    <row r="1092" spans="7:15">
      <c r="G1092" s="25"/>
      <c r="O1092" s="25"/>
    </row>
    <row r="1093" spans="7:15">
      <c r="G1093" s="25"/>
      <c r="O1093" s="25"/>
    </row>
    <row r="1094" spans="7:15">
      <c r="G1094" s="25"/>
      <c r="O1094" s="25"/>
    </row>
    <row r="1095" spans="7:15">
      <c r="G1095" s="25"/>
      <c r="O1095" s="25"/>
    </row>
    <row r="1096" spans="7:15">
      <c r="G1096" s="25"/>
      <c r="O1096" s="25"/>
    </row>
    <row r="1097" spans="7:15">
      <c r="G1097" s="25"/>
      <c r="O1097" s="25"/>
    </row>
    <row r="1098" spans="7:15">
      <c r="G1098" s="25"/>
      <c r="O1098" s="25"/>
    </row>
    <row r="1099" spans="7:15">
      <c r="G1099" s="25"/>
      <c r="O1099" s="25"/>
    </row>
    <row r="1100" spans="7:15">
      <c r="G1100" s="25"/>
      <c r="O1100" s="25"/>
    </row>
    <row r="1101" spans="7:15">
      <c r="G1101" s="25"/>
      <c r="O1101" s="25"/>
    </row>
    <row r="1102" spans="7:15">
      <c r="G1102" s="25"/>
      <c r="O1102" s="25"/>
    </row>
    <row r="1103" spans="7:15">
      <c r="G1103" s="25"/>
      <c r="O1103" s="25"/>
    </row>
    <row r="1104" spans="7:15">
      <c r="G1104" s="25"/>
      <c r="O1104" s="25"/>
    </row>
    <row r="1105" spans="7:15">
      <c r="G1105" s="25"/>
      <c r="O1105" s="25"/>
    </row>
    <row r="1106" spans="7:15">
      <c r="G1106" s="25"/>
      <c r="O1106" s="25"/>
    </row>
    <row r="1107" spans="7:15">
      <c r="G1107" s="25"/>
      <c r="O1107" s="25"/>
    </row>
    <row r="1108" spans="7:15">
      <c r="G1108" s="25"/>
      <c r="O1108" s="25"/>
    </row>
    <row r="1109" spans="7:15">
      <c r="G1109" s="25"/>
      <c r="O1109" s="25"/>
    </row>
    <row r="1110" spans="7:15">
      <c r="G1110" s="25"/>
      <c r="O1110" s="25"/>
    </row>
    <row r="1111" spans="7:15">
      <c r="G1111" s="25"/>
      <c r="O1111" s="25"/>
    </row>
    <row r="1112" spans="7:15">
      <c r="G1112" s="25"/>
      <c r="O1112" s="25"/>
    </row>
    <row r="1113" spans="7:15">
      <c r="G1113" s="25"/>
      <c r="O1113" s="25"/>
    </row>
    <row r="1114" spans="7:15">
      <c r="G1114" s="25"/>
      <c r="O1114" s="25"/>
    </row>
    <row r="1115" spans="7:15">
      <c r="G1115" s="25"/>
      <c r="O1115" s="25"/>
    </row>
    <row r="1116" spans="7:15">
      <c r="G1116" s="25"/>
      <c r="O1116" s="25"/>
    </row>
    <row r="1117" spans="7:15">
      <c r="G1117" s="25"/>
      <c r="O1117" s="25"/>
    </row>
    <row r="1118" spans="7:15">
      <c r="G1118" s="25"/>
      <c r="O1118" s="25"/>
    </row>
    <row r="1119" spans="7:15">
      <c r="G1119" s="25"/>
      <c r="O1119" s="25"/>
    </row>
    <row r="1120" spans="7:15">
      <c r="G1120" s="25"/>
      <c r="O1120" s="25"/>
    </row>
    <row r="1121" spans="7:15">
      <c r="G1121" s="25"/>
      <c r="O1121" s="25"/>
    </row>
    <row r="1122" spans="7:15">
      <c r="G1122" s="25"/>
      <c r="O1122" s="25"/>
    </row>
    <row r="1123" spans="7:15">
      <c r="G1123" s="25"/>
      <c r="O1123" s="25"/>
    </row>
    <row r="1124" spans="7:15">
      <c r="G1124" s="25"/>
      <c r="O1124" s="25"/>
    </row>
    <row r="1125" spans="7:15">
      <c r="G1125" s="25"/>
      <c r="O1125" s="25"/>
    </row>
    <row r="1126" spans="7:15">
      <c r="G1126" s="25"/>
      <c r="O1126" s="25"/>
    </row>
    <row r="1127" spans="7:15">
      <c r="G1127" s="25"/>
      <c r="O1127" s="25"/>
    </row>
    <row r="1128" spans="7:15">
      <c r="G1128" s="25"/>
      <c r="O1128" s="25"/>
    </row>
    <row r="1129" spans="7:15">
      <c r="G1129" s="25"/>
      <c r="O1129" s="25"/>
    </row>
    <row r="1130" spans="7:15">
      <c r="G1130" s="25"/>
      <c r="O1130" s="25"/>
    </row>
    <row r="1131" spans="7:15">
      <c r="G1131" s="25"/>
      <c r="O1131" s="25"/>
    </row>
    <row r="1132" spans="7:15">
      <c r="G1132" s="25"/>
      <c r="O1132" s="25"/>
    </row>
    <row r="1133" spans="7:15">
      <c r="G1133" s="25"/>
      <c r="O1133" s="25"/>
    </row>
    <row r="1134" spans="7:15">
      <c r="G1134" s="25"/>
      <c r="O1134" s="25"/>
    </row>
    <row r="1135" spans="7:15">
      <c r="G1135" s="25"/>
      <c r="O1135" s="25"/>
    </row>
    <row r="1136" spans="7:15">
      <c r="G1136" s="25"/>
      <c r="O1136" s="25"/>
    </row>
    <row r="1137" spans="7:15">
      <c r="G1137" s="25"/>
      <c r="O1137" s="25"/>
    </row>
    <row r="1138" spans="7:15">
      <c r="G1138" s="25"/>
      <c r="O1138" s="25"/>
    </row>
    <row r="1139" spans="7:15">
      <c r="G1139" s="25"/>
      <c r="O1139" s="25"/>
    </row>
    <row r="1140" spans="7:15">
      <c r="G1140" s="25"/>
      <c r="O1140" s="25"/>
    </row>
    <row r="1141" spans="7:15">
      <c r="G1141" s="25"/>
      <c r="O1141" s="25"/>
    </row>
    <row r="1142" spans="7:15">
      <c r="G1142" s="25"/>
      <c r="O1142" s="25"/>
    </row>
    <row r="1143" spans="7:15">
      <c r="G1143" s="25"/>
      <c r="O1143" s="25"/>
    </row>
    <row r="1144" spans="7:15">
      <c r="G1144" s="25"/>
      <c r="O1144" s="25"/>
    </row>
    <row r="1145" spans="7:15">
      <c r="G1145" s="25"/>
      <c r="O1145" s="25"/>
    </row>
    <row r="1146" spans="7:15">
      <c r="G1146" s="25"/>
      <c r="O1146" s="25"/>
    </row>
    <row r="1147" spans="7:15">
      <c r="G1147" s="25"/>
      <c r="O1147" s="25"/>
    </row>
    <row r="1148" spans="7:15">
      <c r="G1148" s="25"/>
      <c r="O1148" s="25"/>
    </row>
    <row r="1149" spans="7:15">
      <c r="G1149" s="25"/>
      <c r="O1149" s="25"/>
    </row>
    <row r="1150" spans="7:15">
      <c r="G1150" s="25"/>
      <c r="O1150" s="25"/>
    </row>
    <row r="1151" spans="7:15">
      <c r="G1151" s="25"/>
      <c r="O1151" s="25"/>
    </row>
    <row r="1152" spans="7:15">
      <c r="G1152" s="25"/>
      <c r="O1152" s="25"/>
    </row>
    <row r="1153" spans="7:15">
      <c r="G1153" s="25"/>
      <c r="O1153" s="25"/>
    </row>
    <row r="1154" spans="7:15">
      <c r="G1154" s="25"/>
      <c r="O1154" s="25"/>
    </row>
    <row r="1155" spans="7:15">
      <c r="G1155" s="25"/>
      <c r="O1155" s="25"/>
    </row>
    <row r="1156" spans="7:15">
      <c r="G1156" s="25"/>
      <c r="O1156" s="25"/>
    </row>
    <row r="1157" spans="7:15">
      <c r="G1157" s="25"/>
      <c r="O1157" s="25"/>
    </row>
    <row r="1158" spans="7:15">
      <c r="G1158" s="25"/>
      <c r="O1158" s="25"/>
    </row>
    <row r="1159" spans="7:15">
      <c r="G1159" s="25"/>
      <c r="O1159" s="25"/>
    </row>
    <row r="1160" spans="7:15">
      <c r="G1160" s="25"/>
      <c r="O1160" s="25"/>
    </row>
    <row r="1161" spans="7:15">
      <c r="G1161" s="25"/>
      <c r="O1161" s="25"/>
    </row>
    <row r="1162" spans="7:15">
      <c r="G1162" s="25"/>
      <c r="O1162" s="25"/>
    </row>
    <row r="1163" spans="7:15">
      <c r="G1163" s="25"/>
      <c r="O1163" s="25"/>
    </row>
    <row r="1164" spans="7:15">
      <c r="G1164" s="25"/>
      <c r="O1164" s="25"/>
    </row>
    <row r="1165" spans="7:15">
      <c r="G1165" s="25"/>
      <c r="O1165" s="25"/>
    </row>
    <row r="1166" spans="7:15">
      <c r="G1166" s="25"/>
      <c r="O1166" s="25"/>
    </row>
    <row r="1167" spans="7:15">
      <c r="G1167" s="25"/>
      <c r="O1167" s="25"/>
    </row>
    <row r="1168" spans="7:15">
      <c r="G1168" s="25"/>
      <c r="O1168" s="25"/>
    </row>
    <row r="1169" spans="7:15">
      <c r="G1169" s="25"/>
      <c r="O1169" s="25"/>
    </row>
    <row r="1170" spans="7:15">
      <c r="G1170" s="25"/>
      <c r="O1170" s="25"/>
    </row>
    <row r="1171" spans="7:15">
      <c r="G1171" s="25"/>
      <c r="O1171" s="25"/>
    </row>
    <row r="1172" spans="7:15">
      <c r="G1172" s="25"/>
      <c r="O1172" s="25"/>
    </row>
    <row r="1173" spans="7:15">
      <c r="G1173" s="25"/>
      <c r="O1173" s="25"/>
    </row>
    <row r="1174" spans="7:15">
      <c r="G1174" s="25"/>
      <c r="O1174" s="25"/>
    </row>
    <row r="1175" spans="7:15">
      <c r="G1175" s="25"/>
      <c r="O1175" s="25"/>
    </row>
    <row r="1176" spans="7:15">
      <c r="G1176" s="25"/>
      <c r="O1176" s="25"/>
    </row>
    <row r="1177" spans="7:15">
      <c r="G1177" s="25"/>
      <c r="O1177" s="25"/>
    </row>
    <row r="1178" spans="7:15">
      <c r="G1178" s="25"/>
      <c r="O1178" s="25"/>
    </row>
    <row r="1179" spans="7:15">
      <c r="G1179" s="25"/>
      <c r="O1179" s="25"/>
    </row>
    <row r="1180" spans="7:15">
      <c r="G1180" s="25"/>
      <c r="O1180" s="25"/>
    </row>
    <row r="1181" spans="7:15">
      <c r="G1181" s="25"/>
      <c r="O1181" s="25"/>
    </row>
    <row r="1182" spans="7:15">
      <c r="G1182" s="25"/>
      <c r="O1182" s="25"/>
    </row>
    <row r="1183" spans="7:15">
      <c r="G1183" s="25"/>
      <c r="O1183" s="25"/>
    </row>
    <row r="1184" spans="7:15">
      <c r="G1184" s="25"/>
      <c r="O1184" s="25"/>
    </row>
    <row r="1185" spans="7:15">
      <c r="G1185" s="25"/>
      <c r="O1185" s="25"/>
    </row>
    <row r="1186" spans="7:15">
      <c r="G1186" s="25"/>
      <c r="O1186" s="25"/>
    </row>
    <row r="1187" spans="7:15">
      <c r="G1187" s="25"/>
      <c r="O1187" s="25"/>
    </row>
    <row r="1188" spans="7:15">
      <c r="G1188" s="25"/>
      <c r="O1188" s="25"/>
    </row>
    <row r="1189" spans="7:15">
      <c r="G1189" s="25"/>
      <c r="O1189" s="25"/>
    </row>
    <row r="1190" spans="7:15">
      <c r="G1190" s="25"/>
      <c r="O1190" s="25"/>
    </row>
    <row r="1191" spans="7:15">
      <c r="G1191" s="25"/>
      <c r="O1191" s="25"/>
    </row>
    <row r="1192" spans="7:15">
      <c r="G1192" s="25"/>
      <c r="O1192" s="25"/>
    </row>
    <row r="1193" spans="7:15">
      <c r="G1193" s="25"/>
      <c r="O1193" s="25"/>
    </row>
    <row r="1194" spans="7:15">
      <c r="G1194" s="25"/>
      <c r="O1194" s="25"/>
    </row>
    <row r="1195" spans="7:15">
      <c r="G1195" s="25"/>
      <c r="O1195" s="25"/>
    </row>
    <row r="1196" spans="7:15">
      <c r="G1196" s="25"/>
      <c r="O1196" s="25"/>
    </row>
    <row r="1197" spans="7:15">
      <c r="G1197" s="25"/>
      <c r="O1197" s="25"/>
    </row>
    <row r="1198" spans="7:15">
      <c r="G1198" s="25"/>
      <c r="O1198" s="25"/>
    </row>
    <row r="1199" spans="7:15">
      <c r="G1199" s="25"/>
      <c r="O1199" s="25"/>
    </row>
    <row r="1200" spans="7:15">
      <c r="G1200" s="25"/>
      <c r="O1200" s="25"/>
    </row>
    <row r="1201" spans="7:15">
      <c r="G1201" s="25"/>
      <c r="O1201" s="25"/>
    </row>
    <row r="1202" spans="7:15">
      <c r="G1202" s="25"/>
      <c r="O1202" s="25"/>
    </row>
    <row r="1203" spans="7:15">
      <c r="G1203" s="25"/>
      <c r="O1203" s="25"/>
    </row>
    <row r="1204" spans="7:15">
      <c r="G1204" s="25"/>
      <c r="O1204" s="25"/>
    </row>
    <row r="1205" spans="7:15">
      <c r="G1205" s="25"/>
      <c r="O1205" s="25"/>
    </row>
    <row r="1206" spans="7:15">
      <c r="G1206" s="25"/>
      <c r="O1206" s="25"/>
    </row>
    <row r="1207" spans="7:15">
      <c r="G1207" s="25"/>
      <c r="O1207" s="25"/>
    </row>
    <row r="1208" spans="7:15">
      <c r="G1208" s="25"/>
      <c r="O1208" s="25"/>
    </row>
    <row r="1209" spans="7:15">
      <c r="G1209" s="25"/>
      <c r="O1209" s="25"/>
    </row>
    <row r="1210" spans="7:15">
      <c r="G1210" s="25"/>
      <c r="O1210" s="25"/>
    </row>
    <row r="1211" spans="7:15">
      <c r="G1211" s="25"/>
      <c r="O1211" s="25"/>
    </row>
    <row r="1212" spans="7:15">
      <c r="G1212" s="25"/>
      <c r="O1212" s="25"/>
    </row>
    <row r="1213" spans="7:15">
      <c r="G1213" s="25"/>
      <c r="O1213" s="25"/>
    </row>
    <row r="1214" spans="7:15">
      <c r="G1214" s="25"/>
      <c r="O1214" s="25"/>
    </row>
    <row r="1215" spans="7:15">
      <c r="G1215" s="25"/>
      <c r="O1215" s="25"/>
    </row>
    <row r="1216" spans="7:15">
      <c r="G1216" s="25"/>
      <c r="O1216" s="25"/>
    </row>
    <row r="1217" spans="7:15">
      <c r="G1217" s="25"/>
      <c r="O1217" s="25"/>
    </row>
    <row r="1218" spans="7:15">
      <c r="G1218" s="25"/>
      <c r="O1218" s="25"/>
    </row>
    <row r="1219" spans="7:15">
      <c r="G1219" s="25"/>
      <c r="O1219" s="25"/>
    </row>
    <row r="1220" spans="7:15">
      <c r="G1220" s="25"/>
      <c r="O1220" s="25"/>
    </row>
    <row r="1221" spans="7:15">
      <c r="G1221" s="25"/>
      <c r="O1221" s="25"/>
    </row>
    <row r="1222" spans="7:15">
      <c r="G1222" s="25"/>
      <c r="O1222" s="25"/>
    </row>
    <row r="1223" spans="7:15">
      <c r="G1223" s="25"/>
      <c r="O1223" s="25"/>
    </row>
    <row r="1224" spans="7:15">
      <c r="G1224" s="25"/>
      <c r="O1224" s="25"/>
    </row>
    <row r="1225" spans="7:15">
      <c r="G1225" s="25"/>
      <c r="O1225" s="25"/>
    </row>
    <row r="1226" spans="7:15">
      <c r="G1226" s="25"/>
      <c r="O1226" s="25"/>
    </row>
    <row r="1227" spans="7:15">
      <c r="G1227" s="25"/>
      <c r="O1227" s="25"/>
    </row>
    <row r="1228" spans="7:15">
      <c r="G1228" s="25"/>
      <c r="O1228" s="25"/>
    </row>
    <row r="1229" spans="7:15">
      <c r="G1229" s="25"/>
      <c r="O1229" s="25"/>
    </row>
    <row r="1230" spans="7:15">
      <c r="G1230" s="25"/>
      <c r="O1230" s="25"/>
    </row>
    <row r="1231" spans="7:15">
      <c r="G1231" s="25"/>
      <c r="O1231" s="25"/>
    </row>
    <row r="1232" spans="7:15">
      <c r="G1232" s="25"/>
      <c r="O1232" s="25"/>
    </row>
    <row r="1233" spans="7:15">
      <c r="G1233" s="25"/>
      <c r="O1233" s="25"/>
    </row>
    <row r="1234" spans="7:15">
      <c r="G1234" s="25"/>
      <c r="O1234" s="25"/>
    </row>
    <row r="1235" spans="7:15">
      <c r="G1235" s="25"/>
      <c r="O1235" s="25"/>
    </row>
    <row r="1236" spans="7:15">
      <c r="G1236" s="25"/>
      <c r="O1236" s="25"/>
    </row>
    <row r="1237" spans="7:15">
      <c r="G1237" s="25"/>
      <c r="O1237" s="25"/>
    </row>
    <row r="1238" spans="7:15">
      <c r="G1238" s="25"/>
      <c r="O1238" s="25"/>
    </row>
    <row r="1239" spans="7:15">
      <c r="G1239" s="25"/>
      <c r="O1239" s="25"/>
    </row>
    <row r="1240" spans="7:15">
      <c r="G1240" s="25"/>
      <c r="O1240" s="25"/>
    </row>
    <row r="1241" spans="7:15">
      <c r="G1241" s="25"/>
      <c r="O1241" s="25"/>
    </row>
    <row r="1242" spans="7:15">
      <c r="G1242" s="25"/>
      <c r="O1242" s="25"/>
    </row>
    <row r="1243" spans="7:15">
      <c r="G1243" s="25"/>
      <c r="O1243" s="25"/>
    </row>
    <row r="1244" spans="7:15">
      <c r="G1244" s="25"/>
      <c r="O1244" s="25"/>
    </row>
    <row r="1245" spans="7:15">
      <c r="G1245" s="25"/>
      <c r="O1245" s="25"/>
    </row>
    <row r="1246" spans="7:15">
      <c r="G1246" s="25"/>
      <c r="O1246" s="25"/>
    </row>
    <row r="1247" spans="7:15">
      <c r="G1247" s="25"/>
      <c r="O1247" s="25"/>
    </row>
    <row r="1248" spans="7:15">
      <c r="G1248" s="25"/>
      <c r="O1248" s="25"/>
    </row>
    <row r="1249" spans="7:15">
      <c r="G1249" s="25"/>
      <c r="O1249" s="25"/>
    </row>
    <row r="1250" spans="7:15">
      <c r="G1250" s="25"/>
      <c r="O1250" s="25"/>
    </row>
    <row r="1251" spans="7:15">
      <c r="G1251" s="25"/>
      <c r="O1251" s="25"/>
    </row>
    <row r="1252" spans="7:15">
      <c r="G1252" s="25"/>
      <c r="O1252" s="25"/>
    </row>
    <row r="1253" spans="7:15">
      <c r="G1253" s="25"/>
      <c r="O1253" s="25"/>
    </row>
    <row r="1254" spans="7:15">
      <c r="G1254" s="25"/>
      <c r="O1254" s="25"/>
    </row>
    <row r="1255" spans="7:15">
      <c r="G1255" s="25"/>
      <c r="O1255" s="25"/>
    </row>
    <row r="1256" spans="7:15">
      <c r="G1256" s="25"/>
      <c r="O1256" s="25"/>
    </row>
    <row r="1257" spans="7:15">
      <c r="G1257" s="25"/>
      <c r="O1257" s="25"/>
    </row>
    <row r="1258" spans="7:15">
      <c r="G1258" s="25"/>
      <c r="O1258" s="25"/>
    </row>
    <row r="1259" spans="7:15">
      <c r="G1259" s="25"/>
      <c r="O1259" s="25"/>
    </row>
    <row r="1260" spans="7:15">
      <c r="G1260" s="25"/>
      <c r="O1260" s="25"/>
    </row>
    <row r="1261" spans="7:15">
      <c r="G1261" s="25"/>
      <c r="O1261" s="25"/>
    </row>
    <row r="1262" spans="7:15">
      <c r="G1262" s="25"/>
      <c r="O1262" s="25"/>
    </row>
    <row r="1263" spans="7:15">
      <c r="G1263" s="25"/>
      <c r="O1263" s="25"/>
    </row>
    <row r="1264" spans="7:15">
      <c r="G1264" s="25"/>
      <c r="O1264" s="25"/>
    </row>
    <row r="1265" spans="7:15">
      <c r="G1265" s="25"/>
      <c r="O1265" s="25"/>
    </row>
    <row r="1266" spans="7:15">
      <c r="G1266" s="25"/>
      <c r="O1266" s="25"/>
    </row>
    <row r="1267" spans="7:15">
      <c r="G1267" s="25"/>
      <c r="O1267" s="25"/>
    </row>
    <row r="1268" spans="7:15">
      <c r="G1268" s="25"/>
      <c r="O1268" s="25"/>
    </row>
    <row r="1269" spans="7:15">
      <c r="G1269" s="25"/>
      <c r="O1269" s="25"/>
    </row>
    <row r="1270" spans="7:15">
      <c r="G1270" s="25"/>
      <c r="O1270" s="25"/>
    </row>
    <row r="1271" spans="7:15">
      <c r="G1271" s="25"/>
      <c r="O1271" s="25"/>
    </row>
    <row r="1272" spans="7:15">
      <c r="G1272" s="25"/>
      <c r="O1272" s="25"/>
    </row>
    <row r="1273" spans="7:15">
      <c r="G1273" s="25"/>
      <c r="O1273" s="25"/>
    </row>
    <row r="1274" spans="7:15">
      <c r="G1274" s="25"/>
      <c r="O1274" s="25"/>
    </row>
    <row r="1275" spans="7:15">
      <c r="G1275" s="25"/>
      <c r="O1275" s="25"/>
    </row>
    <row r="1276" spans="7:15">
      <c r="G1276" s="25"/>
      <c r="O1276" s="25"/>
    </row>
    <row r="1277" spans="7:15">
      <c r="G1277" s="25"/>
      <c r="O1277" s="25"/>
    </row>
    <row r="1278" spans="7:15">
      <c r="G1278" s="25"/>
      <c r="O1278" s="25"/>
    </row>
    <row r="1279" spans="7:15">
      <c r="G1279" s="25"/>
      <c r="O1279" s="25"/>
    </row>
    <row r="1280" spans="7:15">
      <c r="G1280" s="25"/>
      <c r="O1280" s="25"/>
    </row>
    <row r="1281" spans="7:15">
      <c r="G1281" s="25"/>
      <c r="O1281" s="25"/>
    </row>
    <row r="1282" spans="7:15">
      <c r="G1282" s="25"/>
      <c r="O1282" s="25"/>
    </row>
    <row r="1283" spans="7:15">
      <c r="G1283" s="25"/>
      <c r="O1283" s="25"/>
    </row>
    <row r="1284" spans="7:15">
      <c r="G1284" s="25"/>
      <c r="O1284" s="25"/>
    </row>
    <row r="1285" spans="7:15">
      <c r="G1285" s="25"/>
      <c r="O1285" s="25"/>
    </row>
    <row r="1286" spans="7:15">
      <c r="G1286" s="25"/>
      <c r="O1286" s="25"/>
    </row>
    <row r="1287" spans="7:15">
      <c r="G1287" s="25"/>
      <c r="O1287" s="25"/>
    </row>
    <row r="1288" spans="7:15">
      <c r="G1288" s="25"/>
      <c r="O1288" s="25"/>
    </row>
    <row r="1289" spans="7:15">
      <c r="G1289" s="25"/>
      <c r="O1289" s="25"/>
    </row>
    <row r="1290" spans="7:15">
      <c r="G1290" s="25"/>
      <c r="O1290" s="25"/>
    </row>
    <row r="1291" spans="7:15">
      <c r="G1291" s="25"/>
      <c r="O1291" s="25"/>
    </row>
    <row r="1292" spans="7:15">
      <c r="G1292" s="25"/>
      <c r="O1292" s="25"/>
    </row>
    <row r="1293" spans="7:15">
      <c r="G1293" s="25"/>
      <c r="O1293" s="25"/>
    </row>
    <row r="1294" spans="7:15">
      <c r="G1294" s="25"/>
      <c r="O1294" s="25"/>
    </row>
    <row r="1295" spans="7:15">
      <c r="G1295" s="25"/>
      <c r="O1295" s="25"/>
    </row>
    <row r="1296" spans="7:15">
      <c r="G1296" s="25"/>
      <c r="O1296" s="25"/>
    </row>
    <row r="1297" spans="7:15">
      <c r="G1297" s="25"/>
      <c r="O1297" s="25"/>
    </row>
    <row r="1298" spans="7:15">
      <c r="G1298" s="25"/>
      <c r="O1298" s="25"/>
    </row>
    <row r="1299" spans="7:15">
      <c r="G1299" s="25"/>
      <c r="O1299" s="25"/>
    </row>
    <row r="1300" spans="7:15">
      <c r="G1300" s="25"/>
      <c r="O1300" s="25"/>
    </row>
    <row r="1301" spans="7:15">
      <c r="G1301" s="25"/>
      <c r="O1301" s="25"/>
    </row>
    <row r="1302" spans="7:15">
      <c r="G1302" s="25"/>
      <c r="O1302" s="25"/>
    </row>
    <row r="1303" spans="7:15">
      <c r="G1303" s="25"/>
      <c r="O1303" s="25"/>
    </row>
    <row r="1304" spans="7:15">
      <c r="G1304" s="25"/>
      <c r="O1304" s="25"/>
    </row>
    <row r="1305" spans="7:15">
      <c r="G1305" s="25"/>
      <c r="O1305" s="25"/>
    </row>
    <row r="1306" spans="7:15">
      <c r="G1306" s="25"/>
      <c r="O1306" s="25"/>
    </row>
    <row r="1307" spans="7:15">
      <c r="G1307" s="25"/>
      <c r="O1307" s="25"/>
    </row>
    <row r="1308" spans="7:15">
      <c r="G1308" s="25"/>
      <c r="O1308" s="25"/>
    </row>
    <row r="1309" spans="7:15">
      <c r="G1309" s="25"/>
      <c r="O1309" s="25"/>
    </row>
    <row r="1310" spans="7:15">
      <c r="G1310" s="25"/>
      <c r="O1310" s="25"/>
    </row>
    <row r="1311" spans="7:15">
      <c r="G1311" s="25"/>
      <c r="O1311" s="25"/>
    </row>
    <row r="1312" spans="7:15">
      <c r="G1312" s="25"/>
      <c r="O1312" s="25"/>
    </row>
    <row r="1313" spans="7:15">
      <c r="G1313" s="25"/>
      <c r="O1313" s="25"/>
    </row>
    <row r="1314" spans="7:15">
      <c r="G1314" s="25"/>
      <c r="O1314" s="25"/>
    </row>
    <row r="1315" spans="7:15">
      <c r="G1315" s="25"/>
      <c r="O1315" s="25"/>
    </row>
    <row r="1316" spans="7:15">
      <c r="G1316" s="25"/>
      <c r="O1316" s="25"/>
    </row>
    <row r="1317" spans="7:15">
      <c r="G1317" s="25"/>
      <c r="O1317" s="25"/>
    </row>
    <row r="1318" spans="7:15">
      <c r="G1318" s="25"/>
      <c r="O1318" s="25"/>
    </row>
    <row r="1319" spans="7:15">
      <c r="G1319" s="25"/>
      <c r="O1319" s="25"/>
    </row>
    <row r="1320" spans="7:15">
      <c r="G1320" s="25"/>
      <c r="O1320" s="25"/>
    </row>
    <row r="1321" spans="7:15">
      <c r="G1321" s="25"/>
      <c r="O1321" s="25"/>
    </row>
    <row r="1322" spans="7:15">
      <c r="G1322" s="25"/>
      <c r="O1322" s="25"/>
    </row>
    <row r="1323" spans="7:15">
      <c r="G1323" s="25"/>
      <c r="O1323" s="25"/>
    </row>
    <row r="1324" spans="7:15">
      <c r="G1324" s="25"/>
      <c r="O1324" s="25"/>
    </row>
    <row r="1325" spans="7:15">
      <c r="G1325" s="25"/>
      <c r="O1325" s="25"/>
    </row>
    <row r="1326" spans="7:15">
      <c r="G1326" s="25"/>
      <c r="O1326" s="25"/>
    </row>
    <row r="1327" spans="7:15">
      <c r="G1327" s="25"/>
      <c r="O1327" s="25"/>
    </row>
    <row r="1328" spans="7:15">
      <c r="G1328" s="25"/>
      <c r="O1328" s="25"/>
    </row>
    <row r="1329" spans="7:15">
      <c r="G1329" s="25"/>
      <c r="O1329" s="25"/>
    </row>
    <row r="1330" spans="7:15">
      <c r="G1330" s="25"/>
      <c r="O1330" s="25"/>
    </row>
    <row r="1331" spans="7:15">
      <c r="G1331" s="25"/>
      <c r="O1331" s="25"/>
    </row>
    <row r="1332" spans="7:15">
      <c r="G1332" s="25"/>
      <c r="O1332" s="25"/>
    </row>
    <row r="1333" spans="7:15">
      <c r="G1333" s="25"/>
      <c r="O1333" s="25"/>
    </row>
    <row r="1334" spans="7:15">
      <c r="G1334" s="25"/>
      <c r="O1334" s="25"/>
    </row>
    <row r="1335" spans="7:15">
      <c r="G1335" s="25"/>
      <c r="O1335" s="25"/>
    </row>
    <row r="1336" spans="7:15">
      <c r="G1336" s="25"/>
      <c r="O1336" s="25"/>
    </row>
    <row r="1337" spans="7:15">
      <c r="G1337" s="25"/>
      <c r="O1337" s="25"/>
    </row>
    <row r="1338" spans="7:15">
      <c r="G1338" s="25"/>
      <c r="O1338" s="25"/>
    </row>
    <row r="1339" spans="7:15">
      <c r="G1339" s="25"/>
      <c r="O1339" s="25"/>
    </row>
    <row r="1340" spans="7:15">
      <c r="G1340" s="25"/>
      <c r="O1340" s="25"/>
    </row>
    <row r="1341" spans="7:15">
      <c r="G1341" s="25"/>
      <c r="O1341" s="25"/>
    </row>
    <row r="1342" spans="7:15">
      <c r="G1342" s="25"/>
      <c r="O1342" s="25"/>
    </row>
    <row r="1343" spans="7:15">
      <c r="G1343" s="25"/>
      <c r="O1343" s="25"/>
    </row>
    <row r="1344" spans="7:15">
      <c r="G1344" s="25"/>
      <c r="O1344" s="25"/>
    </row>
    <row r="1345" spans="7:15">
      <c r="G1345" s="25"/>
      <c r="O1345" s="25"/>
    </row>
    <row r="1346" spans="7:15">
      <c r="G1346" s="25"/>
      <c r="O1346" s="25"/>
    </row>
    <row r="1347" spans="7:15">
      <c r="G1347" s="25"/>
      <c r="O1347" s="25"/>
    </row>
    <row r="1348" spans="7:15">
      <c r="G1348" s="25"/>
      <c r="O1348" s="25"/>
    </row>
    <row r="1349" spans="7:15">
      <c r="G1349" s="25"/>
      <c r="O1349" s="25"/>
    </row>
    <row r="1350" spans="7:15">
      <c r="G1350" s="25"/>
      <c r="O1350" s="25"/>
    </row>
    <row r="1351" spans="7:15">
      <c r="G1351" s="25"/>
      <c r="O1351" s="25"/>
    </row>
    <row r="1352" spans="7:15">
      <c r="G1352" s="25"/>
      <c r="O1352" s="25"/>
    </row>
    <row r="1353" spans="7:15">
      <c r="G1353" s="25"/>
      <c r="O1353" s="25"/>
    </row>
    <row r="1354" spans="7:15">
      <c r="G1354" s="25"/>
      <c r="O1354" s="25"/>
    </row>
    <row r="1355" spans="7:15">
      <c r="G1355" s="25"/>
      <c r="O1355" s="25"/>
    </row>
    <row r="1356" spans="7:15">
      <c r="G1356" s="25"/>
      <c r="O1356" s="25"/>
    </row>
    <row r="1357" spans="7:15">
      <c r="G1357" s="25"/>
      <c r="O1357" s="25"/>
    </row>
    <row r="1358" spans="7:15">
      <c r="G1358" s="25"/>
      <c r="O1358" s="25"/>
    </row>
    <row r="1359" spans="7:15">
      <c r="G1359" s="25"/>
      <c r="O1359" s="25"/>
    </row>
    <row r="1360" spans="7:15">
      <c r="G1360" s="25"/>
      <c r="O1360" s="25"/>
    </row>
    <row r="1361" spans="7:15">
      <c r="G1361" s="25"/>
      <c r="O1361" s="25"/>
    </row>
    <row r="1362" spans="7:15">
      <c r="G1362" s="25"/>
      <c r="O1362" s="25"/>
    </row>
    <row r="1363" spans="7:15">
      <c r="G1363" s="25"/>
      <c r="O1363" s="25"/>
    </row>
    <row r="1364" spans="7:15">
      <c r="G1364" s="25"/>
      <c r="O1364" s="25"/>
    </row>
    <row r="1365" spans="7:15">
      <c r="G1365" s="25"/>
      <c r="O1365" s="25"/>
    </row>
    <row r="1366" spans="7:15">
      <c r="G1366" s="25"/>
      <c r="O1366" s="25"/>
    </row>
    <row r="1367" spans="7:15">
      <c r="G1367" s="25"/>
      <c r="O1367" s="25"/>
    </row>
    <row r="1368" spans="7:15">
      <c r="G1368" s="25"/>
      <c r="O1368" s="25"/>
    </row>
    <row r="1369" spans="7:15">
      <c r="G1369" s="25"/>
      <c r="O1369" s="25"/>
    </row>
    <row r="1370" spans="7:15">
      <c r="G1370" s="25"/>
      <c r="O1370" s="25"/>
    </row>
    <row r="1371" spans="7:15">
      <c r="G1371" s="25"/>
      <c r="O1371" s="25"/>
    </row>
    <row r="1372" spans="7:15">
      <c r="G1372" s="25"/>
      <c r="O1372" s="25"/>
    </row>
    <row r="1373" spans="7:15">
      <c r="G1373" s="25"/>
      <c r="O1373" s="25"/>
    </row>
    <row r="1374" spans="7:15">
      <c r="G1374" s="25"/>
      <c r="O1374" s="25"/>
    </row>
    <row r="1375" spans="7:15">
      <c r="G1375" s="25"/>
      <c r="O1375" s="25"/>
    </row>
    <row r="1376" spans="7:15">
      <c r="G1376" s="25"/>
      <c r="O1376" s="25"/>
    </row>
    <row r="1377" spans="7:15">
      <c r="G1377" s="25"/>
      <c r="O1377" s="25"/>
    </row>
    <row r="1378" spans="7:15">
      <c r="G1378" s="25"/>
      <c r="O1378" s="25"/>
    </row>
    <row r="1379" spans="7:15">
      <c r="G1379" s="25"/>
      <c r="O1379" s="25"/>
    </row>
    <row r="1380" spans="7:15">
      <c r="G1380" s="25"/>
      <c r="O1380" s="25"/>
    </row>
    <row r="1381" spans="7:15">
      <c r="G1381" s="25"/>
      <c r="O1381" s="25"/>
    </row>
    <row r="1382" spans="7:15">
      <c r="G1382" s="25"/>
      <c r="O1382" s="25"/>
    </row>
    <row r="1383" spans="7:15">
      <c r="G1383" s="25"/>
      <c r="O1383" s="25"/>
    </row>
    <row r="1384" spans="7:15">
      <c r="G1384" s="25"/>
      <c r="O1384" s="25"/>
    </row>
    <row r="1385" spans="7:15">
      <c r="G1385" s="25"/>
      <c r="O1385" s="25"/>
    </row>
    <row r="1386" spans="7:15">
      <c r="G1386" s="25"/>
      <c r="O1386" s="25"/>
    </row>
    <row r="1387" spans="7:15">
      <c r="G1387" s="25"/>
      <c r="O1387" s="25"/>
    </row>
    <row r="1388" spans="7:15">
      <c r="G1388" s="25"/>
      <c r="O1388" s="25"/>
    </row>
    <row r="1389" spans="7:15">
      <c r="G1389" s="25"/>
      <c r="O1389" s="25"/>
    </row>
    <row r="1390" spans="7:15">
      <c r="G1390" s="25"/>
      <c r="O1390" s="25"/>
    </row>
    <row r="1391" spans="7:15">
      <c r="G1391" s="25"/>
      <c r="O1391" s="25"/>
    </row>
    <row r="1392" spans="7:15">
      <c r="G1392" s="25"/>
      <c r="O1392" s="25"/>
    </row>
    <row r="1393" spans="7:15">
      <c r="G1393" s="25"/>
      <c r="O1393" s="25"/>
    </row>
    <row r="1394" spans="7:15">
      <c r="G1394" s="25"/>
      <c r="O1394" s="25"/>
    </row>
    <row r="1395" spans="7:15">
      <c r="G1395" s="25"/>
      <c r="O1395" s="25"/>
    </row>
    <row r="1396" spans="7:15">
      <c r="G1396" s="25"/>
      <c r="O1396" s="25"/>
    </row>
    <row r="1397" spans="7:15">
      <c r="G1397" s="25"/>
      <c r="O1397" s="25"/>
    </row>
    <row r="1398" spans="7:15">
      <c r="G1398" s="25"/>
      <c r="O1398" s="25"/>
    </row>
    <row r="1399" spans="7:15">
      <c r="G1399" s="25"/>
      <c r="O1399" s="25"/>
    </row>
    <row r="1400" spans="7:15">
      <c r="G1400" s="25"/>
      <c r="O1400" s="25"/>
    </row>
    <row r="1401" spans="7:15">
      <c r="G1401" s="25"/>
      <c r="O1401" s="25"/>
    </row>
    <row r="1402" spans="7:15">
      <c r="G1402" s="25"/>
      <c r="O1402" s="25"/>
    </row>
    <row r="1403" spans="7:15">
      <c r="G1403" s="25"/>
      <c r="O1403" s="25"/>
    </row>
    <row r="1404" spans="7:15">
      <c r="G1404" s="25"/>
      <c r="O1404" s="25"/>
    </row>
    <row r="1405" spans="7:15">
      <c r="G1405" s="25"/>
      <c r="O1405" s="25"/>
    </row>
    <row r="1406" spans="7:15">
      <c r="G1406" s="25"/>
      <c r="O1406" s="25"/>
    </row>
    <row r="1407" spans="7:15">
      <c r="G1407" s="25"/>
      <c r="O1407" s="25"/>
    </row>
    <row r="1408" spans="7:15">
      <c r="G1408" s="25"/>
      <c r="O1408" s="25"/>
    </row>
    <row r="1409" spans="7:15">
      <c r="G1409" s="25"/>
      <c r="O1409" s="25"/>
    </row>
    <row r="1410" spans="7:15">
      <c r="G1410" s="25"/>
      <c r="O1410" s="25"/>
    </row>
    <row r="1411" spans="7:15">
      <c r="G1411" s="25"/>
      <c r="O1411" s="25"/>
    </row>
    <row r="1412" spans="7:15">
      <c r="G1412" s="25"/>
      <c r="O1412" s="25"/>
    </row>
    <row r="1413" spans="7:15">
      <c r="G1413" s="25"/>
      <c r="O1413" s="25"/>
    </row>
    <row r="1414" spans="7:15">
      <c r="G1414" s="25"/>
      <c r="O1414" s="25"/>
    </row>
    <row r="1415" spans="7:15">
      <c r="G1415" s="25"/>
      <c r="O1415" s="25"/>
    </row>
    <row r="1416" spans="7:15">
      <c r="G1416" s="25"/>
      <c r="O1416" s="25"/>
    </row>
    <row r="1417" spans="7:15">
      <c r="G1417" s="25"/>
      <c r="O1417" s="25"/>
    </row>
    <row r="1418" spans="7:15">
      <c r="G1418" s="25"/>
      <c r="O1418" s="25"/>
    </row>
    <row r="1419" spans="7:15">
      <c r="G1419" s="25"/>
      <c r="O1419" s="25"/>
    </row>
    <row r="1420" spans="7:15">
      <c r="G1420" s="25"/>
      <c r="O1420" s="25"/>
    </row>
    <row r="1421" spans="7:15">
      <c r="G1421" s="25"/>
      <c r="O1421" s="25"/>
    </row>
    <row r="1422" spans="7:15">
      <c r="G1422" s="25"/>
      <c r="O1422" s="25"/>
    </row>
    <row r="1423" spans="7:15">
      <c r="G1423" s="25"/>
      <c r="O1423" s="25"/>
    </row>
    <row r="1424" spans="7:15">
      <c r="G1424" s="25"/>
      <c r="O1424" s="25"/>
    </row>
    <row r="1425" spans="7:15">
      <c r="G1425" s="25"/>
      <c r="O1425" s="25"/>
    </row>
    <row r="1426" spans="7:15">
      <c r="G1426" s="25"/>
      <c r="O1426" s="25"/>
    </row>
    <row r="1427" spans="7:15">
      <c r="G1427" s="25"/>
      <c r="O1427" s="25"/>
    </row>
    <row r="1428" spans="7:15">
      <c r="G1428" s="25"/>
      <c r="O1428" s="25"/>
    </row>
    <row r="1429" spans="7:15">
      <c r="G1429" s="25"/>
      <c r="O1429" s="25"/>
    </row>
    <row r="1430" spans="7:15">
      <c r="G1430" s="25"/>
      <c r="O1430" s="25"/>
    </row>
    <row r="1431" spans="7:15">
      <c r="G1431" s="25"/>
      <c r="O1431" s="25"/>
    </row>
    <row r="1432" spans="7:15">
      <c r="G1432" s="25"/>
      <c r="O1432" s="25"/>
    </row>
    <row r="1433" spans="7:15">
      <c r="G1433" s="25"/>
      <c r="O1433" s="25"/>
    </row>
    <row r="1434" spans="7:15">
      <c r="G1434" s="25"/>
      <c r="O1434" s="25"/>
    </row>
    <row r="1435" spans="7:15">
      <c r="G1435" s="25"/>
      <c r="O1435" s="25"/>
    </row>
    <row r="1436" spans="7:15">
      <c r="G1436" s="25"/>
      <c r="O1436" s="25"/>
    </row>
    <row r="1437" spans="7:15">
      <c r="G1437" s="25"/>
      <c r="O1437" s="25"/>
    </row>
    <row r="1438" spans="7:15">
      <c r="G1438" s="25"/>
      <c r="O1438" s="25"/>
    </row>
    <row r="1439" spans="7:15">
      <c r="G1439" s="25"/>
      <c r="O1439" s="25"/>
    </row>
    <row r="1440" spans="7:15">
      <c r="G1440" s="25"/>
      <c r="O1440" s="25"/>
    </row>
    <row r="1441" spans="7:15">
      <c r="G1441" s="25"/>
      <c r="O1441" s="25"/>
    </row>
    <row r="1442" spans="7:15">
      <c r="G1442" s="25"/>
      <c r="O1442" s="25"/>
    </row>
    <row r="1443" spans="7:15">
      <c r="G1443" s="25"/>
      <c r="O1443" s="25"/>
    </row>
    <row r="1444" spans="7:15">
      <c r="G1444" s="25"/>
      <c r="O1444" s="25"/>
    </row>
    <row r="1445" spans="7:15">
      <c r="G1445" s="25"/>
      <c r="O1445" s="25"/>
    </row>
    <row r="1446" spans="7:15">
      <c r="G1446" s="25"/>
      <c r="O1446" s="25"/>
    </row>
    <row r="1447" spans="7:15">
      <c r="G1447" s="25"/>
      <c r="O1447" s="25"/>
    </row>
    <row r="1448" spans="7:15">
      <c r="G1448" s="25"/>
      <c r="O1448" s="25"/>
    </row>
    <row r="1449" spans="7:15">
      <c r="G1449" s="25"/>
      <c r="O1449" s="25"/>
    </row>
    <row r="1450" spans="7:15">
      <c r="G1450" s="25"/>
      <c r="O1450" s="25"/>
    </row>
    <row r="1451" spans="7:15">
      <c r="G1451" s="25"/>
      <c r="O1451" s="25"/>
    </row>
    <row r="1452" spans="7:15">
      <c r="G1452" s="25"/>
      <c r="O1452" s="25"/>
    </row>
    <row r="1453" spans="7:15">
      <c r="G1453" s="25"/>
      <c r="O1453" s="25"/>
    </row>
    <row r="1454" spans="7:15">
      <c r="G1454" s="25"/>
      <c r="O1454" s="25"/>
    </row>
    <row r="1455" spans="7:15">
      <c r="G1455" s="25"/>
      <c r="O1455" s="25"/>
    </row>
    <row r="1456" spans="7:15">
      <c r="G1456" s="25"/>
      <c r="O1456" s="25"/>
    </row>
    <row r="1457" spans="7:15">
      <c r="G1457" s="25"/>
      <c r="O1457" s="25"/>
    </row>
    <row r="1458" spans="7:15">
      <c r="G1458" s="25"/>
      <c r="O1458" s="25"/>
    </row>
    <row r="1459" spans="7:15">
      <c r="G1459" s="25"/>
      <c r="O1459" s="25"/>
    </row>
    <row r="1460" spans="7:15">
      <c r="G1460" s="25"/>
      <c r="O1460" s="25"/>
    </row>
    <row r="1461" spans="7:15">
      <c r="G1461" s="25"/>
      <c r="O1461" s="25"/>
    </row>
    <row r="1462" spans="7:15">
      <c r="G1462" s="25"/>
      <c r="O1462" s="25"/>
    </row>
    <row r="1463" spans="7:15">
      <c r="G1463" s="25"/>
      <c r="O1463" s="25"/>
    </row>
    <row r="1464" spans="7:15">
      <c r="G1464" s="25"/>
      <c r="O1464" s="25"/>
    </row>
    <row r="1465" spans="7:15">
      <c r="G1465" s="25"/>
      <c r="O1465" s="25"/>
    </row>
    <row r="1466" spans="7:15">
      <c r="G1466" s="25"/>
      <c r="O1466" s="25"/>
    </row>
    <row r="1467" spans="7:15">
      <c r="G1467" s="25"/>
      <c r="O1467" s="25"/>
    </row>
    <row r="1468" spans="7:15">
      <c r="G1468" s="25"/>
      <c r="O1468" s="25"/>
    </row>
    <row r="1469" spans="7:15">
      <c r="G1469" s="25"/>
      <c r="O1469" s="25"/>
    </row>
    <row r="1470" spans="7:15">
      <c r="G1470" s="25"/>
      <c r="O1470" s="25"/>
    </row>
    <row r="1471" spans="7:15">
      <c r="G1471" s="25"/>
      <c r="O1471" s="25"/>
    </row>
    <row r="1472" spans="7:15">
      <c r="G1472" s="25"/>
      <c r="O1472" s="25"/>
    </row>
    <row r="1473" spans="7:15">
      <c r="G1473" s="25"/>
      <c r="O1473" s="25"/>
    </row>
    <row r="1474" spans="7:15">
      <c r="G1474" s="25"/>
      <c r="O1474" s="25"/>
    </row>
    <row r="1475" spans="7:15">
      <c r="G1475" s="25"/>
      <c r="O1475" s="25"/>
    </row>
    <row r="1476" spans="7:15">
      <c r="G1476" s="25"/>
      <c r="O1476" s="25"/>
    </row>
    <row r="1477" spans="7:15">
      <c r="G1477" s="25"/>
      <c r="O1477" s="25"/>
    </row>
    <row r="1478" spans="7:15">
      <c r="G1478" s="25"/>
      <c r="O1478" s="25"/>
    </row>
    <row r="1479" spans="7:15">
      <c r="G1479" s="25"/>
      <c r="O1479" s="25"/>
    </row>
    <row r="1480" spans="7:15">
      <c r="G1480" s="25"/>
      <c r="O1480" s="25"/>
    </row>
    <row r="1481" spans="7:15">
      <c r="G1481" s="25"/>
      <c r="O1481" s="25"/>
    </row>
    <row r="1482" spans="7:15">
      <c r="G1482" s="25"/>
      <c r="O1482" s="25"/>
    </row>
    <row r="1483" spans="7:15">
      <c r="G1483" s="25"/>
      <c r="O1483" s="25"/>
    </row>
    <row r="1484" spans="7:15">
      <c r="G1484" s="25"/>
      <c r="O1484" s="25"/>
    </row>
    <row r="1485" spans="7:15">
      <c r="G1485" s="25"/>
      <c r="O1485" s="25"/>
    </row>
    <row r="1486" spans="7:15">
      <c r="G1486" s="25"/>
      <c r="O1486" s="25"/>
    </row>
    <row r="1487" spans="7:15">
      <c r="G1487" s="25"/>
      <c r="O1487" s="25"/>
    </row>
    <row r="1488" spans="7:15">
      <c r="G1488" s="25"/>
      <c r="O1488" s="25"/>
    </row>
    <row r="1489" spans="7:15">
      <c r="G1489" s="25"/>
      <c r="O1489" s="25"/>
    </row>
    <row r="1490" spans="7:15">
      <c r="G1490" s="25"/>
      <c r="O1490" s="25"/>
    </row>
    <row r="1491" spans="7:15">
      <c r="G1491" s="25"/>
      <c r="O1491" s="25"/>
    </row>
    <row r="1492" spans="7:15">
      <c r="G1492" s="25"/>
      <c r="O1492" s="25"/>
    </row>
    <row r="1493" spans="7:15">
      <c r="G1493" s="25"/>
      <c r="O1493" s="25"/>
    </row>
    <row r="1494" spans="7:15">
      <c r="G1494" s="25"/>
      <c r="O1494" s="25"/>
    </row>
    <row r="1495" spans="7:15">
      <c r="G1495" s="25"/>
      <c r="O1495" s="25"/>
    </row>
    <row r="1496" spans="7:15">
      <c r="G1496" s="25"/>
      <c r="O1496" s="25"/>
    </row>
    <row r="1497" spans="7:15">
      <c r="G1497" s="25"/>
      <c r="O1497" s="25"/>
    </row>
    <row r="1498" spans="7:15">
      <c r="G1498" s="25"/>
      <c r="O1498" s="25"/>
    </row>
    <row r="1499" spans="7:15">
      <c r="G1499" s="25"/>
      <c r="O1499" s="25"/>
    </row>
    <row r="1500" spans="7:15">
      <c r="G1500" s="25"/>
      <c r="O1500" s="25"/>
    </row>
    <row r="1501" spans="7:15">
      <c r="G1501" s="25"/>
      <c r="O1501" s="25"/>
    </row>
    <row r="1502" spans="7:15">
      <c r="G1502" s="25"/>
      <c r="O1502" s="25"/>
    </row>
    <row r="1503" spans="7:15">
      <c r="G1503" s="25"/>
      <c r="O1503" s="25"/>
    </row>
    <row r="1504" spans="7:15">
      <c r="G1504" s="25"/>
      <c r="O1504" s="25"/>
    </row>
    <row r="1505" spans="7:15">
      <c r="G1505" s="25"/>
      <c r="O1505" s="25"/>
    </row>
    <row r="1506" spans="7:15">
      <c r="G1506" s="25"/>
      <c r="O1506" s="25"/>
    </row>
    <row r="1507" spans="7:15">
      <c r="G1507" s="25"/>
      <c r="O1507" s="25"/>
    </row>
    <row r="1508" spans="7:15">
      <c r="G1508" s="25"/>
      <c r="O1508" s="25"/>
    </row>
    <row r="1509" spans="7:15">
      <c r="G1509" s="25"/>
      <c r="O1509" s="25"/>
    </row>
    <row r="1510" spans="7:15">
      <c r="G1510" s="25"/>
      <c r="O1510" s="25"/>
    </row>
    <row r="1511" spans="7:15">
      <c r="G1511" s="25"/>
      <c r="O1511" s="25"/>
    </row>
    <row r="1512" spans="7:15">
      <c r="G1512" s="25"/>
      <c r="O1512" s="25"/>
    </row>
    <row r="1513" spans="7:15">
      <c r="G1513" s="25"/>
      <c r="O1513" s="25"/>
    </row>
    <row r="1514" spans="7:15">
      <c r="G1514" s="25"/>
      <c r="O1514" s="25"/>
    </row>
    <row r="1515" spans="7:15">
      <c r="G1515" s="25"/>
      <c r="O1515" s="25"/>
    </row>
    <row r="1516" spans="7:15">
      <c r="G1516" s="25"/>
      <c r="O1516" s="25"/>
    </row>
    <row r="1517" spans="7:15">
      <c r="G1517" s="25"/>
      <c r="O1517" s="25"/>
    </row>
    <row r="1518" spans="7:15">
      <c r="G1518" s="25"/>
      <c r="O1518" s="25"/>
    </row>
    <row r="1519" spans="7:15">
      <c r="G1519" s="25"/>
      <c r="O1519" s="25"/>
    </row>
    <row r="1520" spans="7:15">
      <c r="G1520" s="25"/>
      <c r="O1520" s="25"/>
    </row>
    <row r="1521" spans="7:15">
      <c r="G1521" s="25"/>
      <c r="O1521" s="25"/>
    </row>
    <row r="1522" spans="7:15">
      <c r="G1522" s="25"/>
      <c r="O1522" s="25"/>
    </row>
    <row r="1523" spans="7:15">
      <c r="G1523" s="25"/>
      <c r="O1523" s="25"/>
    </row>
    <row r="1524" spans="7:15">
      <c r="G1524" s="25"/>
      <c r="O1524" s="25"/>
    </row>
    <row r="1525" spans="7:15">
      <c r="G1525" s="25"/>
      <c r="O1525" s="25"/>
    </row>
    <row r="1526" spans="7:15">
      <c r="G1526" s="25"/>
      <c r="O1526" s="25"/>
    </row>
    <row r="1527" spans="7:15">
      <c r="G1527" s="25"/>
      <c r="O1527" s="25"/>
    </row>
    <row r="1528" spans="7:15">
      <c r="G1528" s="25"/>
      <c r="O1528" s="25"/>
    </row>
    <row r="1529" spans="7:15">
      <c r="G1529" s="25"/>
      <c r="O1529" s="25"/>
    </row>
    <row r="1530" spans="7:15">
      <c r="G1530" s="25"/>
      <c r="O1530" s="25"/>
    </row>
    <row r="1531" spans="7:15">
      <c r="G1531" s="25"/>
      <c r="O1531" s="25"/>
    </row>
    <row r="1532" spans="7:15">
      <c r="G1532" s="25"/>
      <c r="O1532" s="25"/>
    </row>
    <row r="1533" spans="7:15">
      <c r="G1533" s="25"/>
      <c r="O1533" s="25"/>
    </row>
    <row r="1534" spans="7:15">
      <c r="G1534" s="25"/>
      <c r="O1534" s="25"/>
    </row>
    <row r="1535" spans="7:15">
      <c r="G1535" s="25"/>
      <c r="O1535" s="25"/>
    </row>
    <row r="1536" spans="7:15">
      <c r="G1536" s="25"/>
      <c r="O1536" s="25"/>
    </row>
    <row r="1537" spans="7:15">
      <c r="G1537" s="25"/>
      <c r="O1537" s="25"/>
    </row>
    <row r="1538" spans="7:15">
      <c r="G1538" s="25"/>
      <c r="O1538" s="25"/>
    </row>
    <row r="1539" spans="7:15">
      <c r="G1539" s="25"/>
      <c r="O1539" s="25"/>
    </row>
    <row r="1540" spans="7:15">
      <c r="G1540" s="25"/>
      <c r="O1540" s="25"/>
    </row>
    <row r="1541" spans="7:15">
      <c r="G1541" s="25"/>
      <c r="O1541" s="25"/>
    </row>
    <row r="1542" spans="7:15">
      <c r="G1542" s="25"/>
      <c r="O1542" s="25"/>
    </row>
    <row r="1543" spans="7:15">
      <c r="G1543" s="25"/>
      <c r="O1543" s="25"/>
    </row>
    <row r="1544" spans="7:15">
      <c r="G1544" s="25"/>
      <c r="O1544" s="25"/>
    </row>
    <row r="1545" spans="7:15">
      <c r="G1545" s="25"/>
      <c r="O1545" s="25"/>
    </row>
    <row r="1546" spans="7:15">
      <c r="G1546" s="25"/>
      <c r="O1546" s="25"/>
    </row>
    <row r="1547" spans="7:15">
      <c r="G1547" s="25"/>
      <c r="O1547" s="25"/>
    </row>
    <row r="1548" spans="7:15">
      <c r="G1548" s="25"/>
      <c r="O1548" s="25"/>
    </row>
    <row r="1549" spans="7:15">
      <c r="G1549" s="25"/>
      <c r="O1549" s="25"/>
    </row>
    <row r="1550" spans="7:15">
      <c r="G1550" s="25"/>
      <c r="O1550" s="25"/>
    </row>
    <row r="1551" spans="7:15">
      <c r="G1551" s="25"/>
      <c r="O1551" s="25"/>
    </row>
    <row r="1552" spans="7:15">
      <c r="G1552" s="25"/>
      <c r="O1552" s="25"/>
    </row>
    <row r="1553" spans="7:15">
      <c r="G1553" s="25"/>
      <c r="O1553" s="25"/>
    </row>
    <row r="1554" spans="7:15">
      <c r="G1554" s="25"/>
      <c r="O1554" s="25"/>
    </row>
    <row r="1555" spans="7:15">
      <c r="G1555" s="25"/>
      <c r="O1555" s="25"/>
    </row>
    <row r="1556" spans="7:15">
      <c r="G1556" s="25"/>
      <c r="O1556" s="25"/>
    </row>
    <row r="1557" spans="7:15">
      <c r="G1557" s="25"/>
      <c r="O1557" s="25"/>
    </row>
    <row r="1558" spans="7:15">
      <c r="G1558" s="25"/>
      <c r="O1558" s="25"/>
    </row>
  </sheetData>
  <sortState xmlns:xlrd2="http://schemas.microsoft.com/office/spreadsheetml/2017/richdata2" ref="Q212:Q292">
    <sortCondition ref="Q21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B3:B147"/>
  <sheetViews>
    <sheetView workbookViewId="0">
      <selection activeCell="B3" sqref="B3:B147"/>
    </sheetView>
  </sheetViews>
  <sheetFormatPr defaultColWidth="9.140625" defaultRowHeight="14.25"/>
  <cols>
    <col min="1" max="1" width="3" style="1" customWidth="1"/>
    <col min="2" max="16384" width="9.140625" style="1"/>
  </cols>
  <sheetData>
    <row r="3" spans="2:2">
      <c r="B3" s="74"/>
    </row>
    <row r="4" spans="2:2">
      <c r="B4" s="75"/>
    </row>
    <row r="5" spans="2:2">
      <c r="B5" s="76"/>
    </row>
    <row r="6" spans="2:2">
      <c r="B6" s="74"/>
    </row>
    <row r="7" spans="2:2">
      <c r="B7" s="75"/>
    </row>
    <row r="8" spans="2:2">
      <c r="B8" s="76"/>
    </row>
    <row r="9" spans="2:2">
      <c r="B9" s="74"/>
    </row>
    <row r="10" spans="2:2">
      <c r="B10" s="75"/>
    </row>
    <row r="11" spans="2:2">
      <c r="B11" s="76"/>
    </row>
    <row r="12" spans="2:2">
      <c r="B12" s="74"/>
    </row>
    <row r="13" spans="2:2">
      <c r="B13" s="75"/>
    </row>
    <row r="14" spans="2:2">
      <c r="B14" s="76"/>
    </row>
    <row r="15" spans="2:2">
      <c r="B15" s="74"/>
    </row>
    <row r="16" spans="2:2">
      <c r="B16" s="75"/>
    </row>
    <row r="17" spans="2:2">
      <c r="B17" s="76"/>
    </row>
    <row r="18" spans="2:2">
      <c r="B18" s="74"/>
    </row>
    <row r="19" spans="2:2">
      <c r="B19" s="75"/>
    </row>
    <row r="20" spans="2:2">
      <c r="B20" s="76"/>
    </row>
    <row r="21" spans="2:2">
      <c r="B21" s="74"/>
    </row>
    <row r="22" spans="2:2">
      <c r="B22" s="75"/>
    </row>
    <row r="23" spans="2:2">
      <c r="B23" s="76"/>
    </row>
    <row r="24" spans="2:2">
      <c r="B24" s="74"/>
    </row>
    <row r="25" spans="2:2">
      <c r="B25" s="75"/>
    </row>
    <row r="26" spans="2:2">
      <c r="B26" s="76"/>
    </row>
    <row r="27" spans="2:2">
      <c r="B27" s="74"/>
    </row>
    <row r="28" spans="2:2">
      <c r="B28" s="75"/>
    </row>
    <row r="29" spans="2:2">
      <c r="B29" s="76"/>
    </row>
    <row r="30" spans="2:2">
      <c r="B30" s="74"/>
    </row>
    <row r="31" spans="2:2">
      <c r="B31" s="75"/>
    </row>
    <row r="32" spans="2:2">
      <c r="B32" s="76"/>
    </row>
    <row r="33" spans="2:2">
      <c r="B33" s="74"/>
    </row>
    <row r="34" spans="2:2">
      <c r="B34" s="75"/>
    </row>
    <row r="35" spans="2:2">
      <c r="B35" s="76"/>
    </row>
    <row r="36" spans="2:2">
      <c r="B36" s="74"/>
    </row>
    <row r="37" spans="2:2">
      <c r="B37" s="75"/>
    </row>
    <row r="38" spans="2:2">
      <c r="B38" s="76"/>
    </row>
    <row r="39" spans="2:2">
      <c r="B39" s="74"/>
    </row>
    <row r="40" spans="2:2">
      <c r="B40" s="75"/>
    </row>
    <row r="41" spans="2:2">
      <c r="B41" s="76"/>
    </row>
    <row r="42" spans="2:2">
      <c r="B42" s="74"/>
    </row>
    <row r="43" spans="2:2">
      <c r="B43" s="75"/>
    </row>
    <row r="44" spans="2:2">
      <c r="B44" s="76"/>
    </row>
    <row r="45" spans="2:2">
      <c r="B45" s="74"/>
    </row>
    <row r="46" spans="2:2">
      <c r="B46" s="75"/>
    </row>
    <row r="47" spans="2:2">
      <c r="B47" s="76"/>
    </row>
    <row r="48" spans="2:2">
      <c r="B48" s="74"/>
    </row>
    <row r="49" spans="2:2">
      <c r="B49" s="75"/>
    </row>
    <row r="50" spans="2:2">
      <c r="B50" s="76"/>
    </row>
    <row r="51" spans="2:2">
      <c r="B51" s="74"/>
    </row>
    <row r="52" spans="2:2">
      <c r="B52" s="75"/>
    </row>
    <row r="53" spans="2:2">
      <c r="B53" s="76"/>
    </row>
    <row r="54" spans="2:2">
      <c r="B54" s="74"/>
    </row>
    <row r="55" spans="2:2">
      <c r="B55" s="75"/>
    </row>
    <row r="56" spans="2:2">
      <c r="B56" s="76"/>
    </row>
    <row r="57" spans="2:2">
      <c r="B57" s="74"/>
    </row>
    <row r="58" spans="2:2">
      <c r="B58" s="75"/>
    </row>
    <row r="59" spans="2:2">
      <c r="B59" s="76"/>
    </row>
    <row r="60" spans="2:2">
      <c r="B60" s="74"/>
    </row>
    <row r="61" spans="2:2">
      <c r="B61" s="75"/>
    </row>
    <row r="62" spans="2:2">
      <c r="B62" s="76"/>
    </row>
    <row r="63" spans="2:2">
      <c r="B63" s="74"/>
    </row>
    <row r="64" spans="2:2">
      <c r="B64" s="75"/>
    </row>
    <row r="65" spans="2:2">
      <c r="B65" s="76"/>
    </row>
    <row r="66" spans="2:2">
      <c r="B66" s="74"/>
    </row>
    <row r="67" spans="2:2">
      <c r="B67" s="75"/>
    </row>
    <row r="68" spans="2:2">
      <c r="B68" s="76"/>
    </row>
    <row r="69" spans="2:2">
      <c r="B69" s="74"/>
    </row>
    <row r="70" spans="2:2">
      <c r="B70" s="75"/>
    </row>
    <row r="71" spans="2:2">
      <c r="B71" s="76"/>
    </row>
    <row r="72" spans="2:2">
      <c r="B72" s="74"/>
    </row>
    <row r="73" spans="2:2">
      <c r="B73" s="75"/>
    </row>
    <row r="74" spans="2:2">
      <c r="B74" s="76"/>
    </row>
    <row r="75" spans="2:2">
      <c r="B75" s="74"/>
    </row>
    <row r="76" spans="2:2">
      <c r="B76" s="75"/>
    </row>
    <row r="77" spans="2:2">
      <c r="B77" s="76"/>
    </row>
    <row r="78" spans="2:2">
      <c r="B78" s="74"/>
    </row>
    <row r="79" spans="2:2">
      <c r="B79" s="75"/>
    </row>
    <row r="80" spans="2:2">
      <c r="B80" s="76"/>
    </row>
    <row r="81" spans="2:2">
      <c r="B81" s="74"/>
    </row>
    <row r="82" spans="2:2">
      <c r="B82" s="75"/>
    </row>
    <row r="83" spans="2:2">
      <c r="B83" s="76"/>
    </row>
    <row r="84" spans="2:2">
      <c r="B84" s="74"/>
    </row>
    <row r="85" spans="2:2">
      <c r="B85" s="75"/>
    </row>
    <row r="86" spans="2:2">
      <c r="B86" s="76"/>
    </row>
    <row r="87" spans="2:2">
      <c r="B87" s="74"/>
    </row>
    <row r="88" spans="2:2">
      <c r="B88" s="75"/>
    </row>
    <row r="89" spans="2:2">
      <c r="B89" s="76"/>
    </row>
    <row r="90" spans="2:2">
      <c r="B90" s="74"/>
    </row>
    <row r="91" spans="2:2">
      <c r="B91" s="75"/>
    </row>
    <row r="92" spans="2:2">
      <c r="B92" s="76"/>
    </row>
    <row r="93" spans="2:2">
      <c r="B93" s="74"/>
    </row>
    <row r="94" spans="2:2">
      <c r="B94" s="75"/>
    </row>
    <row r="95" spans="2:2">
      <c r="B95" s="76"/>
    </row>
    <row r="96" spans="2:2">
      <c r="B96" s="74"/>
    </row>
    <row r="97" spans="2:2">
      <c r="B97" s="75"/>
    </row>
    <row r="98" spans="2:2">
      <c r="B98" s="76"/>
    </row>
    <row r="99" spans="2:2">
      <c r="B99" s="74"/>
    </row>
    <row r="100" spans="2:2">
      <c r="B100" s="75"/>
    </row>
    <row r="101" spans="2:2">
      <c r="B101" s="76"/>
    </row>
    <row r="102" spans="2:2">
      <c r="B102" s="74"/>
    </row>
    <row r="103" spans="2:2">
      <c r="B103" s="75"/>
    </row>
    <row r="104" spans="2:2">
      <c r="B104" s="76"/>
    </row>
    <row r="105" spans="2:2">
      <c r="B105" s="74"/>
    </row>
    <row r="106" spans="2:2">
      <c r="B106" s="75"/>
    </row>
    <row r="107" spans="2:2">
      <c r="B107" s="76"/>
    </row>
    <row r="108" spans="2:2">
      <c r="B108" s="74"/>
    </row>
    <row r="109" spans="2:2">
      <c r="B109" s="75"/>
    </row>
    <row r="110" spans="2:2">
      <c r="B110" s="76"/>
    </row>
    <row r="111" spans="2:2">
      <c r="B111" s="74"/>
    </row>
    <row r="112" spans="2:2">
      <c r="B112" s="75"/>
    </row>
    <row r="113" spans="2:2">
      <c r="B113" s="76"/>
    </row>
    <row r="114" spans="2:2">
      <c r="B114" s="74"/>
    </row>
    <row r="115" spans="2:2">
      <c r="B115" s="75"/>
    </row>
    <row r="116" spans="2:2">
      <c r="B116" s="76"/>
    </row>
    <row r="117" spans="2:2">
      <c r="B117" s="74"/>
    </row>
    <row r="118" spans="2:2">
      <c r="B118" s="75"/>
    </row>
    <row r="119" spans="2:2">
      <c r="B119" s="76"/>
    </row>
    <row r="120" spans="2:2">
      <c r="B120" s="74"/>
    </row>
    <row r="121" spans="2:2">
      <c r="B121" s="75"/>
    </row>
    <row r="122" spans="2:2">
      <c r="B122" s="76"/>
    </row>
    <row r="123" spans="2:2">
      <c r="B123" s="74"/>
    </row>
    <row r="124" spans="2:2">
      <c r="B124" s="75"/>
    </row>
    <row r="125" spans="2:2">
      <c r="B125" s="76"/>
    </row>
    <row r="126" spans="2:2">
      <c r="B126" s="74"/>
    </row>
    <row r="127" spans="2:2">
      <c r="B127" s="75"/>
    </row>
    <row r="128" spans="2:2">
      <c r="B128" s="76"/>
    </row>
    <row r="129" spans="2:2">
      <c r="B129" s="74"/>
    </row>
    <row r="130" spans="2:2">
      <c r="B130" s="75"/>
    </row>
    <row r="131" spans="2:2">
      <c r="B131" s="76"/>
    </row>
    <row r="132" spans="2:2">
      <c r="B132" s="74"/>
    </row>
    <row r="133" spans="2:2">
      <c r="B133" s="75"/>
    </row>
    <row r="134" spans="2:2">
      <c r="B134" s="76"/>
    </row>
    <row r="135" spans="2:2">
      <c r="B135" s="74"/>
    </row>
    <row r="136" spans="2:2">
      <c r="B136" s="75"/>
    </row>
    <row r="137" spans="2:2">
      <c r="B137" s="76"/>
    </row>
    <row r="138" spans="2:2">
      <c r="B138" s="74"/>
    </row>
    <row r="139" spans="2:2">
      <c r="B139" s="75"/>
    </row>
    <row r="140" spans="2:2">
      <c r="B140" s="76"/>
    </row>
    <row r="141" spans="2:2">
      <c r="B141" s="74"/>
    </row>
    <row r="142" spans="2:2">
      <c r="B142" s="75"/>
    </row>
    <row r="143" spans="2:2">
      <c r="B143" s="76"/>
    </row>
    <row r="144" spans="2:2">
      <c r="B144" s="74"/>
    </row>
    <row r="145" spans="2:2">
      <c r="B145" s="75"/>
    </row>
    <row r="146" spans="2:2">
      <c r="B146" s="76"/>
    </row>
    <row r="147" spans="2:2">
      <c r="B147" s="7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2026-10-23T06:28:01Z</dcterms:modified>
</cp:coreProperties>
</file>