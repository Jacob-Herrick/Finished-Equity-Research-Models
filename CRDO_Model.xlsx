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585ADF0A-7F98-40FC-B249-DABDA4900E2C}" xr6:coauthVersionLast="47" xr6:coauthVersionMax="47" xr10:uidLastSave="{00000000-0000-0000-0000-000000000000}"/>
  <bookViews>
    <workbookView xWindow="33390" yWindow="1470" windowWidth="21600" windowHeight="13185"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T86" i="2"/>
  <c r="T85" i="2"/>
  <c r="S82" i="2"/>
  <c r="R82" i="2"/>
  <c r="Q82" i="2"/>
  <c r="P82" i="2"/>
  <c r="O82" i="2"/>
  <c r="N82" i="2"/>
  <c r="S81" i="2"/>
  <c r="R81" i="2"/>
  <c r="Q81" i="2"/>
  <c r="P81" i="2"/>
  <c r="O81" i="2"/>
  <c r="N81" i="2"/>
  <c r="S80" i="2"/>
  <c r="R80" i="2"/>
  <c r="Q80" i="2"/>
  <c r="P80" i="2"/>
  <c r="O80" i="2"/>
  <c r="N80" i="2"/>
  <c r="S79" i="2"/>
  <c r="R79" i="2"/>
  <c r="Q79" i="2"/>
  <c r="P79" i="2"/>
  <c r="O79" i="2"/>
  <c r="N79" i="2"/>
  <c r="S78" i="2"/>
  <c r="R78" i="2"/>
  <c r="Q78" i="2"/>
  <c r="P78" i="2"/>
  <c r="O78" i="2"/>
  <c r="N78" i="2"/>
  <c r="S77" i="2"/>
  <c r="R77" i="2"/>
  <c r="Q77" i="2"/>
  <c r="P77" i="2"/>
  <c r="O77" i="2"/>
  <c r="N77" i="2"/>
  <c r="S76" i="2"/>
  <c r="R76" i="2"/>
  <c r="Q76" i="2"/>
  <c r="P76" i="2"/>
  <c r="O76" i="2"/>
  <c r="N76" i="2"/>
  <c r="AC63" i="2"/>
  <c r="AC62" i="2"/>
  <c r="AD63" i="2"/>
  <c r="AD62" i="2"/>
  <c r="S64" i="2"/>
  <c r="R64" i="2"/>
  <c r="Q64" i="2"/>
  <c r="P64" i="2"/>
  <c r="O64" i="2"/>
  <c r="N64" i="2"/>
  <c r="T64" i="2"/>
  <c r="T79" i="2" s="1"/>
  <c r="M18" i="2"/>
  <c r="T88" i="2"/>
  <c r="T87" i="2"/>
  <c r="T89" i="2" s="1"/>
  <c r="T80" i="2"/>
  <c r="T78" i="2"/>
  <c r="T77" i="2"/>
  <c r="T76" i="2"/>
  <c r="T72" i="2"/>
  <c r="T74" i="2" s="1"/>
  <c r="T48" i="2"/>
  <c r="T47" i="2"/>
  <c r="T34" i="2"/>
  <c r="T24" i="2"/>
  <c r="T23" i="2"/>
  <c r="T22" i="2"/>
  <c r="T21" i="2"/>
  <c r="T19" i="2"/>
  <c r="T10" i="2"/>
  <c r="T8" i="2"/>
  <c r="T6" i="2"/>
  <c r="AN58" i="2"/>
  <c r="Q8" i="2"/>
  <c r="P8" i="2"/>
  <c r="O8" i="2"/>
  <c r="S8" i="2"/>
  <c r="N4" i="2"/>
  <c r="AC4" i="2" s="1"/>
  <c r="K5" i="2"/>
  <c r="L5" i="2"/>
  <c r="L6" i="2" s="1"/>
  <c r="M5" i="2"/>
  <c r="M6" i="2" s="1"/>
  <c r="K6" i="2"/>
  <c r="R4" i="2"/>
  <c r="R8" i="2" s="1"/>
  <c r="O5" i="2"/>
  <c r="S9" i="2" s="1"/>
  <c r="P5" i="2"/>
  <c r="Q5" i="2"/>
  <c r="Q6" i="2" s="1"/>
  <c r="M25" i="2"/>
  <c r="L25" i="2"/>
  <c r="K25" i="2"/>
  <c r="J25" i="2"/>
  <c r="I25" i="2"/>
  <c r="H25" i="2"/>
  <c r="G25" i="2"/>
  <c r="N25" i="2"/>
  <c r="P24" i="2"/>
  <c r="Q23" i="2"/>
  <c r="P23" i="2"/>
  <c r="O23" i="2"/>
  <c r="Q22" i="2"/>
  <c r="P22" i="2"/>
  <c r="O22" i="2"/>
  <c r="Q21" i="2"/>
  <c r="P21" i="2"/>
  <c r="O21" i="2"/>
  <c r="S24" i="2"/>
  <c r="S23" i="2"/>
  <c r="S22" i="2"/>
  <c r="S21" i="2"/>
  <c r="K18" i="2"/>
  <c r="N18" i="2" s="1"/>
  <c r="Q18" i="2"/>
  <c r="R18" i="2" s="1"/>
  <c r="N17" i="2"/>
  <c r="N16" i="2"/>
  <c r="N15" i="2"/>
  <c r="R17" i="2"/>
  <c r="R16" i="2"/>
  <c r="R15" i="2"/>
  <c r="P19" i="2"/>
  <c r="O19" i="2"/>
  <c r="M19" i="2"/>
  <c r="L19" i="2"/>
  <c r="S19" i="2"/>
  <c r="AB86" i="2"/>
  <c r="AA86" i="2"/>
  <c r="AB85" i="2"/>
  <c r="AA85" i="2"/>
  <c r="N29" i="2" l="1"/>
  <c r="P25" i="2"/>
  <c r="T25" i="2"/>
  <c r="N30" i="2"/>
  <c r="R28" i="2"/>
  <c r="N27" i="2"/>
  <c r="R27" i="2"/>
  <c r="R29" i="2"/>
  <c r="T46" i="2"/>
  <c r="T38" i="2"/>
  <c r="P9" i="2"/>
  <c r="T9" i="2"/>
  <c r="P30" i="2"/>
  <c r="K29" i="2"/>
  <c r="T30" i="2"/>
  <c r="T27" i="2"/>
  <c r="T29" i="2"/>
  <c r="T28" i="2"/>
  <c r="T40" i="2"/>
  <c r="T49" i="2"/>
  <c r="T12" i="2"/>
  <c r="T13" i="2"/>
  <c r="Q29" i="2"/>
  <c r="M30" i="2"/>
  <c r="O24" i="2"/>
  <c r="Q28" i="2"/>
  <c r="R5" i="2"/>
  <c r="O9" i="2"/>
  <c r="S29" i="2"/>
  <c r="K19" i="2"/>
  <c r="R22" i="2"/>
  <c r="K27" i="2"/>
  <c r="AD4" i="2"/>
  <c r="N28" i="2"/>
  <c r="N5" i="2"/>
  <c r="AC5" i="2" s="1"/>
  <c r="AC6" i="2" s="1"/>
  <c r="Q27" i="2"/>
  <c r="P6" i="2"/>
  <c r="O25" i="2"/>
  <c r="K28" i="2"/>
  <c r="AD8" i="2"/>
  <c r="R24" i="2"/>
  <c r="R30" i="2"/>
  <c r="K30" i="2"/>
  <c r="R21" i="2"/>
  <c r="R23" i="2"/>
  <c r="M27" i="2"/>
  <c r="M28" i="2"/>
  <c r="M29" i="2"/>
  <c r="S27" i="2"/>
  <c r="O27" i="2"/>
  <c r="O28" i="2"/>
  <c r="O29" i="2"/>
  <c r="O30" i="2"/>
  <c r="O6" i="2"/>
  <c r="Q19" i="2"/>
  <c r="Q25" i="2" s="1"/>
  <c r="Q24" i="2"/>
  <c r="S28" i="2"/>
  <c r="P27" i="2"/>
  <c r="P28" i="2"/>
  <c r="P29" i="2"/>
  <c r="Q30" i="2"/>
  <c r="S25" i="2"/>
  <c r="S30" i="2"/>
  <c r="Q9" i="2"/>
  <c r="L27" i="2"/>
  <c r="L28" i="2"/>
  <c r="L29" i="2"/>
  <c r="L30" i="2"/>
  <c r="N19" i="2"/>
  <c r="R19" i="2"/>
  <c r="R10" i="2"/>
  <c r="Q10" i="2"/>
  <c r="P10" i="2"/>
  <c r="O10" i="2"/>
  <c r="N10" i="2"/>
  <c r="M10" i="2"/>
  <c r="L10" i="2"/>
  <c r="K10" i="2"/>
  <c r="J10" i="2"/>
  <c r="I10" i="2"/>
  <c r="H10" i="2"/>
  <c r="G10" i="2"/>
  <c r="S10" i="2"/>
  <c r="R9" i="2" l="1"/>
  <c r="T50" i="2"/>
  <c r="T42" i="2"/>
  <c r="R25" i="2"/>
  <c r="AC13" i="2"/>
  <c r="AC12" i="2"/>
  <c r="R6" i="2"/>
  <c r="N6" i="2"/>
  <c r="AD5" i="2"/>
  <c r="S6" i="2"/>
  <c r="AD86" i="2"/>
  <c r="AC86" i="2"/>
  <c r="AC85" i="2"/>
  <c r="AD85" i="2"/>
  <c r="AD6" i="2" l="1"/>
  <c r="AD12" i="2" s="1"/>
  <c r="AD13" i="2"/>
  <c r="AD9" i="2"/>
  <c r="T82" i="2"/>
  <c r="T84" i="2"/>
  <c r="T44" i="2"/>
  <c r="T51" i="2"/>
  <c r="T81" i="2"/>
  <c r="S13" i="2"/>
  <c r="S12" i="2"/>
  <c r="S88" i="2" l="1"/>
  <c r="R88" i="2"/>
  <c r="Q88" i="2"/>
  <c r="P88" i="2"/>
  <c r="O88" i="2"/>
  <c r="N88" i="2"/>
  <c r="M88" i="2"/>
  <c r="L88" i="2"/>
  <c r="K88" i="2"/>
  <c r="J88" i="2"/>
  <c r="I88" i="2"/>
  <c r="H88" i="2"/>
  <c r="G88" i="2"/>
  <c r="F88" i="2"/>
  <c r="E88" i="2"/>
  <c r="D88" i="2"/>
  <c r="C88" i="2"/>
  <c r="S87" i="2"/>
  <c r="S89" i="2" s="1"/>
  <c r="R87" i="2"/>
  <c r="R89" i="2" s="1"/>
  <c r="Q87" i="2"/>
  <c r="P87" i="2"/>
  <c r="P89" i="2" s="1"/>
  <c r="O87" i="2"/>
  <c r="N87" i="2"/>
  <c r="M87" i="2"/>
  <c r="L87" i="2"/>
  <c r="K87" i="2"/>
  <c r="J87" i="2"/>
  <c r="J89" i="2" s="1"/>
  <c r="I87" i="2"/>
  <c r="H87" i="2"/>
  <c r="H89" i="2" s="1"/>
  <c r="G87" i="2"/>
  <c r="F87" i="2"/>
  <c r="E87" i="2"/>
  <c r="D87" i="2"/>
  <c r="C87" i="2"/>
  <c r="AD73" i="2"/>
  <c r="AC73" i="2"/>
  <c r="AD71" i="2"/>
  <c r="AC71" i="2"/>
  <c r="AD70" i="2"/>
  <c r="AC70" i="2"/>
  <c r="AD69" i="2"/>
  <c r="AC69" i="2"/>
  <c r="AD68" i="2"/>
  <c r="AC68" i="2"/>
  <c r="AD67" i="2"/>
  <c r="AC67" i="2"/>
  <c r="AD66" i="2"/>
  <c r="AC66" i="2"/>
  <c r="AD61" i="2"/>
  <c r="AC61" i="2"/>
  <c r="AD60" i="2"/>
  <c r="AC60" i="2"/>
  <c r="AD59" i="2"/>
  <c r="AC59" i="2"/>
  <c r="AD58" i="2"/>
  <c r="AC58" i="2"/>
  <c r="AD57" i="2"/>
  <c r="AC57" i="2"/>
  <c r="AD56" i="2"/>
  <c r="AC56" i="2"/>
  <c r="AD55" i="2"/>
  <c r="AC55" i="2"/>
  <c r="AD54" i="2"/>
  <c r="AC54" i="2"/>
  <c r="AC53" i="2"/>
  <c r="AD53" i="2"/>
  <c r="AE39" i="2" s="1"/>
  <c r="Q72" i="2"/>
  <c r="Q74" i="2" s="1"/>
  <c r="P72" i="2"/>
  <c r="P74" i="2" s="1"/>
  <c r="O72" i="2"/>
  <c r="O74" i="2" s="1"/>
  <c r="N72" i="2"/>
  <c r="N74" i="2" s="1"/>
  <c r="AC74" i="2" s="1"/>
  <c r="R72" i="2"/>
  <c r="R74" i="2" s="1"/>
  <c r="AD74" i="2" s="1"/>
  <c r="S72" i="2"/>
  <c r="S74" i="2" s="1"/>
  <c r="R49" i="2"/>
  <c r="R47" i="2"/>
  <c r="Q47" i="2"/>
  <c r="P47" i="2"/>
  <c r="O47" i="2"/>
  <c r="N47" i="2"/>
  <c r="M47" i="2"/>
  <c r="L47" i="2"/>
  <c r="K47" i="2"/>
  <c r="J47" i="2"/>
  <c r="I47" i="2"/>
  <c r="H47" i="2"/>
  <c r="G47" i="2"/>
  <c r="F47" i="2"/>
  <c r="E47" i="2"/>
  <c r="D47" i="2"/>
  <c r="C47" i="2"/>
  <c r="R48" i="2"/>
  <c r="Q48" i="2"/>
  <c r="P48" i="2"/>
  <c r="O48" i="2"/>
  <c r="N48" i="2"/>
  <c r="M48" i="2"/>
  <c r="L48" i="2"/>
  <c r="K48" i="2"/>
  <c r="J48" i="2"/>
  <c r="I48" i="2"/>
  <c r="H48" i="2"/>
  <c r="G48" i="2"/>
  <c r="F48" i="2"/>
  <c r="E48" i="2"/>
  <c r="D48" i="2"/>
  <c r="C48" i="2"/>
  <c r="S47" i="2"/>
  <c r="S48" i="2"/>
  <c r="AD43" i="2"/>
  <c r="AD88" i="2" s="1"/>
  <c r="AC43" i="2"/>
  <c r="AC88" i="2" s="1"/>
  <c r="AB43" i="2"/>
  <c r="AD41" i="2"/>
  <c r="AC41" i="2"/>
  <c r="AB41" i="2"/>
  <c r="AA41" i="2"/>
  <c r="AD39" i="2"/>
  <c r="AC39" i="2"/>
  <c r="AB39" i="2"/>
  <c r="AA39" i="2"/>
  <c r="AD37" i="2"/>
  <c r="AC37" i="2"/>
  <c r="AB37" i="2"/>
  <c r="AA37" i="2"/>
  <c r="AD36" i="2"/>
  <c r="AC36" i="2"/>
  <c r="AB36" i="2"/>
  <c r="AA36" i="2"/>
  <c r="AD35" i="2"/>
  <c r="AC35" i="2"/>
  <c r="AB35" i="2"/>
  <c r="AA35" i="2"/>
  <c r="AD33" i="2"/>
  <c r="AC33" i="2"/>
  <c r="AB33" i="2"/>
  <c r="AA33" i="2"/>
  <c r="AA32" i="2"/>
  <c r="AB32" i="2"/>
  <c r="AC32" i="2"/>
  <c r="AD32" i="2"/>
  <c r="R40" i="2"/>
  <c r="R42" i="2" s="1"/>
  <c r="R84" i="2" s="1"/>
  <c r="R34" i="2"/>
  <c r="R46" i="2" s="1"/>
  <c r="Q34" i="2"/>
  <c r="P34" i="2"/>
  <c r="O34" i="2"/>
  <c r="O38" i="2" s="1"/>
  <c r="N34" i="2"/>
  <c r="M34" i="2"/>
  <c r="L34" i="2"/>
  <c r="K34" i="2"/>
  <c r="J34" i="2"/>
  <c r="I34" i="2"/>
  <c r="H34" i="2"/>
  <c r="G34" i="2"/>
  <c r="G38" i="2" s="1"/>
  <c r="F34" i="2"/>
  <c r="E34" i="2"/>
  <c r="D34" i="2"/>
  <c r="C34" i="2"/>
  <c r="S34" i="2"/>
  <c r="U257" i="3"/>
  <c r="U256" i="3" s="1"/>
  <c r="U255" i="3" s="1"/>
  <c r="U254" i="3" s="1"/>
  <c r="U253" i="3" s="1"/>
  <c r="U252" i="3" s="1"/>
  <c r="U251" i="3" s="1"/>
  <c r="U250" i="3" s="1"/>
  <c r="U249" i="3" s="1"/>
  <c r="U248" i="3" s="1"/>
  <c r="U247" i="3" s="1"/>
  <c r="U246" i="3" s="1"/>
  <c r="U245" i="3" s="1"/>
  <c r="U244" i="3" s="1"/>
  <c r="U243" i="3" s="1"/>
  <c r="U242" i="3" s="1"/>
  <c r="U241" i="3" s="1"/>
  <c r="U240" i="3" s="1"/>
  <c r="U239" i="3" s="1"/>
  <c r="U238" i="3" s="1"/>
  <c r="U237" i="3" s="1"/>
  <c r="U236" i="3" s="1"/>
  <c r="U235" i="3" s="1"/>
  <c r="U234" i="3" s="1"/>
  <c r="U233" i="3" s="1"/>
  <c r="U232" i="3" s="1"/>
  <c r="U231" i="3" s="1"/>
  <c r="U230" i="3" s="1"/>
  <c r="U229" i="3" s="1"/>
  <c r="U228" i="3" s="1"/>
  <c r="U227" i="3" s="1"/>
  <c r="U226" i="3" s="1"/>
  <c r="U225" i="3" s="1"/>
  <c r="U224" i="3" s="1"/>
  <c r="U223" i="3" s="1"/>
  <c r="U222" i="3" s="1"/>
  <c r="U221" i="3" s="1"/>
  <c r="U220" i="3" s="1"/>
  <c r="U219" i="3" s="1"/>
  <c r="U218" i="3" s="1"/>
  <c r="U217" i="3" s="1"/>
  <c r="U216" i="3" s="1"/>
  <c r="U215" i="3" s="1"/>
  <c r="U214" i="3" s="1"/>
  <c r="U213" i="3" s="1"/>
  <c r="U212" i="3" s="1"/>
  <c r="U211" i="3" s="1"/>
  <c r="U210" i="3" s="1"/>
  <c r="U259" i="3"/>
  <c r="U260" i="3" s="1"/>
  <c r="U261" i="3" s="1"/>
  <c r="U262" i="3" s="1"/>
  <c r="U263" i="3" s="1"/>
  <c r="U264" i="3" s="1"/>
  <c r="U265" i="3" s="1"/>
  <c r="U266" i="3" s="1"/>
  <c r="U267" i="3" s="1"/>
  <c r="U268" i="3" s="1"/>
  <c r="U269" i="3" s="1"/>
  <c r="U270" i="3" s="1"/>
  <c r="U271" i="3" s="1"/>
  <c r="U272" i="3" s="1"/>
  <c r="U273" i="3" s="1"/>
  <c r="U274" i="3" s="1"/>
  <c r="U275" i="3" s="1"/>
  <c r="U276" i="3" s="1"/>
  <c r="U277" i="3" s="1"/>
  <c r="U278" i="3" s="1"/>
  <c r="U279" i="3" s="1"/>
  <c r="U280" i="3" s="1"/>
  <c r="U281" i="3" s="1"/>
  <c r="U282" i="3" s="1"/>
  <c r="U283" i="3" s="1"/>
  <c r="U284" i="3" s="1"/>
  <c r="U285" i="3" s="1"/>
  <c r="U286" i="3" s="1"/>
  <c r="U287" i="3" s="1"/>
  <c r="U288" i="3" s="1"/>
  <c r="U289" i="3" s="1"/>
  <c r="U290" i="3" s="1"/>
  <c r="U291" i="3" s="1"/>
  <c r="U292" i="3" s="1"/>
  <c r="U293" i="3" s="1"/>
  <c r="U294" i="3" s="1"/>
  <c r="U295" i="3" s="1"/>
  <c r="U296" i="3" s="1"/>
  <c r="U297" i="3" s="1"/>
  <c r="U298" i="3" s="1"/>
  <c r="U299" i="3" s="1"/>
  <c r="U300" i="3" s="1"/>
  <c r="U301" i="3" s="1"/>
  <c r="U302" i="3" s="1"/>
  <c r="U303" i="3" s="1"/>
  <c r="U304" i="3" s="1"/>
  <c r="U305" i="3" s="1"/>
  <c r="U306" i="3" s="1"/>
  <c r="P186" i="3"/>
  <c r="P187" i="3"/>
  <c r="P188" i="3"/>
  <c r="P189" i="3"/>
  <c r="P190" i="3"/>
  <c r="T202" i="3" s="1"/>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AH57" i="2" l="1"/>
  <c r="AI57" i="2"/>
  <c r="Q46" i="2"/>
  <c r="Q38" i="2"/>
  <c r="P46" i="2"/>
  <c r="P38" i="2"/>
  <c r="O49" i="2"/>
  <c r="O40" i="2"/>
  <c r="O42" i="2" s="1"/>
  <c r="O84" i="2" s="1"/>
  <c r="AD38" i="2"/>
  <c r="N46" i="2"/>
  <c r="N38" i="2"/>
  <c r="M46" i="2"/>
  <c r="M38" i="2"/>
  <c r="L46" i="2"/>
  <c r="L38" i="2"/>
  <c r="K46" i="2"/>
  <c r="K38" i="2"/>
  <c r="J46" i="2"/>
  <c r="J38" i="2"/>
  <c r="I46" i="2"/>
  <c r="I38" i="2"/>
  <c r="H46" i="2"/>
  <c r="H38" i="2"/>
  <c r="G49" i="2"/>
  <c r="AB38" i="2"/>
  <c r="AB49" i="2" s="1"/>
  <c r="G40" i="2"/>
  <c r="F46" i="2"/>
  <c r="F38" i="2"/>
  <c r="E46" i="2"/>
  <c r="E38" i="2"/>
  <c r="D46" i="2"/>
  <c r="D38" i="2"/>
  <c r="C46" i="2"/>
  <c r="C38" i="2"/>
  <c r="S46" i="2"/>
  <c r="S38" i="2"/>
  <c r="AB88" i="2"/>
  <c r="AD10" i="2"/>
  <c r="AD25" i="2"/>
  <c r="AC25" i="2"/>
  <c r="AB10" i="2"/>
  <c r="AB25" i="2"/>
  <c r="N89" i="2"/>
  <c r="AC72" i="2"/>
  <c r="AC10" i="2"/>
  <c r="D89" i="2"/>
  <c r="L89" i="2"/>
  <c r="AA88" i="2"/>
  <c r="AD48" i="2"/>
  <c r="AD49" i="2"/>
  <c r="AB87" i="2"/>
  <c r="AB89" i="2" s="1"/>
  <c r="C89" i="2"/>
  <c r="AA87" i="2"/>
  <c r="F89" i="2"/>
  <c r="E89" i="2"/>
  <c r="M89" i="2"/>
  <c r="G89" i="2"/>
  <c r="O89" i="2"/>
  <c r="I89" i="2"/>
  <c r="Q89" i="2"/>
  <c r="AC80" i="2"/>
  <c r="AD80" i="2"/>
  <c r="AD64" i="2"/>
  <c r="AD79" i="2" s="1"/>
  <c r="AD87" i="2"/>
  <c r="AD89" i="2" s="1"/>
  <c r="AD76" i="2"/>
  <c r="AD77" i="2"/>
  <c r="AD78" i="2"/>
  <c r="AC76" i="2"/>
  <c r="AC78" i="2"/>
  <c r="AC77" i="2"/>
  <c r="O44" i="2"/>
  <c r="AC64" i="2"/>
  <c r="AC79" i="2" s="1"/>
  <c r="AC87" i="2"/>
  <c r="AC89" i="2" s="1"/>
  <c r="K89" i="2"/>
  <c r="R44" i="2"/>
  <c r="AB34" i="2"/>
  <c r="AB46" i="2" s="1"/>
  <c r="AD34" i="2"/>
  <c r="AD46" i="2" s="1"/>
  <c r="AA47" i="2"/>
  <c r="AD47" i="2"/>
  <c r="AB48" i="2"/>
  <c r="AD72" i="2"/>
  <c r="AB47" i="2"/>
  <c r="AA48" i="2"/>
  <c r="AC48" i="2"/>
  <c r="AC47" i="2"/>
  <c r="R50" i="2"/>
  <c r="R51" i="2"/>
  <c r="AA34" i="2"/>
  <c r="AA46" i="2" s="1"/>
  <c r="G46" i="2"/>
  <c r="O46" i="2"/>
  <c r="O50" i="2"/>
  <c r="O51" i="2"/>
  <c r="AC34" i="2"/>
  <c r="AC46" i="2" s="1"/>
  <c r="T201" i="3"/>
  <c r="V273" i="3" s="1"/>
  <c r="T203" i="3"/>
  <c r="V298" i="3" s="1"/>
  <c r="T205" i="3"/>
  <c r="T199" i="3"/>
  <c r="T200" i="3"/>
  <c r="G42" i="2" l="1"/>
  <c r="G50" i="2"/>
  <c r="Q49" i="2"/>
  <c r="Q40" i="2"/>
  <c r="P40" i="2"/>
  <c r="P49" i="2"/>
  <c r="N40" i="2"/>
  <c r="N49" i="2"/>
  <c r="M49" i="2"/>
  <c r="M40" i="2"/>
  <c r="L40" i="2"/>
  <c r="L49" i="2"/>
  <c r="AC38" i="2"/>
  <c r="AC49" i="2" s="1"/>
  <c r="K49" i="2"/>
  <c r="K40" i="2"/>
  <c r="J40" i="2"/>
  <c r="J49" i="2"/>
  <c r="I40" i="2"/>
  <c r="I49" i="2"/>
  <c r="H40" i="2"/>
  <c r="H49" i="2"/>
  <c r="F40" i="2"/>
  <c r="F49" i="2"/>
  <c r="E40" i="2"/>
  <c r="E49" i="2"/>
  <c r="D49" i="2"/>
  <c r="D40" i="2"/>
  <c r="C40" i="2"/>
  <c r="C49" i="2"/>
  <c r="AA38" i="2"/>
  <c r="AA49" i="2" s="1"/>
  <c r="S49" i="2"/>
  <c r="S40" i="2"/>
  <c r="AA89" i="2"/>
  <c r="V300" i="3"/>
  <c r="V288" i="3"/>
  <c r="V271" i="3"/>
  <c r="V292" i="3"/>
  <c r="V286" i="3"/>
  <c r="V240" i="3"/>
  <c r="V234" i="3"/>
  <c r="V259" i="3"/>
  <c r="V253" i="3"/>
  <c r="V302" i="3"/>
  <c r="V296" i="3"/>
  <c r="V267" i="3"/>
  <c r="V261" i="3"/>
  <c r="V255" i="3"/>
  <c r="V304" i="3"/>
  <c r="V306" i="3"/>
  <c r="V220" i="3"/>
  <c r="V269" i="3"/>
  <c r="V263" i="3"/>
  <c r="V225" i="3"/>
  <c r="V251" i="3"/>
  <c r="V294" i="3"/>
  <c r="V228" i="3"/>
  <c r="V222" i="3"/>
  <c r="V257" i="3"/>
  <c r="V236" i="3"/>
  <c r="V230" i="3"/>
  <c r="V224" i="3"/>
  <c r="V226" i="3"/>
  <c r="V284" i="3"/>
  <c r="V238" i="3"/>
  <c r="V232" i="3"/>
  <c r="V290" i="3"/>
  <c r="V289" i="3"/>
  <c r="V275" i="3"/>
  <c r="V213" i="3"/>
  <c r="V215" i="3"/>
  <c r="V248" i="3"/>
  <c r="V233" i="3"/>
  <c r="V281" i="3"/>
  <c r="V283" i="3"/>
  <c r="V221" i="3"/>
  <c r="V254" i="3"/>
  <c r="V256" i="3"/>
  <c r="V265" i="3"/>
  <c r="V227" i="3"/>
  <c r="V229" i="3"/>
  <c r="V231" i="3"/>
  <c r="V264" i="3"/>
  <c r="V297" i="3"/>
  <c r="V235" i="3"/>
  <c r="V299" i="3"/>
  <c r="V268" i="3"/>
  <c r="V237" i="3"/>
  <c r="V301" i="3"/>
  <c r="V270" i="3"/>
  <c r="V239" i="3"/>
  <c r="V303" i="3"/>
  <c r="V272" i="3"/>
  <c r="V250" i="3"/>
  <c r="V242" i="3"/>
  <c r="V210" i="3"/>
  <c r="V258" i="3"/>
  <c r="V211" i="3"/>
  <c r="V244" i="3"/>
  <c r="V277" i="3"/>
  <c r="V246" i="3"/>
  <c r="V279" i="3"/>
  <c r="V217" i="3"/>
  <c r="V241" i="3"/>
  <c r="V219" i="3"/>
  <c r="V252" i="3"/>
  <c r="V285" i="3"/>
  <c r="V223" i="3"/>
  <c r="V287" i="3"/>
  <c r="V249" i="3"/>
  <c r="V305" i="3"/>
  <c r="V291" i="3"/>
  <c r="V260" i="3"/>
  <c r="V293" i="3"/>
  <c r="V262" i="3"/>
  <c r="V295" i="3"/>
  <c r="V218" i="3"/>
  <c r="V243" i="3"/>
  <c r="V212" i="3"/>
  <c r="V276" i="3"/>
  <c r="V245" i="3"/>
  <c r="V214" i="3"/>
  <c r="V278" i="3"/>
  <c r="V247" i="3"/>
  <c r="V216" i="3"/>
  <c r="V280" i="3"/>
  <c r="V282" i="3"/>
  <c r="V274" i="3"/>
  <c r="V266" i="3"/>
  <c r="G84" i="2" l="1"/>
  <c r="G51" i="2"/>
  <c r="G44" i="2"/>
  <c r="Q50" i="2"/>
  <c r="Q42" i="2"/>
  <c r="AD40" i="2"/>
  <c r="AD50" i="2" s="1"/>
  <c r="P50" i="2"/>
  <c r="P42" i="2"/>
  <c r="N50" i="2"/>
  <c r="N42" i="2"/>
  <c r="M50" i="2"/>
  <c r="M42" i="2"/>
  <c r="L42" i="2"/>
  <c r="L50" i="2"/>
  <c r="K50" i="2"/>
  <c r="AC40" i="2"/>
  <c r="AC50" i="2" s="1"/>
  <c r="K42" i="2"/>
  <c r="J50" i="2"/>
  <c r="J42" i="2"/>
  <c r="I50" i="2"/>
  <c r="I42" i="2"/>
  <c r="AB40" i="2"/>
  <c r="AB50" i="2" s="1"/>
  <c r="H50" i="2"/>
  <c r="H42" i="2"/>
  <c r="F50" i="2"/>
  <c r="F42" i="2"/>
  <c r="E50" i="2"/>
  <c r="E42" i="2"/>
  <c r="D50" i="2"/>
  <c r="D42" i="2"/>
  <c r="C50" i="2"/>
  <c r="AA40" i="2"/>
  <c r="AA50" i="2" s="1"/>
  <c r="C42" i="2"/>
  <c r="S50" i="2"/>
  <c r="S42" i="2"/>
  <c r="AN59" i="2"/>
  <c r="AN65" i="2"/>
  <c r="AN63" i="2"/>
  <c r="AD18" i="2"/>
  <c r="AC18" i="2"/>
  <c r="AD17" i="2"/>
  <c r="AC17" i="2"/>
  <c r="AD16" i="2"/>
  <c r="AC16" i="2"/>
  <c r="AD15" i="2"/>
  <c r="AC15" i="2"/>
  <c r="AE5" i="2"/>
  <c r="AF5" i="2" s="1"/>
  <c r="AG5" i="2" s="1"/>
  <c r="AH5" i="2" s="1"/>
  <c r="AI5" i="2" s="1"/>
  <c r="AJ5" i="2" s="1"/>
  <c r="AK5" i="2" s="1"/>
  <c r="AL5" i="2" s="1"/>
  <c r="AM5" i="2" s="1"/>
  <c r="AN5" i="2" s="1"/>
  <c r="AE4" i="2"/>
  <c r="AB3" i="2"/>
  <c r="AC3" i="2" s="1"/>
  <c r="AD3" i="2" s="1"/>
  <c r="AE3" i="2" s="1"/>
  <c r="AF3" i="2" s="1"/>
  <c r="AG3" i="2" s="1"/>
  <c r="AH3" i="2" s="1"/>
  <c r="AI3" i="2" s="1"/>
  <c r="AJ3" i="2" s="1"/>
  <c r="AK3" i="2" s="1"/>
  <c r="AL3" i="2" s="1"/>
  <c r="AM3" i="2" s="1"/>
  <c r="AN3" i="2" s="1"/>
  <c r="AO3" i="2" s="1"/>
  <c r="AP3" i="2" s="1"/>
  <c r="AQ3" i="2" s="1"/>
  <c r="AR3" i="2" s="1"/>
  <c r="AS3" i="2" s="1"/>
  <c r="AT3" i="2" s="1"/>
  <c r="AU3" i="2" s="1"/>
  <c r="AV3" i="2" s="1"/>
  <c r="AW3" i="2" s="1"/>
  <c r="AX3" i="2" s="1"/>
  <c r="AY3" i="2" s="1"/>
  <c r="AZ3" i="2" s="1"/>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T204" i="3"/>
  <c r="C5" i="1"/>
  <c r="C8" i="1" s="1"/>
  <c r="Q44" i="2" l="1"/>
  <c r="Q51" i="2"/>
  <c r="Q84" i="2"/>
  <c r="P51" i="2"/>
  <c r="AD42" i="2"/>
  <c r="P44" i="2"/>
  <c r="P84" i="2"/>
  <c r="N44" i="2"/>
  <c r="N51" i="2"/>
  <c r="N84" i="2"/>
  <c r="M84" i="2"/>
  <c r="M51" i="2"/>
  <c r="M44" i="2"/>
  <c r="L44" i="2"/>
  <c r="L51" i="2"/>
  <c r="L84" i="2"/>
  <c r="AC42" i="2"/>
  <c r="K51" i="2"/>
  <c r="K84" i="2"/>
  <c r="K44" i="2"/>
  <c r="J51" i="2"/>
  <c r="J84" i="2"/>
  <c r="J44" i="2"/>
  <c r="I51" i="2"/>
  <c r="I84" i="2"/>
  <c r="I44" i="2"/>
  <c r="AB42" i="2"/>
  <c r="H51" i="2"/>
  <c r="H84" i="2"/>
  <c r="AB84" i="2" s="1"/>
  <c r="H44" i="2"/>
  <c r="F84" i="2"/>
  <c r="F51" i="2"/>
  <c r="F44" i="2"/>
  <c r="E84" i="2"/>
  <c r="E51" i="2"/>
  <c r="E44" i="2"/>
  <c r="D84" i="2"/>
  <c r="D51" i="2"/>
  <c r="D44" i="2"/>
  <c r="C51" i="2"/>
  <c r="AA42" i="2"/>
  <c r="C84" i="2"/>
  <c r="AA84" i="2" s="1"/>
  <c r="C44" i="2"/>
  <c r="S51" i="2"/>
  <c r="S84" i="2"/>
  <c r="S44" i="2"/>
  <c r="AC19" i="2"/>
  <c r="AD24" i="2"/>
  <c r="AD19" i="2"/>
  <c r="AC29" i="2" s="1"/>
  <c r="AD21" i="2"/>
  <c r="AD23" i="2"/>
  <c r="AD22" i="2"/>
  <c r="AF4" i="2"/>
  <c r="AE6" i="2"/>
  <c r="AE32" i="2" s="1"/>
  <c r="AE36" i="2" s="1"/>
  <c r="AK57" i="2"/>
  <c r="AN60" i="2"/>
  <c r="Y221" i="3"/>
  <c r="AD51" i="2" l="1"/>
  <c r="AD82" i="2"/>
  <c r="AD44" i="2"/>
  <c r="AD81" i="2"/>
  <c r="AD84" i="2"/>
  <c r="AC51" i="2"/>
  <c r="AC44" i="2"/>
  <c r="AC81" i="2"/>
  <c r="AC82" i="2"/>
  <c r="AC84" i="2"/>
  <c r="AB51" i="2"/>
  <c r="AB44" i="2"/>
  <c r="AA44" i="2"/>
  <c r="AA51" i="2"/>
  <c r="AD29" i="2"/>
  <c r="AC28" i="2"/>
  <c r="AC30" i="2"/>
  <c r="AC27" i="2"/>
  <c r="AD30" i="2"/>
  <c r="AD27" i="2"/>
  <c r="AD28" i="2"/>
  <c r="AG4" i="2"/>
  <c r="AF6" i="2"/>
  <c r="AF32" i="2" s="1"/>
  <c r="Y211" i="3"/>
  <c r="Y210" i="3"/>
  <c r="Y213" i="3"/>
  <c r="Y220" i="3"/>
  <c r="Y212" i="3"/>
  <c r="Y223" i="3"/>
  <c r="Y219" i="3"/>
  <c r="Y215" i="3"/>
  <c r="Y218" i="3"/>
  <c r="Y222" i="3"/>
  <c r="Y217" i="3"/>
  <c r="Y214" i="3"/>
  <c r="Y216" i="3"/>
  <c r="AF36" i="2" l="1"/>
  <c r="AF35" i="2"/>
  <c r="AH4" i="2"/>
  <c r="AG6" i="2"/>
  <c r="AG10" i="2" l="1"/>
  <c r="AG32" i="2"/>
  <c r="AE35" i="2"/>
  <c r="AE33" i="2"/>
  <c r="AE34" i="2" s="1"/>
  <c r="AI4" i="2"/>
  <c r="AH6" i="2"/>
  <c r="AG36" i="2" l="1"/>
  <c r="AG35" i="2"/>
  <c r="AH10" i="2"/>
  <c r="AH32" i="2"/>
  <c r="AE38" i="2"/>
  <c r="AE40" i="2" s="1"/>
  <c r="AE41" i="2" s="1"/>
  <c r="AE42" i="2" s="1"/>
  <c r="AF33" i="2"/>
  <c r="AF34" i="2" s="1"/>
  <c r="AF38" i="2" s="1"/>
  <c r="AF49" i="2" s="1"/>
  <c r="AJ4" i="2"/>
  <c r="AI6" i="2"/>
  <c r="AI10" i="2" l="1"/>
  <c r="AI32" i="2"/>
  <c r="AH36" i="2"/>
  <c r="AH35" i="2"/>
  <c r="AF57" i="2"/>
  <c r="AF58" i="2" s="1"/>
  <c r="AE49" i="2"/>
  <c r="AE53" i="2"/>
  <c r="AE51" i="2"/>
  <c r="AG33" i="2"/>
  <c r="AG34" i="2" s="1"/>
  <c r="AG38" i="2" s="1"/>
  <c r="AG49" i="2" s="1"/>
  <c r="AK4" i="2"/>
  <c r="AJ6" i="2"/>
  <c r="AF10" i="2"/>
  <c r="AE10" i="2"/>
  <c r="AF39" i="2" l="1"/>
  <c r="AF40" i="2" s="1"/>
  <c r="AF41" i="2" s="1"/>
  <c r="AF42" i="2" s="1"/>
  <c r="AI35" i="2"/>
  <c r="AI36" i="2"/>
  <c r="AJ10" i="2"/>
  <c r="AJ32" i="2"/>
  <c r="AH33" i="2"/>
  <c r="AH34" i="2" s="1"/>
  <c r="AH38" i="2" s="1"/>
  <c r="AH49" i="2" s="1"/>
  <c r="AL4" i="2"/>
  <c r="AK6" i="2"/>
  <c r="AF53" i="2" l="1"/>
  <c r="AG39" i="2" s="1"/>
  <c r="AG40" i="2" s="1"/>
  <c r="AG41" i="2" s="1"/>
  <c r="AG42" i="2" s="1"/>
  <c r="AG53" i="2" s="1"/>
  <c r="AF51" i="2"/>
  <c r="AJ36" i="2"/>
  <c r="AJ35" i="2"/>
  <c r="AK10" i="2"/>
  <c r="AK32" i="2"/>
  <c r="AI33" i="2"/>
  <c r="AI34" i="2" s="1"/>
  <c r="AI38" i="2" s="1"/>
  <c r="AI49" i="2" s="1"/>
  <c r="AM4" i="2"/>
  <c r="AL6" i="2"/>
  <c r="AH39" i="2" l="1"/>
  <c r="AH40" i="2" s="1"/>
  <c r="AH41" i="2" s="1"/>
  <c r="AH42" i="2" s="1"/>
  <c r="AL10" i="2"/>
  <c r="AL32" i="2"/>
  <c r="AK35" i="2"/>
  <c r="AK36" i="2"/>
  <c r="AG51" i="2"/>
  <c r="AJ33" i="2"/>
  <c r="AJ34" i="2" s="1"/>
  <c r="AJ38" i="2" s="1"/>
  <c r="AJ49" i="2" s="1"/>
  <c r="AN4" i="2"/>
  <c r="AN6" i="2" s="1"/>
  <c r="AN32" i="2" s="1"/>
  <c r="AM6" i="2"/>
  <c r="AH53" i="2" l="1"/>
  <c r="AI39" i="2" s="1"/>
  <c r="AI40" i="2" s="1"/>
  <c r="AI41" i="2" s="1"/>
  <c r="AI42" i="2" s="1"/>
  <c r="AI53" i="2" s="1"/>
  <c r="AH51" i="2"/>
  <c r="AM10" i="2"/>
  <c r="AM32" i="2"/>
  <c r="AL35" i="2"/>
  <c r="AL36" i="2"/>
  <c r="AN36" i="2"/>
  <c r="AN35" i="2"/>
  <c r="AK33" i="2"/>
  <c r="AK34" i="2" s="1"/>
  <c r="AK38" i="2" s="1"/>
  <c r="AK49" i="2" s="1"/>
  <c r="AN10" i="2"/>
  <c r="AJ39" i="2" l="1"/>
  <c r="AJ40" i="2" s="1"/>
  <c r="AJ41" i="2" s="1"/>
  <c r="AJ42" i="2" s="1"/>
  <c r="AM36" i="2"/>
  <c r="AM35" i="2"/>
  <c r="AI51" i="2"/>
  <c r="AL33" i="2"/>
  <c r="AL34" i="2" s="1"/>
  <c r="AL38" i="2" s="1"/>
  <c r="AL49" i="2" s="1"/>
  <c r="AJ53" i="2" l="1"/>
  <c r="AJ51" i="2"/>
  <c r="AN33" i="2"/>
  <c r="AN34" i="2" s="1"/>
  <c r="AN38" i="2" s="1"/>
  <c r="AN49" i="2" s="1"/>
  <c r="AM33" i="2"/>
  <c r="AM34" i="2" s="1"/>
  <c r="AM38" i="2" s="1"/>
  <c r="AM49" i="2" s="1"/>
  <c r="AK39" i="2" l="1"/>
  <c r="AK40" i="2" s="1"/>
  <c r="AK41" i="2" s="1"/>
  <c r="AK42" i="2" s="1"/>
  <c r="AK51" i="2" s="1"/>
  <c r="AK53" i="2" l="1"/>
  <c r="AL39" i="2" l="1"/>
  <c r="AL40" i="2" s="1"/>
  <c r="AL41" i="2" s="1"/>
  <c r="AL42" i="2" s="1"/>
  <c r="AL51" i="2" s="1"/>
  <c r="AL53" i="2" l="1"/>
  <c r="AM39" i="2" l="1"/>
  <c r="AM40" i="2" s="1"/>
  <c r="AM41" i="2" s="1"/>
  <c r="AM42" i="2" s="1"/>
  <c r="AM51" i="2" s="1"/>
  <c r="AM53" i="2" l="1"/>
  <c r="AN39" i="2" s="1"/>
  <c r="AN40" i="2" s="1"/>
  <c r="AN41" i="2" s="1"/>
  <c r="AN42" i="2" s="1"/>
  <c r="AN53" i="2" l="1"/>
  <c r="AO42" i="2"/>
  <c r="AP42" i="2" s="1"/>
  <c r="AQ42" i="2" s="1"/>
  <c r="AR42" i="2" s="1"/>
  <c r="AS42" i="2" s="1"/>
  <c r="AT42" i="2" s="1"/>
  <c r="AU42" i="2" s="1"/>
  <c r="AV42" i="2" s="1"/>
  <c r="AW42" i="2" s="1"/>
  <c r="AX42" i="2" s="1"/>
  <c r="AY42" i="2" s="1"/>
  <c r="AZ42" i="2" s="1"/>
  <c r="BA42" i="2" s="1"/>
  <c r="BB42" i="2" s="1"/>
  <c r="BC42" i="2" s="1"/>
  <c r="BD42" i="2" s="1"/>
  <c r="BE42" i="2" s="1"/>
  <c r="BF42" i="2" s="1"/>
  <c r="BG42" i="2" s="1"/>
  <c r="BH42" i="2" s="1"/>
  <c r="BI42" i="2" s="1"/>
  <c r="BJ42" i="2" s="1"/>
  <c r="BK42" i="2" s="1"/>
  <c r="BL42" i="2" s="1"/>
  <c r="BM42" i="2" s="1"/>
  <c r="BN42" i="2" s="1"/>
  <c r="BO42" i="2" s="1"/>
  <c r="BP42" i="2" s="1"/>
  <c r="BQ42" i="2" s="1"/>
  <c r="BR42" i="2" s="1"/>
  <c r="BS42" i="2" s="1"/>
  <c r="BT42" i="2" s="1"/>
  <c r="BU42" i="2" s="1"/>
  <c r="BV42" i="2" s="1"/>
  <c r="BW42" i="2" s="1"/>
  <c r="BX42" i="2" s="1"/>
  <c r="BY42" i="2" s="1"/>
  <c r="BZ42" i="2" s="1"/>
  <c r="CA42" i="2" s="1"/>
  <c r="CB42" i="2" s="1"/>
  <c r="CC42" i="2" s="1"/>
  <c r="CD42" i="2" s="1"/>
  <c r="CE42" i="2" s="1"/>
  <c r="CF42" i="2" s="1"/>
  <c r="CG42" i="2" s="1"/>
  <c r="CH42" i="2" s="1"/>
  <c r="CI42" i="2" s="1"/>
  <c r="CJ42" i="2" s="1"/>
  <c r="CK42" i="2" s="1"/>
  <c r="CL42" i="2" s="1"/>
  <c r="AN62" i="2" s="1"/>
  <c r="AN64" i="2" s="1"/>
  <c r="AN51" i="2"/>
  <c r="AN66" i="2" l="1"/>
  <c r="AO66" i="2"/>
  <c r="AM67" i="2" a="1"/>
  <c r="AM6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<sst xmlns="http://schemas.openxmlformats.org/spreadsheetml/2006/main" count="1800" uniqueCount="990">
  <si>
    <t xml:space="preserve">Price </t>
  </si>
  <si>
    <t>SO</t>
  </si>
  <si>
    <t>MC</t>
  </si>
  <si>
    <t>Cash</t>
  </si>
  <si>
    <t>Debt</t>
  </si>
  <si>
    <t>EV</t>
  </si>
  <si>
    <t>Registered Exchange:</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</si>
  <si>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</si>
  <si>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</si>
  <si>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</si>
  <si>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</si>
  <si>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</si>
  <si>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</si>
  <si>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</si>
  <si>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</si>
  <si>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</si>
  <si>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</si>
  <si>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</si>
  <si>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</si>
  <si>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</si>
  <si>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</si>
  <si>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</si>
  <si>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</si>
  <si>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</si>
  <si>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</si>
  <si>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</si>
  <si>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</si>
  <si>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</si>
  <si>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</si>
  <si>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</si>
  <si>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</si>
  <si>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</si>
  <si>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</si>
  <si>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</si>
  <si>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</si>
  <si>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</si>
  <si>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</si>
  <si>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</si>
  <si>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</si>
  <si>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</si>
  <si>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</si>
  <si>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</si>
  <si>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</si>
  <si>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</si>
  <si>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</si>
  <si>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</si>
  <si>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</si>
  <si>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</si>
  <si>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</si>
  <si>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</si>
  <si>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</si>
  <si>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</si>
  <si>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</si>
  <si>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</si>
  <si>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</si>
  <si>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</si>
  <si>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</si>
  <si>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</si>
  <si>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</si>
  <si>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</si>
  <si>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</si>
  <si>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</si>
  <si>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</si>
  <si>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</si>
  <si>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</si>
  <si>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</si>
  <si>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</si>
  <si>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</si>
  <si>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 of Revenues</t>
  </si>
  <si>
    <t>U.S. Revenue Growth Y/y</t>
  </si>
  <si>
    <t>COGS</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</si>
  <si>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</si>
  <si>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</si>
  <si>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</si>
  <si>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</si>
  <si>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</si>
  <si>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</si>
  <si>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</si>
  <si>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</si>
  <si>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</si>
  <si>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</si>
  <si>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</si>
  <si>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</si>
  <si>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</si>
  <si>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</si>
  <si>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</si>
  <si>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</si>
  <si>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</si>
  <si>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</si>
  <si>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</si>
  <si>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</si>
  <si>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</si>
  <si>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</si>
  <si>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</si>
  <si>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</si>
  <si>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</si>
  <si>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</si>
  <si>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</si>
  <si>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</si>
  <si>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</si>
  <si>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</si>
  <si>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</si>
  <si>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</si>
  <si>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</si>
  <si>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</si>
  <si>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</si>
  <si>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</si>
  <si>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</si>
  <si>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</si>
  <si>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</si>
  <si>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</si>
  <si>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Business Segments and Geographical Info:</t>
  </si>
  <si>
    <t>Employee Scope:</t>
  </si>
  <si>
    <t>Resources:</t>
  </si>
  <si>
    <t>Y/y Total Revenues, Net Income, FCF</t>
  </si>
  <si>
    <t>Q/q Total Revenues, Net Income, FCF</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</si>
  <si>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</si>
  <si>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</si>
  <si>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</si>
  <si>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</si>
  <si>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</si>
  <si>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</si>
  <si>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</si>
  <si>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</si>
  <si>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</si>
  <si>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</si>
  <si>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</si>
  <si>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</si>
  <si>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</si>
  <si>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</si>
  <si>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</si>
  <si>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</si>
  <si>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</si>
  <si>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</si>
  <si>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</si>
  <si>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</si>
  <si>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VOO Historical Returns</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</si>
  <si>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</si>
  <si>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</si>
  <si>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</si>
  <si>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</si>
  <si>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</si>
  <si>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</si>
  <si>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</si>
  <si>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</si>
  <si>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</si>
  <si>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</si>
  <si>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</si>
  <si>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</si>
  <si>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</si>
  <si>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</si>
  <si>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</si>
  <si>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</si>
  <si>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</si>
  <si>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</si>
  <si>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</si>
  <si>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</si>
  <si>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</si>
  <si>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</si>
  <si>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</si>
  <si>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</si>
  <si>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</si>
  <si>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</si>
  <si>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</si>
  <si>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</si>
  <si>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</si>
  <si>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</si>
  <si>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</si>
  <si>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</si>
  <si>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</si>
  <si>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</si>
  <si>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</si>
  <si>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</si>
  <si>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</si>
  <si>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</si>
  <si>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</si>
  <si>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</si>
  <si>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</si>
  <si>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</si>
  <si>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</si>
  <si>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</si>
  <si>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</si>
  <si>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</si>
  <si>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</si>
  <si>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</si>
  <si>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</si>
  <si>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</si>
  <si>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</si>
  <si>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</si>
  <si>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</si>
  <si>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</si>
  <si>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</si>
  <si>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</si>
  <si>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</si>
  <si>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</si>
  <si>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</si>
  <si>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</si>
  <si>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</si>
  <si>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</si>
  <si>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</si>
  <si>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</si>
  <si>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</si>
  <si>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</si>
  <si>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</si>
  <si>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</si>
  <si>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</si>
  <si>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</si>
  <si>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</si>
  <si>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</si>
  <si>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</si>
  <si>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</si>
  <si>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</si>
  <si>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</si>
  <si>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</si>
  <si>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</si>
  <si>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</si>
  <si>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</si>
  <si>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</si>
  <si>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</si>
  <si>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</si>
  <si>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</si>
  <si>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</si>
  <si>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</si>
  <si>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</si>
  <si>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</si>
  <si>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</si>
  <si>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</si>
  <si>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</si>
  <si>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</si>
  <si>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</si>
  <si>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</si>
  <si>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</si>
  <si>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</si>
  <si>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</si>
  <si>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</si>
  <si>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</si>
  <si>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</si>
  <si>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</si>
  <si>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</si>
  <si>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</si>
  <si>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</si>
  <si>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</si>
  <si>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</si>
  <si>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</si>
  <si>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</si>
  <si>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</si>
  <si>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</si>
  <si>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</si>
  <si>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</si>
  <si>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</si>
  <si>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</si>
  <si>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</si>
  <si>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</si>
  <si>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</si>
  <si>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</si>
  <si>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</si>
  <si>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</si>
  <si>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</si>
  <si>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</si>
  <si>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</si>
  <si>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</si>
  <si>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</si>
  <si>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</si>
  <si>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</si>
  <si>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</si>
  <si>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</si>
  <si>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</si>
  <si>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</si>
  <si>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</si>
  <si>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</si>
  <si>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</si>
  <si>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</si>
  <si>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</si>
  <si>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</si>
  <si>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</si>
  <si>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</si>
  <si>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</si>
  <si>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</si>
  <si>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</si>
  <si>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</si>
  <si>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</si>
  <si>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</si>
  <si>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</si>
  <si>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</si>
  <si>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</si>
  <si>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</si>
  <si>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</si>
  <si>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</si>
  <si>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</si>
  <si>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</si>
  <si>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</si>
  <si>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</si>
  <si>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</si>
  <si>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</si>
  <si>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</si>
  <si>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</si>
  <si>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</si>
  <si>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</si>
  <si>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</si>
  <si>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</si>
  <si>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</si>
  <si>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</si>
  <si>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</si>
  <si>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</si>
  <si>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</si>
  <si>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</si>
  <si>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</si>
  <si>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</si>
  <si>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</si>
  <si>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</si>
  <si>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</si>
  <si>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</si>
  <si>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</si>
  <si>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</si>
  <si>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</si>
  <si>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</si>
  <si>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</si>
  <si>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</si>
  <si>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</si>
  <si>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</si>
  <si>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</si>
  <si>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</si>
  <si>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</si>
  <si>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</si>
  <si>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</si>
  <si>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</si>
  <si>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</si>
  <si>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</si>
  <si>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</si>
  <si>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</si>
  <si>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</si>
  <si>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</si>
  <si>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</si>
  <si>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</si>
  <si>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</si>
  <si>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</si>
  <si>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</si>
  <si>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</si>
  <si>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</si>
  <si>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</si>
  <si>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</si>
  <si>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</si>
  <si>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</si>
  <si>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</si>
  <si>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</si>
  <si>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</si>
  <si>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</si>
  <si>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</si>
  <si>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</si>
  <si>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</si>
  <si>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</si>
  <si>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</si>
  <si>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</si>
  <si>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</si>
  <si>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</si>
  <si>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</si>
  <si>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</si>
  <si>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</si>
  <si>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</si>
  <si>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</si>
  <si>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</si>
  <si>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</si>
  <si>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</si>
  <si>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</si>
  <si>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</si>
  <si>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</si>
  <si>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</si>
  <si>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</si>
  <si>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</si>
  <si>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</si>
  <si>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</si>
  <si>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</si>
  <si>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</si>
  <si>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</si>
  <si>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</si>
  <si>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</si>
  <si>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</si>
  <si>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</si>
  <si>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</si>
  <si>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</si>
  <si>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</si>
  <si>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</si>
  <si>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</si>
  <si>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</si>
  <si>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</si>
  <si>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</si>
  <si>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</si>
  <si>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</si>
  <si>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</si>
  <si>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</si>
  <si>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</si>
  <si>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</si>
  <si>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</si>
  <si>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</si>
  <si>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</si>
  <si>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</si>
  <si>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</si>
  <si>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</si>
  <si>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</si>
  <si>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</si>
  <si>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</si>
  <si>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</si>
  <si>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</si>
  <si>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</si>
  <si>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</si>
  <si>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</si>
  <si>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</si>
  <si>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</si>
  <si>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</si>
  <si>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</si>
  <si>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</si>
  <si>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</si>
  <si>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</si>
  <si>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</si>
  <si>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</si>
  <si>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</si>
  <si>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</si>
  <si>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</si>
  <si>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</si>
  <si>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</si>
  <si>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</si>
  <si>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</si>
  <si>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</si>
  <si>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</si>
  <si>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</si>
  <si>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</si>
  <si>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</si>
  <si>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</si>
  <si>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</si>
  <si>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</si>
  <si>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</si>
  <si>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</si>
  <si>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</si>
  <si>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</si>
  <si>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</si>
  <si>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</si>
  <si>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</si>
  <si>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</si>
  <si>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</si>
  <si>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</si>
  <si>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</si>
  <si>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</si>
  <si>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</si>
  <si>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</si>
  <si>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</si>
  <si>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</si>
  <si>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</si>
  <si>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</si>
  <si>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</si>
  <si>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</si>
  <si>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</si>
  <si>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</si>
  <si>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</si>
  <si>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</si>
  <si>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</si>
  <si>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</si>
  <si>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</si>
  <si>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</si>
  <si>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</si>
  <si>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</si>
  <si>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</si>
  <si>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</si>
  <si>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</si>
  <si>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</si>
  <si>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</si>
  <si>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</si>
  <si>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</si>
  <si>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</si>
  <si>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</si>
  <si>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</si>
  <si>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</si>
  <si>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</si>
  <si>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</si>
  <si>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</si>
  <si>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</si>
  <si>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</si>
  <si>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</si>
  <si>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</si>
  <si>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</si>
  <si>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</si>
  <si>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</si>
  <si>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</si>
  <si>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</si>
  <si>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</si>
  <si>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</si>
  <si>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</si>
  <si>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</si>
  <si>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</si>
  <si>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</si>
  <si>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</si>
  <si>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</si>
  <si>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</si>
  <si>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</si>
  <si>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</si>
  <si>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</si>
  <si>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</si>
  <si>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</si>
  <si>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</si>
  <si>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</si>
  <si>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</si>
  <si>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</si>
  <si>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</si>
  <si>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</si>
  <si>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</si>
  <si>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</si>
  <si>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</si>
  <si>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</si>
  <si>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</si>
  <si>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</si>
  <si>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</si>
  <si>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</si>
  <si>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</si>
  <si>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</si>
  <si>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</si>
  <si>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</si>
  <si>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</si>
  <si>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</si>
  <si>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</si>
  <si>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</si>
  <si>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</si>
  <si>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</si>
  <si>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</si>
  <si>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</si>
  <si>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</si>
  <si>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</si>
  <si>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</si>
  <si>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</si>
  <si>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</si>
  <si>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</si>
  <si>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</si>
  <si>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</si>
  <si>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</si>
  <si>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</si>
  <si>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</si>
  <si>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</si>
  <si>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</si>
  <si>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</si>
  <si>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</si>
  <si>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</si>
  <si>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</si>
  <si>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</si>
  <si>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</si>
  <si>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</si>
  <si>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</si>
  <si>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</si>
  <si>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</si>
  <si>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</si>
  <si>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</si>
  <si>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</si>
  <si>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</si>
  <si>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</si>
  <si>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</si>
  <si>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</si>
  <si>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</si>
  <si>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</si>
  <si>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</si>
  <si>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</si>
  <si>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</si>
  <si>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</si>
  <si>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</si>
  <si>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</si>
  <si>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</si>
  <si>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</si>
  <si>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</si>
  <si>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</si>
  <si>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</si>
  <si>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</si>
  <si>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</si>
  <si>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</si>
  <si>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</si>
  <si>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</si>
  <si>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</si>
  <si>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</si>
  <si>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</si>
  <si>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</si>
  <si>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</si>
  <si>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</si>
  <si>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</si>
  <si>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</si>
  <si>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</si>
  <si>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</si>
  <si>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</si>
  <si>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</si>
  <si>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</si>
  <si>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</si>
  <si>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</si>
  <si>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</si>
  <si>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</si>
  <si>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</si>
  <si>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</si>
  <si>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</si>
  <si>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</si>
  <si>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</si>
  <si>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</si>
  <si>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</si>
  <si>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</si>
  <si>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</si>
  <si>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</si>
  <si>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</si>
  <si>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</si>
  <si>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</si>
  <si>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</si>
  <si>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</si>
  <si>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</si>
  <si>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</si>
  <si>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</si>
  <si>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</si>
  <si>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</si>
  <si>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</si>
  <si>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</si>
  <si>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</si>
  <si>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</si>
  <si>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</si>
  <si>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</si>
  <si>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</si>
  <si>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</si>
  <si>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</si>
  <si>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</si>
  <si>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</si>
  <si>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</si>
  <si>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</si>
  <si>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</si>
  <si>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</si>
  <si>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</si>
  <si>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</si>
  <si>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</si>
  <si>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</si>
  <si>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</si>
  <si>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</si>
  <si>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</si>
  <si>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</si>
  <si>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</si>
  <si>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</si>
  <si>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</si>
  <si>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</si>
  <si>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</si>
  <si>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</si>
  <si>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</si>
  <si>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</si>
  <si>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</si>
  <si>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</si>
  <si>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</si>
  <si>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</si>
  <si>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</si>
  <si>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</si>
  <si>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</si>
  <si>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</si>
  <si>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</si>
  <si>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</si>
  <si>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</si>
  <si>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</si>
  <si>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</si>
  <si>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</si>
  <si>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</si>
  <si>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</si>
  <si>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</si>
  <si>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</si>
  <si>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</si>
  <si>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</si>
  <si>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</si>
  <si>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</si>
  <si>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</si>
  <si>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</si>
  <si>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</si>
  <si>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</si>
  <si>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</si>
  <si>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</si>
  <si>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</si>
  <si>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</si>
  <si>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</si>
  <si>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</si>
  <si>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</si>
  <si>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</si>
  <si>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</si>
  <si>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</si>
  <si>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</si>
  <si>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</si>
  <si>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</si>
  <si>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</si>
  <si>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</si>
  <si>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</si>
  <si>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</si>
  <si>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</si>
  <si>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</si>
  <si>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</si>
  <si>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</si>
  <si>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</si>
  <si>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</si>
  <si>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</si>
  <si>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</si>
  <si>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</si>
  <si>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</si>
  <si>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</si>
  <si>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</si>
  <si>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</si>
  <si>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</si>
  <si>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</si>
  <si>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</si>
  <si>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</si>
  <si>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</si>
  <si>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</si>
  <si>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</si>
  <si>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</si>
  <si>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</si>
  <si>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</si>
  <si>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</si>
  <si>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</si>
  <si>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</si>
  <si>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</si>
  <si>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</si>
  <si>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</si>
  <si>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</si>
  <si>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</si>
  <si>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</si>
  <si>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</si>
  <si>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</si>
  <si>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</si>
  <si>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</si>
  <si>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</si>
  <si>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</si>
  <si>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</si>
  <si>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</si>
  <si>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</si>
  <si>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</si>
  <si>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</si>
  <si>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</si>
  <si>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</si>
  <si>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</si>
  <si>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</si>
  <si>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</si>
  <si>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</si>
  <si>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</si>
  <si>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</si>
  <si>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</si>
  <si>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</si>
  <si>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</si>
  <si>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</si>
  <si>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</si>
  <si>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</si>
  <si>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</si>
  <si>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</si>
  <si>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</si>
  <si>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</si>
  <si>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</si>
  <si>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</si>
  <si>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</si>
  <si>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</si>
  <si>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</si>
  <si>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</si>
  <si>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</si>
  <si>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</si>
  <si>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</si>
  <si>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</si>
  <si>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</si>
  <si>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</si>
  <si>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</si>
  <si>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</si>
  <si>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</si>
  <si>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</si>
  <si>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</si>
  <si>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</si>
  <si>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</si>
  <si>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</si>
  <si>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</si>
  <si>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</si>
  <si>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</si>
  <si>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</si>
  <si>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</si>
  <si>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</si>
  <si>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</si>
  <si>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</si>
  <si>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</si>
  <si>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</si>
  <si>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</si>
  <si>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</si>
  <si>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</si>
  <si>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</si>
  <si>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</si>
  <si>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</si>
  <si>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</si>
  <si>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</si>
  <si>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</si>
  <si>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</si>
  <si>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</si>
  <si>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</si>
  <si>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</si>
  <si>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</si>
  <si>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</si>
  <si>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</si>
  <si>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</si>
  <si>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</si>
  <si>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</si>
  <si>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</si>
  <si>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</si>
  <si>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</si>
  <si>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</si>
  <si>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</si>
  <si>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</si>
  <si>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</si>
  <si>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</si>
  <si>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</si>
  <si>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</si>
  <si>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</si>
  <si>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</si>
  <si>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</si>
  <si>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</si>
  <si>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</si>
  <si>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</si>
  <si>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</si>
  <si>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</si>
  <si>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</si>
  <si>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</si>
  <si>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</si>
  <si>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</si>
  <si>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</si>
  <si>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</si>
  <si>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</si>
  <si>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</si>
  <si>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</si>
  <si>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</si>
  <si>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</si>
  <si>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</si>
  <si>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</si>
  <si>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</si>
  <si>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</si>
  <si>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</si>
  <si>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</si>
  <si>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</si>
  <si>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</si>
  <si>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</si>
  <si>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</si>
  <si>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</si>
  <si>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</si>
  <si>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</si>
  <si>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</si>
  <si>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</si>
  <si>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</si>
  <si>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</si>
  <si>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</si>
  <si>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</si>
  <si>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</si>
  <si>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</si>
  <si>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</si>
  <si>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</si>
  <si>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</si>
  <si>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</si>
  <si>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</si>
  <si>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</si>
  <si>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</si>
  <si>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</si>
  <si>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</si>
  <si>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</si>
  <si>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</si>
  <si>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</si>
  <si>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</si>
  <si>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</si>
  <si>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</si>
  <si>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</si>
  <si>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</si>
  <si>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</si>
  <si>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</si>
  <si>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</si>
  <si>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</si>
  <si>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</si>
  <si>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</si>
  <si>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</si>
  <si>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</si>
  <si>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</si>
  <si>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</si>
  <si>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</si>
  <si>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</si>
  <si>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</si>
  <si>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</si>
  <si>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</si>
  <si>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</si>
  <si>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</si>
  <si>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</si>
  <si>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</si>
  <si>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</si>
  <si>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</si>
  <si>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</si>
  <si>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</si>
  <si>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</si>
  <si>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</si>
  <si>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</si>
  <si>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</si>
  <si>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</si>
  <si>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</si>
  <si>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r>
      <t xml:space="preserve">752 Trading Days? (From: </t>
    </r>
    <r>
      <rPr>
        <i/>
        <sz val="11"/>
        <color theme="1"/>
        <rFont val="Calibre"/>
      </rPr>
      <t>10/6/21 - 10/26/25</t>
    </r>
    <r>
      <rPr>
        <sz val="11"/>
        <color theme="1"/>
        <rFont val="Calibre"/>
      </rPr>
      <t>)</t>
    </r>
  </si>
  <si>
    <t>CRDO Historical Returns</t>
  </si>
  <si>
    <t>More</t>
  </si>
  <si>
    <t xml:space="preserve">General Notes/Observations </t>
  </si>
  <si>
    <t xml:space="preserve">Financial Stmts. Notes/Observations </t>
  </si>
  <si>
    <t>CRDO</t>
  </si>
  <si>
    <t>https://stockanalysis.com/stocks/crdo/</t>
  </si>
  <si>
    <t>https://seekingalpha.com/symbol/CRDO/earnings/transcripts</t>
  </si>
  <si>
    <t>https://credosemi.com/</t>
  </si>
  <si>
    <t>https://investors.credosemi.com/overview/default.aspx</t>
  </si>
  <si>
    <t>https://www.sec.gov/edgar/browse/?CIK=1807794&amp;owner=exclude</t>
  </si>
  <si>
    <t>https://www.macrotrends.net/stocks/charts/CRDO/credo-technology/income-statement?freq=Q</t>
  </si>
  <si>
    <t>https://www.gurufocus.com/term/wacc/CRDO</t>
  </si>
  <si>
    <t>Founder(s): Lawrence Cheng, Job Lam, &amp; Runsheng He</t>
  </si>
  <si>
    <t>Ugland House, PO Box 309 Grand Cayman, Cayman Islands</t>
  </si>
  <si>
    <t>Founded: 2008</t>
  </si>
  <si>
    <t>Current CEO: William Brennan</t>
  </si>
  <si>
    <t>Employees: 622</t>
  </si>
  <si>
    <t>Industry: Semiconductors</t>
  </si>
  <si>
    <t>Sector: Technology</t>
  </si>
  <si>
    <t>IPO: Jan, 27 2022 -- $1.4B valuation</t>
  </si>
  <si>
    <t>Fiscal Year: [June - May]</t>
  </si>
  <si>
    <t>Credo Technology Group Holding Ltd (CRDO)</t>
  </si>
  <si>
    <t>Credo Technology Group is a leading provider of high-speed connectivity solutions for next-generation data centers, AI clusters, high-performance computing, and communications infrastructure</t>
  </si>
  <si>
    <t>The Company's integrated optical chips are also rapidly gaining share as the industry’s shift to optical communication accelerates</t>
  </si>
  <si>
    <t>The Company's AECs are recognized as next-generation, lowering power use and improving reliability for AI-related networking in the world’s largest data centers</t>
  </si>
  <si>
    <t>The Company sells its products to hyperscalers, original equipment manufacturers, original design manufacturers, and optical module manufacturers, as well as into the enterprise and HPC markets</t>
  </si>
  <si>
    <t>Credo Technology Group Holding Ltd was founded in 2008 and is based in Grand Cayman, the Cayman Islands</t>
  </si>
  <si>
    <t>Revenue</t>
  </si>
  <si>
    <t>Gross Profit</t>
  </si>
  <si>
    <t>SG&amp;A Expense</t>
  </si>
  <si>
    <t>R&amp;D Expense</t>
  </si>
  <si>
    <t>Operating Income</t>
  </si>
  <si>
    <t>Other Income</t>
  </si>
  <si>
    <t>Pretax Income</t>
  </si>
  <si>
    <t>Income Taxes</t>
  </si>
  <si>
    <t>Aug.</t>
  </si>
  <si>
    <t>May</t>
  </si>
  <si>
    <t>Feb.</t>
  </si>
  <si>
    <t>Other Expenses</t>
  </si>
  <si>
    <t>EPS</t>
  </si>
  <si>
    <t>Nov.</t>
  </si>
  <si>
    <t>A/R</t>
  </si>
  <si>
    <t>Inventories</t>
  </si>
  <si>
    <t>Other ST Assets</t>
  </si>
  <si>
    <t>A/P</t>
  </si>
  <si>
    <t>Accrued Comp.</t>
  </si>
  <si>
    <t>Other ST Liabilities</t>
  </si>
  <si>
    <t>PP&amp;E</t>
  </si>
  <si>
    <t>LT Lease Assets</t>
  </si>
  <si>
    <t>Other LT Assets</t>
  </si>
  <si>
    <t>Ttl Assets</t>
  </si>
  <si>
    <t>LT Lease Liabilities</t>
  </si>
  <si>
    <t>Other LT Liabilities</t>
  </si>
  <si>
    <t>Ttl Liabilities</t>
  </si>
  <si>
    <t>Ttl SE</t>
  </si>
  <si>
    <t>Ttl L+ SE</t>
  </si>
  <si>
    <t>Contract Assets</t>
  </si>
  <si>
    <t>Deffered Revenues</t>
  </si>
  <si>
    <t>IP License Revenues</t>
  </si>
  <si>
    <t>Product Sales Revenues</t>
  </si>
  <si>
    <t>Hong Kong</t>
  </si>
  <si>
    <t>Rest of World</t>
  </si>
  <si>
    <t>Hong Kong Revenue Growth Y/y</t>
  </si>
  <si>
    <t>China Revenue Growth Y/y</t>
  </si>
  <si>
    <t>China</t>
  </si>
  <si>
    <t>Rest of World Revenue Growth Y/y</t>
  </si>
  <si>
    <t>Hong Kong % of Revenues</t>
  </si>
  <si>
    <t>China % of Revenues</t>
  </si>
  <si>
    <t>Rest of World % of Revenues</t>
  </si>
  <si>
    <t>Product Growth Y/y</t>
  </si>
  <si>
    <t>Licensing Growth Y/y</t>
  </si>
  <si>
    <t>Products % of Ttl Revenues</t>
  </si>
  <si>
    <t>License % of Ttl Revenues</t>
  </si>
  <si>
    <t xml:space="preserve">U.S. </t>
  </si>
  <si>
    <t xml:space="preserve">Revenue Breakdown by Segment </t>
  </si>
  <si>
    <t xml:space="preserve">Institutional Ownership Snapshot </t>
  </si>
  <si>
    <t>Headquarters: San Jose, CA / Cayman Islands</t>
  </si>
  <si>
    <t>The Company's AECs use proprietary architecture which allows for high-bandwidth, low-latency, and energy-efficient data transmission far beyond what passive/direct attach copper cables can offer ... Connects GPUs and switches in dense AI clusters</t>
  </si>
  <si>
    <t>Nvidia has a dominant position in both GPU-to-GPU interconnects (NVLink) and high performance data center fabrics (Infiniband)</t>
  </si>
  <si>
    <t>In some hyperscale environments, Credo’s products may be used to connect switches or to facilitate rack-level connectivity that then aggregates up to Nvidia-powered clusters or Infiniband fabrics</t>
  </si>
  <si>
    <t>The Company's AECs longer reach, lower power draw (often up to 50% less), and higher reliability, supporting the massive bandwidth needs of AI workloads while keeping energy usage and heat manageable</t>
  </si>
  <si>
    <t>Hyperscalers are under immense pressure to balance performance and data center power costs (tokenomics) … Credo’s technology works to directly solve this energy efficiency constraint … could be big</t>
  </si>
  <si>
    <t>The Company primarily sells it's product to hyperscale cloud providers, AI data center operators, and telecommunications companies</t>
  </si>
  <si>
    <r>
      <rPr>
        <b/>
        <sz val="11"/>
        <color theme="1"/>
        <rFont val="Calibre"/>
      </rPr>
      <t xml:space="preserve">Revenue primarily comes from product sales to major cloud and infrastructure firms </t>
    </r>
    <r>
      <rPr>
        <sz val="11"/>
        <color theme="1"/>
        <rFont val="Calibre"/>
      </rPr>
      <t xml:space="preserve">like </t>
    </r>
    <r>
      <rPr>
        <b/>
        <sz val="11"/>
        <color theme="1"/>
        <rFont val="Calibre"/>
      </rPr>
      <t>Amazon, Microsoft, and xAI</t>
    </r>
    <r>
      <rPr>
        <sz val="11"/>
        <color theme="1"/>
        <rFont val="Calibre"/>
      </rPr>
      <t xml:space="preserve">, (and a fourth cloud provider … </t>
    </r>
    <r>
      <rPr>
        <b/>
        <sz val="11"/>
        <color theme="1"/>
        <rFont val="Calibre"/>
      </rPr>
      <t>maybe Meta</t>
    </r>
    <r>
      <rPr>
        <sz val="11"/>
        <color theme="1"/>
        <rFont val="Calibre"/>
      </rPr>
      <t xml:space="preserve">'s internal infrastructure or </t>
    </r>
    <r>
      <rPr>
        <b/>
        <sz val="11"/>
        <color theme="1"/>
        <rFont val="Calibre"/>
      </rPr>
      <t>Oracle</t>
    </r>
    <r>
      <rPr>
        <sz val="11"/>
        <color theme="1"/>
        <rFont val="Calibre"/>
      </rPr>
      <t>?) with a smaller share from support/services and IP licensing</t>
    </r>
  </si>
  <si>
    <t>The listed four company's make up almost 80% of The Company's revenue … incredibly concentrated bet</t>
  </si>
  <si>
    <t>Historically, the interconnect market was dominated by a few very large, vertically integrated firms (AVGO, MRVL)</t>
  </si>
  <si>
    <t>Credo’s focus on “middleware” interconnect and open compatibility gives hyperscalers an alternative source, driving price/performance/capability advancements through a new avenue of competition … do economic profits drop to zero … or does CRDO become a new big player?</t>
  </si>
  <si>
    <t>Connectivity solutions are optimized for optical and electrical Ethernet and PCIe applications, including the 100G (or Gigabits per second), 200G, 400G, 800G and emerging 1.6T (or Terabits per second) ethernet markets and the 32G PCIe5 and upcoming 64G PCIe6 markets</t>
  </si>
  <si>
    <t>The Company's managers acknowledge this … "The multibillion-dollar data infrastructure market that we serve is driven largely by hyperscale data centers (hyperscalers), as well as general compute, AI/ML infrastructure, multi-service operators (MSOs) and mobile network operators (MNOs)"</t>
  </si>
  <si>
    <t>The Company's mission is to redefine high-speed connectivity by delivering breakthrough solutions that enable the next generation of AI-driven applications</t>
  </si>
  <si>
    <t>Management is committed to enabling faster, more reliable, more energy-efficient, and scalable solutions that support the ever-expanding demands of AI, cloud computing and hyperscale networks</t>
  </si>
  <si>
    <t>The Company's product families include Integrated Circuits (ICs), Active Electrical Cables (AECs) Optical and Electrical Connectivity Ics, Integrated Solutions, and Services Licensing and SerDes Chiplets ... Intellectual property (IP) solutions consist primarily of SerDes IP licensing</t>
  </si>
  <si>
    <r>
      <rPr>
        <b/>
        <sz val="11"/>
        <color theme="1"/>
        <rFont val="Calibre"/>
      </rPr>
      <t xml:space="preserve">Credo’s AECs are The Company's core offering </t>
    </r>
    <r>
      <rPr>
        <sz val="11"/>
        <color theme="1"/>
        <rFont val="Calibre"/>
      </rPr>
      <t>... These cables use Credo-designed SerDes (serializer/deserializer) chiplets and DSPs (digital signal processors) embedded in the cable itself</t>
    </r>
  </si>
  <si>
    <r>
      <rPr>
        <b/>
        <sz val="11"/>
        <color theme="1"/>
        <rFont val="Calibre"/>
      </rPr>
      <t>Credo operates a layer below/in parallel with NVDA's connectivity offerings</t>
    </r>
    <r>
      <rPr>
        <sz val="11"/>
        <color theme="1"/>
        <rFont val="Calibre"/>
      </rPr>
      <t xml:space="preserve"> … AECs and chiplets enable energy-efficient, high-reliability connections for networking gear, switches, and servers … often forms the “last-mile” inside the rack before traffic reaches the wider network</t>
    </r>
  </si>
  <si>
    <t>Credo does not compete with Nvidia’s NVLink or Infiniband offerings … The two companies address different layers and functions within data center and AI infrastructure … CRDOs offerings are paired with NVDA's buildout</t>
  </si>
  <si>
    <t>Managers have emphasized that lisencing IP will be of strategic importance in the coming years … LT desire to build out an installed base …. Managers plan to increase this as a share of revenue, expecting the license/royalty stream to contribute more materially in the next few years</t>
  </si>
  <si>
    <t>This diversification would generate more stable and high-margin recurring revenue alongside their core product business, and they view licensing as a key growth lever moving forward</t>
  </si>
  <si>
    <t>Goodwill</t>
  </si>
  <si>
    <t>Intangibles</t>
  </si>
  <si>
    <t>Q3'25</t>
  </si>
  <si>
    <t>1/10/2026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</si>
</sst>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name val="Arial"/>
      <family val="2"/>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FF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82">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 fontId="2" fillId="0" borderId="0" xfId="0" applyNumberFormat="1" applyFont="1" applyAlignment="1">
      <alignment horizontal="left" indent="5"/>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10" fontId="2" fillId="0" borderId="0" xfId="1" applyNumberFormat="1" applyFont="1"/>
    <xf numFmtId="0" fontId="18" fillId="0" borderId="0" xfId="0" applyFont="1"/>
    <xf numFmtId="0" fontId="18" fillId="6" borderId="0" xfId="0" applyFont="1" applyFill="1"/>
    <xf numFmtId="2" fontId="8" fillId="5" borderId="0" xfId="0" applyNumberFormat="1" applyFont="1" applyFill="1" applyAlignment="1">
      <alignment horizontal="center" vertical="center"/>
    </xf>
    <xf numFmtId="0" fontId="0" fillId="0" borderId="18" xfId="0" applyBorder="1"/>
    <xf numFmtId="0" fontId="9" fillId="0" borderId="17" xfId="0" applyFont="1" applyBorder="1" applyAlignment="1">
      <alignment horizontal="center"/>
    </xf>
    <xf numFmtId="165" fontId="3" fillId="0" borderId="0" xfId="0" applyNumberFormat="1" applyFont="1"/>
    <xf numFmtId="165" fontId="2" fillId="0" borderId="0" xfId="0" applyNumberFormat="1" applyFont="1"/>
    <xf numFmtId="166" fontId="2" fillId="0" borderId="0" xfId="1" applyNumberFormat="1" applyFont="1"/>
    <xf numFmtId="166" fontId="3" fillId="0" borderId="0" xfId="1" applyNumberFormat="1" applyFont="1"/>
    <xf numFmtId="0" fontId="2" fillId="0" borderId="0" xfId="0" applyFont="1" applyAlignment="1">
      <alignment horizontal="left" indent="1"/>
    </xf>
    <xf numFmtId="0" fontId="2" fillId="0" borderId="18" xfId="0" applyFont="1" applyBorder="1"/>
    <xf numFmtId="165" fontId="13" fillId="0" borderId="0" xfId="0" applyNumberFormat="1" applyFont="1"/>
    <xf numFmtId="9" fontId="13" fillId="0" borderId="0" xfId="1" applyFont="1"/>
    <xf numFmtId="165" fontId="12" fillId="0" borderId="0" xfId="0" applyNumberFormat="1" applyFont="1"/>
    <xf numFmtId="166" fontId="13" fillId="0" borderId="0" xfId="1" applyNumberFormat="1" applyFont="1"/>
    <xf numFmtId="166" fontId="13" fillId="0" borderId="0" xfId="0" applyNumberFormat="1" applyFont="1"/>
    <xf numFmtId="166" fontId="12" fillId="0" borderId="0" xfId="0" applyNumberFormat="1" applyFont="1"/>
    <xf numFmtId="1" fontId="2" fillId="0" borderId="0" xfId="0" applyNumberFormat="1" applyFont="1"/>
    <xf numFmtId="0" fontId="17" fillId="0" borderId="0" xfId="0" applyFont="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00B6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(CRDO) Revenue by Geographic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1"/>
          <c:order val="0"/>
          <c:tx>
            <c:strRef>
              <c:f>Model!$B$16</c:f>
              <c:strCache>
                <c:ptCount val="1"/>
                <c:pt idx="0">
                  <c:v>Hong Kong</c:v>
                </c:pt>
              </c:strCache>
            </c:strRef>
          </c:tx>
          <c:spPr>
            <a:solidFill>
              <a:srgbClr val="70AD47">
                <a:lumMod val="60000"/>
                <a:lumOff val="40000"/>
              </a:srgbClr>
            </a:solidFill>
            <a:ln>
              <a:noFill/>
            </a:ln>
            <a:effectLst/>
          </c:spPr>
          <c:invertIfNegative val="0"/>
          <c:cat>
            <c:strRef>
              <c:f>Model!$K$1:$T$1</c:f>
              <c:strCache>
                <c:ptCount val="9"/>
                <c:pt idx="0">
                  <c:v>Q1 2024</c:v>
                </c:pt>
                <c:pt idx="4">
                  <c:v>Q1 2025</c:v>
                </c:pt>
                <c:pt idx="8">
                  <c:v>Q1 2026</c:v>
                </c:pt>
              </c:strCache>
            </c:strRef>
          </c:cat>
          <c:val>
            <c:numRef>
              <c:f>Model!$K$16:$T$16</c:f>
              <c:numCache>
                <c:formatCode>0.0</c:formatCode>
                <c:ptCount val="10"/>
                <c:pt idx="0">
                  <c:v>1.99</c:v>
                </c:pt>
                <c:pt idx="1">
                  <c:v>7.83</c:v>
                </c:pt>
                <c:pt idx="2">
                  <c:v>28.393000000000001</c:v>
                </c:pt>
                <c:pt idx="3">
                  <c:v>31.946999999999996</c:v>
                </c:pt>
                <c:pt idx="4">
                  <c:v>10.8</c:v>
                </c:pt>
                <c:pt idx="5">
                  <c:v>30.08</c:v>
                </c:pt>
                <c:pt idx="6">
                  <c:v>93.33</c:v>
                </c:pt>
                <c:pt idx="7">
                  <c:v>109.51000000000002</c:v>
                </c:pt>
                <c:pt idx="8">
                  <c:v>74.88</c:v>
                </c:pt>
                <c:pt idx="9">
                  <c:v>117.89</c:v>
                </c:pt>
              </c:numCache>
            </c:numRef>
          </c:val>
          <c:extLst>
            <c:ext xmlns:c16="http://schemas.microsoft.com/office/drawing/2014/chart" uri="{C3380CC4-5D6E-409C-BE32-E72D297353CC}">
              <c16:uniqueId val="{00000001-763E-43B3-B662-D76C6E829219}"/>
            </c:ext>
          </c:extLst>
        </c:ser>
        <c:ser>
          <c:idx val="2"/>
          <c:order val="1"/>
          <c:tx>
            <c:strRef>
              <c:f>Model!$B$17</c:f>
              <c:strCache>
                <c:ptCount val="1"/>
                <c:pt idx="0">
                  <c:v>China</c:v>
                </c:pt>
              </c:strCache>
            </c:strRef>
          </c:tx>
          <c:spPr>
            <a:solidFill>
              <a:srgbClr val="00B050"/>
            </a:solidFill>
            <a:ln>
              <a:noFill/>
            </a:ln>
            <a:effectLst/>
          </c:spPr>
          <c:invertIfNegative val="0"/>
          <c:cat>
            <c:strRef>
              <c:f>Model!$K$1:$T$1</c:f>
              <c:strCache>
                <c:ptCount val="9"/>
                <c:pt idx="0">
                  <c:v>Q1 2024</c:v>
                </c:pt>
                <c:pt idx="4">
                  <c:v>Q1 2025</c:v>
                </c:pt>
                <c:pt idx="8">
                  <c:v>Q1 2026</c:v>
                </c:pt>
              </c:strCache>
            </c:strRef>
          </c:cat>
          <c:val>
            <c:numRef>
              <c:f>Model!$K$17:$T$17</c:f>
              <c:numCache>
                <c:formatCode>0.0</c:formatCode>
                <c:ptCount val="10"/>
                <c:pt idx="0">
                  <c:v>16.081</c:v>
                </c:pt>
                <c:pt idx="1">
                  <c:v>5.42</c:v>
                </c:pt>
                <c:pt idx="2">
                  <c:v>0.79800000000000004</c:v>
                </c:pt>
                <c:pt idx="3">
                  <c:v>5.9610000000000021</c:v>
                </c:pt>
                <c:pt idx="4">
                  <c:v>9.74</c:v>
                </c:pt>
                <c:pt idx="5">
                  <c:v>13.52</c:v>
                </c:pt>
                <c:pt idx="6">
                  <c:v>25.26</c:v>
                </c:pt>
                <c:pt idx="7">
                  <c:v>31.53</c:v>
                </c:pt>
                <c:pt idx="8">
                  <c:v>51.78</c:v>
                </c:pt>
                <c:pt idx="9">
                  <c:v>23.63</c:v>
                </c:pt>
              </c:numCache>
            </c:numRef>
          </c:val>
          <c:extLst>
            <c:ext xmlns:c16="http://schemas.microsoft.com/office/drawing/2014/chart" uri="{C3380CC4-5D6E-409C-BE32-E72D297353CC}">
              <c16:uniqueId val="{00000002-763E-43B3-B662-D76C6E829219}"/>
            </c:ext>
          </c:extLst>
        </c:ser>
        <c:ser>
          <c:idx val="0"/>
          <c:order val="2"/>
          <c:tx>
            <c:strRef>
              <c:f>Model!$B$15</c:f>
              <c:strCache>
                <c:ptCount val="1"/>
                <c:pt idx="0">
                  <c:v>U.S. </c:v>
                </c:pt>
              </c:strCache>
            </c:strRef>
          </c:tx>
          <c:spPr>
            <a:solidFill>
              <a:srgbClr val="00B6F6"/>
            </a:solidFill>
            <a:ln>
              <a:noFill/>
            </a:ln>
            <a:effectLst/>
          </c:spPr>
          <c:invertIfNegative val="0"/>
          <c:cat>
            <c:strRef>
              <c:f>Model!$K$1:$T$1</c:f>
              <c:strCache>
                <c:ptCount val="9"/>
                <c:pt idx="0">
                  <c:v>Q1 2024</c:v>
                </c:pt>
                <c:pt idx="4">
                  <c:v>Q1 2025</c:v>
                </c:pt>
                <c:pt idx="8">
                  <c:v>Q1 2026</c:v>
                </c:pt>
              </c:strCache>
            </c:strRef>
          </c:cat>
          <c:val>
            <c:numRef>
              <c:f>Model!$K$15:$T$15</c:f>
              <c:numCache>
                <c:formatCode>0.0</c:formatCode>
                <c:ptCount val="10"/>
                <c:pt idx="0">
                  <c:v>6.415</c:v>
                </c:pt>
                <c:pt idx="1">
                  <c:v>18.611999999999998</c:v>
                </c:pt>
                <c:pt idx="2">
                  <c:v>15.436</c:v>
                </c:pt>
                <c:pt idx="3">
                  <c:v>9.0970000000000084</c:v>
                </c:pt>
                <c:pt idx="4">
                  <c:v>29.27</c:v>
                </c:pt>
                <c:pt idx="5">
                  <c:v>21.856000000000002</c:v>
                </c:pt>
                <c:pt idx="6">
                  <c:v>7.6260000000000003</c:v>
                </c:pt>
                <c:pt idx="7">
                  <c:v>6.3449999999999918</c:v>
                </c:pt>
                <c:pt idx="8">
                  <c:v>82.82</c:v>
                </c:pt>
                <c:pt idx="9">
                  <c:v>103.7</c:v>
                </c:pt>
              </c:numCache>
            </c:numRef>
          </c:val>
          <c:extLst>
            <c:ext xmlns:c16="http://schemas.microsoft.com/office/drawing/2014/chart" uri="{C3380CC4-5D6E-409C-BE32-E72D297353CC}">
              <c16:uniqueId val="{00000000-763E-43B3-B662-D76C6E829219}"/>
            </c:ext>
          </c:extLst>
        </c:ser>
        <c:ser>
          <c:idx val="3"/>
          <c:order val="3"/>
          <c:tx>
            <c:strRef>
              <c:f>Model!$B$18</c:f>
              <c:strCache>
                <c:ptCount val="1"/>
                <c:pt idx="0">
                  <c:v>Rest of World</c:v>
                </c:pt>
              </c:strCache>
            </c:strRef>
          </c:tx>
          <c:spPr>
            <a:solidFill>
              <a:schemeClr val="accent4"/>
            </a:solidFill>
            <a:ln>
              <a:noFill/>
            </a:ln>
            <a:effectLst/>
          </c:spPr>
          <c:invertIfNegative val="0"/>
          <c:cat>
            <c:strRef>
              <c:f>Model!$K$1:$T$1</c:f>
              <c:strCache>
                <c:ptCount val="9"/>
                <c:pt idx="0">
                  <c:v>Q1 2024</c:v>
                </c:pt>
                <c:pt idx="4">
                  <c:v>Q1 2025</c:v>
                </c:pt>
                <c:pt idx="8">
                  <c:v>Q1 2026</c:v>
                </c:pt>
              </c:strCache>
            </c:strRef>
          </c:cat>
          <c:val>
            <c:numRef>
              <c:f>Model!$K$18:$T$18</c:f>
              <c:numCache>
                <c:formatCode>0.0</c:formatCode>
                <c:ptCount val="10"/>
                <c:pt idx="0">
                  <c:v>10.609</c:v>
                </c:pt>
                <c:pt idx="1">
                  <c:v>12.161</c:v>
                </c:pt>
                <c:pt idx="2">
                  <c:v>8.43</c:v>
                </c:pt>
                <c:pt idx="3">
                  <c:v>13.760000000000002</c:v>
                </c:pt>
                <c:pt idx="4">
                  <c:v>9.89</c:v>
                </c:pt>
                <c:pt idx="5">
                  <c:v>6.56</c:v>
                </c:pt>
                <c:pt idx="6">
                  <c:v>8.7759999999999998</c:v>
                </c:pt>
                <c:pt idx="7">
                  <c:v>22.664000000000001</c:v>
                </c:pt>
                <c:pt idx="8">
                  <c:v>13.63</c:v>
                </c:pt>
                <c:pt idx="9">
                  <c:v>22.803000000000001</c:v>
                </c:pt>
              </c:numCache>
            </c:numRef>
          </c:val>
          <c:extLst>
            <c:ext xmlns:c16="http://schemas.microsoft.com/office/drawing/2014/chart" uri="{C3380CC4-5D6E-409C-BE32-E72D297353CC}">
              <c16:uniqueId val="{00000003-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(CRDO) Quarterly Ttl Revenues, Net Income, Free Cash Flows (in $ millions)</a:t>
            </a:r>
            <a:endParaRPr lang="en-US"/>
          </a:p>
        </c:rich>
      </c:tx>
      <c:layout>
        <c:manualLayout>
          <c:xMode val="edge"/>
          <c:yMode val="edge"/>
          <c:x val="0.23382749623103563"/>
          <c:y val="2.0238096423772989E-2"/>
        </c:manualLayout>
      </c:layout>
      <c:overlay val="0"/>
      <c:spPr>
        <a:noFill/>
        <a:ln>
          <a:noFill/>
        </a:ln>
        <a:effectLst/>
      </c:spPr>
    </c:title>
    <c:autoTitleDeleted val="0"/>
    <c:plotArea>
      <c:layout>
        <c:manualLayout>
          <c:layoutTarget val="inner"/>
          <c:xMode val="edge"/>
          <c:yMode val="edge"/>
          <c:x val="9.6798374398629289E-2"/>
          <c:y val="0.13501977497069359"/>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Model!$C$42:$T$42</c:f>
              <c:numCache>
                <c:formatCode>0.0</c:formatCode>
                <c:ptCount val="18"/>
                <c:pt idx="0">
                  <c:v>-12.499999999999998</c:v>
                </c:pt>
                <c:pt idx="1">
                  <c:v>-4.1000000000000014</c:v>
                </c:pt>
                <c:pt idx="2">
                  <c:v>-0.19999999999999996</c:v>
                </c:pt>
                <c:pt idx="3">
                  <c:v>-6.4000000000000021</c:v>
                </c:pt>
                <c:pt idx="4">
                  <c:v>7.2164496600635175E-16</c:v>
                </c:pt>
                <c:pt idx="5">
                  <c:v>-3.2999999999999994</c:v>
                </c:pt>
                <c:pt idx="6">
                  <c:v>7.799999999999998</c:v>
                </c:pt>
                <c:pt idx="7">
                  <c:v>-15.899999999999999</c:v>
                </c:pt>
                <c:pt idx="8">
                  <c:v>-11.5</c:v>
                </c:pt>
                <c:pt idx="9">
                  <c:v>-6.5999999999999988</c:v>
                </c:pt>
                <c:pt idx="10">
                  <c:v>0.60000000000000409</c:v>
                </c:pt>
                <c:pt idx="11">
                  <c:v>-8.9999999999999911</c:v>
                </c:pt>
                <c:pt idx="12">
                  <c:v>-9.5999999999999925</c:v>
                </c:pt>
                <c:pt idx="13">
                  <c:v>-4.1999999999999984</c:v>
                </c:pt>
                <c:pt idx="14">
                  <c:v>29.300000000000008</c:v>
                </c:pt>
                <c:pt idx="15">
                  <c:v>36.599999999999994</c:v>
                </c:pt>
                <c:pt idx="16">
                  <c:v>63.499999999999986</c:v>
                </c:pt>
                <c:pt idx="17">
                  <c:v>82.637999999999963</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Model!$C$87:$T$87</c:f>
              <c:numCache>
                <c:formatCode>General</c:formatCode>
                <c:ptCount val="18"/>
                <c:pt idx="0">
                  <c:v>-10.200000000000001</c:v>
                </c:pt>
                <c:pt idx="1">
                  <c:v>-29.6</c:v>
                </c:pt>
                <c:pt idx="2">
                  <c:v>-1.2</c:v>
                </c:pt>
                <c:pt idx="3">
                  <c:v>-7.1999999999999993</c:v>
                </c:pt>
                <c:pt idx="4">
                  <c:v>-17.5</c:v>
                </c:pt>
                <c:pt idx="5">
                  <c:v>-3.9000000000000004</c:v>
                </c:pt>
                <c:pt idx="6">
                  <c:v>-9.1999999999999993</c:v>
                </c:pt>
                <c:pt idx="7">
                  <c:v>-15.700000000000001</c:v>
                </c:pt>
                <c:pt idx="8">
                  <c:v>19.3</c:v>
                </c:pt>
                <c:pt idx="9">
                  <c:v>3</c:v>
                </c:pt>
                <c:pt idx="10">
                  <c:v>-6.1</c:v>
                </c:pt>
                <c:pt idx="11">
                  <c:v>1</c:v>
                </c:pt>
                <c:pt idx="12">
                  <c:v>-13.100000000000001</c:v>
                </c:pt>
                <c:pt idx="13">
                  <c:v>-11.599999999999998</c:v>
                </c:pt>
                <c:pt idx="14">
                  <c:v>-0.39999999999999947</c:v>
                </c:pt>
                <c:pt idx="15">
                  <c:v>54.099999999999994</c:v>
                </c:pt>
                <c:pt idx="16">
                  <c:v>51.400000000000006</c:v>
                </c:pt>
                <c:pt idx="17" formatCode="0.0">
                  <c:v>38.432999999999993</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strRef>
              <c:f>Model!$B$32</c:f>
              <c:strCache>
                <c:ptCount val="1"/>
                <c:pt idx="0">
                  <c:v>Revenue</c:v>
                </c:pt>
              </c:strCache>
            </c:strRef>
          </c:tx>
          <c:spPr>
            <a:ln w="28575">
              <a:solidFill>
                <a:srgbClr val="00B0F0"/>
              </a:solidFill>
            </a:ln>
          </c:spPr>
          <c:marker>
            <c:symbol val="none"/>
          </c:marker>
          <c:cat>
            <c:strRef>
              <c:f>Model!$C$1:$S$1</c:f>
              <c:strCache>
                <c:ptCount val="17"/>
                <c:pt idx="0">
                  <c:v>Q1 2022</c:v>
                </c:pt>
                <c:pt idx="4">
                  <c:v>Q1 2023</c:v>
                </c:pt>
                <c:pt idx="8">
                  <c:v>Q1 2024</c:v>
                </c:pt>
                <c:pt idx="12">
                  <c:v>Q1 2025</c:v>
                </c:pt>
                <c:pt idx="16">
                  <c:v>Q1 2026</c:v>
                </c:pt>
              </c:strCache>
            </c:strRef>
          </c:cat>
          <c:val>
            <c:numRef>
              <c:f>Model!$C$32:$T$32</c:f>
              <c:numCache>
                <c:formatCode>0.0</c:formatCode>
                <c:ptCount val="18"/>
                <c:pt idx="0">
                  <c:v>10.7</c:v>
                </c:pt>
                <c:pt idx="1">
                  <c:v>26.4</c:v>
                </c:pt>
                <c:pt idx="2">
                  <c:v>31.8</c:v>
                </c:pt>
                <c:pt idx="3">
                  <c:v>37.5</c:v>
                </c:pt>
                <c:pt idx="4">
                  <c:v>46.5</c:v>
                </c:pt>
                <c:pt idx="5">
                  <c:v>51.4</c:v>
                </c:pt>
                <c:pt idx="6">
                  <c:v>54.3</c:v>
                </c:pt>
                <c:pt idx="7">
                  <c:v>32.1</c:v>
                </c:pt>
                <c:pt idx="8">
                  <c:v>35.1</c:v>
                </c:pt>
                <c:pt idx="9">
                  <c:v>44</c:v>
                </c:pt>
                <c:pt idx="10">
                  <c:v>53.1</c:v>
                </c:pt>
                <c:pt idx="11">
                  <c:v>60.8</c:v>
                </c:pt>
                <c:pt idx="12">
                  <c:v>59.7</c:v>
                </c:pt>
                <c:pt idx="13">
                  <c:v>72</c:v>
                </c:pt>
                <c:pt idx="14">
                  <c:v>135</c:v>
                </c:pt>
                <c:pt idx="15">
                  <c:v>170</c:v>
                </c:pt>
                <c:pt idx="16">
                  <c:v>223.1</c:v>
                </c:pt>
                <c:pt idx="17">
                  <c:v>268.02699999999999</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6400157589202494"/>
          <c:y val="7.834573481121899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(CRDO)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Analysis'!$R$208</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Analysis'!$R$210:$R$302</c:f>
              <c:numCache>
                <c:formatCode>0.00%</c:formatCode>
                <c:ptCount val="93"/>
                <c:pt idx="0">
                  <c:v>-0.11500000000000006</c:v>
                </c:pt>
                <c:pt idx="1">
                  <c:v>-0.11250000000000006</c:v>
                </c:pt>
                <c:pt idx="2">
                  <c:v>-0.11000000000000006</c:v>
                </c:pt>
                <c:pt idx="3">
                  <c:v>-0.10750000000000005</c:v>
                </c:pt>
                <c:pt idx="4">
                  <c:v>-0.10500000000000005</c:v>
                </c:pt>
                <c:pt idx="5">
                  <c:v>-0.10250000000000005</c:v>
                </c:pt>
                <c:pt idx="6">
                  <c:v>-0.10000000000000005</c:v>
                </c:pt>
                <c:pt idx="7">
                  <c:v>-9.7500000000000045E-2</c:v>
                </c:pt>
                <c:pt idx="8">
                  <c:v>-9.5000000000000043E-2</c:v>
                </c:pt>
                <c:pt idx="9">
                  <c:v>-9.2500000000000041E-2</c:v>
                </c:pt>
                <c:pt idx="10">
                  <c:v>-9.0000000000000038E-2</c:v>
                </c:pt>
                <c:pt idx="11">
                  <c:v>-8.7500000000000036E-2</c:v>
                </c:pt>
                <c:pt idx="12">
                  <c:v>-8.5000000000000034E-2</c:v>
                </c:pt>
                <c:pt idx="13">
                  <c:v>-8.2500000000000032E-2</c:v>
                </c:pt>
                <c:pt idx="14">
                  <c:v>-8.0000000000000029E-2</c:v>
                </c:pt>
                <c:pt idx="15">
                  <c:v>-7.7500000000000027E-2</c:v>
                </c:pt>
                <c:pt idx="16">
                  <c:v>-7.5000000000000025E-2</c:v>
                </c:pt>
                <c:pt idx="17">
                  <c:v>-7.2500000000000023E-2</c:v>
                </c:pt>
                <c:pt idx="18">
                  <c:v>-7.0000000000000021E-2</c:v>
                </c:pt>
                <c:pt idx="19">
                  <c:v>-6.7500000000000018E-2</c:v>
                </c:pt>
                <c:pt idx="20">
                  <c:v>-6.5000000000000016E-2</c:v>
                </c:pt>
                <c:pt idx="21">
                  <c:v>-6.2500000000000014E-2</c:v>
                </c:pt>
                <c:pt idx="22">
                  <c:v>-6.0000000000000019E-2</c:v>
                </c:pt>
                <c:pt idx="23">
                  <c:v>-5.7500000000000016E-2</c:v>
                </c:pt>
                <c:pt idx="24">
                  <c:v>-5.5000000000000014E-2</c:v>
                </c:pt>
                <c:pt idx="25">
                  <c:v>-5.2500000000000012E-2</c:v>
                </c:pt>
                <c:pt idx="26">
                  <c:v>-5.000000000000001E-2</c:v>
                </c:pt>
                <c:pt idx="27">
                  <c:v>-4.7500000000000007E-2</c:v>
                </c:pt>
                <c:pt idx="28">
                  <c:v>-4.5000000000000005E-2</c:v>
                </c:pt>
                <c:pt idx="29">
                  <c:v>-4.2500000000000003E-2</c:v>
                </c:pt>
                <c:pt idx="30">
                  <c:v>-0.04</c:v>
                </c:pt>
                <c:pt idx="31">
                  <c:v>-3.7499999999999999E-2</c:v>
                </c:pt>
                <c:pt idx="32">
                  <c:v>-3.4999999999999996E-2</c:v>
                </c:pt>
                <c:pt idx="33">
                  <c:v>-3.2499999999999994E-2</c:v>
                </c:pt>
                <c:pt idx="34">
                  <c:v>-2.9999999999999995E-2</c:v>
                </c:pt>
                <c:pt idx="35">
                  <c:v>-2.7499999999999997E-2</c:v>
                </c:pt>
                <c:pt idx="36">
                  <c:v>-2.4999999999999998E-2</c:v>
                </c:pt>
                <c:pt idx="37">
                  <c:v>-2.2499999999999999E-2</c:v>
                </c:pt>
                <c:pt idx="38">
                  <c:v>-0.02</c:v>
                </c:pt>
                <c:pt idx="39">
                  <c:v>-1.7500000000000002E-2</c:v>
                </c:pt>
                <c:pt idx="40">
                  <c:v>-1.5000000000000001E-2</c:v>
                </c:pt>
                <c:pt idx="41">
                  <c:v>-1.2500000000000001E-2</c:v>
                </c:pt>
                <c:pt idx="42">
                  <c:v>-0.01</c:v>
                </c:pt>
                <c:pt idx="43">
                  <c:v>-7.4999999999999997E-3</c:v>
                </c:pt>
                <c:pt idx="44">
                  <c:v>-5.0000000000000001E-3</c:v>
                </c:pt>
                <c:pt idx="45">
                  <c:v>-2.5000000000000001E-3</c:v>
                </c:pt>
                <c:pt idx="46">
                  <c:v>0</c:v>
                </c:pt>
                <c:pt idx="47">
                  <c:v>2.5000000000000001E-3</c:v>
                </c:pt>
                <c:pt idx="48">
                  <c:v>5.0000000000000001E-3</c:v>
                </c:pt>
                <c:pt idx="49">
                  <c:v>7.4999999999999997E-3</c:v>
                </c:pt>
                <c:pt idx="50">
                  <c:v>0.01</c:v>
                </c:pt>
                <c:pt idx="51">
                  <c:v>1.2500000000000001E-2</c:v>
                </c:pt>
                <c:pt idx="52">
                  <c:v>1.5000000000000001E-2</c:v>
                </c:pt>
                <c:pt idx="53">
                  <c:v>1.7500000000000002E-2</c:v>
                </c:pt>
                <c:pt idx="54">
                  <c:v>0.02</c:v>
                </c:pt>
                <c:pt idx="55">
                  <c:v>2.2499999999999999E-2</c:v>
                </c:pt>
                <c:pt idx="56">
                  <c:v>2.4999999999999998E-2</c:v>
                </c:pt>
                <c:pt idx="57">
                  <c:v>2.7499999999999997E-2</c:v>
                </c:pt>
                <c:pt idx="58">
                  <c:v>2.9999999999999995E-2</c:v>
                </c:pt>
                <c:pt idx="59">
                  <c:v>3.2499999999999994E-2</c:v>
                </c:pt>
                <c:pt idx="60">
                  <c:v>3.4999999999999996E-2</c:v>
                </c:pt>
                <c:pt idx="61">
                  <c:v>3.7499999999999999E-2</c:v>
                </c:pt>
                <c:pt idx="62">
                  <c:v>0.04</c:v>
                </c:pt>
                <c:pt idx="63">
                  <c:v>4.2500000000000003E-2</c:v>
                </c:pt>
                <c:pt idx="64">
                  <c:v>4.5000000000000005E-2</c:v>
                </c:pt>
                <c:pt idx="65">
                  <c:v>4.7500000000000007E-2</c:v>
                </c:pt>
                <c:pt idx="66">
                  <c:v>5.000000000000001E-2</c:v>
                </c:pt>
                <c:pt idx="67">
                  <c:v>5.2500000000000012E-2</c:v>
                </c:pt>
                <c:pt idx="68">
                  <c:v>5.5000000000000014E-2</c:v>
                </c:pt>
                <c:pt idx="69">
                  <c:v>5.7500000000000016E-2</c:v>
                </c:pt>
                <c:pt idx="70">
                  <c:v>6.0000000000000019E-2</c:v>
                </c:pt>
                <c:pt idx="71">
                  <c:v>6.2500000000000014E-2</c:v>
                </c:pt>
                <c:pt idx="72">
                  <c:v>6.5000000000000016E-2</c:v>
                </c:pt>
                <c:pt idx="73">
                  <c:v>6.7500000000000018E-2</c:v>
                </c:pt>
                <c:pt idx="74">
                  <c:v>7.0000000000000021E-2</c:v>
                </c:pt>
                <c:pt idx="75">
                  <c:v>7.2500000000000023E-2</c:v>
                </c:pt>
                <c:pt idx="76">
                  <c:v>7.5000000000000025E-2</c:v>
                </c:pt>
                <c:pt idx="77">
                  <c:v>7.7500000000000027E-2</c:v>
                </c:pt>
                <c:pt idx="78">
                  <c:v>8.0000000000000029E-2</c:v>
                </c:pt>
                <c:pt idx="79">
                  <c:v>8.2500000000000032E-2</c:v>
                </c:pt>
                <c:pt idx="80">
                  <c:v>8.5000000000000034E-2</c:v>
                </c:pt>
                <c:pt idx="81">
                  <c:v>8.7500000000000036E-2</c:v>
                </c:pt>
                <c:pt idx="82">
                  <c:v>9.0000000000000038E-2</c:v>
                </c:pt>
                <c:pt idx="83">
                  <c:v>9.2500000000000041E-2</c:v>
                </c:pt>
                <c:pt idx="84">
                  <c:v>9.5000000000000043E-2</c:v>
                </c:pt>
                <c:pt idx="85">
                  <c:v>9.7500000000000045E-2</c:v>
                </c:pt>
                <c:pt idx="86">
                  <c:v>0.10000000000000005</c:v>
                </c:pt>
                <c:pt idx="87">
                  <c:v>0.10250000000000005</c:v>
                </c:pt>
                <c:pt idx="88">
                  <c:v>0.10500000000000005</c:v>
                </c:pt>
                <c:pt idx="89">
                  <c:v>0.10750000000000005</c:v>
                </c:pt>
                <c:pt idx="90">
                  <c:v>0.11000000000000006</c:v>
                </c:pt>
                <c:pt idx="91">
                  <c:v>0.11250000000000006</c:v>
                </c:pt>
                <c:pt idx="92">
                  <c:v>0.11500000000000006</c:v>
                </c:pt>
              </c:numCache>
            </c:numRef>
          </c:xVal>
          <c:yVal>
            <c:numRef>
              <c:f>'Notes | Quant Analysis'!$S$210:$S$302</c:f>
              <c:numCache>
                <c:formatCode>General</c:formatCode>
                <c:ptCount val="93"/>
                <c:pt idx="0">
                  <c:v>2</c:v>
                </c:pt>
                <c:pt idx="1">
                  <c:v>1</c:v>
                </c:pt>
                <c:pt idx="2">
                  <c:v>1</c:v>
                </c:pt>
                <c:pt idx="3">
                  <c:v>1</c:v>
                </c:pt>
                <c:pt idx="4">
                  <c:v>0</c:v>
                </c:pt>
                <c:pt idx="5">
                  <c:v>0</c:v>
                </c:pt>
                <c:pt idx="6">
                  <c:v>0</c:v>
                </c:pt>
                <c:pt idx="7">
                  <c:v>0</c:v>
                </c:pt>
                <c:pt idx="8">
                  <c:v>1</c:v>
                </c:pt>
                <c:pt idx="9">
                  <c:v>0</c:v>
                </c:pt>
                <c:pt idx="10">
                  <c:v>0</c:v>
                </c:pt>
                <c:pt idx="11">
                  <c:v>1</c:v>
                </c:pt>
                <c:pt idx="12">
                  <c:v>2</c:v>
                </c:pt>
                <c:pt idx="13">
                  <c:v>2</c:v>
                </c:pt>
                <c:pt idx="14">
                  <c:v>3</c:v>
                </c:pt>
                <c:pt idx="15">
                  <c:v>0</c:v>
                </c:pt>
                <c:pt idx="16">
                  <c:v>0</c:v>
                </c:pt>
                <c:pt idx="17">
                  <c:v>6</c:v>
                </c:pt>
                <c:pt idx="18">
                  <c:v>1</c:v>
                </c:pt>
                <c:pt idx="19">
                  <c:v>0</c:v>
                </c:pt>
                <c:pt idx="20">
                  <c:v>1</c:v>
                </c:pt>
                <c:pt idx="21">
                  <c:v>2</c:v>
                </c:pt>
                <c:pt idx="22">
                  <c:v>3</c:v>
                </c:pt>
                <c:pt idx="23">
                  <c:v>2</c:v>
                </c:pt>
                <c:pt idx="24">
                  <c:v>3</c:v>
                </c:pt>
                <c:pt idx="25">
                  <c:v>9</c:v>
                </c:pt>
                <c:pt idx="26">
                  <c:v>5</c:v>
                </c:pt>
                <c:pt idx="27">
                  <c:v>4</c:v>
                </c:pt>
                <c:pt idx="28">
                  <c:v>6</c:v>
                </c:pt>
                <c:pt idx="29">
                  <c:v>7</c:v>
                </c:pt>
                <c:pt idx="30">
                  <c:v>8</c:v>
                </c:pt>
                <c:pt idx="31">
                  <c:v>5</c:v>
                </c:pt>
                <c:pt idx="32">
                  <c:v>13</c:v>
                </c:pt>
                <c:pt idx="33">
                  <c:v>16</c:v>
                </c:pt>
                <c:pt idx="34">
                  <c:v>9</c:v>
                </c:pt>
                <c:pt idx="35">
                  <c:v>13</c:v>
                </c:pt>
                <c:pt idx="36">
                  <c:v>14</c:v>
                </c:pt>
                <c:pt idx="37">
                  <c:v>25</c:v>
                </c:pt>
                <c:pt idx="38">
                  <c:v>22</c:v>
                </c:pt>
                <c:pt idx="39">
                  <c:v>14</c:v>
                </c:pt>
                <c:pt idx="40">
                  <c:v>17</c:v>
                </c:pt>
                <c:pt idx="41">
                  <c:v>22</c:v>
                </c:pt>
                <c:pt idx="42">
                  <c:v>16</c:v>
                </c:pt>
                <c:pt idx="43">
                  <c:v>22</c:v>
                </c:pt>
                <c:pt idx="44">
                  <c:v>30</c:v>
                </c:pt>
                <c:pt idx="45">
                  <c:v>23</c:v>
                </c:pt>
                <c:pt idx="46">
                  <c:v>27</c:v>
                </c:pt>
                <c:pt idx="47">
                  <c:v>19</c:v>
                </c:pt>
                <c:pt idx="48">
                  <c:v>23</c:v>
                </c:pt>
                <c:pt idx="49">
                  <c:v>29</c:v>
                </c:pt>
                <c:pt idx="50">
                  <c:v>20</c:v>
                </c:pt>
                <c:pt idx="51">
                  <c:v>26</c:v>
                </c:pt>
                <c:pt idx="52">
                  <c:v>21</c:v>
                </c:pt>
                <c:pt idx="53">
                  <c:v>24</c:v>
                </c:pt>
                <c:pt idx="54">
                  <c:v>24</c:v>
                </c:pt>
                <c:pt idx="55">
                  <c:v>22</c:v>
                </c:pt>
                <c:pt idx="56">
                  <c:v>16</c:v>
                </c:pt>
                <c:pt idx="57">
                  <c:v>20</c:v>
                </c:pt>
                <c:pt idx="58">
                  <c:v>14</c:v>
                </c:pt>
                <c:pt idx="59">
                  <c:v>11</c:v>
                </c:pt>
                <c:pt idx="60">
                  <c:v>14</c:v>
                </c:pt>
                <c:pt idx="61">
                  <c:v>11</c:v>
                </c:pt>
                <c:pt idx="62">
                  <c:v>3</c:v>
                </c:pt>
                <c:pt idx="63">
                  <c:v>10</c:v>
                </c:pt>
                <c:pt idx="64">
                  <c:v>5</c:v>
                </c:pt>
                <c:pt idx="65">
                  <c:v>11</c:v>
                </c:pt>
                <c:pt idx="66">
                  <c:v>4</c:v>
                </c:pt>
                <c:pt idx="67">
                  <c:v>7</c:v>
                </c:pt>
                <c:pt idx="68">
                  <c:v>3</c:v>
                </c:pt>
                <c:pt idx="69">
                  <c:v>8</c:v>
                </c:pt>
                <c:pt idx="70">
                  <c:v>5</c:v>
                </c:pt>
                <c:pt idx="71">
                  <c:v>8</c:v>
                </c:pt>
                <c:pt idx="72">
                  <c:v>1</c:v>
                </c:pt>
                <c:pt idx="73">
                  <c:v>5</c:v>
                </c:pt>
                <c:pt idx="74">
                  <c:v>2</c:v>
                </c:pt>
                <c:pt idx="75">
                  <c:v>3</c:v>
                </c:pt>
                <c:pt idx="76">
                  <c:v>1</c:v>
                </c:pt>
                <c:pt idx="77">
                  <c:v>1</c:v>
                </c:pt>
                <c:pt idx="78">
                  <c:v>2</c:v>
                </c:pt>
                <c:pt idx="79">
                  <c:v>0</c:v>
                </c:pt>
                <c:pt idx="80">
                  <c:v>1</c:v>
                </c:pt>
                <c:pt idx="81">
                  <c:v>0</c:v>
                </c:pt>
                <c:pt idx="82">
                  <c:v>1</c:v>
                </c:pt>
                <c:pt idx="83">
                  <c:v>2</c:v>
                </c:pt>
                <c:pt idx="84">
                  <c:v>4</c:v>
                </c:pt>
                <c:pt idx="85">
                  <c:v>1</c:v>
                </c:pt>
                <c:pt idx="86">
                  <c:v>0</c:v>
                </c:pt>
                <c:pt idx="87">
                  <c:v>2</c:v>
                </c:pt>
                <c:pt idx="88">
                  <c:v>0</c:v>
                </c:pt>
                <c:pt idx="89">
                  <c:v>0</c:v>
                </c:pt>
                <c:pt idx="90">
                  <c:v>1</c:v>
                </c:pt>
                <c:pt idx="91">
                  <c:v>0</c:v>
                </c:pt>
                <c:pt idx="92">
                  <c:v>0</c:v>
                </c:pt>
              </c:numCache>
            </c:numRef>
          </c:yVal>
          <c:smooth val="1"/>
          <c:extLst>
            <c:ext xmlns:c16="http://schemas.microsoft.com/office/drawing/2014/chart" uri="{C3380CC4-5D6E-409C-BE32-E72D297353CC}">
              <c16:uniqueId val="{00000000-28C7-4862-86E9-AF862A5BA0AD}"/>
            </c:ext>
          </c:extLst>
        </c:ser>
        <c:ser>
          <c:idx val="1"/>
          <c:order val="1"/>
          <c:tx>
            <c:strRef>
              <c:f>'Notes | Quant Analysis'!$U$208</c:f>
              <c:strCache>
                <c:ptCount val="1"/>
                <c:pt idx="0">
                  <c:v>Distribution Overlay</c:v>
                </c:pt>
              </c:strCache>
            </c:strRef>
          </c:tx>
          <c:spPr>
            <a:ln w="19050" cap="rnd">
              <a:solidFill>
                <a:srgbClr val="FFC000"/>
              </a:solidFill>
              <a:round/>
            </a:ln>
            <a:effectLst/>
          </c:spPr>
          <c:marker>
            <c:symbol val="none"/>
          </c:marker>
          <c:xVal>
            <c:numRef>
              <c:f>'Notes | Quant Analysis'!$U$210:$U$306</c:f>
              <c:numCache>
                <c:formatCode>0.00%</c:formatCode>
                <c:ptCount val="97"/>
                <c:pt idx="0">
                  <c:v>-0.12000000000000006</c:v>
                </c:pt>
                <c:pt idx="1">
                  <c:v>-0.11750000000000006</c:v>
                </c:pt>
                <c:pt idx="2">
                  <c:v>-0.11500000000000006</c:v>
                </c:pt>
                <c:pt idx="3">
                  <c:v>-0.11250000000000006</c:v>
                </c:pt>
                <c:pt idx="4">
                  <c:v>-0.11000000000000006</c:v>
                </c:pt>
                <c:pt idx="5">
                  <c:v>-0.10750000000000005</c:v>
                </c:pt>
                <c:pt idx="6">
                  <c:v>-0.10500000000000005</c:v>
                </c:pt>
                <c:pt idx="7">
                  <c:v>-0.10250000000000005</c:v>
                </c:pt>
                <c:pt idx="8">
                  <c:v>-0.10000000000000005</c:v>
                </c:pt>
                <c:pt idx="9">
                  <c:v>-9.7500000000000045E-2</c:v>
                </c:pt>
                <c:pt idx="10">
                  <c:v>-9.5000000000000043E-2</c:v>
                </c:pt>
                <c:pt idx="11">
                  <c:v>-9.2500000000000041E-2</c:v>
                </c:pt>
                <c:pt idx="12">
                  <c:v>-9.0000000000000038E-2</c:v>
                </c:pt>
                <c:pt idx="13">
                  <c:v>-8.7500000000000036E-2</c:v>
                </c:pt>
                <c:pt idx="14">
                  <c:v>-8.5000000000000034E-2</c:v>
                </c:pt>
                <c:pt idx="15">
                  <c:v>-8.2500000000000032E-2</c:v>
                </c:pt>
                <c:pt idx="16">
                  <c:v>-8.0000000000000029E-2</c:v>
                </c:pt>
                <c:pt idx="17">
                  <c:v>-7.7500000000000027E-2</c:v>
                </c:pt>
                <c:pt idx="18">
                  <c:v>-7.5000000000000025E-2</c:v>
                </c:pt>
                <c:pt idx="19">
                  <c:v>-7.2500000000000023E-2</c:v>
                </c:pt>
                <c:pt idx="20">
                  <c:v>-7.0000000000000021E-2</c:v>
                </c:pt>
                <c:pt idx="21">
                  <c:v>-6.7500000000000018E-2</c:v>
                </c:pt>
                <c:pt idx="22">
                  <c:v>-6.5000000000000016E-2</c:v>
                </c:pt>
                <c:pt idx="23">
                  <c:v>-6.2500000000000014E-2</c:v>
                </c:pt>
                <c:pt idx="24">
                  <c:v>-6.0000000000000019E-2</c:v>
                </c:pt>
                <c:pt idx="25">
                  <c:v>-5.7500000000000016E-2</c:v>
                </c:pt>
                <c:pt idx="26">
                  <c:v>-5.5000000000000014E-2</c:v>
                </c:pt>
                <c:pt idx="27">
                  <c:v>-5.2500000000000012E-2</c:v>
                </c:pt>
                <c:pt idx="28">
                  <c:v>-5.000000000000001E-2</c:v>
                </c:pt>
                <c:pt idx="29">
                  <c:v>-4.7500000000000007E-2</c:v>
                </c:pt>
                <c:pt idx="30">
                  <c:v>-4.5000000000000005E-2</c:v>
                </c:pt>
                <c:pt idx="31">
                  <c:v>-4.2500000000000003E-2</c:v>
                </c:pt>
                <c:pt idx="32">
                  <c:v>-0.04</c:v>
                </c:pt>
                <c:pt idx="33">
                  <c:v>-3.7499999999999999E-2</c:v>
                </c:pt>
                <c:pt idx="34">
                  <c:v>-3.4999999999999996E-2</c:v>
                </c:pt>
                <c:pt idx="35">
                  <c:v>-3.2499999999999994E-2</c:v>
                </c:pt>
                <c:pt idx="36">
                  <c:v>-2.9999999999999995E-2</c:v>
                </c:pt>
                <c:pt idx="37">
                  <c:v>-2.7499999999999997E-2</c:v>
                </c:pt>
                <c:pt idx="38">
                  <c:v>-2.4999999999999998E-2</c:v>
                </c:pt>
                <c:pt idx="39">
                  <c:v>-2.2499999999999999E-2</c:v>
                </c:pt>
                <c:pt idx="40">
                  <c:v>-0.02</c:v>
                </c:pt>
                <c:pt idx="41">
                  <c:v>-1.7500000000000002E-2</c:v>
                </c:pt>
                <c:pt idx="42">
                  <c:v>-1.5000000000000001E-2</c:v>
                </c:pt>
                <c:pt idx="43">
                  <c:v>-1.2500000000000001E-2</c:v>
                </c:pt>
                <c:pt idx="44">
                  <c:v>-0.01</c:v>
                </c:pt>
                <c:pt idx="45">
                  <c:v>-7.4999999999999997E-3</c:v>
                </c:pt>
                <c:pt idx="46">
                  <c:v>-5.0000000000000001E-3</c:v>
                </c:pt>
                <c:pt idx="47">
                  <c:v>-2.5000000000000001E-3</c:v>
                </c:pt>
                <c:pt idx="48">
                  <c:v>0</c:v>
                </c:pt>
                <c:pt idx="49">
                  <c:v>2.5000000000000001E-3</c:v>
                </c:pt>
                <c:pt idx="50">
                  <c:v>5.0000000000000001E-3</c:v>
                </c:pt>
                <c:pt idx="51">
                  <c:v>7.4999999999999997E-3</c:v>
                </c:pt>
                <c:pt idx="52">
                  <c:v>0.01</c:v>
                </c:pt>
                <c:pt idx="53">
                  <c:v>1.2500000000000001E-2</c:v>
                </c:pt>
                <c:pt idx="54">
                  <c:v>1.5000000000000001E-2</c:v>
                </c:pt>
                <c:pt idx="55">
                  <c:v>1.7500000000000002E-2</c:v>
                </c:pt>
                <c:pt idx="56">
                  <c:v>0.02</c:v>
                </c:pt>
                <c:pt idx="57">
                  <c:v>2.2499999999999999E-2</c:v>
                </c:pt>
                <c:pt idx="58">
                  <c:v>2.4999999999999998E-2</c:v>
                </c:pt>
                <c:pt idx="59">
                  <c:v>2.7499999999999997E-2</c:v>
                </c:pt>
                <c:pt idx="60">
                  <c:v>2.9999999999999995E-2</c:v>
                </c:pt>
                <c:pt idx="61">
                  <c:v>3.2499999999999994E-2</c:v>
                </c:pt>
                <c:pt idx="62">
                  <c:v>3.4999999999999996E-2</c:v>
                </c:pt>
                <c:pt idx="63">
                  <c:v>3.7499999999999999E-2</c:v>
                </c:pt>
                <c:pt idx="64">
                  <c:v>0.04</c:v>
                </c:pt>
                <c:pt idx="65">
                  <c:v>4.2500000000000003E-2</c:v>
                </c:pt>
                <c:pt idx="66">
                  <c:v>4.5000000000000005E-2</c:v>
                </c:pt>
                <c:pt idx="67">
                  <c:v>4.7500000000000007E-2</c:v>
                </c:pt>
                <c:pt idx="68">
                  <c:v>5.000000000000001E-2</c:v>
                </c:pt>
                <c:pt idx="69">
                  <c:v>5.2500000000000012E-2</c:v>
                </c:pt>
                <c:pt idx="70">
                  <c:v>5.5000000000000014E-2</c:v>
                </c:pt>
                <c:pt idx="71">
                  <c:v>5.7500000000000016E-2</c:v>
                </c:pt>
                <c:pt idx="72">
                  <c:v>6.0000000000000019E-2</c:v>
                </c:pt>
                <c:pt idx="73">
                  <c:v>6.2500000000000014E-2</c:v>
                </c:pt>
                <c:pt idx="74">
                  <c:v>6.5000000000000016E-2</c:v>
                </c:pt>
                <c:pt idx="75">
                  <c:v>6.7500000000000018E-2</c:v>
                </c:pt>
                <c:pt idx="76">
                  <c:v>7.0000000000000021E-2</c:v>
                </c:pt>
                <c:pt idx="77">
                  <c:v>7.2500000000000023E-2</c:v>
                </c:pt>
                <c:pt idx="78">
                  <c:v>7.5000000000000025E-2</c:v>
                </c:pt>
                <c:pt idx="79">
                  <c:v>7.7500000000000027E-2</c:v>
                </c:pt>
                <c:pt idx="80">
                  <c:v>8.0000000000000029E-2</c:v>
                </c:pt>
                <c:pt idx="81">
                  <c:v>8.2500000000000032E-2</c:v>
                </c:pt>
                <c:pt idx="82">
                  <c:v>8.5000000000000034E-2</c:v>
                </c:pt>
                <c:pt idx="83">
                  <c:v>8.7500000000000036E-2</c:v>
                </c:pt>
                <c:pt idx="84">
                  <c:v>9.0000000000000038E-2</c:v>
                </c:pt>
                <c:pt idx="85">
                  <c:v>9.2500000000000041E-2</c:v>
                </c:pt>
                <c:pt idx="86">
                  <c:v>9.5000000000000043E-2</c:v>
                </c:pt>
                <c:pt idx="87">
                  <c:v>9.7500000000000045E-2</c:v>
                </c:pt>
                <c:pt idx="88">
                  <c:v>0.10000000000000005</c:v>
                </c:pt>
                <c:pt idx="89">
                  <c:v>0.10250000000000005</c:v>
                </c:pt>
                <c:pt idx="90">
                  <c:v>0.10500000000000005</c:v>
                </c:pt>
                <c:pt idx="91">
                  <c:v>0.10750000000000005</c:v>
                </c:pt>
                <c:pt idx="92">
                  <c:v>0.11000000000000006</c:v>
                </c:pt>
                <c:pt idx="93">
                  <c:v>0.11250000000000006</c:v>
                </c:pt>
                <c:pt idx="94">
                  <c:v>0.11500000000000006</c:v>
                </c:pt>
                <c:pt idx="95">
                  <c:v>0.11750000000000006</c:v>
                </c:pt>
                <c:pt idx="96">
                  <c:v>0.12000000000000006</c:v>
                </c:pt>
              </c:numCache>
            </c:numRef>
          </c:xVal>
          <c:yVal>
            <c:numRef>
              <c:f>'Notes | Quant Analysis'!$V$210:$V$306</c:f>
              <c:numCache>
                <c:formatCode>General</c:formatCode>
                <c:ptCount val="97"/>
                <c:pt idx="0">
                  <c:v>5.5908368906182629E-2</c:v>
                </c:pt>
                <c:pt idx="1">
                  <c:v>6.9041441837799367E-2</c:v>
                </c:pt>
                <c:pt idx="2">
                  <c:v>8.489041238067549E-2</c:v>
                </c:pt>
                <c:pt idx="3">
                  <c:v>0.10392575654015968</c:v>
                </c:pt>
                <c:pt idx="4">
                  <c:v>0.12667867337010241</c:v>
                </c:pt>
                <c:pt idx="5">
                  <c:v>0.15374449669223259</c:v>
                </c:pt>
                <c:pt idx="6">
                  <c:v>0.18578532738814443</c:v>
                </c:pt>
                <c:pt idx="7">
                  <c:v>0.223531640622326</c:v>
                </c:pt>
                <c:pt idx="8">
                  <c:v>0.26778260356622374</c:v>
                </c:pt>
                <c:pt idx="9">
                  <c:v>0.31940482646548973</c:v>
                </c:pt>
                <c:pt idx="10">
                  <c:v>0.37932926504354331</c:v>
                </c:pt>
                <c:pt idx="11">
                  <c:v>0.44854599708668619</c:v>
                </c:pt>
                <c:pt idx="12">
                  <c:v>0.52809661234164729</c:v>
                </c:pt>
                <c:pt idx="13">
                  <c:v>0.61906398411016172</c:v>
                </c:pt>
                <c:pt idx="14">
                  <c:v>0.72255923436585856</c:v>
                </c:pt>
                <c:pt idx="15">
                  <c:v>0.83970576262658669</c:v>
                </c:pt>
                <c:pt idx="16">
                  <c:v>0.97162028241105869</c:v>
                </c:pt>
                <c:pt idx="17">
                  <c:v>1.1193908974417914</c:v>
                </c:pt>
                <c:pt idx="18">
                  <c:v>1.2840523516114026</c:v>
                </c:pt>
                <c:pt idx="19">
                  <c:v>1.4665587000591154</c:v>
                </c:pt>
                <c:pt idx="20">
                  <c:v>1.6677537705979659</c:v>
                </c:pt>
                <c:pt idx="21">
                  <c:v>1.8883399114273456</c:v>
                </c:pt>
                <c:pt idx="22">
                  <c:v>2.1288456480047815</c:v>
                </c:pt>
                <c:pt idx="23">
                  <c:v>2.389592993900965</c:v>
                </c:pt>
                <c:pt idx="24">
                  <c:v>2.6706652716773576</c:v>
                </c:pt>
                <c:pt idx="25">
                  <c:v>2.9718763942684947</c:v>
                </c:pt>
                <c:pt idx="26">
                  <c:v>3.2927426289569595</c:v>
                </c:pt>
                <c:pt idx="27">
                  <c:v>3.6324579090085636</c:v>
                </c:pt>
                <c:pt idx="28">
                  <c:v>3.9898737671989575</c:v>
                </c:pt>
                <c:pt idx="29">
                  <c:v>4.3634849365533244</c:v>
                </c:pt>
                <c:pt idx="30">
                  <c:v>4.7514215936314201</c:v>
                </c:pt>
                <c:pt idx="31">
                  <c:v>5.1514491071541446</c:v>
                </c:pt>
                <c:pt idx="32">
                  <c:v>5.5609759999914568</c:v>
                </c:pt>
                <c:pt idx="33">
                  <c:v>5.9770706377581595</c:v>
                </c:pt>
                <c:pt idx="34">
                  <c:v>6.3964869267477669</c:v>
                </c:pt>
                <c:pt idx="35">
                  <c:v>6.815699043912069</c:v>
                </c:pt>
                <c:pt idx="36">
                  <c:v>7.2309449401484374</c:v>
                </c:pt>
                <c:pt idx="37">
                  <c:v>7.6382780649699544</c:v>
                </c:pt>
                <c:pt idx="38">
                  <c:v>8.0336264666327573</c:v>
                </c:pt>
                <c:pt idx="39">
                  <c:v>8.4128581387087173</c:v>
                </c:pt>
                <c:pt idx="40">
                  <c:v>8.7718512239277295</c:v>
                </c:pt>
                <c:pt idx="41">
                  <c:v>9.1065674605936433</c:v>
                </c:pt>
                <c:pt idx="42">
                  <c:v>9.4131270768462301</c:v>
                </c:pt>
                <c:pt idx="43">
                  <c:v>9.6878832128945369</c:v>
                </c:pt>
                <c:pt idx="44">
                  <c:v>9.9274938885037063</c:v>
                </c:pt>
                <c:pt idx="45">
                  <c:v>10.128989537473393</c:v>
                </c:pt>
                <c:pt idx="46">
                  <c:v>10.289834204833797</c:v>
                </c:pt>
                <c:pt idx="47">
                  <c:v>10.407978645269072</c:v>
                </c:pt>
                <c:pt idx="48">
                  <c:v>10.481903769094231</c:v>
                </c:pt>
                <c:pt idx="49">
                  <c:v>10.510653148271135</c:v>
                </c:pt>
                <c:pt idx="50">
                  <c:v>10.49385361008807</c:v>
                </c:pt>
                <c:pt idx="51">
                  <c:v>10.431723298609803</c:v>
                </c:pt>
                <c:pt idx="52">
                  <c:v>10.325066960443376</c:v>
                </c:pt>
                <c:pt idx="53">
                  <c:v>10.175258597242793</c:v>
                </c:pt>
                <c:pt idx="54">
                  <c:v>9.9842120077292353</c:v>
                </c:pt>
                <c:pt idx="55">
                  <c:v>9.7543401021310085</c:v>
                </c:pt>
                <c:pt idx="56">
                  <c:v>9.4885041981015288</c:v>
                </c:pt>
                <c:pt idx="57">
                  <c:v>9.1899547872033036</c:v>
                </c:pt>
                <c:pt idx="58">
                  <c:v>8.8622654849465867</c:v>
                </c:pt>
                <c:pt idx="59">
                  <c:v>8.5092620377203261</c:v>
                </c:pt>
                <c:pt idx="60">
                  <c:v>8.134948352202839</c:v>
                </c:pt>
                <c:pt idx="61">
                  <c:v>7.7434315354581518</c:v>
                </c:pt>
                <c:pt idx="62">
                  <c:v>7.3388478883785293</c:v>
                </c:pt>
                <c:pt idx="63">
                  <c:v>6.9252916857219828</c:v>
                </c:pt>
                <c:pt idx="64">
                  <c:v>6.5067484095374875</c:v>
                </c:pt>
                <c:pt idx="65">
                  <c:v>6.0870338881955588</c:v>
                </c:pt>
                <c:pt idx="66">
                  <c:v>5.6697405410664166</c:v>
                </c:pt>
                <c:pt idx="67">
                  <c:v>5.2581916506601321</c:v>
                </c:pt>
                <c:pt idx="68">
                  <c:v>4.8554042917521896</c:v>
                </c:pt>
                <c:pt idx="69">
                  <c:v>4.4640612525178938</c:v>
                </c:pt>
                <c:pt idx="70">
                  <c:v>4.0864919971748526</c:v>
                </c:pt>
                <c:pt idx="71">
                  <c:v>3.7246624531309793</c:v>
                </c:pt>
                <c:pt idx="72">
                  <c:v>3.3801731666879737</c:v>
                </c:pt>
                <c:pt idx="73">
                  <c:v>3.0542651666960698</c:v>
                </c:pt>
                <c:pt idx="74">
                  <c:v>2.7478327099771396</c:v>
                </c:pt>
                <c:pt idx="75">
                  <c:v>2.4614419585976122</c:v>
                </c:pt>
                <c:pt idx="76">
                  <c:v>2.1953545579833649</c:v>
                </c:pt>
                <c:pt idx="77">
                  <c:v>1.9495550454038901</c:v>
                </c:pt>
                <c:pt idx="78">
                  <c:v>1.7237810178848674</c:v>
                </c:pt>
                <c:pt idx="79">
                  <c:v>1.5175550231774979</c:v>
                </c:pt>
                <c:pt idx="80">
                  <c:v>1.3302172020430738</c:v>
                </c:pt>
                <c:pt idx="81">
                  <c:v>1.1609577991381994</c:v>
                </c:pt>
                <c:pt idx="82">
                  <c:v>1.0088487671874149</c:v>
                </c:pt>
                <c:pt idx="83">
                  <c:v>0.87287380883341026</c:v>
                </c:pt>
                <c:pt idx="84">
                  <c:v>0.75195632671509027</c:v>
                </c:pt>
                <c:pt idx="85">
                  <c:v>0.64498487955347239</c:v>
                </c:pt>
                <c:pt idx="86">
                  <c:v>0.55083586557783493</c:v>
                </c:pt>
                <c:pt idx="87">
                  <c:v>0.46839327052052665</c:v>
                </c:pt>
                <c:pt idx="88">
                  <c:v>0.39656542251053062</c:v>
                </c:pt>
                <c:pt idx="89">
                  <c:v>0.33429878823075054</c:v>
                </c:pt>
                <c:pt idx="90">
                  <c:v>0.28058892224329623</c:v>
                </c:pt>
                <c:pt idx="91">
                  <c:v>0.2344887437876462</c:v>
                </c:pt>
                <c:pt idx="92">
                  <c:v>0.19511436267301005</c:v>
                </c:pt>
                <c:pt idx="93">
                  <c:v>0.16164870876336365</c:v>
                </c:pt>
                <c:pt idx="94">
                  <c:v>0.13334323910702547</c:v>
                </c:pt>
                <c:pt idx="95">
                  <c:v>0.10951800445571655</c:v>
                </c:pt>
                <c:pt idx="96">
                  <c:v>8.9560354442135892E-2</c:v>
                </c:pt>
              </c:numCache>
            </c:numRef>
          </c:yVal>
          <c:smooth val="1"/>
          <c:extLst>
            <c:ext xmlns:c16="http://schemas.microsoft.com/office/drawing/2014/chart" uri="{C3380CC4-5D6E-409C-BE32-E72D297353CC}">
              <c16:uniqueId val="{00000001-28C7-4862-86E9-AF862A5BA0AD}"/>
            </c:ext>
          </c:extLst>
        </c:ser>
        <c:ser>
          <c:idx val="2"/>
          <c:order val="2"/>
          <c:tx>
            <c:strRef>
              <c:f>'Notes | Quant Analysis'!$X$210</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0678258108866998E-2"/>
                  <c:y val="-4.5051887744801226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0760535152450425"/>
                      <c:h val="7.7448415101958407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Analysis'!$Y$210:$Y$211</c:f>
              <c:numCache>
                <c:formatCode>0.00%</c:formatCode>
                <c:ptCount val="2"/>
                <c:pt idx="0">
                  <c:v>2.8282711740463835E-3</c:v>
                </c:pt>
                <c:pt idx="1">
                  <c:v>2.8282711740463835E-3</c:v>
                </c:pt>
              </c:numCache>
            </c:numRef>
          </c:xVal>
          <c:yVal>
            <c:numRef>
              <c:f>'Notes | Quant Analysis'!$Z$210:$Z$211</c:f>
              <c:numCache>
                <c:formatCode>General</c:formatCode>
                <c:ptCount val="2"/>
                <c:pt idx="0">
                  <c:v>0</c:v>
                </c:pt>
                <c:pt idx="1">
                  <c:v>10.5</c:v>
                </c:pt>
              </c:numCache>
            </c:numRef>
          </c:yVal>
          <c:smooth val="1"/>
          <c:extLst>
            <c:ext xmlns:c16="http://schemas.microsoft.com/office/drawing/2014/chart" uri="{C3380CC4-5D6E-409C-BE32-E72D297353CC}">
              <c16:uniqueId val="{00000004-28C7-4862-86E9-AF862A5BA0AD}"/>
            </c:ext>
          </c:extLst>
        </c:ser>
        <c:ser>
          <c:idx val="3"/>
          <c:order val="3"/>
          <c:tx>
            <c:strRef>
              <c:f>'Notes | Quant Analysis'!$X$212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Analysis'!$Y$212:$Y$213</c:f>
              <c:numCache>
                <c:formatCode>0.00%</c:formatCode>
                <c:ptCount val="2"/>
                <c:pt idx="0">
                  <c:v>-0.11103544977259083</c:v>
                </c:pt>
                <c:pt idx="1">
                  <c:v>-0.11103544977259083</c:v>
                </c:pt>
              </c:numCache>
            </c:numRef>
          </c:xVal>
          <c:yVal>
            <c:numRef>
              <c:f>'Notes | Quant Analysis'!$Z$212:$Z$213</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Analysis'!$X$214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3.7398240165768329E-2"/>
                  <c:y val="-3.335859775488597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Analysis'!$Y$214:$Y$215</c:f>
              <c:numCache>
                <c:formatCode>0.00%</c:formatCode>
                <c:ptCount val="2"/>
                <c:pt idx="0">
                  <c:v>-7.3080876123711766E-2</c:v>
                </c:pt>
                <c:pt idx="1">
                  <c:v>-7.3080876123711766E-2</c:v>
                </c:pt>
              </c:numCache>
            </c:numRef>
          </c:xVal>
          <c:yVal>
            <c:numRef>
              <c:f>'Notes | Quant Analysis'!$Z$214:$Z$215</c:f>
              <c:numCache>
                <c:formatCode>General</c:formatCode>
                <c:ptCount val="2"/>
                <c:pt idx="0">
                  <c:v>0</c:v>
                </c:pt>
                <c:pt idx="1">
                  <c:v>2</c:v>
                </c:pt>
              </c:numCache>
            </c:numRef>
          </c:yVal>
          <c:smooth val="1"/>
          <c:extLst>
            <c:ext xmlns:c16="http://schemas.microsoft.com/office/drawing/2014/chart" uri="{C3380CC4-5D6E-409C-BE32-E72D297353CC}">
              <c16:uniqueId val="{0000000A-28C7-4862-86E9-AF862A5BA0AD}"/>
            </c:ext>
          </c:extLst>
        </c:ser>
        <c:ser>
          <c:idx val="5"/>
          <c:order val="5"/>
          <c:tx>
            <c:strRef>
              <c:f>'Notes | Quant Analysis'!$X$216</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5.7904777517626328E-2"/>
                  <c:y val="-5.523406772790516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Analysis'!$Y$216:$Y$217</c:f>
              <c:numCache>
                <c:formatCode>0.00%</c:formatCode>
                <c:ptCount val="2"/>
                <c:pt idx="0">
                  <c:v>-3.5126302474832692E-2</c:v>
                </c:pt>
                <c:pt idx="1">
                  <c:v>-3.5126302474832692E-2</c:v>
                </c:pt>
              </c:numCache>
            </c:numRef>
          </c:xVal>
          <c:yVal>
            <c:numRef>
              <c:f>'Notes | Quant Analysis'!$Z$216:$Z$217</c:f>
              <c:numCache>
                <c:formatCode>General</c:formatCode>
                <c:ptCount val="2"/>
                <c:pt idx="0">
                  <c:v>0</c:v>
                </c:pt>
                <c:pt idx="1">
                  <c:v>6.25</c:v>
                </c:pt>
              </c:numCache>
            </c:numRef>
          </c:yVal>
          <c:smooth val="1"/>
          <c:extLst>
            <c:ext xmlns:c16="http://schemas.microsoft.com/office/drawing/2014/chart" uri="{C3380CC4-5D6E-409C-BE32-E72D297353CC}">
              <c16:uniqueId val="{0000000D-28C7-4862-86E9-AF862A5BA0AD}"/>
            </c:ext>
          </c:extLst>
        </c:ser>
        <c:ser>
          <c:idx val="6"/>
          <c:order val="6"/>
          <c:tx>
            <c:strRef>
              <c:f>'Notes | Quant Analysis'!$X$218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3.6964054590380449E-2"/>
                  <c:y val="-4.5115019516018671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Analysis'!$Y$218:$Y$219</c:f>
              <c:numCache>
                <c:formatCode>0.00%</c:formatCode>
                <c:ptCount val="2"/>
                <c:pt idx="0">
                  <c:v>4.0782844822925456E-2</c:v>
                </c:pt>
                <c:pt idx="1">
                  <c:v>4.0782844822925456E-2</c:v>
                </c:pt>
              </c:numCache>
            </c:numRef>
          </c:xVal>
          <c:yVal>
            <c:numRef>
              <c:f>'Notes | Quant Analysis'!$Z$218:$Z$219</c:f>
              <c:numCache>
                <c:formatCode>General</c:formatCode>
                <c:ptCount val="2"/>
                <c:pt idx="0">
                  <c:v>0</c:v>
                </c:pt>
                <c:pt idx="1">
                  <c:v>6.25</c:v>
                </c:pt>
              </c:numCache>
            </c:numRef>
          </c:yVal>
          <c:smooth val="1"/>
          <c:extLst>
            <c:ext xmlns:c16="http://schemas.microsoft.com/office/drawing/2014/chart" uri="{C3380CC4-5D6E-409C-BE32-E72D297353CC}">
              <c16:uniqueId val="{0000000F-28C7-4862-86E9-AF862A5BA0AD}"/>
            </c:ext>
          </c:extLst>
        </c:ser>
        <c:ser>
          <c:idx val="7"/>
          <c:order val="7"/>
          <c:tx>
            <c:strRef>
              <c:f>'Notes | Quant Analysis'!$X$220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5231939488566733E-2"/>
                  <c:y val="-2.591651586031340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Analysis'!$Y$220:$Y$221</c:f>
              <c:numCache>
                <c:formatCode>0.00%</c:formatCode>
                <c:ptCount val="2"/>
                <c:pt idx="0">
                  <c:v>7.8737418471804529E-2</c:v>
                </c:pt>
                <c:pt idx="1">
                  <c:v>7.8737418471804529E-2</c:v>
                </c:pt>
              </c:numCache>
            </c:numRef>
          </c:xVal>
          <c:yVal>
            <c:numRef>
              <c:f>'Notes | Quant Analysis'!$Z$220:$Z$221</c:f>
              <c:numCache>
                <c:formatCode>General</c:formatCode>
                <c:ptCount val="2"/>
                <c:pt idx="0">
                  <c:v>0</c:v>
                </c:pt>
                <c:pt idx="1">
                  <c:v>2</c:v>
                </c:pt>
              </c:numCache>
            </c:numRef>
          </c:yVal>
          <c:smooth val="1"/>
          <c:extLst>
            <c:ext xmlns:c16="http://schemas.microsoft.com/office/drawing/2014/chart" uri="{C3380CC4-5D6E-409C-BE32-E72D297353CC}">
              <c16:uniqueId val="{00000012-28C7-4862-86E9-AF862A5BA0AD}"/>
            </c:ext>
          </c:extLst>
        </c:ser>
        <c:ser>
          <c:idx val="8"/>
          <c:order val="8"/>
          <c:tx>
            <c:strRef>
              <c:f>'Notes | Quant Analysis'!$X$222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Analysis'!$Y$222:$Y$223</c:f>
              <c:numCache>
                <c:formatCode>0.00%</c:formatCode>
                <c:ptCount val="2"/>
                <c:pt idx="0">
                  <c:v>0.1166919921206836</c:v>
                </c:pt>
                <c:pt idx="1">
                  <c:v>0.1166919921206836</c:v>
                </c:pt>
              </c:numCache>
            </c:numRef>
          </c:xVal>
          <c:yVal>
            <c:numRef>
              <c:f>'Notes | Quant Analysis'!$Z$222:$Z$223</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3"/>
          <c:min val="-0.13"/>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(CRDO) Annual Ttl Revenues, Net Income, Free Cash Flows (in $ millions)</a:t>
            </a:r>
            <a:endParaRPr lang="en-US"/>
          </a:p>
        </c:rich>
      </c:tx>
      <c:layout>
        <c:manualLayout>
          <c:xMode val="edge"/>
          <c:yMode val="edge"/>
          <c:x val="0.23397446490841892"/>
          <c:y val="1.514476366814921E-2"/>
        </c:manualLayout>
      </c:layout>
      <c:overlay val="0"/>
      <c:spPr>
        <a:noFill/>
        <a:ln>
          <a:noFill/>
        </a:ln>
        <a:effectLst/>
      </c:spPr>
    </c:title>
    <c:autoTitleDeleted val="0"/>
    <c:plotArea>
      <c:layout>
        <c:manualLayout>
          <c:layoutTarget val="inner"/>
          <c:xMode val="edge"/>
          <c:yMode val="edge"/>
          <c:x val="9.6798374398629289E-2"/>
          <c:y val="0.14254720614885355"/>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Model!$AA$42:$AD$42</c:f>
              <c:numCache>
                <c:formatCode>0.0</c:formatCode>
                <c:ptCount val="4"/>
                <c:pt idx="0">
                  <c:v>-23.200000000000003</c:v>
                </c:pt>
                <c:pt idx="1">
                  <c:v>-11.399999999999999</c:v>
                </c:pt>
                <c:pt idx="2">
                  <c:v>-26.499999999999986</c:v>
                </c:pt>
                <c:pt idx="3">
                  <c:v>52.100000000000009</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Model!$AA$87:$AD$87</c:f>
              <c:numCache>
                <c:formatCode>0.0</c:formatCode>
                <c:ptCount val="4"/>
                <c:pt idx="0">
                  <c:v>-48.2</c:v>
                </c:pt>
                <c:pt idx="1">
                  <c:v>-46.3</c:v>
                </c:pt>
                <c:pt idx="2">
                  <c:v>17.200000000000003</c:v>
                </c:pt>
                <c:pt idx="3">
                  <c:v>28.999999999999996</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Model!$AA$3:$AD$3</c:f>
              <c:numCache>
                <c:formatCode>General</c:formatCode>
                <c:ptCount val="4"/>
                <c:pt idx="0">
                  <c:v>2022</c:v>
                </c:pt>
                <c:pt idx="1">
                  <c:v>2023</c:v>
                </c:pt>
                <c:pt idx="2">
                  <c:v>2024</c:v>
                </c:pt>
                <c:pt idx="3">
                  <c:v>2025</c:v>
                </c:pt>
              </c:numCache>
            </c:numRef>
          </c:cat>
          <c:val>
            <c:numRef>
              <c:f>Model!$AA$32:$AD$32</c:f>
              <c:numCache>
                <c:formatCode>0.0</c:formatCode>
                <c:ptCount val="4"/>
                <c:pt idx="0">
                  <c:v>106.39999999999999</c:v>
                </c:pt>
                <c:pt idx="1">
                  <c:v>184.29999999999998</c:v>
                </c:pt>
                <c:pt idx="2">
                  <c:v>193</c:v>
                </c:pt>
                <c:pt idx="3">
                  <c:v>436.7</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5560651351076219"/>
          <c:y val="7.8323271936752939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2</xdr:row>
      <xdr:rowOff>9526</xdr:rowOff>
    </xdr:from>
    <xdr:to>
      <xdr:col>9</xdr:col>
      <xdr:colOff>600075</xdr:colOff>
      <xdr:row>8</xdr:row>
      <xdr:rowOff>0</xdr:rowOff>
    </xdr:to>
    <xdr:pic>
      <xdr:nvPicPr>
        <xdr:cNvPr id="2" name="Picture 1">
          <a:extLst>
            <a:ext uri="{FF2B5EF4-FFF2-40B4-BE49-F238E27FC236}">
              <a16:creationId xmlns:a16="http://schemas.microsoft.com/office/drawing/2014/main" id="{931C4C97-0135-2619-22F0-F6A21BE15303}"/>
            </a:ext>
          </a:extLst>
        </xdr:cNvPr>
        <xdr:cNvPicPr>
          <a:picLocks noChangeAspect="1"/>
        </xdr:cNvPicPr>
      </xdr:nvPicPr>
      <xdr:blipFill>
        <a:blip xmlns:r="http://schemas.openxmlformats.org/officeDocument/2006/relationships" r:embed="rId1"/>
        <a:stretch>
          <a:fillRect/>
        </a:stretch>
      </xdr:blipFill>
      <xdr:spPr>
        <a:xfrm>
          <a:off x="4057650" y="381001"/>
          <a:ext cx="1809750" cy="10763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0</xdr:colOff>
      <xdr:row>0</xdr:row>
      <xdr:rowOff>0</xdr:rowOff>
    </xdr:from>
    <xdr:to>
      <xdr:col>20</xdr:col>
      <xdr:colOff>0</xdr:colOff>
      <xdr:row>112</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13536706" y="0"/>
          <a:ext cx="0" cy="19773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0</xdr:colOff>
      <xdr:row>0</xdr:row>
      <xdr:rowOff>0</xdr:rowOff>
    </xdr:from>
    <xdr:to>
      <xdr:col>30</xdr:col>
      <xdr:colOff>0</xdr:colOff>
      <xdr:row>111</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67</xdr:row>
      <xdr:rowOff>190499</xdr:rowOff>
    </xdr:from>
    <xdr:to>
      <xdr:col>32</xdr:col>
      <xdr:colOff>0</xdr:colOff>
      <xdr:row>98</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104</xdr:row>
      <xdr:rowOff>0</xdr:rowOff>
    </xdr:from>
    <xdr:to>
      <xdr:col>32</xdr:col>
      <xdr:colOff>0</xdr:colOff>
      <xdr:row>132</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169</xdr:row>
      <xdr:rowOff>0</xdr:rowOff>
    </xdr:from>
    <xdr:to>
      <xdr:col>32</xdr:col>
      <xdr:colOff>0</xdr:colOff>
      <xdr:row>197</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137</xdr:row>
      <xdr:rowOff>0</xdr:rowOff>
    </xdr:from>
    <xdr:to>
      <xdr:col>32</xdr:col>
      <xdr:colOff>0</xdr:colOff>
      <xdr:row>165</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13607</xdr:colOff>
      <xdr:row>2</xdr:row>
      <xdr:rowOff>13607</xdr:rowOff>
    </xdr:from>
    <xdr:to>
      <xdr:col>27</xdr:col>
      <xdr:colOff>81642</xdr:colOff>
      <xdr:row>25</xdr:row>
      <xdr:rowOff>179293</xdr:rowOff>
    </xdr:to>
    <xdr:pic>
      <xdr:nvPicPr>
        <xdr:cNvPr id="6" name="Picture 5">
          <a:extLst>
            <a:ext uri="{FF2B5EF4-FFF2-40B4-BE49-F238E27FC236}">
              <a16:creationId xmlns:a16="http://schemas.microsoft.com/office/drawing/2014/main" id="{25B46EEF-C211-08CE-7281-D2ED56ED5096}"/>
            </a:ext>
          </a:extLst>
        </xdr:cNvPr>
        <xdr:cNvPicPr>
          <a:picLocks noChangeAspect="1"/>
        </xdr:cNvPicPr>
      </xdr:nvPicPr>
      <xdr:blipFill>
        <a:blip xmlns:r="http://schemas.openxmlformats.org/officeDocument/2006/relationships" r:embed="rId5"/>
        <a:stretch>
          <a:fillRect/>
        </a:stretch>
      </xdr:blipFill>
      <xdr:spPr>
        <a:xfrm>
          <a:off x="226519" y="383401"/>
          <a:ext cx="6119211" cy="4289451"/>
        </a:xfrm>
        <a:prstGeom prst="rect">
          <a:avLst/>
        </a:prstGeom>
      </xdr:spPr>
    </xdr:pic>
    <xdr:clientData/>
  </xdr:twoCellAnchor>
  <xdr:twoCellAnchor editAs="oneCell">
    <xdr:from>
      <xdr:col>27</xdr:col>
      <xdr:colOff>13607</xdr:colOff>
      <xdr:row>2</xdr:row>
      <xdr:rowOff>13607</xdr:rowOff>
    </xdr:from>
    <xdr:to>
      <xdr:col>37</xdr:col>
      <xdr:colOff>5200</xdr:colOff>
      <xdr:row>28</xdr:row>
      <xdr:rowOff>163286</xdr:rowOff>
    </xdr:to>
    <xdr:pic>
      <xdr:nvPicPr>
        <xdr:cNvPr id="7" name="Picture 6">
          <a:extLst>
            <a:ext uri="{FF2B5EF4-FFF2-40B4-BE49-F238E27FC236}">
              <a16:creationId xmlns:a16="http://schemas.microsoft.com/office/drawing/2014/main" id="{4364F3BF-A1EC-B0C5-9552-64DDC1089E53}"/>
            </a:ext>
          </a:extLst>
        </xdr:cNvPr>
        <xdr:cNvPicPr>
          <a:picLocks noChangeAspect="1"/>
        </xdr:cNvPicPr>
      </xdr:nvPicPr>
      <xdr:blipFill>
        <a:blip xmlns:r="http://schemas.openxmlformats.org/officeDocument/2006/relationships" r:embed="rId6"/>
        <a:stretch>
          <a:fillRect/>
        </a:stretch>
      </xdr:blipFill>
      <xdr:spPr>
        <a:xfrm>
          <a:off x="6340928" y="381000"/>
          <a:ext cx="6114808" cy="4748893"/>
        </a:xfrm>
        <a:prstGeom prst="rect">
          <a:avLst/>
        </a:prstGeom>
      </xdr:spPr>
    </xdr:pic>
    <xdr:clientData/>
  </xdr:twoCellAnchor>
  <xdr:twoCellAnchor editAs="oneCell">
    <xdr:from>
      <xdr:col>17</xdr:col>
      <xdr:colOff>13607</xdr:colOff>
      <xdr:row>36</xdr:row>
      <xdr:rowOff>13607</xdr:rowOff>
    </xdr:from>
    <xdr:to>
      <xdr:col>26</xdr:col>
      <xdr:colOff>0</xdr:colOff>
      <xdr:row>63</xdr:row>
      <xdr:rowOff>11206</xdr:rowOff>
    </xdr:to>
    <xdr:pic>
      <xdr:nvPicPr>
        <xdr:cNvPr id="8" name="Picture 7">
          <a:extLst>
            <a:ext uri="{FF2B5EF4-FFF2-40B4-BE49-F238E27FC236}">
              <a16:creationId xmlns:a16="http://schemas.microsoft.com/office/drawing/2014/main" id="{CA6D47BC-9ABC-15A8-228D-FF6C158DA4FA}"/>
            </a:ext>
          </a:extLst>
        </xdr:cNvPr>
        <xdr:cNvPicPr>
          <a:picLocks noChangeAspect="1"/>
        </xdr:cNvPicPr>
      </xdr:nvPicPr>
      <xdr:blipFill>
        <a:blip xmlns:r="http://schemas.openxmlformats.org/officeDocument/2006/relationships" r:embed="rId7"/>
        <a:stretch>
          <a:fillRect/>
        </a:stretch>
      </xdr:blipFill>
      <xdr:spPr>
        <a:xfrm>
          <a:off x="226519" y="6490607"/>
          <a:ext cx="5432452" cy="4838540"/>
        </a:xfrm>
        <a:prstGeom prst="rect">
          <a:avLst/>
        </a:prstGeom>
      </xdr:spPr>
    </xdr:pic>
    <xdr:clientData/>
  </xdr:twoCellAnchor>
  <xdr:twoCellAnchor editAs="oneCell">
    <xdr:from>
      <xdr:col>37</xdr:col>
      <xdr:colOff>190499</xdr:colOff>
      <xdr:row>36</xdr:row>
      <xdr:rowOff>0</xdr:rowOff>
    </xdr:from>
    <xdr:to>
      <xdr:col>49</xdr:col>
      <xdr:colOff>17318</xdr:colOff>
      <xdr:row>63</xdr:row>
      <xdr:rowOff>17318</xdr:rowOff>
    </xdr:to>
    <xdr:pic>
      <xdr:nvPicPr>
        <xdr:cNvPr id="9" name="Picture 8">
          <a:extLst>
            <a:ext uri="{FF2B5EF4-FFF2-40B4-BE49-F238E27FC236}">
              <a16:creationId xmlns:a16="http://schemas.microsoft.com/office/drawing/2014/main" id="{9D5350FB-CA0F-91EC-5B35-7F60396754AB}"/>
            </a:ext>
          </a:extLst>
        </xdr:cNvPr>
        <xdr:cNvPicPr>
          <a:picLocks noChangeAspect="1"/>
        </xdr:cNvPicPr>
      </xdr:nvPicPr>
      <xdr:blipFill>
        <a:blip xmlns:r="http://schemas.openxmlformats.org/officeDocument/2006/relationships" r:embed="rId8"/>
        <a:stretch>
          <a:fillRect/>
        </a:stretch>
      </xdr:blipFill>
      <xdr:spPr>
        <a:xfrm>
          <a:off x="12521044" y="6286500"/>
          <a:ext cx="6684819" cy="4693227"/>
        </a:xfrm>
        <a:prstGeom prst="rect">
          <a:avLst/>
        </a:prstGeom>
      </xdr:spPr>
    </xdr:pic>
    <xdr:clientData/>
  </xdr:twoCellAnchor>
  <xdr:twoCellAnchor editAs="oneCell">
    <xdr:from>
      <xdr:col>38</xdr:col>
      <xdr:colOff>0</xdr:colOff>
      <xdr:row>67</xdr:row>
      <xdr:rowOff>190499</xdr:rowOff>
    </xdr:from>
    <xdr:to>
      <xdr:col>49</xdr:col>
      <xdr:colOff>0</xdr:colOff>
      <xdr:row>96</xdr:row>
      <xdr:rowOff>17317</xdr:rowOff>
    </xdr:to>
    <xdr:pic>
      <xdr:nvPicPr>
        <xdr:cNvPr id="10" name="Picture 9">
          <a:extLst>
            <a:ext uri="{FF2B5EF4-FFF2-40B4-BE49-F238E27FC236}">
              <a16:creationId xmlns:a16="http://schemas.microsoft.com/office/drawing/2014/main" id="{D0BBB267-7B79-1D02-70FA-66258E34961F}"/>
            </a:ext>
          </a:extLst>
        </xdr:cNvPr>
        <xdr:cNvPicPr>
          <a:picLocks noChangeAspect="1"/>
        </xdr:cNvPicPr>
      </xdr:nvPicPr>
      <xdr:blipFill>
        <a:blip xmlns:r="http://schemas.openxmlformats.org/officeDocument/2006/relationships" r:embed="rId9"/>
        <a:stretch>
          <a:fillRect/>
        </a:stretch>
      </xdr:blipFill>
      <xdr:spPr>
        <a:xfrm>
          <a:off x="12521045" y="11845635"/>
          <a:ext cx="6667500" cy="4866409"/>
        </a:xfrm>
        <a:prstGeom prst="rect">
          <a:avLst/>
        </a:prstGeom>
      </xdr:spPr>
    </xdr:pic>
    <xdr:clientData/>
  </xdr:twoCellAnchor>
  <xdr:twoCellAnchor editAs="oneCell">
    <xdr:from>
      <xdr:col>49</xdr:col>
      <xdr:colOff>0</xdr:colOff>
      <xdr:row>67</xdr:row>
      <xdr:rowOff>190499</xdr:rowOff>
    </xdr:from>
    <xdr:to>
      <xdr:col>60</xdr:col>
      <xdr:colOff>25376</xdr:colOff>
      <xdr:row>96</xdr:row>
      <xdr:rowOff>17317</xdr:rowOff>
    </xdr:to>
    <xdr:pic>
      <xdr:nvPicPr>
        <xdr:cNvPr id="11" name="Picture 10">
          <a:extLst>
            <a:ext uri="{FF2B5EF4-FFF2-40B4-BE49-F238E27FC236}">
              <a16:creationId xmlns:a16="http://schemas.microsoft.com/office/drawing/2014/main" id="{2AF73AD7-A956-3811-4740-E1D43AE909FB}"/>
            </a:ext>
          </a:extLst>
        </xdr:cNvPr>
        <xdr:cNvPicPr>
          <a:picLocks noChangeAspect="1"/>
        </xdr:cNvPicPr>
      </xdr:nvPicPr>
      <xdr:blipFill>
        <a:blip xmlns:r="http://schemas.openxmlformats.org/officeDocument/2006/relationships" r:embed="rId10"/>
        <a:stretch>
          <a:fillRect/>
        </a:stretch>
      </xdr:blipFill>
      <xdr:spPr>
        <a:xfrm>
          <a:off x="19188545" y="11845635"/>
          <a:ext cx="6692876" cy="48664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11</xdr:col>
      <xdr:colOff>1</xdr:colOff>
      <xdr:row>23</xdr:row>
      <xdr:rowOff>180974</xdr:rowOff>
    </xdr:to>
    <xdr:pic>
      <xdr:nvPicPr>
        <xdr:cNvPr id="2" name="Picture 1">
          <a:extLst>
            <a:ext uri="{FF2B5EF4-FFF2-40B4-BE49-F238E27FC236}">
              <a16:creationId xmlns:a16="http://schemas.microsoft.com/office/drawing/2014/main" id="{3FDF9DE1-5FAE-4DD3-87CE-9C13D813CF2E}"/>
            </a:ext>
          </a:extLst>
        </xdr:cNvPr>
        <xdr:cNvPicPr>
          <a:picLocks noChangeAspect="1"/>
        </xdr:cNvPicPr>
      </xdr:nvPicPr>
      <xdr:blipFill>
        <a:blip xmlns:r="http://schemas.openxmlformats.org/officeDocument/2006/relationships" r:embed="rId1"/>
        <a:stretch>
          <a:fillRect/>
        </a:stretch>
      </xdr:blipFill>
      <xdr:spPr>
        <a:xfrm>
          <a:off x="209550" y="200025"/>
          <a:ext cx="6086476" cy="41433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sec.gov/edgar/browse/?CIK=1807794&amp;owner=exclude" TargetMode="External"/><Relationship Id="rId2" Type="http://schemas.openxmlformats.org/officeDocument/2006/relationships/hyperlink" Target="https://credosemi.com/" TargetMode="External"/><Relationship Id="rId1" Type="http://schemas.openxmlformats.org/officeDocument/2006/relationships/hyperlink" Target="https://app.godeltermina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49"/>
  <sheetViews>
    <sheetView zoomScale="85" zoomScaleNormal="85" workbookViewId="0">
      <selection activeCell="D4" sqref="D4"/>
    </sheetView>
  </sheetViews>
  <sheetFormatPr defaultColWidth="9.140625" defaultRowHeight="14.25"/>
  <cols>
    <col min="1" max="1" width="3.42578125" style="1" customWidth="1"/>
    <col min="2" max="2" width="9.140625" style="1" customWidth="1"/>
    <col min="3" max="3" width="11.7109375" style="1" customWidth="1"/>
    <col min="4" max="4" width="9.140625" style="1" customWidth="1"/>
    <col min="5" max="16384" width="9.140625" style="1"/>
  </cols>
  <sheetData>
    <row r="2" spans="2:20" ht="15">
      <c r="B2" s="2" t="s">
        <v>893</v>
      </c>
    </row>
    <row r="3" spans="2:20">
      <c r="B3" s="1" t="s">
        <v>0</v>
      </c>
      <c r="C3" s="44">
        <v>146.18</v>
      </c>
      <c r="D3" s="43" t="s">
        <v>989</v>
      </c>
    </row>
    <row r="4" spans="2:20">
      <c r="B4" s="1" t="s">
        <v>1</v>
      </c>
      <c r="C4" s="45">
        <v>175.30699999999999</v>
      </c>
      <c r="D4" s="1" t="s">
        <v>988</v>
      </c>
    </row>
    <row r="5" spans="2:20">
      <c r="B5" s="1" t="s">
        <v>2</v>
      </c>
      <c r="C5" s="46">
        <f>C3*C4</f>
        <v>25626.377260000001</v>
      </c>
    </row>
    <row r="6" spans="2:20">
      <c r="B6" s="1" t="s">
        <v>3</v>
      </c>
      <c r="C6" s="47">
        <f>567.575+246</f>
        <v>813.57500000000005</v>
      </c>
      <c r="D6" s="1" t="s">
        <v>988</v>
      </c>
    </row>
    <row r="7" spans="2:20">
      <c r="B7" s="1" t="s">
        <v>4</v>
      </c>
      <c r="C7" s="47">
        <v>0</v>
      </c>
      <c r="D7" s="1" t="s">
        <v>988</v>
      </c>
    </row>
    <row r="8" spans="2:20">
      <c r="B8" s="1" t="s">
        <v>5</v>
      </c>
      <c r="C8" s="47">
        <f>C5-C6+C7</f>
        <v>24812.80226</v>
      </c>
    </row>
    <row r="10" spans="2:20" ht="15">
      <c r="B10" s="2" t="s">
        <v>910</v>
      </c>
    </row>
    <row r="12" spans="2:20" ht="15">
      <c r="B12" s="1" t="s">
        <v>901</v>
      </c>
      <c r="H12" s="1" t="s">
        <v>6</v>
      </c>
      <c r="P12" s="1" t="s">
        <v>113</v>
      </c>
      <c r="S12" s="2"/>
    </row>
    <row r="13" spans="2:20">
      <c r="B13" s="1" t="s">
        <v>903</v>
      </c>
      <c r="H13" s="1" t="s">
        <v>109</v>
      </c>
      <c r="I13" s="1" t="s">
        <v>902</v>
      </c>
      <c r="P13" s="1" t="s">
        <v>8</v>
      </c>
      <c r="S13" s="48" t="s">
        <v>898</v>
      </c>
    </row>
    <row r="14" spans="2:20">
      <c r="B14" s="1" t="s">
        <v>965</v>
      </c>
      <c r="H14" s="1" t="s">
        <v>7</v>
      </c>
      <c r="P14" s="1" t="s">
        <v>117</v>
      </c>
      <c r="S14" s="48" t="s">
        <v>896</v>
      </c>
    </row>
    <row r="15" spans="2:20">
      <c r="B15" s="1" t="s">
        <v>904</v>
      </c>
      <c r="H15" s="1" t="s">
        <v>110</v>
      </c>
      <c r="Q15" s="1" t="s">
        <v>116</v>
      </c>
      <c r="T15" s="48" t="s">
        <v>897</v>
      </c>
    </row>
    <row r="16" spans="2:20">
      <c r="B16" s="1" t="s">
        <v>905</v>
      </c>
      <c r="H16" s="1" t="s">
        <v>103</v>
      </c>
      <c r="K16" s="1" t="s">
        <v>104</v>
      </c>
      <c r="P16" s="1" t="s">
        <v>106</v>
      </c>
      <c r="S16" s="48" t="s">
        <v>895</v>
      </c>
    </row>
    <row r="17" spans="1:19">
      <c r="B17" s="1" t="s">
        <v>906</v>
      </c>
      <c r="P17" s="1" t="s">
        <v>107</v>
      </c>
      <c r="S17" s="48" t="s">
        <v>894</v>
      </c>
    </row>
    <row r="18" spans="1:19">
      <c r="B18" s="1" t="s">
        <v>907</v>
      </c>
      <c r="P18" s="1" t="s">
        <v>118</v>
      </c>
      <c r="S18" s="48" t="s">
        <v>899</v>
      </c>
    </row>
    <row r="19" spans="1:19">
      <c r="B19" s="1" t="s">
        <v>908</v>
      </c>
      <c r="P19" s="1" t="s">
        <v>119</v>
      </c>
      <c r="S19" s="48" t="s">
        <v>900</v>
      </c>
    </row>
    <row r="20" spans="1:19">
      <c r="B20" s="1" t="s">
        <v>909</v>
      </c>
      <c r="P20" s="1" t="s">
        <v>9</v>
      </c>
      <c r="S20" s="48" t="s">
        <v>108</v>
      </c>
    </row>
    <row r="21" spans="1:19">
      <c r="Q21" s="48"/>
    </row>
    <row r="22" spans="1:19" ht="15">
      <c r="A22" s="2" t="s">
        <v>10</v>
      </c>
      <c r="N22" s="2"/>
    </row>
    <row r="23" spans="1:19" ht="15">
      <c r="A23" s="2"/>
      <c r="B23" s="1" t="s">
        <v>911</v>
      </c>
      <c r="N23" s="2"/>
    </row>
    <row r="24" spans="1:19">
      <c r="C24" s="1" t="s">
        <v>978</v>
      </c>
    </row>
    <row r="25" spans="1:19">
      <c r="C25" s="1" t="s">
        <v>979</v>
      </c>
    </row>
    <row r="26" spans="1:19">
      <c r="B26" s="1" t="s">
        <v>980</v>
      </c>
    </row>
    <row r="27" spans="1:19">
      <c r="C27" s="1" t="s">
        <v>976</v>
      </c>
    </row>
    <row r="28" spans="1:19" ht="15">
      <c r="C28" s="1" t="s">
        <v>981</v>
      </c>
    </row>
    <row r="29" spans="1:19">
      <c r="D29" s="1" t="s">
        <v>966</v>
      </c>
    </row>
    <row r="30" spans="1:19">
      <c r="D30" s="1" t="s">
        <v>969</v>
      </c>
    </row>
    <row r="31" spans="1:19">
      <c r="B31" s="1" t="s">
        <v>983</v>
      </c>
    </row>
    <row r="32" spans="1:19">
      <c r="C32" s="1" t="s">
        <v>967</v>
      </c>
    </row>
    <row r="33" spans="2:4" ht="15">
      <c r="C33" s="1" t="s">
        <v>982</v>
      </c>
    </row>
    <row r="34" spans="2:4">
      <c r="C34" s="1" t="s">
        <v>968</v>
      </c>
    </row>
    <row r="35" spans="2:4">
      <c r="D35" s="1" t="s">
        <v>970</v>
      </c>
    </row>
    <row r="36" spans="2:4">
      <c r="B36" s="1" t="s">
        <v>971</v>
      </c>
    </row>
    <row r="37" spans="2:4" ht="15">
      <c r="C37" s="1" t="s">
        <v>972</v>
      </c>
    </row>
    <row r="38" spans="2:4">
      <c r="D38" s="1" t="s">
        <v>973</v>
      </c>
    </row>
    <row r="39" spans="2:4">
      <c r="D39" s="1" t="s">
        <v>977</v>
      </c>
    </row>
    <row r="40" spans="2:4">
      <c r="C40" s="1" t="s">
        <v>913</v>
      </c>
    </row>
    <row r="41" spans="2:4">
      <c r="C41" s="1" t="s">
        <v>912</v>
      </c>
    </row>
    <row r="42" spans="2:4">
      <c r="B42" s="1" t="s">
        <v>914</v>
      </c>
    </row>
    <row r="43" spans="2:4">
      <c r="C43" s="1" t="s">
        <v>974</v>
      </c>
    </row>
    <row r="44" spans="2:4">
      <c r="C44" s="1" t="s">
        <v>975</v>
      </c>
    </row>
    <row r="45" spans="2:4">
      <c r="B45" s="1" t="s">
        <v>984</v>
      </c>
    </row>
    <row r="46" spans="2:4">
      <c r="C46" s="1" t="s">
        <v>985</v>
      </c>
    </row>
    <row r="47" spans="2:4">
      <c r="B47" s="1" t="s">
        <v>915</v>
      </c>
    </row>
    <row r="49" spans="1:1" ht="15">
      <c r="A49" s="2" t="s">
        <v>111</v>
      </c>
    </row>
  </sheetData>
  <hyperlinks>
    <hyperlink ref="S20" r:id="rId1" xr:uid="{14375537-5C3D-4253-9650-337AB6789785}"/>
    <hyperlink ref="S14" r:id="rId2" xr:uid="{5459AA26-3C1D-4FFF-8EDE-EC5AF2527F1F}"/>
    <hyperlink ref="S13" r:id="rId3" xr:uid="{877B87AF-6848-4F1F-88DA-774FC3ABA11F}"/>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CO89"/>
  <sheetViews>
    <sheetView tabSelected="1" zoomScale="85" zoomScaleNormal="85" workbookViewId="0">
      <pane xSplit="2" ySplit="3" topLeftCell="AF37" activePane="bottomRight" state="frozen"/>
      <selection pane="topRight" activeCell="C1" sqref="C1"/>
      <selection pane="bottomLeft" activeCell="A4" sqref="A4"/>
      <selection pane="bottomRight" activeCell="AN56" sqref="AN56"/>
    </sheetView>
  </sheetViews>
  <sheetFormatPr defaultColWidth="9.140625" defaultRowHeight="14.25"/>
  <cols>
    <col min="1" max="1" width="3.140625" style="1" customWidth="1"/>
    <col min="2" max="2" width="36.42578125" style="1" customWidth="1"/>
    <col min="3" max="20" width="9.140625" style="1"/>
    <col min="21" max="22" width="9.140625" style="35"/>
    <col min="23" max="30" width="9.140625" style="1"/>
    <col min="31" max="92" width="9.140625" style="35"/>
    <col min="93" max="16384" width="9.140625" style="1"/>
  </cols>
  <sheetData>
    <row r="1" spans="2:93" ht="15">
      <c r="B1" s="1" t="s">
        <v>64</v>
      </c>
      <c r="C1" s="33" t="s">
        <v>44</v>
      </c>
      <c r="G1" s="33" t="s">
        <v>48</v>
      </c>
      <c r="K1" s="33" t="s">
        <v>52</v>
      </c>
      <c r="O1" s="33" t="s">
        <v>56</v>
      </c>
      <c r="S1" s="33" t="s">
        <v>60</v>
      </c>
    </row>
    <row r="2" spans="2:93">
      <c r="B2" s="1" t="s">
        <v>65</v>
      </c>
      <c r="C2" s="1" t="s">
        <v>924</v>
      </c>
      <c r="D2" s="1" t="s">
        <v>929</v>
      </c>
      <c r="E2" s="1" t="s">
        <v>926</v>
      </c>
      <c r="F2" s="1" t="s">
        <v>925</v>
      </c>
      <c r="G2" s="1" t="s">
        <v>924</v>
      </c>
      <c r="H2" s="1" t="s">
        <v>929</v>
      </c>
      <c r="I2" s="1" t="s">
        <v>926</v>
      </c>
      <c r="J2" s="1" t="s">
        <v>925</v>
      </c>
      <c r="K2" s="1" t="s">
        <v>924</v>
      </c>
      <c r="L2" s="1" t="s">
        <v>929</v>
      </c>
      <c r="M2" s="1" t="s">
        <v>926</v>
      </c>
      <c r="N2" s="1" t="s">
        <v>925</v>
      </c>
      <c r="O2" s="1" t="s">
        <v>924</v>
      </c>
      <c r="P2" s="1" t="s">
        <v>929</v>
      </c>
      <c r="Q2" s="1" t="s">
        <v>926</v>
      </c>
      <c r="R2" s="1" t="s">
        <v>925</v>
      </c>
      <c r="S2" s="1" t="s">
        <v>924</v>
      </c>
    </row>
    <row r="3" spans="2:93" ht="15">
      <c r="B3" s="2" t="s">
        <v>66</v>
      </c>
      <c r="C3" s="33" t="s">
        <v>44</v>
      </c>
      <c r="D3" s="33" t="s">
        <v>45</v>
      </c>
      <c r="E3" s="33" t="s">
        <v>46</v>
      </c>
      <c r="F3" s="33" t="s">
        <v>47</v>
      </c>
      <c r="G3" s="33" t="s">
        <v>48</v>
      </c>
      <c r="H3" s="33" t="s">
        <v>49</v>
      </c>
      <c r="I3" s="33" t="s">
        <v>50</v>
      </c>
      <c r="J3" s="33" t="s">
        <v>51</v>
      </c>
      <c r="K3" s="33" t="s">
        <v>52</v>
      </c>
      <c r="L3" s="33" t="s">
        <v>53</v>
      </c>
      <c r="M3" s="33" t="s">
        <v>54</v>
      </c>
      <c r="N3" s="33" t="s">
        <v>55</v>
      </c>
      <c r="O3" s="33" t="s">
        <v>56</v>
      </c>
      <c r="P3" s="2" t="s">
        <v>57</v>
      </c>
      <c r="Q3" s="2" t="s">
        <v>58</v>
      </c>
      <c r="R3" s="2" t="s">
        <v>59</v>
      </c>
      <c r="S3" s="2" t="s">
        <v>60</v>
      </c>
      <c r="T3" s="2" t="s">
        <v>61</v>
      </c>
      <c r="U3" s="34" t="s">
        <v>62</v>
      </c>
      <c r="V3" s="34" t="s">
        <v>63</v>
      </c>
      <c r="AA3" s="2">
        <v>2022</v>
      </c>
      <c r="AB3" s="2">
        <f t="shared" ref="AB3:CA3" si="0">AA3+1</f>
        <v>2023</v>
      </c>
      <c r="AC3" s="2">
        <f t="shared" si="0"/>
        <v>2024</v>
      </c>
      <c r="AD3" s="2">
        <f t="shared" si="0"/>
        <v>2025</v>
      </c>
      <c r="AE3" s="34">
        <f t="shared" si="0"/>
        <v>2026</v>
      </c>
      <c r="AF3" s="34">
        <f t="shared" si="0"/>
        <v>2027</v>
      </c>
      <c r="AG3" s="34">
        <f t="shared" si="0"/>
        <v>2028</v>
      </c>
      <c r="AH3" s="34">
        <f t="shared" si="0"/>
        <v>2029</v>
      </c>
      <c r="AI3" s="34">
        <f t="shared" si="0"/>
        <v>2030</v>
      </c>
      <c r="AJ3" s="34">
        <f t="shared" si="0"/>
        <v>2031</v>
      </c>
      <c r="AK3" s="34">
        <f t="shared" si="0"/>
        <v>2032</v>
      </c>
      <c r="AL3" s="34">
        <f t="shared" si="0"/>
        <v>2033</v>
      </c>
      <c r="AM3" s="34">
        <f t="shared" si="0"/>
        <v>2034</v>
      </c>
      <c r="AN3" s="34">
        <f t="shared" si="0"/>
        <v>2035</v>
      </c>
      <c r="AO3" s="34">
        <f t="shared" si="0"/>
        <v>2036</v>
      </c>
      <c r="AP3" s="34">
        <f t="shared" si="0"/>
        <v>2037</v>
      </c>
      <c r="AQ3" s="34">
        <f t="shared" si="0"/>
        <v>2038</v>
      </c>
      <c r="AR3" s="34">
        <f t="shared" si="0"/>
        <v>2039</v>
      </c>
      <c r="AS3" s="34">
        <f t="shared" si="0"/>
        <v>2040</v>
      </c>
      <c r="AT3" s="34">
        <f t="shared" si="0"/>
        <v>2041</v>
      </c>
      <c r="AU3" s="34">
        <f t="shared" si="0"/>
        <v>2042</v>
      </c>
      <c r="AV3" s="34">
        <f t="shared" si="0"/>
        <v>2043</v>
      </c>
      <c r="AW3" s="34">
        <f t="shared" si="0"/>
        <v>2044</v>
      </c>
      <c r="AX3" s="34">
        <f t="shared" si="0"/>
        <v>2045</v>
      </c>
      <c r="AY3" s="34">
        <f t="shared" si="0"/>
        <v>2046</v>
      </c>
      <c r="AZ3" s="34">
        <f t="shared" si="0"/>
        <v>2047</v>
      </c>
      <c r="BA3" s="34">
        <f t="shared" si="0"/>
        <v>2048</v>
      </c>
      <c r="BB3" s="34">
        <f t="shared" si="0"/>
        <v>2049</v>
      </c>
      <c r="BC3" s="34">
        <f t="shared" si="0"/>
        <v>2050</v>
      </c>
      <c r="BD3" s="34">
        <f t="shared" si="0"/>
        <v>2051</v>
      </c>
      <c r="BE3" s="34">
        <f t="shared" si="0"/>
        <v>2052</v>
      </c>
      <c r="BF3" s="34">
        <f t="shared" si="0"/>
        <v>2053</v>
      </c>
      <c r="BG3" s="34">
        <f t="shared" si="0"/>
        <v>2054</v>
      </c>
      <c r="BH3" s="34">
        <f t="shared" si="0"/>
        <v>2055</v>
      </c>
      <c r="BI3" s="34">
        <f t="shared" si="0"/>
        <v>2056</v>
      </c>
      <c r="BJ3" s="34">
        <f t="shared" si="0"/>
        <v>2057</v>
      </c>
      <c r="BK3" s="34">
        <f t="shared" si="0"/>
        <v>2058</v>
      </c>
      <c r="BL3" s="34">
        <f t="shared" si="0"/>
        <v>2059</v>
      </c>
      <c r="BM3" s="34">
        <f t="shared" si="0"/>
        <v>2060</v>
      </c>
      <c r="BN3" s="34">
        <f t="shared" si="0"/>
        <v>2061</v>
      </c>
      <c r="BO3" s="34">
        <f t="shared" si="0"/>
        <v>2062</v>
      </c>
      <c r="BP3" s="34">
        <f t="shared" si="0"/>
        <v>2063</v>
      </c>
      <c r="BQ3" s="34">
        <f t="shared" si="0"/>
        <v>2064</v>
      </c>
      <c r="BR3" s="34">
        <f t="shared" si="0"/>
        <v>2065</v>
      </c>
      <c r="BS3" s="34">
        <f t="shared" si="0"/>
        <v>2066</v>
      </c>
      <c r="BT3" s="34">
        <f t="shared" si="0"/>
        <v>2067</v>
      </c>
      <c r="BU3" s="34">
        <f t="shared" si="0"/>
        <v>2068</v>
      </c>
      <c r="BV3" s="34">
        <f t="shared" si="0"/>
        <v>2069</v>
      </c>
      <c r="BW3" s="34">
        <f t="shared" si="0"/>
        <v>2070</v>
      </c>
      <c r="BX3" s="34">
        <f t="shared" si="0"/>
        <v>2071</v>
      </c>
      <c r="BY3" s="34">
        <f t="shared" si="0"/>
        <v>2072</v>
      </c>
      <c r="BZ3" s="34">
        <f t="shared" si="0"/>
        <v>2073</v>
      </c>
      <c r="CA3" s="34">
        <f t="shared" si="0"/>
        <v>2074</v>
      </c>
      <c r="CB3" s="34">
        <f t="shared" ref="CB3:CL3" si="1">CA3+1</f>
        <v>2075</v>
      </c>
      <c r="CC3" s="34">
        <f t="shared" si="1"/>
        <v>2076</v>
      </c>
      <c r="CD3" s="34">
        <f t="shared" si="1"/>
        <v>2077</v>
      </c>
      <c r="CE3" s="34">
        <f t="shared" si="1"/>
        <v>2078</v>
      </c>
      <c r="CF3" s="34">
        <f t="shared" si="1"/>
        <v>2079</v>
      </c>
      <c r="CG3" s="34">
        <f t="shared" si="1"/>
        <v>2080</v>
      </c>
      <c r="CH3" s="34">
        <f t="shared" si="1"/>
        <v>2081</v>
      </c>
      <c r="CI3" s="34">
        <f t="shared" si="1"/>
        <v>2082</v>
      </c>
      <c r="CJ3" s="34">
        <f t="shared" si="1"/>
        <v>2083</v>
      </c>
      <c r="CK3" s="34">
        <f t="shared" si="1"/>
        <v>2084</v>
      </c>
      <c r="CL3" s="34">
        <f t="shared" si="1"/>
        <v>2085</v>
      </c>
      <c r="CM3" s="34"/>
      <c r="CN3" s="34"/>
      <c r="CO3" s="2"/>
    </row>
    <row r="4" spans="2:93">
      <c r="B4" s="36" t="s">
        <v>948</v>
      </c>
      <c r="K4" s="69">
        <v>30.027999999999999</v>
      </c>
      <c r="L4" s="69">
        <v>34.24</v>
      </c>
      <c r="M4" s="69">
        <v>39.975000000000001</v>
      </c>
      <c r="N4" s="69">
        <f>145.048-SUM(K4:M4)</f>
        <v>40.805000000000007</v>
      </c>
      <c r="O4" s="69">
        <v>53.838999999999999</v>
      </c>
      <c r="P4" s="69">
        <v>64.44</v>
      </c>
      <c r="Q4" s="69">
        <v>129.37</v>
      </c>
      <c r="R4" s="69">
        <f>412.167-SUM(O4:Q4)</f>
        <v>164.51799999999997</v>
      </c>
      <c r="S4" s="69">
        <v>217.059</v>
      </c>
      <c r="T4" s="69">
        <v>261.29000000000002</v>
      </c>
      <c r="AC4" s="69">
        <f>SUM(K4:N4)</f>
        <v>145.048</v>
      </c>
      <c r="AD4" s="69">
        <f>SUM(O4:R4)</f>
        <v>412.16699999999997</v>
      </c>
      <c r="AE4" s="74">
        <f>AD4*(1+AE8)</f>
        <v>1125.2159099999999</v>
      </c>
      <c r="AF4" s="74">
        <f t="shared" ref="AF4:AN4" si="2">AE4*(1+AF8)</f>
        <v>1654.0673876999999</v>
      </c>
      <c r="AG4" s="74">
        <f t="shared" si="2"/>
        <v>2183.368951764</v>
      </c>
      <c r="AH4" s="74">
        <f t="shared" si="2"/>
        <v>2794.71225825792</v>
      </c>
      <c r="AI4" s="74">
        <f t="shared" si="2"/>
        <v>3465.4432002398207</v>
      </c>
      <c r="AJ4" s="74">
        <f t="shared" si="2"/>
        <v>4193.1862722901833</v>
      </c>
      <c r="AK4" s="74">
        <f t="shared" si="2"/>
        <v>5367.2784285314347</v>
      </c>
      <c r="AL4" s="74">
        <f t="shared" si="2"/>
        <v>6118.6974085258362</v>
      </c>
      <c r="AM4" s="74">
        <f t="shared" si="2"/>
        <v>6791.7541234636792</v>
      </c>
      <c r="AN4" s="74">
        <f t="shared" si="2"/>
        <v>7335.0944533407737</v>
      </c>
    </row>
    <row r="5" spans="2:93">
      <c r="B5" s="36" t="s">
        <v>947</v>
      </c>
      <c r="K5" s="69">
        <f>2.29+2.774</f>
        <v>5.0640000000000001</v>
      </c>
      <c r="L5" s="69">
        <f>2.43+7.35</f>
        <v>9.7799999999999994</v>
      </c>
      <c r="M5" s="69">
        <f>11.83+1.25</f>
        <v>13.08</v>
      </c>
      <c r="N5" s="69">
        <f>19.898+28.024-SUM(K5:M5)</f>
        <v>19.997999999999998</v>
      </c>
      <c r="O5" s="69">
        <f>3.48+2.38</f>
        <v>5.8599999999999994</v>
      </c>
      <c r="P5" s="69">
        <f>4.63+2.95</f>
        <v>7.58</v>
      </c>
      <c r="Q5" s="69">
        <f>2.66+2.96</f>
        <v>5.62</v>
      </c>
      <c r="R5" s="69">
        <f>12.12+12.47-SUM(O5:Q5)</f>
        <v>5.5300000000000011</v>
      </c>
      <c r="S5" s="69">
        <v>6.0149999999999997</v>
      </c>
      <c r="T5" s="69">
        <v>6.73</v>
      </c>
      <c r="AC5" s="69">
        <f>SUM(K5:N5)</f>
        <v>47.921999999999997</v>
      </c>
      <c r="AD5" s="69">
        <f>SUM(O5:R5)</f>
        <v>24.59</v>
      </c>
      <c r="AE5" s="74">
        <f t="shared" ref="AE5:AN5" si="3">AD5*(1+AE9)</f>
        <v>25.081800000000001</v>
      </c>
      <c r="AF5" s="74">
        <f t="shared" si="3"/>
        <v>26.586708000000002</v>
      </c>
      <c r="AG5" s="74">
        <f t="shared" si="3"/>
        <v>31.372315440000001</v>
      </c>
      <c r="AH5" s="74">
        <f t="shared" si="3"/>
        <v>38.274224836800002</v>
      </c>
      <c r="AI5" s="74">
        <f t="shared" si="3"/>
        <v>44.398100810688</v>
      </c>
      <c r="AJ5" s="74">
        <f t="shared" si="3"/>
        <v>49.725872907970562</v>
      </c>
      <c r="AK5" s="74">
        <f t="shared" si="3"/>
        <v>54.69846019876762</v>
      </c>
      <c r="AL5" s="74">
        <f t="shared" si="3"/>
        <v>60.168306218644389</v>
      </c>
      <c r="AM5" s="74">
        <f t="shared" si="3"/>
        <v>66.185136840508832</v>
      </c>
      <c r="AN5" s="74">
        <f t="shared" si="3"/>
        <v>72.803650524559728</v>
      </c>
    </row>
    <row r="6" spans="2:93" s="2" customFormat="1" ht="15">
      <c r="B6" s="33" t="s">
        <v>67</v>
      </c>
      <c r="K6" s="68">
        <f t="shared" ref="K6:N6" si="4">SUM(K4:K5)</f>
        <v>35.091999999999999</v>
      </c>
      <c r="L6" s="68">
        <f t="shared" si="4"/>
        <v>44.02</v>
      </c>
      <c r="M6" s="68">
        <f t="shared" si="4"/>
        <v>53.055</v>
      </c>
      <c r="N6" s="68">
        <f t="shared" si="4"/>
        <v>60.803000000000004</v>
      </c>
      <c r="O6" s="68">
        <f t="shared" ref="O6:T6" si="5">SUM(O4:O5)</f>
        <v>59.698999999999998</v>
      </c>
      <c r="P6" s="68">
        <f t="shared" si="5"/>
        <v>72.02</v>
      </c>
      <c r="Q6" s="68">
        <f t="shared" si="5"/>
        <v>134.99</v>
      </c>
      <c r="R6" s="68">
        <f t="shared" si="5"/>
        <v>170.04799999999997</v>
      </c>
      <c r="S6" s="68">
        <f t="shared" si="5"/>
        <v>223.07399999999998</v>
      </c>
      <c r="T6" s="68">
        <f t="shared" si="5"/>
        <v>268.02000000000004</v>
      </c>
      <c r="U6" s="34"/>
      <c r="V6" s="34"/>
      <c r="AC6" s="68">
        <f>SUM(AC4:AC5)</f>
        <v>192.97</v>
      </c>
      <c r="AD6" s="68">
        <f>SUM(AD4:AD5)</f>
        <v>436.75699999999995</v>
      </c>
      <c r="AE6" s="74">
        <f>SUM(AE4:AE5)</f>
        <v>1150.2977099999998</v>
      </c>
      <c r="AF6" s="74">
        <f t="shared" ref="AF6:AN6" si="6">SUM(AF4:AF5)</f>
        <v>1680.6540957</v>
      </c>
      <c r="AG6" s="74">
        <f t="shared" si="6"/>
        <v>2214.741267204</v>
      </c>
      <c r="AH6" s="74">
        <f t="shared" si="6"/>
        <v>2832.9864830947199</v>
      </c>
      <c r="AI6" s="74">
        <f t="shared" si="6"/>
        <v>3509.8413010505087</v>
      </c>
      <c r="AJ6" s="74">
        <f t="shared" si="6"/>
        <v>4242.9121451981537</v>
      </c>
      <c r="AK6" s="74">
        <f t="shared" si="6"/>
        <v>5421.9768887302025</v>
      </c>
      <c r="AL6" s="74">
        <f t="shared" si="6"/>
        <v>6178.865714744481</v>
      </c>
      <c r="AM6" s="74">
        <f t="shared" si="6"/>
        <v>6857.9392603041879</v>
      </c>
      <c r="AN6" s="74">
        <f t="shared" si="6"/>
        <v>7407.8981038653337</v>
      </c>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row>
    <row r="7" spans="2:93">
      <c r="B7" s="36"/>
    </row>
    <row r="8" spans="2:93">
      <c r="B8" s="36" t="s">
        <v>958</v>
      </c>
      <c r="O8" s="70">
        <f t="shared" ref="O8:R8" si="7">O4/K4-1</f>
        <v>0.79295990408951655</v>
      </c>
      <c r="P8" s="70">
        <f t="shared" si="7"/>
        <v>0.88200934579439227</v>
      </c>
      <c r="Q8" s="70">
        <f t="shared" si="7"/>
        <v>2.2362726704190119</v>
      </c>
      <c r="R8" s="70">
        <f t="shared" si="7"/>
        <v>3.0318098272270539</v>
      </c>
      <c r="S8" s="70">
        <f>S4/O4-1</f>
        <v>3.0316313453073054</v>
      </c>
      <c r="T8" s="70">
        <f>T4/P4-1</f>
        <v>3.0547796399751714</v>
      </c>
      <c r="AD8" s="70">
        <f>AD4/AC4-1</f>
        <v>1.8415903700843854</v>
      </c>
      <c r="AE8" s="78">
        <v>1.73</v>
      </c>
      <c r="AF8" s="78">
        <v>0.47</v>
      </c>
      <c r="AG8" s="78">
        <v>0.32</v>
      </c>
      <c r="AH8" s="78">
        <v>0.28000000000000003</v>
      </c>
      <c r="AI8" s="78">
        <v>0.24</v>
      </c>
      <c r="AJ8" s="78">
        <v>0.21</v>
      </c>
      <c r="AK8" s="78">
        <v>0.28000000000000003</v>
      </c>
      <c r="AL8" s="78">
        <v>0.14000000000000001</v>
      </c>
      <c r="AM8" s="78">
        <v>0.11</v>
      </c>
      <c r="AN8" s="78">
        <v>0.08</v>
      </c>
    </row>
    <row r="9" spans="2:93">
      <c r="B9" s="36" t="s">
        <v>959</v>
      </c>
      <c r="O9" s="70">
        <f t="shared" ref="O9:R9" si="8">O5/K5-1</f>
        <v>0.15718799368088465</v>
      </c>
      <c r="P9" s="70">
        <f t="shared" si="8"/>
        <v>-0.22494887525562368</v>
      </c>
      <c r="Q9" s="70">
        <f t="shared" si="8"/>
        <v>-0.57033639143730885</v>
      </c>
      <c r="R9" s="70">
        <f t="shared" si="8"/>
        <v>-0.72347234723472331</v>
      </c>
      <c r="S9" s="70">
        <f>S5/O5-1</f>
        <v>2.6450511945392607E-2</v>
      </c>
      <c r="T9" s="70">
        <f>T5/P5-1</f>
        <v>-0.11213720316622688</v>
      </c>
      <c r="AD9" s="70">
        <f>AD5/AC5-1</f>
        <v>-0.48687450440298818</v>
      </c>
      <c r="AE9" s="78">
        <v>0.02</v>
      </c>
      <c r="AF9" s="78">
        <v>0.06</v>
      </c>
      <c r="AG9" s="78">
        <v>0.18</v>
      </c>
      <c r="AH9" s="78">
        <v>0.22</v>
      </c>
      <c r="AI9" s="78">
        <v>0.16</v>
      </c>
      <c r="AJ9" s="78">
        <v>0.12</v>
      </c>
      <c r="AK9" s="78">
        <v>0.1</v>
      </c>
      <c r="AL9" s="78">
        <v>0.1</v>
      </c>
      <c r="AM9" s="78">
        <v>0.1</v>
      </c>
      <c r="AN9" s="78">
        <v>0.1</v>
      </c>
    </row>
    <row r="10" spans="2:93" s="2" customFormat="1" ht="15">
      <c r="B10" s="33" t="s">
        <v>120</v>
      </c>
      <c r="G10" s="71">
        <f t="shared" ref="G10:R10" si="9">G32/C32-1</f>
        <v>3.3457943925233646</v>
      </c>
      <c r="H10" s="71">
        <f t="shared" si="9"/>
        <v>0.94696969696969702</v>
      </c>
      <c r="I10" s="71">
        <f t="shared" si="9"/>
        <v>0.70754716981132071</v>
      </c>
      <c r="J10" s="71">
        <f t="shared" si="9"/>
        <v>-0.14400000000000002</v>
      </c>
      <c r="K10" s="71">
        <f t="shared" si="9"/>
        <v>-0.24516129032258061</v>
      </c>
      <c r="L10" s="71">
        <f t="shared" si="9"/>
        <v>-0.14396887159533067</v>
      </c>
      <c r="M10" s="71">
        <f t="shared" si="9"/>
        <v>-2.2099447513812098E-2</v>
      </c>
      <c r="N10" s="71">
        <f t="shared" si="9"/>
        <v>0.89408099688473497</v>
      </c>
      <c r="O10" s="71">
        <f t="shared" si="9"/>
        <v>0.70085470085470081</v>
      </c>
      <c r="P10" s="71">
        <f t="shared" si="9"/>
        <v>0.63636363636363646</v>
      </c>
      <c r="Q10" s="71">
        <f t="shared" si="9"/>
        <v>1.5423728813559321</v>
      </c>
      <c r="R10" s="71">
        <f t="shared" si="9"/>
        <v>1.7960526315789473</v>
      </c>
      <c r="S10" s="71">
        <f>S32/O32-1</f>
        <v>2.7370184254606365</v>
      </c>
      <c r="T10" s="71">
        <f>T32/P32-1</f>
        <v>2.7225972222222219</v>
      </c>
      <c r="U10" s="34"/>
      <c r="V10" s="34"/>
      <c r="AB10" s="71">
        <f t="shared" ref="AB10:AC10" si="10">AB32/AA32-1</f>
        <v>0.73214285714285721</v>
      </c>
      <c r="AC10" s="71">
        <f t="shared" si="10"/>
        <v>4.720564297341312E-2</v>
      </c>
      <c r="AD10" s="71">
        <f>AD32/AC32-1</f>
        <v>1.2626943005181346</v>
      </c>
      <c r="AE10" s="79">
        <f t="shared" ref="AE10:AN10" si="11">AE6/AD6-1</f>
        <v>1.6337247256483582</v>
      </c>
      <c r="AF10" s="79">
        <f t="shared" si="11"/>
        <v>0.46106010738733039</v>
      </c>
      <c r="AG10" s="79">
        <f t="shared" si="11"/>
        <v>0.31778530327595478</v>
      </c>
      <c r="AH10" s="79">
        <f t="shared" si="11"/>
        <v>0.27915008630837668</v>
      </c>
      <c r="AI10" s="79">
        <f t="shared" si="11"/>
        <v>0.23891918369352783</v>
      </c>
      <c r="AJ10" s="79">
        <f t="shared" si="11"/>
        <v>0.2088615356848853</v>
      </c>
      <c r="AK10" s="79">
        <f t="shared" si="11"/>
        <v>0.27789044486024439</v>
      </c>
      <c r="AL10" s="79">
        <f t="shared" si="11"/>
        <v>0.13959646851086771</v>
      </c>
      <c r="AM10" s="79">
        <f t="shared" si="11"/>
        <v>0.10990262240838966</v>
      </c>
      <c r="AN10" s="79">
        <f t="shared" si="11"/>
        <v>8.0193017564980984E-2</v>
      </c>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row>
    <row r="12" spans="2:93">
      <c r="B12" s="37" t="s">
        <v>960</v>
      </c>
      <c r="S12" s="70">
        <f>S4/S6</f>
        <v>0.97303585357325373</v>
      </c>
      <c r="T12" s="70">
        <f>T4/T6</f>
        <v>0.97488993358704568</v>
      </c>
      <c r="AC12" s="70">
        <f>AC4/AC6</f>
        <v>0.75166087992952269</v>
      </c>
      <c r="AD12" s="70">
        <f>AD4/AD6</f>
        <v>0.94369866996980023</v>
      </c>
    </row>
    <row r="13" spans="2:93">
      <c r="B13" s="37" t="s">
        <v>961</v>
      </c>
      <c r="S13" s="70">
        <f>S5/S6</f>
        <v>2.6964146426746282E-2</v>
      </c>
      <c r="T13" s="70">
        <f>T5/T6</f>
        <v>2.5110066412954254E-2</v>
      </c>
      <c r="AC13" s="70">
        <f>AC5/AC6</f>
        <v>0.24833912007047726</v>
      </c>
      <c r="AD13" s="70">
        <f>AD5/AD6</f>
        <v>5.6301330030199867E-2</v>
      </c>
    </row>
    <row r="15" spans="2:93">
      <c r="B15" s="72" t="s">
        <v>962</v>
      </c>
      <c r="K15" s="69">
        <v>6.415</v>
      </c>
      <c r="L15" s="69">
        <v>18.611999999999998</v>
      </c>
      <c r="M15" s="69">
        <v>15.436</v>
      </c>
      <c r="N15" s="69">
        <f>49.56-SUM(K15:M15)</f>
        <v>9.0970000000000084</v>
      </c>
      <c r="O15" s="69">
        <v>29.27</v>
      </c>
      <c r="P15" s="69">
        <v>21.856000000000002</v>
      </c>
      <c r="Q15" s="69">
        <v>7.6260000000000003</v>
      </c>
      <c r="R15" s="69">
        <f>65.097-SUM(O15:Q15)</f>
        <v>6.3449999999999918</v>
      </c>
      <c r="S15" s="69">
        <v>82.82</v>
      </c>
      <c r="T15" s="69">
        <v>103.7</v>
      </c>
      <c r="AC15" s="69">
        <f>SUM(K15:N15)</f>
        <v>49.56</v>
      </c>
      <c r="AD15" s="69">
        <f>SUM(O15:R15)</f>
        <v>65.096999999999994</v>
      </c>
      <c r="AE15" s="74"/>
      <c r="AF15" s="74"/>
      <c r="AG15" s="74"/>
      <c r="AH15" s="74"/>
      <c r="AI15" s="74"/>
      <c r="AJ15" s="74"/>
      <c r="AK15" s="74"/>
      <c r="AL15" s="74"/>
      <c r="AM15" s="74"/>
      <c r="AN15" s="74"/>
    </row>
    <row r="16" spans="2:93">
      <c r="B16" s="72" t="s">
        <v>949</v>
      </c>
      <c r="K16" s="69">
        <v>1.99</v>
      </c>
      <c r="L16" s="69">
        <v>7.83</v>
      </c>
      <c r="M16" s="69">
        <v>28.393000000000001</v>
      </c>
      <c r="N16" s="69">
        <f>70.16-SUM(K16:M16)</f>
        <v>31.946999999999996</v>
      </c>
      <c r="O16" s="69">
        <v>10.8</v>
      </c>
      <c r="P16" s="69">
        <v>30.08</v>
      </c>
      <c r="Q16" s="69">
        <v>93.33</v>
      </c>
      <c r="R16" s="69">
        <f>243.72-SUM(O16:Q16)</f>
        <v>109.51000000000002</v>
      </c>
      <c r="S16" s="69">
        <v>74.88</v>
      </c>
      <c r="T16" s="69">
        <v>117.89</v>
      </c>
      <c r="AC16" s="69">
        <f>SUM(K16:N16)</f>
        <v>70.16</v>
      </c>
      <c r="AD16" s="69">
        <f>SUM(O16:R16)</f>
        <v>243.72</v>
      </c>
      <c r="AE16" s="74"/>
      <c r="AF16" s="74"/>
      <c r="AG16" s="74"/>
      <c r="AH16" s="74"/>
      <c r="AI16" s="74"/>
      <c r="AJ16" s="74"/>
      <c r="AK16" s="74"/>
      <c r="AL16" s="74"/>
      <c r="AM16" s="74"/>
      <c r="AN16" s="74"/>
    </row>
    <row r="17" spans="2:92">
      <c r="B17" s="72" t="s">
        <v>953</v>
      </c>
      <c r="K17" s="69">
        <v>16.081</v>
      </c>
      <c r="L17" s="69">
        <v>5.42</v>
      </c>
      <c r="M17" s="69">
        <v>0.79800000000000004</v>
      </c>
      <c r="N17" s="69">
        <f>28.26-SUM(K17:M17)</f>
        <v>5.9610000000000021</v>
      </c>
      <c r="O17" s="69">
        <v>9.74</v>
      </c>
      <c r="P17" s="69">
        <v>13.52</v>
      </c>
      <c r="Q17" s="69">
        <v>25.26</v>
      </c>
      <c r="R17" s="69">
        <f>80.05-SUM(O17:Q17)</f>
        <v>31.53</v>
      </c>
      <c r="S17" s="69">
        <v>51.78</v>
      </c>
      <c r="T17" s="69">
        <v>23.63</v>
      </c>
      <c r="AC17" s="69">
        <f>SUM(K17:N17)</f>
        <v>28.26</v>
      </c>
      <c r="AD17" s="69">
        <f>SUM(O17:R17)</f>
        <v>80.05</v>
      </c>
      <c r="AE17" s="74"/>
      <c r="AF17" s="74"/>
      <c r="AG17" s="74"/>
      <c r="AH17" s="74"/>
      <c r="AI17" s="74"/>
      <c r="AJ17" s="74"/>
      <c r="AK17" s="74"/>
      <c r="AL17" s="74"/>
      <c r="AM17" s="74"/>
      <c r="AN17" s="74"/>
    </row>
    <row r="18" spans="2:92">
      <c r="B18" s="72" t="s">
        <v>950</v>
      </c>
      <c r="K18" s="69">
        <f>5.346+5.263</f>
        <v>10.609</v>
      </c>
      <c r="L18" s="69">
        <v>12.161</v>
      </c>
      <c r="M18" s="69">
        <f>3.48+4.95</f>
        <v>8.43</v>
      </c>
      <c r="N18" s="69">
        <f>21.28+23.68-SUM(K18:M18)</f>
        <v>13.760000000000002</v>
      </c>
      <c r="O18" s="69">
        <v>9.89</v>
      </c>
      <c r="P18" s="69">
        <v>6.56</v>
      </c>
      <c r="Q18" s="69">
        <f>1.08+7.696</f>
        <v>8.7759999999999998</v>
      </c>
      <c r="R18" s="69">
        <f>3.62+44.27-SUM(O18:Q18)</f>
        <v>22.664000000000001</v>
      </c>
      <c r="S18" s="69">
        <v>13.63</v>
      </c>
      <c r="T18" s="69">
        <v>22.803000000000001</v>
      </c>
      <c r="AC18" s="69">
        <f>SUM(K18:N18)</f>
        <v>44.96</v>
      </c>
      <c r="AD18" s="69">
        <f>SUM(O18:R18)</f>
        <v>47.89</v>
      </c>
      <c r="AE18" s="74"/>
      <c r="AF18" s="74"/>
      <c r="AG18" s="74"/>
      <c r="AH18" s="74"/>
      <c r="AI18" s="74"/>
      <c r="AJ18" s="74"/>
      <c r="AK18" s="74"/>
      <c r="AL18" s="74"/>
      <c r="AM18" s="74"/>
      <c r="AN18" s="74"/>
    </row>
    <row r="19" spans="2:92" s="2" customFormat="1" ht="15">
      <c r="B19" s="33" t="s">
        <v>67</v>
      </c>
      <c r="K19" s="68">
        <f t="shared" ref="K19:R19" si="12">SUM(K15:K18)</f>
        <v>35.094999999999999</v>
      </c>
      <c r="L19" s="68">
        <f t="shared" si="12"/>
        <v>44.023000000000003</v>
      </c>
      <c r="M19" s="68">
        <f t="shared" si="12"/>
        <v>53.057000000000002</v>
      </c>
      <c r="N19" s="68">
        <f t="shared" si="12"/>
        <v>60.765000000000015</v>
      </c>
      <c r="O19" s="68">
        <f t="shared" si="12"/>
        <v>59.7</v>
      </c>
      <c r="P19" s="68">
        <f t="shared" si="12"/>
        <v>72.016000000000005</v>
      </c>
      <c r="Q19" s="68">
        <f t="shared" si="12"/>
        <v>134.99200000000002</v>
      </c>
      <c r="R19" s="68">
        <f t="shared" si="12"/>
        <v>170.04900000000004</v>
      </c>
      <c r="S19" s="68">
        <f>SUM(S15:S18)</f>
        <v>223.10999999999999</v>
      </c>
      <c r="T19" s="68">
        <f>SUM(T15:T18)</f>
        <v>268.02300000000002</v>
      </c>
      <c r="U19" s="34"/>
      <c r="V19" s="34"/>
      <c r="AC19" s="68">
        <f>SUM(AC15:AC18)</f>
        <v>192.94</v>
      </c>
      <c r="AD19" s="68">
        <f>SUM(AD15:AD18)</f>
        <v>436.75700000000001</v>
      </c>
      <c r="AE19" s="76"/>
      <c r="AF19" s="76"/>
      <c r="AG19" s="76"/>
      <c r="AH19" s="76"/>
      <c r="AI19" s="76"/>
      <c r="AJ19" s="76"/>
      <c r="AK19" s="76"/>
      <c r="AL19" s="76"/>
      <c r="AM19" s="76"/>
      <c r="AN19" s="76"/>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row>
    <row r="21" spans="2:92">
      <c r="B21" s="72" t="s">
        <v>69</v>
      </c>
      <c r="O21" s="70">
        <f t="shared" ref="O21:R25" si="13">O15/K15-1</f>
        <v>3.5627435697583785</v>
      </c>
      <c r="P21" s="70">
        <f t="shared" si="13"/>
        <v>0.17429615301955748</v>
      </c>
      <c r="Q21" s="70">
        <f t="shared" si="13"/>
        <v>-0.50596009328841673</v>
      </c>
      <c r="R21" s="70">
        <f t="shared" si="13"/>
        <v>-0.30251731340002352</v>
      </c>
      <c r="S21" s="70">
        <f>S15/O15-1</f>
        <v>1.8295182781004438</v>
      </c>
      <c r="T21" s="70">
        <f>T15/P15-1</f>
        <v>3.7446925329428984</v>
      </c>
      <c r="AD21" s="70">
        <f>AD15/AC15-1</f>
        <v>0.31349878934624686</v>
      </c>
      <c r="AE21" s="75"/>
      <c r="AF21" s="75"/>
      <c r="AG21" s="75"/>
      <c r="AH21" s="75"/>
      <c r="AI21" s="75"/>
      <c r="AJ21" s="75"/>
      <c r="AK21" s="75"/>
      <c r="AL21" s="75"/>
      <c r="AM21" s="75"/>
      <c r="AN21" s="75"/>
    </row>
    <row r="22" spans="2:92">
      <c r="B22" s="72" t="s">
        <v>951</v>
      </c>
      <c r="O22" s="70">
        <f t="shared" si="13"/>
        <v>4.4271356783919602</v>
      </c>
      <c r="P22" s="70">
        <f t="shared" si="13"/>
        <v>2.8416347381864622</v>
      </c>
      <c r="Q22" s="70">
        <f t="shared" si="13"/>
        <v>2.2870778008664105</v>
      </c>
      <c r="R22" s="70">
        <f t="shared" si="13"/>
        <v>2.4278649012426841</v>
      </c>
      <c r="S22" s="70">
        <f t="shared" ref="S22:T25" si="14">S16/O16-1</f>
        <v>5.9333333333333327</v>
      </c>
      <c r="T22" s="70">
        <f t="shared" si="14"/>
        <v>2.9192154255319149</v>
      </c>
      <c r="AD22" s="70">
        <f t="shared" ref="AD22:AD24" si="15">AD16/AC16-1</f>
        <v>2.4737742303306729</v>
      </c>
      <c r="AE22" s="75"/>
      <c r="AF22" s="75"/>
      <c r="AG22" s="75"/>
      <c r="AH22" s="75"/>
      <c r="AI22" s="75"/>
      <c r="AJ22" s="75"/>
      <c r="AK22" s="75"/>
      <c r="AL22" s="75"/>
      <c r="AM22" s="75"/>
      <c r="AN22" s="75"/>
    </row>
    <row r="23" spans="2:92">
      <c r="B23" s="72" t="s">
        <v>952</v>
      </c>
      <c r="O23" s="70">
        <f t="shared" si="13"/>
        <v>-0.39431627386356571</v>
      </c>
      <c r="P23" s="70">
        <f t="shared" si="13"/>
        <v>1.4944649446494465</v>
      </c>
      <c r="Q23" s="70">
        <f t="shared" si="13"/>
        <v>30.654135338345863</v>
      </c>
      <c r="R23" s="70">
        <f t="shared" si="13"/>
        <v>4.2893809763462487</v>
      </c>
      <c r="S23" s="70">
        <f t="shared" si="14"/>
        <v>4.3162217659137578</v>
      </c>
      <c r="T23" s="70">
        <f t="shared" si="14"/>
        <v>0.7477810650887573</v>
      </c>
      <c r="AD23" s="70">
        <f t="shared" si="15"/>
        <v>1.8326256192498227</v>
      </c>
      <c r="AE23" s="75"/>
      <c r="AF23" s="75"/>
      <c r="AG23" s="75"/>
      <c r="AH23" s="75"/>
      <c r="AI23" s="75"/>
      <c r="AJ23" s="75"/>
      <c r="AK23" s="75"/>
      <c r="AL23" s="75"/>
      <c r="AM23" s="75"/>
      <c r="AN23" s="75"/>
    </row>
    <row r="24" spans="2:92">
      <c r="B24" s="72" t="s">
        <v>954</v>
      </c>
      <c r="O24" s="70">
        <f t="shared" si="13"/>
        <v>-6.777264586671683E-2</v>
      </c>
      <c r="P24" s="70">
        <f t="shared" si="13"/>
        <v>-0.46057067675355645</v>
      </c>
      <c r="Q24" s="70">
        <f t="shared" si="13"/>
        <v>4.1043890865954946E-2</v>
      </c>
      <c r="R24" s="70">
        <f t="shared" si="13"/>
        <v>0.64709302325581386</v>
      </c>
      <c r="S24" s="70">
        <f t="shared" si="14"/>
        <v>0.378159757330637</v>
      </c>
      <c r="T24" s="70">
        <f t="shared" si="14"/>
        <v>2.4760670731707322</v>
      </c>
      <c r="AD24" s="70">
        <f t="shared" si="15"/>
        <v>6.5169039145907437E-2</v>
      </c>
      <c r="AE24" s="75"/>
      <c r="AF24" s="75"/>
      <c r="AG24" s="75"/>
      <c r="AH24" s="75"/>
      <c r="AI24" s="75"/>
      <c r="AJ24" s="75"/>
      <c r="AK24" s="75"/>
      <c r="AL24" s="75"/>
      <c r="AM24" s="75"/>
      <c r="AN24" s="75"/>
    </row>
    <row r="25" spans="2:92" ht="15">
      <c r="B25" s="1" t="s">
        <v>120</v>
      </c>
      <c r="G25" s="71">
        <f t="shared" ref="G25:M25" si="16">G32/C32-1</f>
        <v>3.3457943925233646</v>
      </c>
      <c r="H25" s="71">
        <f t="shared" si="16"/>
        <v>0.94696969696969702</v>
      </c>
      <c r="I25" s="71">
        <f t="shared" si="16"/>
        <v>0.70754716981132071</v>
      </c>
      <c r="J25" s="71">
        <f t="shared" si="16"/>
        <v>-0.14400000000000002</v>
      </c>
      <c r="K25" s="71">
        <f t="shared" si="16"/>
        <v>-0.24516129032258061</v>
      </c>
      <c r="L25" s="71">
        <f t="shared" si="16"/>
        <v>-0.14396887159533067</v>
      </c>
      <c r="M25" s="71">
        <f t="shared" si="16"/>
        <v>-2.2099447513812098E-2</v>
      </c>
      <c r="N25" s="71">
        <f>N32/J32-1</f>
        <v>0.89408099688473497</v>
      </c>
      <c r="O25" s="71">
        <f t="shared" si="13"/>
        <v>0.70109702236785876</v>
      </c>
      <c r="P25" s="71">
        <f t="shared" si="13"/>
        <v>0.63587215773572914</v>
      </c>
      <c r="Q25" s="71">
        <f t="shared" si="13"/>
        <v>1.5442825640349063</v>
      </c>
      <c r="R25" s="71">
        <f t="shared" si="13"/>
        <v>1.7984695137003208</v>
      </c>
      <c r="S25" s="71">
        <f t="shared" si="14"/>
        <v>2.7371859296482408</v>
      </c>
      <c r="T25" s="71">
        <f t="shared" si="14"/>
        <v>2.7217146189735617</v>
      </c>
      <c r="AB25" s="71">
        <f>AB32/AA32-1</f>
        <v>0.73214285714285721</v>
      </c>
      <c r="AC25" s="71">
        <f>AC32/AB32-1</f>
        <v>4.720564297341312E-2</v>
      </c>
      <c r="AD25" s="71">
        <f>AD32/AC32-1</f>
        <v>1.2626943005181346</v>
      </c>
      <c r="AE25" s="75"/>
      <c r="AF25" s="75"/>
      <c r="AG25" s="75"/>
      <c r="AH25" s="75"/>
      <c r="AI25" s="75"/>
      <c r="AJ25" s="75"/>
      <c r="AK25" s="75"/>
      <c r="AL25" s="75"/>
      <c r="AM25" s="75"/>
      <c r="AN25" s="75"/>
    </row>
    <row r="27" spans="2:92">
      <c r="B27" s="38" t="s">
        <v>68</v>
      </c>
      <c r="K27" s="70">
        <f t="shared" ref="K27:R30" si="17">K15/$S$19</f>
        <v>2.8752633230245173E-2</v>
      </c>
      <c r="L27" s="70">
        <f t="shared" si="17"/>
        <v>8.3420734167002825E-2</v>
      </c>
      <c r="M27" s="70">
        <f t="shared" si="17"/>
        <v>6.9185603513961733E-2</v>
      </c>
      <c r="N27" s="70">
        <f t="shared" si="17"/>
        <v>4.0773609430325888E-2</v>
      </c>
      <c r="O27" s="70">
        <f t="shared" si="17"/>
        <v>0.13119089238492224</v>
      </c>
      <c r="P27" s="70">
        <f t="shared" si="17"/>
        <v>9.7960647214378568E-2</v>
      </c>
      <c r="Q27" s="70">
        <f t="shared" si="17"/>
        <v>3.4180449105822241E-2</v>
      </c>
      <c r="R27" s="70">
        <f t="shared" si="17"/>
        <v>2.8438886647841836E-2</v>
      </c>
      <c r="S27" s="70">
        <f>S15/$S$19</f>
        <v>0.37120702792344584</v>
      </c>
      <c r="T27" s="70">
        <f>T15/$S$19</f>
        <v>0.46479315136031557</v>
      </c>
      <c r="AC27" s="70">
        <f>AC15/$AD$19</f>
        <v>0.11347270908079321</v>
      </c>
      <c r="AD27" s="70">
        <f>AD15/$AD$19</f>
        <v>0.14904626600146076</v>
      </c>
    </row>
    <row r="28" spans="2:92">
      <c r="B28" s="1" t="s">
        <v>955</v>
      </c>
      <c r="K28" s="70">
        <f t="shared" si="17"/>
        <v>8.919367128322352E-3</v>
      </c>
      <c r="L28" s="70">
        <f t="shared" si="17"/>
        <v>3.5094796288826141E-2</v>
      </c>
      <c r="M28" s="70">
        <f t="shared" si="17"/>
        <v>0.12726009591681234</v>
      </c>
      <c r="N28" s="70">
        <f t="shared" si="17"/>
        <v>0.14318945811483125</v>
      </c>
      <c r="O28" s="70">
        <f t="shared" si="17"/>
        <v>4.8406615570794682E-2</v>
      </c>
      <c r="P28" s="70">
        <f t="shared" si="17"/>
        <v>0.13482138855273185</v>
      </c>
      <c r="Q28" s="70">
        <f t="shared" si="17"/>
        <v>0.41831383622428403</v>
      </c>
      <c r="R28" s="70">
        <f t="shared" si="17"/>
        <v>0.49083411769978946</v>
      </c>
      <c r="S28" s="70">
        <f t="shared" ref="S28:T30" si="18">S16/$S$19</f>
        <v>0.33561920129084311</v>
      </c>
      <c r="T28" s="70">
        <f t="shared" si="18"/>
        <v>0.52839406570749858</v>
      </c>
      <c r="AC28" s="70">
        <f t="shared" ref="AC28:AD30" si="19">AC16/$AD$19</f>
        <v>0.16063852439686141</v>
      </c>
      <c r="AD28" s="70">
        <f t="shared" si="19"/>
        <v>0.55802196644816227</v>
      </c>
    </row>
    <row r="29" spans="2:92">
      <c r="B29" s="1" t="s">
        <v>956</v>
      </c>
      <c r="K29" s="70">
        <f t="shared" si="17"/>
        <v>7.2076554166106407E-2</v>
      </c>
      <c r="L29" s="70">
        <f t="shared" si="17"/>
        <v>2.4292949666083995E-2</v>
      </c>
      <c r="M29" s="70">
        <f t="shared" si="17"/>
        <v>3.5767110393976069E-3</v>
      </c>
      <c r="N29" s="70">
        <f t="shared" si="17"/>
        <v>2.6717762538658072E-2</v>
      </c>
      <c r="O29" s="70">
        <f t="shared" si="17"/>
        <v>4.365559589440187E-2</v>
      </c>
      <c r="P29" s="70">
        <f t="shared" si="17"/>
        <v>6.0597911344180001E-2</v>
      </c>
      <c r="Q29" s="70">
        <f t="shared" si="17"/>
        <v>0.11321769530724755</v>
      </c>
      <c r="R29" s="70">
        <f t="shared" si="17"/>
        <v>0.14132042490251448</v>
      </c>
      <c r="S29" s="70">
        <f t="shared" si="18"/>
        <v>0.23208282909775449</v>
      </c>
      <c r="T29" s="70">
        <f t="shared" si="18"/>
        <v>0.10591188203128502</v>
      </c>
      <c r="AC29" s="70">
        <f t="shared" si="19"/>
        <v>6.4704171885052786E-2</v>
      </c>
      <c r="AD29" s="70">
        <f t="shared" si="19"/>
        <v>0.18328269495394464</v>
      </c>
    </row>
    <row r="30" spans="2:92">
      <c r="B30" s="1" t="s">
        <v>957</v>
      </c>
      <c r="K30" s="70">
        <f t="shared" si="17"/>
        <v>4.7550535610237109E-2</v>
      </c>
      <c r="L30" s="70">
        <f t="shared" si="17"/>
        <v>5.4506745551521671E-2</v>
      </c>
      <c r="M30" s="70">
        <f t="shared" si="17"/>
        <v>3.7784052709425843E-2</v>
      </c>
      <c r="N30" s="70">
        <f t="shared" si="17"/>
        <v>6.1673613912419892E-2</v>
      </c>
      <c r="O30" s="70">
        <f t="shared" si="17"/>
        <v>4.4327909999551794E-2</v>
      </c>
      <c r="P30" s="70">
        <f t="shared" si="17"/>
        <v>2.9402536865223431E-2</v>
      </c>
      <c r="Q30" s="70">
        <f t="shared" si="17"/>
        <v>3.9334857245305006E-2</v>
      </c>
      <c r="R30" s="70">
        <f t="shared" si="17"/>
        <v>0.10158217919411951</v>
      </c>
      <c r="S30" s="70">
        <f t="shared" si="18"/>
        <v>6.1090941687956618E-2</v>
      </c>
      <c r="T30" s="70">
        <f t="shared" si="18"/>
        <v>0.10220519026489176</v>
      </c>
      <c r="AC30" s="70">
        <f t="shared" si="19"/>
        <v>0.10294053672866148</v>
      </c>
      <c r="AD30" s="70">
        <f t="shared" si="19"/>
        <v>0.10964907259643233</v>
      </c>
    </row>
    <row r="32" spans="2:92" s="2" customFormat="1" ht="15">
      <c r="B32" s="2" t="s">
        <v>916</v>
      </c>
      <c r="C32" s="68">
        <v>10.7</v>
      </c>
      <c r="D32" s="68">
        <v>26.4</v>
      </c>
      <c r="E32" s="68">
        <v>31.8</v>
      </c>
      <c r="F32" s="68">
        <v>37.5</v>
      </c>
      <c r="G32" s="68">
        <v>46.5</v>
      </c>
      <c r="H32" s="68">
        <v>51.4</v>
      </c>
      <c r="I32" s="68">
        <v>54.3</v>
      </c>
      <c r="J32" s="68">
        <v>32.1</v>
      </c>
      <c r="K32" s="68">
        <v>35.1</v>
      </c>
      <c r="L32" s="68">
        <v>44</v>
      </c>
      <c r="M32" s="68">
        <v>53.1</v>
      </c>
      <c r="N32" s="68">
        <v>60.8</v>
      </c>
      <c r="O32" s="68">
        <v>59.7</v>
      </c>
      <c r="P32" s="68">
        <v>72</v>
      </c>
      <c r="Q32" s="68">
        <v>135</v>
      </c>
      <c r="R32" s="68">
        <v>170</v>
      </c>
      <c r="S32" s="68">
        <v>223.1</v>
      </c>
      <c r="T32" s="68">
        <v>268.02699999999999</v>
      </c>
      <c r="U32" s="34"/>
      <c r="V32" s="34"/>
      <c r="AA32" s="68">
        <f t="shared" ref="AA32:AA42" si="20">SUM(C32:F32)</f>
        <v>106.39999999999999</v>
      </c>
      <c r="AB32" s="68">
        <f t="shared" ref="AB32:AB42" si="21">SUM(G32:J32)</f>
        <v>184.29999999999998</v>
      </c>
      <c r="AC32" s="68">
        <f t="shared" ref="AC32:AC42" si="22">SUM(K32:N32)</f>
        <v>193</v>
      </c>
      <c r="AD32" s="68">
        <f t="shared" ref="AD32:AD42" si="23">SUM(O32:R32)</f>
        <v>436.7</v>
      </c>
      <c r="AE32" s="76">
        <f>AE6</f>
        <v>1150.2977099999998</v>
      </c>
      <c r="AF32" s="76">
        <f t="shared" ref="AF32:AN32" si="24">AF6</f>
        <v>1680.6540957</v>
      </c>
      <c r="AG32" s="76">
        <f t="shared" si="24"/>
        <v>2214.741267204</v>
      </c>
      <c r="AH32" s="76">
        <f t="shared" si="24"/>
        <v>2832.9864830947199</v>
      </c>
      <c r="AI32" s="76">
        <f t="shared" si="24"/>
        <v>3509.8413010505087</v>
      </c>
      <c r="AJ32" s="76">
        <f t="shared" si="24"/>
        <v>4242.9121451981537</v>
      </c>
      <c r="AK32" s="76">
        <f t="shared" si="24"/>
        <v>5421.9768887302025</v>
      </c>
      <c r="AL32" s="76">
        <f t="shared" si="24"/>
        <v>6178.865714744481</v>
      </c>
      <c r="AM32" s="76">
        <f t="shared" si="24"/>
        <v>6857.9392603041879</v>
      </c>
      <c r="AN32" s="76">
        <f t="shared" si="24"/>
        <v>7407.8981038653337</v>
      </c>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row>
    <row r="33" spans="2:92">
      <c r="B33" s="1" t="s">
        <v>70</v>
      </c>
      <c r="C33" s="69">
        <v>5.5</v>
      </c>
      <c r="D33" s="69">
        <v>10.5</v>
      </c>
      <c r="E33" s="69">
        <v>12.7</v>
      </c>
      <c r="F33" s="69">
        <v>13.8</v>
      </c>
      <c r="G33" s="69">
        <v>18.8</v>
      </c>
      <c r="H33" s="69">
        <v>23.4</v>
      </c>
      <c r="I33" s="69">
        <v>22.3</v>
      </c>
      <c r="J33" s="69">
        <v>13.5</v>
      </c>
      <c r="K33" s="69">
        <v>14.3</v>
      </c>
      <c r="L33" s="69">
        <v>17.899999999999999</v>
      </c>
      <c r="M33" s="69">
        <v>20.5</v>
      </c>
      <c r="N33" s="69">
        <v>20.8</v>
      </c>
      <c r="O33" s="69">
        <v>22.4</v>
      </c>
      <c r="P33" s="69">
        <v>26.5</v>
      </c>
      <c r="Q33" s="69">
        <v>49.1</v>
      </c>
      <c r="R33" s="69">
        <v>55.8</v>
      </c>
      <c r="S33" s="69">
        <v>72.7</v>
      </c>
      <c r="T33" s="69">
        <v>86.98</v>
      </c>
      <c r="AA33" s="69">
        <f t="shared" si="20"/>
        <v>42.5</v>
      </c>
      <c r="AB33" s="69">
        <f t="shared" si="21"/>
        <v>78</v>
      </c>
      <c r="AC33" s="69">
        <f t="shared" si="22"/>
        <v>73.5</v>
      </c>
      <c r="AD33" s="69">
        <f t="shared" si="23"/>
        <v>153.80000000000001</v>
      </c>
      <c r="AE33" s="74">
        <f>AE32*(1-AE46)</f>
        <v>379.59824429999992</v>
      </c>
      <c r="AF33" s="74">
        <f t="shared" ref="AF33:AN33" si="25">AF32*(1-AF46)</f>
        <v>546.21258110249994</v>
      </c>
      <c r="AG33" s="74">
        <f t="shared" si="25"/>
        <v>719.79091184129993</v>
      </c>
      <c r="AH33" s="74">
        <f t="shared" si="25"/>
        <v>913.63814079804717</v>
      </c>
      <c r="AI33" s="74">
        <f t="shared" si="25"/>
        <v>1140.6984228414151</v>
      </c>
      <c r="AJ33" s="74">
        <f t="shared" si="25"/>
        <v>1400.1610079153904</v>
      </c>
      <c r="AK33" s="74">
        <f t="shared" si="25"/>
        <v>1789.2523732809666</v>
      </c>
      <c r="AL33" s="74">
        <f t="shared" si="25"/>
        <v>2039.0256858656785</v>
      </c>
      <c r="AM33" s="74">
        <f t="shared" si="25"/>
        <v>2263.1199559003817</v>
      </c>
      <c r="AN33" s="74">
        <f t="shared" si="25"/>
        <v>2444.60637427556</v>
      </c>
    </row>
    <row r="34" spans="2:92">
      <c r="B34" s="1" t="s">
        <v>917</v>
      </c>
      <c r="C34" s="69">
        <f t="shared" ref="C34:R34" si="26">C32-C33</f>
        <v>5.1999999999999993</v>
      </c>
      <c r="D34" s="69">
        <f t="shared" si="26"/>
        <v>15.899999999999999</v>
      </c>
      <c r="E34" s="69">
        <f t="shared" si="26"/>
        <v>19.100000000000001</v>
      </c>
      <c r="F34" s="69">
        <f t="shared" si="26"/>
        <v>23.7</v>
      </c>
      <c r="G34" s="69">
        <f t="shared" si="26"/>
        <v>27.7</v>
      </c>
      <c r="H34" s="69">
        <f t="shared" si="26"/>
        <v>28</v>
      </c>
      <c r="I34" s="69">
        <f t="shared" si="26"/>
        <v>31.999999999999996</v>
      </c>
      <c r="J34" s="69">
        <f t="shared" si="26"/>
        <v>18.600000000000001</v>
      </c>
      <c r="K34" s="69">
        <f t="shared" si="26"/>
        <v>20.8</v>
      </c>
      <c r="L34" s="69">
        <f t="shared" si="26"/>
        <v>26.1</v>
      </c>
      <c r="M34" s="69">
        <f t="shared" si="26"/>
        <v>32.6</v>
      </c>
      <c r="N34" s="69">
        <f t="shared" si="26"/>
        <v>40</v>
      </c>
      <c r="O34" s="69">
        <f t="shared" si="26"/>
        <v>37.300000000000004</v>
      </c>
      <c r="P34" s="69">
        <f t="shared" si="26"/>
        <v>45.5</v>
      </c>
      <c r="Q34" s="69">
        <f t="shared" si="26"/>
        <v>85.9</v>
      </c>
      <c r="R34" s="69">
        <f t="shared" si="26"/>
        <v>114.2</v>
      </c>
      <c r="S34" s="69">
        <f>S32-S33</f>
        <v>150.39999999999998</v>
      </c>
      <c r="T34" s="69">
        <f>T32-T33</f>
        <v>181.04699999999997</v>
      </c>
      <c r="AA34" s="69">
        <f t="shared" si="20"/>
        <v>63.900000000000006</v>
      </c>
      <c r="AB34" s="69">
        <f t="shared" si="21"/>
        <v>106.30000000000001</v>
      </c>
      <c r="AC34" s="69">
        <f t="shared" si="22"/>
        <v>119.5</v>
      </c>
      <c r="AD34" s="69">
        <f t="shared" si="23"/>
        <v>282.90000000000003</v>
      </c>
      <c r="AE34" s="74">
        <f>AE32-AE33</f>
        <v>770.69946569999991</v>
      </c>
      <c r="AF34" s="74">
        <f t="shared" ref="AF34:AN34" si="27">AF32-AF33</f>
        <v>1134.4415145974999</v>
      </c>
      <c r="AG34" s="74">
        <f t="shared" si="27"/>
        <v>1494.9503553627001</v>
      </c>
      <c r="AH34" s="74">
        <f t="shared" si="27"/>
        <v>1919.3483422966729</v>
      </c>
      <c r="AI34" s="74">
        <f t="shared" si="27"/>
        <v>2369.1428782090934</v>
      </c>
      <c r="AJ34" s="74">
        <f t="shared" si="27"/>
        <v>2842.751137282763</v>
      </c>
      <c r="AK34" s="74">
        <f t="shared" si="27"/>
        <v>3632.7245154492357</v>
      </c>
      <c r="AL34" s="74">
        <f t="shared" si="27"/>
        <v>4139.8400288788025</v>
      </c>
      <c r="AM34" s="74">
        <f t="shared" si="27"/>
        <v>4594.8193044038062</v>
      </c>
      <c r="AN34" s="74">
        <f t="shared" si="27"/>
        <v>4963.2917295897732</v>
      </c>
    </row>
    <row r="35" spans="2:92">
      <c r="B35" s="1" t="s">
        <v>918</v>
      </c>
      <c r="C35" s="69">
        <v>7.1</v>
      </c>
      <c r="D35" s="69">
        <v>7.7</v>
      </c>
      <c r="E35" s="69">
        <v>8.6</v>
      </c>
      <c r="F35" s="69">
        <v>11.5</v>
      </c>
      <c r="G35" s="69">
        <v>11.2</v>
      </c>
      <c r="H35" s="69">
        <v>11.5</v>
      </c>
      <c r="I35" s="69">
        <v>11.9</v>
      </c>
      <c r="J35" s="69">
        <v>13.6</v>
      </c>
      <c r="K35" s="69">
        <v>12.5</v>
      </c>
      <c r="L35" s="69">
        <v>13.3</v>
      </c>
      <c r="M35" s="69">
        <v>14.2</v>
      </c>
      <c r="N35" s="69">
        <v>20.2</v>
      </c>
      <c r="O35" s="69">
        <v>21.3</v>
      </c>
      <c r="P35" s="69">
        <v>22.2</v>
      </c>
      <c r="Q35" s="69">
        <v>23.5</v>
      </c>
      <c r="R35" s="69">
        <v>31.9</v>
      </c>
      <c r="S35" s="69">
        <v>37.200000000000003</v>
      </c>
      <c r="T35" s="69">
        <v>57.91</v>
      </c>
      <c r="AA35" s="69">
        <f t="shared" si="20"/>
        <v>34.9</v>
      </c>
      <c r="AB35" s="69">
        <f t="shared" si="21"/>
        <v>48.2</v>
      </c>
      <c r="AC35" s="69">
        <f t="shared" si="22"/>
        <v>60.2</v>
      </c>
      <c r="AD35" s="69">
        <f t="shared" si="23"/>
        <v>98.9</v>
      </c>
      <c r="AE35" s="74">
        <f>AE32*AE47</f>
        <v>198.42635497499995</v>
      </c>
      <c r="AF35" s="74">
        <f t="shared" ref="AF35:AN35" si="28">AF32*AF47</f>
        <v>284.03054217330003</v>
      </c>
      <c r="AG35" s="74">
        <f t="shared" si="28"/>
        <v>363.21756782145599</v>
      </c>
      <c r="AH35" s="74">
        <f t="shared" si="28"/>
        <v>453.27783729515522</v>
      </c>
      <c r="AI35" s="74">
        <f t="shared" si="28"/>
        <v>552.80000491545513</v>
      </c>
      <c r="AJ35" s="74">
        <f t="shared" si="28"/>
        <v>664.01575072351102</v>
      </c>
      <c r="AK35" s="74">
        <f t="shared" si="28"/>
        <v>840.40641775318136</v>
      </c>
      <c r="AL35" s="74">
        <f t="shared" si="28"/>
        <v>957.72418578539452</v>
      </c>
      <c r="AM35" s="74">
        <f t="shared" si="28"/>
        <v>1062.9805853471491</v>
      </c>
      <c r="AN35" s="74">
        <f t="shared" si="28"/>
        <v>1148.2242060991268</v>
      </c>
    </row>
    <row r="36" spans="2:92">
      <c r="B36" s="1" t="s">
        <v>919</v>
      </c>
      <c r="C36" s="69">
        <v>9.6999999999999993</v>
      </c>
      <c r="D36" s="69">
        <v>11.8</v>
      </c>
      <c r="E36" s="69">
        <v>11</v>
      </c>
      <c r="F36" s="69">
        <v>15.5</v>
      </c>
      <c r="G36" s="69">
        <v>16.7</v>
      </c>
      <c r="H36" s="69">
        <v>18.2</v>
      </c>
      <c r="I36" s="69">
        <v>20.5</v>
      </c>
      <c r="J36" s="69">
        <v>21.4</v>
      </c>
      <c r="K36" s="69">
        <v>22.6</v>
      </c>
      <c r="L36" s="69">
        <v>21.7</v>
      </c>
      <c r="M36" s="69">
        <v>24.2</v>
      </c>
      <c r="N36" s="69">
        <v>26.9</v>
      </c>
      <c r="O36" s="69">
        <v>30.5</v>
      </c>
      <c r="P36" s="69">
        <v>31.7</v>
      </c>
      <c r="Q36" s="69">
        <v>36.299999999999997</v>
      </c>
      <c r="R36" s="69">
        <v>47.6</v>
      </c>
      <c r="S36" s="69">
        <v>52.4</v>
      </c>
      <c r="T36" s="69">
        <v>44.33</v>
      </c>
      <c r="AA36" s="69">
        <f t="shared" si="20"/>
        <v>48</v>
      </c>
      <c r="AB36" s="69">
        <f t="shared" si="21"/>
        <v>76.8</v>
      </c>
      <c r="AC36" s="69">
        <f t="shared" si="22"/>
        <v>95.4</v>
      </c>
      <c r="AD36" s="69">
        <f t="shared" si="23"/>
        <v>146.1</v>
      </c>
      <c r="AE36" s="74">
        <f>AE32*AE48</f>
        <v>253.06549619999996</v>
      </c>
      <c r="AF36" s="74">
        <f t="shared" ref="AF36:AN36" si="29">AF32*AF48</f>
        <v>352.93736009699995</v>
      </c>
      <c r="AG36" s="74">
        <f t="shared" si="29"/>
        <v>442.94825344080004</v>
      </c>
      <c r="AH36" s="74">
        <f t="shared" si="29"/>
        <v>552.43236420347046</v>
      </c>
      <c r="AI36" s="74">
        <f t="shared" si="29"/>
        <v>666.86984719959662</v>
      </c>
      <c r="AJ36" s="74">
        <f t="shared" si="29"/>
        <v>784.93874686165839</v>
      </c>
      <c r="AK36" s="74">
        <f t="shared" si="29"/>
        <v>975.95583997143638</v>
      </c>
      <c r="AL36" s="74">
        <f t="shared" si="29"/>
        <v>1081.3015000802841</v>
      </c>
      <c r="AM36" s="74">
        <f t="shared" si="29"/>
        <v>1165.849674251712</v>
      </c>
      <c r="AN36" s="74">
        <f t="shared" si="29"/>
        <v>1259.3426776571068</v>
      </c>
    </row>
    <row r="37" spans="2:92">
      <c r="B37" s="1" t="s">
        <v>927</v>
      </c>
      <c r="C37" s="69">
        <v>0</v>
      </c>
      <c r="D37" s="69">
        <v>0</v>
      </c>
      <c r="E37" s="69">
        <v>0</v>
      </c>
      <c r="F37" s="69">
        <v>4.0999999999999996</v>
      </c>
      <c r="G37" s="69">
        <v>0</v>
      </c>
      <c r="H37" s="69">
        <v>0</v>
      </c>
      <c r="I37" s="69">
        <v>-2.5</v>
      </c>
      <c r="J37" s="69">
        <v>0</v>
      </c>
      <c r="K37" s="69">
        <v>-0.1</v>
      </c>
      <c r="L37" s="69">
        <v>0</v>
      </c>
      <c r="M37" s="69">
        <v>-0.1</v>
      </c>
      <c r="N37" s="69">
        <v>-0.7</v>
      </c>
      <c r="O37" s="69">
        <v>0</v>
      </c>
      <c r="P37" s="69">
        <v>0</v>
      </c>
      <c r="Q37" s="69">
        <v>-0.1</v>
      </c>
      <c r="R37" s="69">
        <v>0.9</v>
      </c>
      <c r="S37" s="69">
        <v>0</v>
      </c>
      <c r="T37" s="69">
        <v>0</v>
      </c>
      <c r="AA37" s="69">
        <f t="shared" si="20"/>
        <v>4.0999999999999996</v>
      </c>
      <c r="AB37" s="69">
        <f t="shared" si="21"/>
        <v>-2.5</v>
      </c>
      <c r="AC37" s="69">
        <f t="shared" si="22"/>
        <v>-0.89999999999999991</v>
      </c>
      <c r="AD37" s="69">
        <f t="shared" si="23"/>
        <v>0.8</v>
      </c>
      <c r="AE37" s="74">
        <v>0</v>
      </c>
      <c r="AF37" s="74">
        <v>0</v>
      </c>
      <c r="AG37" s="74">
        <v>0</v>
      </c>
      <c r="AH37" s="74">
        <v>0</v>
      </c>
      <c r="AI37" s="74">
        <v>0</v>
      </c>
      <c r="AJ37" s="74">
        <v>0</v>
      </c>
      <c r="AK37" s="74">
        <v>0</v>
      </c>
      <c r="AL37" s="74">
        <v>0</v>
      </c>
      <c r="AM37" s="74">
        <v>0</v>
      </c>
      <c r="AN37" s="74">
        <v>0</v>
      </c>
    </row>
    <row r="38" spans="2:92">
      <c r="B38" s="1" t="s">
        <v>920</v>
      </c>
      <c r="C38" s="69">
        <f t="shared" ref="C38:N38" si="30">C34-SUM(C35:C37)</f>
        <v>-11.599999999999998</v>
      </c>
      <c r="D38" s="69">
        <f t="shared" si="30"/>
        <v>-3.6000000000000014</v>
      </c>
      <c r="E38" s="69">
        <f t="shared" si="30"/>
        <v>-0.5</v>
      </c>
      <c r="F38" s="69">
        <f t="shared" si="30"/>
        <v>-7.4000000000000021</v>
      </c>
      <c r="G38" s="69">
        <f t="shared" si="30"/>
        <v>-0.19999999999999929</v>
      </c>
      <c r="H38" s="69">
        <f t="shared" si="30"/>
        <v>-1.6999999999999993</v>
      </c>
      <c r="I38" s="69">
        <f t="shared" si="30"/>
        <v>2.0999999999999979</v>
      </c>
      <c r="J38" s="69">
        <f t="shared" si="30"/>
        <v>-16.399999999999999</v>
      </c>
      <c r="K38" s="69">
        <f t="shared" si="30"/>
        <v>-14.2</v>
      </c>
      <c r="L38" s="69">
        <f t="shared" si="30"/>
        <v>-8.8999999999999986</v>
      </c>
      <c r="M38" s="69">
        <f t="shared" si="30"/>
        <v>-5.6999999999999957</v>
      </c>
      <c r="N38" s="69">
        <f t="shared" si="30"/>
        <v>-6.3999999999999915</v>
      </c>
      <c r="O38" s="69">
        <f>O34-SUM(O35:O37)</f>
        <v>-14.499999999999993</v>
      </c>
      <c r="P38" s="69">
        <f>P34-SUM(P35:P37)</f>
        <v>-8.3999999999999986</v>
      </c>
      <c r="Q38" s="69">
        <f>Q34-SUM(Q35:Q37)</f>
        <v>26.20000000000001</v>
      </c>
      <c r="R38" s="69">
        <v>33.799999999999997</v>
      </c>
      <c r="S38" s="69">
        <f>S34-SUM(S35:S37)</f>
        <v>60.799999999999983</v>
      </c>
      <c r="T38" s="69">
        <f>T34-SUM(T35:T37)</f>
        <v>78.806999999999974</v>
      </c>
      <c r="AA38" s="69">
        <f t="shared" si="20"/>
        <v>-23.1</v>
      </c>
      <c r="AB38" s="69">
        <f t="shared" si="21"/>
        <v>-16.2</v>
      </c>
      <c r="AC38" s="69">
        <f t="shared" si="22"/>
        <v>-35.199999999999989</v>
      </c>
      <c r="AD38" s="69">
        <f t="shared" si="23"/>
        <v>37.100000000000016</v>
      </c>
      <c r="AE38" s="74">
        <f>AE34-SUM(AE35:AE37)</f>
        <v>319.207614525</v>
      </c>
      <c r="AF38" s="74">
        <f t="shared" ref="AF38:AN38" si="31">AF34-SUM(AF35:AF37)</f>
        <v>497.47361232719993</v>
      </c>
      <c r="AG38" s="74">
        <f t="shared" si="31"/>
        <v>688.78453410044403</v>
      </c>
      <c r="AH38" s="74">
        <f t="shared" si="31"/>
        <v>913.63814079804717</v>
      </c>
      <c r="AI38" s="74">
        <f t="shared" si="31"/>
        <v>1149.4730260940416</v>
      </c>
      <c r="AJ38" s="74">
        <f t="shared" si="31"/>
        <v>1393.7966396975935</v>
      </c>
      <c r="AK38" s="74">
        <f t="shared" si="31"/>
        <v>1816.3622577246178</v>
      </c>
      <c r="AL38" s="74">
        <f t="shared" si="31"/>
        <v>2100.814343013124</v>
      </c>
      <c r="AM38" s="74">
        <f t="shared" si="31"/>
        <v>2365.989044804945</v>
      </c>
      <c r="AN38" s="74">
        <f t="shared" si="31"/>
        <v>2555.7248458335398</v>
      </c>
    </row>
    <row r="39" spans="2:92">
      <c r="B39" s="1" t="s">
        <v>921</v>
      </c>
      <c r="C39" s="69">
        <v>0</v>
      </c>
      <c r="D39" s="69">
        <v>0.1</v>
      </c>
      <c r="E39" s="69">
        <v>-0.1</v>
      </c>
      <c r="F39" s="69">
        <v>-0.2</v>
      </c>
      <c r="G39" s="69">
        <v>-0.2</v>
      </c>
      <c r="H39" s="69">
        <v>-0.7</v>
      </c>
      <c r="I39" s="69">
        <v>2.5</v>
      </c>
      <c r="J39" s="69">
        <v>1.7</v>
      </c>
      <c r="K39" s="69">
        <v>2.2000000000000002</v>
      </c>
      <c r="L39" s="69">
        <v>2.7</v>
      </c>
      <c r="M39" s="69">
        <v>4.3</v>
      </c>
      <c r="N39" s="69">
        <v>5.2</v>
      </c>
      <c r="O39" s="69">
        <v>5.5</v>
      </c>
      <c r="P39" s="69">
        <v>4.5</v>
      </c>
      <c r="Q39" s="69">
        <v>3.9</v>
      </c>
      <c r="R39" s="69">
        <v>3.8</v>
      </c>
      <c r="S39" s="69">
        <v>3.9</v>
      </c>
      <c r="T39" s="69">
        <v>4.88</v>
      </c>
      <c r="AA39" s="69">
        <f t="shared" si="20"/>
        <v>-0.2</v>
      </c>
      <c r="AB39" s="69">
        <f t="shared" si="21"/>
        <v>3.3</v>
      </c>
      <c r="AC39" s="69">
        <f t="shared" si="22"/>
        <v>14.399999999999999</v>
      </c>
      <c r="AD39" s="69">
        <f t="shared" si="23"/>
        <v>17.7</v>
      </c>
      <c r="AE39" s="74">
        <f>SUM(AD53:AD54)*AN55</f>
        <v>191.94184999999999</v>
      </c>
      <c r="AF39" s="74">
        <f>SUM(AE53:AE54)*$AN$55</f>
        <v>328.07468147935248</v>
      </c>
      <c r="AG39" s="74">
        <f t="shared" ref="AG39:AN39" si="32">SUM(AF53:AF54)*$AN$55</f>
        <v>687.17786993153015</v>
      </c>
      <c r="AH39" s="74">
        <f t="shared" si="32"/>
        <v>1284.1735579809031</v>
      </c>
      <c r="AI39" s="74">
        <f t="shared" si="32"/>
        <v>2227.9688467290539</v>
      </c>
      <c r="AJ39" s="74">
        <f t="shared" si="32"/>
        <v>3670.8120147990799</v>
      </c>
      <c r="AK39" s="74">
        <f t="shared" si="32"/>
        <v>5811.8753234875485</v>
      </c>
      <c r="AL39" s="74">
        <f t="shared" si="32"/>
        <v>9036.7127609449926</v>
      </c>
      <c r="AM39" s="74">
        <f t="shared" si="32"/>
        <v>13745.102344143286</v>
      </c>
      <c r="AN39" s="74">
        <f t="shared" si="32"/>
        <v>20556.066228821153</v>
      </c>
    </row>
    <row r="40" spans="2:92">
      <c r="B40" s="1" t="s">
        <v>922</v>
      </c>
      <c r="C40" s="69">
        <f t="shared" ref="C40:R40" si="33">C38+C39</f>
        <v>-11.599999999999998</v>
      </c>
      <c r="D40" s="69">
        <f t="shared" si="33"/>
        <v>-3.5000000000000013</v>
      </c>
      <c r="E40" s="69">
        <f t="shared" si="33"/>
        <v>-0.6</v>
      </c>
      <c r="F40" s="69">
        <f t="shared" si="33"/>
        <v>-7.6000000000000023</v>
      </c>
      <c r="G40" s="69">
        <f t="shared" si="33"/>
        <v>-0.3999999999999993</v>
      </c>
      <c r="H40" s="69">
        <f t="shared" si="33"/>
        <v>-2.3999999999999995</v>
      </c>
      <c r="I40" s="69">
        <f t="shared" si="33"/>
        <v>4.5999999999999979</v>
      </c>
      <c r="J40" s="69">
        <f t="shared" si="33"/>
        <v>-14.7</v>
      </c>
      <c r="K40" s="69">
        <f t="shared" si="33"/>
        <v>-12</v>
      </c>
      <c r="L40" s="69">
        <f t="shared" si="33"/>
        <v>-6.1999999999999984</v>
      </c>
      <c r="M40" s="69">
        <f t="shared" si="33"/>
        <v>-1.3999999999999959</v>
      </c>
      <c r="N40" s="69">
        <f t="shared" si="33"/>
        <v>-1.1999999999999913</v>
      </c>
      <c r="O40" s="69">
        <f t="shared" si="33"/>
        <v>-8.9999999999999929</v>
      </c>
      <c r="P40" s="69">
        <f t="shared" si="33"/>
        <v>-3.8999999999999986</v>
      </c>
      <c r="Q40" s="69">
        <f t="shared" si="33"/>
        <v>30.100000000000009</v>
      </c>
      <c r="R40" s="69">
        <f t="shared" si="33"/>
        <v>37.599999999999994</v>
      </c>
      <c r="S40" s="69">
        <f>S38+S39</f>
        <v>64.699999999999989</v>
      </c>
      <c r="T40" s="69">
        <f>T38+T39</f>
        <v>83.686999999999969</v>
      </c>
      <c r="AA40" s="69">
        <f t="shared" si="20"/>
        <v>-23.3</v>
      </c>
      <c r="AB40" s="69">
        <f t="shared" si="21"/>
        <v>-12.9</v>
      </c>
      <c r="AC40" s="69">
        <f t="shared" si="22"/>
        <v>-20.799999999999986</v>
      </c>
      <c r="AD40" s="69">
        <f t="shared" si="23"/>
        <v>54.800000000000011</v>
      </c>
      <c r="AE40" s="74">
        <f>AE38+AE39</f>
        <v>511.14946452499998</v>
      </c>
      <c r="AF40" s="74">
        <f t="shared" ref="AF40:AN40" si="34">AF38+AF39</f>
        <v>825.54829380655246</v>
      </c>
      <c r="AG40" s="74">
        <f t="shared" si="34"/>
        <v>1375.9624040319741</v>
      </c>
      <c r="AH40" s="74">
        <f t="shared" si="34"/>
        <v>2197.8116987789504</v>
      </c>
      <c r="AI40" s="74">
        <f t="shared" si="34"/>
        <v>3377.4418728230958</v>
      </c>
      <c r="AJ40" s="74">
        <f t="shared" si="34"/>
        <v>5064.6086544966729</v>
      </c>
      <c r="AK40" s="74">
        <f t="shared" si="34"/>
        <v>7628.2375812121663</v>
      </c>
      <c r="AL40" s="74">
        <f t="shared" si="34"/>
        <v>11137.527103958117</v>
      </c>
      <c r="AM40" s="74">
        <f t="shared" si="34"/>
        <v>16111.091388948231</v>
      </c>
      <c r="AN40" s="74">
        <f t="shared" si="34"/>
        <v>23111.791074654691</v>
      </c>
    </row>
    <row r="41" spans="2:92">
      <c r="B41" s="1" t="s">
        <v>923</v>
      </c>
      <c r="C41" s="69">
        <v>0.9</v>
      </c>
      <c r="D41" s="69">
        <v>0.6</v>
      </c>
      <c r="E41" s="69">
        <v>-0.4</v>
      </c>
      <c r="F41" s="69">
        <v>-1.2</v>
      </c>
      <c r="G41" s="69">
        <v>-0.4</v>
      </c>
      <c r="H41" s="69">
        <v>0.9</v>
      </c>
      <c r="I41" s="69">
        <v>-3.2</v>
      </c>
      <c r="J41" s="69">
        <v>1.2</v>
      </c>
      <c r="K41" s="69">
        <v>-0.5</v>
      </c>
      <c r="L41" s="69">
        <v>0.4</v>
      </c>
      <c r="M41" s="69">
        <v>-2</v>
      </c>
      <c r="N41" s="69">
        <v>7.8</v>
      </c>
      <c r="O41" s="69">
        <v>0.6</v>
      </c>
      <c r="P41" s="69">
        <v>0.3</v>
      </c>
      <c r="Q41" s="69">
        <v>0.8</v>
      </c>
      <c r="R41" s="69">
        <v>1</v>
      </c>
      <c r="S41" s="69">
        <v>1.2</v>
      </c>
      <c r="T41" s="69">
        <v>1.0489999999999999</v>
      </c>
      <c r="AA41" s="69">
        <f t="shared" si="20"/>
        <v>-9.9999999999999867E-2</v>
      </c>
      <c r="AB41" s="69">
        <f t="shared" si="21"/>
        <v>-1.5000000000000002</v>
      </c>
      <c r="AC41" s="69">
        <f t="shared" si="22"/>
        <v>5.6999999999999993</v>
      </c>
      <c r="AD41" s="69">
        <f t="shared" si="23"/>
        <v>2.7</v>
      </c>
      <c r="AE41" s="74">
        <f>AE40*AE50</f>
        <v>10.222989290499999</v>
      </c>
      <c r="AF41" s="74">
        <f t="shared" ref="AF41:AN41" si="35">AF40*AF50</f>
        <v>18.574836610647431</v>
      </c>
      <c r="AG41" s="74">
        <f t="shared" si="35"/>
        <v>34.399060100799353</v>
      </c>
      <c r="AH41" s="74">
        <f t="shared" si="35"/>
        <v>76.923409457263276</v>
      </c>
      <c r="AI41" s="74">
        <f t="shared" si="35"/>
        <v>135.09767491292382</v>
      </c>
      <c r="AJ41" s="74">
        <f t="shared" si="35"/>
        <v>253.23043272483366</v>
      </c>
      <c r="AK41" s="74">
        <f t="shared" si="35"/>
        <v>381.41187906060833</v>
      </c>
      <c r="AL41" s="74">
        <f t="shared" si="35"/>
        <v>556.87635519790581</v>
      </c>
      <c r="AM41" s="74">
        <f t="shared" si="35"/>
        <v>805.55456944741161</v>
      </c>
      <c r="AN41" s="74">
        <f t="shared" si="35"/>
        <v>1155.5895537327347</v>
      </c>
    </row>
    <row r="42" spans="2:92" s="2" customFormat="1" ht="15">
      <c r="B42" s="2" t="s">
        <v>86</v>
      </c>
      <c r="C42" s="68">
        <f t="shared" ref="C42:R42" si="36">C40-C41</f>
        <v>-12.499999999999998</v>
      </c>
      <c r="D42" s="68">
        <f t="shared" si="36"/>
        <v>-4.1000000000000014</v>
      </c>
      <c r="E42" s="68">
        <f t="shared" si="36"/>
        <v>-0.19999999999999996</v>
      </c>
      <c r="F42" s="68">
        <f t="shared" si="36"/>
        <v>-6.4000000000000021</v>
      </c>
      <c r="G42" s="68">
        <f t="shared" si="36"/>
        <v>7.2164496600635175E-16</v>
      </c>
      <c r="H42" s="68">
        <f t="shared" si="36"/>
        <v>-3.2999999999999994</v>
      </c>
      <c r="I42" s="68">
        <f t="shared" si="36"/>
        <v>7.799999999999998</v>
      </c>
      <c r="J42" s="68">
        <f t="shared" si="36"/>
        <v>-15.899999999999999</v>
      </c>
      <c r="K42" s="68">
        <f t="shared" si="36"/>
        <v>-11.5</v>
      </c>
      <c r="L42" s="68">
        <f t="shared" si="36"/>
        <v>-6.5999999999999988</v>
      </c>
      <c r="M42" s="68">
        <f t="shared" si="36"/>
        <v>0.60000000000000409</v>
      </c>
      <c r="N42" s="68">
        <f t="shared" si="36"/>
        <v>-8.9999999999999911</v>
      </c>
      <c r="O42" s="68">
        <f t="shared" si="36"/>
        <v>-9.5999999999999925</v>
      </c>
      <c r="P42" s="68">
        <f t="shared" si="36"/>
        <v>-4.1999999999999984</v>
      </c>
      <c r="Q42" s="68">
        <f t="shared" si="36"/>
        <v>29.300000000000008</v>
      </c>
      <c r="R42" s="68">
        <f t="shared" si="36"/>
        <v>36.599999999999994</v>
      </c>
      <c r="S42" s="68">
        <f>S40-S41</f>
        <v>63.499999999999986</v>
      </c>
      <c r="T42" s="68">
        <f>T40-T41</f>
        <v>82.637999999999963</v>
      </c>
      <c r="U42" s="34"/>
      <c r="V42" s="34"/>
      <c r="AA42" s="68">
        <f t="shared" si="20"/>
        <v>-23.200000000000003</v>
      </c>
      <c r="AB42" s="68">
        <f t="shared" si="21"/>
        <v>-11.399999999999999</v>
      </c>
      <c r="AC42" s="68">
        <f t="shared" si="22"/>
        <v>-26.499999999999986</v>
      </c>
      <c r="AD42" s="68">
        <f t="shared" si="23"/>
        <v>52.100000000000009</v>
      </c>
      <c r="AE42" s="76">
        <f>AE40-AE41</f>
        <v>500.9264752345</v>
      </c>
      <c r="AF42" s="76">
        <f t="shared" ref="AF42:AN42" si="37">AF40-AF41</f>
        <v>806.97345719590498</v>
      </c>
      <c r="AG42" s="76">
        <f t="shared" si="37"/>
        <v>1341.5633439311748</v>
      </c>
      <c r="AH42" s="76">
        <f t="shared" si="37"/>
        <v>2120.8882893216869</v>
      </c>
      <c r="AI42" s="76">
        <f t="shared" si="37"/>
        <v>3242.3441979101717</v>
      </c>
      <c r="AJ42" s="76">
        <f t="shared" si="37"/>
        <v>4811.378221771839</v>
      </c>
      <c r="AK42" s="76">
        <f t="shared" si="37"/>
        <v>7246.8257021515583</v>
      </c>
      <c r="AL42" s="76">
        <f t="shared" si="37"/>
        <v>10580.65074876021</v>
      </c>
      <c r="AM42" s="76">
        <f t="shared" si="37"/>
        <v>15305.53681950082</v>
      </c>
      <c r="AN42" s="76">
        <f t="shared" si="37"/>
        <v>21956.201520921957</v>
      </c>
      <c r="AO42" s="76">
        <f>AN42*(1+$AN$56)</f>
        <v>22340.435047538092</v>
      </c>
      <c r="AP42" s="76">
        <f t="shared" ref="AP42:CL42" si="38">AO42*(1+$AN$56)</f>
        <v>22731.392660870009</v>
      </c>
      <c r="AQ42" s="76">
        <f t="shared" si="38"/>
        <v>23129.192032435236</v>
      </c>
      <c r="AR42" s="76">
        <f t="shared" si="38"/>
        <v>23533.952893002854</v>
      </c>
      <c r="AS42" s="76">
        <f t="shared" si="38"/>
        <v>23945.797068630407</v>
      </c>
      <c r="AT42" s="76">
        <f t="shared" si="38"/>
        <v>24364.84851733144</v>
      </c>
      <c r="AU42" s="76">
        <f t="shared" si="38"/>
        <v>24791.233366384742</v>
      </c>
      <c r="AV42" s="76">
        <f t="shared" si="38"/>
        <v>25225.079950296476</v>
      </c>
      <c r="AW42" s="76">
        <f t="shared" si="38"/>
        <v>25666.518849426666</v>
      </c>
      <c r="AX42" s="76">
        <f t="shared" si="38"/>
        <v>26115.682929291634</v>
      </c>
      <c r="AY42" s="76">
        <f t="shared" si="38"/>
        <v>26572.707380554239</v>
      </c>
      <c r="AZ42" s="76">
        <f t="shared" si="38"/>
        <v>27037.72975971394</v>
      </c>
      <c r="BA42" s="76">
        <f t="shared" si="38"/>
        <v>27510.890030508937</v>
      </c>
      <c r="BB42" s="76">
        <f t="shared" si="38"/>
        <v>27992.330606042844</v>
      </c>
      <c r="BC42" s="76">
        <f t="shared" si="38"/>
        <v>28482.196391648595</v>
      </c>
      <c r="BD42" s="76">
        <f t="shared" si="38"/>
        <v>28980.634828502447</v>
      </c>
      <c r="BE42" s="76">
        <f t="shared" si="38"/>
        <v>29487.795938001243</v>
      </c>
      <c r="BF42" s="76">
        <f t="shared" si="38"/>
        <v>30003.832366916267</v>
      </c>
      <c r="BG42" s="76">
        <f t="shared" si="38"/>
        <v>30528.899433337305</v>
      </c>
      <c r="BH42" s="76">
        <f t="shared" si="38"/>
        <v>31063.15517342071</v>
      </c>
      <c r="BI42" s="76">
        <f t="shared" si="38"/>
        <v>31606.760388955576</v>
      </c>
      <c r="BJ42" s="76">
        <f t="shared" si="38"/>
        <v>32159.878695762302</v>
      </c>
      <c r="BK42" s="76">
        <f t="shared" si="38"/>
        <v>32722.676572938144</v>
      </c>
      <c r="BL42" s="76">
        <f t="shared" si="38"/>
        <v>33295.323412964564</v>
      </c>
      <c r="BM42" s="76">
        <f t="shared" si="38"/>
        <v>33877.991572691448</v>
      </c>
      <c r="BN42" s="76">
        <f t="shared" si="38"/>
        <v>34470.856425213547</v>
      </c>
      <c r="BO42" s="76">
        <f t="shared" si="38"/>
        <v>35074.096412654784</v>
      </c>
      <c r="BP42" s="76">
        <f t="shared" si="38"/>
        <v>35687.893099876244</v>
      </c>
      <c r="BQ42" s="76">
        <f t="shared" si="38"/>
        <v>36312.431229124079</v>
      </c>
      <c r="BR42" s="76">
        <f t="shared" si="38"/>
        <v>36947.898775633752</v>
      </c>
      <c r="BS42" s="76">
        <f t="shared" si="38"/>
        <v>37594.487004207345</v>
      </c>
      <c r="BT42" s="76">
        <f t="shared" si="38"/>
        <v>38252.390526780975</v>
      </c>
      <c r="BU42" s="76">
        <f t="shared" si="38"/>
        <v>38921.807360999643</v>
      </c>
      <c r="BV42" s="76">
        <f t="shared" si="38"/>
        <v>39602.938989817136</v>
      </c>
      <c r="BW42" s="76">
        <f t="shared" si="38"/>
        <v>40295.990422138937</v>
      </c>
      <c r="BX42" s="76">
        <f t="shared" si="38"/>
        <v>41001.170254526369</v>
      </c>
      <c r="BY42" s="76">
        <f t="shared" si="38"/>
        <v>41718.690733980584</v>
      </c>
      <c r="BZ42" s="76">
        <f t="shared" si="38"/>
        <v>42448.767821825248</v>
      </c>
      <c r="CA42" s="76">
        <f t="shared" si="38"/>
        <v>43191.621258707193</v>
      </c>
      <c r="CB42" s="76">
        <f t="shared" si="38"/>
        <v>43947.47463073457</v>
      </c>
      <c r="CC42" s="76">
        <f t="shared" si="38"/>
        <v>44716.555436772425</v>
      </c>
      <c r="CD42" s="76">
        <f t="shared" si="38"/>
        <v>45499.095156915944</v>
      </c>
      <c r="CE42" s="76">
        <f t="shared" si="38"/>
        <v>46295.329322161975</v>
      </c>
      <c r="CF42" s="76">
        <f t="shared" si="38"/>
        <v>47105.49758529981</v>
      </c>
      <c r="CG42" s="76">
        <f t="shared" si="38"/>
        <v>47929.843793042557</v>
      </c>
      <c r="CH42" s="76">
        <f t="shared" si="38"/>
        <v>48768.616059420805</v>
      </c>
      <c r="CI42" s="76">
        <f t="shared" si="38"/>
        <v>49622.066840460669</v>
      </c>
      <c r="CJ42" s="76">
        <f t="shared" si="38"/>
        <v>50490.453010168734</v>
      </c>
      <c r="CK42" s="76">
        <f t="shared" si="38"/>
        <v>51374.035937846689</v>
      </c>
      <c r="CL42" s="76">
        <f t="shared" si="38"/>
        <v>52273.081566759007</v>
      </c>
      <c r="CM42" s="34"/>
      <c r="CN42" s="34"/>
    </row>
    <row r="43" spans="2:92">
      <c r="B43" s="1" t="s">
        <v>90</v>
      </c>
      <c r="C43" s="80">
        <v>68</v>
      </c>
      <c r="D43" s="80">
        <v>69</v>
      </c>
      <c r="E43" s="80">
        <v>74</v>
      </c>
      <c r="F43" s="80">
        <v>88</v>
      </c>
      <c r="G43" s="80">
        <v>145</v>
      </c>
      <c r="H43" s="80">
        <v>146</v>
      </c>
      <c r="I43" s="80">
        <v>147</v>
      </c>
      <c r="J43" s="80">
        <v>147</v>
      </c>
      <c r="K43" s="80">
        <v>149</v>
      </c>
      <c r="L43" s="80">
        <v>150</v>
      </c>
      <c r="M43" s="80">
        <v>157</v>
      </c>
      <c r="N43" s="80">
        <v>155</v>
      </c>
      <c r="O43" s="80">
        <v>165</v>
      </c>
      <c r="P43" s="80">
        <v>166</v>
      </c>
      <c r="Q43" s="80">
        <v>168</v>
      </c>
      <c r="R43" s="80">
        <v>168</v>
      </c>
      <c r="S43" s="80">
        <v>172</v>
      </c>
      <c r="T43" s="80">
        <v>175.3</v>
      </c>
      <c r="AA43" s="69">
        <v>88</v>
      </c>
      <c r="AB43" s="69">
        <f>AVERAGE(G43:J43)</f>
        <v>146.25</v>
      </c>
      <c r="AC43" s="69">
        <f>AVERAGE(K43:N43)</f>
        <v>152.75</v>
      </c>
      <c r="AD43" s="69">
        <f>AVERAGE(O43:R43)</f>
        <v>166.75</v>
      </c>
      <c r="AE43" s="74"/>
      <c r="AF43" s="74"/>
      <c r="AG43" s="74"/>
      <c r="AH43" s="74"/>
      <c r="AI43" s="74"/>
      <c r="AJ43" s="74"/>
      <c r="AK43" s="74"/>
      <c r="AL43" s="74"/>
      <c r="AM43" s="74"/>
      <c r="AN43" s="74"/>
    </row>
    <row r="44" spans="2:92">
      <c r="B44" s="1" t="s">
        <v>928</v>
      </c>
      <c r="C44" s="40">
        <f t="shared" ref="C44:R44" si="39">C42/C43</f>
        <v>-0.18382352941176469</v>
      </c>
      <c r="D44" s="40">
        <f t="shared" si="39"/>
        <v>-5.9420289855072486E-2</v>
      </c>
      <c r="E44" s="40">
        <f t="shared" si="39"/>
        <v>-2.702702702702702E-3</v>
      </c>
      <c r="F44" s="40">
        <f t="shared" si="39"/>
        <v>-7.2727272727272751E-2</v>
      </c>
      <c r="G44" s="40">
        <f t="shared" si="39"/>
        <v>4.9768618345265637E-18</v>
      </c>
      <c r="H44" s="40">
        <f t="shared" si="39"/>
        <v>-2.2602739726027395E-2</v>
      </c>
      <c r="I44" s="40">
        <f t="shared" si="39"/>
        <v>5.3061224489795902E-2</v>
      </c>
      <c r="J44" s="40">
        <f t="shared" si="39"/>
        <v>-0.10816326530612244</v>
      </c>
      <c r="K44" s="40">
        <f t="shared" si="39"/>
        <v>-7.7181208053691275E-2</v>
      </c>
      <c r="L44" s="40">
        <f t="shared" si="39"/>
        <v>-4.3999999999999991E-2</v>
      </c>
      <c r="M44" s="40">
        <f t="shared" si="39"/>
        <v>3.8216560509554401E-3</v>
      </c>
      <c r="N44" s="40">
        <f t="shared" si="39"/>
        <v>-5.8064516129032198E-2</v>
      </c>
      <c r="O44" s="40">
        <f t="shared" si="39"/>
        <v>-5.8181818181818133E-2</v>
      </c>
      <c r="P44" s="40">
        <f t="shared" si="39"/>
        <v>-2.5301204819277098E-2</v>
      </c>
      <c r="Q44" s="40">
        <f t="shared" si="39"/>
        <v>0.17440476190476195</v>
      </c>
      <c r="R44" s="40">
        <f t="shared" si="39"/>
        <v>0.21785714285714283</v>
      </c>
      <c r="S44" s="40">
        <f>S42/S43</f>
        <v>0.36918604651162784</v>
      </c>
      <c r="T44" s="40">
        <f>T42/T43</f>
        <v>0.47140901312036482</v>
      </c>
      <c r="AA44" s="40">
        <f>AA42/AA43</f>
        <v>-0.26363636363636367</v>
      </c>
      <c r="AB44" s="40">
        <f t="shared" ref="AB44:AD44" si="40">AB42/AB43</f>
        <v>-7.7948717948717938E-2</v>
      </c>
      <c r="AC44" s="40">
        <f t="shared" si="40"/>
        <v>-0.17348608837970531</v>
      </c>
      <c r="AD44" s="40">
        <f t="shared" si="40"/>
        <v>0.31244377811094459</v>
      </c>
    </row>
    <row r="46" spans="2:92">
      <c r="B46" s="37" t="s">
        <v>71</v>
      </c>
      <c r="C46" s="70">
        <f t="shared" ref="C46:R46" si="41">C34/C32</f>
        <v>0.4859813084112149</v>
      </c>
      <c r="D46" s="70">
        <f t="shared" si="41"/>
        <v>0.60227272727272729</v>
      </c>
      <c r="E46" s="70">
        <f t="shared" si="41"/>
        <v>0.60062893081761004</v>
      </c>
      <c r="F46" s="70">
        <f t="shared" si="41"/>
        <v>0.63200000000000001</v>
      </c>
      <c r="G46" s="70">
        <f t="shared" si="41"/>
        <v>0.5956989247311828</v>
      </c>
      <c r="H46" s="70">
        <f t="shared" si="41"/>
        <v>0.54474708171206232</v>
      </c>
      <c r="I46" s="70">
        <f t="shared" si="41"/>
        <v>0.58931860036832406</v>
      </c>
      <c r="J46" s="70">
        <f t="shared" si="41"/>
        <v>0.57943925233644866</v>
      </c>
      <c r="K46" s="70">
        <f t="shared" si="41"/>
        <v>0.59259259259259256</v>
      </c>
      <c r="L46" s="70">
        <f t="shared" si="41"/>
        <v>0.59318181818181825</v>
      </c>
      <c r="M46" s="70">
        <f t="shared" si="41"/>
        <v>0.61393596986817323</v>
      </c>
      <c r="N46" s="70">
        <f t="shared" si="41"/>
        <v>0.65789473684210531</v>
      </c>
      <c r="O46" s="70">
        <f t="shared" si="41"/>
        <v>0.62479061976549422</v>
      </c>
      <c r="P46" s="70">
        <f t="shared" si="41"/>
        <v>0.63194444444444442</v>
      </c>
      <c r="Q46" s="70">
        <f t="shared" si="41"/>
        <v>0.63629629629629636</v>
      </c>
      <c r="R46" s="70">
        <f t="shared" si="41"/>
        <v>0.67176470588235293</v>
      </c>
      <c r="S46" s="70">
        <f>S34/S32</f>
        <v>0.67413715822501108</v>
      </c>
      <c r="T46" s="70">
        <f>T34/T32</f>
        <v>0.67548045532726175</v>
      </c>
      <c r="AA46" s="70">
        <f t="shared" ref="AA46:AD46" si="42">AA34/AA32</f>
        <v>0.60056390977443619</v>
      </c>
      <c r="AB46" s="70">
        <f t="shared" si="42"/>
        <v>0.57677699403147054</v>
      </c>
      <c r="AC46" s="70">
        <f t="shared" si="42"/>
        <v>0.61917098445595853</v>
      </c>
      <c r="AD46" s="70">
        <f t="shared" si="42"/>
        <v>0.64781314403480661</v>
      </c>
      <c r="AE46" s="77">
        <v>0.67</v>
      </c>
      <c r="AF46" s="77">
        <v>0.67500000000000004</v>
      </c>
      <c r="AG46" s="77">
        <v>0.67500000000000004</v>
      </c>
      <c r="AH46" s="77">
        <v>0.67749999999999999</v>
      </c>
      <c r="AI46" s="77">
        <v>0.67500000000000004</v>
      </c>
      <c r="AJ46" s="77">
        <v>0.67</v>
      </c>
      <c r="AK46" s="77">
        <v>0.67</v>
      </c>
      <c r="AL46" s="77">
        <v>0.67</v>
      </c>
      <c r="AM46" s="77">
        <v>0.67</v>
      </c>
      <c r="AN46" s="77">
        <v>0.67</v>
      </c>
    </row>
    <row r="47" spans="2:92">
      <c r="B47" s="37" t="s">
        <v>73</v>
      </c>
      <c r="C47" s="70">
        <f t="shared" ref="C47:S47" si="43">C35/C32</f>
        <v>0.66355140186915884</v>
      </c>
      <c r="D47" s="70">
        <f t="shared" si="43"/>
        <v>0.29166666666666669</v>
      </c>
      <c r="E47" s="70">
        <f t="shared" si="43"/>
        <v>0.27044025157232704</v>
      </c>
      <c r="F47" s="70">
        <f t="shared" si="43"/>
        <v>0.30666666666666664</v>
      </c>
      <c r="G47" s="70">
        <f t="shared" si="43"/>
        <v>0.24086021505376343</v>
      </c>
      <c r="H47" s="70">
        <f t="shared" si="43"/>
        <v>0.22373540856031129</v>
      </c>
      <c r="I47" s="70">
        <f t="shared" si="43"/>
        <v>0.21915285451197056</v>
      </c>
      <c r="J47" s="70">
        <f t="shared" si="43"/>
        <v>0.42367601246105918</v>
      </c>
      <c r="K47" s="70">
        <f t="shared" si="43"/>
        <v>0.35612535612535612</v>
      </c>
      <c r="L47" s="70">
        <f t="shared" si="43"/>
        <v>0.3022727272727273</v>
      </c>
      <c r="M47" s="70">
        <f t="shared" si="43"/>
        <v>0.26741996233521653</v>
      </c>
      <c r="N47" s="70">
        <f t="shared" si="43"/>
        <v>0.33223684210526316</v>
      </c>
      <c r="O47" s="70">
        <f t="shared" si="43"/>
        <v>0.35678391959798994</v>
      </c>
      <c r="P47" s="70">
        <f t="shared" si="43"/>
        <v>0.30833333333333335</v>
      </c>
      <c r="Q47" s="70">
        <f t="shared" si="43"/>
        <v>0.17407407407407408</v>
      </c>
      <c r="R47" s="70">
        <f t="shared" si="43"/>
        <v>0.18764705882352942</v>
      </c>
      <c r="S47" s="70">
        <f t="shared" si="43"/>
        <v>0.16674137158225014</v>
      </c>
      <c r="T47" s="70">
        <f t="shared" ref="T47" si="44">T35/T32</f>
        <v>0.21606032228096422</v>
      </c>
      <c r="AA47" s="70">
        <f>AA35/AA32</f>
        <v>0.32800751879699247</v>
      </c>
      <c r="AB47" s="70">
        <f>AB35/AB32</f>
        <v>0.26153011394465547</v>
      </c>
      <c r="AC47" s="70">
        <f>AC35/AC32</f>
        <v>0.3119170984455959</v>
      </c>
      <c r="AD47" s="70">
        <f>AD35/AD32</f>
        <v>0.22647126173574539</v>
      </c>
      <c r="AE47" s="77">
        <v>0.17249999999999999</v>
      </c>
      <c r="AF47" s="77">
        <v>0.16900000000000001</v>
      </c>
      <c r="AG47" s="77">
        <v>0.16400000000000001</v>
      </c>
      <c r="AH47" s="77">
        <v>0.16</v>
      </c>
      <c r="AI47" s="77">
        <v>0.1575</v>
      </c>
      <c r="AJ47" s="77">
        <v>0.1565</v>
      </c>
      <c r="AK47" s="77">
        <v>0.155</v>
      </c>
      <c r="AL47" s="77">
        <v>0.155</v>
      </c>
      <c r="AM47" s="77">
        <v>0.155</v>
      </c>
      <c r="AN47" s="77">
        <v>0.155</v>
      </c>
    </row>
    <row r="48" spans="2:92">
      <c r="B48" s="37" t="s">
        <v>72</v>
      </c>
      <c r="C48" s="70">
        <f t="shared" ref="C48:R48" si="45">C36/C32</f>
        <v>0.90654205607476634</v>
      </c>
      <c r="D48" s="70">
        <f t="shared" si="45"/>
        <v>0.44696969696969702</v>
      </c>
      <c r="E48" s="70">
        <f t="shared" si="45"/>
        <v>0.34591194968553457</v>
      </c>
      <c r="F48" s="70">
        <f t="shared" si="45"/>
        <v>0.41333333333333333</v>
      </c>
      <c r="G48" s="70">
        <f t="shared" si="45"/>
        <v>0.35913978494623655</v>
      </c>
      <c r="H48" s="70">
        <f t="shared" si="45"/>
        <v>0.35408560311284049</v>
      </c>
      <c r="I48" s="70">
        <f t="shared" si="45"/>
        <v>0.37753222836095768</v>
      </c>
      <c r="J48" s="70">
        <f t="shared" si="45"/>
        <v>0.66666666666666663</v>
      </c>
      <c r="K48" s="70">
        <f t="shared" si="45"/>
        <v>0.64387464387464388</v>
      </c>
      <c r="L48" s="70">
        <f t="shared" si="45"/>
        <v>0.49318181818181817</v>
      </c>
      <c r="M48" s="70">
        <f t="shared" si="45"/>
        <v>0.45574387947269301</v>
      </c>
      <c r="N48" s="70">
        <f t="shared" si="45"/>
        <v>0.44243421052631576</v>
      </c>
      <c r="O48" s="70">
        <f t="shared" si="45"/>
        <v>0.51088777219430481</v>
      </c>
      <c r="P48" s="70">
        <f t="shared" si="45"/>
        <v>0.44027777777777777</v>
      </c>
      <c r="Q48" s="70">
        <f t="shared" si="45"/>
        <v>0.26888888888888884</v>
      </c>
      <c r="R48" s="70">
        <f t="shared" si="45"/>
        <v>0.28000000000000003</v>
      </c>
      <c r="S48" s="70">
        <f>S36/S32</f>
        <v>0.23487225459435232</v>
      </c>
      <c r="T48" s="70">
        <f>T36/T32</f>
        <v>0.16539378495450086</v>
      </c>
      <c r="AA48" s="70">
        <f t="shared" ref="AA48:AD48" si="46">AA36/AA32</f>
        <v>0.45112781954887221</v>
      </c>
      <c r="AB48" s="70">
        <f t="shared" si="46"/>
        <v>0.416711882799783</v>
      </c>
      <c r="AC48" s="70">
        <f t="shared" si="46"/>
        <v>0.49430051813471504</v>
      </c>
      <c r="AD48" s="70">
        <f t="shared" si="46"/>
        <v>0.33455461415159149</v>
      </c>
      <c r="AE48" s="77">
        <v>0.22</v>
      </c>
      <c r="AF48" s="77">
        <v>0.21</v>
      </c>
      <c r="AG48" s="77">
        <v>0.2</v>
      </c>
      <c r="AH48" s="77">
        <v>0.19500000000000001</v>
      </c>
      <c r="AI48" s="77">
        <v>0.19</v>
      </c>
      <c r="AJ48" s="77">
        <v>0.185</v>
      </c>
      <c r="AK48" s="77">
        <v>0.18</v>
      </c>
      <c r="AL48" s="77">
        <v>0.17499999999999999</v>
      </c>
      <c r="AM48" s="77">
        <v>0.17</v>
      </c>
      <c r="AN48" s="77">
        <v>0.17</v>
      </c>
    </row>
    <row r="49" spans="2:41">
      <c r="B49" s="37" t="s">
        <v>74</v>
      </c>
      <c r="C49" s="70">
        <f t="shared" ref="C49:S49" si="47">C38/C32</f>
        <v>-1.0841121495327102</v>
      </c>
      <c r="D49" s="70">
        <f t="shared" si="47"/>
        <v>-0.13636363636363644</v>
      </c>
      <c r="E49" s="70">
        <f t="shared" si="47"/>
        <v>-1.5723270440251572E-2</v>
      </c>
      <c r="F49" s="70">
        <f t="shared" si="47"/>
        <v>-0.19733333333333339</v>
      </c>
      <c r="G49" s="70">
        <f t="shared" si="47"/>
        <v>-4.3010752688171887E-3</v>
      </c>
      <c r="H49" s="70">
        <f t="shared" si="47"/>
        <v>-3.3073929961089481E-2</v>
      </c>
      <c r="I49" s="70">
        <f t="shared" si="47"/>
        <v>3.8674033149171234E-2</v>
      </c>
      <c r="J49" s="70">
        <f t="shared" si="47"/>
        <v>-0.5109034267912772</v>
      </c>
      <c r="K49" s="70">
        <f t="shared" si="47"/>
        <v>-0.40455840455840453</v>
      </c>
      <c r="L49" s="70">
        <f t="shared" si="47"/>
        <v>-0.20227272727272724</v>
      </c>
      <c r="M49" s="70">
        <f t="shared" si="47"/>
        <v>-0.10734463276836149</v>
      </c>
      <c r="N49" s="70">
        <f t="shared" si="47"/>
        <v>-0.10526315789473671</v>
      </c>
      <c r="O49" s="70">
        <f t="shared" si="47"/>
        <v>-0.24288107202680054</v>
      </c>
      <c r="P49" s="70">
        <f t="shared" si="47"/>
        <v>-0.11666666666666664</v>
      </c>
      <c r="Q49" s="70">
        <f t="shared" si="47"/>
        <v>0.19407407407407415</v>
      </c>
      <c r="R49" s="70">
        <f t="shared" si="47"/>
        <v>0.19882352941176468</v>
      </c>
      <c r="S49" s="70">
        <f t="shared" si="47"/>
        <v>0.27252353204840873</v>
      </c>
      <c r="T49" s="70">
        <f t="shared" ref="T49" si="48">T38/T32</f>
        <v>0.29402634809179662</v>
      </c>
      <c r="AA49" s="70">
        <f t="shared" ref="AA49:AN49" si="49">AA38/AA32</f>
        <v>-0.21710526315789477</v>
      </c>
      <c r="AB49" s="70">
        <f t="shared" si="49"/>
        <v>-8.7900162778079216E-2</v>
      </c>
      <c r="AC49" s="70">
        <f t="shared" si="49"/>
        <v>-0.18238341968911911</v>
      </c>
      <c r="AD49" s="70">
        <f t="shared" si="49"/>
        <v>8.495534692008247E-2</v>
      </c>
      <c r="AE49" s="77">
        <f t="shared" si="49"/>
        <v>0.27750000000000002</v>
      </c>
      <c r="AF49" s="77">
        <f t="shared" si="49"/>
        <v>0.29599999999999999</v>
      </c>
      <c r="AG49" s="77">
        <f t="shared" si="49"/>
        <v>0.311</v>
      </c>
      <c r="AH49" s="77">
        <f t="shared" si="49"/>
        <v>0.32250000000000001</v>
      </c>
      <c r="AI49" s="77">
        <f t="shared" si="49"/>
        <v>0.32750000000000001</v>
      </c>
      <c r="AJ49" s="77">
        <f t="shared" si="49"/>
        <v>0.32850000000000001</v>
      </c>
      <c r="AK49" s="77">
        <f t="shared" si="49"/>
        <v>0.33500000000000002</v>
      </c>
      <c r="AL49" s="77">
        <f t="shared" si="49"/>
        <v>0.34000000000000008</v>
      </c>
      <c r="AM49" s="77">
        <f t="shared" si="49"/>
        <v>0.34500000000000003</v>
      </c>
      <c r="AN49" s="77">
        <f t="shared" si="49"/>
        <v>0.34499999999999997</v>
      </c>
    </row>
    <row r="50" spans="2:41">
      <c r="B50" s="37" t="s">
        <v>75</v>
      </c>
      <c r="C50" s="70">
        <f t="shared" ref="C50:S50" si="50">C41/C40</f>
        <v>-7.758620689655174E-2</v>
      </c>
      <c r="D50" s="70">
        <f t="shared" si="50"/>
        <v>-0.17142857142857135</v>
      </c>
      <c r="E50" s="70">
        <f t="shared" si="50"/>
        <v>0.66666666666666674</v>
      </c>
      <c r="F50" s="70">
        <f t="shared" si="50"/>
        <v>0.1578947368421052</v>
      </c>
      <c r="G50" s="70">
        <f t="shared" si="50"/>
        <v>1.0000000000000018</v>
      </c>
      <c r="H50" s="70">
        <f t="shared" si="50"/>
        <v>-0.37500000000000011</v>
      </c>
      <c r="I50" s="70">
        <f t="shared" si="50"/>
        <v>-0.69565217391304379</v>
      </c>
      <c r="J50" s="70">
        <f t="shared" si="50"/>
        <v>-8.1632653061224497E-2</v>
      </c>
      <c r="K50" s="70">
        <f t="shared" si="50"/>
        <v>4.1666666666666664E-2</v>
      </c>
      <c r="L50" s="70">
        <f t="shared" si="50"/>
        <v>-6.451612903225809E-2</v>
      </c>
      <c r="M50" s="70">
        <f t="shared" si="50"/>
        <v>1.4285714285714328</v>
      </c>
      <c r="N50" s="70">
        <f t="shared" si="50"/>
        <v>-6.5000000000000471</v>
      </c>
      <c r="O50" s="70">
        <f t="shared" si="50"/>
        <v>-6.6666666666666721E-2</v>
      </c>
      <c r="P50" s="70">
        <f t="shared" si="50"/>
        <v>-7.6923076923076955E-2</v>
      </c>
      <c r="Q50" s="70">
        <f t="shared" si="50"/>
        <v>2.657807308970099E-2</v>
      </c>
      <c r="R50" s="70">
        <f t="shared" si="50"/>
        <v>2.6595744680851068E-2</v>
      </c>
      <c r="S50" s="70">
        <f t="shared" si="50"/>
        <v>1.8547140649149925E-2</v>
      </c>
      <c r="T50" s="70">
        <f t="shared" ref="T50" si="51">T41/T40</f>
        <v>1.2534802299042866E-2</v>
      </c>
      <c r="AA50" s="70">
        <f>AA41/AA40</f>
        <v>4.2918454935622257E-3</v>
      </c>
      <c r="AB50" s="70">
        <f>AB41/AB40</f>
        <v>0.11627906976744187</v>
      </c>
      <c r="AC50" s="70">
        <f>AC41/AC40</f>
        <v>-0.27403846153846168</v>
      </c>
      <c r="AD50" s="70">
        <f>AD41/AD40</f>
        <v>4.9270072992700725E-2</v>
      </c>
      <c r="AE50" s="77">
        <v>0.02</v>
      </c>
      <c r="AF50" s="77">
        <v>2.2499999999999999E-2</v>
      </c>
      <c r="AG50" s="77">
        <v>2.5000000000000001E-2</v>
      </c>
      <c r="AH50" s="77">
        <v>3.5000000000000003E-2</v>
      </c>
      <c r="AI50" s="77">
        <v>0.04</v>
      </c>
      <c r="AJ50" s="77">
        <v>0.05</v>
      </c>
      <c r="AK50" s="77">
        <v>0.05</v>
      </c>
      <c r="AL50" s="77">
        <v>0.05</v>
      </c>
      <c r="AM50" s="77">
        <v>0.05</v>
      </c>
      <c r="AN50" s="77">
        <v>0.05</v>
      </c>
    </row>
    <row r="51" spans="2:41">
      <c r="B51" s="37" t="s">
        <v>76</v>
      </c>
      <c r="C51" s="70">
        <f t="shared" ref="C51:S51" si="52">C42/C32</f>
        <v>-1.1682242990654206</v>
      </c>
      <c r="D51" s="70">
        <f t="shared" si="52"/>
        <v>-0.15530303030303036</v>
      </c>
      <c r="E51" s="70">
        <f t="shared" si="52"/>
        <v>-6.2893081761006275E-3</v>
      </c>
      <c r="F51" s="70">
        <f t="shared" si="52"/>
        <v>-0.17066666666666672</v>
      </c>
      <c r="G51" s="70">
        <f t="shared" si="52"/>
        <v>1.5519246580781757E-17</v>
      </c>
      <c r="H51" s="70">
        <f t="shared" si="52"/>
        <v>-6.4202334630350189E-2</v>
      </c>
      <c r="I51" s="70">
        <f t="shared" si="52"/>
        <v>0.14364640883977897</v>
      </c>
      <c r="J51" s="70">
        <f t="shared" si="52"/>
        <v>-0.49532710280373826</v>
      </c>
      <c r="K51" s="70">
        <f t="shared" si="52"/>
        <v>-0.3276353276353276</v>
      </c>
      <c r="L51" s="70">
        <f t="shared" si="52"/>
        <v>-0.14999999999999997</v>
      </c>
      <c r="M51" s="70">
        <f t="shared" si="52"/>
        <v>1.1299435028248664E-2</v>
      </c>
      <c r="N51" s="70">
        <f t="shared" si="52"/>
        <v>-0.14802631578947353</v>
      </c>
      <c r="O51" s="70">
        <f t="shared" si="52"/>
        <v>-0.16080402010050238</v>
      </c>
      <c r="P51" s="70">
        <f t="shared" si="52"/>
        <v>-5.8333333333333313E-2</v>
      </c>
      <c r="Q51" s="70">
        <f t="shared" si="52"/>
        <v>0.21703703703703708</v>
      </c>
      <c r="R51" s="70">
        <f t="shared" si="52"/>
        <v>0.2152941176470588</v>
      </c>
      <c r="S51" s="70">
        <f t="shared" si="52"/>
        <v>0.28462572837292688</v>
      </c>
      <c r="T51" s="70">
        <f t="shared" ref="T51" si="53">T42/T32</f>
        <v>0.30831968421091893</v>
      </c>
      <c r="AA51" s="70">
        <f t="shared" ref="AA51:AN51" si="54">AA42/AA32</f>
        <v>-0.21804511278195493</v>
      </c>
      <c r="AB51" s="70">
        <f t="shared" si="54"/>
        <v>-6.1855670103092779E-2</v>
      </c>
      <c r="AC51" s="70">
        <f t="shared" si="54"/>
        <v>-0.13730569948186522</v>
      </c>
      <c r="AD51" s="70">
        <f t="shared" si="54"/>
        <v>0.11930386993359288</v>
      </c>
      <c r="AE51" s="77">
        <f t="shared" si="54"/>
        <v>0.43547550419317105</v>
      </c>
      <c r="AF51" s="77">
        <f t="shared" si="54"/>
        <v>0.48015439896916856</v>
      </c>
      <c r="AG51" s="77">
        <f t="shared" si="54"/>
        <v>0.60574269500330002</v>
      </c>
      <c r="AH51" s="77">
        <f t="shared" si="54"/>
        <v>0.74864045486191466</v>
      </c>
      <c r="AI51" s="77">
        <f t="shared" si="54"/>
        <v>0.92378655323809822</v>
      </c>
      <c r="AJ51" s="77">
        <f t="shared" si="54"/>
        <v>1.1339801667156926</v>
      </c>
      <c r="AK51" s="77">
        <f t="shared" si="54"/>
        <v>1.3365652142882383</v>
      </c>
      <c r="AL51" s="77">
        <f t="shared" si="54"/>
        <v>1.7123937041570354</v>
      </c>
      <c r="AM51" s="77">
        <f t="shared" si="54"/>
        <v>2.2317982470468736</v>
      </c>
      <c r="AN51" s="77">
        <f t="shared" si="54"/>
        <v>2.9638908652733127</v>
      </c>
    </row>
    <row r="53" spans="2:41">
      <c r="B53" s="1" t="s">
        <v>77</v>
      </c>
      <c r="N53" s="69">
        <v>66.941999999999993</v>
      </c>
      <c r="O53" s="69">
        <v>103.9</v>
      </c>
      <c r="P53" s="69">
        <v>239.23</v>
      </c>
      <c r="Q53" s="69">
        <v>299.2</v>
      </c>
      <c r="R53" s="69">
        <v>236.32</v>
      </c>
      <c r="S53" s="69">
        <v>219.63</v>
      </c>
      <c r="T53" s="69">
        <v>567.57000000000005</v>
      </c>
      <c r="AC53" s="69">
        <f>N53</f>
        <v>66.941999999999993</v>
      </c>
      <c r="AD53" s="69">
        <f>R53</f>
        <v>236.32</v>
      </c>
      <c r="AE53" s="74">
        <f>AD53+AE42</f>
        <v>737.24647523449994</v>
      </c>
      <c r="AF53" s="74">
        <f t="shared" ref="AF53:AN53" si="55">AE53+AF42</f>
        <v>1544.2199324304049</v>
      </c>
      <c r="AG53" s="74">
        <f t="shared" si="55"/>
        <v>2885.7832763615797</v>
      </c>
      <c r="AH53" s="74">
        <f t="shared" si="55"/>
        <v>5006.6715656832666</v>
      </c>
      <c r="AI53" s="74">
        <f t="shared" si="55"/>
        <v>8249.0157635934374</v>
      </c>
      <c r="AJ53" s="74">
        <f t="shared" si="55"/>
        <v>13060.393985365277</v>
      </c>
      <c r="AK53" s="74">
        <f t="shared" si="55"/>
        <v>20307.219687516837</v>
      </c>
      <c r="AL53" s="74">
        <f t="shared" si="55"/>
        <v>30887.870436277048</v>
      </c>
      <c r="AM53" s="74">
        <f t="shared" si="55"/>
        <v>46193.407255777871</v>
      </c>
      <c r="AN53" s="74">
        <f t="shared" si="55"/>
        <v>68149.608776699824</v>
      </c>
    </row>
    <row r="54" spans="2:41">
      <c r="B54" s="1" t="s">
        <v>78</v>
      </c>
      <c r="N54" s="69">
        <v>343.06</v>
      </c>
      <c r="O54" s="69">
        <v>294.70999999999998</v>
      </c>
      <c r="P54" s="69">
        <v>143.71</v>
      </c>
      <c r="Q54" s="69">
        <v>80</v>
      </c>
      <c r="R54" s="69">
        <v>195.01</v>
      </c>
      <c r="S54" s="69">
        <v>260</v>
      </c>
      <c r="T54" s="69">
        <v>246</v>
      </c>
      <c r="AC54" s="69">
        <f t="shared" ref="AC54:AC74" si="56">N54</f>
        <v>343.06</v>
      </c>
      <c r="AD54" s="69">
        <f t="shared" ref="AD54:AD74" si="57">R54</f>
        <v>195.01</v>
      </c>
    </row>
    <row r="55" spans="2:41">
      <c r="B55" s="1" t="s">
        <v>930</v>
      </c>
      <c r="N55" s="69">
        <v>59.6</v>
      </c>
      <c r="O55" s="69">
        <v>71.858999999999995</v>
      </c>
      <c r="P55" s="69">
        <v>81.77</v>
      </c>
      <c r="Q55" s="69">
        <v>157.13</v>
      </c>
      <c r="R55" s="69">
        <v>162.13999999999999</v>
      </c>
      <c r="S55" s="69">
        <v>181.2</v>
      </c>
      <c r="T55" s="69">
        <v>245.19</v>
      </c>
      <c r="AC55" s="69">
        <f t="shared" si="56"/>
        <v>59.6</v>
      </c>
      <c r="AD55" s="69">
        <f t="shared" si="57"/>
        <v>162.13999999999999</v>
      </c>
      <c r="AF55" s="49" t="s">
        <v>121</v>
      </c>
      <c r="AG55" s="50"/>
      <c r="AH55" s="50"/>
      <c r="AI55" s="49" t="s">
        <v>122</v>
      </c>
      <c r="AJ55" s="50"/>
      <c r="AK55" s="51" t="s">
        <v>123</v>
      </c>
      <c r="AL55" s="50"/>
      <c r="AM55" s="52" t="s">
        <v>124</v>
      </c>
      <c r="AN55" s="53">
        <v>0.44500000000000001</v>
      </c>
      <c r="AO55" s="50"/>
    </row>
    <row r="56" spans="2:41" ht="13.5" customHeight="1">
      <c r="B56" s="1" t="s">
        <v>931</v>
      </c>
      <c r="N56" s="69">
        <v>25.907</v>
      </c>
      <c r="O56" s="69">
        <v>31.556999999999999</v>
      </c>
      <c r="P56" s="69">
        <v>36.31</v>
      </c>
      <c r="Q56" s="69">
        <v>53.23</v>
      </c>
      <c r="R56" s="69">
        <v>90.02</v>
      </c>
      <c r="S56" s="69">
        <v>116.6</v>
      </c>
      <c r="T56" s="69">
        <v>150.19</v>
      </c>
      <c r="AC56" s="69">
        <f t="shared" si="56"/>
        <v>25.907</v>
      </c>
      <c r="AD56" s="69">
        <f t="shared" si="57"/>
        <v>90.02</v>
      </c>
      <c r="AF56" s="50">
        <v>2026</v>
      </c>
      <c r="AG56" s="50"/>
      <c r="AH56" s="50">
        <v>2024</v>
      </c>
      <c r="AI56" s="50">
        <v>2025</v>
      </c>
      <c r="AJ56" s="50"/>
      <c r="AK56" s="51" t="s">
        <v>125</v>
      </c>
      <c r="AL56" s="50"/>
      <c r="AM56" s="52" t="s">
        <v>126</v>
      </c>
      <c r="AN56" s="53">
        <v>1.7500000000000002E-2</v>
      </c>
      <c r="AO56" s="50"/>
    </row>
    <row r="57" spans="2:41" ht="13.5" customHeight="1">
      <c r="B57" s="1" t="s">
        <v>945</v>
      </c>
      <c r="N57" s="69">
        <v>21.56</v>
      </c>
      <c r="O57" s="69">
        <v>24.4</v>
      </c>
      <c r="P57" s="69">
        <v>19.97</v>
      </c>
      <c r="Q57" s="69">
        <v>13.58</v>
      </c>
      <c r="R57" s="69">
        <v>0</v>
      </c>
      <c r="S57" s="69">
        <v>0</v>
      </c>
      <c r="T57" s="69">
        <v>0</v>
      </c>
      <c r="AC57" s="69">
        <f t="shared" si="56"/>
        <v>21.56</v>
      </c>
      <c r="AD57" s="69">
        <f t="shared" si="57"/>
        <v>0</v>
      </c>
      <c r="AF57" s="54">
        <f>AVERAGE(AE38)*(1-AE50)</f>
        <v>312.82346223449997</v>
      </c>
      <c r="AG57" s="50"/>
      <c r="AH57" s="55">
        <f>SUM(AC53:AC58)-AC66+AC59+AC61</f>
        <v>560.38900000000001</v>
      </c>
      <c r="AI57" s="55">
        <f>SUM(AD53:AD58)-AD66+AD59+AD61</f>
        <v>720.99</v>
      </c>
      <c r="AJ57" s="50"/>
      <c r="AK57" s="55">
        <f>AVERAGE(AH57:AI57)</f>
        <v>640.68949999999995</v>
      </c>
      <c r="AL57" s="50"/>
      <c r="AM57" s="52" t="s">
        <v>127</v>
      </c>
      <c r="AN57" s="53">
        <v>4.1300000000000003E-2</v>
      </c>
      <c r="AO57" s="50"/>
    </row>
    <row r="58" spans="2:41" ht="13.5" customHeight="1">
      <c r="B58" s="1" t="s">
        <v>932</v>
      </c>
      <c r="N58" s="69">
        <v>13.13</v>
      </c>
      <c r="O58" s="69">
        <v>15.92</v>
      </c>
      <c r="P58" s="69">
        <v>17.23</v>
      </c>
      <c r="Q58" s="69">
        <v>15.99</v>
      </c>
      <c r="R58" s="69">
        <v>30.02</v>
      </c>
      <c r="S58" s="69">
        <v>26.08</v>
      </c>
      <c r="T58" s="69">
        <v>34.457000000000001</v>
      </c>
      <c r="AC58" s="69">
        <f t="shared" si="56"/>
        <v>13.13</v>
      </c>
      <c r="AD58" s="69">
        <f t="shared" si="57"/>
        <v>30.02</v>
      </c>
      <c r="AF58" s="56">
        <f>AF57/AK57</f>
        <v>0.48826063519770496</v>
      </c>
      <c r="AG58" s="50"/>
      <c r="AH58" s="50"/>
      <c r="AI58" s="50"/>
      <c r="AJ58" s="50"/>
      <c r="AK58" s="50"/>
      <c r="AL58" s="50"/>
      <c r="AM58" s="52" t="s">
        <v>128</v>
      </c>
      <c r="AN58" s="53">
        <f>11.5%-AN57</f>
        <v>7.3700000000000002E-2</v>
      </c>
      <c r="AO58" s="50"/>
    </row>
    <row r="59" spans="2:41" ht="13.5" customHeight="1">
      <c r="B59" s="1" t="s">
        <v>936</v>
      </c>
      <c r="N59" s="69">
        <v>43.6</v>
      </c>
      <c r="O59" s="69">
        <v>70.239999999999995</v>
      </c>
      <c r="P59" s="69">
        <v>68.225999999999999</v>
      </c>
      <c r="Q59" s="69">
        <v>67.8</v>
      </c>
      <c r="R59" s="69">
        <v>63.63</v>
      </c>
      <c r="S59" s="69">
        <v>69.44</v>
      </c>
      <c r="T59" s="69">
        <v>85.99</v>
      </c>
      <c r="AC59" s="69">
        <f t="shared" si="56"/>
        <v>43.6</v>
      </c>
      <c r="AD59" s="69">
        <f t="shared" si="57"/>
        <v>63.63</v>
      </c>
      <c r="AL59" s="50"/>
      <c r="AM59" s="52" t="s">
        <v>129</v>
      </c>
      <c r="AN59" s="59">
        <f>'Notes | Quant Analysis'!T205</f>
        <v>2.2116999929725409</v>
      </c>
      <c r="AO59" s="50"/>
    </row>
    <row r="60" spans="2:41" ht="13.5" customHeight="1">
      <c r="B60" s="1" t="s">
        <v>937</v>
      </c>
      <c r="N60" s="69">
        <v>13.07</v>
      </c>
      <c r="O60" s="69">
        <v>15.86</v>
      </c>
      <c r="P60" s="69">
        <v>15.19</v>
      </c>
      <c r="Q60" s="69">
        <v>15.34</v>
      </c>
      <c r="R60" s="69">
        <v>15.23</v>
      </c>
      <c r="S60" s="69">
        <v>14.8</v>
      </c>
      <c r="T60" s="69">
        <v>15.66</v>
      </c>
      <c r="AC60" s="69">
        <f t="shared" si="56"/>
        <v>13.07</v>
      </c>
      <c r="AD60" s="69">
        <f t="shared" si="57"/>
        <v>15.23</v>
      </c>
      <c r="AF60" s="50"/>
      <c r="AG60" s="50"/>
      <c r="AH60" s="50"/>
      <c r="AI60" s="50"/>
      <c r="AJ60" s="50"/>
      <c r="AK60" s="50"/>
      <c r="AL60" s="50"/>
      <c r="AM60" s="52" t="s">
        <v>130</v>
      </c>
      <c r="AN60" s="53">
        <f>+AN57+(AN58*AN59)</f>
        <v>0.20430228948207627</v>
      </c>
      <c r="AO60" s="50"/>
    </row>
    <row r="61" spans="2:41" ht="13.5" customHeight="1">
      <c r="B61" s="1" t="s">
        <v>986</v>
      </c>
      <c r="N61" s="69">
        <v>0</v>
      </c>
      <c r="O61" s="69">
        <v>0</v>
      </c>
      <c r="P61" s="69">
        <v>0</v>
      </c>
      <c r="Q61" s="69">
        <v>0</v>
      </c>
      <c r="R61" s="69">
        <v>0</v>
      </c>
      <c r="S61" s="69">
        <v>0</v>
      </c>
      <c r="T61" s="69">
        <v>68.87</v>
      </c>
      <c r="AC61" s="69">
        <f t="shared" si="56"/>
        <v>0</v>
      </c>
      <c r="AD61" s="69">
        <f t="shared" si="57"/>
        <v>0</v>
      </c>
      <c r="AF61" s="50"/>
      <c r="AG61" s="50"/>
      <c r="AH61" s="50"/>
      <c r="AI61" s="50"/>
      <c r="AJ61" s="50"/>
      <c r="AK61" s="50"/>
      <c r="AL61" s="50"/>
      <c r="AO61" s="57"/>
    </row>
    <row r="62" spans="2:41" ht="13.5" customHeight="1">
      <c r="B62" s="1" t="s">
        <v>987</v>
      </c>
      <c r="N62" s="69">
        <v>0</v>
      </c>
      <c r="O62" s="69">
        <v>0</v>
      </c>
      <c r="P62" s="69">
        <v>0</v>
      </c>
      <c r="Q62" s="69">
        <v>0</v>
      </c>
      <c r="R62" s="69">
        <v>0</v>
      </c>
      <c r="S62" s="69">
        <v>0</v>
      </c>
      <c r="T62" s="69">
        <v>17.13</v>
      </c>
      <c r="AC62" s="69">
        <f t="shared" si="56"/>
        <v>0</v>
      </c>
      <c r="AD62" s="69">
        <f t="shared" si="57"/>
        <v>0</v>
      </c>
      <c r="AF62" s="50"/>
      <c r="AG62" s="50"/>
      <c r="AH62" s="50"/>
      <c r="AI62" s="50"/>
      <c r="AJ62" s="50"/>
      <c r="AK62" s="50"/>
      <c r="AL62" s="50"/>
      <c r="AM62" s="52" t="s">
        <v>131</v>
      </c>
      <c r="AN62" s="55">
        <f>NPV(AN60,AE42:CL42)</f>
        <v>34895.059636841572</v>
      </c>
      <c r="AO62" s="50"/>
    </row>
    <row r="63" spans="2:41" ht="13.5" customHeight="1">
      <c r="B63" s="1" t="s">
        <v>938</v>
      </c>
      <c r="N63" s="69">
        <v>14.92</v>
      </c>
      <c r="O63" s="69">
        <v>16.41</v>
      </c>
      <c r="P63" s="69">
        <v>16.88</v>
      </c>
      <c r="Q63" s="69">
        <v>17.61</v>
      </c>
      <c r="R63" s="69">
        <v>16.850000000000001</v>
      </c>
      <c r="S63" s="69">
        <v>17.3</v>
      </c>
      <c r="T63" s="69">
        <v>18.18</v>
      </c>
      <c r="AC63" s="69">
        <f t="shared" si="56"/>
        <v>14.92</v>
      </c>
      <c r="AD63" s="69">
        <f t="shared" si="57"/>
        <v>16.850000000000001</v>
      </c>
      <c r="AF63" s="50"/>
      <c r="AG63" s="50"/>
      <c r="AH63" s="50"/>
      <c r="AI63" s="50"/>
      <c r="AJ63" s="50"/>
      <c r="AK63" s="50"/>
      <c r="AL63" s="50"/>
      <c r="AM63" s="52" t="s">
        <v>90</v>
      </c>
      <c r="AN63" s="55">
        <f>Main!C4</f>
        <v>175.30699999999999</v>
      </c>
      <c r="AO63" s="58" t="s">
        <v>132</v>
      </c>
    </row>
    <row r="64" spans="2:41" ht="13.5" customHeight="1">
      <c r="B64" s="2" t="s">
        <v>939</v>
      </c>
      <c r="N64" s="68">
        <f t="shared" ref="N64:T64" si="58">SUM(N53:N63)</f>
        <v>601.78899999999999</v>
      </c>
      <c r="O64" s="68">
        <f t="shared" si="58"/>
        <v>644.85599999999999</v>
      </c>
      <c r="P64" s="68">
        <f t="shared" si="58"/>
        <v>638.51600000000008</v>
      </c>
      <c r="Q64" s="68">
        <f t="shared" si="58"/>
        <v>719.88</v>
      </c>
      <c r="R64" s="68">
        <f t="shared" si="58"/>
        <v>809.22</v>
      </c>
      <c r="S64" s="68">
        <f t="shared" si="58"/>
        <v>905.05</v>
      </c>
      <c r="T64" s="68">
        <f t="shared" si="58"/>
        <v>1449.2370000000003</v>
      </c>
      <c r="AC64" s="68">
        <f t="shared" si="56"/>
        <v>601.78899999999999</v>
      </c>
      <c r="AD64" s="68">
        <f t="shared" si="57"/>
        <v>809.22</v>
      </c>
      <c r="AF64" s="57"/>
      <c r="AG64" s="57"/>
      <c r="AH64" s="57"/>
      <c r="AI64" s="57"/>
      <c r="AJ64" s="57"/>
      <c r="AK64" s="57"/>
      <c r="AL64" s="57"/>
      <c r="AM64" s="52" t="s">
        <v>133</v>
      </c>
      <c r="AN64" s="59">
        <f>AN62/AN63</f>
        <v>199.05114819625899</v>
      </c>
      <c r="AO64" s="49"/>
    </row>
    <row r="65" spans="2:41" ht="13.5" customHeight="1">
      <c r="AC65" s="69"/>
      <c r="AD65" s="69"/>
      <c r="AF65" s="50"/>
      <c r="AG65" s="50"/>
      <c r="AH65" s="50"/>
      <c r="AI65" s="50"/>
      <c r="AJ65" s="50"/>
      <c r="AK65" s="50"/>
      <c r="AL65" s="50"/>
      <c r="AM65" s="52" t="s">
        <v>134</v>
      </c>
      <c r="AN65" s="59">
        <f>Main!C3</f>
        <v>146.18</v>
      </c>
      <c r="AO65" s="60"/>
    </row>
    <row r="66" spans="2:41" ht="13.5" customHeight="1">
      <c r="B66" s="1" t="s">
        <v>933</v>
      </c>
      <c r="N66" s="69">
        <v>13.41</v>
      </c>
      <c r="O66" s="69">
        <v>38.47</v>
      </c>
      <c r="P66" s="69">
        <v>13.02</v>
      </c>
      <c r="Q66" s="69">
        <v>36.799999999999997</v>
      </c>
      <c r="R66" s="69">
        <v>56.15</v>
      </c>
      <c r="S66" s="69">
        <v>54.89</v>
      </c>
      <c r="T66" s="69">
        <v>64.09</v>
      </c>
      <c r="AC66" s="69">
        <f t="shared" si="56"/>
        <v>13.41</v>
      </c>
      <c r="AD66" s="69">
        <f t="shared" si="57"/>
        <v>56.15</v>
      </c>
      <c r="AF66" s="50"/>
      <c r="AG66" s="50"/>
      <c r="AH66" s="50"/>
      <c r="AI66" s="50"/>
      <c r="AJ66" s="50"/>
      <c r="AK66" s="50"/>
      <c r="AL66" s="50"/>
      <c r="AM66" s="52" t="s">
        <v>135</v>
      </c>
      <c r="AN66" s="53">
        <f>AN64/AN65-1</f>
        <v>0.36168523872115865</v>
      </c>
      <c r="AO66" s="61" t="str">
        <f>IF(AN66&gt;0,"Upside","Downside")</f>
        <v>Upside</v>
      </c>
    </row>
    <row r="67" spans="2:41" ht="13.5" customHeight="1">
      <c r="B67" s="1" t="s">
        <v>934</v>
      </c>
      <c r="N67" s="69">
        <v>9</v>
      </c>
      <c r="O67" s="69">
        <v>7.8079999999999998</v>
      </c>
      <c r="P67" s="69">
        <v>9.18</v>
      </c>
      <c r="Q67" s="69">
        <v>9.23</v>
      </c>
      <c r="R67" s="69">
        <v>16.09</v>
      </c>
      <c r="S67" s="69">
        <v>13.17</v>
      </c>
      <c r="T67" s="69">
        <v>19.34</v>
      </c>
      <c r="AC67" s="69">
        <f t="shared" si="56"/>
        <v>9</v>
      </c>
      <c r="AD67" s="69">
        <f t="shared" si="57"/>
        <v>16.09</v>
      </c>
      <c r="AF67" s="50"/>
      <c r="AG67" s="50"/>
      <c r="AH67" s="50"/>
      <c r="AI67" s="50"/>
      <c r="AJ67" s="50"/>
      <c r="AK67" s="50"/>
      <c r="AL67" s="50"/>
      <c r="AM67" s="81" t="str" cm="1">
        <f t="array" ref="AM67">_xlfn.IFS(AN66&gt;=25%,"Strong Buy",AN66&gt;=10.00001%,"Buy",AND(AN66&lt;=10%,AN66&gt;=-4.9999%),"Hold",AND(AN66&lt;=-5%,AN66&gt;=-14.999999%),"Sell",AN66&lt;=-15%,"Strong Sell")</f>
        <v>Strong Buy</v>
      </c>
      <c r="AN67" s="81"/>
    </row>
    <row r="68" spans="2:41" ht="13.5" customHeight="1">
      <c r="B68" s="1" t="s">
        <v>935</v>
      </c>
      <c r="N68" s="69">
        <v>18.3</v>
      </c>
      <c r="O68" s="69">
        <v>20.218</v>
      </c>
      <c r="P68" s="69">
        <v>25.39</v>
      </c>
      <c r="Q68" s="69">
        <v>33.299999999999997</v>
      </c>
      <c r="R68" s="69">
        <v>35.450000000000003</v>
      </c>
      <c r="S68" s="69">
        <v>40.31</v>
      </c>
      <c r="T68" s="69">
        <v>56.92</v>
      </c>
      <c r="AC68" s="69">
        <f t="shared" si="56"/>
        <v>18.3</v>
      </c>
      <c r="AD68" s="69">
        <f t="shared" si="57"/>
        <v>35.450000000000003</v>
      </c>
      <c r="AF68" s="50"/>
      <c r="AG68" s="50"/>
      <c r="AH68" s="50"/>
      <c r="AI68" s="50"/>
      <c r="AJ68" s="50"/>
      <c r="AK68" s="50"/>
      <c r="AL68" s="50"/>
    </row>
    <row r="69" spans="2:41" ht="13.5" customHeight="1">
      <c r="B69" s="1" t="s">
        <v>946</v>
      </c>
      <c r="N69" s="69">
        <v>3.9</v>
      </c>
      <c r="O69" s="69">
        <v>2.9169999999999998</v>
      </c>
      <c r="P69" s="69">
        <v>2.0470000000000002</v>
      </c>
      <c r="Q69" s="69">
        <v>1.39</v>
      </c>
      <c r="R69" s="69">
        <v>0</v>
      </c>
      <c r="S69" s="69">
        <v>0</v>
      </c>
      <c r="T69" s="69">
        <v>0</v>
      </c>
      <c r="AC69" s="69">
        <f t="shared" si="56"/>
        <v>3.9</v>
      </c>
      <c r="AD69" s="69">
        <f t="shared" si="57"/>
        <v>0</v>
      </c>
      <c r="AF69" s="50"/>
      <c r="AG69" s="50"/>
      <c r="AH69" s="50"/>
      <c r="AI69" s="50"/>
      <c r="AJ69" s="50"/>
      <c r="AK69" s="50"/>
      <c r="AL69" s="50"/>
    </row>
    <row r="70" spans="2:41" ht="13.5" customHeight="1">
      <c r="B70" s="1" t="s">
        <v>940</v>
      </c>
      <c r="N70" s="69">
        <v>11.13</v>
      </c>
      <c r="O70" s="69">
        <v>13.53</v>
      </c>
      <c r="P70" s="69">
        <v>12.94</v>
      </c>
      <c r="Q70" s="69">
        <v>12.95</v>
      </c>
      <c r="R70" s="69">
        <v>12.69</v>
      </c>
      <c r="S70" s="69">
        <v>12.34</v>
      </c>
      <c r="T70" s="69">
        <v>12.811</v>
      </c>
      <c r="AC70" s="69">
        <f t="shared" si="56"/>
        <v>11.13</v>
      </c>
      <c r="AD70" s="69">
        <f t="shared" si="57"/>
        <v>12.69</v>
      </c>
      <c r="AF70" s="57"/>
      <c r="AG70" s="57"/>
      <c r="AH70" s="57"/>
      <c r="AI70" s="57"/>
      <c r="AJ70" s="57"/>
      <c r="AK70" s="57"/>
      <c r="AL70" s="57"/>
    </row>
    <row r="71" spans="2:41" ht="13.5" customHeight="1">
      <c r="B71" s="1" t="s">
        <v>941</v>
      </c>
      <c r="N71" s="69">
        <v>5.98</v>
      </c>
      <c r="O71" s="69">
        <v>8.81</v>
      </c>
      <c r="P71" s="69">
        <v>8.0500000000000007</v>
      </c>
      <c r="Q71" s="69">
        <v>8</v>
      </c>
      <c r="R71" s="69">
        <v>7.27</v>
      </c>
      <c r="S71" s="69">
        <v>3.06</v>
      </c>
      <c r="T71" s="69">
        <v>10.01</v>
      </c>
      <c r="AC71" s="69">
        <f t="shared" si="56"/>
        <v>5.98</v>
      </c>
      <c r="AD71" s="69">
        <f t="shared" si="57"/>
        <v>7.27</v>
      </c>
    </row>
    <row r="72" spans="2:41" ht="13.5" customHeight="1">
      <c r="B72" s="2" t="s">
        <v>942</v>
      </c>
      <c r="N72" s="68">
        <f t="shared" ref="N72:P72" si="59">SUM(N66:N71)</f>
        <v>61.72</v>
      </c>
      <c r="O72" s="68">
        <f t="shared" si="59"/>
        <v>91.753</v>
      </c>
      <c r="P72" s="68">
        <f t="shared" si="59"/>
        <v>70.626999999999995</v>
      </c>
      <c r="Q72" s="68">
        <f>SUM(Q66:Q71)</f>
        <v>101.67</v>
      </c>
      <c r="R72" s="68">
        <f>SUM(R66:R71)</f>
        <v>127.64999999999999</v>
      </c>
      <c r="S72" s="68">
        <f>SUM(S66:S71)</f>
        <v>123.77000000000001</v>
      </c>
      <c r="T72" s="68">
        <f>SUM(T66:T71)</f>
        <v>163.17100000000002</v>
      </c>
      <c r="AC72" s="68">
        <f t="shared" si="56"/>
        <v>61.72</v>
      </c>
      <c r="AD72" s="68">
        <f t="shared" si="57"/>
        <v>127.64999999999999</v>
      </c>
    </row>
    <row r="73" spans="2:41" ht="13.5" customHeight="1">
      <c r="B73" s="1" t="s">
        <v>943</v>
      </c>
      <c r="N73" s="69">
        <v>540.1</v>
      </c>
      <c r="O73" s="69">
        <v>553.10199999999998</v>
      </c>
      <c r="P73" s="69">
        <v>567.90700000000004</v>
      </c>
      <c r="Q73" s="69">
        <v>618.226</v>
      </c>
      <c r="R73" s="69">
        <v>681.58299999999997</v>
      </c>
      <c r="S73" s="69">
        <v>781.38</v>
      </c>
      <c r="T73" s="69">
        <v>1286.07</v>
      </c>
      <c r="AC73" s="69">
        <f t="shared" si="56"/>
        <v>540.1</v>
      </c>
      <c r="AD73" s="69">
        <f t="shared" si="57"/>
        <v>681.58299999999997</v>
      </c>
    </row>
    <row r="74" spans="2:41" ht="13.5" customHeight="1">
      <c r="B74" s="2" t="s">
        <v>944</v>
      </c>
      <c r="N74" s="68">
        <f t="shared" ref="N74:Q74" si="60">N72+N73</f>
        <v>601.82000000000005</v>
      </c>
      <c r="O74" s="68">
        <f t="shared" si="60"/>
        <v>644.85500000000002</v>
      </c>
      <c r="P74" s="68">
        <f t="shared" si="60"/>
        <v>638.53399999999999</v>
      </c>
      <c r="Q74" s="68">
        <f t="shared" si="60"/>
        <v>719.89599999999996</v>
      </c>
      <c r="R74" s="68">
        <f>R72+R73</f>
        <v>809.23299999999995</v>
      </c>
      <c r="S74" s="68">
        <f>S72+S73</f>
        <v>905.15</v>
      </c>
      <c r="T74" s="68">
        <f>T72+T73</f>
        <v>1449.241</v>
      </c>
      <c r="AC74" s="68">
        <f t="shared" si="56"/>
        <v>601.82000000000005</v>
      </c>
      <c r="AD74" s="68">
        <f t="shared" si="57"/>
        <v>809.23299999999995</v>
      </c>
    </row>
    <row r="75" spans="2:41" ht="13.5" customHeight="1"/>
    <row r="76" spans="2:41" ht="13.5" customHeight="1">
      <c r="B76" s="1" t="s">
        <v>79</v>
      </c>
      <c r="N76" s="40">
        <f t="shared" ref="N76:S76" si="61">SUM(N53:N58)/SUM(N66:N69)</f>
        <v>11.885205110961667</v>
      </c>
      <c r="O76" s="40">
        <f t="shared" si="61"/>
        <v>7.813320271418899</v>
      </c>
      <c r="P76" s="40">
        <f t="shared" si="61"/>
        <v>10.843121058887524</v>
      </c>
      <c r="Q76" s="40">
        <f t="shared" si="61"/>
        <v>7.6700941526263628</v>
      </c>
      <c r="R76" s="40">
        <f t="shared" si="61"/>
        <v>6.6255919769709353</v>
      </c>
      <c r="S76" s="40">
        <f t="shared" si="61"/>
        <v>7.4145058595552271</v>
      </c>
      <c r="T76" s="40">
        <f>SUM(T53:T58)/SUM(T66:T69)</f>
        <v>8.8593302458140357</v>
      </c>
      <c r="AC76" s="40">
        <f>SUM(AC53:AC58)/SUM(AC66:AC69)</f>
        <v>11.885205110961667</v>
      </c>
      <c r="AD76" s="40">
        <f>SUM(AD53:AD58)/SUM(AD66:AD69)</f>
        <v>6.6255919769709353</v>
      </c>
    </row>
    <row r="77" spans="2:41">
      <c r="B77" s="1" t="s">
        <v>80</v>
      </c>
      <c r="N77" s="40">
        <f t="shared" ref="N77:S77" si="62">(SUM(N53:N58)-N56)/SUM(N66:N69)</f>
        <v>11.304460883210043</v>
      </c>
      <c r="O77" s="40">
        <f t="shared" si="62"/>
        <v>7.3586936164695373</v>
      </c>
      <c r="P77" s="40">
        <f t="shared" si="62"/>
        <v>10.111610290710559</v>
      </c>
      <c r="Q77" s="40">
        <f t="shared" si="62"/>
        <v>7.0106541129831514</v>
      </c>
      <c r="R77" s="40">
        <f t="shared" si="62"/>
        <v>5.7896740644442382</v>
      </c>
      <c r="S77" s="40">
        <f t="shared" si="62"/>
        <v>6.3385623327489151</v>
      </c>
      <c r="T77" s="40">
        <f>(SUM(T53:T58)-T56)/SUM(T66:T69)</f>
        <v>7.7892198076237973</v>
      </c>
      <c r="AC77" s="40">
        <f>(SUM(AC53:AC58)-AC56)/SUM(AC66:AC69)</f>
        <v>11.304460883210043</v>
      </c>
      <c r="AD77" s="40">
        <f>(SUM(AD53:AD58)-AD56)/SUM(AD66:AD69)</f>
        <v>5.7896740644442382</v>
      </c>
    </row>
    <row r="78" spans="2:41">
      <c r="B78" s="1" t="s">
        <v>81</v>
      </c>
      <c r="N78" s="40">
        <f t="shared" ref="N78:S78" si="63">SUM(N53:N54)/SUM(N66:N69)</f>
        <v>9.1908092355973992</v>
      </c>
      <c r="O78" s="40">
        <f t="shared" si="63"/>
        <v>5.7425842421448436</v>
      </c>
      <c r="P78" s="40">
        <f t="shared" si="63"/>
        <v>7.7148095170941033</v>
      </c>
      <c r="Q78" s="40">
        <f t="shared" si="63"/>
        <v>4.6977205153617438</v>
      </c>
      <c r="R78" s="40">
        <f t="shared" si="63"/>
        <v>4.0052929705636551</v>
      </c>
      <c r="S78" s="40">
        <f t="shared" si="63"/>
        <v>4.4258558641690504</v>
      </c>
      <c r="T78" s="40">
        <f>SUM(T53:T54)/SUM(T66:T69)</f>
        <v>5.7967224795154966</v>
      </c>
      <c r="AC78" s="40">
        <f>SUM(AC53:AC54)/SUM(AC66:AC69)</f>
        <v>9.1908092355973992</v>
      </c>
      <c r="AD78" s="40">
        <f>SUM(AD53:AD54)/SUM(AD66:AD69)</f>
        <v>4.0052929705636551</v>
      </c>
    </row>
    <row r="79" spans="2:41">
      <c r="B79" s="1" t="s">
        <v>82</v>
      </c>
      <c r="N79" s="40">
        <f t="shared" ref="N79:S79" si="64">N32/N64</f>
        <v>0.10103208932034317</v>
      </c>
      <c r="O79" s="40">
        <f t="shared" si="64"/>
        <v>9.2578808292083814E-2</v>
      </c>
      <c r="P79" s="40">
        <f t="shared" si="64"/>
        <v>0.11276146564847238</v>
      </c>
      <c r="Q79" s="40">
        <f t="shared" si="64"/>
        <v>0.18753125520920153</v>
      </c>
      <c r="R79" s="40">
        <f t="shared" si="64"/>
        <v>0.21007884135340205</v>
      </c>
      <c r="S79" s="40">
        <f t="shared" si="64"/>
        <v>0.24650571791613723</v>
      </c>
      <c r="T79" s="40">
        <f>T32/T64</f>
        <v>0.18494352545511875</v>
      </c>
      <c r="AC79" s="40">
        <f>AC32/AC64</f>
        <v>0.32071041511227355</v>
      </c>
      <c r="AD79" s="40">
        <f>AD32/AD64</f>
        <v>0.53965547070018038</v>
      </c>
    </row>
    <row r="80" spans="2:41">
      <c r="B80" s="1" t="s">
        <v>83</v>
      </c>
      <c r="N80" s="40">
        <f t="shared" ref="N80:S80" si="65">N33/AVERAGE(K56:N56)</f>
        <v>0.80287181070753078</v>
      </c>
      <c r="O80" s="40">
        <f t="shared" si="65"/>
        <v>0.77961854378393425</v>
      </c>
      <c r="P80" s="40">
        <f t="shared" si="65"/>
        <v>0.84778296756030458</v>
      </c>
      <c r="Q80" s="40">
        <f t="shared" si="65"/>
        <v>1.3360180675355773</v>
      </c>
      <c r="R80" s="40">
        <f t="shared" si="65"/>
        <v>1.0572336666398252</v>
      </c>
      <c r="S80" s="40">
        <f t="shared" si="65"/>
        <v>0.98190167477039447</v>
      </c>
      <c r="T80" s="40">
        <f>T33/AVERAGE(Q56:T56)</f>
        <v>0.8485025851136474</v>
      </c>
      <c r="AC80" s="40">
        <f>AC33/AVERAGE(Z56:AC56)</f>
        <v>2.8370710618751689</v>
      </c>
      <c r="AD80" s="40">
        <f>AD33/AVERAGE(AA56:AD56)</f>
        <v>2.6533939461902754</v>
      </c>
    </row>
    <row r="81" spans="2:30">
      <c r="B81" s="1" t="s">
        <v>84</v>
      </c>
      <c r="N81" s="70">
        <f t="shared" ref="N81:S81" si="66">N42/N64</f>
        <v>-1.4955407958603416E-2</v>
      </c>
      <c r="O81" s="70">
        <f t="shared" si="66"/>
        <v>-1.4887044549480803E-2</v>
      </c>
      <c r="P81" s="70">
        <f t="shared" si="66"/>
        <v>-6.5777521628275527E-3</v>
      </c>
      <c r="Q81" s="70">
        <f t="shared" si="66"/>
        <v>4.070122798244153E-2</v>
      </c>
      <c r="R81" s="70">
        <f t="shared" si="66"/>
        <v>4.5228738785497137E-2</v>
      </c>
      <c r="S81" s="70">
        <f t="shared" si="66"/>
        <v>7.0161869509971816E-2</v>
      </c>
      <c r="T81" s="70">
        <f>T42/T64</f>
        <v>5.7021729365176257E-2</v>
      </c>
      <c r="AC81" s="70">
        <f>AC42/AC64</f>
        <v>-4.4035367878110077E-2</v>
      </c>
      <c r="AD81" s="70">
        <f>AD42/AD64</f>
        <v>6.4382986085366162E-2</v>
      </c>
    </row>
    <row r="82" spans="2:30">
      <c r="B82" s="1" t="s">
        <v>85</v>
      </c>
      <c r="N82" s="70">
        <f t="shared" ref="N82:S82" si="67">N42/N73</f>
        <v>-1.6663580818366951E-2</v>
      </c>
      <c r="O82" s="70">
        <f t="shared" si="67"/>
        <v>-1.7356653926400543E-2</v>
      </c>
      <c r="P82" s="70">
        <f t="shared" si="67"/>
        <v>-7.3955770927282075E-3</v>
      </c>
      <c r="Q82" s="70">
        <f t="shared" si="67"/>
        <v>4.7393671569943688E-2</v>
      </c>
      <c r="R82" s="70">
        <f t="shared" si="67"/>
        <v>5.3698522410330067E-2</v>
      </c>
      <c r="S82" s="70">
        <f t="shared" si="67"/>
        <v>8.1266477258184214E-2</v>
      </c>
      <c r="T82" s="70">
        <f>T42/T73</f>
        <v>6.4256222445123495E-2</v>
      </c>
      <c r="AC82" s="70">
        <f>AC42/AC73</f>
        <v>-4.9064987965191605E-2</v>
      </c>
      <c r="AD82" s="70">
        <f>AD42/AD73</f>
        <v>7.6439699933830527E-2</v>
      </c>
    </row>
    <row r="84" spans="2:30">
      <c r="B84" s="1" t="s">
        <v>86</v>
      </c>
      <c r="C84" s="69">
        <f t="shared" ref="C84:T84" si="68">C42</f>
        <v>-12.499999999999998</v>
      </c>
      <c r="D84" s="69">
        <f t="shared" si="68"/>
        <v>-4.1000000000000014</v>
      </c>
      <c r="E84" s="69">
        <f t="shared" si="68"/>
        <v>-0.19999999999999996</v>
      </c>
      <c r="F84" s="69">
        <f t="shared" si="68"/>
        <v>-6.4000000000000021</v>
      </c>
      <c r="G84" s="69">
        <f t="shared" si="68"/>
        <v>7.2164496600635175E-16</v>
      </c>
      <c r="H84" s="69">
        <f t="shared" si="68"/>
        <v>-3.2999999999999994</v>
      </c>
      <c r="I84" s="69">
        <f t="shared" si="68"/>
        <v>7.799999999999998</v>
      </c>
      <c r="J84" s="69">
        <f t="shared" si="68"/>
        <v>-15.899999999999999</v>
      </c>
      <c r="K84" s="69">
        <f t="shared" si="68"/>
        <v>-11.5</v>
      </c>
      <c r="L84" s="69">
        <f t="shared" si="68"/>
        <v>-6.5999999999999988</v>
      </c>
      <c r="M84" s="69">
        <f t="shared" si="68"/>
        <v>0.60000000000000409</v>
      </c>
      <c r="N84" s="69">
        <f t="shared" si="68"/>
        <v>-8.9999999999999911</v>
      </c>
      <c r="O84" s="69">
        <f t="shared" si="68"/>
        <v>-9.5999999999999925</v>
      </c>
      <c r="P84" s="69">
        <f t="shared" si="68"/>
        <v>-4.1999999999999984</v>
      </c>
      <c r="Q84" s="69">
        <f t="shared" si="68"/>
        <v>29.300000000000008</v>
      </c>
      <c r="R84" s="69">
        <f t="shared" si="68"/>
        <v>36.599999999999994</v>
      </c>
      <c r="S84" s="69">
        <f t="shared" si="68"/>
        <v>63.499999999999986</v>
      </c>
      <c r="T84" s="69">
        <f t="shared" si="68"/>
        <v>82.637999999999963</v>
      </c>
      <c r="AA84" s="69">
        <f>SUM(C84:F84)</f>
        <v>-23.200000000000003</v>
      </c>
      <c r="AB84" s="69">
        <f>SUM(G84:J84)</f>
        <v>-11.399999999999999</v>
      </c>
      <c r="AC84" s="69">
        <f>AC42</f>
        <v>-26.499999999999986</v>
      </c>
      <c r="AD84" s="69">
        <f>AD42</f>
        <v>52.100000000000009</v>
      </c>
    </row>
    <row r="85" spans="2:30" ht="15">
      <c r="B85" s="2" t="s">
        <v>87</v>
      </c>
      <c r="C85" s="2">
        <v>-8.9</v>
      </c>
      <c r="D85" s="2">
        <v>-26</v>
      </c>
      <c r="E85" s="2">
        <v>1.7</v>
      </c>
      <c r="F85" s="2">
        <v>2.4</v>
      </c>
      <c r="G85" s="2">
        <v>-12.2</v>
      </c>
      <c r="H85" s="2">
        <v>1.8</v>
      </c>
      <c r="I85" s="2">
        <v>-2.2999999999999998</v>
      </c>
      <c r="J85" s="2">
        <v>-11.8</v>
      </c>
      <c r="K85" s="2">
        <v>24.6</v>
      </c>
      <c r="L85" s="2">
        <v>5</v>
      </c>
      <c r="M85" s="2">
        <v>-1</v>
      </c>
      <c r="N85" s="2">
        <v>4.2</v>
      </c>
      <c r="O85" s="2">
        <v>-7.2</v>
      </c>
      <c r="P85" s="2">
        <v>10.3</v>
      </c>
      <c r="Q85" s="2">
        <v>4.2</v>
      </c>
      <c r="R85" s="2">
        <v>57.8</v>
      </c>
      <c r="S85" s="2">
        <v>54.2</v>
      </c>
      <c r="T85" s="68">
        <f>115.833-S85</f>
        <v>61.632999999999996</v>
      </c>
      <c r="AA85" s="68">
        <f>SUM(C85:F85)</f>
        <v>-30.799999999999997</v>
      </c>
      <c r="AB85" s="68">
        <f>SUM(G85:J85)</f>
        <v>-24.5</v>
      </c>
      <c r="AC85" s="68">
        <f>SUM(K85:N85)</f>
        <v>32.800000000000004</v>
      </c>
      <c r="AD85" s="68">
        <f>SUM(O85:R85)</f>
        <v>65.099999999999994</v>
      </c>
    </row>
    <row r="86" spans="2:30">
      <c r="B86" s="1" t="s">
        <v>88</v>
      </c>
      <c r="C86" s="1">
        <v>-1.3</v>
      </c>
      <c r="D86" s="1">
        <v>-3.6</v>
      </c>
      <c r="E86" s="1">
        <v>-2.9</v>
      </c>
      <c r="F86" s="1">
        <v>-9.6</v>
      </c>
      <c r="G86" s="1">
        <v>-5.3</v>
      </c>
      <c r="H86" s="1">
        <v>-5.7</v>
      </c>
      <c r="I86" s="1">
        <v>-6.9</v>
      </c>
      <c r="J86" s="1">
        <v>-3.9</v>
      </c>
      <c r="K86" s="1">
        <v>-5.3</v>
      </c>
      <c r="L86" s="1">
        <v>-2</v>
      </c>
      <c r="M86" s="1">
        <v>-5.0999999999999996</v>
      </c>
      <c r="N86" s="1">
        <v>-3.2</v>
      </c>
      <c r="O86" s="1">
        <v>-5.9</v>
      </c>
      <c r="P86" s="1">
        <v>-21.9</v>
      </c>
      <c r="Q86" s="1">
        <v>-4.5999999999999996</v>
      </c>
      <c r="R86" s="1">
        <v>-3.7</v>
      </c>
      <c r="S86" s="1">
        <v>-2.8</v>
      </c>
      <c r="T86" s="1">
        <f>-26-S86</f>
        <v>-23.2</v>
      </c>
      <c r="AA86" s="69">
        <f>SUM(C86:F86)</f>
        <v>-17.399999999999999</v>
      </c>
      <c r="AB86" s="69">
        <f>SUM(G86:J86)</f>
        <v>-21.799999999999997</v>
      </c>
      <c r="AC86" s="69">
        <f>SUM(K86:N86)</f>
        <v>-15.599999999999998</v>
      </c>
      <c r="AD86" s="69">
        <f>SUM(O86:R86)</f>
        <v>-36.1</v>
      </c>
    </row>
    <row r="87" spans="2:30" ht="15">
      <c r="B87" s="2" t="s">
        <v>89</v>
      </c>
      <c r="C87" s="2">
        <f>C85+C86</f>
        <v>-10.200000000000001</v>
      </c>
      <c r="D87" s="2">
        <f t="shared" ref="D87:S87" si="69">D85+D86</f>
        <v>-29.6</v>
      </c>
      <c r="E87" s="2">
        <f t="shared" si="69"/>
        <v>-1.2</v>
      </c>
      <c r="F87" s="2">
        <f t="shared" si="69"/>
        <v>-7.1999999999999993</v>
      </c>
      <c r="G87" s="2">
        <f t="shared" si="69"/>
        <v>-17.5</v>
      </c>
      <c r="H87" s="2">
        <f t="shared" si="69"/>
        <v>-3.9000000000000004</v>
      </c>
      <c r="I87" s="2">
        <f t="shared" si="69"/>
        <v>-9.1999999999999993</v>
      </c>
      <c r="J87" s="2">
        <f t="shared" si="69"/>
        <v>-15.700000000000001</v>
      </c>
      <c r="K87" s="2">
        <f t="shared" si="69"/>
        <v>19.3</v>
      </c>
      <c r="L87" s="2">
        <f t="shared" si="69"/>
        <v>3</v>
      </c>
      <c r="M87" s="2">
        <f t="shared" si="69"/>
        <v>-6.1</v>
      </c>
      <c r="N87" s="2">
        <f t="shared" si="69"/>
        <v>1</v>
      </c>
      <c r="O87" s="2">
        <f t="shared" si="69"/>
        <v>-13.100000000000001</v>
      </c>
      <c r="P87" s="2">
        <f t="shared" si="69"/>
        <v>-11.599999999999998</v>
      </c>
      <c r="Q87" s="2">
        <f t="shared" si="69"/>
        <v>-0.39999999999999947</v>
      </c>
      <c r="R87" s="2">
        <f t="shared" si="69"/>
        <v>54.099999999999994</v>
      </c>
      <c r="S87" s="2">
        <f t="shared" si="69"/>
        <v>51.400000000000006</v>
      </c>
      <c r="T87" s="68">
        <f t="shared" ref="T87" si="70">T85+T86</f>
        <v>38.432999999999993</v>
      </c>
      <c r="AA87" s="68">
        <f>SUM(C87:F87)</f>
        <v>-48.2</v>
      </c>
      <c r="AB87" s="68">
        <f>SUM(G87:J87)</f>
        <v>-46.3</v>
      </c>
      <c r="AC87" s="68">
        <f>SUM(K87:N87)</f>
        <v>17.200000000000003</v>
      </c>
      <c r="AD87" s="68">
        <f>SUM(O87:R87)</f>
        <v>28.999999999999996</v>
      </c>
    </row>
    <row r="88" spans="2:30">
      <c r="B88" s="1" t="s">
        <v>90</v>
      </c>
      <c r="C88" s="1">
        <f t="shared" ref="C88:T88" si="71">C43</f>
        <v>68</v>
      </c>
      <c r="D88" s="1">
        <f t="shared" si="71"/>
        <v>69</v>
      </c>
      <c r="E88" s="1">
        <f t="shared" si="71"/>
        <v>74</v>
      </c>
      <c r="F88" s="1">
        <f t="shared" si="71"/>
        <v>88</v>
      </c>
      <c r="G88" s="1">
        <f t="shared" si="71"/>
        <v>145</v>
      </c>
      <c r="H88" s="1">
        <f t="shared" si="71"/>
        <v>146</v>
      </c>
      <c r="I88" s="1">
        <f t="shared" si="71"/>
        <v>147</v>
      </c>
      <c r="J88" s="1">
        <f t="shared" si="71"/>
        <v>147</v>
      </c>
      <c r="K88" s="1">
        <f t="shared" si="71"/>
        <v>149</v>
      </c>
      <c r="L88" s="1">
        <f t="shared" si="71"/>
        <v>150</v>
      </c>
      <c r="M88" s="1">
        <f t="shared" si="71"/>
        <v>157</v>
      </c>
      <c r="N88" s="1">
        <f t="shared" si="71"/>
        <v>155</v>
      </c>
      <c r="O88" s="1">
        <f t="shared" si="71"/>
        <v>165</v>
      </c>
      <c r="P88" s="1">
        <f t="shared" si="71"/>
        <v>166</v>
      </c>
      <c r="Q88" s="1">
        <f t="shared" si="71"/>
        <v>168</v>
      </c>
      <c r="R88" s="1">
        <f t="shared" si="71"/>
        <v>168</v>
      </c>
      <c r="S88" s="1">
        <f t="shared" si="71"/>
        <v>172</v>
      </c>
      <c r="T88" s="80">
        <f t="shared" si="71"/>
        <v>175.3</v>
      </c>
      <c r="AA88" s="69">
        <f>SUM(C88:F88)</f>
        <v>299</v>
      </c>
      <c r="AB88" s="69">
        <f>AVERAGE(G88:J88)</f>
        <v>146.25</v>
      </c>
      <c r="AC88" s="69">
        <f>AC43</f>
        <v>152.75</v>
      </c>
      <c r="AD88" s="69">
        <f>AD43</f>
        <v>166.75</v>
      </c>
    </row>
    <row r="89" spans="2:30">
      <c r="B89" s="1" t="s">
        <v>91</v>
      </c>
      <c r="C89" s="40">
        <f>C87/C88</f>
        <v>-0.15000000000000002</v>
      </c>
      <c r="D89" s="40">
        <f t="shared" ref="D89:S89" si="72">D87/D88</f>
        <v>-0.42898550724637685</v>
      </c>
      <c r="E89" s="40">
        <f t="shared" si="72"/>
        <v>-1.6216216216216217E-2</v>
      </c>
      <c r="F89" s="40">
        <f t="shared" si="72"/>
        <v>-8.1818181818181804E-2</v>
      </c>
      <c r="G89" s="40">
        <f t="shared" si="72"/>
        <v>-0.1206896551724138</v>
      </c>
      <c r="H89" s="40">
        <f t="shared" si="72"/>
        <v>-2.6712328767123289E-2</v>
      </c>
      <c r="I89" s="40">
        <f t="shared" si="72"/>
        <v>-6.2585034013605434E-2</v>
      </c>
      <c r="J89" s="40">
        <f t="shared" si="72"/>
        <v>-0.10680272108843539</v>
      </c>
      <c r="K89" s="40">
        <f t="shared" si="72"/>
        <v>0.12953020134228188</v>
      </c>
      <c r="L89" s="40">
        <f t="shared" si="72"/>
        <v>0.02</v>
      </c>
      <c r="M89" s="40">
        <f t="shared" si="72"/>
        <v>-3.8853503184713374E-2</v>
      </c>
      <c r="N89" s="40">
        <f t="shared" si="72"/>
        <v>6.4516129032258064E-3</v>
      </c>
      <c r="O89" s="40">
        <f t="shared" si="72"/>
        <v>-7.9393939393939406E-2</v>
      </c>
      <c r="P89" s="40">
        <f t="shared" si="72"/>
        <v>-6.9879518072289148E-2</v>
      </c>
      <c r="Q89" s="40">
        <f t="shared" si="72"/>
        <v>-2.3809523809523777E-3</v>
      </c>
      <c r="R89" s="40">
        <f t="shared" si="72"/>
        <v>0.32202380952380949</v>
      </c>
      <c r="S89" s="40">
        <f t="shared" si="72"/>
        <v>0.2988372093023256</v>
      </c>
      <c r="T89" s="40">
        <f t="shared" ref="T89" si="73">T87/T88</f>
        <v>0.21924130062749567</v>
      </c>
      <c r="AA89" s="40">
        <f t="shared" ref="AA89:AB89" si="74">AA87/AA88</f>
        <v>-0.16120401337792642</v>
      </c>
      <c r="AB89" s="40">
        <f t="shared" si="74"/>
        <v>-0.31658119658119654</v>
      </c>
      <c r="AC89" s="40">
        <f>AC87/AC88</f>
        <v>0.1126022913256956</v>
      </c>
      <c r="AD89" s="40">
        <f>AD87/AD88</f>
        <v>0.17391304347826084</v>
      </c>
    </row>
  </sheetData>
  <mergeCells count="1">
    <mergeCell ref="AM67:AN67"/>
  </mergeCells>
  <conditionalFormatting sqref="AM67">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Sell",AM67)))</formula>
    </cfRule>
    <cfRule type="containsText" dxfId="3" priority="3" operator="containsText" text="Sell">
      <formula>NOT(ISERROR(SEARCH("Sell",AM67)))</formula>
    </cfRule>
    <cfRule type="containsText" dxfId="2" priority="4" operator="containsText" text="Hold">
      <formula>NOT(ISERROR(SEARCH("Hold",AM67)))</formula>
    </cfRule>
    <cfRule type="beginsWith" dxfId="1" priority="5" operator="beginsWith" text="Buy">
      <formula>LEFT(AM67,LEN("Buy"))="Buy"</formula>
    </cfRule>
    <cfRule type="beginsWith" dxfId="0" priority="6" operator="beginsWith" text="Strong">
      <formula>LEFT(AM67,LEN("Strong"))="Strong"</formula>
    </cfRule>
  </conditionalFormatting>
  <pageMargins left="0.7" right="0.7" top="0.75" bottom="0.75" header="0.3" footer="0.3"/>
  <ignoredErrors>
    <ignoredError sqref="AE10:AN10 AD11" evalError="1"/>
    <ignoredError sqref="AA32:AD42 AC85:AD85 AC86:AD86 AA85:AB86 N76:T82" formulaRange="1"/>
    <ignoredError sqref="AB43:AD43"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J1942"/>
  <sheetViews>
    <sheetView topLeftCell="Q1" zoomScale="55" zoomScaleNormal="55" workbookViewId="0">
      <selection activeCell="BK81" sqref="BK81"/>
    </sheetView>
  </sheetViews>
  <sheetFormatPr defaultColWidth="9.140625" defaultRowHeight="14.25"/>
  <cols>
    <col min="1" max="1" width="3.5703125" style="1" hidden="1" customWidth="1"/>
    <col min="2" max="8" width="0" style="1" hidden="1" customWidth="1"/>
    <col min="9" max="9" width="3.28515625" style="1" hidden="1" customWidth="1"/>
    <col min="10" max="16" width="0" style="1" hidden="1" customWidth="1"/>
    <col min="17" max="17" width="3.140625" style="1" customWidth="1"/>
    <col min="18" max="19" width="9.140625" style="1"/>
    <col min="20" max="20" width="9.140625" style="1" customWidth="1"/>
    <col min="21" max="37" width="9.140625" style="1"/>
    <col min="38" max="38" width="2.85546875" style="1" customWidth="1"/>
    <col min="39" max="16384" width="9.140625" style="1"/>
  </cols>
  <sheetData>
    <row r="1" spans="17:88">
      <c r="CJ1" s="1">
        <v>0</v>
      </c>
    </row>
    <row r="2" spans="17:88" ht="15">
      <c r="Q2" s="2" t="s">
        <v>112</v>
      </c>
      <c r="AM2" s="2" t="s">
        <v>891</v>
      </c>
    </row>
    <row r="27" spans="18:19">
      <c r="R27" s="1" t="s">
        <v>15</v>
      </c>
      <c r="S27" s="1" t="s">
        <v>16</v>
      </c>
    </row>
    <row r="28" spans="18:19">
      <c r="S28" s="1" t="s">
        <v>17</v>
      </c>
    </row>
    <row r="29" spans="18:19">
      <c r="S29" s="1" t="s">
        <v>18</v>
      </c>
    </row>
    <row r="35" spans="17:39" ht="15">
      <c r="AM35" s="2" t="s">
        <v>892</v>
      </c>
    </row>
    <row r="36" spans="17:39" ht="15">
      <c r="Q36" s="2" t="s">
        <v>964</v>
      </c>
      <c r="AM36" s="2" t="s">
        <v>92</v>
      </c>
    </row>
    <row r="64" spans="18:19">
      <c r="R64" s="1" t="s">
        <v>15</v>
      </c>
      <c r="S64" s="1" t="s">
        <v>16</v>
      </c>
    </row>
    <row r="65" spans="17:39">
      <c r="S65" s="1" t="s">
        <v>17</v>
      </c>
    </row>
    <row r="66" spans="17:39">
      <c r="S66" s="1" t="s">
        <v>18</v>
      </c>
    </row>
    <row r="68" spans="17:39" ht="15">
      <c r="Q68" s="2" t="s">
        <v>963</v>
      </c>
      <c r="AM68" s="2" t="s">
        <v>93</v>
      </c>
    </row>
    <row r="100" spans="17:39">
      <c r="R100" s="1" t="s">
        <v>15</v>
      </c>
      <c r="S100" s="1" t="s">
        <v>16</v>
      </c>
    </row>
    <row r="101" spans="17:39">
      <c r="S101" s="1" t="s">
        <v>17</v>
      </c>
    </row>
    <row r="102" spans="17:39">
      <c r="S102" s="1" t="s">
        <v>18</v>
      </c>
    </row>
    <row r="104" spans="17:39" ht="15">
      <c r="Q104" s="2" t="s">
        <v>115</v>
      </c>
      <c r="AM104" s="2" t="s">
        <v>94</v>
      </c>
    </row>
    <row r="133" spans="17:39">
      <c r="R133" s="1" t="s">
        <v>15</v>
      </c>
      <c r="S133" s="1" t="s">
        <v>16</v>
      </c>
    </row>
    <row r="134" spans="17:39">
      <c r="S134" s="1" t="s">
        <v>17</v>
      </c>
    </row>
    <row r="135" spans="17:39">
      <c r="S135" s="1" t="s">
        <v>18</v>
      </c>
    </row>
    <row r="137" spans="17:39" ht="15">
      <c r="Q137" s="2" t="s">
        <v>114</v>
      </c>
      <c r="AM137" s="2" t="s">
        <v>95</v>
      </c>
    </row>
    <row r="153" ht="15" customHeight="1"/>
    <row r="166" spans="18:19">
      <c r="R166" s="1" t="s">
        <v>15</v>
      </c>
      <c r="S166" s="1" t="s">
        <v>16</v>
      </c>
    </row>
    <row r="167" spans="18:19">
      <c r="S167" s="1" t="s">
        <v>17</v>
      </c>
    </row>
    <row r="168" spans="18:19">
      <c r="S168" s="1" t="s">
        <v>18</v>
      </c>
    </row>
    <row r="183" spans="2:16">
      <c r="B183" s="1" t="s">
        <v>136</v>
      </c>
      <c r="J183" s="1" t="s">
        <v>889</v>
      </c>
    </row>
    <row r="184" spans="2:16">
      <c r="B184" s="1" t="s">
        <v>888</v>
      </c>
      <c r="J184" s="1" t="s">
        <v>888</v>
      </c>
    </row>
    <row r="185" spans="2:16">
      <c r="B185" s="24" t="s">
        <v>19</v>
      </c>
      <c r="C185" s="24" t="s">
        <v>20</v>
      </c>
      <c r="D185" s="24" t="s">
        <v>21</v>
      </c>
      <c r="E185" s="24" t="s">
        <v>22</v>
      </c>
      <c r="F185" s="24" t="s">
        <v>23</v>
      </c>
      <c r="G185" s="24" t="s">
        <v>24</v>
      </c>
      <c r="H185" s="24" t="s">
        <v>25</v>
      </c>
      <c r="J185" s="24" t="s">
        <v>19</v>
      </c>
      <c r="K185" s="24" t="s">
        <v>20</v>
      </c>
      <c r="L185" s="24" t="s">
        <v>21</v>
      </c>
      <c r="M185" s="24" t="s">
        <v>22</v>
      </c>
      <c r="N185" s="24" t="s">
        <v>23</v>
      </c>
      <c r="O185" s="24" t="s">
        <v>24</v>
      </c>
      <c r="P185" s="24" t="s">
        <v>25</v>
      </c>
    </row>
    <row r="186" spans="2:16">
      <c r="B186" s="63">
        <v>615.29999999999995</v>
      </c>
      <c r="C186" s="63">
        <v>618.41999999999996</v>
      </c>
      <c r="D186" s="63">
        <v>614.28800000000001</v>
      </c>
      <c r="E186" s="63">
        <v>615.95000000000005</v>
      </c>
      <c r="F186" s="63">
        <v>7187163</v>
      </c>
      <c r="G186" s="63" t="s">
        <v>137</v>
      </c>
      <c r="H186" s="25">
        <f>B186/E186-1</f>
        <v>-1.0552804610765021E-3</v>
      </c>
      <c r="J186" s="63">
        <v>143.87</v>
      </c>
      <c r="K186" s="63">
        <v>156.88999999999999</v>
      </c>
      <c r="L186" s="63">
        <v>141.5</v>
      </c>
      <c r="M186" s="63">
        <v>155.28</v>
      </c>
      <c r="N186" s="63">
        <v>6131551</v>
      </c>
      <c r="O186" s="63" t="s">
        <v>137</v>
      </c>
      <c r="P186" s="25">
        <f t="shared" ref="P186:P249" si="0">J186/M186-1</f>
        <v>-7.3480164863472419E-2</v>
      </c>
    </row>
    <row r="187" spans="2:16">
      <c r="B187" s="63">
        <v>615.25</v>
      </c>
      <c r="C187" s="63">
        <v>616.48</v>
      </c>
      <c r="D187" s="63">
        <v>613.02</v>
      </c>
      <c r="E187" s="63">
        <v>616.41</v>
      </c>
      <c r="F187" s="63">
        <v>7036646</v>
      </c>
      <c r="G187" s="63" t="s">
        <v>138</v>
      </c>
      <c r="H187" s="25">
        <f t="shared" ref="H187:H250" si="1">B187/E187-1</f>
        <v>-1.8818643435375426E-3</v>
      </c>
      <c r="J187" s="63">
        <v>149.63</v>
      </c>
      <c r="K187" s="63">
        <v>155.59</v>
      </c>
      <c r="L187" s="63">
        <v>145.78</v>
      </c>
      <c r="M187" s="63">
        <v>152.46</v>
      </c>
      <c r="N187" s="63">
        <v>6110087</v>
      </c>
      <c r="O187" s="63" t="s">
        <v>138</v>
      </c>
      <c r="P187" s="25">
        <f t="shared" si="0"/>
        <v>-1.8562245834973234E-2</v>
      </c>
    </row>
    <row r="188" spans="2:16">
      <c r="B188" s="63">
        <v>614.57000000000005</v>
      </c>
      <c r="C188" s="63">
        <v>615.39</v>
      </c>
      <c r="D188" s="63">
        <v>609.57000000000005</v>
      </c>
      <c r="E188" s="63">
        <v>609.70000000000005</v>
      </c>
      <c r="F188" s="63">
        <v>9753029</v>
      </c>
      <c r="G188" s="63" t="s">
        <v>139</v>
      </c>
      <c r="H188" s="25">
        <f t="shared" si="1"/>
        <v>7.9875348532065793E-3</v>
      </c>
      <c r="J188" s="63">
        <v>144.91</v>
      </c>
      <c r="K188" s="63">
        <v>145.66</v>
      </c>
      <c r="L188" s="63">
        <v>140.51</v>
      </c>
      <c r="M188" s="63">
        <v>144.77000000000001</v>
      </c>
      <c r="N188" s="63">
        <v>4254207</v>
      </c>
      <c r="O188" s="63" t="s">
        <v>139</v>
      </c>
      <c r="P188" s="25">
        <f t="shared" si="0"/>
        <v>9.6705118463757955E-4</v>
      </c>
    </row>
    <row r="189" spans="2:16">
      <c r="B189" s="63">
        <v>612.38</v>
      </c>
      <c r="C189" s="63">
        <v>612.86</v>
      </c>
      <c r="D189" s="63">
        <v>608.27</v>
      </c>
      <c r="E189" s="63">
        <v>609.42999999999995</v>
      </c>
      <c r="F189" s="63">
        <v>6481423</v>
      </c>
      <c r="G189" s="63" t="s">
        <v>140</v>
      </c>
      <c r="H189" s="25">
        <f t="shared" si="1"/>
        <v>4.8405887468618847E-3</v>
      </c>
      <c r="J189" s="63">
        <v>145.61000000000001</v>
      </c>
      <c r="K189" s="63">
        <v>150.26</v>
      </c>
      <c r="L189" s="63">
        <v>142.57</v>
      </c>
      <c r="M189" s="63">
        <v>146.87</v>
      </c>
      <c r="N189" s="63">
        <v>3602733</v>
      </c>
      <c r="O189" s="63" t="s">
        <v>140</v>
      </c>
      <c r="P189" s="25">
        <f t="shared" si="0"/>
        <v>-8.5790154558452736E-3</v>
      </c>
    </row>
    <row r="190" spans="2:16">
      <c r="B190" s="63">
        <v>610.13</v>
      </c>
      <c r="C190" s="63">
        <v>611.67999999999995</v>
      </c>
      <c r="D190" s="63">
        <v>608.48</v>
      </c>
      <c r="E190" s="63">
        <v>610.79</v>
      </c>
      <c r="F190" s="63">
        <v>5658835</v>
      </c>
      <c r="G190" s="63" t="s">
        <v>141</v>
      </c>
      <c r="H190" s="25">
        <f t="shared" si="1"/>
        <v>-1.0805677892564702E-3</v>
      </c>
      <c r="J190" s="63">
        <v>146.01</v>
      </c>
      <c r="K190" s="63">
        <v>152.7499</v>
      </c>
      <c r="L190" s="63">
        <v>145.72999999999999</v>
      </c>
      <c r="M190" s="63">
        <v>148.44999999999999</v>
      </c>
      <c r="N190" s="63">
        <v>5283192</v>
      </c>
      <c r="O190" s="63" t="s">
        <v>141</v>
      </c>
      <c r="P190" s="25">
        <f t="shared" si="0"/>
        <v>-1.6436510609632804E-2</v>
      </c>
    </row>
    <row r="191" spans="2:16">
      <c r="B191" s="63">
        <v>610.16</v>
      </c>
      <c r="C191" s="63">
        <v>610.70000000000005</v>
      </c>
      <c r="D191" s="63">
        <v>606.56500000000005</v>
      </c>
      <c r="E191" s="63">
        <v>608.03</v>
      </c>
      <c r="F191" s="63">
        <v>6438634</v>
      </c>
      <c r="G191" s="63" t="s">
        <v>142</v>
      </c>
      <c r="H191" s="25">
        <f t="shared" si="1"/>
        <v>3.5031166225349963E-3</v>
      </c>
      <c r="J191" s="63">
        <v>142.93</v>
      </c>
      <c r="K191" s="63">
        <v>146.9999</v>
      </c>
      <c r="L191" s="63">
        <v>139.25</v>
      </c>
      <c r="M191" s="63">
        <v>146.30500000000001</v>
      </c>
      <c r="N191" s="63">
        <v>4861815</v>
      </c>
      <c r="O191" s="63" t="s">
        <v>142</v>
      </c>
      <c r="P191" s="25">
        <f t="shared" si="0"/>
        <v>-2.3068247838419764E-2</v>
      </c>
    </row>
    <row r="192" spans="2:16">
      <c r="B192" s="63">
        <v>606.59</v>
      </c>
      <c r="C192" s="63">
        <v>607.92999999999995</v>
      </c>
      <c r="D192" s="63">
        <v>603.35</v>
      </c>
      <c r="E192" s="63">
        <v>606.62</v>
      </c>
      <c r="F192" s="63">
        <v>6927746</v>
      </c>
      <c r="G192" s="63" t="s">
        <v>143</v>
      </c>
      <c r="H192" s="25">
        <f t="shared" si="1"/>
        <v>-4.9454353631572801E-5</v>
      </c>
      <c r="J192" s="63">
        <v>144.94</v>
      </c>
      <c r="K192" s="63">
        <v>148.5814</v>
      </c>
      <c r="L192" s="63">
        <v>138</v>
      </c>
      <c r="M192" s="63">
        <v>139.83500000000001</v>
      </c>
      <c r="N192" s="63">
        <v>6619564</v>
      </c>
      <c r="O192" s="63" t="s">
        <v>143</v>
      </c>
      <c r="P192" s="25">
        <f t="shared" si="0"/>
        <v>3.6507312189365981E-2</v>
      </c>
    </row>
    <row r="193" spans="2:25">
      <c r="B193" s="63">
        <v>609.5</v>
      </c>
      <c r="C193" s="63">
        <v>612.74</v>
      </c>
      <c r="D193" s="63">
        <v>608.19000000000005</v>
      </c>
      <c r="E193" s="63">
        <v>612.63</v>
      </c>
      <c r="F193" s="63">
        <v>23764079</v>
      </c>
      <c r="G193" s="63" t="s">
        <v>144</v>
      </c>
      <c r="H193" s="25">
        <f t="shared" si="1"/>
        <v>-5.1091196970438624E-3</v>
      </c>
      <c r="J193" s="63">
        <v>149.38</v>
      </c>
      <c r="K193" s="63">
        <v>158.99</v>
      </c>
      <c r="L193" s="63">
        <v>146.80000000000001</v>
      </c>
      <c r="M193" s="63">
        <v>158.99</v>
      </c>
      <c r="N193" s="63">
        <v>7744372</v>
      </c>
      <c r="O193" s="63" t="s">
        <v>144</v>
      </c>
      <c r="P193" s="25">
        <f t="shared" si="0"/>
        <v>-6.0444053085099814E-2</v>
      </c>
    </row>
    <row r="194" spans="2:25">
      <c r="B194" s="63">
        <v>611.54</v>
      </c>
      <c r="C194" s="63">
        <v>615.26</v>
      </c>
      <c r="D194" s="63">
        <v>610.34100000000001</v>
      </c>
      <c r="E194" s="63">
        <v>614.70500000000004</v>
      </c>
      <c r="F194" s="63">
        <v>10728553</v>
      </c>
      <c r="G194" s="63" t="s">
        <v>145</v>
      </c>
      <c r="H194" s="25">
        <f t="shared" si="1"/>
        <v>-5.148811218389393E-3</v>
      </c>
      <c r="J194" s="63">
        <v>162.26</v>
      </c>
      <c r="K194" s="63">
        <v>164.05</v>
      </c>
      <c r="L194" s="63">
        <v>155.21</v>
      </c>
      <c r="M194" s="63">
        <v>163.41999999999999</v>
      </c>
      <c r="N194" s="63">
        <v>4813964</v>
      </c>
      <c r="O194" s="63" t="s">
        <v>145</v>
      </c>
      <c r="P194" s="25">
        <f t="shared" si="0"/>
        <v>-7.0982743850201979E-3</v>
      </c>
    </row>
    <row r="195" spans="2:25">
      <c r="B195" s="63">
        <v>614.76</v>
      </c>
      <c r="C195" s="63">
        <v>615.22</v>
      </c>
      <c r="D195" s="63">
        <v>610.51</v>
      </c>
      <c r="E195" s="63">
        <v>610.52</v>
      </c>
      <c r="F195" s="63">
        <v>11551587</v>
      </c>
      <c r="G195" s="63" t="s">
        <v>146</v>
      </c>
      <c r="H195" s="25">
        <f t="shared" si="1"/>
        <v>6.9448994299941003E-3</v>
      </c>
      <c r="J195" s="63">
        <v>164.1</v>
      </c>
      <c r="K195" s="63">
        <v>176.5</v>
      </c>
      <c r="L195" s="63">
        <v>159.56</v>
      </c>
      <c r="M195" s="63">
        <v>167.85</v>
      </c>
      <c r="N195" s="63">
        <v>6052051</v>
      </c>
      <c r="O195" s="63" t="s">
        <v>146</v>
      </c>
      <c r="P195" s="25">
        <f t="shared" si="0"/>
        <v>-2.2341376228775744E-2</v>
      </c>
    </row>
    <row r="196" spans="2:25">
      <c r="B196" s="63">
        <v>611.78</v>
      </c>
      <c r="C196" s="63">
        <v>612.66999999999996</v>
      </c>
      <c r="D196" s="63">
        <v>608.85</v>
      </c>
      <c r="E196" s="63">
        <v>610.62</v>
      </c>
      <c r="F196" s="63">
        <v>6065655</v>
      </c>
      <c r="G196" s="63" t="s">
        <v>147</v>
      </c>
      <c r="H196" s="25">
        <f t="shared" si="1"/>
        <v>1.899708493007024E-3</v>
      </c>
      <c r="J196" s="63">
        <v>169.56</v>
      </c>
      <c r="K196" s="63">
        <v>174</v>
      </c>
      <c r="L196" s="63">
        <v>167.32</v>
      </c>
      <c r="M196" s="63">
        <v>172.84</v>
      </c>
      <c r="N196" s="63">
        <v>12625081</v>
      </c>
      <c r="O196" s="63" t="s">
        <v>147</v>
      </c>
      <c r="P196" s="25">
        <f t="shared" si="0"/>
        <v>-1.8977088636889627E-2</v>
      </c>
    </row>
    <row r="197" spans="2:25">
      <c r="B197" s="63">
        <v>608.94000000000005</v>
      </c>
      <c r="C197" s="63">
        <v>611.30999999999995</v>
      </c>
      <c r="D197" s="63">
        <v>607.07000000000005</v>
      </c>
      <c r="E197" s="63">
        <v>608.54999999999995</v>
      </c>
      <c r="F197" s="63">
        <v>11029230</v>
      </c>
      <c r="G197" s="63" t="s">
        <v>148</v>
      </c>
      <c r="H197" s="25">
        <f t="shared" si="1"/>
        <v>6.4086763618442788E-4</v>
      </c>
      <c r="J197" s="63">
        <v>172.31</v>
      </c>
      <c r="K197" s="63">
        <v>176.7</v>
      </c>
      <c r="L197" s="63">
        <v>170.7</v>
      </c>
      <c r="M197" s="63">
        <v>173.1</v>
      </c>
      <c r="N197" s="63">
        <v>5324766</v>
      </c>
      <c r="O197" s="63" t="s">
        <v>148</v>
      </c>
      <c r="P197" s="25">
        <f t="shared" si="0"/>
        <v>-4.563835932986704E-3</v>
      </c>
    </row>
    <row r="198" spans="2:25">
      <c r="B198" s="63">
        <v>606.09</v>
      </c>
      <c r="C198" s="63">
        <v>608.33000000000004</v>
      </c>
      <c r="D198" s="63">
        <v>601.54999999999995</v>
      </c>
      <c r="E198" s="63">
        <v>606.84</v>
      </c>
      <c r="F198" s="63">
        <v>11613628</v>
      </c>
      <c r="G198" s="63" t="s">
        <v>149</v>
      </c>
      <c r="H198" s="25">
        <f t="shared" si="1"/>
        <v>-1.2359106189440139E-3</v>
      </c>
      <c r="J198" s="63">
        <v>164.44</v>
      </c>
      <c r="K198" s="63">
        <v>167.15</v>
      </c>
      <c r="L198" s="63">
        <v>157.77000000000001</v>
      </c>
      <c r="M198" s="63">
        <v>163.93</v>
      </c>
      <c r="N198" s="63">
        <v>3599609</v>
      </c>
      <c r="O198" s="63" t="s">
        <v>149</v>
      </c>
      <c r="P198" s="25">
        <f t="shared" si="0"/>
        <v>3.1110839992678496E-3</v>
      </c>
    </row>
    <row r="199" spans="2:25">
      <c r="B199" s="63">
        <v>606.79</v>
      </c>
      <c r="C199" s="63">
        <v>608.41999999999996</v>
      </c>
      <c r="D199" s="63">
        <v>606.06089999999995</v>
      </c>
      <c r="E199" s="63">
        <v>608.16</v>
      </c>
      <c r="F199" s="63">
        <v>6367152</v>
      </c>
      <c r="G199" s="63" t="s">
        <v>150</v>
      </c>
      <c r="H199" s="25">
        <f t="shared" si="1"/>
        <v>-2.2526966587740338E-3</v>
      </c>
      <c r="J199" s="63">
        <v>164.42</v>
      </c>
      <c r="K199" s="63">
        <v>168.14</v>
      </c>
      <c r="L199" s="63">
        <v>160.6</v>
      </c>
      <c r="M199" s="63">
        <v>163.51</v>
      </c>
      <c r="N199" s="63">
        <v>4131831</v>
      </c>
      <c r="O199" s="63" t="s">
        <v>150</v>
      </c>
      <c r="P199" s="25">
        <f t="shared" si="0"/>
        <v>5.5654088434957671E-3</v>
      </c>
      <c r="R199" s="26"/>
      <c r="S199" s="26" t="s">
        <v>26</v>
      </c>
      <c r="T199" s="27">
        <f>MIN(P186:P936)</f>
        <v>-0.18546733079402289</v>
      </c>
    </row>
    <row r="200" spans="2:25">
      <c r="B200" s="63">
        <v>607.59</v>
      </c>
      <c r="C200" s="63">
        <v>607.77</v>
      </c>
      <c r="D200" s="63">
        <v>606.20000000000005</v>
      </c>
      <c r="E200" s="63">
        <v>606.47</v>
      </c>
      <c r="F200" s="63">
        <v>7447134</v>
      </c>
      <c r="G200" s="63" t="s">
        <v>151</v>
      </c>
      <c r="H200" s="25">
        <f t="shared" si="1"/>
        <v>1.8467525186736111E-3</v>
      </c>
      <c r="J200" s="63">
        <v>163.98</v>
      </c>
      <c r="K200" s="63">
        <v>167.91499999999999</v>
      </c>
      <c r="L200" s="63">
        <v>159.51</v>
      </c>
      <c r="M200" s="63">
        <v>161.5</v>
      </c>
      <c r="N200" s="63">
        <v>4289091</v>
      </c>
      <c r="O200" s="63" t="s">
        <v>151</v>
      </c>
      <c r="P200" s="25">
        <f t="shared" si="0"/>
        <v>1.5356037151702751E-2</v>
      </c>
      <c r="R200" s="26"/>
      <c r="S200" s="26" t="s">
        <v>27</v>
      </c>
      <c r="T200" s="27">
        <f>MAX(P186:P936)</f>
        <v>0.20046728971962624</v>
      </c>
    </row>
    <row r="201" spans="2:25">
      <c r="B201" s="63">
        <v>604.44000000000005</v>
      </c>
      <c r="C201" s="63">
        <v>605.98</v>
      </c>
      <c r="D201" s="63">
        <v>603.95000000000005</v>
      </c>
      <c r="E201" s="63">
        <v>604.59</v>
      </c>
      <c r="F201" s="63">
        <v>8108692</v>
      </c>
      <c r="G201" s="63" t="s">
        <v>152</v>
      </c>
      <c r="H201" s="25">
        <f t="shared" si="1"/>
        <v>-2.4810201955038913E-4</v>
      </c>
      <c r="J201" s="63">
        <v>161.99</v>
      </c>
      <c r="K201" s="63">
        <v>164.98</v>
      </c>
      <c r="L201" s="63">
        <v>158.9</v>
      </c>
      <c r="M201" s="63">
        <v>160.03</v>
      </c>
      <c r="N201" s="63">
        <v>3540609</v>
      </c>
      <c r="O201" s="63" t="s">
        <v>152</v>
      </c>
      <c r="P201" s="25">
        <f t="shared" si="0"/>
        <v>1.2247703555583467E-2</v>
      </c>
      <c r="R201" s="26"/>
      <c r="S201" s="26" t="s">
        <v>28</v>
      </c>
      <c r="T201" s="27">
        <f>AVERAGE(P186:P936)</f>
        <v>2.8282711740463835E-3</v>
      </c>
    </row>
    <row r="202" spans="2:25">
      <c r="B202" s="63">
        <v>604.57000000000005</v>
      </c>
      <c r="C202" s="63">
        <v>605.23</v>
      </c>
      <c r="D202" s="63">
        <v>600.89</v>
      </c>
      <c r="E202" s="63">
        <v>601.42999999999995</v>
      </c>
      <c r="F202" s="63">
        <v>9086806</v>
      </c>
      <c r="G202" s="63" t="s">
        <v>153</v>
      </c>
      <c r="H202" s="25">
        <f t="shared" si="1"/>
        <v>5.2208902116623879E-3</v>
      </c>
      <c r="J202" s="63">
        <v>159.32</v>
      </c>
      <c r="K202" s="63">
        <v>168.42</v>
      </c>
      <c r="L202" s="63">
        <v>158.61000000000001</v>
      </c>
      <c r="M202" s="63">
        <v>168.23</v>
      </c>
      <c r="N202" s="63">
        <v>6271777</v>
      </c>
      <c r="O202" s="63" t="s">
        <v>153</v>
      </c>
      <c r="P202" s="25">
        <f t="shared" si="0"/>
        <v>-5.2963205135825975E-2</v>
      </c>
      <c r="R202" s="26"/>
      <c r="S202" s="26" t="s">
        <v>29</v>
      </c>
      <c r="T202" s="27">
        <f>MEDIAN(P186:P936)</f>
        <v>2.3121387283235872E-3</v>
      </c>
    </row>
    <row r="203" spans="2:25" ht="15">
      <c r="B203" s="63">
        <v>599.67999999999995</v>
      </c>
      <c r="C203" s="63">
        <v>601.75</v>
      </c>
      <c r="D203" s="63">
        <v>598.16</v>
      </c>
      <c r="E203" s="63">
        <v>600.91999999999996</v>
      </c>
      <c r="F203" s="63">
        <v>21542357</v>
      </c>
      <c r="G203" s="63" t="s">
        <v>154</v>
      </c>
      <c r="H203" s="25">
        <f t="shared" si="1"/>
        <v>-2.0635026293017722E-3</v>
      </c>
      <c r="J203" s="63">
        <v>163.96</v>
      </c>
      <c r="K203" s="63">
        <v>164.06</v>
      </c>
      <c r="L203" s="63">
        <v>154.58000000000001</v>
      </c>
      <c r="M203" s="63">
        <v>156.10400000000001</v>
      </c>
      <c r="N203" s="63">
        <v>7425319</v>
      </c>
      <c r="O203" s="63" t="s">
        <v>154</v>
      </c>
      <c r="P203" s="25">
        <f t="shared" si="0"/>
        <v>5.0325424076256731E-2</v>
      </c>
      <c r="R203" s="26"/>
      <c r="S203" s="26" t="s">
        <v>30</v>
      </c>
      <c r="T203" s="27">
        <f>_xlfn.STDEV.P(P186:P936)</f>
        <v>3.7954573648879074E-2</v>
      </c>
      <c r="V203" s="2"/>
    </row>
    <row r="204" spans="2:25" ht="15">
      <c r="B204" s="63">
        <v>597.95000000000005</v>
      </c>
      <c r="C204" s="63">
        <v>598.37</v>
      </c>
      <c r="D204" s="63">
        <v>595.01</v>
      </c>
      <c r="E204" s="63">
        <v>596.61</v>
      </c>
      <c r="F204" s="63">
        <v>7780114</v>
      </c>
      <c r="G204" s="63" t="s">
        <v>155</v>
      </c>
      <c r="H204" s="25">
        <f t="shared" si="1"/>
        <v>2.2460233653476269E-3</v>
      </c>
      <c r="J204" s="63">
        <v>149.03</v>
      </c>
      <c r="K204" s="63">
        <v>151.72</v>
      </c>
      <c r="L204" s="63">
        <v>147.22</v>
      </c>
      <c r="M204" s="63">
        <v>149.44999999999999</v>
      </c>
      <c r="N204" s="63">
        <v>4215798</v>
      </c>
      <c r="O204" s="63" t="s">
        <v>155</v>
      </c>
      <c r="P204" s="25">
        <f t="shared" si="0"/>
        <v>-2.8103044496485818E-3</v>
      </c>
      <c r="R204" s="26"/>
      <c r="S204" s="28" t="s">
        <v>31</v>
      </c>
      <c r="T204" s="27">
        <f>3*T203</f>
        <v>0.11386372094663721</v>
      </c>
      <c r="U204" s="26"/>
      <c r="V204" s="2" t="s">
        <v>105</v>
      </c>
    </row>
    <row r="205" spans="2:25" ht="15">
      <c r="B205" s="63">
        <v>596.5</v>
      </c>
      <c r="C205" s="63">
        <v>597.41</v>
      </c>
      <c r="D205" s="63">
        <v>595.03</v>
      </c>
      <c r="E205" s="63">
        <v>596.30999999999995</v>
      </c>
      <c r="F205" s="63">
        <v>9448293</v>
      </c>
      <c r="G205" s="63" t="s">
        <v>156</v>
      </c>
      <c r="H205" s="25">
        <f t="shared" si="1"/>
        <v>3.1862621790690326E-4</v>
      </c>
      <c r="J205" s="63">
        <v>147.53</v>
      </c>
      <c r="K205" s="63">
        <v>149.08000000000001</v>
      </c>
      <c r="L205" s="63">
        <v>140.99</v>
      </c>
      <c r="M205" s="63">
        <v>144.27000000000001</v>
      </c>
      <c r="N205" s="63">
        <v>7024578</v>
      </c>
      <c r="O205" s="63" t="s">
        <v>156</v>
      </c>
      <c r="P205" s="25">
        <f t="shared" si="0"/>
        <v>2.2596520413114218E-2</v>
      </c>
      <c r="R205" s="26"/>
      <c r="S205" s="28" t="s">
        <v>32</v>
      </c>
      <c r="T205" s="65">
        <f>(_xlfn.COVARIANCE.P(P186:P936,H186:H936))/(_xlfn.VAR.P(H186:H936))</f>
        <v>2.2116999929725409</v>
      </c>
      <c r="U205" s="26"/>
      <c r="V205" s="2" t="s">
        <v>33</v>
      </c>
    </row>
    <row r="206" spans="2:25">
      <c r="B206" s="63">
        <v>594.96</v>
      </c>
      <c r="C206" s="63">
        <v>599.6</v>
      </c>
      <c r="D206" s="63">
        <v>591.45000000000005</v>
      </c>
      <c r="E206" s="63">
        <v>598.91</v>
      </c>
      <c r="F206" s="63">
        <v>6622130</v>
      </c>
      <c r="G206" s="63" t="s">
        <v>157</v>
      </c>
      <c r="H206" s="25">
        <f t="shared" si="1"/>
        <v>-6.5953148219264346E-3</v>
      </c>
      <c r="J206" s="63">
        <v>140.82</v>
      </c>
      <c r="K206" s="63">
        <v>142.56989999999999</v>
      </c>
      <c r="L206" s="63">
        <v>136.24</v>
      </c>
      <c r="M206" s="63">
        <v>137.9</v>
      </c>
      <c r="N206" s="63">
        <v>7188716</v>
      </c>
      <c r="O206" s="63" t="s">
        <v>157</v>
      </c>
      <c r="P206" s="25">
        <f t="shared" si="0"/>
        <v>2.1174764321972406E-2</v>
      </c>
    </row>
    <row r="207" spans="2:25">
      <c r="B207" s="63">
        <v>596.59</v>
      </c>
      <c r="C207" s="63">
        <v>596.77</v>
      </c>
      <c r="D207" s="63">
        <v>591.6</v>
      </c>
      <c r="E207" s="63">
        <v>592.47</v>
      </c>
      <c r="F207" s="63">
        <v>8012477</v>
      </c>
      <c r="G207" s="63" t="s">
        <v>158</v>
      </c>
      <c r="H207" s="25">
        <f t="shared" si="1"/>
        <v>6.9539385960470934E-3</v>
      </c>
      <c r="J207" s="63">
        <v>134</v>
      </c>
      <c r="K207" s="63">
        <v>141.09</v>
      </c>
      <c r="L207" s="63">
        <v>132.72999999999999</v>
      </c>
      <c r="M207" s="63">
        <v>137.995</v>
      </c>
      <c r="N207" s="63">
        <v>13963959</v>
      </c>
      <c r="O207" s="63" t="s">
        <v>158</v>
      </c>
      <c r="P207" s="25">
        <f t="shared" si="0"/>
        <v>-2.8950324287111862E-2</v>
      </c>
      <c r="R207" s="29" t="s">
        <v>34</v>
      </c>
      <c r="S207" s="30">
        <v>752</v>
      </c>
    </row>
    <row r="208" spans="2:25" ht="15" thickBot="1">
      <c r="B208" s="63">
        <v>591.72</v>
      </c>
      <c r="C208" s="63">
        <v>592.23</v>
      </c>
      <c r="D208" s="63">
        <v>588.78</v>
      </c>
      <c r="E208" s="63">
        <v>590.80999999999995</v>
      </c>
      <c r="F208" s="63">
        <v>6669875</v>
      </c>
      <c r="G208" s="63" t="s">
        <v>159</v>
      </c>
      <c r="H208" s="25">
        <f t="shared" si="1"/>
        <v>1.5402582894672445E-3</v>
      </c>
      <c r="J208" s="63">
        <v>124.77</v>
      </c>
      <c r="K208" s="63">
        <v>127.28</v>
      </c>
      <c r="L208" s="63">
        <v>122.1</v>
      </c>
      <c r="M208" s="63">
        <v>124.34</v>
      </c>
      <c r="N208" s="63">
        <v>8207979</v>
      </c>
      <c r="O208" s="63" t="s">
        <v>159</v>
      </c>
      <c r="P208" s="25">
        <f t="shared" si="0"/>
        <v>3.4582596107446406E-3</v>
      </c>
      <c r="R208" s="1" t="s">
        <v>35</v>
      </c>
      <c r="U208" s="1" t="s">
        <v>36</v>
      </c>
      <c r="Y208" s="1" t="s">
        <v>37</v>
      </c>
    </row>
    <row r="209" spans="2:26" ht="15" customHeight="1">
      <c r="B209" s="63">
        <v>588.71</v>
      </c>
      <c r="C209" s="63">
        <v>588.79999999999995</v>
      </c>
      <c r="D209" s="63">
        <v>583.66999999999996</v>
      </c>
      <c r="E209" s="63">
        <v>586.05999999999995</v>
      </c>
      <c r="F209" s="63">
        <v>11063662</v>
      </c>
      <c r="G209" s="63" t="s">
        <v>160</v>
      </c>
      <c r="H209" s="25">
        <f t="shared" si="1"/>
        <v>4.5217213254618027E-3</v>
      </c>
      <c r="J209" s="63">
        <v>124.27</v>
      </c>
      <c r="K209" s="63">
        <v>124.58920000000001</v>
      </c>
      <c r="L209" s="63">
        <v>116.16</v>
      </c>
      <c r="M209" s="63">
        <v>121.91</v>
      </c>
      <c r="N209" s="63">
        <v>6372522</v>
      </c>
      <c r="O209" s="63" t="s">
        <v>160</v>
      </c>
      <c r="P209" s="25">
        <f t="shared" si="0"/>
        <v>1.9358543187597332E-2</v>
      </c>
      <c r="R209" s="67" t="s">
        <v>38</v>
      </c>
      <c r="S209" s="67" t="s">
        <v>39</v>
      </c>
      <c r="U209" s="31" t="s">
        <v>40</v>
      </c>
      <c r="V209" s="32" t="s">
        <v>41</v>
      </c>
      <c r="Y209" s="31" t="s">
        <v>42</v>
      </c>
      <c r="Z209" s="32" t="s">
        <v>43</v>
      </c>
    </row>
    <row r="210" spans="2:26" ht="15" customHeight="1">
      <c r="B210" s="63">
        <v>593.08000000000004</v>
      </c>
      <c r="C210" s="63">
        <v>595.54999999999995</v>
      </c>
      <c r="D210" s="63">
        <v>591.245</v>
      </c>
      <c r="E210" s="63">
        <v>595.24</v>
      </c>
      <c r="F210" s="63">
        <v>7480746</v>
      </c>
      <c r="G210" s="63" t="s">
        <v>161</v>
      </c>
      <c r="H210" s="25">
        <f t="shared" si="1"/>
        <v>-3.6287883878770577E-3</v>
      </c>
      <c r="J210" s="63">
        <v>123.05500000000001</v>
      </c>
      <c r="K210" s="63">
        <v>131.19990000000001</v>
      </c>
      <c r="L210" s="63">
        <v>121</v>
      </c>
      <c r="M210" s="63">
        <v>130.87</v>
      </c>
      <c r="N210" s="63">
        <v>4947624</v>
      </c>
      <c r="O210" s="63" t="s">
        <v>161</v>
      </c>
      <c r="P210" s="25">
        <f t="shared" si="0"/>
        <v>-5.971574845266292E-2</v>
      </c>
      <c r="R210" s="62">
        <v>-0.11500000000000006</v>
      </c>
      <c r="S210" s="1">
        <v>2</v>
      </c>
      <c r="U210" s="62">
        <f t="shared" ref="U210:U218" si="2">U211-0.0025</f>
        <v>-0.12000000000000006</v>
      </c>
      <c r="V210" s="1">
        <f t="shared" ref="V210:V241" si="3">_xlfn.NORM.DIST(U210,$T$201,$T$203,FALSE)</f>
        <v>5.5908368906182629E-2</v>
      </c>
      <c r="X210" s="1" t="s">
        <v>96</v>
      </c>
      <c r="Y210" s="62">
        <f>T201</f>
        <v>2.8282711740463835E-3</v>
      </c>
      <c r="Z210" s="1">
        <v>0</v>
      </c>
    </row>
    <row r="211" spans="2:26">
      <c r="B211" s="63">
        <v>596.52</v>
      </c>
      <c r="C211" s="63">
        <v>597.07000000000005</v>
      </c>
      <c r="D211" s="63">
        <v>593.27</v>
      </c>
      <c r="E211" s="63">
        <v>595.07000000000005</v>
      </c>
      <c r="F211" s="63">
        <v>5037983</v>
      </c>
      <c r="G211" s="63" t="s">
        <v>162</v>
      </c>
      <c r="H211" s="25">
        <f t="shared" si="1"/>
        <v>2.4366881207251723E-3</v>
      </c>
      <c r="J211" s="63">
        <v>131.82</v>
      </c>
      <c r="K211" s="63">
        <v>134.35</v>
      </c>
      <c r="L211" s="63">
        <v>123.69</v>
      </c>
      <c r="M211" s="63">
        <v>123.69</v>
      </c>
      <c r="N211" s="63">
        <v>4837192</v>
      </c>
      <c r="O211" s="63" t="s">
        <v>162</v>
      </c>
      <c r="P211" s="25">
        <f t="shared" si="0"/>
        <v>6.5728838224593744E-2</v>
      </c>
      <c r="R211" s="62">
        <v>-0.11250000000000006</v>
      </c>
      <c r="S211" s="1">
        <v>1</v>
      </c>
      <c r="U211" s="62">
        <f t="shared" si="2"/>
        <v>-0.11750000000000006</v>
      </c>
      <c r="V211" s="1">
        <f t="shared" si="3"/>
        <v>6.9041441837799367E-2</v>
      </c>
      <c r="Y211" s="62">
        <f>T201</f>
        <v>2.8282711740463835E-3</v>
      </c>
      <c r="Z211" s="1">
        <v>10.5</v>
      </c>
    </row>
    <row r="212" spans="2:26">
      <c r="B212" s="63">
        <v>594.41999999999996</v>
      </c>
      <c r="C212" s="63">
        <v>595.14</v>
      </c>
      <c r="D212" s="63">
        <v>592.44000000000005</v>
      </c>
      <c r="E212" s="63">
        <v>592.52</v>
      </c>
      <c r="F212" s="63">
        <v>6089564</v>
      </c>
      <c r="G212" s="63" t="s">
        <v>163</v>
      </c>
      <c r="H212" s="25">
        <f t="shared" si="1"/>
        <v>3.20664281374472E-3</v>
      </c>
      <c r="J212" s="63">
        <v>122.73</v>
      </c>
      <c r="K212" s="63">
        <v>123.98</v>
      </c>
      <c r="L212" s="63">
        <v>118.64</v>
      </c>
      <c r="M212" s="63">
        <v>120.73</v>
      </c>
      <c r="N212" s="63">
        <v>3301385</v>
      </c>
      <c r="O212" s="63" t="s">
        <v>163</v>
      </c>
      <c r="P212" s="25">
        <f t="shared" si="0"/>
        <v>1.6565890830779528E-2</v>
      </c>
      <c r="R212" s="62">
        <v>-0.11000000000000006</v>
      </c>
      <c r="S212" s="1">
        <v>1</v>
      </c>
      <c r="U212" s="62">
        <f t="shared" si="2"/>
        <v>-0.11500000000000006</v>
      </c>
      <c r="V212" s="1">
        <f t="shared" si="3"/>
        <v>8.489041238067549E-2</v>
      </c>
      <c r="X212" s="39" t="s">
        <v>97</v>
      </c>
      <c r="Y212" s="62">
        <f>($T$203*-3)+$T$201</f>
        <v>-0.11103544977259083</v>
      </c>
      <c r="Z212" s="1">
        <v>0</v>
      </c>
    </row>
    <row r="213" spans="2:26">
      <c r="B213" s="63">
        <v>593.05999999999995</v>
      </c>
      <c r="C213" s="63">
        <v>593.42999999999995</v>
      </c>
      <c r="D213" s="63">
        <v>589.79499999999996</v>
      </c>
      <c r="E213" s="63">
        <v>590.38</v>
      </c>
      <c r="F213" s="63">
        <v>4746851</v>
      </c>
      <c r="G213" s="63" t="s">
        <v>164</v>
      </c>
      <c r="H213" s="25">
        <f t="shared" si="1"/>
        <v>4.5394491683321547E-3</v>
      </c>
      <c r="J213" s="63">
        <v>120.1</v>
      </c>
      <c r="K213" s="63">
        <v>121.3875</v>
      </c>
      <c r="L213" s="63">
        <v>115.09</v>
      </c>
      <c r="M213" s="63">
        <v>115.28</v>
      </c>
      <c r="N213" s="63">
        <v>3538091</v>
      </c>
      <c r="O213" s="63" t="s">
        <v>164</v>
      </c>
      <c r="P213" s="25">
        <f t="shared" si="0"/>
        <v>4.1811242192921538E-2</v>
      </c>
      <c r="R213" s="62">
        <v>-0.10750000000000005</v>
      </c>
      <c r="S213" s="1">
        <v>1</v>
      </c>
      <c r="U213" s="62">
        <f t="shared" si="2"/>
        <v>-0.11250000000000006</v>
      </c>
      <c r="V213" s="1">
        <f t="shared" si="3"/>
        <v>0.10392575654015968</v>
      </c>
      <c r="X213" s="40"/>
      <c r="Y213" s="62">
        <f>($T$203*-3)+$T$201</f>
        <v>-0.11103544977259083</v>
      </c>
      <c r="Z213" s="1">
        <v>1</v>
      </c>
    </row>
    <row r="214" spans="2:26">
      <c r="B214" s="63">
        <v>590.70000000000005</v>
      </c>
      <c r="C214" s="63">
        <v>593.22990000000004</v>
      </c>
      <c r="D214" s="63">
        <v>590.54999999999995</v>
      </c>
      <c r="E214" s="63">
        <v>592.04999999999995</v>
      </c>
      <c r="F214" s="63">
        <v>6483035</v>
      </c>
      <c r="G214" s="63" t="s">
        <v>165</v>
      </c>
      <c r="H214" s="25">
        <f t="shared" si="1"/>
        <v>-2.2802128198630145E-3</v>
      </c>
      <c r="J214" s="63">
        <v>115.41</v>
      </c>
      <c r="K214" s="63">
        <v>117.18</v>
      </c>
      <c r="L214" s="63">
        <v>112.5</v>
      </c>
      <c r="M214" s="63">
        <v>113.84</v>
      </c>
      <c r="N214" s="63">
        <v>2160413</v>
      </c>
      <c r="O214" s="63" t="s">
        <v>165</v>
      </c>
      <c r="P214" s="25">
        <f t="shared" si="0"/>
        <v>1.3791286015460313E-2</v>
      </c>
      <c r="R214" s="62">
        <v>-0.10500000000000005</v>
      </c>
      <c r="S214" s="1">
        <v>0</v>
      </c>
      <c r="U214" s="62">
        <f t="shared" si="2"/>
        <v>-0.11000000000000006</v>
      </c>
      <c r="V214" s="1">
        <f t="shared" si="3"/>
        <v>0.12667867337010241</v>
      </c>
      <c r="X214" s="39" t="s">
        <v>98</v>
      </c>
      <c r="Y214" s="62">
        <f>($T$203*-2)+$T$201</f>
        <v>-7.3080876123711766E-2</v>
      </c>
      <c r="Z214" s="1">
        <v>0</v>
      </c>
    </row>
    <row r="215" spans="2:26">
      <c r="B215" s="63">
        <v>593.21</v>
      </c>
      <c r="C215" s="63">
        <v>594.32000000000005</v>
      </c>
      <c r="D215" s="63">
        <v>585.84</v>
      </c>
      <c r="E215" s="63">
        <v>586.27</v>
      </c>
      <c r="F215" s="63">
        <v>6368542</v>
      </c>
      <c r="G215" s="63" t="s">
        <v>166</v>
      </c>
      <c r="H215" s="25">
        <f t="shared" si="1"/>
        <v>1.1837549252051272E-2</v>
      </c>
      <c r="J215" s="63">
        <v>114.04</v>
      </c>
      <c r="K215" s="63">
        <v>116.35</v>
      </c>
      <c r="L215" s="63">
        <v>105.86</v>
      </c>
      <c r="M215" s="63">
        <v>107.39</v>
      </c>
      <c r="N215" s="63">
        <v>4795577</v>
      </c>
      <c r="O215" s="63" t="s">
        <v>166</v>
      </c>
      <c r="P215" s="25">
        <f t="shared" si="0"/>
        <v>6.1923829034360889E-2</v>
      </c>
      <c r="R215" s="62">
        <v>-0.10250000000000005</v>
      </c>
      <c r="S215" s="1">
        <v>0</v>
      </c>
      <c r="U215" s="62">
        <f t="shared" si="2"/>
        <v>-0.10750000000000005</v>
      </c>
      <c r="V215" s="1">
        <f t="shared" si="3"/>
        <v>0.15374449669223259</v>
      </c>
      <c r="X215" s="40"/>
      <c r="Y215" s="62">
        <f>($T$203*-2)+$T$201</f>
        <v>-7.3080876123711766E-2</v>
      </c>
      <c r="Z215" s="1">
        <v>2</v>
      </c>
    </row>
    <row r="216" spans="2:26">
      <c r="B216" s="63">
        <v>584.27</v>
      </c>
      <c r="C216" s="63">
        <v>586.46</v>
      </c>
      <c r="D216" s="63">
        <v>582.65</v>
      </c>
      <c r="E216" s="63">
        <v>584.92999999999995</v>
      </c>
      <c r="F216" s="63">
        <v>4807277</v>
      </c>
      <c r="G216" s="63" t="s">
        <v>167</v>
      </c>
      <c r="H216" s="25">
        <f t="shared" si="1"/>
        <v>-1.1283401432649054E-3</v>
      </c>
      <c r="J216" s="63">
        <v>110.86</v>
      </c>
      <c r="K216" s="63">
        <v>111.22</v>
      </c>
      <c r="L216" s="63">
        <v>105</v>
      </c>
      <c r="M216" s="63">
        <v>105.84</v>
      </c>
      <c r="N216" s="63">
        <v>3461832</v>
      </c>
      <c r="O216" s="63" t="s">
        <v>167</v>
      </c>
      <c r="P216" s="25">
        <f t="shared" si="0"/>
        <v>4.7430083144368806E-2</v>
      </c>
      <c r="R216" s="62">
        <v>-0.10000000000000005</v>
      </c>
      <c r="S216" s="1">
        <v>0</v>
      </c>
      <c r="U216" s="62">
        <f t="shared" si="2"/>
        <v>-0.10500000000000005</v>
      </c>
      <c r="V216" s="1">
        <f t="shared" si="3"/>
        <v>0.18578532738814443</v>
      </c>
      <c r="X216" s="41" t="s">
        <v>99</v>
      </c>
      <c r="Y216" s="62">
        <f>($T$203*-1)+$T$201</f>
        <v>-3.5126302474832692E-2</v>
      </c>
      <c r="Z216" s="1">
        <v>0</v>
      </c>
    </row>
    <row r="217" spans="2:26">
      <c r="B217" s="63">
        <v>586.58000000000004</v>
      </c>
      <c r="C217" s="63">
        <v>588</v>
      </c>
      <c r="D217" s="63">
        <v>581.85</v>
      </c>
      <c r="E217" s="63">
        <v>587.80999999999995</v>
      </c>
      <c r="F217" s="63">
        <v>7054266</v>
      </c>
      <c r="G217" s="63" t="s">
        <v>168</v>
      </c>
      <c r="H217" s="25">
        <f t="shared" si="1"/>
        <v>-2.0925128868169995E-3</v>
      </c>
      <c r="J217" s="63">
        <v>105.99</v>
      </c>
      <c r="K217" s="63">
        <v>106.18</v>
      </c>
      <c r="L217" s="63">
        <v>100.06</v>
      </c>
      <c r="M217" s="63">
        <v>104.5</v>
      </c>
      <c r="N217" s="63">
        <v>5496430</v>
      </c>
      <c r="O217" s="63" t="s">
        <v>168</v>
      </c>
      <c r="P217" s="25">
        <f t="shared" si="0"/>
        <v>1.4258373205741526E-2</v>
      </c>
      <c r="R217" s="62">
        <v>-9.7500000000000045E-2</v>
      </c>
      <c r="S217" s="1">
        <v>0</v>
      </c>
      <c r="U217" s="62">
        <f t="shared" si="2"/>
        <v>-0.10250000000000005</v>
      </c>
      <c r="V217" s="1">
        <f t="shared" si="3"/>
        <v>0.223531640622326</v>
      </c>
      <c r="Y217" s="62">
        <f>($T$203*-1)+$T$201</f>
        <v>-3.5126302474832692E-2</v>
      </c>
      <c r="Z217" s="1">
        <v>6.25</v>
      </c>
    </row>
    <row r="218" spans="2:26">
      <c r="B218" s="63">
        <v>588.13</v>
      </c>
      <c r="C218" s="63">
        <v>592.12</v>
      </c>
      <c r="D218" s="63">
        <v>586.94000000000005</v>
      </c>
      <c r="E218" s="63">
        <v>591.25</v>
      </c>
      <c r="F218" s="63">
        <v>6689596</v>
      </c>
      <c r="G218" s="63" t="s">
        <v>169</v>
      </c>
      <c r="H218" s="25">
        <f t="shared" si="1"/>
        <v>-5.2769556025370479E-3</v>
      </c>
      <c r="J218" s="63">
        <v>106.3</v>
      </c>
      <c r="K218" s="63">
        <v>116.735</v>
      </c>
      <c r="L218" s="63">
        <v>104.79</v>
      </c>
      <c r="M218" s="63">
        <v>116.29</v>
      </c>
      <c r="N218" s="63">
        <v>5363005</v>
      </c>
      <c r="O218" s="63" t="s">
        <v>169</v>
      </c>
      <c r="P218" s="25">
        <f t="shared" si="0"/>
        <v>-8.5905924843064807E-2</v>
      </c>
      <c r="R218" s="62">
        <v>-9.5000000000000043E-2</v>
      </c>
      <c r="S218" s="1">
        <v>1</v>
      </c>
      <c r="U218" s="62">
        <f t="shared" si="2"/>
        <v>-0.10000000000000005</v>
      </c>
      <c r="V218" s="1">
        <f t="shared" si="3"/>
        <v>0.26778260356622374</v>
      </c>
      <c r="X218" s="1" t="s">
        <v>100</v>
      </c>
      <c r="Y218" s="62">
        <f>($T$203*1)+$T$201</f>
        <v>4.0782844822925456E-2</v>
      </c>
      <c r="Z218" s="1">
        <v>0</v>
      </c>
    </row>
    <row r="219" spans="2:26" ht="15" customHeight="1">
      <c r="B219" s="63">
        <v>591.36</v>
      </c>
      <c r="C219" s="63">
        <v>592.02</v>
      </c>
      <c r="D219" s="63">
        <v>590.35</v>
      </c>
      <c r="E219" s="63">
        <v>590.98</v>
      </c>
      <c r="F219" s="63">
        <v>5311743</v>
      </c>
      <c r="G219" s="63" t="s">
        <v>170</v>
      </c>
      <c r="H219" s="25">
        <f t="shared" si="1"/>
        <v>6.4299976310544515E-4</v>
      </c>
      <c r="J219" s="63">
        <v>118.74</v>
      </c>
      <c r="K219" s="63">
        <v>119.5</v>
      </c>
      <c r="L219" s="63">
        <v>114.14</v>
      </c>
      <c r="M219" s="63">
        <v>116.42</v>
      </c>
      <c r="N219" s="63">
        <v>2974360</v>
      </c>
      <c r="O219" s="63" t="s">
        <v>170</v>
      </c>
      <c r="P219" s="25">
        <f t="shared" si="0"/>
        <v>1.9927847448891978E-2</v>
      </c>
      <c r="R219" s="62">
        <v>-9.2500000000000041E-2</v>
      </c>
      <c r="S219" s="1">
        <v>0</v>
      </c>
      <c r="U219" s="62">
        <f t="shared" ref="U219:U226" si="4">U220-0.0025</f>
        <v>-9.7500000000000045E-2</v>
      </c>
      <c r="V219" s="1">
        <f t="shared" si="3"/>
        <v>0.31940482646548973</v>
      </c>
      <c r="Y219" s="62">
        <f>($T$203*1)+$T$201</f>
        <v>4.0782844822925456E-2</v>
      </c>
      <c r="Z219" s="1">
        <v>6.25</v>
      </c>
    </row>
    <row r="220" spans="2:26">
      <c r="B220" s="63">
        <v>591.57000000000005</v>
      </c>
      <c r="C220" s="63">
        <v>593.95000000000005</v>
      </c>
      <c r="D220" s="63">
        <v>590.66</v>
      </c>
      <c r="E220" s="63">
        <v>593.86</v>
      </c>
      <c r="F220" s="63">
        <v>7196315</v>
      </c>
      <c r="G220" s="63" t="s">
        <v>171</v>
      </c>
      <c r="H220" s="25">
        <f t="shared" si="1"/>
        <v>-3.8561277068668298E-3</v>
      </c>
      <c r="J220" s="63">
        <v>116.74</v>
      </c>
      <c r="K220" s="63">
        <v>116.77</v>
      </c>
      <c r="L220" s="63">
        <v>112.51</v>
      </c>
      <c r="M220" s="63">
        <v>116.69</v>
      </c>
      <c r="N220" s="63">
        <v>2936858</v>
      </c>
      <c r="O220" s="63" t="s">
        <v>171</v>
      </c>
      <c r="P220" s="25">
        <f t="shared" si="0"/>
        <v>4.2848573142517665E-4</v>
      </c>
      <c r="R220" s="62">
        <v>-9.0000000000000038E-2</v>
      </c>
      <c r="S220" s="1">
        <v>0</v>
      </c>
      <c r="U220" s="62">
        <f t="shared" si="4"/>
        <v>-9.5000000000000043E-2</v>
      </c>
      <c r="V220" s="1">
        <f t="shared" si="3"/>
        <v>0.37932926504354331</v>
      </c>
      <c r="X220" s="42" t="s">
        <v>101</v>
      </c>
      <c r="Y220" s="62">
        <f>($T$203*2)+$T$201</f>
        <v>7.8737418471804529E-2</v>
      </c>
      <c r="Z220" s="1">
        <v>0</v>
      </c>
    </row>
    <row r="221" spans="2:26">
      <c r="B221" s="63">
        <v>592.85</v>
      </c>
      <c r="C221" s="63">
        <v>593.51</v>
      </c>
      <c r="D221" s="63">
        <v>590.5</v>
      </c>
      <c r="E221" s="63">
        <v>590.91999999999996</v>
      </c>
      <c r="F221" s="63">
        <v>6236666</v>
      </c>
      <c r="G221" s="63" t="s">
        <v>172</v>
      </c>
      <c r="H221" s="25">
        <f t="shared" si="1"/>
        <v>3.2660935490422816E-3</v>
      </c>
      <c r="J221" s="63">
        <v>117.33</v>
      </c>
      <c r="K221" s="63">
        <v>120.46</v>
      </c>
      <c r="L221" s="63">
        <v>114.57</v>
      </c>
      <c r="M221" s="63">
        <v>119.45</v>
      </c>
      <c r="N221" s="63">
        <v>4400763</v>
      </c>
      <c r="O221" s="63" t="s">
        <v>172</v>
      </c>
      <c r="P221" s="25">
        <f t="shared" si="0"/>
        <v>-1.7748011720385093E-2</v>
      </c>
      <c r="R221" s="62">
        <v>-8.7500000000000036E-2</v>
      </c>
      <c r="S221" s="1">
        <v>1</v>
      </c>
      <c r="U221" s="62">
        <f t="shared" si="4"/>
        <v>-9.2500000000000041E-2</v>
      </c>
      <c r="V221" s="1">
        <f t="shared" si="3"/>
        <v>0.44854599708668619</v>
      </c>
      <c r="Y221" s="62">
        <f>($T$203*2)+$T$201</f>
        <v>7.8737418471804529E-2</v>
      </c>
      <c r="Z221" s="1">
        <v>2</v>
      </c>
    </row>
    <row r="222" spans="2:26">
      <c r="B222" s="63">
        <v>592.84</v>
      </c>
      <c r="C222" s="63">
        <v>594.03</v>
      </c>
      <c r="D222" s="63">
        <v>590.80999999999995</v>
      </c>
      <c r="E222" s="63">
        <v>592.86</v>
      </c>
      <c r="F222" s="63">
        <v>5392973</v>
      </c>
      <c r="G222" s="63" t="s">
        <v>173</v>
      </c>
      <c r="H222" s="25">
        <f t="shared" si="1"/>
        <v>-3.3734777181715359E-5</v>
      </c>
      <c r="J222" s="63">
        <v>121.13</v>
      </c>
      <c r="K222" s="63">
        <v>128.56</v>
      </c>
      <c r="L222" s="63">
        <v>116.27</v>
      </c>
      <c r="M222" s="63">
        <v>128.4</v>
      </c>
      <c r="N222" s="63">
        <v>4676919</v>
      </c>
      <c r="O222" s="63" t="s">
        <v>173</v>
      </c>
      <c r="P222" s="25">
        <f t="shared" si="0"/>
        <v>-5.6619937694704081E-2</v>
      </c>
      <c r="R222" s="62">
        <v>-8.5000000000000034E-2</v>
      </c>
      <c r="S222" s="1">
        <v>2</v>
      </c>
      <c r="U222" s="62">
        <f t="shared" si="4"/>
        <v>-9.0000000000000038E-2</v>
      </c>
      <c r="V222" s="1">
        <f t="shared" si="3"/>
        <v>0.52809661234164729</v>
      </c>
      <c r="X222" s="42" t="s">
        <v>102</v>
      </c>
      <c r="Y222" s="62">
        <f>($T$203*3)+$T$201</f>
        <v>0.1166919921206836</v>
      </c>
      <c r="Z222" s="1">
        <v>0</v>
      </c>
    </row>
    <row r="223" spans="2:26">
      <c r="B223" s="63">
        <v>590.78</v>
      </c>
      <c r="C223" s="63">
        <v>590.96</v>
      </c>
      <c r="D223" s="63">
        <v>585.43499999999995</v>
      </c>
      <c r="E223" s="63">
        <v>586.75</v>
      </c>
      <c r="F223" s="63">
        <v>5874245</v>
      </c>
      <c r="G223" s="63" t="s">
        <v>174</v>
      </c>
      <c r="H223" s="25">
        <f t="shared" si="1"/>
        <v>6.8683425649764818E-3</v>
      </c>
      <c r="J223" s="63">
        <v>125.38</v>
      </c>
      <c r="K223" s="63">
        <v>125.44</v>
      </c>
      <c r="L223" s="63">
        <v>117.22499999999999</v>
      </c>
      <c r="M223" s="63">
        <v>119.18</v>
      </c>
      <c r="N223" s="63">
        <v>3235989</v>
      </c>
      <c r="O223" s="63" t="s">
        <v>174</v>
      </c>
      <c r="P223" s="25">
        <f t="shared" si="0"/>
        <v>5.202215136767907E-2</v>
      </c>
      <c r="R223" s="62">
        <v>-8.2500000000000032E-2</v>
      </c>
      <c r="S223" s="1">
        <v>2</v>
      </c>
      <c r="U223" s="62">
        <f t="shared" si="4"/>
        <v>-8.7500000000000036E-2</v>
      </c>
      <c r="V223" s="1">
        <f t="shared" si="3"/>
        <v>0.61906398411016172</v>
      </c>
      <c r="X223" s="42"/>
      <c r="Y223" s="62">
        <f>($T$203*3)+$T$201</f>
        <v>0.1166919921206836</v>
      </c>
      <c r="Z223" s="1">
        <v>1</v>
      </c>
    </row>
    <row r="224" spans="2:26">
      <c r="B224" s="63">
        <v>584.54</v>
      </c>
      <c r="C224" s="63">
        <v>587.36</v>
      </c>
      <c r="D224" s="63">
        <v>583.44000000000005</v>
      </c>
      <c r="E224" s="63">
        <v>586.03</v>
      </c>
      <c r="F224" s="63">
        <v>5373949</v>
      </c>
      <c r="G224" s="63" t="s">
        <v>175</v>
      </c>
      <c r="H224" s="25">
        <f t="shared" si="1"/>
        <v>-2.542531952289151E-3</v>
      </c>
      <c r="J224" s="63">
        <v>118.57</v>
      </c>
      <c r="K224" s="63">
        <v>122.79989999999999</v>
      </c>
      <c r="L224" s="63">
        <v>117.5</v>
      </c>
      <c r="M224" s="63">
        <v>119.71</v>
      </c>
      <c r="N224" s="63">
        <v>2358157</v>
      </c>
      <c r="O224" s="63" t="s">
        <v>175</v>
      </c>
      <c r="P224" s="25">
        <f t="shared" si="0"/>
        <v>-9.5230139503801325E-3</v>
      </c>
      <c r="R224" s="62">
        <v>-8.0000000000000029E-2</v>
      </c>
      <c r="S224" s="1">
        <v>3</v>
      </c>
      <c r="U224" s="62">
        <f t="shared" si="4"/>
        <v>-8.5000000000000034E-2</v>
      </c>
      <c r="V224" s="1">
        <f t="shared" si="3"/>
        <v>0.72255923436585856</v>
      </c>
    </row>
    <row r="225" spans="2:22">
      <c r="B225" s="63">
        <v>585.74</v>
      </c>
      <c r="C225" s="63">
        <v>586.16999999999996</v>
      </c>
      <c r="D225" s="63">
        <v>582.6</v>
      </c>
      <c r="E225" s="63">
        <v>582.92999999999995</v>
      </c>
      <c r="F225" s="63">
        <v>4342341</v>
      </c>
      <c r="G225" s="63" t="s">
        <v>176</v>
      </c>
      <c r="H225" s="25">
        <f t="shared" si="1"/>
        <v>4.8204758718886076E-3</v>
      </c>
      <c r="J225" s="63">
        <v>120.41</v>
      </c>
      <c r="K225" s="63">
        <v>121.05</v>
      </c>
      <c r="L225" s="63">
        <v>118.11</v>
      </c>
      <c r="M225" s="63">
        <v>120.9</v>
      </c>
      <c r="N225" s="63">
        <v>2921743</v>
      </c>
      <c r="O225" s="63" t="s">
        <v>176</v>
      </c>
      <c r="P225" s="25">
        <f t="shared" si="0"/>
        <v>-4.0529363110008987E-3</v>
      </c>
      <c r="R225" s="62">
        <v>-7.7500000000000027E-2</v>
      </c>
      <c r="S225" s="1">
        <v>0</v>
      </c>
      <c r="U225" s="62">
        <f t="shared" si="4"/>
        <v>-8.2500000000000032E-2</v>
      </c>
      <c r="V225" s="1">
        <f t="shared" si="3"/>
        <v>0.83970576262658669</v>
      </c>
    </row>
    <row r="226" spans="2:22">
      <c r="B226" s="63">
        <v>581.29</v>
      </c>
      <c r="C226" s="63">
        <v>585.52</v>
      </c>
      <c r="D226" s="63">
        <v>578.31269999999995</v>
      </c>
      <c r="E226" s="63">
        <v>584.87</v>
      </c>
      <c r="F226" s="63">
        <v>4594260</v>
      </c>
      <c r="G226" s="63" t="s">
        <v>177</v>
      </c>
      <c r="H226" s="25">
        <f t="shared" si="1"/>
        <v>-6.1210183459572409E-3</v>
      </c>
      <c r="J226" s="63">
        <v>119.78</v>
      </c>
      <c r="K226" s="63">
        <v>121.4956</v>
      </c>
      <c r="L226" s="63">
        <v>116.2</v>
      </c>
      <c r="M226" s="63">
        <v>119.8</v>
      </c>
      <c r="N226" s="63">
        <v>3133149</v>
      </c>
      <c r="O226" s="63" t="s">
        <v>177</v>
      </c>
      <c r="P226" s="25">
        <f t="shared" si="0"/>
        <v>-1.6694490818025542E-4</v>
      </c>
      <c r="R226" s="62">
        <v>-7.5000000000000025E-2</v>
      </c>
      <c r="S226" s="1">
        <v>0</v>
      </c>
      <c r="U226" s="62">
        <f t="shared" si="4"/>
        <v>-8.0000000000000029E-2</v>
      </c>
      <c r="V226" s="1">
        <f t="shared" si="3"/>
        <v>0.97162028241105869</v>
      </c>
    </row>
    <row r="227" spans="2:22">
      <c r="B227" s="63">
        <v>581.64</v>
      </c>
      <c r="C227" s="63">
        <v>582.27</v>
      </c>
      <c r="D227" s="63">
        <v>577.41</v>
      </c>
      <c r="E227" s="63">
        <v>578.25</v>
      </c>
      <c r="F227" s="63">
        <v>4545015</v>
      </c>
      <c r="G227" s="63" t="s">
        <v>178</v>
      </c>
      <c r="H227" s="25">
        <f t="shared" si="1"/>
        <v>5.8625162127108332E-3</v>
      </c>
      <c r="J227" s="63">
        <v>117.34</v>
      </c>
      <c r="K227" s="63">
        <v>118.41</v>
      </c>
      <c r="L227" s="63">
        <v>110.1</v>
      </c>
      <c r="M227" s="63">
        <v>111.17</v>
      </c>
      <c r="N227" s="63">
        <v>4519108</v>
      </c>
      <c r="O227" s="63" t="s">
        <v>178</v>
      </c>
      <c r="P227" s="25">
        <f t="shared" si="0"/>
        <v>5.5500584690114207E-2</v>
      </c>
      <c r="R227" s="62">
        <v>-7.2500000000000023E-2</v>
      </c>
      <c r="S227" s="1">
        <v>6</v>
      </c>
      <c r="U227" s="62">
        <f t="shared" ref="U227:U256" si="5">U228-0.0025</f>
        <v>-7.7500000000000027E-2</v>
      </c>
      <c r="V227" s="1">
        <f t="shared" si="3"/>
        <v>1.1193908974417914</v>
      </c>
    </row>
    <row r="228" spans="2:22">
      <c r="B228" s="63">
        <v>577.35</v>
      </c>
      <c r="C228" s="63">
        <v>581.5</v>
      </c>
      <c r="D228" s="63">
        <v>576.4</v>
      </c>
      <c r="E228" s="63">
        <v>580.79</v>
      </c>
      <c r="F228" s="63">
        <v>4647381</v>
      </c>
      <c r="G228" s="63" t="s">
        <v>179</v>
      </c>
      <c r="H228" s="25">
        <f t="shared" si="1"/>
        <v>-5.9229669932332474E-3</v>
      </c>
      <c r="J228" s="63">
        <v>110.29</v>
      </c>
      <c r="K228" s="63">
        <v>115.7</v>
      </c>
      <c r="L228" s="63">
        <v>108.5</v>
      </c>
      <c r="M228" s="63">
        <v>114.98</v>
      </c>
      <c r="N228" s="63">
        <v>3485053</v>
      </c>
      <c r="O228" s="63" t="s">
        <v>179</v>
      </c>
      <c r="P228" s="25">
        <f t="shared" si="0"/>
        <v>-4.0789702556966456E-2</v>
      </c>
      <c r="R228" s="62">
        <v>-7.0000000000000021E-2</v>
      </c>
      <c r="S228" s="1">
        <v>1</v>
      </c>
      <c r="U228" s="62">
        <f t="shared" si="5"/>
        <v>-7.5000000000000025E-2</v>
      </c>
      <c r="V228" s="1">
        <f t="shared" si="3"/>
        <v>1.2840523516114026</v>
      </c>
    </row>
    <row r="229" spans="2:22">
      <c r="B229" s="63">
        <v>580.14</v>
      </c>
      <c r="C229" s="63">
        <v>580.21</v>
      </c>
      <c r="D229" s="63">
        <v>575.08000000000004</v>
      </c>
      <c r="E229" s="63">
        <v>575.16999999999996</v>
      </c>
      <c r="F229" s="63">
        <v>6640089</v>
      </c>
      <c r="G229" s="63" t="s">
        <v>180</v>
      </c>
      <c r="H229" s="25">
        <f t="shared" si="1"/>
        <v>8.6409235530364725E-3</v>
      </c>
      <c r="J229" s="63">
        <v>114.7</v>
      </c>
      <c r="K229" s="63">
        <v>114.9</v>
      </c>
      <c r="L229" s="63">
        <v>107.56</v>
      </c>
      <c r="M229" s="63">
        <v>109.09</v>
      </c>
      <c r="N229" s="63">
        <v>3192349</v>
      </c>
      <c r="O229" s="63" t="s">
        <v>180</v>
      </c>
      <c r="P229" s="25">
        <f t="shared" si="0"/>
        <v>5.1425428545237795E-2</v>
      </c>
      <c r="R229" s="62">
        <v>-6.7500000000000018E-2</v>
      </c>
      <c r="S229" s="1">
        <v>0</v>
      </c>
      <c r="U229" s="62">
        <f t="shared" si="5"/>
        <v>-7.2500000000000023E-2</v>
      </c>
      <c r="V229" s="1">
        <f t="shared" si="3"/>
        <v>1.4665587000591154</v>
      </c>
    </row>
    <row r="230" spans="2:22">
      <c r="B230" s="63">
        <v>571.45000000000005</v>
      </c>
      <c r="C230" s="63">
        <v>575.74</v>
      </c>
      <c r="D230" s="63">
        <v>569.29</v>
      </c>
      <c r="E230" s="63">
        <v>575.73</v>
      </c>
      <c r="F230" s="63">
        <v>8781254</v>
      </c>
      <c r="G230" s="63" t="s">
        <v>181</v>
      </c>
      <c r="H230" s="25">
        <f t="shared" si="1"/>
        <v>-7.4340402619282875E-3</v>
      </c>
      <c r="J230" s="63">
        <v>107.56</v>
      </c>
      <c r="K230" s="63">
        <v>110.11</v>
      </c>
      <c r="L230" s="63">
        <v>102.81</v>
      </c>
      <c r="M230" s="63">
        <v>105.48</v>
      </c>
      <c r="N230" s="63">
        <v>5722736</v>
      </c>
      <c r="O230" s="63" t="s">
        <v>181</v>
      </c>
      <c r="P230" s="25">
        <f t="shared" si="0"/>
        <v>1.9719378081152872E-2</v>
      </c>
      <c r="R230" s="62">
        <v>-6.5000000000000016E-2</v>
      </c>
      <c r="S230" s="1">
        <v>1</v>
      </c>
      <c r="U230" s="62">
        <f t="shared" si="5"/>
        <v>-7.0000000000000021E-2</v>
      </c>
      <c r="V230" s="1">
        <f t="shared" si="3"/>
        <v>1.6677537705979659</v>
      </c>
    </row>
    <row r="231" spans="2:22">
      <c r="B231" s="63">
        <v>581.02</v>
      </c>
      <c r="C231" s="63">
        <v>588.16139999999996</v>
      </c>
      <c r="D231" s="63">
        <v>579.84</v>
      </c>
      <c r="E231" s="63">
        <v>587.83000000000004</v>
      </c>
      <c r="F231" s="63">
        <v>7046843</v>
      </c>
      <c r="G231" s="63" t="s">
        <v>182</v>
      </c>
      <c r="H231" s="25">
        <f t="shared" si="1"/>
        <v>-1.1584982052634363E-2</v>
      </c>
      <c r="J231" s="63">
        <v>111.55</v>
      </c>
      <c r="K231" s="63">
        <v>118.9499</v>
      </c>
      <c r="L231" s="63">
        <v>110.88</v>
      </c>
      <c r="M231" s="63">
        <v>117.97499999999999</v>
      </c>
      <c r="N231" s="63">
        <v>5513443</v>
      </c>
      <c r="O231" s="63" t="s">
        <v>182</v>
      </c>
      <c r="P231" s="25">
        <f t="shared" si="0"/>
        <v>-5.446069082432714E-2</v>
      </c>
      <c r="R231" s="62">
        <v>-6.2500000000000014E-2</v>
      </c>
      <c r="S231" s="1">
        <v>2</v>
      </c>
      <c r="U231" s="62">
        <f t="shared" si="5"/>
        <v>-6.7500000000000018E-2</v>
      </c>
      <c r="V231" s="1">
        <f t="shared" si="3"/>
        <v>1.8883399114273456</v>
      </c>
    </row>
    <row r="232" spans="2:22">
      <c r="B232" s="63">
        <v>583.21</v>
      </c>
      <c r="C232" s="63">
        <v>586.15</v>
      </c>
      <c r="D232" s="63">
        <v>580.54999999999995</v>
      </c>
      <c r="E232" s="63">
        <v>584.66</v>
      </c>
      <c r="F232" s="63">
        <v>6974729</v>
      </c>
      <c r="G232" s="63" t="s">
        <v>183</v>
      </c>
      <c r="H232" s="25">
        <f t="shared" si="1"/>
        <v>-2.4800738890977669E-3</v>
      </c>
      <c r="J232" s="63">
        <v>116.01</v>
      </c>
      <c r="K232" s="63">
        <v>116.59910000000001</v>
      </c>
      <c r="L232" s="63">
        <v>111.25</v>
      </c>
      <c r="M232" s="63">
        <v>111.98</v>
      </c>
      <c r="N232" s="63">
        <v>4712814</v>
      </c>
      <c r="O232" s="63" t="s">
        <v>183</v>
      </c>
      <c r="P232" s="25">
        <f t="shared" si="0"/>
        <v>3.5988569387390701E-2</v>
      </c>
      <c r="R232" s="62">
        <v>-6.0000000000000019E-2</v>
      </c>
      <c r="S232" s="1">
        <v>3</v>
      </c>
      <c r="U232" s="62">
        <f t="shared" si="5"/>
        <v>-6.5000000000000016E-2</v>
      </c>
      <c r="V232" s="1">
        <f t="shared" si="3"/>
        <v>2.1288456480047815</v>
      </c>
    </row>
    <row r="233" spans="2:22">
      <c r="B233" s="63">
        <v>583.91999999999996</v>
      </c>
      <c r="C233" s="63">
        <v>587.08000000000004</v>
      </c>
      <c r="D233" s="63">
        <v>583.12</v>
      </c>
      <c r="E233" s="63">
        <v>586.82000000000005</v>
      </c>
      <c r="F233" s="63">
        <v>5033308</v>
      </c>
      <c r="G233" s="63" t="s">
        <v>184</v>
      </c>
      <c r="H233" s="25">
        <f t="shared" si="1"/>
        <v>-4.9418901877920085E-3</v>
      </c>
      <c r="J233" s="63">
        <v>109.38</v>
      </c>
      <c r="K233" s="63">
        <v>112.67</v>
      </c>
      <c r="L233" s="63">
        <v>108.52</v>
      </c>
      <c r="M233" s="63">
        <v>110</v>
      </c>
      <c r="N233" s="63">
        <v>4551457</v>
      </c>
      <c r="O233" s="63" t="s">
        <v>184</v>
      </c>
      <c r="P233" s="25">
        <f t="shared" si="0"/>
        <v>-5.6363636363636616E-3</v>
      </c>
      <c r="R233" s="62">
        <v>-5.7500000000000016E-2</v>
      </c>
      <c r="S233" s="1">
        <v>2</v>
      </c>
      <c r="U233" s="62">
        <f t="shared" si="5"/>
        <v>-6.2500000000000014E-2</v>
      </c>
      <c r="V233" s="1">
        <f t="shared" si="3"/>
        <v>2.389592993900965</v>
      </c>
    </row>
    <row r="234" spans="2:22">
      <c r="B234" s="63">
        <v>585.44000000000005</v>
      </c>
      <c r="C234" s="63">
        <v>586.5</v>
      </c>
      <c r="D234" s="63">
        <v>584.24</v>
      </c>
      <c r="E234" s="63">
        <v>586.04</v>
      </c>
      <c r="F234" s="63">
        <v>4169858</v>
      </c>
      <c r="G234" s="63" t="s">
        <v>185</v>
      </c>
      <c r="H234" s="25">
        <f t="shared" si="1"/>
        <v>-1.0238208995971831E-3</v>
      </c>
      <c r="J234" s="63">
        <v>107.95</v>
      </c>
      <c r="K234" s="63">
        <v>108.04</v>
      </c>
      <c r="L234" s="63">
        <v>103.42</v>
      </c>
      <c r="M234" s="63">
        <v>104.63</v>
      </c>
      <c r="N234" s="63">
        <v>4455350</v>
      </c>
      <c r="O234" s="63" t="s">
        <v>185</v>
      </c>
      <c r="P234" s="25">
        <f t="shared" si="0"/>
        <v>3.1730861129695143E-2</v>
      </c>
      <c r="R234" s="62">
        <v>-5.5000000000000014E-2</v>
      </c>
      <c r="S234" s="1">
        <v>3</v>
      </c>
      <c r="U234" s="62">
        <f t="shared" si="5"/>
        <v>-6.0000000000000019E-2</v>
      </c>
      <c r="V234" s="1">
        <f t="shared" si="3"/>
        <v>2.6706652716773576</v>
      </c>
    </row>
    <row r="235" spans="2:22">
      <c r="B235" s="63">
        <v>585.58000000000004</v>
      </c>
      <c r="C235" s="63">
        <v>586.04</v>
      </c>
      <c r="D235" s="63">
        <v>583.59</v>
      </c>
      <c r="E235" s="63">
        <v>583.80999999999995</v>
      </c>
      <c r="F235" s="63">
        <v>3189061</v>
      </c>
      <c r="G235" s="63" t="s">
        <v>186</v>
      </c>
      <c r="H235" s="25">
        <f t="shared" si="1"/>
        <v>3.0318082937943469E-3</v>
      </c>
      <c r="J235" s="63">
        <v>101.22</v>
      </c>
      <c r="K235" s="63">
        <v>102.92</v>
      </c>
      <c r="L235" s="63">
        <v>99.8</v>
      </c>
      <c r="M235" s="63">
        <v>100.15</v>
      </c>
      <c r="N235" s="63">
        <v>2300842</v>
      </c>
      <c r="O235" s="63" t="s">
        <v>186</v>
      </c>
      <c r="P235" s="25">
        <f t="shared" si="0"/>
        <v>1.0683974038941502E-2</v>
      </c>
      <c r="R235" s="62">
        <v>-5.2500000000000012E-2</v>
      </c>
      <c r="S235" s="1">
        <v>9</v>
      </c>
      <c r="U235" s="62">
        <f t="shared" si="5"/>
        <v>-5.7500000000000016E-2</v>
      </c>
      <c r="V235" s="1">
        <f t="shared" si="3"/>
        <v>2.9718763942684947</v>
      </c>
    </row>
    <row r="236" spans="2:22">
      <c r="B236" s="63">
        <v>583.26</v>
      </c>
      <c r="C236" s="63">
        <v>584.75</v>
      </c>
      <c r="D236" s="63">
        <v>582.72</v>
      </c>
      <c r="E236" s="63">
        <v>583.34</v>
      </c>
      <c r="F236" s="63">
        <v>3840901</v>
      </c>
      <c r="G236" s="63" t="s">
        <v>187</v>
      </c>
      <c r="H236" s="25">
        <f t="shared" si="1"/>
        <v>-1.3714128981390239E-4</v>
      </c>
      <c r="J236" s="63">
        <v>101.17</v>
      </c>
      <c r="K236" s="63">
        <v>102.29</v>
      </c>
      <c r="L236" s="63">
        <v>97.212199999999996</v>
      </c>
      <c r="M236" s="63">
        <v>99.9</v>
      </c>
      <c r="N236" s="63">
        <v>4193343</v>
      </c>
      <c r="O236" s="63" t="s">
        <v>187</v>
      </c>
      <c r="P236" s="25">
        <f t="shared" si="0"/>
        <v>1.2712712712712682E-2</v>
      </c>
      <c r="R236" s="62">
        <v>-5.000000000000001E-2</v>
      </c>
      <c r="S236" s="1">
        <v>5</v>
      </c>
      <c r="U236" s="62">
        <f t="shared" si="5"/>
        <v>-5.5000000000000014E-2</v>
      </c>
      <c r="V236" s="1">
        <f t="shared" si="3"/>
        <v>3.2927426289569595</v>
      </c>
    </row>
    <row r="237" spans="2:22">
      <c r="B237" s="63">
        <v>582.86</v>
      </c>
      <c r="C237" s="63">
        <v>582.96</v>
      </c>
      <c r="D237" s="63">
        <v>578.87</v>
      </c>
      <c r="E237" s="63">
        <v>580.57000000000005</v>
      </c>
      <c r="F237" s="63">
        <v>4257345</v>
      </c>
      <c r="G237" s="63" t="s">
        <v>188</v>
      </c>
      <c r="H237" s="25">
        <f t="shared" si="1"/>
        <v>3.9443994694867701E-3</v>
      </c>
      <c r="J237" s="63">
        <v>98.41</v>
      </c>
      <c r="K237" s="63">
        <v>98.45</v>
      </c>
      <c r="L237" s="63">
        <v>92.5</v>
      </c>
      <c r="M237" s="63">
        <v>92.84</v>
      </c>
      <c r="N237" s="63">
        <v>4447114</v>
      </c>
      <c r="O237" s="63" t="s">
        <v>188</v>
      </c>
      <c r="P237" s="25">
        <f t="shared" si="0"/>
        <v>5.9995691512279015E-2</v>
      </c>
      <c r="R237" s="62">
        <v>-4.7500000000000007E-2</v>
      </c>
      <c r="S237" s="1">
        <v>4</v>
      </c>
      <c r="U237" s="62">
        <f t="shared" si="5"/>
        <v>-5.2500000000000012E-2</v>
      </c>
      <c r="V237" s="1">
        <f t="shared" si="3"/>
        <v>3.6324579090085636</v>
      </c>
    </row>
    <row r="238" spans="2:22">
      <c r="B238" s="63">
        <v>577.95000000000005</v>
      </c>
      <c r="C238" s="63">
        <v>578.84</v>
      </c>
      <c r="D238" s="63">
        <v>575.64</v>
      </c>
      <c r="E238" s="63">
        <v>578.28</v>
      </c>
      <c r="F238" s="63">
        <v>4743679</v>
      </c>
      <c r="G238" s="63" t="s">
        <v>189</v>
      </c>
      <c r="H238" s="25">
        <f t="shared" si="1"/>
        <v>-5.7065781282406025E-4</v>
      </c>
      <c r="J238" s="63">
        <v>92.93</v>
      </c>
      <c r="K238" s="63">
        <v>95.297799999999995</v>
      </c>
      <c r="L238" s="63">
        <v>88.42</v>
      </c>
      <c r="M238" s="63">
        <v>93.22</v>
      </c>
      <c r="N238" s="63">
        <v>4816053</v>
      </c>
      <c r="O238" s="63" t="s">
        <v>189</v>
      </c>
      <c r="P238" s="25">
        <f t="shared" si="0"/>
        <v>-3.1109204033468174E-3</v>
      </c>
      <c r="R238" s="62">
        <v>-4.5000000000000005E-2</v>
      </c>
      <c r="S238" s="1">
        <v>6</v>
      </c>
      <c r="U238" s="62">
        <f t="shared" si="5"/>
        <v>-5.000000000000001E-2</v>
      </c>
      <c r="V238" s="1">
        <f t="shared" si="3"/>
        <v>3.9898737671989575</v>
      </c>
    </row>
    <row r="239" spans="2:22">
      <c r="B239" s="63">
        <v>577.95000000000005</v>
      </c>
      <c r="C239" s="63">
        <v>580.53</v>
      </c>
      <c r="D239" s="63">
        <v>577.59</v>
      </c>
      <c r="E239" s="63">
        <v>577.98</v>
      </c>
      <c r="F239" s="63">
        <v>5892207</v>
      </c>
      <c r="G239" s="63" t="s">
        <v>190</v>
      </c>
      <c r="H239" s="25">
        <f t="shared" si="1"/>
        <v>-5.1904910204458865E-5</v>
      </c>
      <c r="J239" s="63">
        <v>95.74</v>
      </c>
      <c r="K239" s="63">
        <v>98.43</v>
      </c>
      <c r="L239" s="63">
        <v>92.91</v>
      </c>
      <c r="M239" s="63">
        <v>93.275000000000006</v>
      </c>
      <c r="N239" s="63">
        <v>4502663</v>
      </c>
      <c r="O239" s="63" t="s">
        <v>190</v>
      </c>
      <c r="P239" s="25">
        <f t="shared" si="0"/>
        <v>2.6427231305280019E-2</v>
      </c>
      <c r="R239" s="62">
        <v>-4.2500000000000003E-2</v>
      </c>
      <c r="S239" s="1">
        <v>7</v>
      </c>
      <c r="U239" s="62">
        <f t="shared" si="5"/>
        <v>-4.7500000000000007E-2</v>
      </c>
      <c r="V239" s="1">
        <f t="shared" si="3"/>
        <v>4.3634849365533244</v>
      </c>
    </row>
    <row r="240" spans="2:22">
      <c r="B240" s="63">
        <v>576.91999999999996</v>
      </c>
      <c r="C240" s="63">
        <v>578.5</v>
      </c>
      <c r="D240" s="63">
        <v>575.84</v>
      </c>
      <c r="E240" s="63">
        <v>578.47</v>
      </c>
      <c r="F240" s="63">
        <v>4244147</v>
      </c>
      <c r="G240" s="63" t="s">
        <v>191</v>
      </c>
      <c r="H240" s="25">
        <f t="shared" si="1"/>
        <v>-2.6794820820441601E-3</v>
      </c>
      <c r="J240" s="63">
        <v>93.47</v>
      </c>
      <c r="K240" s="63">
        <v>98.43</v>
      </c>
      <c r="L240" s="63">
        <v>91.15</v>
      </c>
      <c r="M240" s="63">
        <v>98.43</v>
      </c>
      <c r="N240" s="63">
        <v>7159445</v>
      </c>
      <c r="O240" s="63" t="s">
        <v>191</v>
      </c>
      <c r="P240" s="25">
        <f t="shared" si="0"/>
        <v>-5.0391140912323551E-2</v>
      </c>
      <c r="R240" s="62">
        <v>-0.04</v>
      </c>
      <c r="S240" s="1">
        <v>8</v>
      </c>
      <c r="U240" s="62">
        <f t="shared" si="5"/>
        <v>-4.5000000000000005E-2</v>
      </c>
      <c r="V240" s="1">
        <f t="shared" si="3"/>
        <v>4.7514215936314201</v>
      </c>
    </row>
    <row r="241" spans="2:22">
      <c r="B241" s="63">
        <v>577.17999999999995</v>
      </c>
      <c r="C241" s="63">
        <v>577.65</v>
      </c>
      <c r="D241" s="63">
        <v>573.79999999999995</v>
      </c>
      <c r="E241" s="63">
        <v>574.02</v>
      </c>
      <c r="F241" s="63">
        <v>5391575</v>
      </c>
      <c r="G241" s="63" t="s">
        <v>192</v>
      </c>
      <c r="H241" s="25">
        <f t="shared" si="1"/>
        <v>5.5050346677816275E-3</v>
      </c>
      <c r="J241" s="63">
        <v>98.45</v>
      </c>
      <c r="K241" s="63">
        <v>104.35</v>
      </c>
      <c r="L241" s="63">
        <v>97.68</v>
      </c>
      <c r="M241" s="63">
        <v>101.78</v>
      </c>
      <c r="N241" s="63">
        <v>4854144</v>
      </c>
      <c r="O241" s="63" t="s">
        <v>192</v>
      </c>
      <c r="P241" s="25">
        <f t="shared" si="0"/>
        <v>-3.2717626252701915E-2</v>
      </c>
      <c r="R241" s="62">
        <v>-3.7499999999999999E-2</v>
      </c>
      <c r="S241" s="1">
        <v>5</v>
      </c>
      <c r="U241" s="62">
        <f t="shared" si="5"/>
        <v>-4.2500000000000003E-2</v>
      </c>
      <c r="V241" s="1">
        <f t="shared" si="3"/>
        <v>5.1514491071541446</v>
      </c>
    </row>
    <row r="242" spans="2:22">
      <c r="B242" s="63">
        <v>573.74</v>
      </c>
      <c r="C242" s="63">
        <v>574.26</v>
      </c>
      <c r="D242" s="63">
        <v>568.16999999999996</v>
      </c>
      <c r="E242" s="63">
        <v>573.4</v>
      </c>
      <c r="F242" s="63">
        <v>6119852</v>
      </c>
      <c r="G242" s="63" t="s">
        <v>193</v>
      </c>
      <c r="H242" s="25">
        <f t="shared" si="1"/>
        <v>5.9295430763861567E-4</v>
      </c>
      <c r="J242" s="63">
        <v>101.19</v>
      </c>
      <c r="K242" s="63">
        <v>103.38</v>
      </c>
      <c r="L242" s="63">
        <v>98.311899999999994</v>
      </c>
      <c r="M242" s="63">
        <v>102.5</v>
      </c>
      <c r="N242" s="63">
        <v>3985732</v>
      </c>
      <c r="O242" s="63" t="s">
        <v>193</v>
      </c>
      <c r="P242" s="25">
        <f t="shared" si="0"/>
        <v>-1.278048780487806E-2</v>
      </c>
      <c r="R242" s="62">
        <v>-3.4999999999999996E-2</v>
      </c>
      <c r="S242" s="1">
        <v>13</v>
      </c>
      <c r="U242" s="62">
        <f t="shared" si="5"/>
        <v>-0.04</v>
      </c>
      <c r="V242" s="1">
        <f t="shared" ref="V242:V273" si="6">_xlfn.NORM.DIST(U242,$T$201,$T$203,FALSE)</f>
        <v>5.5609759999914568</v>
      </c>
    </row>
    <row r="243" spans="2:22">
      <c r="B243" s="63">
        <v>571.86</v>
      </c>
      <c r="C243" s="63">
        <v>577.16</v>
      </c>
      <c r="D243" s="63">
        <v>571.85</v>
      </c>
      <c r="E243" s="63">
        <v>576.85</v>
      </c>
      <c r="F243" s="63">
        <v>5338268</v>
      </c>
      <c r="G243" s="63" t="s">
        <v>194</v>
      </c>
      <c r="H243" s="25">
        <f t="shared" si="1"/>
        <v>-8.6504290543468754E-3</v>
      </c>
      <c r="J243" s="63">
        <v>102.59</v>
      </c>
      <c r="K243" s="63">
        <v>103.18</v>
      </c>
      <c r="L243" s="63">
        <v>99.495000000000005</v>
      </c>
      <c r="M243" s="63">
        <v>101.9</v>
      </c>
      <c r="N243" s="63">
        <v>3620213</v>
      </c>
      <c r="O243" s="63" t="s">
        <v>194</v>
      </c>
      <c r="P243" s="25">
        <f t="shared" si="0"/>
        <v>6.7713444553483271E-3</v>
      </c>
      <c r="R243" s="62">
        <v>-3.2499999999999994E-2</v>
      </c>
      <c r="S243" s="1">
        <v>16</v>
      </c>
      <c r="U243" s="62">
        <f t="shared" si="5"/>
        <v>-3.7499999999999999E-2</v>
      </c>
      <c r="V243" s="1">
        <f t="shared" si="6"/>
        <v>5.9770706377581595</v>
      </c>
    </row>
    <row r="244" spans="2:22">
      <c r="B244" s="63">
        <v>574.35</v>
      </c>
      <c r="C244" s="63">
        <v>574.67899999999997</v>
      </c>
      <c r="D244" s="63">
        <v>571.58000000000004</v>
      </c>
      <c r="E244" s="63">
        <v>572.85</v>
      </c>
      <c r="F244" s="63">
        <v>4719971</v>
      </c>
      <c r="G244" s="63" t="s">
        <v>195</v>
      </c>
      <c r="H244" s="25">
        <f t="shared" si="1"/>
        <v>2.6184865147944603E-3</v>
      </c>
      <c r="J244" s="63">
        <v>98.7</v>
      </c>
      <c r="K244" s="63">
        <v>100.55</v>
      </c>
      <c r="L244" s="63">
        <v>94.63</v>
      </c>
      <c r="M244" s="63">
        <v>97.16</v>
      </c>
      <c r="N244" s="63">
        <v>3825971</v>
      </c>
      <c r="O244" s="63" t="s">
        <v>195</v>
      </c>
      <c r="P244" s="25">
        <f t="shared" si="0"/>
        <v>1.5850144092219187E-2</v>
      </c>
      <c r="R244" s="62">
        <v>-2.9999999999999995E-2</v>
      </c>
      <c r="S244" s="1">
        <v>9</v>
      </c>
      <c r="U244" s="62">
        <f t="shared" si="5"/>
        <v>-3.4999999999999996E-2</v>
      </c>
      <c r="V244" s="1">
        <f t="shared" si="6"/>
        <v>6.3964869267477669</v>
      </c>
    </row>
    <row r="245" spans="2:22">
      <c r="B245" s="63">
        <v>573.22</v>
      </c>
      <c r="C245" s="63">
        <v>574.37570000000005</v>
      </c>
      <c r="D245" s="63">
        <v>571.37</v>
      </c>
      <c r="E245" s="63">
        <v>572.45000000000005</v>
      </c>
      <c r="F245" s="63">
        <v>4414258</v>
      </c>
      <c r="G245" s="63" t="s">
        <v>196</v>
      </c>
      <c r="H245" s="25">
        <f t="shared" si="1"/>
        <v>1.3450956415406168E-3</v>
      </c>
      <c r="J245" s="63">
        <v>98.52</v>
      </c>
      <c r="K245" s="63">
        <v>100.13</v>
      </c>
      <c r="L245" s="63">
        <v>95.3</v>
      </c>
      <c r="M245" s="63">
        <v>95.405000000000001</v>
      </c>
      <c r="N245" s="63">
        <v>3207354</v>
      </c>
      <c r="O245" s="63" t="s">
        <v>196</v>
      </c>
      <c r="P245" s="25">
        <f t="shared" si="0"/>
        <v>3.2650280383627717E-2</v>
      </c>
      <c r="R245" s="62">
        <v>-2.7499999999999997E-2</v>
      </c>
      <c r="S245" s="1">
        <v>13</v>
      </c>
      <c r="U245" s="62">
        <f t="shared" si="5"/>
        <v>-3.2499999999999994E-2</v>
      </c>
      <c r="V245" s="1">
        <f t="shared" si="6"/>
        <v>6.815699043912069</v>
      </c>
    </row>
    <row r="246" spans="2:22">
      <c r="B246" s="63">
        <v>575.29</v>
      </c>
      <c r="C246" s="63">
        <v>576.26</v>
      </c>
      <c r="D246" s="63">
        <v>572.70000000000005</v>
      </c>
      <c r="E246" s="63">
        <v>573.78</v>
      </c>
      <c r="F246" s="63">
        <v>4920279</v>
      </c>
      <c r="G246" s="63" t="s">
        <v>197</v>
      </c>
      <c r="H246" s="25">
        <f t="shared" si="1"/>
        <v>2.6316706751716712E-3</v>
      </c>
      <c r="J246" s="63">
        <v>97.29</v>
      </c>
      <c r="K246" s="63">
        <v>98.068200000000004</v>
      </c>
      <c r="L246" s="63">
        <v>91.53</v>
      </c>
      <c r="M246" s="63">
        <v>97.96</v>
      </c>
      <c r="N246" s="63">
        <v>4830549</v>
      </c>
      <c r="O246" s="63" t="s">
        <v>197</v>
      </c>
      <c r="P246" s="25">
        <f t="shared" si="0"/>
        <v>-6.839526337280355E-3</v>
      </c>
      <c r="R246" s="62">
        <v>-2.4999999999999998E-2</v>
      </c>
      <c r="S246" s="1">
        <v>14</v>
      </c>
      <c r="U246" s="62">
        <f t="shared" si="5"/>
        <v>-2.9999999999999995E-2</v>
      </c>
      <c r="V246" s="1">
        <f t="shared" si="6"/>
        <v>7.2309449401484374</v>
      </c>
    </row>
    <row r="247" spans="2:22">
      <c r="B247" s="63">
        <v>573.61</v>
      </c>
      <c r="C247" s="63">
        <v>574.26</v>
      </c>
      <c r="D247" s="63">
        <v>570.76</v>
      </c>
      <c r="E247" s="63">
        <v>572.46</v>
      </c>
      <c r="F247" s="63">
        <v>6833139</v>
      </c>
      <c r="G247" s="63" t="s">
        <v>198</v>
      </c>
      <c r="H247" s="25">
        <f t="shared" si="1"/>
        <v>2.0088739824615232E-3</v>
      </c>
      <c r="J247" s="63">
        <v>97.59</v>
      </c>
      <c r="K247" s="63">
        <v>99.359899999999996</v>
      </c>
      <c r="L247" s="63">
        <v>94.51</v>
      </c>
      <c r="M247" s="63">
        <v>96</v>
      </c>
      <c r="N247" s="63">
        <v>6820050</v>
      </c>
      <c r="O247" s="63" t="s">
        <v>198</v>
      </c>
      <c r="P247" s="25">
        <f t="shared" si="0"/>
        <v>1.6562500000000036E-2</v>
      </c>
      <c r="R247" s="62">
        <v>-2.2499999999999999E-2</v>
      </c>
      <c r="S247" s="1">
        <v>25</v>
      </c>
      <c r="U247" s="62">
        <f t="shared" si="5"/>
        <v>-2.7499999999999997E-2</v>
      </c>
      <c r="V247" s="1">
        <f t="shared" si="6"/>
        <v>7.6382780649699544</v>
      </c>
    </row>
    <row r="248" spans="2:22">
      <c r="B248" s="63">
        <v>570.23</v>
      </c>
      <c r="C248" s="63">
        <v>571.83000000000004</v>
      </c>
      <c r="D248" s="63">
        <v>569.48</v>
      </c>
      <c r="E248" s="63">
        <v>571.15</v>
      </c>
      <c r="F248" s="63">
        <v>6916815</v>
      </c>
      <c r="G248" s="63" t="s">
        <v>199</v>
      </c>
      <c r="H248" s="25">
        <f t="shared" si="1"/>
        <v>-1.6107852578131077E-3</v>
      </c>
      <c r="J248" s="63">
        <v>93.36</v>
      </c>
      <c r="K248" s="63">
        <v>94.81</v>
      </c>
      <c r="L248" s="63">
        <v>91.4</v>
      </c>
      <c r="M248" s="63">
        <v>93.3</v>
      </c>
      <c r="N248" s="63">
        <v>3696019</v>
      </c>
      <c r="O248" s="63" t="s">
        <v>199</v>
      </c>
      <c r="P248" s="25">
        <f t="shared" si="0"/>
        <v>6.430868167202064E-4</v>
      </c>
      <c r="R248" s="62">
        <v>-0.02</v>
      </c>
      <c r="S248" s="1">
        <v>22</v>
      </c>
      <c r="U248" s="62">
        <f t="shared" si="5"/>
        <v>-2.4999999999999998E-2</v>
      </c>
      <c r="V248" s="1">
        <f t="shared" si="6"/>
        <v>8.0336264666327573</v>
      </c>
    </row>
    <row r="249" spans="2:22">
      <c r="B249" s="63">
        <v>570.61</v>
      </c>
      <c r="C249" s="63">
        <v>573.59</v>
      </c>
      <c r="D249" s="63">
        <v>567.98</v>
      </c>
      <c r="E249" s="63">
        <v>573</v>
      </c>
      <c r="F249" s="63">
        <v>6347907</v>
      </c>
      <c r="G249" s="63" t="s">
        <v>200</v>
      </c>
      <c r="H249" s="25">
        <f t="shared" si="1"/>
        <v>-4.1710296684118742E-3</v>
      </c>
      <c r="J249" s="63">
        <v>92.73</v>
      </c>
      <c r="K249" s="63">
        <v>92.79</v>
      </c>
      <c r="L249" s="63">
        <v>89.35</v>
      </c>
      <c r="M249" s="63">
        <v>91.25</v>
      </c>
      <c r="N249" s="63">
        <v>3066904</v>
      </c>
      <c r="O249" s="63" t="s">
        <v>200</v>
      </c>
      <c r="P249" s="25">
        <f t="shared" si="0"/>
        <v>1.6219178082191865E-2</v>
      </c>
      <c r="R249" s="62">
        <v>-1.7500000000000002E-2</v>
      </c>
      <c r="S249" s="1">
        <v>14</v>
      </c>
      <c r="U249" s="62">
        <f t="shared" si="5"/>
        <v>-2.2499999999999999E-2</v>
      </c>
      <c r="V249" s="1">
        <f t="shared" si="6"/>
        <v>8.4128581387087173</v>
      </c>
    </row>
    <row r="250" spans="2:22">
      <c r="B250" s="63">
        <v>575.22</v>
      </c>
      <c r="C250" s="63">
        <v>575.66999999999996</v>
      </c>
      <c r="D250" s="63">
        <v>572.13</v>
      </c>
      <c r="E250" s="63">
        <v>572.17999999999995</v>
      </c>
      <c r="F250" s="63">
        <v>4833973</v>
      </c>
      <c r="G250" s="63" t="s">
        <v>201</v>
      </c>
      <c r="H250" s="25">
        <f t="shared" si="1"/>
        <v>5.3130133873957597E-3</v>
      </c>
      <c r="J250" s="63">
        <v>93.61</v>
      </c>
      <c r="K250" s="63">
        <v>94.04</v>
      </c>
      <c r="L250" s="63">
        <v>90</v>
      </c>
      <c r="M250" s="63">
        <v>90.6</v>
      </c>
      <c r="N250" s="63">
        <v>3239320</v>
      </c>
      <c r="O250" s="63" t="s">
        <v>201</v>
      </c>
      <c r="P250" s="25">
        <f t="shared" ref="P250:P313" si="7">J250/M250-1</f>
        <v>3.322295805739528E-2</v>
      </c>
      <c r="R250" s="62">
        <v>-1.5000000000000001E-2</v>
      </c>
      <c r="S250" s="1">
        <v>17</v>
      </c>
      <c r="U250" s="62">
        <f t="shared" si="5"/>
        <v>-0.02</v>
      </c>
      <c r="V250" s="1">
        <f t="shared" si="6"/>
        <v>8.7718512239277295</v>
      </c>
    </row>
    <row r="251" spans="2:22">
      <c r="B251" s="63">
        <v>570.29</v>
      </c>
      <c r="C251" s="63">
        <v>570.34</v>
      </c>
      <c r="D251" s="63">
        <v>566.80999999999995</v>
      </c>
      <c r="E251" s="63">
        <v>567.37</v>
      </c>
      <c r="F251" s="63">
        <v>6134026</v>
      </c>
      <c r="G251" s="63" t="s">
        <v>202</v>
      </c>
      <c r="H251" s="25">
        <f t="shared" ref="H251:H314" si="8">B251/E251-1</f>
        <v>5.1465533954913045E-3</v>
      </c>
      <c r="J251" s="63">
        <v>89.37</v>
      </c>
      <c r="K251" s="63">
        <v>91.03</v>
      </c>
      <c r="L251" s="63">
        <v>85.02</v>
      </c>
      <c r="M251" s="63">
        <v>86.22</v>
      </c>
      <c r="N251" s="63">
        <v>4658493</v>
      </c>
      <c r="O251" s="63" t="s">
        <v>202</v>
      </c>
      <c r="P251" s="25">
        <f t="shared" si="7"/>
        <v>3.653444676409201E-2</v>
      </c>
      <c r="R251" s="62">
        <v>-1.2500000000000001E-2</v>
      </c>
      <c r="S251" s="1">
        <v>22</v>
      </c>
      <c r="U251" s="62">
        <f t="shared" si="5"/>
        <v>-1.7500000000000002E-2</v>
      </c>
      <c r="V251" s="1">
        <f t="shared" si="6"/>
        <v>9.1065674605936433</v>
      </c>
    </row>
    <row r="252" spans="2:22">
      <c r="B252" s="63">
        <v>567.77</v>
      </c>
      <c r="C252" s="63">
        <v>568.79999999999995</v>
      </c>
      <c r="D252" s="63">
        <v>565.79999999999995</v>
      </c>
      <c r="E252" s="63">
        <v>566.55999999999995</v>
      </c>
      <c r="F252" s="63">
        <v>7369350</v>
      </c>
      <c r="G252" s="63" t="s">
        <v>203</v>
      </c>
      <c r="H252" s="25">
        <f t="shared" si="8"/>
        <v>2.1356961310365907E-3</v>
      </c>
      <c r="J252" s="63">
        <v>87.59</v>
      </c>
      <c r="K252" s="63">
        <v>91.46</v>
      </c>
      <c r="L252" s="63">
        <v>84.25</v>
      </c>
      <c r="M252" s="63">
        <v>90.79</v>
      </c>
      <c r="N252" s="63">
        <v>7082852</v>
      </c>
      <c r="O252" s="63" t="s">
        <v>203</v>
      </c>
      <c r="P252" s="25">
        <f t="shared" si="7"/>
        <v>-3.5246172485956628E-2</v>
      </c>
      <c r="R252" s="62">
        <v>-0.01</v>
      </c>
      <c r="S252" s="1">
        <v>16</v>
      </c>
      <c r="U252" s="62">
        <f t="shared" si="5"/>
        <v>-1.5000000000000001E-2</v>
      </c>
      <c r="V252" s="1">
        <f t="shared" si="6"/>
        <v>9.4131270768462301</v>
      </c>
    </row>
    <row r="253" spans="2:22">
      <c r="B253" s="63">
        <v>568.03</v>
      </c>
      <c r="C253" s="63">
        <v>569.15</v>
      </c>
      <c r="D253" s="63">
        <v>565.375</v>
      </c>
      <c r="E253" s="63">
        <v>567.5</v>
      </c>
      <c r="F253" s="63">
        <v>5719188</v>
      </c>
      <c r="G253" s="63" t="s">
        <v>204</v>
      </c>
      <c r="H253" s="25">
        <f t="shared" si="8"/>
        <v>9.3392070484576983E-4</v>
      </c>
      <c r="J253" s="63">
        <v>92.59</v>
      </c>
      <c r="K253" s="63">
        <v>94.987399999999994</v>
      </c>
      <c r="L253" s="63">
        <v>91.407600000000002</v>
      </c>
      <c r="M253" s="63">
        <v>94.42</v>
      </c>
      <c r="N253" s="63">
        <v>3971262</v>
      </c>
      <c r="O253" s="63" t="s">
        <v>204</v>
      </c>
      <c r="P253" s="25">
        <f t="shared" si="7"/>
        <v>-1.9381486973098938E-2</v>
      </c>
      <c r="R253" s="62">
        <v>-7.4999999999999997E-3</v>
      </c>
      <c r="S253" s="1">
        <v>22</v>
      </c>
      <c r="U253" s="62">
        <f t="shared" si="5"/>
        <v>-1.2500000000000001E-2</v>
      </c>
      <c r="V253" s="1">
        <f t="shared" si="6"/>
        <v>9.6878832128945369</v>
      </c>
    </row>
    <row r="254" spans="2:22">
      <c r="B254" s="63">
        <v>566.95000000000005</v>
      </c>
      <c r="C254" s="63">
        <v>568.33000000000004</v>
      </c>
      <c r="D254" s="63">
        <v>563.21</v>
      </c>
      <c r="E254" s="63">
        <v>565.11</v>
      </c>
      <c r="F254" s="63">
        <v>6056524</v>
      </c>
      <c r="G254" s="63" t="s">
        <v>205</v>
      </c>
      <c r="H254" s="25">
        <f t="shared" si="8"/>
        <v>3.2560032560033925E-3</v>
      </c>
      <c r="J254" s="63">
        <v>93.49</v>
      </c>
      <c r="K254" s="63">
        <v>95.08</v>
      </c>
      <c r="L254" s="63">
        <v>91.81</v>
      </c>
      <c r="M254" s="63">
        <v>94.34</v>
      </c>
      <c r="N254" s="63">
        <v>6193889</v>
      </c>
      <c r="O254" s="63" t="s">
        <v>205</v>
      </c>
      <c r="P254" s="25">
        <f t="shared" si="7"/>
        <v>-9.0099639601441961E-3</v>
      </c>
      <c r="R254" s="62">
        <v>-5.0000000000000001E-3</v>
      </c>
      <c r="S254" s="1">
        <v>30</v>
      </c>
      <c r="U254" s="62">
        <f t="shared" si="5"/>
        <v>-0.01</v>
      </c>
      <c r="V254" s="1">
        <f t="shared" si="6"/>
        <v>9.9274938885037063</v>
      </c>
    </row>
    <row r="255" spans="2:22">
      <c r="B255" s="63">
        <v>564.15</v>
      </c>
      <c r="C255" s="63">
        <v>564.54999999999995</v>
      </c>
      <c r="D255" s="63">
        <v>560.96</v>
      </c>
      <c r="E255" s="63">
        <v>561.52</v>
      </c>
      <c r="F255" s="63">
        <v>6081444</v>
      </c>
      <c r="G255" s="63" t="s">
        <v>206</v>
      </c>
      <c r="H255" s="25">
        <f t="shared" si="8"/>
        <v>4.6837156290069348E-3</v>
      </c>
      <c r="J255" s="63">
        <v>95.05</v>
      </c>
      <c r="K255" s="63">
        <v>95.71</v>
      </c>
      <c r="L255" s="63">
        <v>91.74</v>
      </c>
      <c r="M255" s="63">
        <v>92.5</v>
      </c>
      <c r="N255" s="63">
        <v>5153249</v>
      </c>
      <c r="O255" s="63" t="s">
        <v>206</v>
      </c>
      <c r="P255" s="25">
        <f t="shared" si="7"/>
        <v>2.7567567567567508E-2</v>
      </c>
      <c r="R255" s="62">
        <v>-2.5000000000000001E-3</v>
      </c>
      <c r="S255" s="1">
        <v>23</v>
      </c>
      <c r="U255" s="62">
        <f t="shared" si="5"/>
        <v>-7.4999999999999997E-3</v>
      </c>
      <c r="V255" s="1">
        <f t="shared" si="6"/>
        <v>10.128989537473393</v>
      </c>
    </row>
    <row r="256" spans="2:22">
      <c r="B256" s="63">
        <v>559.72</v>
      </c>
      <c r="C256" s="63">
        <v>561.02</v>
      </c>
      <c r="D256" s="63">
        <v>558.34</v>
      </c>
      <c r="E256" s="63">
        <v>560.52</v>
      </c>
      <c r="F256" s="63">
        <v>16472305</v>
      </c>
      <c r="G256" s="63" t="s">
        <v>207</v>
      </c>
      <c r="H256" s="25">
        <f t="shared" si="8"/>
        <v>-1.4272461285947946E-3</v>
      </c>
      <c r="J256" s="63">
        <v>92.2</v>
      </c>
      <c r="K256" s="63">
        <v>94.995000000000005</v>
      </c>
      <c r="L256" s="63">
        <v>90.76</v>
      </c>
      <c r="M256" s="63">
        <v>94.57</v>
      </c>
      <c r="N256" s="63">
        <v>4578922</v>
      </c>
      <c r="O256" s="63" t="s">
        <v>207</v>
      </c>
      <c r="P256" s="25">
        <f t="shared" si="7"/>
        <v>-2.5060801522681531E-2</v>
      </c>
      <c r="R256" s="62">
        <v>0</v>
      </c>
      <c r="S256" s="1">
        <v>27</v>
      </c>
      <c r="U256" s="62">
        <f t="shared" si="5"/>
        <v>-5.0000000000000001E-3</v>
      </c>
      <c r="V256" s="1">
        <f t="shared" si="6"/>
        <v>10.289834204833797</v>
      </c>
    </row>
    <row r="257" spans="2:22">
      <c r="B257" s="63">
        <v>559.44000000000005</v>
      </c>
      <c r="C257" s="63">
        <v>560.42999999999995</v>
      </c>
      <c r="D257" s="63">
        <v>556.37</v>
      </c>
      <c r="E257" s="63">
        <v>557.17999999999995</v>
      </c>
      <c r="F257" s="63">
        <v>6770036</v>
      </c>
      <c r="G257" s="63" t="s">
        <v>208</v>
      </c>
      <c r="H257" s="25">
        <f t="shared" si="8"/>
        <v>4.0561398470873034E-3</v>
      </c>
      <c r="J257" s="63">
        <v>91.92</v>
      </c>
      <c r="K257" s="63">
        <v>92.2</v>
      </c>
      <c r="L257" s="63">
        <v>85.32</v>
      </c>
      <c r="M257" s="63">
        <v>87.13</v>
      </c>
      <c r="N257" s="63">
        <v>6384870</v>
      </c>
      <c r="O257" s="63" t="s">
        <v>208</v>
      </c>
      <c r="P257" s="25">
        <f t="shared" si="7"/>
        <v>5.4975324228164979E-2</v>
      </c>
      <c r="R257" s="25">
        <v>2.5000000000000001E-3</v>
      </c>
      <c r="S257" s="1">
        <v>19</v>
      </c>
      <c r="U257" s="62">
        <f>U258-0.0025</f>
        <v>-2.5000000000000001E-3</v>
      </c>
      <c r="V257" s="1">
        <f t="shared" si="6"/>
        <v>10.407978645269072</v>
      </c>
    </row>
    <row r="258" spans="2:22">
      <c r="B258" s="63">
        <v>553.36</v>
      </c>
      <c r="C258" s="63">
        <v>553.70000000000005</v>
      </c>
      <c r="D258" s="63">
        <v>545.75</v>
      </c>
      <c r="E258" s="63">
        <v>548.66</v>
      </c>
      <c r="F258" s="63">
        <v>9691151</v>
      </c>
      <c r="G258" s="63" t="s">
        <v>209</v>
      </c>
      <c r="H258" s="25">
        <f t="shared" si="8"/>
        <v>8.5663252287391245E-3</v>
      </c>
      <c r="J258" s="63">
        <v>84.57</v>
      </c>
      <c r="K258" s="63">
        <v>85.79</v>
      </c>
      <c r="L258" s="63">
        <v>81.72</v>
      </c>
      <c r="M258" s="63">
        <v>84.625</v>
      </c>
      <c r="N258" s="63">
        <v>6747101</v>
      </c>
      <c r="O258" s="63" t="s">
        <v>209</v>
      </c>
      <c r="P258" s="25">
        <f t="shared" si="7"/>
        <v>-6.4992614475634092E-4</v>
      </c>
      <c r="R258" s="25">
        <v>5.0000000000000001E-3</v>
      </c>
      <c r="S258" s="1">
        <v>23</v>
      </c>
      <c r="U258" s="62">
        <v>0</v>
      </c>
      <c r="V258" s="1">
        <f t="shared" si="6"/>
        <v>10.481903769094231</v>
      </c>
    </row>
    <row r="259" spans="2:22">
      <c r="B259" s="63">
        <v>547.72</v>
      </c>
      <c r="C259" s="63">
        <v>552.72</v>
      </c>
      <c r="D259" s="63">
        <v>546.62</v>
      </c>
      <c r="E259" s="63">
        <v>551.72</v>
      </c>
      <c r="F259" s="63">
        <v>9942858</v>
      </c>
      <c r="G259" s="63" t="s">
        <v>210</v>
      </c>
      <c r="H259" s="25">
        <f t="shared" si="8"/>
        <v>-7.2500543754078217E-3</v>
      </c>
      <c r="J259" s="63">
        <v>85.51</v>
      </c>
      <c r="K259" s="63">
        <v>86.88</v>
      </c>
      <c r="L259" s="63">
        <v>83.25</v>
      </c>
      <c r="M259" s="63">
        <v>86.694999999999993</v>
      </c>
      <c r="N259" s="63">
        <v>5519848</v>
      </c>
      <c r="O259" s="63" t="s">
        <v>210</v>
      </c>
      <c r="P259" s="25">
        <f t="shared" si="7"/>
        <v>-1.3668608339581167E-2</v>
      </c>
      <c r="R259" s="25">
        <v>7.4999999999999997E-3</v>
      </c>
      <c r="S259" s="1">
        <v>29</v>
      </c>
      <c r="U259" s="25">
        <f>U258+0.0025</f>
        <v>2.5000000000000001E-3</v>
      </c>
      <c r="V259" s="1">
        <f t="shared" si="6"/>
        <v>10.510653148271135</v>
      </c>
    </row>
    <row r="260" spans="2:22">
      <c r="B260" s="63">
        <v>549.24</v>
      </c>
      <c r="C260" s="63">
        <v>552.71</v>
      </c>
      <c r="D260" s="63">
        <v>548.39</v>
      </c>
      <c r="E260" s="63">
        <v>550.16</v>
      </c>
      <c r="F260" s="63">
        <v>4602329</v>
      </c>
      <c r="G260" s="63" t="s">
        <v>211</v>
      </c>
      <c r="H260" s="25">
        <f t="shared" si="8"/>
        <v>-1.6722408026754731E-3</v>
      </c>
      <c r="J260" s="63">
        <v>85.59</v>
      </c>
      <c r="K260" s="63">
        <v>86.84</v>
      </c>
      <c r="L260" s="63">
        <v>80.599999999999994</v>
      </c>
      <c r="M260" s="63">
        <v>81.81</v>
      </c>
      <c r="N260" s="63">
        <v>9770895</v>
      </c>
      <c r="O260" s="63" t="s">
        <v>211</v>
      </c>
      <c r="P260" s="25">
        <f t="shared" si="7"/>
        <v>4.620462046204632E-2</v>
      </c>
      <c r="R260" s="25">
        <v>0.01</v>
      </c>
      <c r="S260" s="1">
        <v>20</v>
      </c>
      <c r="U260" s="25">
        <f t="shared" ref="U260:U306" si="9">U259+0.0025</f>
        <v>5.0000000000000001E-3</v>
      </c>
      <c r="V260" s="1">
        <f t="shared" si="6"/>
        <v>10.49385361008807</v>
      </c>
    </row>
    <row r="261" spans="2:22">
      <c r="B261" s="63">
        <v>549.35</v>
      </c>
      <c r="C261" s="63">
        <v>553.16</v>
      </c>
      <c r="D261" s="63">
        <v>548.63499999999999</v>
      </c>
      <c r="E261" s="63">
        <v>551.79</v>
      </c>
      <c r="F261" s="63">
        <v>4753344</v>
      </c>
      <c r="G261" s="63" t="s">
        <v>212</v>
      </c>
      <c r="H261" s="25">
        <f t="shared" si="8"/>
        <v>-4.4219721270771783E-3</v>
      </c>
      <c r="J261" s="63">
        <v>79.709999999999994</v>
      </c>
      <c r="K261" s="63">
        <v>80.48</v>
      </c>
      <c r="L261" s="63">
        <v>77.790000000000006</v>
      </c>
      <c r="M261" s="63">
        <v>78.760000000000005</v>
      </c>
      <c r="N261" s="63">
        <v>6665693</v>
      </c>
      <c r="O261" s="63" t="s">
        <v>212</v>
      </c>
      <c r="P261" s="25">
        <f t="shared" si="7"/>
        <v>1.2061960385982617E-2</v>
      </c>
      <c r="R261" s="25">
        <v>1.2500000000000001E-2</v>
      </c>
      <c r="S261" s="1">
        <v>26</v>
      </c>
      <c r="U261" s="25">
        <f t="shared" si="9"/>
        <v>7.4999999999999997E-3</v>
      </c>
      <c r="V261" s="1">
        <f t="shared" si="6"/>
        <v>10.431723298609803</v>
      </c>
    </row>
    <row r="262" spans="2:22">
      <c r="B262" s="63">
        <v>554.07000000000005</v>
      </c>
      <c r="C262" s="63">
        <v>555.69000000000005</v>
      </c>
      <c r="D262" s="63">
        <v>551.87</v>
      </c>
      <c r="E262" s="63">
        <v>551.94000000000005</v>
      </c>
      <c r="F262" s="63">
        <v>7421327</v>
      </c>
      <c r="G262" s="63" t="s">
        <v>213</v>
      </c>
      <c r="H262" s="25">
        <f t="shared" si="8"/>
        <v>3.8591151212088448E-3</v>
      </c>
      <c r="J262" s="63">
        <v>79.17</v>
      </c>
      <c r="K262" s="63">
        <v>79.88</v>
      </c>
      <c r="L262" s="63">
        <v>75.504999999999995</v>
      </c>
      <c r="M262" s="63">
        <v>75.504999999999995</v>
      </c>
      <c r="N262" s="63">
        <v>6188852</v>
      </c>
      <c r="O262" s="63" t="s">
        <v>213</v>
      </c>
      <c r="P262" s="25">
        <f t="shared" si="7"/>
        <v>4.8539831799218724E-2</v>
      </c>
      <c r="R262" s="25">
        <v>1.5000000000000001E-2</v>
      </c>
      <c r="S262" s="1">
        <v>21</v>
      </c>
      <c r="U262" s="25">
        <f t="shared" si="9"/>
        <v>0.01</v>
      </c>
      <c r="V262" s="1">
        <f t="shared" si="6"/>
        <v>10.325066960443376</v>
      </c>
    </row>
    <row r="263" spans="2:22">
      <c r="B263" s="63">
        <v>548.77</v>
      </c>
      <c r="C263" s="63">
        <v>553.245</v>
      </c>
      <c r="D263" s="63">
        <v>547.41</v>
      </c>
      <c r="E263" s="63">
        <v>550.24</v>
      </c>
      <c r="F263" s="63">
        <v>7062316</v>
      </c>
      <c r="G263" s="63" t="s">
        <v>214</v>
      </c>
      <c r="H263" s="25">
        <f t="shared" si="8"/>
        <v>-2.671561500436237E-3</v>
      </c>
      <c r="J263" s="63">
        <v>73.489999999999995</v>
      </c>
      <c r="K263" s="63">
        <v>76.439899999999994</v>
      </c>
      <c r="L263" s="63">
        <v>72.03</v>
      </c>
      <c r="M263" s="63">
        <v>72.489999999999995</v>
      </c>
      <c r="N263" s="63">
        <v>4533374</v>
      </c>
      <c r="O263" s="63" t="s">
        <v>214</v>
      </c>
      <c r="P263" s="25">
        <f t="shared" si="7"/>
        <v>1.3795006207752758E-2</v>
      </c>
      <c r="R263" s="25">
        <v>1.7500000000000002E-2</v>
      </c>
      <c r="S263" s="1">
        <v>24</v>
      </c>
      <c r="U263" s="25">
        <f t="shared" si="9"/>
        <v>1.2500000000000001E-2</v>
      </c>
      <c r="V263" s="1">
        <f t="shared" si="6"/>
        <v>10.175258597242793</v>
      </c>
    </row>
    <row r="264" spans="2:22">
      <c r="B264" s="63">
        <v>554.95000000000005</v>
      </c>
      <c r="C264" s="63">
        <v>555</v>
      </c>
      <c r="D264" s="63">
        <v>551.13220000000001</v>
      </c>
      <c r="E264" s="63">
        <v>551.6</v>
      </c>
      <c r="F264" s="63">
        <v>8422943</v>
      </c>
      <c r="G264" s="63" t="s">
        <v>215</v>
      </c>
      <c r="H264" s="25">
        <f t="shared" si="8"/>
        <v>6.0732414793329692E-3</v>
      </c>
      <c r="J264" s="63">
        <v>74.34</v>
      </c>
      <c r="K264" s="63">
        <v>77.09</v>
      </c>
      <c r="L264" s="63">
        <v>70.78</v>
      </c>
      <c r="M264" s="63">
        <v>71</v>
      </c>
      <c r="N264" s="63">
        <v>6875762</v>
      </c>
      <c r="O264" s="63" t="s">
        <v>215</v>
      </c>
      <c r="P264" s="25">
        <f t="shared" si="7"/>
        <v>4.7042253521126787E-2</v>
      </c>
      <c r="R264" s="25">
        <v>0.02</v>
      </c>
      <c r="S264" s="1">
        <v>24</v>
      </c>
      <c r="U264" s="25">
        <f t="shared" si="9"/>
        <v>1.5000000000000001E-2</v>
      </c>
      <c r="V264" s="1">
        <f t="shared" si="6"/>
        <v>9.9842120077292353</v>
      </c>
    </row>
    <row r="265" spans="2:22">
      <c r="B265" s="63">
        <v>552.86</v>
      </c>
      <c r="C265" s="63">
        <v>556.22500000000002</v>
      </c>
      <c r="D265" s="63">
        <v>550.91</v>
      </c>
      <c r="E265" s="63">
        <v>555.41</v>
      </c>
      <c r="F265" s="63">
        <v>20800557</v>
      </c>
      <c r="G265" s="63" t="s">
        <v>216</v>
      </c>
      <c r="H265" s="25">
        <f t="shared" si="8"/>
        <v>-4.5912028951584638E-3</v>
      </c>
      <c r="J265" s="63">
        <v>71.64</v>
      </c>
      <c r="K265" s="63">
        <v>72.13</v>
      </c>
      <c r="L265" s="63">
        <v>68.64</v>
      </c>
      <c r="M265" s="63">
        <v>69.28</v>
      </c>
      <c r="N265" s="63">
        <v>6729702</v>
      </c>
      <c r="O265" s="63" t="s">
        <v>216</v>
      </c>
      <c r="P265" s="25">
        <f t="shared" si="7"/>
        <v>3.4064665127020666E-2</v>
      </c>
      <c r="R265" s="25">
        <v>2.2499999999999999E-2</v>
      </c>
      <c r="S265" s="1">
        <v>22</v>
      </c>
      <c r="U265" s="25">
        <f t="shared" si="9"/>
        <v>1.7500000000000002E-2</v>
      </c>
      <c r="V265" s="1">
        <f t="shared" si="6"/>
        <v>9.7543401021310085</v>
      </c>
    </row>
    <row r="266" spans="2:22">
      <c r="B266" s="63">
        <v>554.39</v>
      </c>
      <c r="C266" s="63">
        <v>554.74</v>
      </c>
      <c r="D266" s="63">
        <v>550.74</v>
      </c>
      <c r="E266" s="63">
        <v>551.78</v>
      </c>
      <c r="F266" s="63">
        <v>5951290</v>
      </c>
      <c r="G266" s="63" t="s">
        <v>217</v>
      </c>
      <c r="H266" s="25">
        <f t="shared" si="8"/>
        <v>4.7301460727102729E-3</v>
      </c>
      <c r="J266" s="63">
        <v>68.53</v>
      </c>
      <c r="K266" s="63">
        <v>72.31</v>
      </c>
      <c r="L266" s="63">
        <v>66.75</v>
      </c>
      <c r="M266" s="63">
        <v>71.33</v>
      </c>
      <c r="N266" s="63">
        <v>6266545</v>
      </c>
      <c r="O266" s="63" t="s">
        <v>217</v>
      </c>
      <c r="P266" s="25">
        <f t="shared" si="7"/>
        <v>-3.9254170755642748E-2</v>
      </c>
      <c r="R266" s="25">
        <v>2.4999999999999998E-2</v>
      </c>
      <c r="S266" s="1">
        <v>16</v>
      </c>
      <c r="U266" s="25">
        <f t="shared" si="9"/>
        <v>0.02</v>
      </c>
      <c r="V266" s="1">
        <f t="shared" si="6"/>
        <v>9.4885041981015288</v>
      </c>
    </row>
    <row r="267" spans="2:22">
      <c r="B267" s="63">
        <v>551.25</v>
      </c>
      <c r="C267" s="63">
        <v>552.70000000000005</v>
      </c>
      <c r="D267" s="63">
        <v>550.20000000000005</v>
      </c>
      <c r="E267" s="63">
        <v>551.29999999999995</v>
      </c>
      <c r="F267" s="63">
        <v>4482378</v>
      </c>
      <c r="G267" s="63" t="s">
        <v>218</v>
      </c>
      <c r="H267" s="25">
        <f t="shared" si="8"/>
        <v>-9.0694721567086134E-5</v>
      </c>
      <c r="J267" s="63">
        <v>71.09</v>
      </c>
      <c r="K267" s="63">
        <v>74.599999999999994</v>
      </c>
      <c r="L267" s="63">
        <v>70.81</v>
      </c>
      <c r="M267" s="63">
        <v>73.23</v>
      </c>
      <c r="N267" s="63">
        <v>6524977</v>
      </c>
      <c r="O267" s="63" t="s">
        <v>218</v>
      </c>
      <c r="P267" s="25">
        <f t="shared" si="7"/>
        <v>-2.9222996039874327E-2</v>
      </c>
      <c r="R267" s="25">
        <v>2.7499999999999997E-2</v>
      </c>
      <c r="S267" s="1">
        <v>20</v>
      </c>
      <c r="U267" s="25">
        <f t="shared" si="9"/>
        <v>2.2499999999999999E-2</v>
      </c>
      <c r="V267" s="1">
        <f t="shared" si="6"/>
        <v>9.1899547872033036</v>
      </c>
    </row>
    <row r="268" spans="2:22">
      <c r="B268" s="63">
        <v>550.66</v>
      </c>
      <c r="C268" s="63">
        <v>552.32000000000005</v>
      </c>
      <c r="D268" s="63">
        <v>548.69989999999996</v>
      </c>
      <c r="E268" s="63">
        <v>550.29999999999995</v>
      </c>
      <c r="F268" s="63">
        <v>4712599</v>
      </c>
      <c r="G268" s="63" t="s">
        <v>219</v>
      </c>
      <c r="H268" s="25">
        <f t="shared" si="8"/>
        <v>6.5418862438670899E-4</v>
      </c>
      <c r="J268" s="63">
        <v>72.959999999999994</v>
      </c>
      <c r="K268" s="63">
        <v>74.89</v>
      </c>
      <c r="L268" s="63">
        <v>71.23</v>
      </c>
      <c r="M268" s="63">
        <v>74.62</v>
      </c>
      <c r="N268" s="63">
        <v>4127969</v>
      </c>
      <c r="O268" s="63" t="s">
        <v>219</v>
      </c>
      <c r="P268" s="25">
        <f t="shared" si="7"/>
        <v>-2.2246046636290706E-2</v>
      </c>
      <c r="R268" s="25">
        <v>2.9999999999999995E-2</v>
      </c>
      <c r="S268" s="1">
        <v>14</v>
      </c>
      <c r="U268" s="25">
        <f t="shared" si="9"/>
        <v>2.4999999999999998E-2</v>
      </c>
      <c r="V268" s="1">
        <f t="shared" si="6"/>
        <v>8.8622654849465867</v>
      </c>
    </row>
    <row r="269" spans="2:22">
      <c r="B269" s="63">
        <v>545.09</v>
      </c>
      <c r="C269" s="63">
        <v>550.63</v>
      </c>
      <c r="D269" s="63">
        <v>543.33749999999998</v>
      </c>
      <c r="E269" s="63">
        <v>549.48</v>
      </c>
      <c r="F269" s="63">
        <v>6334538</v>
      </c>
      <c r="G269" s="63" t="s">
        <v>220</v>
      </c>
      <c r="H269" s="25">
        <f t="shared" si="8"/>
        <v>-7.9893717696730704E-3</v>
      </c>
      <c r="J269" s="63">
        <v>73</v>
      </c>
      <c r="K269" s="63">
        <v>77.78</v>
      </c>
      <c r="L269" s="63">
        <v>72.349999999999994</v>
      </c>
      <c r="M269" s="63">
        <v>77.12</v>
      </c>
      <c r="N269" s="63">
        <v>7578048</v>
      </c>
      <c r="O269" s="63" t="s">
        <v>220</v>
      </c>
      <c r="P269" s="25">
        <f t="shared" si="7"/>
        <v>-5.3423236514522854E-2</v>
      </c>
      <c r="R269" s="25">
        <v>3.2499999999999994E-2</v>
      </c>
      <c r="S269" s="1">
        <v>11</v>
      </c>
      <c r="U269" s="25">
        <f t="shared" si="9"/>
        <v>2.7499999999999997E-2</v>
      </c>
      <c r="V269" s="1">
        <f t="shared" si="6"/>
        <v>8.5092620377203261</v>
      </c>
    </row>
    <row r="270" spans="2:22">
      <c r="B270" s="63">
        <v>547.65</v>
      </c>
      <c r="C270" s="63">
        <v>549.65</v>
      </c>
      <c r="D270" s="63">
        <v>547.44259999999997</v>
      </c>
      <c r="E270" s="63">
        <v>548.75</v>
      </c>
      <c r="F270" s="63">
        <v>4510272</v>
      </c>
      <c r="G270" s="63" t="s">
        <v>221</v>
      </c>
      <c r="H270" s="25">
        <f t="shared" si="8"/>
        <v>-2.0045558086561055E-3</v>
      </c>
      <c r="J270" s="63">
        <v>76.459999999999994</v>
      </c>
      <c r="K270" s="63">
        <v>77.290000000000006</v>
      </c>
      <c r="L270" s="63">
        <v>69.95</v>
      </c>
      <c r="M270" s="63">
        <v>73.03</v>
      </c>
      <c r="N270" s="63">
        <v>10967437</v>
      </c>
      <c r="O270" s="63" t="s">
        <v>221</v>
      </c>
      <c r="P270" s="25">
        <f t="shared" si="7"/>
        <v>4.6966999863069958E-2</v>
      </c>
      <c r="R270" s="25">
        <v>3.4999999999999996E-2</v>
      </c>
      <c r="S270" s="1">
        <v>14</v>
      </c>
      <c r="U270" s="25">
        <f t="shared" si="9"/>
        <v>2.9999999999999995E-2</v>
      </c>
      <c r="V270" s="1">
        <f t="shared" si="6"/>
        <v>8.134948352202839</v>
      </c>
    </row>
    <row r="271" spans="2:22">
      <c r="B271" s="63">
        <v>548</v>
      </c>
      <c r="C271" s="63">
        <v>548.87</v>
      </c>
      <c r="D271" s="63">
        <v>544.09</v>
      </c>
      <c r="E271" s="63">
        <v>544.53</v>
      </c>
      <c r="F271" s="63">
        <v>4968649</v>
      </c>
      <c r="G271" s="63" t="s">
        <v>222</v>
      </c>
      <c r="H271" s="25">
        <f t="shared" si="8"/>
        <v>6.3724679999266343E-3</v>
      </c>
      <c r="J271" s="63">
        <v>71.92</v>
      </c>
      <c r="K271" s="63">
        <v>80.989999999999995</v>
      </c>
      <c r="L271" s="63">
        <v>71.33</v>
      </c>
      <c r="M271" s="63">
        <v>74.95</v>
      </c>
      <c r="N271" s="63">
        <v>22534866</v>
      </c>
      <c r="O271" s="63" t="s">
        <v>222</v>
      </c>
      <c r="P271" s="25">
        <f t="shared" si="7"/>
        <v>-4.0426951300867264E-2</v>
      </c>
      <c r="R271" s="25">
        <v>3.7499999999999999E-2</v>
      </c>
      <c r="S271" s="1">
        <v>11</v>
      </c>
      <c r="U271" s="25">
        <f t="shared" si="9"/>
        <v>3.2499999999999994E-2</v>
      </c>
      <c r="V271" s="1">
        <f t="shared" si="6"/>
        <v>7.7434315354581518</v>
      </c>
    </row>
    <row r="272" spans="2:22">
      <c r="B272" s="63">
        <v>544.91</v>
      </c>
      <c r="C272" s="63">
        <v>544.91</v>
      </c>
      <c r="D272" s="63">
        <v>537.79999999999995</v>
      </c>
      <c r="E272" s="63">
        <v>540.25</v>
      </c>
      <c r="F272" s="63">
        <v>5900870</v>
      </c>
      <c r="G272" s="63" t="s">
        <v>223</v>
      </c>
      <c r="H272" s="25">
        <f t="shared" si="8"/>
        <v>8.6256362795000818E-3</v>
      </c>
      <c r="J272" s="63">
        <v>62.65</v>
      </c>
      <c r="K272" s="63">
        <v>63.42</v>
      </c>
      <c r="L272" s="63">
        <v>59.88</v>
      </c>
      <c r="M272" s="63">
        <v>60.21</v>
      </c>
      <c r="N272" s="63">
        <v>6389223</v>
      </c>
      <c r="O272" s="63" t="s">
        <v>223</v>
      </c>
      <c r="P272" s="25">
        <f t="shared" si="7"/>
        <v>4.0524829762497827E-2</v>
      </c>
      <c r="R272" s="25">
        <v>0.04</v>
      </c>
      <c r="S272" s="1">
        <v>3</v>
      </c>
      <c r="U272" s="25">
        <f t="shared" si="9"/>
        <v>3.4999999999999996E-2</v>
      </c>
      <c r="V272" s="1">
        <f t="shared" si="6"/>
        <v>7.3388478883785293</v>
      </c>
    </row>
    <row r="273" spans="2:22">
      <c r="B273" s="63">
        <v>541.76</v>
      </c>
      <c r="C273" s="63">
        <v>543.39</v>
      </c>
      <c r="D273" s="63">
        <v>536.16</v>
      </c>
      <c r="E273" s="63">
        <v>541.35</v>
      </c>
      <c r="F273" s="63">
        <v>6160101</v>
      </c>
      <c r="G273" s="63" t="s">
        <v>224</v>
      </c>
      <c r="H273" s="25">
        <f t="shared" si="8"/>
        <v>7.5736584464758394E-4</v>
      </c>
      <c r="J273" s="63">
        <v>60.96</v>
      </c>
      <c r="K273" s="63">
        <v>63.05</v>
      </c>
      <c r="L273" s="63">
        <v>59.21</v>
      </c>
      <c r="M273" s="63">
        <v>62.71</v>
      </c>
      <c r="N273" s="63">
        <v>4672527</v>
      </c>
      <c r="O273" s="63" t="s">
        <v>224</v>
      </c>
      <c r="P273" s="25">
        <f t="shared" si="7"/>
        <v>-2.7906235050231265E-2</v>
      </c>
      <c r="R273" s="25">
        <v>4.2500000000000003E-2</v>
      </c>
      <c r="S273" s="1">
        <v>10</v>
      </c>
      <c r="U273" s="25">
        <f t="shared" si="9"/>
        <v>3.7499999999999999E-2</v>
      </c>
      <c r="V273" s="1">
        <f t="shared" si="6"/>
        <v>6.9252916857219828</v>
      </c>
    </row>
    <row r="274" spans="2:22">
      <c r="B274" s="63">
        <v>542.32000000000005</v>
      </c>
      <c r="C274" s="63">
        <v>545.28</v>
      </c>
      <c r="D274" s="63">
        <v>538.74</v>
      </c>
      <c r="E274" s="63">
        <v>545.15</v>
      </c>
      <c r="F274" s="63">
        <v>4668939</v>
      </c>
      <c r="G274" s="63" t="s">
        <v>225</v>
      </c>
      <c r="H274" s="25">
        <f t="shared" si="8"/>
        <v>-5.1912317710720579E-3</v>
      </c>
      <c r="J274" s="63">
        <v>63.83</v>
      </c>
      <c r="K274" s="63">
        <v>66.380099999999999</v>
      </c>
      <c r="L274" s="63">
        <v>62.01</v>
      </c>
      <c r="M274" s="63">
        <v>65.900000000000006</v>
      </c>
      <c r="N274" s="63">
        <v>4430652</v>
      </c>
      <c r="O274" s="63" t="s">
        <v>225</v>
      </c>
      <c r="P274" s="25">
        <f t="shared" si="7"/>
        <v>-3.1411229135053231E-2</v>
      </c>
      <c r="R274" s="25">
        <v>4.5000000000000005E-2</v>
      </c>
      <c r="S274" s="1">
        <v>5</v>
      </c>
      <c r="U274" s="25">
        <f t="shared" si="9"/>
        <v>0.04</v>
      </c>
      <c r="V274" s="1">
        <f t="shared" ref="V274:V305" si="10">_xlfn.NORM.DIST(U274,$T$201,$T$203,FALSE)</f>
        <v>6.5067484095374875</v>
      </c>
    </row>
    <row r="275" spans="2:22">
      <c r="B275" s="63">
        <v>540.24</v>
      </c>
      <c r="C275" s="63">
        <v>544.9</v>
      </c>
      <c r="D275" s="63">
        <v>539.61</v>
      </c>
      <c r="E275" s="63">
        <v>543.79</v>
      </c>
      <c r="F275" s="63">
        <v>4806244</v>
      </c>
      <c r="G275" s="63" t="s">
        <v>226</v>
      </c>
      <c r="H275" s="25">
        <f t="shared" si="8"/>
        <v>-6.5282553927066278E-3</v>
      </c>
      <c r="J275" s="63">
        <v>62.71</v>
      </c>
      <c r="K275" s="63">
        <v>64.5</v>
      </c>
      <c r="L275" s="63">
        <v>62.534999999999997</v>
      </c>
      <c r="M275" s="63">
        <v>64.459999999999994</v>
      </c>
      <c r="N275" s="63">
        <v>2207417</v>
      </c>
      <c r="O275" s="63" t="s">
        <v>226</v>
      </c>
      <c r="P275" s="25">
        <f t="shared" si="7"/>
        <v>-2.7148619298789867E-2</v>
      </c>
      <c r="R275" s="25">
        <v>4.7500000000000007E-2</v>
      </c>
      <c r="S275" s="1">
        <v>11</v>
      </c>
      <c r="U275" s="25">
        <f t="shared" si="9"/>
        <v>4.2500000000000003E-2</v>
      </c>
      <c r="V275" s="1">
        <f t="shared" si="10"/>
        <v>6.0870338881955588</v>
      </c>
    </row>
    <row r="276" spans="2:22">
      <c r="B276" s="63">
        <v>543.34</v>
      </c>
      <c r="C276" s="63">
        <v>543.52</v>
      </c>
      <c r="D276" s="63">
        <v>537.17999999999995</v>
      </c>
      <c r="E276" s="63">
        <v>538.72</v>
      </c>
      <c r="F276" s="63">
        <v>6086299</v>
      </c>
      <c r="G276" s="63" t="s">
        <v>227</v>
      </c>
      <c r="H276" s="25">
        <f t="shared" si="8"/>
        <v>8.5758835758835694E-3</v>
      </c>
      <c r="J276" s="63">
        <v>63.65</v>
      </c>
      <c r="K276" s="63">
        <v>65.09</v>
      </c>
      <c r="L276" s="63">
        <v>62.520099999999999</v>
      </c>
      <c r="M276" s="63">
        <v>64</v>
      </c>
      <c r="N276" s="63">
        <v>3353568</v>
      </c>
      <c r="O276" s="63" t="s">
        <v>227</v>
      </c>
      <c r="P276" s="25">
        <f t="shared" si="7"/>
        <v>-5.4687500000000222E-3</v>
      </c>
      <c r="R276" s="25">
        <v>5.000000000000001E-2</v>
      </c>
      <c r="S276" s="1">
        <v>4</v>
      </c>
      <c r="U276" s="25">
        <f t="shared" si="9"/>
        <v>4.5000000000000005E-2</v>
      </c>
      <c r="V276" s="1">
        <f t="shared" si="10"/>
        <v>5.6697405410664166</v>
      </c>
    </row>
    <row r="277" spans="2:22">
      <c r="B277" s="63">
        <v>532.4</v>
      </c>
      <c r="C277" s="63">
        <v>534.80989999999997</v>
      </c>
      <c r="D277" s="63">
        <v>529.11</v>
      </c>
      <c r="E277" s="63">
        <v>529.42999999999995</v>
      </c>
      <c r="F277" s="63">
        <v>6455875</v>
      </c>
      <c r="G277" s="63" t="s">
        <v>228</v>
      </c>
      <c r="H277" s="25">
        <f t="shared" si="8"/>
        <v>5.6098067733223456E-3</v>
      </c>
      <c r="J277" s="63">
        <v>61.78</v>
      </c>
      <c r="K277" s="63">
        <v>62.04</v>
      </c>
      <c r="L277" s="63">
        <v>59</v>
      </c>
      <c r="M277" s="63">
        <v>59.24</v>
      </c>
      <c r="N277" s="63">
        <v>1958778</v>
      </c>
      <c r="O277" s="63" t="s">
        <v>228</v>
      </c>
      <c r="P277" s="25">
        <f t="shared" si="7"/>
        <v>4.2876434841323308E-2</v>
      </c>
      <c r="R277" s="25">
        <v>5.2500000000000012E-2</v>
      </c>
      <c r="S277" s="1">
        <v>7</v>
      </c>
      <c r="U277" s="25">
        <f t="shared" si="9"/>
        <v>4.7500000000000007E-2</v>
      </c>
      <c r="V277" s="1">
        <f t="shared" si="10"/>
        <v>5.2581916506601321</v>
      </c>
    </row>
    <row r="278" spans="2:22">
      <c r="B278" s="63">
        <v>536.02</v>
      </c>
      <c r="C278" s="63">
        <v>539.22500000000002</v>
      </c>
      <c r="D278" s="63">
        <v>534.44000000000005</v>
      </c>
      <c r="E278" s="63">
        <v>535.6</v>
      </c>
      <c r="F278" s="63">
        <v>5816572</v>
      </c>
      <c r="G278" s="63" t="s">
        <v>229</v>
      </c>
      <c r="H278" s="25">
        <f t="shared" si="8"/>
        <v>7.8416728902164223E-4</v>
      </c>
      <c r="J278" s="63">
        <v>60.78</v>
      </c>
      <c r="K278" s="63">
        <v>62.53</v>
      </c>
      <c r="L278" s="63">
        <v>59.09</v>
      </c>
      <c r="M278" s="63">
        <v>60.26</v>
      </c>
      <c r="N278" s="63">
        <v>2812133</v>
      </c>
      <c r="O278" s="63" t="s">
        <v>229</v>
      </c>
      <c r="P278" s="25">
        <f t="shared" si="7"/>
        <v>8.6292731496846464E-3</v>
      </c>
      <c r="R278" s="25">
        <v>5.5000000000000014E-2</v>
      </c>
      <c r="S278" s="1">
        <v>3</v>
      </c>
      <c r="U278" s="25">
        <f t="shared" si="9"/>
        <v>5.000000000000001E-2</v>
      </c>
      <c r="V278" s="1">
        <f t="shared" si="10"/>
        <v>4.8554042917521896</v>
      </c>
    </row>
    <row r="279" spans="2:22">
      <c r="B279" s="63">
        <v>535.77</v>
      </c>
      <c r="C279" s="63">
        <v>544.69050000000004</v>
      </c>
      <c r="D279" s="63">
        <v>534.82000000000005</v>
      </c>
      <c r="E279" s="63">
        <v>540.91</v>
      </c>
      <c r="F279" s="63">
        <v>6339491</v>
      </c>
      <c r="G279" s="63" t="s">
        <v>230</v>
      </c>
      <c r="H279" s="25">
        <f t="shared" si="8"/>
        <v>-9.5025050378065856E-3</v>
      </c>
      <c r="J279" s="63">
        <v>60.45</v>
      </c>
      <c r="K279" s="63">
        <v>63.66</v>
      </c>
      <c r="L279" s="63">
        <v>59.57</v>
      </c>
      <c r="M279" s="63">
        <v>61</v>
      </c>
      <c r="N279" s="63">
        <v>3304771</v>
      </c>
      <c r="O279" s="63" t="s">
        <v>230</v>
      </c>
      <c r="P279" s="25">
        <f t="shared" si="7"/>
        <v>-9.0163934426229497E-3</v>
      </c>
      <c r="R279" s="25">
        <v>5.7500000000000016E-2</v>
      </c>
      <c r="S279" s="1">
        <v>8</v>
      </c>
      <c r="U279" s="25">
        <f t="shared" si="9"/>
        <v>5.2500000000000012E-2</v>
      </c>
      <c r="V279" s="1">
        <f t="shared" si="10"/>
        <v>4.4640612525178938</v>
      </c>
    </row>
    <row r="280" spans="2:22">
      <c r="B280" s="63">
        <v>544.88</v>
      </c>
      <c r="C280" s="63">
        <v>546.05999999999995</v>
      </c>
      <c r="D280" s="63">
        <v>541.99</v>
      </c>
      <c r="E280" s="63">
        <v>545.22</v>
      </c>
      <c r="F280" s="63">
        <v>7158205</v>
      </c>
      <c r="G280" s="63" t="s">
        <v>231</v>
      </c>
      <c r="H280" s="25">
        <f t="shared" si="8"/>
        <v>-6.2360148197060372E-4</v>
      </c>
      <c r="J280" s="63">
        <v>62.11</v>
      </c>
      <c r="K280" s="63">
        <v>62.46</v>
      </c>
      <c r="L280" s="63">
        <v>61</v>
      </c>
      <c r="M280" s="63">
        <v>61.21</v>
      </c>
      <c r="N280" s="63">
        <v>2694311</v>
      </c>
      <c r="O280" s="63" t="s">
        <v>231</v>
      </c>
      <c r="P280" s="25">
        <f t="shared" si="7"/>
        <v>1.470347982355813E-2</v>
      </c>
      <c r="R280" s="25">
        <v>6.0000000000000019E-2</v>
      </c>
      <c r="S280" s="1">
        <v>5</v>
      </c>
      <c r="U280" s="25">
        <f t="shared" si="9"/>
        <v>5.5000000000000014E-2</v>
      </c>
      <c r="V280" s="1">
        <f t="shared" si="10"/>
        <v>4.0864919971748526</v>
      </c>
    </row>
    <row r="281" spans="2:22">
      <c r="B281" s="63">
        <v>546.82000000000005</v>
      </c>
      <c r="C281" s="63">
        <v>547.45000000000005</v>
      </c>
      <c r="D281" s="63">
        <v>540.58000000000004</v>
      </c>
      <c r="E281" s="63">
        <v>540.63</v>
      </c>
      <c r="F281" s="63">
        <v>7766058</v>
      </c>
      <c r="G281" s="63" t="s">
        <v>232</v>
      </c>
      <c r="H281" s="25">
        <f t="shared" si="8"/>
        <v>1.144960509035764E-2</v>
      </c>
      <c r="J281" s="63">
        <v>61.96</v>
      </c>
      <c r="K281" s="63">
        <v>62.06</v>
      </c>
      <c r="L281" s="63">
        <v>57.21</v>
      </c>
      <c r="M281" s="63">
        <v>57.23</v>
      </c>
      <c r="N281" s="63">
        <v>3581950</v>
      </c>
      <c r="O281" s="63" t="s">
        <v>232</v>
      </c>
      <c r="P281" s="25">
        <f t="shared" si="7"/>
        <v>8.2648960335488519E-2</v>
      </c>
      <c r="R281" s="25">
        <v>6.2500000000000014E-2</v>
      </c>
      <c r="S281" s="1">
        <v>8</v>
      </c>
      <c r="U281" s="25">
        <f t="shared" si="9"/>
        <v>5.7500000000000016E-2</v>
      </c>
      <c r="V281" s="1">
        <f t="shared" si="10"/>
        <v>3.7246624531309793</v>
      </c>
    </row>
    <row r="282" spans="2:22">
      <c r="B282" s="63">
        <v>546.26</v>
      </c>
      <c r="C282" s="63">
        <v>546.47</v>
      </c>
      <c r="D282" s="63">
        <v>541.70000000000005</v>
      </c>
      <c r="E282" s="63">
        <v>543.47</v>
      </c>
      <c r="F282" s="63">
        <v>7255342</v>
      </c>
      <c r="G282" s="63" t="s">
        <v>233</v>
      </c>
      <c r="H282" s="25">
        <f t="shared" si="8"/>
        <v>5.1336780319060082E-3</v>
      </c>
      <c r="J282" s="63">
        <v>60.13</v>
      </c>
      <c r="K282" s="63">
        <v>60.51</v>
      </c>
      <c r="L282" s="63">
        <v>59.18</v>
      </c>
      <c r="M282" s="63">
        <v>59.82</v>
      </c>
      <c r="N282" s="63">
        <v>2892538</v>
      </c>
      <c r="O282" s="63" t="s">
        <v>233</v>
      </c>
      <c r="P282" s="25">
        <f t="shared" si="7"/>
        <v>5.182213306586414E-3</v>
      </c>
      <c r="R282" s="25">
        <v>6.5000000000000016E-2</v>
      </c>
      <c r="S282" s="1">
        <v>1</v>
      </c>
      <c r="U282" s="25">
        <f t="shared" si="9"/>
        <v>6.0000000000000019E-2</v>
      </c>
      <c r="V282" s="1">
        <f t="shared" si="10"/>
        <v>3.3801731666879737</v>
      </c>
    </row>
    <row r="283" spans="2:22">
      <c r="B283" s="63">
        <v>542.76</v>
      </c>
      <c r="C283" s="63">
        <v>543.24890000000005</v>
      </c>
      <c r="D283" s="63">
        <v>537.84</v>
      </c>
      <c r="E283" s="63">
        <v>538.26</v>
      </c>
      <c r="F283" s="63">
        <v>7362193</v>
      </c>
      <c r="G283" s="63" t="s">
        <v>234</v>
      </c>
      <c r="H283" s="25">
        <f t="shared" si="8"/>
        <v>8.360271987515322E-3</v>
      </c>
      <c r="J283" s="63">
        <v>59.58</v>
      </c>
      <c r="K283" s="63">
        <v>59.779899999999998</v>
      </c>
      <c r="L283" s="63">
        <v>57.49</v>
      </c>
      <c r="M283" s="63">
        <v>58.35</v>
      </c>
      <c r="N283" s="63">
        <v>3133396</v>
      </c>
      <c r="O283" s="63" t="s">
        <v>234</v>
      </c>
      <c r="P283" s="25">
        <f t="shared" si="7"/>
        <v>2.107969151670952E-2</v>
      </c>
      <c r="R283" s="25">
        <v>6.7500000000000018E-2</v>
      </c>
      <c r="S283" s="1">
        <v>5</v>
      </c>
      <c r="U283" s="25">
        <f t="shared" si="9"/>
        <v>6.2500000000000014E-2</v>
      </c>
      <c r="V283" s="1">
        <f t="shared" si="10"/>
        <v>3.0542651666960698</v>
      </c>
    </row>
    <row r="284" spans="2:22">
      <c r="B284" s="63">
        <v>540.11</v>
      </c>
      <c r="C284" s="63">
        <v>541.41999999999996</v>
      </c>
      <c r="D284" s="63">
        <v>538.24</v>
      </c>
      <c r="E284" s="63">
        <v>540.37</v>
      </c>
      <c r="F284" s="63">
        <v>5031301</v>
      </c>
      <c r="G284" s="63" t="s">
        <v>235</v>
      </c>
      <c r="H284" s="25">
        <f t="shared" si="8"/>
        <v>-4.8115180339391994E-4</v>
      </c>
      <c r="J284" s="63">
        <v>59.79</v>
      </c>
      <c r="K284" s="63">
        <v>61.438099999999999</v>
      </c>
      <c r="L284" s="63">
        <v>58.57</v>
      </c>
      <c r="M284" s="63">
        <v>60.384999999999998</v>
      </c>
      <c r="N284" s="63">
        <v>5913157</v>
      </c>
      <c r="O284" s="63" t="s">
        <v>235</v>
      </c>
      <c r="P284" s="25">
        <f t="shared" si="7"/>
        <v>-9.8534404239463136E-3</v>
      </c>
      <c r="R284" s="25">
        <v>7.0000000000000021E-2</v>
      </c>
      <c r="S284" s="1">
        <v>2</v>
      </c>
      <c r="U284" s="25">
        <f t="shared" si="9"/>
        <v>6.5000000000000016E-2</v>
      </c>
      <c r="V284" s="1">
        <f t="shared" si="10"/>
        <v>2.7478327099771396</v>
      </c>
    </row>
    <row r="285" spans="2:22">
      <c r="B285" s="63">
        <v>539.44000000000005</v>
      </c>
      <c r="C285" s="63">
        <v>541.48</v>
      </c>
      <c r="D285" s="63">
        <v>535.78</v>
      </c>
      <c r="E285" s="63">
        <v>536.33000000000004</v>
      </c>
      <c r="F285" s="63">
        <v>7356804</v>
      </c>
      <c r="G285" s="63" t="s">
        <v>236</v>
      </c>
      <c r="H285" s="25">
        <f t="shared" si="8"/>
        <v>5.7986687300728423E-3</v>
      </c>
      <c r="J285" s="63">
        <v>59.07</v>
      </c>
      <c r="K285" s="63">
        <v>60.24</v>
      </c>
      <c r="L285" s="63">
        <v>55.75</v>
      </c>
      <c r="M285" s="63">
        <v>55.78</v>
      </c>
      <c r="N285" s="63">
        <v>6165130</v>
      </c>
      <c r="O285" s="63" t="s">
        <v>236</v>
      </c>
      <c r="P285" s="25">
        <f t="shared" si="7"/>
        <v>5.89817138759412E-2</v>
      </c>
      <c r="R285" s="25">
        <v>7.2500000000000023E-2</v>
      </c>
      <c r="S285" s="1">
        <v>3</v>
      </c>
      <c r="U285" s="25">
        <f t="shared" si="9"/>
        <v>6.7500000000000018E-2</v>
      </c>
      <c r="V285" s="1">
        <f t="shared" si="10"/>
        <v>2.4614419585976122</v>
      </c>
    </row>
    <row r="286" spans="2:22">
      <c r="B286" s="63">
        <v>535.91999999999996</v>
      </c>
      <c r="C286" s="63">
        <v>535.91999999999996</v>
      </c>
      <c r="D286" s="63">
        <v>530.39</v>
      </c>
      <c r="E286" s="63">
        <v>534.5</v>
      </c>
      <c r="F286" s="63">
        <v>7793576</v>
      </c>
      <c r="G286" s="63" t="s">
        <v>237</v>
      </c>
      <c r="H286" s="25">
        <f t="shared" si="8"/>
        <v>2.6566884939194235E-3</v>
      </c>
      <c r="J286" s="63">
        <v>55.23</v>
      </c>
      <c r="K286" s="63">
        <v>56.79</v>
      </c>
      <c r="L286" s="63">
        <v>53.279899999999998</v>
      </c>
      <c r="M286" s="63">
        <v>55.77</v>
      </c>
      <c r="N286" s="63">
        <v>5550670</v>
      </c>
      <c r="O286" s="63" t="s">
        <v>237</v>
      </c>
      <c r="P286" s="25">
        <f t="shared" si="7"/>
        <v>-9.6826250672406022E-3</v>
      </c>
      <c r="R286" s="25">
        <v>7.5000000000000025E-2</v>
      </c>
      <c r="S286" s="1">
        <v>1</v>
      </c>
      <c r="U286" s="25">
        <f t="shared" si="9"/>
        <v>7.0000000000000021E-2</v>
      </c>
      <c r="V286" s="1">
        <f t="shared" si="10"/>
        <v>2.1953545579833649</v>
      </c>
    </row>
    <row r="287" spans="2:22">
      <c r="B287" s="63">
        <v>518.65</v>
      </c>
      <c r="C287" s="63">
        <v>521.63059999999996</v>
      </c>
      <c r="D287" s="63">
        <v>517.36</v>
      </c>
      <c r="E287" s="63">
        <v>520.69000000000005</v>
      </c>
      <c r="F287" s="63">
        <v>4739506</v>
      </c>
      <c r="G287" s="63" t="s">
        <v>238</v>
      </c>
      <c r="H287" s="25">
        <f t="shared" si="8"/>
        <v>-3.9178782000808265E-3</v>
      </c>
      <c r="J287" s="63">
        <v>50.8</v>
      </c>
      <c r="K287" s="63">
        <v>52.87</v>
      </c>
      <c r="L287" s="63">
        <v>49.67</v>
      </c>
      <c r="M287" s="63">
        <v>52.2</v>
      </c>
      <c r="N287" s="63">
        <v>2840000</v>
      </c>
      <c r="O287" s="63" t="s">
        <v>238</v>
      </c>
      <c r="P287" s="25">
        <f t="shared" si="7"/>
        <v>-2.6819923371647625E-2</v>
      </c>
      <c r="R287" s="25">
        <v>7.7500000000000027E-2</v>
      </c>
      <c r="S287" s="1">
        <v>1</v>
      </c>
      <c r="U287" s="25">
        <f t="shared" si="9"/>
        <v>7.2500000000000023E-2</v>
      </c>
      <c r="V287" s="1">
        <f t="shared" si="10"/>
        <v>1.9495550454038901</v>
      </c>
    </row>
    <row r="288" spans="2:22">
      <c r="B288" s="63">
        <v>519.34</v>
      </c>
      <c r="C288" s="63">
        <v>524.23</v>
      </c>
      <c r="D288" s="63">
        <v>516.34500000000003</v>
      </c>
      <c r="E288" s="63">
        <v>519.54</v>
      </c>
      <c r="F288" s="63">
        <v>5088200</v>
      </c>
      <c r="G288" s="63" t="s">
        <v>239</v>
      </c>
      <c r="H288" s="25">
        <f t="shared" si="8"/>
        <v>-3.8495592254672584E-4</v>
      </c>
      <c r="J288" s="63">
        <v>51.39</v>
      </c>
      <c r="K288" s="63">
        <v>51.73</v>
      </c>
      <c r="L288" s="63">
        <v>49.05</v>
      </c>
      <c r="M288" s="63">
        <v>49.755000000000003</v>
      </c>
      <c r="N288" s="63">
        <v>5503234</v>
      </c>
      <c r="O288" s="63" t="s">
        <v>239</v>
      </c>
      <c r="P288" s="25">
        <f t="shared" si="7"/>
        <v>3.2861018993066038E-2</v>
      </c>
      <c r="R288" s="25">
        <v>8.0000000000000029E-2</v>
      </c>
      <c r="S288" s="1">
        <v>2</v>
      </c>
      <c r="U288" s="25">
        <f t="shared" si="9"/>
        <v>7.5000000000000025E-2</v>
      </c>
      <c r="V288" s="1">
        <f t="shared" si="10"/>
        <v>1.7237810178848674</v>
      </c>
    </row>
    <row r="289" spans="2:22">
      <c r="B289" s="63">
        <v>515.9</v>
      </c>
      <c r="C289" s="63">
        <v>518.17999999999995</v>
      </c>
      <c r="D289" s="63">
        <v>511.1</v>
      </c>
      <c r="E289" s="63">
        <v>514.91999999999996</v>
      </c>
      <c r="F289" s="63">
        <v>5467344</v>
      </c>
      <c r="G289" s="63" t="s">
        <v>240</v>
      </c>
      <c r="H289" s="25">
        <f t="shared" si="8"/>
        <v>1.9032082653616111E-3</v>
      </c>
      <c r="J289" s="63">
        <v>48.43</v>
      </c>
      <c r="K289" s="63">
        <v>48.56</v>
      </c>
      <c r="L289" s="63">
        <v>46.085000000000001</v>
      </c>
      <c r="M289" s="63">
        <v>47.284999999999997</v>
      </c>
      <c r="N289" s="63">
        <v>3546863</v>
      </c>
      <c r="O289" s="63" t="s">
        <v>240</v>
      </c>
      <c r="P289" s="25">
        <f t="shared" si="7"/>
        <v>2.4214867294067854E-2</v>
      </c>
      <c r="R289" s="25">
        <v>8.2500000000000032E-2</v>
      </c>
      <c r="S289" s="1">
        <v>0</v>
      </c>
      <c r="U289" s="25">
        <f t="shared" si="9"/>
        <v>7.7500000000000027E-2</v>
      </c>
      <c r="V289" s="1">
        <f t="shared" si="10"/>
        <v>1.5175550231774979</v>
      </c>
    </row>
    <row r="290" spans="2:22">
      <c r="B290" s="63">
        <v>513.58000000000004</v>
      </c>
      <c r="C290" s="63">
        <v>517.82500000000005</v>
      </c>
      <c r="D290" s="63">
        <v>511.94</v>
      </c>
      <c r="E290" s="63">
        <v>512.89</v>
      </c>
      <c r="F290" s="63">
        <v>4694270</v>
      </c>
      <c r="G290" s="63" t="s">
        <v>241</v>
      </c>
      <c r="H290" s="25">
        <f t="shared" si="8"/>
        <v>1.3453177094504554E-3</v>
      </c>
      <c r="J290" s="63">
        <v>47.67</v>
      </c>
      <c r="K290" s="63">
        <v>47.88</v>
      </c>
      <c r="L290" s="63">
        <v>45.65</v>
      </c>
      <c r="M290" s="63">
        <v>46.81</v>
      </c>
      <c r="N290" s="63">
        <v>2918999</v>
      </c>
      <c r="O290" s="63" t="s">
        <v>241</v>
      </c>
      <c r="P290" s="25">
        <f t="shared" si="7"/>
        <v>1.8372142704550232E-2</v>
      </c>
      <c r="R290" s="25">
        <v>8.5000000000000034E-2</v>
      </c>
      <c r="S290" s="1">
        <v>1</v>
      </c>
      <c r="U290" s="25">
        <f t="shared" si="9"/>
        <v>8.0000000000000029E-2</v>
      </c>
      <c r="V290" s="1">
        <f t="shared" si="10"/>
        <v>1.3302172020430738</v>
      </c>
    </row>
    <row r="291" spans="2:22">
      <c r="B291" s="63">
        <v>517.99</v>
      </c>
      <c r="C291" s="63">
        <v>520.85</v>
      </c>
      <c r="D291" s="63">
        <v>516.27</v>
      </c>
      <c r="E291" s="63">
        <v>517.08000000000004</v>
      </c>
      <c r="F291" s="63">
        <v>4793497</v>
      </c>
      <c r="G291" s="63" t="s">
        <v>242</v>
      </c>
      <c r="H291" s="25">
        <f t="shared" si="8"/>
        <v>1.7598824166473737E-3</v>
      </c>
      <c r="J291" s="63">
        <v>48.69</v>
      </c>
      <c r="K291" s="63">
        <v>49.44</v>
      </c>
      <c r="L291" s="63">
        <v>47.16</v>
      </c>
      <c r="M291" s="63">
        <v>47.41</v>
      </c>
      <c r="N291" s="63">
        <v>2688806</v>
      </c>
      <c r="O291" s="63" t="s">
        <v>242</v>
      </c>
      <c r="P291" s="25">
        <f t="shared" si="7"/>
        <v>2.6998523518245054E-2</v>
      </c>
      <c r="R291" s="25">
        <v>8.7500000000000036E-2</v>
      </c>
      <c r="S291" s="1">
        <v>0</v>
      </c>
      <c r="U291" s="25">
        <f t="shared" si="9"/>
        <v>8.2500000000000032E-2</v>
      </c>
      <c r="V291" s="1">
        <f t="shared" si="10"/>
        <v>1.1609577991381994</v>
      </c>
    </row>
    <row r="292" spans="2:22">
      <c r="B292" s="63">
        <v>520.71</v>
      </c>
      <c r="C292" s="63">
        <v>522.41</v>
      </c>
      <c r="D292" s="63">
        <v>516.89</v>
      </c>
      <c r="E292" s="63">
        <v>519.12</v>
      </c>
      <c r="F292" s="63">
        <v>6285390</v>
      </c>
      <c r="G292" s="63" t="s">
        <v>243</v>
      </c>
      <c r="H292" s="25">
        <f t="shared" si="8"/>
        <v>3.0628756356911868E-3</v>
      </c>
      <c r="J292" s="63">
        <v>48.26</v>
      </c>
      <c r="K292" s="63">
        <v>48.75</v>
      </c>
      <c r="L292" s="63">
        <v>46.739400000000003</v>
      </c>
      <c r="M292" s="63">
        <v>47.41</v>
      </c>
      <c r="N292" s="63">
        <v>4043469</v>
      </c>
      <c r="O292" s="63" t="s">
        <v>243</v>
      </c>
      <c r="P292" s="25">
        <f t="shared" si="7"/>
        <v>1.7928707023834756E-2</v>
      </c>
      <c r="R292" s="25">
        <v>9.0000000000000038E-2</v>
      </c>
      <c r="S292" s="1">
        <v>1</v>
      </c>
      <c r="U292" s="25">
        <f t="shared" si="9"/>
        <v>8.5000000000000034E-2</v>
      </c>
      <c r="V292" s="1">
        <f t="shared" si="10"/>
        <v>1.0088487671874149</v>
      </c>
    </row>
    <row r="293" spans="2:22">
      <c r="B293" s="63">
        <v>513.35</v>
      </c>
      <c r="C293" s="63">
        <v>518.44000000000005</v>
      </c>
      <c r="D293" s="63">
        <v>512.77</v>
      </c>
      <c r="E293" s="63">
        <v>515.13</v>
      </c>
      <c r="F293" s="63">
        <v>5784483</v>
      </c>
      <c r="G293" s="63" t="s">
        <v>244</v>
      </c>
      <c r="H293" s="25">
        <f t="shared" si="8"/>
        <v>-3.4554384330168775E-3</v>
      </c>
      <c r="J293" s="63">
        <v>45.54</v>
      </c>
      <c r="K293" s="63">
        <v>47.17</v>
      </c>
      <c r="L293" s="63">
        <v>45.15</v>
      </c>
      <c r="M293" s="63">
        <v>46.22</v>
      </c>
      <c r="N293" s="63">
        <v>3893234</v>
      </c>
      <c r="O293" s="63" t="s">
        <v>244</v>
      </c>
      <c r="P293" s="25">
        <f t="shared" si="7"/>
        <v>-1.4712245781047129E-2</v>
      </c>
      <c r="R293" s="25">
        <v>9.2500000000000041E-2</v>
      </c>
      <c r="S293" s="1">
        <v>2</v>
      </c>
      <c r="U293" s="25">
        <f t="shared" si="9"/>
        <v>8.7500000000000036E-2</v>
      </c>
      <c r="V293" s="1">
        <f t="shared" si="10"/>
        <v>0.87287380883341026</v>
      </c>
    </row>
    <row r="294" spans="2:22">
      <c r="B294" s="63">
        <v>509.74</v>
      </c>
      <c r="C294" s="63">
        <v>511.5</v>
      </c>
      <c r="D294" s="63">
        <v>497.76</v>
      </c>
      <c r="E294" s="63">
        <v>503.26</v>
      </c>
      <c r="F294" s="63">
        <v>7873686</v>
      </c>
      <c r="G294" s="63" t="s">
        <v>245</v>
      </c>
      <c r="H294" s="25">
        <f t="shared" si="8"/>
        <v>1.2876048165957998E-2</v>
      </c>
      <c r="J294" s="63">
        <v>43.05</v>
      </c>
      <c r="K294" s="63">
        <v>43.09</v>
      </c>
      <c r="L294" s="63">
        <v>40.174999999999997</v>
      </c>
      <c r="M294" s="63">
        <v>40.99</v>
      </c>
      <c r="N294" s="63">
        <v>3043107</v>
      </c>
      <c r="O294" s="63" t="s">
        <v>245</v>
      </c>
      <c r="P294" s="25">
        <f t="shared" si="7"/>
        <v>5.0256160039033881E-2</v>
      </c>
      <c r="R294" s="25">
        <v>9.5000000000000043E-2</v>
      </c>
      <c r="S294" s="1">
        <v>4</v>
      </c>
      <c r="U294" s="25">
        <f t="shared" si="9"/>
        <v>9.0000000000000038E-2</v>
      </c>
      <c r="V294" s="1">
        <f t="shared" si="10"/>
        <v>0.75195632671509027</v>
      </c>
    </row>
    <row r="295" spans="2:22">
      <c r="B295" s="63">
        <v>509.49</v>
      </c>
      <c r="C295" s="63">
        <v>510.54969999999997</v>
      </c>
      <c r="D295" s="63">
        <v>504.26</v>
      </c>
      <c r="E295" s="63">
        <v>504.54</v>
      </c>
      <c r="F295" s="63">
        <v>6525457</v>
      </c>
      <c r="G295" s="63" t="s">
        <v>246</v>
      </c>
      <c r="H295" s="25">
        <f t="shared" si="8"/>
        <v>9.810916874777087E-3</v>
      </c>
      <c r="J295" s="63">
        <v>43.21</v>
      </c>
      <c r="K295" s="63">
        <v>43.66</v>
      </c>
      <c r="L295" s="63">
        <v>42.543700000000001</v>
      </c>
      <c r="M295" s="63">
        <v>43</v>
      </c>
      <c r="N295" s="63">
        <v>2143821</v>
      </c>
      <c r="O295" s="63" t="s">
        <v>246</v>
      </c>
      <c r="P295" s="25">
        <f t="shared" si="7"/>
        <v>4.8837209302325935E-3</v>
      </c>
      <c r="R295" s="25">
        <v>9.7500000000000045E-2</v>
      </c>
      <c r="S295" s="1">
        <v>1</v>
      </c>
      <c r="U295" s="25">
        <f t="shared" si="9"/>
        <v>9.2500000000000041E-2</v>
      </c>
      <c r="V295" s="1">
        <f t="shared" si="10"/>
        <v>0.64498487955347239</v>
      </c>
    </row>
    <row r="296" spans="2:22">
      <c r="B296" s="63">
        <v>506.42</v>
      </c>
      <c r="C296" s="63">
        <v>508.74</v>
      </c>
      <c r="D296" s="63">
        <v>500.96</v>
      </c>
      <c r="E296" s="63">
        <v>506.81</v>
      </c>
      <c r="F296" s="63">
        <v>4210016</v>
      </c>
      <c r="G296" s="63" t="s">
        <v>247</v>
      </c>
      <c r="H296" s="25">
        <f t="shared" si="8"/>
        <v>-7.6951914918799158E-4</v>
      </c>
      <c r="J296" s="63">
        <v>43.04</v>
      </c>
      <c r="K296" s="63">
        <v>44</v>
      </c>
      <c r="L296" s="63">
        <v>41.771000000000001</v>
      </c>
      <c r="M296" s="63">
        <v>43.97</v>
      </c>
      <c r="N296" s="63">
        <v>3181438</v>
      </c>
      <c r="O296" s="63" t="s">
        <v>247</v>
      </c>
      <c r="P296" s="25">
        <f t="shared" si="7"/>
        <v>-2.1150784625881269E-2</v>
      </c>
      <c r="R296" s="25">
        <v>0.10000000000000005</v>
      </c>
      <c r="S296" s="1">
        <v>0</v>
      </c>
      <c r="U296" s="25">
        <f t="shared" si="9"/>
        <v>9.5000000000000043E-2</v>
      </c>
      <c r="V296" s="1">
        <f t="shared" si="10"/>
        <v>0.55083586557783493</v>
      </c>
    </row>
    <row r="297" spans="2:22">
      <c r="B297" s="63">
        <v>506.11</v>
      </c>
      <c r="C297" s="63">
        <v>506.52</v>
      </c>
      <c r="D297" s="63">
        <v>499.75</v>
      </c>
      <c r="E297" s="63">
        <v>502.44</v>
      </c>
      <c r="F297" s="63">
        <v>6933423</v>
      </c>
      <c r="G297" s="63" t="s">
        <v>248</v>
      </c>
      <c r="H297" s="25">
        <f t="shared" si="8"/>
        <v>7.3043547488258476E-3</v>
      </c>
      <c r="J297" s="63">
        <v>43.68</v>
      </c>
      <c r="K297" s="63">
        <v>44.1</v>
      </c>
      <c r="L297" s="63">
        <v>41.880099999999999</v>
      </c>
      <c r="M297" s="63">
        <v>41.99</v>
      </c>
      <c r="N297" s="63">
        <v>2370289</v>
      </c>
      <c r="O297" s="63" t="s">
        <v>248</v>
      </c>
      <c r="P297" s="25">
        <f t="shared" si="7"/>
        <v>4.0247678018575872E-2</v>
      </c>
      <c r="R297" s="25">
        <v>0.10250000000000005</v>
      </c>
      <c r="S297" s="1">
        <v>2</v>
      </c>
      <c r="U297" s="25">
        <f t="shared" si="9"/>
        <v>9.7500000000000045E-2</v>
      </c>
      <c r="V297" s="1">
        <f t="shared" si="10"/>
        <v>0.46839327052052665</v>
      </c>
    </row>
    <row r="298" spans="2:22">
      <c r="B298" s="63">
        <v>502.41</v>
      </c>
      <c r="C298" s="63">
        <v>503</v>
      </c>
      <c r="D298" s="63">
        <v>492.22309999999999</v>
      </c>
      <c r="E298" s="63">
        <v>493.26</v>
      </c>
      <c r="F298" s="63">
        <v>6184333</v>
      </c>
      <c r="G298" s="63" t="s">
        <v>249</v>
      </c>
      <c r="H298" s="25">
        <f t="shared" si="8"/>
        <v>1.8550054737866528E-2</v>
      </c>
      <c r="J298" s="63">
        <v>42.39</v>
      </c>
      <c r="K298" s="63">
        <v>43.69</v>
      </c>
      <c r="L298" s="63">
        <v>40.520000000000003</v>
      </c>
      <c r="M298" s="63">
        <v>40.799999999999997</v>
      </c>
      <c r="N298" s="63">
        <v>4466971</v>
      </c>
      <c r="O298" s="63" t="s">
        <v>249</v>
      </c>
      <c r="P298" s="25">
        <f t="shared" si="7"/>
        <v>3.8970588235294201E-2</v>
      </c>
      <c r="R298" s="25">
        <v>0.10500000000000005</v>
      </c>
      <c r="S298" s="1">
        <v>0</v>
      </c>
      <c r="U298" s="25">
        <f t="shared" si="9"/>
        <v>0.10000000000000005</v>
      </c>
      <c r="V298" s="1">
        <f t="shared" si="10"/>
        <v>0.39656542251053062</v>
      </c>
    </row>
    <row r="299" spans="2:22">
      <c r="B299" s="63">
        <v>492.07</v>
      </c>
      <c r="C299" s="63">
        <v>501.18</v>
      </c>
      <c r="D299" s="63">
        <v>490.7</v>
      </c>
      <c r="E299" s="63">
        <v>496.69</v>
      </c>
      <c r="F299" s="63">
        <v>8047601</v>
      </c>
      <c r="G299" s="63" t="s">
        <v>250</v>
      </c>
      <c r="H299" s="25">
        <f t="shared" si="8"/>
        <v>-9.3015764360063757E-3</v>
      </c>
      <c r="J299" s="63">
        <v>40.49</v>
      </c>
      <c r="K299" s="63">
        <v>42.47</v>
      </c>
      <c r="L299" s="63">
        <v>39.71</v>
      </c>
      <c r="M299" s="63">
        <v>40.74</v>
      </c>
      <c r="N299" s="63">
        <v>4368241</v>
      </c>
      <c r="O299" s="63" t="s">
        <v>250</v>
      </c>
      <c r="P299" s="25">
        <f t="shared" si="7"/>
        <v>-6.1364752086401353E-3</v>
      </c>
      <c r="R299" s="25">
        <v>0.10750000000000005</v>
      </c>
      <c r="S299" s="1">
        <v>0</v>
      </c>
      <c r="U299" s="25">
        <f t="shared" si="9"/>
        <v>0.10250000000000005</v>
      </c>
      <c r="V299" s="1">
        <f t="shared" si="10"/>
        <v>0.33429878823075054</v>
      </c>
    </row>
    <row r="300" spans="2:22">
      <c r="B300" s="63">
        <v>484.29</v>
      </c>
      <c r="C300" s="63">
        <v>486.48</v>
      </c>
      <c r="D300" s="63">
        <v>477.19</v>
      </c>
      <c r="E300" s="63">
        <v>478.07</v>
      </c>
      <c r="F300" s="63">
        <v>6236319</v>
      </c>
      <c r="G300" s="63" t="s">
        <v>251</v>
      </c>
      <c r="H300" s="25">
        <f t="shared" si="8"/>
        <v>1.301064697638421E-2</v>
      </c>
      <c r="J300" s="63">
        <v>37.020000000000003</v>
      </c>
      <c r="K300" s="63">
        <v>37.61</v>
      </c>
      <c r="L300" s="63">
        <v>35.58</v>
      </c>
      <c r="M300" s="63">
        <v>35.664999999999999</v>
      </c>
      <c r="N300" s="63">
        <v>4446828</v>
      </c>
      <c r="O300" s="63" t="s">
        <v>251</v>
      </c>
      <c r="P300" s="25">
        <f t="shared" si="7"/>
        <v>3.7992429552782925E-2</v>
      </c>
      <c r="R300" s="25">
        <v>0.11000000000000006</v>
      </c>
      <c r="S300" s="1">
        <v>1</v>
      </c>
      <c r="U300" s="25">
        <f t="shared" si="9"/>
        <v>0.10500000000000005</v>
      </c>
      <c r="V300" s="1">
        <f t="shared" si="10"/>
        <v>0.28058892224329623</v>
      </c>
    </row>
    <row r="301" spans="2:22">
      <c r="B301" s="63">
        <v>472.37</v>
      </c>
      <c r="C301" s="63">
        <v>479.49</v>
      </c>
      <c r="D301" s="63">
        <v>467.33</v>
      </c>
      <c r="E301" s="63">
        <v>479.02</v>
      </c>
      <c r="F301" s="63">
        <v>7762501</v>
      </c>
      <c r="G301" s="63" t="s">
        <v>252</v>
      </c>
      <c r="H301" s="25">
        <f t="shared" si="8"/>
        <v>-1.388251012483821E-2</v>
      </c>
      <c r="J301" s="63">
        <v>34.86</v>
      </c>
      <c r="K301" s="63">
        <v>35.86</v>
      </c>
      <c r="L301" s="63">
        <v>33.04</v>
      </c>
      <c r="M301" s="63">
        <v>35.65</v>
      </c>
      <c r="N301" s="63">
        <v>4360622</v>
      </c>
      <c r="O301" s="63" t="s">
        <v>252</v>
      </c>
      <c r="P301" s="25">
        <f t="shared" si="7"/>
        <v>-2.2159887798036459E-2</v>
      </c>
      <c r="R301" s="25">
        <v>0.11250000000000006</v>
      </c>
      <c r="S301" s="1">
        <v>0</v>
      </c>
      <c r="U301" s="25">
        <f t="shared" si="9"/>
        <v>0.10750000000000005</v>
      </c>
      <c r="V301" s="1">
        <f t="shared" si="10"/>
        <v>0.2344887437876462</v>
      </c>
    </row>
    <row r="302" spans="2:22">
      <c r="B302" s="63">
        <v>483.9</v>
      </c>
      <c r="C302" s="63">
        <v>488.16</v>
      </c>
      <c r="D302" s="63">
        <v>481.5</v>
      </c>
      <c r="E302" s="63">
        <v>484.79</v>
      </c>
      <c r="F302" s="63">
        <v>5638939</v>
      </c>
      <c r="G302" s="63" t="s">
        <v>253</v>
      </c>
      <c r="H302" s="25">
        <f t="shared" si="8"/>
        <v>-1.8358464489780513E-3</v>
      </c>
      <c r="J302" s="63">
        <v>36.630000000000003</v>
      </c>
      <c r="K302" s="63">
        <v>37.765999999999998</v>
      </c>
      <c r="L302" s="63">
        <v>36.159999999999997</v>
      </c>
      <c r="M302" s="63">
        <v>37.159999999999997</v>
      </c>
      <c r="N302" s="63">
        <v>2411708</v>
      </c>
      <c r="O302" s="63" t="s">
        <v>253</v>
      </c>
      <c r="P302" s="25">
        <f t="shared" si="7"/>
        <v>-1.4262648008611212E-2</v>
      </c>
      <c r="R302" s="25">
        <v>0.11500000000000006</v>
      </c>
      <c r="S302" s="1">
        <v>0</v>
      </c>
      <c r="U302" s="25">
        <f t="shared" si="9"/>
        <v>0.11000000000000006</v>
      </c>
      <c r="V302" s="1">
        <f t="shared" si="10"/>
        <v>0.19511436267301005</v>
      </c>
    </row>
    <row r="303" spans="2:22" ht="15.75" thickBot="1">
      <c r="B303" s="63">
        <v>483.23</v>
      </c>
      <c r="C303" s="63">
        <v>491.76499999999999</v>
      </c>
      <c r="D303" s="63">
        <v>478.23</v>
      </c>
      <c r="E303" s="63">
        <v>488.65</v>
      </c>
      <c r="F303" s="63">
        <v>6374869</v>
      </c>
      <c r="G303" s="63" t="s">
        <v>254</v>
      </c>
      <c r="H303" s="25">
        <f t="shared" si="8"/>
        <v>-1.1091783485111972E-2</v>
      </c>
      <c r="J303" s="63">
        <v>37.72</v>
      </c>
      <c r="K303" s="63">
        <v>38.020000000000003</v>
      </c>
      <c r="L303" s="63">
        <v>36.08</v>
      </c>
      <c r="M303" s="63">
        <v>36.914999999999999</v>
      </c>
      <c r="N303" s="63">
        <v>2794254</v>
      </c>
      <c r="O303" s="63" t="s">
        <v>254</v>
      </c>
      <c r="P303" s="25">
        <f t="shared" si="7"/>
        <v>2.1806853582554409E-2</v>
      </c>
      <c r="R303" s="66" t="s">
        <v>890</v>
      </c>
      <c r="S303" s="73">
        <v>7</v>
      </c>
      <c r="U303" s="25">
        <f t="shared" si="9"/>
        <v>0.11250000000000006</v>
      </c>
      <c r="V303" s="1">
        <f t="shared" si="10"/>
        <v>0.16164870876336365</v>
      </c>
    </row>
    <row r="304" spans="2:22">
      <c r="B304" s="63">
        <v>494.09</v>
      </c>
      <c r="C304" s="63">
        <v>499.27</v>
      </c>
      <c r="D304" s="63">
        <v>493.42</v>
      </c>
      <c r="E304" s="63">
        <v>496.03</v>
      </c>
      <c r="F304" s="63">
        <v>8200583</v>
      </c>
      <c r="G304" s="63" t="s">
        <v>255</v>
      </c>
      <c r="H304" s="25">
        <f t="shared" si="8"/>
        <v>-3.911053766909256E-3</v>
      </c>
      <c r="J304" s="63">
        <v>39.18</v>
      </c>
      <c r="K304" s="63">
        <v>40.479999999999997</v>
      </c>
      <c r="L304" s="63">
        <v>38.700000000000003</v>
      </c>
      <c r="M304" s="63">
        <v>39.229999999999997</v>
      </c>
      <c r="N304" s="63">
        <v>2443333</v>
      </c>
      <c r="O304" s="63" t="s">
        <v>255</v>
      </c>
      <c r="P304" s="25">
        <f t="shared" si="7"/>
        <v>-1.2745347947997754E-3</v>
      </c>
      <c r="U304" s="25">
        <f t="shared" si="9"/>
        <v>0.11500000000000006</v>
      </c>
      <c r="V304" s="1">
        <f t="shared" si="10"/>
        <v>0.13334323910702547</v>
      </c>
    </row>
    <row r="305" spans="2:22">
      <c r="B305" s="63">
        <v>495.48</v>
      </c>
      <c r="C305" s="63">
        <v>500.26</v>
      </c>
      <c r="D305" s="63">
        <v>490.69</v>
      </c>
      <c r="E305" s="63">
        <v>500.05</v>
      </c>
      <c r="F305" s="63">
        <v>7701488</v>
      </c>
      <c r="G305" s="63" t="s">
        <v>256</v>
      </c>
      <c r="H305" s="25">
        <f t="shared" si="8"/>
        <v>-9.1390860913908023E-3</v>
      </c>
      <c r="J305" s="63">
        <v>39.1</v>
      </c>
      <c r="K305" s="63">
        <v>41.53</v>
      </c>
      <c r="L305" s="63">
        <v>37.93</v>
      </c>
      <c r="M305" s="63">
        <v>40.83</v>
      </c>
      <c r="N305" s="63">
        <v>2801739</v>
      </c>
      <c r="O305" s="63" t="s">
        <v>256</v>
      </c>
      <c r="P305" s="25">
        <f t="shared" si="7"/>
        <v>-4.2370805780063581E-2</v>
      </c>
      <c r="U305" s="25">
        <f t="shared" si="9"/>
        <v>0.11750000000000006</v>
      </c>
      <c r="V305" s="1">
        <f t="shared" si="10"/>
        <v>0.10951800445571655</v>
      </c>
    </row>
    <row r="306" spans="2:22">
      <c r="B306" s="63">
        <v>490.55</v>
      </c>
      <c r="C306" s="63">
        <v>493</v>
      </c>
      <c r="D306" s="63">
        <v>478</v>
      </c>
      <c r="E306" s="63">
        <v>480.69</v>
      </c>
      <c r="F306" s="63">
        <v>11541195</v>
      </c>
      <c r="G306" s="63" t="s">
        <v>257</v>
      </c>
      <c r="H306" s="25">
        <f t="shared" si="8"/>
        <v>2.051218040733116E-2</v>
      </c>
      <c r="J306" s="63">
        <v>38.72</v>
      </c>
      <c r="K306" s="63">
        <v>38.984999999999999</v>
      </c>
      <c r="L306" s="63">
        <v>37.398499999999999</v>
      </c>
      <c r="M306" s="63">
        <v>37.75</v>
      </c>
      <c r="N306" s="63">
        <v>2543711</v>
      </c>
      <c r="O306" s="63" t="s">
        <v>257</v>
      </c>
      <c r="P306" s="25">
        <f t="shared" si="7"/>
        <v>2.5695364238410567E-2</v>
      </c>
      <c r="U306" s="25">
        <f t="shared" si="9"/>
        <v>0.12000000000000006</v>
      </c>
      <c r="V306" s="1">
        <f t="shared" ref="V306" si="11">_xlfn.NORM.DIST(U306,$T$201,$T$203,FALSE)</f>
        <v>8.9560354442135892E-2</v>
      </c>
    </row>
    <row r="307" spans="2:22">
      <c r="B307" s="63">
        <v>482.06</v>
      </c>
      <c r="C307" s="63">
        <v>490.3</v>
      </c>
      <c r="D307" s="63">
        <v>468.33</v>
      </c>
      <c r="E307" s="63">
        <v>489.15</v>
      </c>
      <c r="F307" s="63">
        <v>16651303</v>
      </c>
      <c r="G307" s="63" t="s">
        <v>258</v>
      </c>
      <c r="H307" s="25">
        <f t="shared" si="8"/>
        <v>-1.4494531329857896E-2</v>
      </c>
      <c r="J307" s="63">
        <v>38.24</v>
      </c>
      <c r="K307" s="63">
        <v>41.66</v>
      </c>
      <c r="L307" s="63">
        <v>37.44</v>
      </c>
      <c r="M307" s="63">
        <v>41.66</v>
      </c>
      <c r="N307" s="63">
        <v>5404688</v>
      </c>
      <c r="O307" s="63" t="s">
        <v>258</v>
      </c>
      <c r="P307" s="25">
        <f t="shared" si="7"/>
        <v>-8.2093134901584097E-2</v>
      </c>
    </row>
    <row r="308" spans="2:22">
      <c r="B308" s="63">
        <v>499.1</v>
      </c>
      <c r="C308" s="63">
        <v>502.06119999999999</v>
      </c>
      <c r="D308" s="63">
        <v>453.16</v>
      </c>
      <c r="E308" s="63">
        <v>453.49</v>
      </c>
      <c r="F308" s="63">
        <v>29286594</v>
      </c>
      <c r="G308" s="63" t="s">
        <v>259</v>
      </c>
      <c r="H308" s="25">
        <f t="shared" si="8"/>
        <v>0.10057553639551031</v>
      </c>
      <c r="J308" s="63">
        <v>43.27</v>
      </c>
      <c r="K308" s="63">
        <v>44.28</v>
      </c>
      <c r="L308" s="63">
        <v>35.31</v>
      </c>
      <c r="M308" s="63">
        <v>36.299999999999997</v>
      </c>
      <c r="N308" s="63">
        <v>7185372</v>
      </c>
      <c r="O308" s="63" t="s">
        <v>259</v>
      </c>
      <c r="P308" s="25">
        <f t="shared" si="7"/>
        <v>0.19201101928374675</v>
      </c>
    </row>
    <row r="309" spans="2:22">
      <c r="B309" s="63">
        <v>456.74</v>
      </c>
      <c r="C309" s="63">
        <v>482.49</v>
      </c>
      <c r="D309" s="63">
        <v>449.6</v>
      </c>
      <c r="E309" s="63">
        <v>479.68</v>
      </c>
      <c r="F309" s="63">
        <v>19002684</v>
      </c>
      <c r="G309" s="63" t="s">
        <v>260</v>
      </c>
      <c r="H309" s="25">
        <f t="shared" si="8"/>
        <v>-4.7823549032688484E-2</v>
      </c>
      <c r="J309" s="63">
        <v>35.299999999999997</v>
      </c>
      <c r="K309" s="63">
        <v>39.94</v>
      </c>
      <c r="L309" s="63">
        <v>34.1</v>
      </c>
      <c r="M309" s="63">
        <v>38.44</v>
      </c>
      <c r="N309" s="63">
        <v>6529042</v>
      </c>
      <c r="O309" s="63" t="s">
        <v>260</v>
      </c>
      <c r="P309" s="25">
        <f t="shared" si="7"/>
        <v>-8.1685744016649298E-2</v>
      </c>
    </row>
    <row r="310" spans="2:22">
      <c r="B310" s="63">
        <v>463.56</v>
      </c>
      <c r="C310" s="63">
        <v>480.76</v>
      </c>
      <c r="D310" s="63">
        <v>442.8</v>
      </c>
      <c r="E310" s="63">
        <v>449.54</v>
      </c>
      <c r="F310" s="63">
        <v>31285267</v>
      </c>
      <c r="G310" s="63" t="s">
        <v>261</v>
      </c>
      <c r="H310" s="25">
        <f t="shared" si="8"/>
        <v>3.1187436045735595E-2</v>
      </c>
      <c r="J310" s="63">
        <v>35.909999999999997</v>
      </c>
      <c r="K310" s="63">
        <v>38.99</v>
      </c>
      <c r="L310" s="63">
        <v>29.09</v>
      </c>
      <c r="M310" s="63">
        <v>30.08</v>
      </c>
      <c r="N310" s="63">
        <v>7606482</v>
      </c>
      <c r="O310" s="63" t="s">
        <v>261</v>
      </c>
      <c r="P310" s="25">
        <f t="shared" si="7"/>
        <v>0.19381648936170204</v>
      </c>
    </row>
    <row r="311" spans="2:22">
      <c r="B311" s="63">
        <v>465.52</v>
      </c>
      <c r="C311" s="63">
        <v>483.3</v>
      </c>
      <c r="D311" s="63">
        <v>464.24</v>
      </c>
      <c r="E311" s="63">
        <v>481.28</v>
      </c>
      <c r="F311" s="63">
        <v>30966508</v>
      </c>
      <c r="G311" s="63" t="s">
        <v>262</v>
      </c>
      <c r="H311" s="25">
        <f t="shared" si="8"/>
        <v>-3.2746010638297851E-2</v>
      </c>
      <c r="J311" s="63">
        <v>33.299999999999997</v>
      </c>
      <c r="K311" s="63">
        <v>34.1</v>
      </c>
      <c r="L311" s="63">
        <v>30.82</v>
      </c>
      <c r="M311" s="63">
        <v>33.984999999999999</v>
      </c>
      <c r="N311" s="63">
        <v>8429048</v>
      </c>
      <c r="O311" s="63" t="s">
        <v>262</v>
      </c>
      <c r="P311" s="25">
        <f t="shared" si="7"/>
        <v>-2.0155951154921303E-2</v>
      </c>
    </row>
    <row r="312" spans="2:22">
      <c r="B312" s="63">
        <v>494.16</v>
      </c>
      <c r="C312" s="63">
        <v>503.66</v>
      </c>
      <c r="D312" s="63">
        <v>493.5</v>
      </c>
      <c r="E312" s="63">
        <v>501</v>
      </c>
      <c r="F312" s="63">
        <v>16226023</v>
      </c>
      <c r="G312" s="63" t="s">
        <v>263</v>
      </c>
      <c r="H312" s="25">
        <f t="shared" si="8"/>
        <v>-1.3652694610778449E-2</v>
      </c>
      <c r="J312" s="63">
        <v>37.14</v>
      </c>
      <c r="K312" s="63">
        <v>39.21</v>
      </c>
      <c r="L312" s="63">
        <v>37.07</v>
      </c>
      <c r="M312" s="63">
        <v>38.325000000000003</v>
      </c>
      <c r="N312" s="63">
        <v>6092461</v>
      </c>
      <c r="O312" s="63" t="s">
        <v>263</v>
      </c>
      <c r="P312" s="25">
        <f t="shared" si="7"/>
        <v>-3.091976516634054E-2</v>
      </c>
    </row>
    <row r="313" spans="2:22">
      <c r="B313" s="63">
        <v>518.91</v>
      </c>
      <c r="C313" s="63">
        <v>521.49</v>
      </c>
      <c r="D313" s="63">
        <v>509.9298</v>
      </c>
      <c r="E313" s="63">
        <v>510.14</v>
      </c>
      <c r="F313" s="63">
        <v>6308643</v>
      </c>
      <c r="G313" s="63" t="s">
        <v>264</v>
      </c>
      <c r="H313" s="25">
        <f t="shared" si="8"/>
        <v>1.7191359234719927E-2</v>
      </c>
      <c r="J313" s="63">
        <v>43.04</v>
      </c>
      <c r="K313" s="63">
        <v>44.773000000000003</v>
      </c>
      <c r="L313" s="63">
        <v>40.024999999999999</v>
      </c>
      <c r="M313" s="63">
        <v>40.08</v>
      </c>
      <c r="N313" s="63">
        <v>5069816</v>
      </c>
      <c r="O313" s="63" t="s">
        <v>264</v>
      </c>
      <c r="P313" s="25">
        <f t="shared" si="7"/>
        <v>7.385229540918159E-2</v>
      </c>
    </row>
    <row r="314" spans="2:22">
      <c r="B314" s="63">
        <v>515.79999999999995</v>
      </c>
      <c r="C314" s="63">
        <v>517.35</v>
      </c>
      <c r="D314" s="63">
        <v>508.88</v>
      </c>
      <c r="E314" s="63">
        <v>512.36</v>
      </c>
      <c r="F314" s="63">
        <v>7697017</v>
      </c>
      <c r="G314" s="63" t="s">
        <v>265</v>
      </c>
      <c r="H314" s="25">
        <f t="shared" si="8"/>
        <v>6.7140291982199507E-3</v>
      </c>
      <c r="J314" s="63">
        <v>41.72</v>
      </c>
      <c r="K314" s="63">
        <v>41.73</v>
      </c>
      <c r="L314" s="63">
        <v>39.03</v>
      </c>
      <c r="M314" s="63">
        <v>40</v>
      </c>
      <c r="N314" s="63">
        <v>3728020</v>
      </c>
      <c r="O314" s="63" t="s">
        <v>265</v>
      </c>
      <c r="P314" s="25">
        <f t="shared" ref="P314:P377" si="12">J314/M314-1</f>
        <v>4.2999999999999927E-2</v>
      </c>
    </row>
    <row r="315" spans="2:22">
      <c r="B315" s="63">
        <v>513.91</v>
      </c>
      <c r="C315" s="63">
        <v>515.33000000000004</v>
      </c>
      <c r="D315" s="63">
        <v>502.64</v>
      </c>
      <c r="E315" s="63">
        <v>505.31</v>
      </c>
      <c r="F315" s="63">
        <v>8196668</v>
      </c>
      <c r="G315" s="63" t="s">
        <v>266</v>
      </c>
      <c r="H315" s="25">
        <f t="shared" ref="H315:H378" si="13">B315/E315-1</f>
        <v>1.7019255506520725E-2</v>
      </c>
      <c r="J315" s="63">
        <v>40.159999999999997</v>
      </c>
      <c r="K315" s="63">
        <v>40.35</v>
      </c>
      <c r="L315" s="63">
        <v>37.409999999999997</v>
      </c>
      <c r="M315" s="63">
        <v>38.54</v>
      </c>
      <c r="N315" s="63">
        <v>5106743</v>
      </c>
      <c r="O315" s="63" t="s">
        <v>266</v>
      </c>
      <c r="P315" s="25">
        <f t="shared" si="12"/>
        <v>4.2034250129735273E-2</v>
      </c>
    </row>
    <row r="316" spans="2:22">
      <c r="B316" s="63">
        <v>510.8</v>
      </c>
      <c r="C316" s="63">
        <v>520.46</v>
      </c>
      <c r="D316" s="63">
        <v>510.16</v>
      </c>
      <c r="E316" s="63">
        <v>519.76</v>
      </c>
      <c r="F316" s="63">
        <v>5831793</v>
      </c>
      <c r="G316" s="63" t="s">
        <v>267</v>
      </c>
      <c r="H316" s="25">
        <f t="shared" si="13"/>
        <v>-1.7238725565645652E-2</v>
      </c>
      <c r="J316" s="63">
        <v>40.51</v>
      </c>
      <c r="K316" s="63">
        <v>42.534999999999997</v>
      </c>
      <c r="L316" s="63">
        <v>40.18</v>
      </c>
      <c r="M316" s="63">
        <v>41.87</v>
      </c>
      <c r="N316" s="63">
        <v>3012002</v>
      </c>
      <c r="O316" s="63" t="s">
        <v>267</v>
      </c>
      <c r="P316" s="25">
        <f t="shared" si="12"/>
        <v>-3.2481490327203266E-2</v>
      </c>
    </row>
    <row r="317" spans="2:22">
      <c r="B317" s="63">
        <v>521.21</v>
      </c>
      <c r="C317" s="63">
        <v>524.678</v>
      </c>
      <c r="D317" s="63">
        <v>519.23</v>
      </c>
      <c r="E317" s="63">
        <v>521.29</v>
      </c>
      <c r="F317" s="63">
        <v>5534928</v>
      </c>
      <c r="G317" s="63" t="s">
        <v>268</v>
      </c>
      <c r="H317" s="25">
        <f t="shared" si="13"/>
        <v>-1.5346544150074415E-4</v>
      </c>
      <c r="J317" s="63">
        <v>42.43</v>
      </c>
      <c r="K317" s="63">
        <v>43.57</v>
      </c>
      <c r="L317" s="63">
        <v>41.31</v>
      </c>
      <c r="M317" s="63">
        <v>43.47</v>
      </c>
      <c r="N317" s="63">
        <v>6272936</v>
      </c>
      <c r="O317" s="63" t="s">
        <v>268</v>
      </c>
      <c r="P317" s="25">
        <f t="shared" si="12"/>
        <v>-2.3924545663676078E-2</v>
      </c>
    </row>
    <row r="318" spans="2:22">
      <c r="B318" s="63">
        <v>522.64789999999982</v>
      </c>
      <c r="C318" s="63">
        <v>529.57388654806823</v>
      </c>
      <c r="D318" s="63">
        <v>521.2925990351979</v>
      </c>
      <c r="E318" s="63">
        <v>528.72682344506711</v>
      </c>
      <c r="F318" s="63">
        <v>4444984.1890879134</v>
      </c>
      <c r="G318" s="63" t="s">
        <v>269</v>
      </c>
      <c r="H318" s="25">
        <f t="shared" si="13"/>
        <v>-1.1497285886610364E-2</v>
      </c>
      <c r="J318" s="63">
        <v>44.95</v>
      </c>
      <c r="K318" s="63">
        <v>48.865000000000002</v>
      </c>
      <c r="L318" s="63">
        <v>44.18</v>
      </c>
      <c r="M318" s="63">
        <v>48.53</v>
      </c>
      <c r="N318" s="63">
        <v>4799213</v>
      </c>
      <c r="O318" s="63" t="s">
        <v>269</v>
      </c>
      <c r="P318" s="25">
        <f t="shared" si="12"/>
        <v>-7.3768802802390288E-2</v>
      </c>
    </row>
    <row r="319" spans="2:22">
      <c r="B319" s="63">
        <v>528.81651247950253</v>
      </c>
      <c r="C319" s="63">
        <v>529.76323006520977</v>
      </c>
      <c r="D319" s="63">
        <v>527.28183344582988</v>
      </c>
      <c r="E319" s="63">
        <v>528.75671978987896</v>
      </c>
      <c r="F319" s="63">
        <v>6281904.064935497</v>
      </c>
      <c r="G319" s="63" t="s">
        <v>270</v>
      </c>
      <c r="H319" s="25">
        <f t="shared" si="13"/>
        <v>1.1308166380818996E-4</v>
      </c>
      <c r="J319" s="63">
        <v>49.18</v>
      </c>
      <c r="K319" s="63">
        <v>50.475000000000001</v>
      </c>
      <c r="L319" s="63">
        <v>48.578699999999998</v>
      </c>
      <c r="M319" s="63">
        <v>49.536000000000001</v>
      </c>
      <c r="N319" s="63">
        <v>3052759</v>
      </c>
      <c r="O319" s="63" t="s">
        <v>270</v>
      </c>
      <c r="P319" s="25">
        <f t="shared" si="12"/>
        <v>-7.1866925064599796E-3</v>
      </c>
    </row>
    <row r="320" spans="2:22">
      <c r="B320" s="63">
        <v>527.56086599740661</v>
      </c>
      <c r="C320" s="63">
        <v>528.55741082446684</v>
      </c>
      <c r="D320" s="63">
        <v>524.06299365442533</v>
      </c>
      <c r="E320" s="63">
        <v>524.66092055066144</v>
      </c>
      <c r="F320" s="63">
        <v>22453848.931221198</v>
      </c>
      <c r="G320" s="63" t="s">
        <v>271</v>
      </c>
      <c r="H320" s="25">
        <f t="shared" si="13"/>
        <v>5.5272754900470566E-3</v>
      </c>
      <c r="J320" s="63">
        <v>50.53</v>
      </c>
      <c r="K320" s="63">
        <v>50.75</v>
      </c>
      <c r="L320" s="63">
        <v>47.6</v>
      </c>
      <c r="M320" s="63">
        <v>47.664999999999999</v>
      </c>
      <c r="N320" s="63">
        <v>5601882</v>
      </c>
      <c r="O320" s="63" t="s">
        <v>271</v>
      </c>
      <c r="P320" s="25">
        <f t="shared" si="12"/>
        <v>6.010699674813802E-2</v>
      </c>
    </row>
    <row r="321" spans="2:16">
      <c r="B321" s="63">
        <v>518.46241172634689</v>
      </c>
      <c r="C321" s="63">
        <v>519.15002765701854</v>
      </c>
      <c r="D321" s="63">
        <v>512.87677797067442</v>
      </c>
      <c r="E321" s="63">
        <v>514.00785634938768</v>
      </c>
      <c r="F321" s="63">
        <v>5076551.3628965141</v>
      </c>
      <c r="G321" s="63" t="s">
        <v>272</v>
      </c>
      <c r="H321" s="25">
        <f t="shared" si="13"/>
        <v>8.666317687431091E-3</v>
      </c>
      <c r="J321" s="63">
        <v>46.34</v>
      </c>
      <c r="K321" s="63">
        <v>46.63</v>
      </c>
      <c r="L321" s="63">
        <v>43.57</v>
      </c>
      <c r="M321" s="63">
        <v>44.92</v>
      </c>
      <c r="N321" s="63">
        <v>3273357</v>
      </c>
      <c r="O321" s="63" t="s">
        <v>272</v>
      </c>
      <c r="P321" s="25">
        <f t="shared" si="12"/>
        <v>3.1611754229741829E-2</v>
      </c>
    </row>
    <row r="322" spans="2:16">
      <c r="B322" s="63">
        <v>518.33286089882904</v>
      </c>
      <c r="C322" s="63">
        <v>522.80236444819411</v>
      </c>
      <c r="D322" s="63">
        <v>515.53256993478999</v>
      </c>
      <c r="E322" s="63">
        <v>516.17035862410842</v>
      </c>
      <c r="F322" s="63">
        <v>6050643.0180241829</v>
      </c>
      <c r="G322" s="63" t="s">
        <v>273</v>
      </c>
      <c r="H322" s="25">
        <f t="shared" si="13"/>
        <v>4.1895127036835067E-3</v>
      </c>
      <c r="J322" s="63">
        <v>46.49</v>
      </c>
      <c r="K322" s="63">
        <v>47.31</v>
      </c>
      <c r="L322" s="63">
        <v>45.401000000000003</v>
      </c>
      <c r="M322" s="63">
        <v>45.58</v>
      </c>
      <c r="N322" s="63">
        <v>2653314</v>
      </c>
      <c r="O322" s="63" t="s">
        <v>273</v>
      </c>
      <c r="P322" s="25">
        <f t="shared" si="12"/>
        <v>1.9964896884598682E-2</v>
      </c>
    </row>
    <row r="323" spans="2:16">
      <c r="B323" s="63">
        <v>519.52871469130139</v>
      </c>
      <c r="C323" s="63">
        <v>523.14617241352994</v>
      </c>
      <c r="D323" s="63">
        <v>514.63478270009125</v>
      </c>
      <c r="E323" s="63">
        <v>515.75180979674315</v>
      </c>
      <c r="F323" s="63">
        <v>5392581.3009867659</v>
      </c>
      <c r="G323" s="63" t="s">
        <v>274</v>
      </c>
      <c r="H323" s="25">
        <f t="shared" si="13"/>
        <v>7.3231054604474544E-3</v>
      </c>
      <c r="J323" s="63">
        <v>46.77</v>
      </c>
      <c r="K323" s="63">
        <v>47.53</v>
      </c>
      <c r="L323" s="63">
        <v>43.95</v>
      </c>
      <c r="M323" s="63">
        <v>44.61</v>
      </c>
      <c r="N323" s="63">
        <v>4636890</v>
      </c>
      <c r="O323" s="63" t="s">
        <v>274</v>
      </c>
      <c r="P323" s="25">
        <f t="shared" si="12"/>
        <v>4.8419636852723658E-2</v>
      </c>
    </row>
    <row r="324" spans="2:16">
      <c r="B324" s="63">
        <v>514.12744172863495</v>
      </c>
      <c r="C324" s="63">
        <v>517.72496855432234</v>
      </c>
      <c r="D324" s="63">
        <v>512.29459648270586</v>
      </c>
      <c r="E324" s="63">
        <v>517.52565958891034</v>
      </c>
      <c r="F324" s="63">
        <v>6031437.6601914996</v>
      </c>
      <c r="G324" s="63" t="s">
        <v>275</v>
      </c>
      <c r="H324" s="25">
        <f t="shared" si="13"/>
        <v>-6.5662789802050092E-3</v>
      </c>
      <c r="J324" s="63">
        <v>44.07</v>
      </c>
      <c r="K324" s="63">
        <v>47</v>
      </c>
      <c r="L324" s="63">
        <v>43.4604</v>
      </c>
      <c r="M324" s="63">
        <v>46.685000000000002</v>
      </c>
      <c r="N324" s="63">
        <v>5275792</v>
      </c>
      <c r="O324" s="63" t="s">
        <v>275</v>
      </c>
      <c r="P324" s="25">
        <f t="shared" si="12"/>
        <v>-5.6013708900075065E-2</v>
      </c>
    </row>
    <row r="325" spans="2:16">
      <c r="B325" s="63">
        <v>519.60843827746612</v>
      </c>
      <c r="C325" s="63">
        <v>522.03004220722255</v>
      </c>
      <c r="D325" s="63">
        <v>515.29339917629545</v>
      </c>
      <c r="E325" s="63">
        <v>515.66212076230772</v>
      </c>
      <c r="F325" s="63">
        <v>6291581.5021547033</v>
      </c>
      <c r="G325" s="63" t="s">
        <v>276</v>
      </c>
      <c r="H325" s="25">
        <f t="shared" si="13"/>
        <v>7.6529133249587655E-3</v>
      </c>
      <c r="J325" s="63">
        <v>47.02</v>
      </c>
      <c r="K325" s="63">
        <v>49.13</v>
      </c>
      <c r="L325" s="63">
        <v>46.15</v>
      </c>
      <c r="M325" s="63">
        <v>49.125</v>
      </c>
      <c r="N325" s="63">
        <v>5608632</v>
      </c>
      <c r="O325" s="63" t="s">
        <v>276</v>
      </c>
      <c r="P325" s="25">
        <f t="shared" si="12"/>
        <v>-4.2849872773536801E-2</v>
      </c>
    </row>
    <row r="326" spans="2:16">
      <c r="B326" s="63">
        <v>515.6720862105783</v>
      </c>
      <c r="C326" s="63">
        <v>516.62876924455611</v>
      </c>
      <c r="D326" s="63">
        <v>509.07495945543968</v>
      </c>
      <c r="E326" s="63">
        <v>509.51343917934616</v>
      </c>
      <c r="F326" s="63">
        <v>7437960.4396382375</v>
      </c>
      <c r="G326" s="63" t="s">
        <v>277</v>
      </c>
      <c r="H326" s="25">
        <f t="shared" si="13"/>
        <v>1.2087310280081365E-2</v>
      </c>
      <c r="J326" s="63">
        <v>49.15</v>
      </c>
      <c r="K326" s="63">
        <v>49.2</v>
      </c>
      <c r="L326" s="63">
        <v>46.21</v>
      </c>
      <c r="M326" s="63">
        <v>46.49</v>
      </c>
      <c r="N326" s="63">
        <v>5097968</v>
      </c>
      <c r="O326" s="63" t="s">
        <v>277</v>
      </c>
      <c r="P326" s="25">
        <f t="shared" si="12"/>
        <v>5.7216605721660541E-2</v>
      </c>
    </row>
    <row r="327" spans="2:16">
      <c r="B327" s="63">
        <v>505.2980545608815</v>
      </c>
      <c r="C327" s="63">
        <v>512.28383379857348</v>
      </c>
      <c r="D327" s="63">
        <v>503.67368649277336</v>
      </c>
      <c r="E327" s="63">
        <v>511.73573414369048</v>
      </c>
      <c r="F327" s="63">
        <v>21725060.842337649</v>
      </c>
      <c r="G327" s="63" t="s">
        <v>278</v>
      </c>
      <c r="H327" s="25">
        <f t="shared" si="13"/>
        <v>-1.2580086074273189E-2</v>
      </c>
      <c r="J327" s="63">
        <v>44.95</v>
      </c>
      <c r="K327" s="63">
        <v>47.27</v>
      </c>
      <c r="L327" s="63">
        <v>43.86</v>
      </c>
      <c r="M327" s="63">
        <v>46.46</v>
      </c>
      <c r="N327" s="63">
        <v>3986384</v>
      </c>
      <c r="O327" s="63" t="s">
        <v>278</v>
      </c>
      <c r="P327" s="25">
        <f t="shared" si="12"/>
        <v>-3.2501076194575984E-2</v>
      </c>
    </row>
    <row r="328" spans="2:16">
      <c r="B328" s="63">
        <v>511.98487035045554</v>
      </c>
      <c r="C328" s="63">
        <v>515.95111876215515</v>
      </c>
      <c r="D328" s="63">
        <v>507.34097145635496</v>
      </c>
      <c r="E328" s="63">
        <v>515.10405565915403</v>
      </c>
      <c r="F328" s="63">
        <v>8620339.7646867074</v>
      </c>
      <c r="G328" s="63" t="s">
        <v>279</v>
      </c>
      <c r="H328" s="25">
        <f t="shared" si="13"/>
        <v>-6.0554470003288952E-3</v>
      </c>
      <c r="J328" s="63">
        <v>47.53</v>
      </c>
      <c r="K328" s="63">
        <v>47.58</v>
      </c>
      <c r="L328" s="63">
        <v>44.87</v>
      </c>
      <c r="M328" s="63">
        <v>45.738</v>
      </c>
      <c r="N328" s="63">
        <v>7387124</v>
      </c>
      <c r="O328" s="63" t="s">
        <v>279</v>
      </c>
      <c r="P328" s="25">
        <f t="shared" si="12"/>
        <v>3.9179675543312031E-2</v>
      </c>
    </row>
    <row r="329" spans="2:16">
      <c r="B329" s="63">
        <v>509.51343917934616</v>
      </c>
      <c r="C329" s="63">
        <v>515.74174469398986</v>
      </c>
      <c r="D329" s="63">
        <v>505.77639607787034</v>
      </c>
      <c r="E329" s="63">
        <v>512.55290090187987</v>
      </c>
      <c r="F329" s="63">
        <v>11247777.014774196</v>
      </c>
      <c r="G329" s="63" t="s">
        <v>280</v>
      </c>
      <c r="H329" s="25">
        <f t="shared" si="13"/>
        <v>-5.9300449127992483E-3</v>
      </c>
      <c r="J329" s="63">
        <v>43.36</v>
      </c>
      <c r="K329" s="63">
        <v>43.87</v>
      </c>
      <c r="L329" s="63">
        <v>39.200000000000003</v>
      </c>
      <c r="M329" s="63">
        <v>39.380000000000003</v>
      </c>
      <c r="N329" s="63">
        <v>6282697</v>
      </c>
      <c r="O329" s="63" t="s">
        <v>280</v>
      </c>
      <c r="P329" s="25">
        <f t="shared" si="12"/>
        <v>0.10106653123412901</v>
      </c>
    </row>
    <row r="330" spans="2:16">
      <c r="B330" s="63">
        <v>513.72882379781095</v>
      </c>
      <c r="C330" s="63">
        <v>521.89052593143413</v>
      </c>
      <c r="D330" s="63">
        <v>509.0649940071691</v>
      </c>
      <c r="E330" s="63">
        <v>520.09674524272566</v>
      </c>
      <c r="F330" s="63">
        <v>11215642.986148039</v>
      </c>
      <c r="G330" s="63" t="s">
        <v>281</v>
      </c>
      <c r="H330" s="25">
        <f t="shared" si="13"/>
        <v>-1.2243724851504045E-2</v>
      </c>
      <c r="J330" s="63">
        <v>39.450000000000003</v>
      </c>
      <c r="K330" s="63">
        <v>42.46</v>
      </c>
      <c r="L330" s="63">
        <v>38.695399999999999</v>
      </c>
      <c r="M330" s="63">
        <v>41.822000000000003</v>
      </c>
      <c r="N330" s="63">
        <v>6023081</v>
      </c>
      <c r="O330" s="63" t="s">
        <v>281</v>
      </c>
      <c r="P330" s="25">
        <f t="shared" si="12"/>
        <v>-5.67165606618526E-2</v>
      </c>
    </row>
    <row r="331" spans="2:16">
      <c r="B331" s="63">
        <v>527.68045137665388</v>
      </c>
      <c r="C331" s="63">
        <v>529.04571778972638</v>
      </c>
      <c r="D331" s="63">
        <v>518.33286089882904</v>
      </c>
      <c r="E331" s="63">
        <v>523.08637972390625</v>
      </c>
      <c r="F331" s="63">
        <v>7333618.9216487836</v>
      </c>
      <c r="G331" s="63" t="s">
        <v>282</v>
      </c>
      <c r="H331" s="25">
        <f t="shared" si="13"/>
        <v>8.782625261954724E-3</v>
      </c>
      <c r="J331" s="63">
        <v>43.7</v>
      </c>
      <c r="K331" s="63">
        <v>44.34</v>
      </c>
      <c r="L331" s="63">
        <v>39.47</v>
      </c>
      <c r="M331" s="63">
        <v>43.25</v>
      </c>
      <c r="N331" s="63">
        <v>8374668</v>
      </c>
      <c r="O331" s="63" t="s">
        <v>282</v>
      </c>
      <c r="P331" s="25">
        <f t="shared" si="12"/>
        <v>1.0404624277456698E-2</v>
      </c>
    </row>
    <row r="332" spans="2:16">
      <c r="B332" s="63">
        <v>524.85026406780287</v>
      </c>
      <c r="C332" s="63">
        <v>531.58690709872985</v>
      </c>
      <c r="D332" s="63">
        <v>522.4087292415054</v>
      </c>
      <c r="E332" s="63">
        <v>527.36155703199472</v>
      </c>
      <c r="F332" s="63">
        <v>7253989.7892252151</v>
      </c>
      <c r="G332" s="63" t="s">
        <v>283</v>
      </c>
      <c r="H332" s="25">
        <f t="shared" si="13"/>
        <v>-4.7619947466885915E-3</v>
      </c>
      <c r="J332" s="63">
        <v>42.07</v>
      </c>
      <c r="K332" s="63">
        <v>43.95</v>
      </c>
      <c r="L332" s="63">
        <v>39.880000000000003</v>
      </c>
      <c r="M332" s="63">
        <v>43.58</v>
      </c>
      <c r="N332" s="63">
        <v>11877506</v>
      </c>
      <c r="O332" s="63" t="s">
        <v>283</v>
      </c>
      <c r="P332" s="25">
        <f t="shared" si="12"/>
        <v>-3.4648921523634635E-2</v>
      </c>
    </row>
    <row r="333" spans="2:16">
      <c r="B333" s="63">
        <v>534.54664523509871</v>
      </c>
      <c r="C333" s="63">
        <v>535.93194219919519</v>
      </c>
      <c r="D333" s="63">
        <v>525.10936572283845</v>
      </c>
      <c r="E333" s="63">
        <v>528.41789454867842</v>
      </c>
      <c r="F333" s="63">
        <v>6243316.7390512833</v>
      </c>
      <c r="G333" s="63" t="s">
        <v>284</v>
      </c>
      <c r="H333" s="25">
        <f t="shared" si="13"/>
        <v>1.1598302687411577E-2</v>
      </c>
      <c r="J333" s="63">
        <v>46.73</v>
      </c>
      <c r="K333" s="63">
        <v>48.51</v>
      </c>
      <c r="L333" s="63">
        <v>43.9</v>
      </c>
      <c r="M333" s="63">
        <v>47.204999999999998</v>
      </c>
      <c r="N333" s="63">
        <v>18851192</v>
      </c>
      <c r="O333" s="63" t="s">
        <v>284</v>
      </c>
      <c r="P333" s="25">
        <f t="shared" si="12"/>
        <v>-1.0062493379938586E-2</v>
      </c>
    </row>
    <row r="334" spans="2:16">
      <c r="B334" s="63">
        <v>528.61720351409053</v>
      </c>
      <c r="C334" s="63">
        <v>536.42004985548931</v>
      </c>
      <c r="D334" s="63">
        <v>524.34202620600217</v>
      </c>
      <c r="E334" s="63">
        <v>531.21818551271758</v>
      </c>
      <c r="F334" s="63">
        <v>10513761.865493005</v>
      </c>
      <c r="G334" s="63" t="s">
        <v>285</v>
      </c>
      <c r="H334" s="25">
        <f t="shared" si="13"/>
        <v>-4.8962593329079374E-3</v>
      </c>
      <c r="J334" s="63">
        <v>54.32</v>
      </c>
      <c r="K334" s="63">
        <v>55.87</v>
      </c>
      <c r="L334" s="63">
        <v>48.4</v>
      </c>
      <c r="M334" s="63">
        <v>49.01</v>
      </c>
      <c r="N334" s="63">
        <v>11929504</v>
      </c>
      <c r="O334" s="63" t="s">
        <v>285</v>
      </c>
      <c r="P334" s="25">
        <f t="shared" si="12"/>
        <v>0.1083452356661907</v>
      </c>
    </row>
    <row r="335" spans="2:16">
      <c r="B335" s="63">
        <v>535.06484854517009</v>
      </c>
      <c r="C335" s="63">
        <v>547.39210805590494</v>
      </c>
      <c r="D335" s="63">
        <v>531.40852557468611</v>
      </c>
      <c r="E335" s="63">
        <v>546.3058741944094</v>
      </c>
      <c r="F335" s="63">
        <v>7315273.535165838</v>
      </c>
      <c r="G335" s="63" t="s">
        <v>286</v>
      </c>
      <c r="H335" s="25">
        <f t="shared" si="13"/>
        <v>-2.0576431959139163E-2</v>
      </c>
      <c r="J335" s="63">
        <v>50.42</v>
      </c>
      <c r="K335" s="63">
        <v>57.5</v>
      </c>
      <c r="L335" s="63">
        <v>49.65</v>
      </c>
      <c r="M335" s="63">
        <v>56.8</v>
      </c>
      <c r="N335" s="63">
        <v>6847987</v>
      </c>
      <c r="O335" s="63" t="s">
        <v>286</v>
      </c>
      <c r="P335" s="25">
        <f t="shared" si="12"/>
        <v>-0.11232394366197174</v>
      </c>
    </row>
    <row r="336" spans="2:16">
      <c r="B336" s="63">
        <v>544.44233536780678</v>
      </c>
      <c r="C336" s="63">
        <v>545.00040047096036</v>
      </c>
      <c r="D336" s="63">
        <v>533.72947847690943</v>
      </c>
      <c r="E336" s="63">
        <v>536.55966578576033</v>
      </c>
      <c r="F336" s="63">
        <v>7353458.470721879</v>
      </c>
      <c r="G336" s="63" t="s">
        <v>287</v>
      </c>
      <c r="H336" s="25">
        <f t="shared" si="13"/>
        <v>1.4691133315998917E-2</v>
      </c>
      <c r="J336" s="63">
        <v>55.18</v>
      </c>
      <c r="K336" s="63">
        <v>56.255000000000003</v>
      </c>
      <c r="L336" s="63">
        <v>48.51</v>
      </c>
      <c r="M336" s="63">
        <v>50.54</v>
      </c>
      <c r="N336" s="63">
        <v>8884581</v>
      </c>
      <c r="O336" s="63" t="s">
        <v>287</v>
      </c>
      <c r="P336" s="25">
        <f t="shared" si="12"/>
        <v>9.1808468539770427E-2</v>
      </c>
    </row>
    <row r="337" spans="2:16">
      <c r="B337" s="63">
        <v>536.11122061358333</v>
      </c>
      <c r="C337" s="63">
        <v>547.98006950387048</v>
      </c>
      <c r="D337" s="63">
        <v>535.74249902757106</v>
      </c>
      <c r="E337" s="63">
        <v>546.93369743545725</v>
      </c>
      <c r="F337" s="63">
        <v>5540494.3662071563</v>
      </c>
      <c r="G337" s="63" t="s">
        <v>288</v>
      </c>
      <c r="H337" s="25">
        <f t="shared" si="13"/>
        <v>-1.9787548056775295E-2</v>
      </c>
      <c r="J337" s="63">
        <v>52.6</v>
      </c>
      <c r="K337" s="63">
        <v>62.75</v>
      </c>
      <c r="L337" s="63">
        <v>52.16</v>
      </c>
      <c r="M337" s="63">
        <v>62.74</v>
      </c>
      <c r="N337" s="63">
        <v>7391024</v>
      </c>
      <c r="O337" s="63" t="s">
        <v>288</v>
      </c>
      <c r="P337" s="25">
        <f t="shared" si="12"/>
        <v>-0.16161938157475297</v>
      </c>
    </row>
    <row r="338" spans="2:16">
      <c r="B338" s="63">
        <v>544.86088419517193</v>
      </c>
      <c r="C338" s="63">
        <v>549.4400076755137</v>
      </c>
      <c r="D338" s="63">
        <v>542.36952212752146</v>
      </c>
      <c r="E338" s="63">
        <v>546.11653067726786</v>
      </c>
      <c r="F338" s="63">
        <v>4195298.4817886017</v>
      </c>
      <c r="G338" s="63" t="s">
        <v>289</v>
      </c>
      <c r="H338" s="25">
        <f t="shared" si="13"/>
        <v>-2.2992281162753647E-3</v>
      </c>
      <c r="J338" s="63">
        <v>61.29</v>
      </c>
      <c r="K338" s="63">
        <v>63.7</v>
      </c>
      <c r="L338" s="63">
        <v>58.58</v>
      </c>
      <c r="M338" s="63">
        <v>59.61</v>
      </c>
      <c r="N338" s="63">
        <v>4812500</v>
      </c>
      <c r="O338" s="63" t="s">
        <v>289</v>
      </c>
      <c r="P338" s="25">
        <f t="shared" si="12"/>
        <v>2.8183190739808683E-2</v>
      </c>
    </row>
    <row r="339" spans="2:16">
      <c r="B339" s="63">
        <v>544.52205895397151</v>
      </c>
      <c r="C339" s="63">
        <v>547.87044957289379</v>
      </c>
      <c r="D339" s="63">
        <v>540.2951144155129</v>
      </c>
      <c r="E339" s="63">
        <v>547.28248812492825</v>
      </c>
      <c r="F339" s="63">
        <v>5510533.8474334273</v>
      </c>
      <c r="G339" s="63" t="s">
        <v>290</v>
      </c>
      <c r="H339" s="25">
        <f t="shared" si="13"/>
        <v>-5.0438836082886684E-3</v>
      </c>
      <c r="J339" s="63">
        <v>56.97</v>
      </c>
      <c r="K339" s="63">
        <v>59.195</v>
      </c>
      <c r="L339" s="63">
        <v>53.9</v>
      </c>
      <c r="M339" s="63">
        <v>59.01</v>
      </c>
      <c r="N339" s="63">
        <v>7192090</v>
      </c>
      <c r="O339" s="63" t="s">
        <v>290</v>
      </c>
      <c r="P339" s="25">
        <f t="shared" si="12"/>
        <v>-3.4570411794611067E-2</v>
      </c>
    </row>
    <row r="340" spans="2:16">
      <c r="B340" s="63">
        <v>547.24262633184594</v>
      </c>
      <c r="C340" s="63">
        <v>552.59407205315927</v>
      </c>
      <c r="D340" s="63">
        <v>546.61809168872719</v>
      </c>
      <c r="E340" s="63">
        <v>551.69718170880503</v>
      </c>
      <c r="F340" s="63">
        <v>4788801.1360994671</v>
      </c>
      <c r="G340" s="63" t="s">
        <v>291</v>
      </c>
      <c r="H340" s="25">
        <f t="shared" si="13"/>
        <v>-8.0742761149544817E-3</v>
      </c>
      <c r="J340" s="63">
        <v>60.225000000000001</v>
      </c>
      <c r="K340" s="63">
        <v>65.62</v>
      </c>
      <c r="L340" s="63">
        <v>58.784999999999997</v>
      </c>
      <c r="M340" s="63">
        <v>64.95</v>
      </c>
      <c r="N340" s="63">
        <v>8294394</v>
      </c>
      <c r="O340" s="63" t="s">
        <v>291</v>
      </c>
      <c r="P340" s="25">
        <f t="shared" si="12"/>
        <v>-7.2748267898383401E-2</v>
      </c>
    </row>
    <row r="341" spans="2:16">
      <c r="B341" s="63">
        <v>549.8436083304731</v>
      </c>
      <c r="C341" s="63">
        <v>559.2609569461921</v>
      </c>
      <c r="D341" s="63">
        <v>549.36028408934885</v>
      </c>
      <c r="E341" s="63">
        <v>559.16130246348609</v>
      </c>
      <c r="F341" s="63">
        <v>6170012.4600902461</v>
      </c>
      <c r="G341" s="63" t="s">
        <v>292</v>
      </c>
      <c r="H341" s="25">
        <f t="shared" si="13"/>
        <v>-1.6663696310817988E-2</v>
      </c>
      <c r="J341" s="63">
        <v>66.78</v>
      </c>
      <c r="K341" s="63">
        <v>73.78</v>
      </c>
      <c r="L341" s="63">
        <v>66.64</v>
      </c>
      <c r="M341" s="63">
        <v>72.150000000000006</v>
      </c>
      <c r="N341" s="63">
        <v>4181281</v>
      </c>
      <c r="O341" s="63" t="s">
        <v>292</v>
      </c>
      <c r="P341" s="25">
        <f t="shared" si="12"/>
        <v>-7.4428274428274488E-2</v>
      </c>
    </row>
    <row r="342" spans="2:16">
      <c r="B342" s="63">
        <v>559.3606114288981</v>
      </c>
      <c r="C342" s="63">
        <v>560.54101877655091</v>
      </c>
      <c r="D342" s="63">
        <v>556.29125336155266</v>
      </c>
      <c r="E342" s="63">
        <v>560.44684529039375</v>
      </c>
      <c r="F342" s="63">
        <v>4462199.6715570865</v>
      </c>
      <c r="G342" s="63" t="s">
        <v>293</v>
      </c>
      <c r="H342" s="25">
        <f t="shared" si="13"/>
        <v>-1.9381567951066714E-3</v>
      </c>
      <c r="J342" s="63">
        <v>71.28</v>
      </c>
      <c r="K342" s="63">
        <v>71.91</v>
      </c>
      <c r="L342" s="63">
        <v>65.08</v>
      </c>
      <c r="M342" s="63">
        <v>70.75</v>
      </c>
      <c r="N342" s="63">
        <v>5387945</v>
      </c>
      <c r="O342" s="63" t="s">
        <v>293</v>
      </c>
      <c r="P342" s="25">
        <f t="shared" si="12"/>
        <v>7.4911660777385869E-3</v>
      </c>
    </row>
    <row r="343" spans="2:16">
      <c r="B343" s="63">
        <v>561.72242266903072</v>
      </c>
      <c r="C343" s="63">
        <v>561.97155887579584</v>
      </c>
      <c r="D343" s="63">
        <v>558.5942684568887</v>
      </c>
      <c r="E343" s="63">
        <v>559.08157887732125</v>
      </c>
      <c r="F343" s="63">
        <v>3870935.7524635624</v>
      </c>
      <c r="G343" s="63" t="s">
        <v>294</v>
      </c>
      <c r="H343" s="25">
        <f t="shared" si="13"/>
        <v>4.7235392677620336E-3</v>
      </c>
      <c r="J343" s="63">
        <v>71.760000000000005</v>
      </c>
      <c r="K343" s="63">
        <v>75.03</v>
      </c>
      <c r="L343" s="63">
        <v>70.34</v>
      </c>
      <c r="M343" s="63">
        <v>74.48</v>
      </c>
      <c r="N343" s="63">
        <v>3558958</v>
      </c>
      <c r="O343" s="63" t="s">
        <v>294</v>
      </c>
      <c r="P343" s="25">
        <f t="shared" si="12"/>
        <v>-3.6519871106337254E-2</v>
      </c>
    </row>
    <row r="344" spans="2:16">
      <c r="B344" s="63">
        <v>560.36712170422891</v>
      </c>
      <c r="C344" s="63">
        <v>560.36712170422891</v>
      </c>
      <c r="D344" s="63">
        <v>557.55686529191917</v>
      </c>
      <c r="E344" s="63">
        <v>559.85888384242821</v>
      </c>
      <c r="F344" s="63">
        <v>3858235.8721808712</v>
      </c>
      <c r="G344" s="63" t="s">
        <v>295</v>
      </c>
      <c r="H344" s="25">
        <f t="shared" si="13"/>
        <v>9.077963688144397E-4</v>
      </c>
      <c r="J344" s="63">
        <v>75.239999999999995</v>
      </c>
      <c r="K344" s="63">
        <v>76.818700000000007</v>
      </c>
      <c r="L344" s="63">
        <v>72</v>
      </c>
      <c r="M344" s="63">
        <v>72.91</v>
      </c>
      <c r="N344" s="63">
        <v>4399628</v>
      </c>
      <c r="O344" s="63" t="s">
        <v>295</v>
      </c>
      <c r="P344" s="25">
        <f t="shared" si="12"/>
        <v>3.1957207516115638E-2</v>
      </c>
    </row>
    <row r="345" spans="2:16">
      <c r="B345" s="63">
        <v>558.7527190843914</v>
      </c>
      <c r="C345" s="63">
        <v>559.91867653205179</v>
      </c>
      <c r="D345" s="63">
        <v>558.13486129161413</v>
      </c>
      <c r="E345" s="63">
        <v>558.96199349807398</v>
      </c>
      <c r="F345" s="63">
        <v>3392290.9519008892</v>
      </c>
      <c r="G345" s="63" t="s">
        <v>296</v>
      </c>
      <c r="H345" s="25">
        <f t="shared" si="13"/>
        <v>-3.7439828846486112E-4</v>
      </c>
      <c r="J345" s="63">
        <v>70.7</v>
      </c>
      <c r="K345" s="63">
        <v>71.06</v>
      </c>
      <c r="L345" s="63">
        <v>64.930099999999996</v>
      </c>
      <c r="M345" s="63">
        <v>69.52</v>
      </c>
      <c r="N345" s="63">
        <v>4937124</v>
      </c>
      <c r="O345" s="63" t="s">
        <v>296</v>
      </c>
      <c r="P345" s="25">
        <f t="shared" si="12"/>
        <v>1.6973532796317636E-2</v>
      </c>
    </row>
    <row r="346" spans="2:16">
      <c r="B346" s="63">
        <v>558.73278818785013</v>
      </c>
      <c r="C346" s="63">
        <v>558.94206260153283</v>
      </c>
      <c r="D346" s="63">
        <v>552.7784328461654</v>
      </c>
      <c r="E346" s="63">
        <v>553.94937301796119</v>
      </c>
      <c r="F346" s="63">
        <v>3400246.4394863169</v>
      </c>
      <c r="G346" s="63" t="s">
        <v>297</v>
      </c>
      <c r="H346" s="25">
        <f t="shared" si="13"/>
        <v>8.6351125263099959E-3</v>
      </c>
      <c r="J346" s="63">
        <v>70.48</v>
      </c>
      <c r="K346" s="63">
        <v>75.099999999999994</v>
      </c>
      <c r="L346" s="63">
        <v>69.489999999999995</v>
      </c>
      <c r="M346" s="63">
        <v>71.19</v>
      </c>
      <c r="N346" s="63">
        <v>3880037</v>
      </c>
      <c r="O346" s="63" t="s">
        <v>297</v>
      </c>
      <c r="P346" s="25">
        <f t="shared" si="12"/>
        <v>-9.9733108582664709E-3</v>
      </c>
    </row>
    <row r="347" spans="2:16">
      <c r="B347" s="63">
        <v>552.89303550127727</v>
      </c>
      <c r="C347" s="63">
        <v>553.99421753517879</v>
      </c>
      <c r="D347" s="63">
        <v>548.48830736567118</v>
      </c>
      <c r="E347" s="63">
        <v>549.09619971017787</v>
      </c>
      <c r="F347" s="63">
        <v>3591893.6136163576</v>
      </c>
      <c r="G347" s="63" t="s">
        <v>298</v>
      </c>
      <c r="H347" s="25">
        <f t="shared" si="13"/>
        <v>6.9147005444645249E-3</v>
      </c>
      <c r="J347" s="63">
        <v>71.349999999999994</v>
      </c>
      <c r="K347" s="63">
        <v>73.83</v>
      </c>
      <c r="L347" s="63">
        <v>68.45</v>
      </c>
      <c r="M347" s="63">
        <v>69.680000000000007</v>
      </c>
      <c r="N347" s="63">
        <v>4600818</v>
      </c>
      <c r="O347" s="63" t="s">
        <v>298</v>
      </c>
      <c r="P347" s="25">
        <f t="shared" si="12"/>
        <v>2.3966704936853933E-2</v>
      </c>
    </row>
    <row r="348" spans="2:16">
      <c r="B348" s="63">
        <v>554.72667798306804</v>
      </c>
      <c r="C348" s="63">
        <v>555.19007132765114</v>
      </c>
      <c r="D348" s="63">
        <v>552.07586874308799</v>
      </c>
      <c r="E348" s="63">
        <v>552.18548867406457</v>
      </c>
      <c r="F348" s="63">
        <v>2762467.8040034226</v>
      </c>
      <c r="G348" s="63" t="s">
        <v>299</v>
      </c>
      <c r="H348" s="25">
        <f t="shared" si="13"/>
        <v>4.6020573903626794E-3</v>
      </c>
      <c r="J348" s="63">
        <v>73.56</v>
      </c>
      <c r="K348" s="63">
        <v>79.41</v>
      </c>
      <c r="L348" s="63">
        <v>73.5</v>
      </c>
      <c r="M348" s="63">
        <v>75</v>
      </c>
      <c r="N348" s="63">
        <v>3480973</v>
      </c>
      <c r="O348" s="63" t="s">
        <v>299</v>
      </c>
      <c r="P348" s="25">
        <f t="shared" si="12"/>
        <v>-1.9199999999999995E-2</v>
      </c>
    </row>
    <row r="349" spans="2:16">
      <c r="B349" s="63">
        <v>554.22840556953793</v>
      </c>
      <c r="C349" s="63">
        <v>554.85174435886415</v>
      </c>
      <c r="D349" s="63">
        <v>552.325004949853</v>
      </c>
      <c r="E349" s="63">
        <v>553.52085874232534</v>
      </c>
      <c r="F349" s="63">
        <v>3529747.8893916928</v>
      </c>
      <c r="G349" s="63" t="s">
        <v>300</v>
      </c>
      <c r="H349" s="25">
        <f t="shared" si="13"/>
        <v>1.2782658793026869E-3</v>
      </c>
      <c r="J349" s="63">
        <v>77.08</v>
      </c>
      <c r="K349" s="63">
        <v>80.22</v>
      </c>
      <c r="L349" s="63">
        <v>76.5</v>
      </c>
      <c r="M349" s="63">
        <v>78.97</v>
      </c>
      <c r="N349" s="63">
        <v>4311543</v>
      </c>
      <c r="O349" s="63" t="s">
        <v>300</v>
      </c>
      <c r="P349" s="25">
        <f t="shared" si="12"/>
        <v>-2.3933139166772199E-2</v>
      </c>
    </row>
    <row r="350" spans="2:16">
      <c r="B350" s="63">
        <v>550.29205350265022</v>
      </c>
      <c r="C350" s="63">
        <v>557.26786729207174</v>
      </c>
      <c r="D350" s="63">
        <v>549.8884528476907</v>
      </c>
      <c r="E350" s="63">
        <v>556.17166798230539</v>
      </c>
      <c r="F350" s="63">
        <v>10196785.657877898</v>
      </c>
      <c r="G350" s="63" t="s">
        <v>301</v>
      </c>
      <c r="H350" s="25">
        <f t="shared" si="13"/>
        <v>-1.057158215373577E-2</v>
      </c>
      <c r="J350" s="63">
        <v>77.28</v>
      </c>
      <c r="K350" s="63">
        <v>82.51</v>
      </c>
      <c r="L350" s="63">
        <v>76</v>
      </c>
      <c r="M350" s="63">
        <v>80.14</v>
      </c>
      <c r="N350" s="63">
        <v>4204618</v>
      </c>
      <c r="O350" s="63" t="s">
        <v>301</v>
      </c>
      <c r="P350" s="25">
        <f t="shared" si="12"/>
        <v>-3.5687546793112035E-2</v>
      </c>
    </row>
    <row r="351" spans="2:16">
      <c r="B351" s="63">
        <v>555.69332646531655</v>
      </c>
      <c r="C351" s="63">
        <v>555.72322281012828</v>
      </c>
      <c r="D351" s="63">
        <v>552.2751777085</v>
      </c>
      <c r="E351" s="63">
        <v>555.36446667238658</v>
      </c>
      <c r="F351" s="63">
        <v>3618802.5887791775</v>
      </c>
      <c r="G351" s="63" t="s">
        <v>302</v>
      </c>
      <c r="H351" s="25">
        <f t="shared" si="13"/>
        <v>5.9215130363021728E-4</v>
      </c>
      <c r="J351" s="63">
        <v>79.64</v>
      </c>
      <c r="K351" s="63">
        <v>83.43</v>
      </c>
      <c r="L351" s="63">
        <v>78</v>
      </c>
      <c r="M351" s="63">
        <v>81.41</v>
      </c>
      <c r="N351" s="63">
        <v>4706830</v>
      </c>
      <c r="O351" s="63" t="s">
        <v>302</v>
      </c>
      <c r="P351" s="25">
        <f t="shared" si="12"/>
        <v>-2.1741800761577168E-2</v>
      </c>
    </row>
    <row r="352" spans="2:16">
      <c r="B352" s="63">
        <v>553.70023681119608</v>
      </c>
      <c r="C352" s="63">
        <v>553.80985674217277</v>
      </c>
      <c r="D352" s="63">
        <v>548.50823826221233</v>
      </c>
      <c r="E352" s="63">
        <v>550.43156977843864</v>
      </c>
      <c r="F352" s="63">
        <v>3436056.1682922682</v>
      </c>
      <c r="G352" s="63" t="s">
        <v>303</v>
      </c>
      <c r="H352" s="25">
        <f t="shared" si="13"/>
        <v>5.9383712930440868E-3</v>
      </c>
      <c r="J352" s="63">
        <v>79.59</v>
      </c>
      <c r="K352" s="63">
        <v>80.14</v>
      </c>
      <c r="L352" s="63">
        <v>74.150000000000006</v>
      </c>
      <c r="M352" s="63">
        <v>77</v>
      </c>
      <c r="N352" s="63">
        <v>4492654</v>
      </c>
      <c r="O352" s="63" t="s">
        <v>303</v>
      </c>
      <c r="P352" s="25">
        <f t="shared" si="12"/>
        <v>3.3636363636363686E-2</v>
      </c>
    </row>
    <row r="353" spans="2:16">
      <c r="B353" s="63">
        <v>551.43808005376945</v>
      </c>
      <c r="C353" s="63">
        <v>551.9164215707583</v>
      </c>
      <c r="D353" s="63">
        <v>547.33231536628136</v>
      </c>
      <c r="E353" s="63">
        <v>547.80069143499964</v>
      </c>
      <c r="F353" s="63">
        <v>4195910.5967516582</v>
      </c>
      <c r="G353" s="63" t="s">
        <v>304</v>
      </c>
      <c r="H353" s="25">
        <f t="shared" si="13"/>
        <v>6.6399854466072661E-3</v>
      </c>
      <c r="J353" s="63">
        <v>76.25</v>
      </c>
      <c r="K353" s="63">
        <v>76.849999999999994</v>
      </c>
      <c r="L353" s="63">
        <v>70.514799999999994</v>
      </c>
      <c r="M353" s="63">
        <v>73.040000000000006</v>
      </c>
      <c r="N353" s="63">
        <v>5001791</v>
      </c>
      <c r="O353" s="63" t="s">
        <v>304</v>
      </c>
      <c r="P353" s="25">
        <f t="shared" si="12"/>
        <v>4.3948521358159853E-2</v>
      </c>
    </row>
    <row r="354" spans="2:16">
      <c r="B354" s="63">
        <v>547.80069143499964</v>
      </c>
      <c r="C354" s="63">
        <v>550.05278308967297</v>
      </c>
      <c r="D354" s="63">
        <v>541.10391019715496</v>
      </c>
      <c r="E354" s="63">
        <v>543.106965299546</v>
      </c>
      <c r="F354" s="63">
        <v>7851164.1298472667</v>
      </c>
      <c r="G354" s="63" t="s">
        <v>305</v>
      </c>
      <c r="H354" s="25">
        <f t="shared" si="13"/>
        <v>8.6423604102827678E-3</v>
      </c>
      <c r="J354" s="63">
        <v>71.81</v>
      </c>
      <c r="K354" s="63">
        <v>72.569999999999993</v>
      </c>
      <c r="L354" s="63">
        <v>62.51</v>
      </c>
      <c r="M354" s="63">
        <v>63.804000000000002</v>
      </c>
      <c r="N354" s="63">
        <v>6875276</v>
      </c>
      <c r="O354" s="63" t="s">
        <v>305</v>
      </c>
      <c r="P354" s="25">
        <f t="shared" si="12"/>
        <v>0.12547802645602157</v>
      </c>
    </row>
    <row r="355" spans="2:16">
      <c r="B355" s="63">
        <v>551.41814915722819</v>
      </c>
      <c r="C355" s="63">
        <v>558.9520280498034</v>
      </c>
      <c r="D355" s="63">
        <v>550.80029136445091</v>
      </c>
      <c r="E355" s="63">
        <v>556.68987129237678</v>
      </c>
      <c r="F355" s="63">
        <v>6264968.5498018861</v>
      </c>
      <c r="G355" s="63" t="s">
        <v>306</v>
      </c>
      <c r="H355" s="25">
        <f t="shared" si="13"/>
        <v>-9.4697647774875104E-3</v>
      </c>
      <c r="J355" s="63">
        <v>70.02</v>
      </c>
      <c r="K355" s="63">
        <v>76.05</v>
      </c>
      <c r="L355" s="63">
        <v>66.88</v>
      </c>
      <c r="M355" s="63">
        <v>67.209999999999994</v>
      </c>
      <c r="N355" s="63">
        <v>9179836</v>
      </c>
      <c r="O355" s="63" t="s">
        <v>306</v>
      </c>
      <c r="P355" s="25">
        <f t="shared" si="12"/>
        <v>4.1809254575212007E-2</v>
      </c>
    </row>
    <row r="356" spans="2:16">
      <c r="B356" s="63">
        <v>554.37788729359704</v>
      </c>
      <c r="C356" s="63">
        <v>555.85277363764612</v>
      </c>
      <c r="D356" s="63">
        <v>550.47143157152095</v>
      </c>
      <c r="E356" s="63">
        <v>553.45110060443108</v>
      </c>
      <c r="F356" s="63">
        <v>4311434.7526891446</v>
      </c>
      <c r="G356" s="63" t="s">
        <v>307</v>
      </c>
      <c r="H356" s="25">
        <f t="shared" si="13"/>
        <v>1.6745593028071326E-3</v>
      </c>
      <c r="J356" s="63">
        <v>64.599999999999994</v>
      </c>
      <c r="K356" s="63">
        <v>66.290000000000006</v>
      </c>
      <c r="L356" s="63">
        <v>62.61</v>
      </c>
      <c r="M356" s="63">
        <v>62.914999999999999</v>
      </c>
      <c r="N356" s="63">
        <v>5217405</v>
      </c>
      <c r="O356" s="63" t="s">
        <v>307</v>
      </c>
      <c r="P356" s="25">
        <f t="shared" si="12"/>
        <v>2.6782166415004305E-2</v>
      </c>
    </row>
    <row r="357" spans="2:16">
      <c r="B357" s="63">
        <v>551.49787274339303</v>
      </c>
      <c r="C357" s="63">
        <v>553.58065143194881</v>
      </c>
      <c r="D357" s="63">
        <v>549.06640301984885</v>
      </c>
      <c r="E357" s="63">
        <v>553.25179163901896</v>
      </c>
      <c r="F357" s="63">
        <v>4188944.5277786455</v>
      </c>
      <c r="G357" s="63" t="s">
        <v>308</v>
      </c>
      <c r="H357" s="25">
        <f t="shared" si="13"/>
        <v>-3.1702001188824713E-3</v>
      </c>
      <c r="J357" s="63">
        <v>58.79</v>
      </c>
      <c r="K357" s="63">
        <v>60.81</v>
      </c>
      <c r="L357" s="63">
        <v>57.23</v>
      </c>
      <c r="M357" s="63">
        <v>59.4</v>
      </c>
      <c r="N357" s="63">
        <v>5664873</v>
      </c>
      <c r="O357" s="63" t="s">
        <v>308</v>
      </c>
      <c r="P357" s="25">
        <f t="shared" si="12"/>
        <v>-1.0269360269360206E-2</v>
      </c>
    </row>
    <row r="358" spans="2:16">
      <c r="B358" s="63">
        <v>553.92944212141992</v>
      </c>
      <c r="C358" s="63">
        <v>554.72667798306804</v>
      </c>
      <c r="D358" s="63">
        <v>547.32234991801079</v>
      </c>
      <c r="E358" s="63">
        <v>550.39170798535611</v>
      </c>
      <c r="F358" s="63">
        <v>4179113.5600850987</v>
      </c>
      <c r="G358" s="63" t="s">
        <v>309</v>
      </c>
      <c r="H358" s="25">
        <f t="shared" si="13"/>
        <v>6.4276661234836663E-3</v>
      </c>
      <c r="J358" s="63">
        <v>58.15</v>
      </c>
      <c r="K358" s="63">
        <v>60.024999999999999</v>
      </c>
      <c r="L358" s="63">
        <v>54.81</v>
      </c>
      <c r="M358" s="63">
        <v>59.55</v>
      </c>
      <c r="N358" s="63">
        <v>8567929</v>
      </c>
      <c r="O358" s="63" t="s">
        <v>309</v>
      </c>
      <c r="P358" s="25">
        <f t="shared" si="12"/>
        <v>-2.3509655751469349E-2</v>
      </c>
    </row>
    <row r="359" spans="2:16">
      <c r="B359" s="63">
        <v>549.32540502040172</v>
      </c>
      <c r="C359" s="63">
        <v>549.48485219273141</v>
      </c>
      <c r="D359" s="63">
        <v>544.94060778133689</v>
      </c>
      <c r="E359" s="63">
        <v>545.04026226404278</v>
      </c>
      <c r="F359" s="63">
        <v>7643795.6358382031</v>
      </c>
      <c r="G359" s="63" t="s">
        <v>310</v>
      </c>
      <c r="H359" s="25">
        <f t="shared" si="13"/>
        <v>7.8620664436033216E-3</v>
      </c>
      <c r="J359" s="63">
        <v>55.6</v>
      </c>
      <c r="K359" s="63">
        <v>68.550200000000004</v>
      </c>
      <c r="L359" s="63">
        <v>51.8</v>
      </c>
      <c r="M359" s="63">
        <v>68.260000000000005</v>
      </c>
      <c r="N359" s="63">
        <v>20178249</v>
      </c>
      <c r="O359" s="63" t="s">
        <v>310</v>
      </c>
      <c r="P359" s="25">
        <f t="shared" si="12"/>
        <v>-0.18546733079402289</v>
      </c>
    </row>
    <row r="360" spans="2:16">
      <c r="B360" s="63">
        <v>557.0785237749302</v>
      </c>
      <c r="C360" s="63">
        <v>559.71936756663979</v>
      </c>
      <c r="D360" s="63">
        <v>556.09194439614055</v>
      </c>
      <c r="E360" s="63">
        <v>558.82247722228556</v>
      </c>
      <c r="F360" s="63">
        <v>3624664.8438843829</v>
      </c>
      <c r="G360" s="63" t="s">
        <v>311</v>
      </c>
      <c r="H360" s="25">
        <f t="shared" si="13"/>
        <v>-3.1207646765104569E-3</v>
      </c>
      <c r="J360" s="63">
        <v>80.47</v>
      </c>
      <c r="K360" s="63">
        <v>85.343000000000004</v>
      </c>
      <c r="L360" s="63">
        <v>80.340100000000007</v>
      </c>
      <c r="M360" s="63">
        <v>84.65</v>
      </c>
      <c r="N360" s="63">
        <v>3291623</v>
      </c>
      <c r="O360" s="63" t="s">
        <v>311</v>
      </c>
      <c r="P360" s="25">
        <f t="shared" si="12"/>
        <v>-4.9379799173065675E-2</v>
      </c>
    </row>
    <row r="361" spans="2:16">
      <c r="B361" s="63">
        <v>558.76268453266198</v>
      </c>
      <c r="C361" s="63">
        <v>558.76268453266198</v>
      </c>
      <c r="D361" s="63">
        <v>554.87615970712704</v>
      </c>
      <c r="E361" s="63">
        <v>555.11533046562158</v>
      </c>
      <c r="F361" s="63">
        <v>6239436.3315723669</v>
      </c>
      <c r="G361" s="63" t="s">
        <v>312</v>
      </c>
      <c r="H361" s="25">
        <f t="shared" si="13"/>
        <v>6.5704437742353239E-3</v>
      </c>
      <c r="J361" s="63">
        <v>84.18</v>
      </c>
      <c r="K361" s="63">
        <v>85.918300000000002</v>
      </c>
      <c r="L361" s="63">
        <v>82.520099999999999</v>
      </c>
      <c r="M361" s="63">
        <v>83.57</v>
      </c>
      <c r="N361" s="63">
        <v>3278851</v>
      </c>
      <c r="O361" s="63" t="s">
        <v>312</v>
      </c>
      <c r="P361" s="25">
        <f t="shared" si="12"/>
        <v>7.2992700729928028E-3</v>
      </c>
    </row>
    <row r="362" spans="2:16">
      <c r="B362" s="63">
        <v>555.68336101704597</v>
      </c>
      <c r="C362" s="63">
        <v>556.99870053428265</v>
      </c>
      <c r="D362" s="63">
        <v>554.80640156923289</v>
      </c>
      <c r="E362" s="63">
        <v>555.2648121896807</v>
      </c>
      <c r="F362" s="63">
        <v>4796609.1140134707</v>
      </c>
      <c r="G362" s="63" t="s">
        <v>313</v>
      </c>
      <c r="H362" s="25">
        <f t="shared" si="13"/>
        <v>7.5378237226075839E-4</v>
      </c>
      <c r="J362" s="63">
        <v>85.5</v>
      </c>
      <c r="K362" s="63">
        <v>86.69</v>
      </c>
      <c r="L362" s="63">
        <v>83.2</v>
      </c>
      <c r="M362" s="63">
        <v>83.75</v>
      </c>
      <c r="N362" s="63">
        <v>4873038</v>
      </c>
      <c r="O362" s="63" t="s">
        <v>313</v>
      </c>
      <c r="P362" s="25">
        <f t="shared" si="12"/>
        <v>2.0895522388059806E-2</v>
      </c>
    </row>
    <row r="363" spans="2:16">
      <c r="B363" s="63">
        <v>552.54424481180627</v>
      </c>
      <c r="C363" s="63">
        <v>552.54424481180627</v>
      </c>
      <c r="D363" s="63">
        <v>548.59792729664775</v>
      </c>
      <c r="E363" s="63">
        <v>550.41163888189737</v>
      </c>
      <c r="F363" s="63">
        <v>5320059.7264047191</v>
      </c>
      <c r="G363" s="63" t="s">
        <v>314</v>
      </c>
      <c r="H363" s="25">
        <f t="shared" si="13"/>
        <v>3.8745654692933229E-3</v>
      </c>
      <c r="J363" s="63">
        <v>81.52</v>
      </c>
      <c r="K363" s="63">
        <v>85.56</v>
      </c>
      <c r="L363" s="63">
        <v>76.12</v>
      </c>
      <c r="M363" s="63">
        <v>83.75</v>
      </c>
      <c r="N363" s="63">
        <v>6235010</v>
      </c>
      <c r="O363" s="63" t="s">
        <v>314</v>
      </c>
      <c r="P363" s="25">
        <f t="shared" si="12"/>
        <v>-2.6626865671641853E-2</v>
      </c>
    </row>
    <row r="364" spans="2:16">
      <c r="B364" s="63">
        <v>547.56152067650521</v>
      </c>
      <c r="C364" s="63">
        <v>549.21578508942514</v>
      </c>
      <c r="D364" s="63">
        <v>545.7876708843379</v>
      </c>
      <c r="E364" s="63">
        <v>547.02338646989256</v>
      </c>
      <c r="F364" s="63">
        <v>6581390.843548785</v>
      </c>
      <c r="G364" s="63" t="s">
        <v>315</v>
      </c>
      <c r="H364" s="25">
        <f t="shared" si="13"/>
        <v>9.83749908912257E-4</v>
      </c>
      <c r="J364" s="63">
        <v>80.02</v>
      </c>
      <c r="K364" s="63">
        <v>82</v>
      </c>
      <c r="L364" s="63">
        <v>75.260000000000005</v>
      </c>
      <c r="M364" s="63">
        <v>77.7</v>
      </c>
      <c r="N364" s="63">
        <v>6461203</v>
      </c>
      <c r="O364" s="63" t="s">
        <v>315</v>
      </c>
      <c r="P364" s="25">
        <f t="shared" si="12"/>
        <v>2.985842985842968E-2</v>
      </c>
    </row>
    <row r="365" spans="2:16">
      <c r="B365" s="63">
        <v>542.35955667925089</v>
      </c>
      <c r="C365" s="63">
        <v>544.62171343667751</v>
      </c>
      <c r="D365" s="63">
        <v>541.51249357624965</v>
      </c>
      <c r="E365" s="63">
        <v>544.46226626434793</v>
      </c>
      <c r="F365" s="63">
        <v>3645347.3053656211</v>
      </c>
      <c r="G365" s="63" t="s">
        <v>316</v>
      </c>
      <c r="H365" s="25">
        <f t="shared" si="13"/>
        <v>-3.8619932277843549E-3</v>
      </c>
      <c r="J365" s="63">
        <v>75.599999999999994</v>
      </c>
      <c r="K365" s="63">
        <v>78.459999999999994</v>
      </c>
      <c r="L365" s="63">
        <v>75.280100000000004</v>
      </c>
      <c r="M365" s="63">
        <v>76.713999999999999</v>
      </c>
      <c r="N365" s="63">
        <v>4018766</v>
      </c>
      <c r="O365" s="63" t="s">
        <v>316</v>
      </c>
      <c r="P365" s="25">
        <f t="shared" si="12"/>
        <v>-1.4521469353703464E-2</v>
      </c>
    </row>
    <row r="366" spans="2:16">
      <c r="B366" s="63">
        <v>543.16675798916958</v>
      </c>
      <c r="C366" s="63">
        <v>544.24302640239466</v>
      </c>
      <c r="D366" s="63">
        <v>539.88812550814146</v>
      </c>
      <c r="E366" s="63">
        <v>540.96439392136654</v>
      </c>
      <c r="F366" s="63">
        <v>5325719.2811451089</v>
      </c>
      <c r="G366" s="63" t="s">
        <v>317</v>
      </c>
      <c r="H366" s="25">
        <f t="shared" si="13"/>
        <v>4.0711811951956722E-3</v>
      </c>
      <c r="J366" s="63">
        <v>75.48</v>
      </c>
      <c r="K366" s="63">
        <v>76</v>
      </c>
      <c r="L366" s="63">
        <v>70.63</v>
      </c>
      <c r="M366" s="63">
        <v>71.5</v>
      </c>
      <c r="N366" s="63">
        <v>4452568</v>
      </c>
      <c r="O366" s="63" t="s">
        <v>317</v>
      </c>
      <c r="P366" s="25">
        <f t="shared" si="12"/>
        <v>5.5664335664335818E-2</v>
      </c>
    </row>
    <row r="367" spans="2:16">
      <c r="B367" s="63">
        <v>533.41058413225016</v>
      </c>
      <c r="C367" s="63">
        <v>536.04784036258229</v>
      </c>
      <c r="D367" s="63">
        <v>529.97738754854493</v>
      </c>
      <c r="E367" s="63">
        <v>535.46346647599421</v>
      </c>
      <c r="F367" s="63">
        <v>8850583.2959053349</v>
      </c>
      <c r="G367" s="63" t="s">
        <v>318</v>
      </c>
      <c r="H367" s="25">
        <f t="shared" si="13"/>
        <v>-3.8338420308196008E-3</v>
      </c>
      <c r="J367" s="63">
        <v>69.39</v>
      </c>
      <c r="K367" s="63">
        <v>71.72</v>
      </c>
      <c r="L367" s="63">
        <v>68.36</v>
      </c>
      <c r="M367" s="63">
        <v>70.88</v>
      </c>
      <c r="N367" s="63">
        <v>3121961</v>
      </c>
      <c r="O367" s="63" t="s">
        <v>318</v>
      </c>
      <c r="P367" s="25">
        <f t="shared" si="12"/>
        <v>-2.1021444695259572E-2</v>
      </c>
    </row>
    <row r="368" spans="2:16">
      <c r="B368" s="63">
        <v>532.7329336498492</v>
      </c>
      <c r="C368" s="63">
        <v>533.06179344277905</v>
      </c>
      <c r="D368" s="63">
        <v>527.19214441139434</v>
      </c>
      <c r="E368" s="63">
        <v>527.5708314456773</v>
      </c>
      <c r="F368" s="63">
        <v>5640499.9026304344</v>
      </c>
      <c r="G368" s="63" t="s">
        <v>319</v>
      </c>
      <c r="H368" s="25">
        <f t="shared" si="13"/>
        <v>9.7846618813750563E-3</v>
      </c>
      <c r="J368" s="63">
        <v>69.040000000000006</v>
      </c>
      <c r="K368" s="63">
        <v>70.81</v>
      </c>
      <c r="L368" s="63">
        <v>67.25</v>
      </c>
      <c r="M368" s="63">
        <v>70.209999999999994</v>
      </c>
      <c r="N368" s="63">
        <v>4340941</v>
      </c>
      <c r="O368" s="63" t="s">
        <v>319</v>
      </c>
      <c r="P368" s="25">
        <f t="shared" si="12"/>
        <v>-1.6664292835778194E-2</v>
      </c>
    </row>
    <row r="369" spans="2:16">
      <c r="B369" s="63">
        <v>532.04531771917766</v>
      </c>
      <c r="C369" s="63">
        <v>536.88852557869029</v>
      </c>
      <c r="D369" s="63">
        <v>530.16184799603388</v>
      </c>
      <c r="E369" s="63">
        <v>536.84866378560787</v>
      </c>
      <c r="F369" s="63">
        <v>7962714.5558606498</v>
      </c>
      <c r="G369" s="63" t="s">
        <v>320</v>
      </c>
      <c r="H369" s="25">
        <f t="shared" si="13"/>
        <v>-8.9473000315568596E-3</v>
      </c>
      <c r="J369" s="63">
        <v>73.8</v>
      </c>
      <c r="K369" s="63">
        <v>75.290000000000006</v>
      </c>
      <c r="L369" s="63">
        <v>70.72</v>
      </c>
      <c r="M369" s="63">
        <v>72.31</v>
      </c>
      <c r="N369" s="63">
        <v>3841703</v>
      </c>
      <c r="O369" s="63" t="s">
        <v>320</v>
      </c>
      <c r="P369" s="25">
        <f t="shared" si="12"/>
        <v>2.0605725349190918E-2</v>
      </c>
    </row>
    <row r="370" spans="2:16">
      <c r="B370" s="63">
        <v>540.26681254242442</v>
      </c>
      <c r="C370" s="63">
        <v>541.12384109369623</v>
      </c>
      <c r="D370" s="63">
        <v>536.22084054456002</v>
      </c>
      <c r="E370" s="63">
        <v>539.44964578423503</v>
      </c>
      <c r="F370" s="63">
        <v>4331966.6940975003</v>
      </c>
      <c r="G370" s="63" t="s">
        <v>321</v>
      </c>
      <c r="H370" s="25">
        <f t="shared" si="13"/>
        <v>1.5148156358530951E-3</v>
      </c>
      <c r="J370" s="63">
        <v>73.02</v>
      </c>
      <c r="K370" s="63">
        <v>74.540000000000006</v>
      </c>
      <c r="L370" s="63">
        <v>69.91</v>
      </c>
      <c r="M370" s="63">
        <v>74.540000000000006</v>
      </c>
      <c r="N370" s="63">
        <v>3719743</v>
      </c>
      <c r="O370" s="63" t="s">
        <v>321</v>
      </c>
      <c r="P370" s="25">
        <f t="shared" si="12"/>
        <v>-2.0391735980681669E-2</v>
      </c>
    </row>
    <row r="371" spans="2:16">
      <c r="B371" s="63">
        <v>539.53933481867045</v>
      </c>
      <c r="C371" s="63">
        <v>547.70103695229363</v>
      </c>
      <c r="D371" s="63">
        <v>537.69572688860899</v>
      </c>
      <c r="E371" s="63">
        <v>547.42200440071679</v>
      </c>
      <c r="F371" s="63">
        <v>5401899.496965358</v>
      </c>
      <c r="G371" s="63" t="s">
        <v>322</v>
      </c>
      <c r="H371" s="25">
        <f t="shared" si="13"/>
        <v>-1.439962135003281E-2</v>
      </c>
      <c r="J371" s="63">
        <v>75.28</v>
      </c>
      <c r="K371" s="63">
        <v>77.239999999999995</v>
      </c>
      <c r="L371" s="63">
        <v>71.36</v>
      </c>
      <c r="M371" s="63">
        <v>77.06</v>
      </c>
      <c r="N371" s="63">
        <v>5360150</v>
      </c>
      <c r="O371" s="63" t="s">
        <v>322</v>
      </c>
      <c r="P371" s="25">
        <f t="shared" si="12"/>
        <v>-2.309888398650406E-2</v>
      </c>
    </row>
    <row r="372" spans="2:16">
      <c r="B372" s="63">
        <v>545.67805095336143</v>
      </c>
      <c r="C372" s="63">
        <v>549.52471398581372</v>
      </c>
      <c r="D372" s="63">
        <v>543.93409750600608</v>
      </c>
      <c r="E372" s="63">
        <v>546.38559778057413</v>
      </c>
      <c r="F372" s="63">
        <v>6004180.4819267448</v>
      </c>
      <c r="G372" s="63" t="s">
        <v>323</v>
      </c>
      <c r="H372" s="25">
        <f t="shared" si="13"/>
        <v>-1.2949587801851514E-3</v>
      </c>
      <c r="J372" s="63">
        <v>76.64</v>
      </c>
      <c r="K372" s="63">
        <v>78.8</v>
      </c>
      <c r="L372" s="63">
        <v>75.02</v>
      </c>
      <c r="M372" s="63">
        <v>75.415000000000006</v>
      </c>
      <c r="N372" s="63">
        <v>5725787</v>
      </c>
      <c r="O372" s="63" t="s">
        <v>323</v>
      </c>
      <c r="P372" s="25">
        <f t="shared" si="12"/>
        <v>1.6243452893986543E-2</v>
      </c>
    </row>
    <row r="373" spans="2:16">
      <c r="B373" s="63">
        <v>542.51900385158046</v>
      </c>
      <c r="C373" s="63">
        <v>542.99734536856943</v>
      </c>
      <c r="D373" s="63">
        <v>537.33697075086741</v>
      </c>
      <c r="E373" s="63">
        <v>538.32355012965706</v>
      </c>
      <c r="F373" s="63">
        <v>6441920.9509499632</v>
      </c>
      <c r="G373" s="63" t="s">
        <v>324</v>
      </c>
      <c r="H373" s="25">
        <f t="shared" si="13"/>
        <v>7.7935541198466129E-3</v>
      </c>
      <c r="J373" s="63">
        <v>72.39</v>
      </c>
      <c r="K373" s="63">
        <v>73.11</v>
      </c>
      <c r="L373" s="63">
        <v>69.39</v>
      </c>
      <c r="M373" s="63">
        <v>71.765000000000001</v>
      </c>
      <c r="N373" s="63">
        <v>2900445</v>
      </c>
      <c r="O373" s="63" t="s">
        <v>324</v>
      </c>
      <c r="P373" s="25">
        <f t="shared" si="12"/>
        <v>8.7089807008988718E-3</v>
      </c>
    </row>
    <row r="374" spans="2:16">
      <c r="B374" s="63">
        <v>535.60298275178263</v>
      </c>
      <c r="C374" s="63">
        <v>541.66187564582594</v>
      </c>
      <c r="D374" s="63">
        <v>531.95064596060683</v>
      </c>
      <c r="E374" s="63">
        <v>540.14722716317715</v>
      </c>
      <c r="F374" s="63">
        <v>7167462.8235950079</v>
      </c>
      <c r="G374" s="63" t="s">
        <v>325</v>
      </c>
      <c r="H374" s="25">
        <f t="shared" si="13"/>
        <v>-8.4129736910075748E-3</v>
      </c>
      <c r="J374" s="63">
        <v>70.930000000000007</v>
      </c>
      <c r="K374" s="63">
        <v>70.97</v>
      </c>
      <c r="L374" s="63">
        <v>65.53</v>
      </c>
      <c r="M374" s="63">
        <v>68.66</v>
      </c>
      <c r="N374" s="63">
        <v>3056002</v>
      </c>
      <c r="O374" s="63" t="s">
        <v>325</v>
      </c>
      <c r="P374" s="25">
        <f t="shared" si="12"/>
        <v>3.3061462277891307E-2</v>
      </c>
    </row>
    <row r="375" spans="2:16">
      <c r="B375" s="63">
        <v>536.94831826831387</v>
      </c>
      <c r="C375" s="63">
        <v>541.1887161619378</v>
      </c>
      <c r="D375" s="63">
        <v>535.54328971664165</v>
      </c>
      <c r="E375" s="63">
        <v>540.57574143881311</v>
      </c>
      <c r="F375" s="63">
        <v>6061694.2017752314</v>
      </c>
      <c r="G375" s="63" t="s">
        <v>326</v>
      </c>
      <c r="H375" s="25">
        <f t="shared" si="13"/>
        <v>-6.7102958798046508E-3</v>
      </c>
      <c r="J375" s="63">
        <v>67.209999999999994</v>
      </c>
      <c r="K375" s="63">
        <v>70.459999999999994</v>
      </c>
      <c r="L375" s="63">
        <v>67.040000000000006</v>
      </c>
      <c r="M375" s="63">
        <v>69.39</v>
      </c>
      <c r="N375" s="63">
        <v>2742684</v>
      </c>
      <c r="O375" s="63" t="s">
        <v>326</v>
      </c>
      <c r="P375" s="25">
        <f t="shared" si="12"/>
        <v>-3.1416630638420595E-2</v>
      </c>
    </row>
    <row r="376" spans="2:16">
      <c r="B376" s="63">
        <v>539.12078599130518</v>
      </c>
      <c r="C376" s="63">
        <v>542.21007495519189</v>
      </c>
      <c r="D376" s="63">
        <v>535.54319006215894</v>
      </c>
      <c r="E376" s="63">
        <v>538.69227171566922</v>
      </c>
      <c r="F376" s="63">
        <v>6527643.1359238243</v>
      </c>
      <c r="G376" s="63" t="s">
        <v>327</v>
      </c>
      <c r="H376" s="25">
        <f t="shared" si="13"/>
        <v>7.9547136303115273E-4</v>
      </c>
      <c r="J376" s="63">
        <v>69.599999999999994</v>
      </c>
      <c r="K376" s="63">
        <v>71.06</v>
      </c>
      <c r="L376" s="63">
        <v>66.94</v>
      </c>
      <c r="M376" s="63">
        <v>67.67</v>
      </c>
      <c r="N376" s="63">
        <v>2298611</v>
      </c>
      <c r="O376" s="63" t="s">
        <v>327</v>
      </c>
      <c r="P376" s="25">
        <f t="shared" si="12"/>
        <v>2.8520762524013588E-2</v>
      </c>
    </row>
    <row r="377" spans="2:16">
      <c r="B377" s="63">
        <v>545.1897439881019</v>
      </c>
      <c r="C377" s="63">
        <v>547.72096784883479</v>
      </c>
      <c r="D377" s="63">
        <v>541.32324971359094</v>
      </c>
      <c r="E377" s="63">
        <v>547.47183164206979</v>
      </c>
      <c r="F377" s="63">
        <v>7101672.5066722762</v>
      </c>
      <c r="G377" s="63" t="s">
        <v>328</v>
      </c>
      <c r="H377" s="25">
        <f t="shared" si="13"/>
        <v>-4.1684110890656267E-3</v>
      </c>
      <c r="J377" s="63">
        <v>69.290000000000006</v>
      </c>
      <c r="K377" s="63">
        <v>71.86</v>
      </c>
      <c r="L377" s="63">
        <v>67.400000000000006</v>
      </c>
      <c r="M377" s="63">
        <v>71.540000000000006</v>
      </c>
      <c r="N377" s="63">
        <v>2915452</v>
      </c>
      <c r="O377" s="63" t="s">
        <v>328</v>
      </c>
      <c r="P377" s="25">
        <f t="shared" si="12"/>
        <v>-3.1450936538999108E-2</v>
      </c>
    </row>
    <row r="378" spans="2:16">
      <c r="B378" s="63">
        <v>550.8999458471568</v>
      </c>
      <c r="C378" s="63">
        <v>552.05593784654673</v>
      </c>
      <c r="D378" s="63">
        <v>548.02003095143561</v>
      </c>
      <c r="E378" s="63">
        <v>549.29550867558999</v>
      </c>
      <c r="F378" s="63">
        <v>4511857.2470682478</v>
      </c>
      <c r="G378" s="63" t="s">
        <v>329</v>
      </c>
      <c r="H378" s="25">
        <f t="shared" si="13"/>
        <v>2.9208998548619913E-3</v>
      </c>
      <c r="J378" s="63">
        <v>72.02</v>
      </c>
      <c r="K378" s="63">
        <v>74.2</v>
      </c>
      <c r="L378" s="63">
        <v>71.31</v>
      </c>
      <c r="M378" s="63">
        <v>71.5</v>
      </c>
      <c r="N378" s="63">
        <v>2571944</v>
      </c>
      <c r="O378" s="63" t="s">
        <v>329</v>
      </c>
      <c r="P378" s="25">
        <f t="shared" ref="P378:P441" si="14">J378/M378-1</f>
        <v>7.2727272727273196E-3</v>
      </c>
    </row>
    <row r="379" spans="2:16">
      <c r="B379" s="63">
        <v>550.90991129542749</v>
      </c>
      <c r="C379" s="63">
        <v>550.98963488159222</v>
      </c>
      <c r="D379" s="63">
        <v>545.64815460854948</v>
      </c>
      <c r="E379" s="63">
        <v>546.16635791862086</v>
      </c>
      <c r="F379" s="63">
        <v>3451174.4044126086</v>
      </c>
      <c r="G379" s="63" t="s">
        <v>330</v>
      </c>
      <c r="H379" s="25">
        <f t="shared" ref="H379:H442" si="15">B379/E379-1</f>
        <v>8.6851804546947964E-3</v>
      </c>
      <c r="J379" s="63">
        <v>71.22</v>
      </c>
      <c r="K379" s="63">
        <v>71.7</v>
      </c>
      <c r="L379" s="63">
        <v>68.819999999999993</v>
      </c>
      <c r="M379" s="63">
        <v>69.75</v>
      </c>
      <c r="N379" s="63">
        <v>1574663</v>
      </c>
      <c r="O379" s="63" t="s">
        <v>330</v>
      </c>
      <c r="P379" s="25">
        <f t="shared" si="14"/>
        <v>2.1075268817204229E-2</v>
      </c>
    </row>
    <row r="380" spans="2:16">
      <c r="B380" s="63">
        <v>545.29936391907859</v>
      </c>
      <c r="C380" s="63">
        <v>545.46877653967874</v>
      </c>
      <c r="D380" s="63">
        <v>538.45310095717491</v>
      </c>
      <c r="E380" s="63">
        <v>541.43276999008481</v>
      </c>
      <c r="F380" s="63">
        <v>7087844.7293101177</v>
      </c>
      <c r="G380" s="63" t="s">
        <v>331</v>
      </c>
      <c r="H380" s="25">
        <f t="shared" si="15"/>
        <v>7.1414109808398685E-3</v>
      </c>
      <c r="J380" s="63">
        <v>68.92</v>
      </c>
      <c r="K380" s="63">
        <v>70.400000000000006</v>
      </c>
      <c r="L380" s="63">
        <v>67.55</v>
      </c>
      <c r="M380" s="63">
        <v>69.69</v>
      </c>
      <c r="N380" s="63">
        <v>2273860</v>
      </c>
      <c r="O380" s="63" t="s">
        <v>331</v>
      </c>
      <c r="P380" s="25">
        <f t="shared" si="14"/>
        <v>-1.1048930980054439E-2</v>
      </c>
    </row>
    <row r="381" spans="2:16">
      <c r="B381" s="63">
        <v>541.42429935905466</v>
      </c>
      <c r="C381" s="63">
        <v>545.89444714108117</v>
      </c>
      <c r="D381" s="63">
        <v>532.29526422198273</v>
      </c>
      <c r="E381" s="63">
        <v>533.05022251405831</v>
      </c>
      <c r="F381" s="63">
        <v>9452116.6995613053</v>
      </c>
      <c r="G381" s="63" t="s">
        <v>332</v>
      </c>
      <c r="H381" s="25">
        <f t="shared" si="15"/>
        <v>1.5709733325879105E-2</v>
      </c>
      <c r="J381" s="63">
        <v>68.510000000000005</v>
      </c>
      <c r="K381" s="63">
        <v>69.664000000000001</v>
      </c>
      <c r="L381" s="63">
        <v>64.33</v>
      </c>
      <c r="M381" s="63">
        <v>65.510000000000005</v>
      </c>
      <c r="N381" s="63">
        <v>6449683</v>
      </c>
      <c r="O381" s="63" t="s">
        <v>332</v>
      </c>
      <c r="P381" s="25">
        <f t="shared" si="14"/>
        <v>4.5794535185467833E-2</v>
      </c>
    </row>
    <row r="382" spans="2:16">
      <c r="B382" s="63">
        <v>535.36476569897434</v>
      </c>
      <c r="C382" s="63">
        <v>541.48390132948168</v>
      </c>
      <c r="D382" s="63">
        <v>535.07668950857703</v>
      </c>
      <c r="E382" s="63">
        <v>540.08325502444677</v>
      </c>
      <c r="F382" s="63">
        <v>16904264.956033021</v>
      </c>
      <c r="G382" s="63" t="s">
        <v>333</v>
      </c>
      <c r="H382" s="25">
        <f t="shared" si="15"/>
        <v>-8.7365962221117588E-3</v>
      </c>
      <c r="J382" s="63">
        <v>67.040000000000006</v>
      </c>
      <c r="K382" s="63">
        <v>69.739999999999995</v>
      </c>
      <c r="L382" s="63">
        <v>65.540000000000006</v>
      </c>
      <c r="M382" s="63">
        <v>68.459999999999994</v>
      </c>
      <c r="N382" s="63">
        <v>3065126</v>
      </c>
      <c r="O382" s="63" t="s">
        <v>333</v>
      </c>
      <c r="P382" s="25">
        <f t="shared" si="14"/>
        <v>-2.0742039146946945E-2</v>
      </c>
    </row>
    <row r="383" spans="2:16">
      <c r="B383" s="63">
        <v>535.56343893373094</v>
      </c>
      <c r="C383" s="63">
        <v>553.83144286961283</v>
      </c>
      <c r="D383" s="63">
        <v>534.95748556772298</v>
      </c>
      <c r="E383" s="63">
        <v>551.61623630207521</v>
      </c>
      <c r="F383" s="63">
        <v>24749111.303395186</v>
      </c>
      <c r="G383" s="63" t="s">
        <v>334</v>
      </c>
      <c r="H383" s="25">
        <f t="shared" si="15"/>
        <v>-2.9101386637853555E-2</v>
      </c>
      <c r="J383" s="63">
        <v>66.459999999999994</v>
      </c>
      <c r="K383" s="63">
        <v>71.771199999999993</v>
      </c>
      <c r="L383" s="63">
        <v>64.87</v>
      </c>
      <c r="M383" s="63">
        <v>71.069999999999993</v>
      </c>
      <c r="N383" s="63">
        <v>4526644</v>
      </c>
      <c r="O383" s="63" t="s">
        <v>334</v>
      </c>
      <c r="P383" s="25">
        <f t="shared" si="14"/>
        <v>-6.4865625439707308E-2</v>
      </c>
    </row>
    <row r="384" spans="2:16">
      <c r="B384" s="63">
        <v>551.76524122814283</v>
      </c>
      <c r="C384" s="63">
        <v>552.69403860063051</v>
      </c>
      <c r="D384" s="63">
        <v>550.61293646655361</v>
      </c>
      <c r="E384" s="63">
        <v>551.78510855161846</v>
      </c>
      <c r="F384" s="63">
        <v>6151689.2373373276</v>
      </c>
      <c r="G384" s="63" t="s">
        <v>335</v>
      </c>
      <c r="H384" s="25">
        <f t="shared" si="15"/>
        <v>-3.6005544853834337E-5</v>
      </c>
      <c r="J384" s="63">
        <v>69.83</v>
      </c>
      <c r="K384" s="63">
        <v>76.44</v>
      </c>
      <c r="L384" s="63">
        <v>69.73</v>
      </c>
      <c r="M384" s="63">
        <v>76.3</v>
      </c>
      <c r="N384" s="63">
        <v>4697964</v>
      </c>
      <c r="O384" s="63" t="s">
        <v>335</v>
      </c>
      <c r="P384" s="25">
        <f t="shared" si="14"/>
        <v>-8.4796854521625109E-2</v>
      </c>
    </row>
    <row r="385" spans="2:16">
      <c r="B385" s="63">
        <v>554.08971807479656</v>
      </c>
      <c r="C385" s="63">
        <v>555.09132918782268</v>
      </c>
      <c r="D385" s="63">
        <v>552.72383958584396</v>
      </c>
      <c r="E385" s="63">
        <v>553.43409640009929</v>
      </c>
      <c r="F385" s="63">
        <v>22999352.708959177</v>
      </c>
      <c r="G385" s="63" t="s">
        <v>336</v>
      </c>
      <c r="H385" s="25">
        <f t="shared" si="15"/>
        <v>1.1846427225243872E-3</v>
      </c>
      <c r="J385" s="63">
        <v>77.25</v>
      </c>
      <c r="K385" s="63">
        <v>78.97</v>
      </c>
      <c r="L385" s="63">
        <v>74.400000000000006</v>
      </c>
      <c r="M385" s="63">
        <v>78.188000000000002</v>
      </c>
      <c r="N385" s="63">
        <v>5158347</v>
      </c>
      <c r="O385" s="63" t="s">
        <v>336</v>
      </c>
      <c r="P385" s="25">
        <f t="shared" si="14"/>
        <v>-1.1996725840282441E-2</v>
      </c>
    </row>
    <row r="386" spans="2:16">
      <c r="B386" s="63">
        <v>551.92417981594815</v>
      </c>
      <c r="C386" s="63">
        <v>554.45726355909653</v>
      </c>
      <c r="D386" s="63">
        <v>550.5279043220778</v>
      </c>
      <c r="E386" s="63">
        <v>553.81157554613708</v>
      </c>
      <c r="F386" s="63">
        <v>4698028.9073304981</v>
      </c>
      <c r="G386" s="63" t="s">
        <v>337</v>
      </c>
      <c r="H386" s="25">
        <f t="shared" si="15"/>
        <v>-3.4080106186434866E-3</v>
      </c>
      <c r="J386" s="63">
        <v>75.95</v>
      </c>
      <c r="K386" s="63">
        <v>76.525000000000006</v>
      </c>
      <c r="L386" s="63">
        <v>70.61</v>
      </c>
      <c r="M386" s="63">
        <v>71.989999999999995</v>
      </c>
      <c r="N386" s="63">
        <v>6696979</v>
      </c>
      <c r="O386" s="63" t="s">
        <v>337</v>
      </c>
      <c r="P386" s="25">
        <f t="shared" si="14"/>
        <v>5.5007639949993248E-2</v>
      </c>
    </row>
    <row r="387" spans="2:16">
      <c r="B387" s="63">
        <v>551.96391446289942</v>
      </c>
      <c r="C387" s="63">
        <v>554.49699820604792</v>
      </c>
      <c r="D387" s="63">
        <v>551.93411347768597</v>
      </c>
      <c r="E387" s="63">
        <v>553.97051413394252</v>
      </c>
      <c r="F387" s="63">
        <v>4075639.0813863762</v>
      </c>
      <c r="G387" s="63" t="s">
        <v>338</v>
      </c>
      <c r="H387" s="25">
        <f t="shared" si="15"/>
        <v>-3.6222138540715765E-3</v>
      </c>
      <c r="J387" s="63">
        <v>68.42</v>
      </c>
      <c r="K387" s="63">
        <v>70</v>
      </c>
      <c r="L387" s="63">
        <v>67.319999999999993</v>
      </c>
      <c r="M387" s="63">
        <v>68.599999999999994</v>
      </c>
      <c r="N387" s="63">
        <v>3075300</v>
      </c>
      <c r="O387" s="63" t="s">
        <v>338</v>
      </c>
      <c r="P387" s="25">
        <f t="shared" si="14"/>
        <v>-2.6239067055392473E-3</v>
      </c>
    </row>
    <row r="388" spans="2:16">
      <c r="B388" s="63">
        <v>554.8248090433965</v>
      </c>
      <c r="C388" s="63">
        <v>555.67910395285048</v>
      </c>
      <c r="D388" s="63">
        <v>552.96721429842103</v>
      </c>
      <c r="E388" s="63">
        <v>553.22548950360476</v>
      </c>
      <c r="F388" s="63">
        <v>3537886.7257114095</v>
      </c>
      <c r="G388" s="63" t="s">
        <v>339</v>
      </c>
      <c r="H388" s="25">
        <f t="shared" si="15"/>
        <v>2.8908999497234689E-3</v>
      </c>
      <c r="J388" s="63">
        <v>69.459999999999994</v>
      </c>
      <c r="K388" s="63">
        <v>70.36</v>
      </c>
      <c r="L388" s="63">
        <v>66.53</v>
      </c>
      <c r="M388" s="63">
        <v>67.91</v>
      </c>
      <c r="N388" s="63">
        <v>4519610</v>
      </c>
      <c r="O388" s="63" t="s">
        <v>339</v>
      </c>
      <c r="P388" s="25">
        <f t="shared" si="14"/>
        <v>2.2824326314239363E-2</v>
      </c>
    </row>
    <row r="389" spans="2:16">
      <c r="B389" s="63">
        <v>550.65267111350511</v>
      </c>
      <c r="C389" s="63">
        <v>553.18575485665338</v>
      </c>
      <c r="D389" s="63">
        <v>549.89771282142954</v>
      </c>
      <c r="E389" s="63">
        <v>552.88774500451837</v>
      </c>
      <c r="F389" s="63">
        <v>4137560.8597027324</v>
      </c>
      <c r="G389" s="63" t="s">
        <v>340</v>
      </c>
      <c r="H389" s="25">
        <f t="shared" si="15"/>
        <v>-4.0425455460131321E-3</v>
      </c>
      <c r="J389" s="63">
        <v>66.260000000000005</v>
      </c>
      <c r="K389" s="63">
        <v>68.810900000000004</v>
      </c>
      <c r="L389" s="63">
        <v>63.12</v>
      </c>
      <c r="M389" s="63">
        <v>68.680000000000007</v>
      </c>
      <c r="N389" s="63">
        <v>3922109</v>
      </c>
      <c r="O389" s="63" t="s">
        <v>340</v>
      </c>
      <c r="P389" s="25">
        <f t="shared" si="14"/>
        <v>-3.5235876528829424E-2</v>
      </c>
    </row>
    <row r="390" spans="2:16">
      <c r="B390" s="63">
        <v>552.22218966808327</v>
      </c>
      <c r="C390" s="63">
        <v>555.15758671161404</v>
      </c>
      <c r="D390" s="63">
        <v>551.69570559597787</v>
      </c>
      <c r="E390" s="63">
        <v>555.00361495467757</v>
      </c>
      <c r="F390" s="63">
        <v>4441741.7428196585</v>
      </c>
      <c r="G390" s="63" t="s">
        <v>341</v>
      </c>
      <c r="H390" s="25">
        <f t="shared" si="15"/>
        <v>-5.0115444506094731E-3</v>
      </c>
      <c r="J390" s="63">
        <v>67.03</v>
      </c>
      <c r="K390" s="63">
        <v>74.680000000000007</v>
      </c>
      <c r="L390" s="63">
        <v>66.8</v>
      </c>
      <c r="M390" s="63">
        <v>74.12</v>
      </c>
      <c r="N390" s="63">
        <v>5667779</v>
      </c>
      <c r="O390" s="63" t="s">
        <v>341</v>
      </c>
      <c r="P390" s="25">
        <f t="shared" si="14"/>
        <v>-9.5655693470048653E-2</v>
      </c>
    </row>
    <row r="391" spans="2:16">
      <c r="B391" s="63">
        <v>555.1128852337938</v>
      </c>
      <c r="C391" s="63">
        <v>556.24532267190716</v>
      </c>
      <c r="D391" s="63">
        <v>554.37779426519387</v>
      </c>
      <c r="E391" s="63">
        <v>554.76520707296947</v>
      </c>
      <c r="F391" s="63">
        <v>5169171.3846481517</v>
      </c>
      <c r="G391" s="63" t="s">
        <v>342</v>
      </c>
      <c r="H391" s="25">
        <f t="shared" si="15"/>
        <v>6.2671226744503983E-4</v>
      </c>
      <c r="J391" s="63">
        <v>74.23</v>
      </c>
      <c r="K391" s="63">
        <v>75.314999999999998</v>
      </c>
      <c r="L391" s="63">
        <v>70</v>
      </c>
      <c r="M391" s="63">
        <v>70.66</v>
      </c>
      <c r="N391" s="63">
        <v>4595392</v>
      </c>
      <c r="O391" s="63" t="s">
        <v>342</v>
      </c>
      <c r="P391" s="25">
        <f t="shared" si="14"/>
        <v>5.0523634305123188E-2</v>
      </c>
    </row>
    <row r="392" spans="2:16">
      <c r="B392" s="63">
        <v>554.0102487808939</v>
      </c>
      <c r="C392" s="63">
        <v>555.69897127632612</v>
      </c>
      <c r="D392" s="63">
        <v>553.76190723744799</v>
      </c>
      <c r="E392" s="63">
        <v>554.9241456607748</v>
      </c>
      <c r="F392" s="63">
        <v>3041739.3703784416</v>
      </c>
      <c r="G392" s="63" t="s">
        <v>343</v>
      </c>
      <c r="H392" s="25">
        <f t="shared" si="15"/>
        <v>-1.6468861321445871E-3</v>
      </c>
      <c r="J392" s="63">
        <v>70.400000000000006</v>
      </c>
      <c r="K392" s="63">
        <v>72.27</v>
      </c>
      <c r="L392" s="63">
        <v>66.010000000000005</v>
      </c>
      <c r="M392" s="63">
        <v>69.2</v>
      </c>
      <c r="N392" s="63">
        <v>5725468</v>
      </c>
      <c r="O392" s="63" t="s">
        <v>343</v>
      </c>
      <c r="P392" s="25">
        <f t="shared" si="14"/>
        <v>1.7341040462427681E-2</v>
      </c>
    </row>
    <row r="393" spans="2:16">
      <c r="B393" s="63">
        <v>554.93407932251262</v>
      </c>
      <c r="C393" s="63">
        <v>555.17248720422072</v>
      </c>
      <c r="D393" s="63">
        <v>552.48145823944083</v>
      </c>
      <c r="E393" s="63">
        <v>553.13608654796428</v>
      </c>
      <c r="F393" s="63">
        <v>5526986.0650556246</v>
      </c>
      <c r="G393" s="63" t="s">
        <v>344</v>
      </c>
      <c r="H393" s="25">
        <f t="shared" si="15"/>
        <v>3.2505432537757173E-3</v>
      </c>
      <c r="J393" s="63">
        <v>69.010000000000005</v>
      </c>
      <c r="K393" s="63">
        <v>75.3</v>
      </c>
      <c r="L393" s="63">
        <v>67.510000000000005</v>
      </c>
      <c r="M393" s="63">
        <v>72.11</v>
      </c>
      <c r="N393" s="63">
        <v>7857288</v>
      </c>
      <c r="O393" s="63" t="s">
        <v>344</v>
      </c>
      <c r="P393" s="25">
        <f t="shared" si="14"/>
        <v>-4.2989876577451014E-2</v>
      </c>
    </row>
    <row r="394" spans="2:16">
      <c r="B394" s="63">
        <v>551.45729771426977</v>
      </c>
      <c r="C394" s="63">
        <v>551.74547324128446</v>
      </c>
      <c r="D394" s="63">
        <v>550.11625337966177</v>
      </c>
      <c r="E394" s="63">
        <v>551.11955321518337</v>
      </c>
      <c r="F394" s="63">
        <v>4230973.5432115309</v>
      </c>
      <c r="G394" s="63" t="s">
        <v>345</v>
      </c>
      <c r="H394" s="25">
        <f t="shared" si="15"/>
        <v>6.1283345349671947E-4</v>
      </c>
      <c r="J394" s="63">
        <v>70.69</v>
      </c>
      <c r="K394" s="63">
        <v>72.3</v>
      </c>
      <c r="L394" s="63">
        <v>64</v>
      </c>
      <c r="M394" s="63">
        <v>64.444999999999993</v>
      </c>
      <c r="N394" s="63">
        <v>16634628</v>
      </c>
      <c r="O394" s="63" t="s">
        <v>345</v>
      </c>
      <c r="P394" s="25">
        <f t="shared" si="14"/>
        <v>9.6904337031577414E-2</v>
      </c>
    </row>
    <row r="395" spans="2:16">
      <c r="B395" s="63">
        <v>551.3281601116779</v>
      </c>
      <c r="C395" s="63">
        <v>551.88444516899688</v>
      </c>
      <c r="D395" s="63">
        <v>550.21558999704018</v>
      </c>
      <c r="E395" s="63">
        <v>550.68247209871856</v>
      </c>
      <c r="F395" s="63">
        <v>5477346.7665760098</v>
      </c>
      <c r="G395" s="63" t="s">
        <v>346</v>
      </c>
      <c r="H395" s="25">
        <f t="shared" si="15"/>
        <v>1.1725232700772192E-3</v>
      </c>
      <c r="J395" s="63">
        <v>47.8</v>
      </c>
      <c r="K395" s="63">
        <v>49.74</v>
      </c>
      <c r="L395" s="63">
        <v>47.49</v>
      </c>
      <c r="M395" s="63">
        <v>49.38</v>
      </c>
      <c r="N395" s="63">
        <v>6631741</v>
      </c>
      <c r="O395" s="63" t="s">
        <v>346</v>
      </c>
      <c r="P395" s="25">
        <f t="shared" si="14"/>
        <v>-3.1996759821790288E-2</v>
      </c>
    </row>
    <row r="396" spans="2:16">
      <c r="B396" s="63">
        <v>549.77850888057549</v>
      </c>
      <c r="C396" s="63">
        <v>551.02021659780507</v>
      </c>
      <c r="D396" s="63">
        <v>547.41429738697036</v>
      </c>
      <c r="E396" s="63">
        <v>547.6328379452026</v>
      </c>
      <c r="F396" s="63">
        <v>4015364.2284870273</v>
      </c>
      <c r="G396" s="63" t="s">
        <v>347</v>
      </c>
      <c r="H396" s="25">
        <f t="shared" si="15"/>
        <v>3.9180830415936896E-3</v>
      </c>
      <c r="J396" s="63">
        <v>48.96</v>
      </c>
      <c r="K396" s="63">
        <v>51.4</v>
      </c>
      <c r="L396" s="63">
        <v>46.085000000000001</v>
      </c>
      <c r="M396" s="63">
        <v>46.13</v>
      </c>
      <c r="N396" s="63">
        <v>2905957</v>
      </c>
      <c r="O396" s="63" t="s">
        <v>347</v>
      </c>
      <c r="P396" s="25">
        <f t="shared" si="14"/>
        <v>6.1348363321049204E-2</v>
      </c>
    </row>
    <row r="397" spans="2:16">
      <c r="B397" s="63">
        <v>546.89774697660266</v>
      </c>
      <c r="C397" s="63">
        <v>548.71560707462686</v>
      </c>
      <c r="D397" s="63">
        <v>545.46729968635429</v>
      </c>
      <c r="E397" s="63">
        <v>548.37786257554035</v>
      </c>
      <c r="F397" s="63">
        <v>3334338.4216355425</v>
      </c>
      <c r="G397" s="63" t="s">
        <v>348</v>
      </c>
      <c r="H397" s="25">
        <f t="shared" si="15"/>
        <v>-2.6990797768278174E-3</v>
      </c>
      <c r="J397" s="63">
        <v>45.71</v>
      </c>
      <c r="K397" s="63">
        <v>47.23</v>
      </c>
      <c r="L397" s="63">
        <v>44.81</v>
      </c>
      <c r="M397" s="63">
        <v>46.78</v>
      </c>
      <c r="N397" s="63">
        <v>2770767</v>
      </c>
      <c r="O397" s="63" t="s">
        <v>348</v>
      </c>
      <c r="P397" s="25">
        <f t="shared" si="14"/>
        <v>-2.2873022659256059E-2</v>
      </c>
    </row>
    <row r="398" spans="2:16">
      <c r="B398" s="63">
        <v>548.64607144246202</v>
      </c>
      <c r="C398" s="63">
        <v>549.15258885447429</v>
      </c>
      <c r="D398" s="63">
        <v>546.20239065495423</v>
      </c>
      <c r="E398" s="63">
        <v>546.84807866791357</v>
      </c>
      <c r="F398" s="63">
        <v>4468215.3642233675</v>
      </c>
      <c r="G398" s="63" t="s">
        <v>349</v>
      </c>
      <c r="H398" s="25">
        <f t="shared" si="15"/>
        <v>3.2879200726612101E-3</v>
      </c>
      <c r="J398" s="63">
        <v>46.67</v>
      </c>
      <c r="K398" s="63">
        <v>48.39</v>
      </c>
      <c r="L398" s="63">
        <v>45.83</v>
      </c>
      <c r="M398" s="63">
        <v>47.24</v>
      </c>
      <c r="N398" s="63">
        <v>2883400</v>
      </c>
      <c r="O398" s="63" t="s">
        <v>349</v>
      </c>
      <c r="P398" s="25">
        <f t="shared" si="14"/>
        <v>-1.2066045723962748E-2</v>
      </c>
    </row>
    <row r="399" spans="2:16">
      <c r="B399" s="63">
        <v>545.58650362720834</v>
      </c>
      <c r="C399" s="63">
        <v>548.71560707462686</v>
      </c>
      <c r="D399" s="63">
        <v>543.56987095781005</v>
      </c>
      <c r="E399" s="63">
        <v>547.54343498956223</v>
      </c>
      <c r="F399" s="63">
        <v>4333750.3466647081</v>
      </c>
      <c r="G399" s="63" t="s">
        <v>350</v>
      </c>
      <c r="H399" s="25">
        <f t="shared" si="15"/>
        <v>-3.5740203193034281E-3</v>
      </c>
      <c r="J399" s="63">
        <v>47.07</v>
      </c>
      <c r="K399" s="63">
        <v>48.65</v>
      </c>
      <c r="L399" s="63">
        <v>46.43</v>
      </c>
      <c r="M399" s="63">
        <v>46.61</v>
      </c>
      <c r="N399" s="63">
        <v>3023515</v>
      </c>
      <c r="O399" s="63" t="s">
        <v>350</v>
      </c>
      <c r="P399" s="25">
        <f t="shared" si="14"/>
        <v>9.8691267968247232E-3</v>
      </c>
    </row>
    <row r="400" spans="2:16">
      <c r="B400" s="63">
        <v>543.8381791613491</v>
      </c>
      <c r="C400" s="63">
        <v>544.41393419567407</v>
      </c>
      <c r="D400" s="63">
        <v>541.75211019640335</v>
      </c>
      <c r="E400" s="63">
        <v>542.19912497460598</v>
      </c>
      <c r="F400" s="63">
        <v>5611815.81084718</v>
      </c>
      <c r="G400" s="63" t="s">
        <v>351</v>
      </c>
      <c r="H400" s="25">
        <f t="shared" si="15"/>
        <v>3.0229746070133956E-3</v>
      </c>
      <c r="J400" s="63">
        <v>45.84</v>
      </c>
      <c r="K400" s="63">
        <v>47.65</v>
      </c>
      <c r="L400" s="63">
        <v>45.8</v>
      </c>
      <c r="M400" s="63">
        <v>46.63</v>
      </c>
      <c r="N400" s="63">
        <v>2133971</v>
      </c>
      <c r="O400" s="63" t="s">
        <v>351</v>
      </c>
      <c r="P400" s="25">
        <f t="shared" si="14"/>
        <v>-1.694188290799914E-2</v>
      </c>
    </row>
    <row r="401" spans="2:16">
      <c r="B401" s="63">
        <v>542.02031906332491</v>
      </c>
      <c r="C401" s="63">
        <v>543.44083269183557</v>
      </c>
      <c r="D401" s="63">
        <v>536.45746849013631</v>
      </c>
      <c r="E401" s="63">
        <v>541.96071709289788</v>
      </c>
      <c r="F401" s="63">
        <v>4560875.0524926046</v>
      </c>
      <c r="G401" s="63" t="s">
        <v>352</v>
      </c>
      <c r="H401" s="25">
        <f t="shared" si="15"/>
        <v>1.0997470581775026E-4</v>
      </c>
      <c r="J401" s="63">
        <v>46.28</v>
      </c>
      <c r="K401" s="63">
        <v>47.53</v>
      </c>
      <c r="L401" s="63">
        <v>44.37</v>
      </c>
      <c r="M401" s="63">
        <v>44.45</v>
      </c>
      <c r="N401" s="63">
        <v>3090824</v>
      </c>
      <c r="O401" s="63" t="s">
        <v>352</v>
      </c>
      <c r="P401" s="25">
        <f t="shared" si="14"/>
        <v>4.1169853768278974E-2</v>
      </c>
    </row>
    <row r="402" spans="2:16">
      <c r="B402" s="63">
        <v>539.29849574715763</v>
      </c>
      <c r="C402" s="63">
        <v>539.46736799670089</v>
      </c>
      <c r="D402" s="63">
        <v>533.87471643829883</v>
      </c>
      <c r="E402" s="63">
        <v>539.17929180630358</v>
      </c>
      <c r="F402" s="63">
        <v>3975432.327193358</v>
      </c>
      <c r="G402" s="63" t="s">
        <v>353</v>
      </c>
      <c r="H402" s="25">
        <f t="shared" si="15"/>
        <v>2.2108404878595778E-4</v>
      </c>
      <c r="J402" s="63">
        <v>42.97</v>
      </c>
      <c r="K402" s="63">
        <v>44.6</v>
      </c>
      <c r="L402" s="63">
        <v>42.25</v>
      </c>
      <c r="M402" s="63">
        <v>44</v>
      </c>
      <c r="N402" s="63">
        <v>1980867</v>
      </c>
      <c r="O402" s="63" t="s">
        <v>353</v>
      </c>
      <c r="P402" s="25">
        <f t="shared" si="14"/>
        <v>-2.3409090909090935E-2</v>
      </c>
    </row>
    <row r="403" spans="2:16">
      <c r="B403" s="63">
        <v>539.09982251240092</v>
      </c>
      <c r="C403" s="63">
        <v>539.76537784883601</v>
      </c>
      <c r="D403" s="63">
        <v>533.3382987044555</v>
      </c>
      <c r="E403" s="63">
        <v>533.93431840872574</v>
      </c>
      <c r="F403" s="63">
        <v>7024975.4664181583</v>
      </c>
      <c r="G403" s="63" t="s">
        <v>354</v>
      </c>
      <c r="H403" s="25">
        <f t="shared" si="15"/>
        <v>9.674418604651347E-3</v>
      </c>
      <c r="J403" s="63">
        <v>43.94</v>
      </c>
      <c r="K403" s="63">
        <v>44.22</v>
      </c>
      <c r="L403" s="63">
        <v>40.119999999999997</v>
      </c>
      <c r="M403" s="63">
        <v>40.18</v>
      </c>
      <c r="N403" s="63">
        <v>2205658</v>
      </c>
      <c r="O403" s="63" t="s">
        <v>354</v>
      </c>
      <c r="P403" s="25">
        <f t="shared" si="14"/>
        <v>9.3578894972623061E-2</v>
      </c>
    </row>
    <row r="404" spans="2:16">
      <c r="B404" s="63">
        <v>537.14289115004703</v>
      </c>
      <c r="C404" s="63">
        <v>538.33493055858742</v>
      </c>
      <c r="D404" s="63">
        <v>534.57503959081623</v>
      </c>
      <c r="E404" s="63">
        <v>535.34489837549859</v>
      </c>
      <c r="F404" s="63">
        <v>4534325.9302293137</v>
      </c>
      <c r="G404" s="63" t="s">
        <v>355</v>
      </c>
      <c r="H404" s="25">
        <f t="shared" si="15"/>
        <v>3.3585689898314453E-3</v>
      </c>
      <c r="J404" s="63">
        <v>40.6</v>
      </c>
      <c r="K404" s="63">
        <v>41.32</v>
      </c>
      <c r="L404" s="63">
        <v>39.950000000000003</v>
      </c>
      <c r="M404" s="63">
        <v>40.15</v>
      </c>
      <c r="N404" s="63">
        <v>2068175</v>
      </c>
      <c r="O404" s="63" t="s">
        <v>355</v>
      </c>
      <c r="P404" s="25">
        <f t="shared" si="14"/>
        <v>1.1207970112079746E-2</v>
      </c>
    </row>
    <row r="405" spans="2:16">
      <c r="B405" s="63">
        <v>534.92768458250941</v>
      </c>
      <c r="C405" s="63">
        <v>538.97068490980905</v>
      </c>
      <c r="D405" s="63">
        <v>533.18929377838799</v>
      </c>
      <c r="E405" s="63">
        <v>538.53360379334424</v>
      </c>
      <c r="F405" s="63">
        <v>7409265.7815855956</v>
      </c>
      <c r="G405" s="63" t="s">
        <v>356</v>
      </c>
      <c r="H405" s="25">
        <f t="shared" si="15"/>
        <v>-6.6958109678492139E-3</v>
      </c>
      <c r="J405" s="63">
        <v>39.76</v>
      </c>
      <c r="K405" s="63">
        <v>41.42</v>
      </c>
      <c r="L405" s="63">
        <v>39.18</v>
      </c>
      <c r="M405" s="63">
        <v>41.42</v>
      </c>
      <c r="N405" s="63">
        <v>3817595</v>
      </c>
      <c r="O405" s="63" t="s">
        <v>356</v>
      </c>
      <c r="P405" s="25">
        <f t="shared" si="14"/>
        <v>-4.0077257363592578E-2</v>
      </c>
    </row>
    <row r="406" spans="2:16">
      <c r="B406" s="63">
        <v>541.92098244594649</v>
      </c>
      <c r="C406" s="63">
        <v>545.92424812629474</v>
      </c>
      <c r="D406" s="63">
        <v>541.26536077124933</v>
      </c>
      <c r="E406" s="63">
        <v>545.45736602461648</v>
      </c>
      <c r="F406" s="63">
        <v>3966595.7065879218</v>
      </c>
      <c r="G406" s="63" t="s">
        <v>357</v>
      </c>
      <c r="H406" s="25">
        <f t="shared" si="15"/>
        <v>-6.4833363686033207E-3</v>
      </c>
      <c r="J406" s="63">
        <v>41.9</v>
      </c>
      <c r="K406" s="63">
        <v>46.454099999999997</v>
      </c>
      <c r="L406" s="63">
        <v>41.61</v>
      </c>
      <c r="M406" s="63">
        <v>46</v>
      </c>
      <c r="N406" s="63">
        <v>4080395</v>
      </c>
      <c r="O406" s="63" t="s">
        <v>357</v>
      </c>
      <c r="P406" s="25">
        <f t="shared" si="14"/>
        <v>-8.9130434782608736E-2</v>
      </c>
    </row>
    <row r="407" spans="2:16">
      <c r="B407" s="63">
        <v>545.38783039245152</v>
      </c>
      <c r="C407" s="63">
        <v>547.22555781395135</v>
      </c>
      <c r="D407" s="63">
        <v>543.34149607445727</v>
      </c>
      <c r="E407" s="63">
        <v>545.51696799504339</v>
      </c>
      <c r="F407" s="63">
        <v>3726289.5573551976</v>
      </c>
      <c r="G407" s="63" t="s">
        <v>358</v>
      </c>
      <c r="H407" s="25">
        <f t="shared" si="15"/>
        <v>-2.3672518027528788E-4</v>
      </c>
      <c r="J407" s="63">
        <v>45.87</v>
      </c>
      <c r="K407" s="63">
        <v>47.58</v>
      </c>
      <c r="L407" s="63">
        <v>45.854999999999997</v>
      </c>
      <c r="M407" s="63">
        <v>47</v>
      </c>
      <c r="N407" s="63">
        <v>1935436</v>
      </c>
      <c r="O407" s="63" t="s">
        <v>358</v>
      </c>
      <c r="P407" s="25">
        <f t="shared" si="14"/>
        <v>-2.4042553191489402E-2</v>
      </c>
    </row>
    <row r="408" spans="2:16">
      <c r="B408" s="63">
        <v>545.10968786379215</v>
      </c>
      <c r="C408" s="63">
        <v>547.28515978437838</v>
      </c>
      <c r="D408" s="63">
        <v>542.80507834061393</v>
      </c>
      <c r="E408" s="63">
        <v>546.73880838879734</v>
      </c>
      <c r="F408" s="63">
        <v>4850792.3132173652</v>
      </c>
      <c r="G408" s="63" t="s">
        <v>359</v>
      </c>
      <c r="H408" s="25">
        <f t="shared" si="15"/>
        <v>-2.9797052998782325E-3</v>
      </c>
      <c r="J408" s="63">
        <v>46.45</v>
      </c>
      <c r="K408" s="63">
        <v>47.58</v>
      </c>
      <c r="L408" s="63">
        <v>45.72</v>
      </c>
      <c r="M408" s="63">
        <v>46.8</v>
      </c>
      <c r="N408" s="63">
        <v>1931931</v>
      </c>
      <c r="O408" s="63" t="s">
        <v>359</v>
      </c>
      <c r="P408" s="25">
        <f t="shared" si="14"/>
        <v>-7.478632478632341E-3</v>
      </c>
    </row>
    <row r="409" spans="2:16">
      <c r="B409" s="63">
        <v>546.74874205053516</v>
      </c>
      <c r="C409" s="63">
        <v>548.06991906166752</v>
      </c>
      <c r="D409" s="63">
        <v>545.20902448117056</v>
      </c>
      <c r="E409" s="63">
        <v>547.77190920953228</v>
      </c>
      <c r="F409" s="63">
        <v>4925805.9405851793</v>
      </c>
      <c r="G409" s="63" t="s">
        <v>360</v>
      </c>
      <c r="H409" s="25">
        <f t="shared" si="15"/>
        <v>-1.8678708086247164E-3</v>
      </c>
      <c r="J409" s="63">
        <v>46.48</v>
      </c>
      <c r="K409" s="63">
        <v>48.94</v>
      </c>
      <c r="L409" s="63">
        <v>45.134999999999998</v>
      </c>
      <c r="M409" s="63">
        <v>48.33</v>
      </c>
      <c r="N409" s="63">
        <v>2227985</v>
      </c>
      <c r="O409" s="63" t="s">
        <v>360</v>
      </c>
      <c r="P409" s="25">
        <f t="shared" si="14"/>
        <v>-3.8278501965652856E-2</v>
      </c>
    </row>
    <row r="410" spans="2:16">
      <c r="B410" s="63">
        <v>546.30172727233264</v>
      </c>
      <c r="C410" s="63">
        <v>547.5831696365135</v>
      </c>
      <c r="D410" s="63">
        <v>544.4242652038813</v>
      </c>
      <c r="E410" s="63">
        <v>544.43419886561924</v>
      </c>
      <c r="F410" s="63">
        <v>6843373.7522054855</v>
      </c>
      <c r="G410" s="63" t="s">
        <v>361</v>
      </c>
      <c r="H410" s="25">
        <f t="shared" si="15"/>
        <v>3.4302187676757967E-3</v>
      </c>
      <c r="J410" s="63">
        <v>48</v>
      </c>
      <c r="K410" s="63">
        <v>48.32</v>
      </c>
      <c r="L410" s="63">
        <v>46.1</v>
      </c>
      <c r="M410" s="63">
        <v>47.13</v>
      </c>
      <c r="N410" s="63">
        <v>2901003</v>
      </c>
      <c r="O410" s="63" t="s">
        <v>361</v>
      </c>
      <c r="P410" s="25">
        <f t="shared" si="14"/>
        <v>1.8459579885423238E-2</v>
      </c>
    </row>
    <row r="411" spans="2:16">
      <c r="B411" s="63">
        <v>543.89778113177601</v>
      </c>
      <c r="C411" s="63">
        <v>544.83651216600163</v>
      </c>
      <c r="D411" s="63">
        <v>541.53356963817089</v>
      </c>
      <c r="E411" s="63">
        <v>541.60310527033573</v>
      </c>
      <c r="F411" s="63">
        <v>6091687.1942106001</v>
      </c>
      <c r="G411" s="63" t="s">
        <v>362</v>
      </c>
      <c r="H411" s="25">
        <f t="shared" si="15"/>
        <v>4.23682183338836E-3</v>
      </c>
      <c r="J411" s="63">
        <v>47.02</v>
      </c>
      <c r="K411" s="63">
        <v>47.13</v>
      </c>
      <c r="L411" s="63">
        <v>45.11</v>
      </c>
      <c r="M411" s="63">
        <v>45.19</v>
      </c>
      <c r="N411" s="63">
        <v>3029832</v>
      </c>
      <c r="O411" s="63" t="s">
        <v>362</v>
      </c>
      <c r="P411" s="25">
        <f t="shared" si="14"/>
        <v>4.0495684886036942E-2</v>
      </c>
    </row>
    <row r="412" spans="2:16">
      <c r="B412" s="63">
        <v>539.69584221667105</v>
      </c>
      <c r="C412" s="63">
        <v>540.5302698026494</v>
      </c>
      <c r="D412" s="63">
        <v>534.59987374516083</v>
      </c>
      <c r="E412" s="63">
        <v>538.05678802992804</v>
      </c>
      <c r="F412" s="63">
        <v>7533311.6805219874</v>
      </c>
      <c r="G412" s="63" t="s">
        <v>363</v>
      </c>
      <c r="H412" s="25">
        <f t="shared" si="15"/>
        <v>3.0462475768484598E-3</v>
      </c>
      <c r="J412" s="63">
        <v>44.35</v>
      </c>
      <c r="K412" s="63">
        <v>44.82</v>
      </c>
      <c r="L412" s="63">
        <v>43.070799999999998</v>
      </c>
      <c r="M412" s="63">
        <v>43.83</v>
      </c>
      <c r="N412" s="63">
        <v>2585595</v>
      </c>
      <c r="O412" s="63" t="s">
        <v>363</v>
      </c>
      <c r="P412" s="25">
        <f t="shared" si="14"/>
        <v>1.186402007757259E-2</v>
      </c>
    </row>
    <row r="413" spans="2:16">
      <c r="B413" s="63">
        <v>526.58340872272663</v>
      </c>
      <c r="C413" s="63">
        <v>526.65294435489136</v>
      </c>
      <c r="D413" s="63">
        <v>521.00069082606228</v>
      </c>
      <c r="E413" s="63">
        <v>521.23909870777038</v>
      </c>
      <c r="F413" s="63">
        <v>3322318.6847901442</v>
      </c>
      <c r="G413" s="63" t="s">
        <v>364</v>
      </c>
      <c r="H413" s="25">
        <f t="shared" si="15"/>
        <v>1.0253087360878377E-2</v>
      </c>
      <c r="J413" s="63">
        <v>41.85</v>
      </c>
      <c r="K413" s="63">
        <v>42.92</v>
      </c>
      <c r="L413" s="63">
        <v>40.6</v>
      </c>
      <c r="M413" s="63">
        <v>40.755000000000003</v>
      </c>
      <c r="N413" s="63">
        <v>2661502</v>
      </c>
      <c r="O413" s="63" t="s">
        <v>364</v>
      </c>
      <c r="P413" s="25">
        <f t="shared" si="14"/>
        <v>2.6867868973132092E-2</v>
      </c>
    </row>
    <row r="414" spans="2:16">
      <c r="B414" s="63">
        <v>520.32520182788937</v>
      </c>
      <c r="C414" s="63">
        <v>522.78874993887291</v>
      </c>
      <c r="D414" s="63">
        <v>518.56704303690969</v>
      </c>
      <c r="E414" s="63">
        <v>521.57684320685678</v>
      </c>
      <c r="F414" s="63">
        <v>3706046.2668841663</v>
      </c>
      <c r="G414" s="63" t="s">
        <v>365</v>
      </c>
      <c r="H414" s="25">
        <f t="shared" si="15"/>
        <v>-2.3997257456290777E-3</v>
      </c>
      <c r="J414" s="63">
        <v>40.07</v>
      </c>
      <c r="K414" s="63">
        <v>40.49</v>
      </c>
      <c r="L414" s="63">
        <v>39.24</v>
      </c>
      <c r="M414" s="63">
        <v>39.85</v>
      </c>
      <c r="N414" s="63">
        <v>1965494</v>
      </c>
      <c r="O414" s="63" t="s">
        <v>365</v>
      </c>
      <c r="P414" s="25">
        <f t="shared" si="14"/>
        <v>5.520702634880692E-3</v>
      </c>
    </row>
    <row r="415" spans="2:16">
      <c r="B415" s="63">
        <v>521.45763926600284</v>
      </c>
      <c r="C415" s="63">
        <v>525.57017522546732</v>
      </c>
      <c r="D415" s="63">
        <v>521.0603921331068</v>
      </c>
      <c r="E415" s="63">
        <v>521.67617982423519</v>
      </c>
      <c r="F415" s="63">
        <v>6147724.938870227</v>
      </c>
      <c r="G415" s="63" t="s">
        <v>366</v>
      </c>
      <c r="H415" s="25">
        <f t="shared" si="15"/>
        <v>-4.1891994820619782E-4</v>
      </c>
      <c r="J415" s="63">
        <v>40.43</v>
      </c>
      <c r="K415" s="63">
        <v>40.86</v>
      </c>
      <c r="L415" s="63">
        <v>37.950000000000003</v>
      </c>
      <c r="M415" s="63">
        <v>37.950000000000003</v>
      </c>
      <c r="N415" s="63">
        <v>3521006</v>
      </c>
      <c r="O415" s="63" t="s">
        <v>366</v>
      </c>
      <c r="P415" s="25">
        <f t="shared" si="14"/>
        <v>6.5349143610013094E-2</v>
      </c>
    </row>
    <row r="416" spans="2:16">
      <c r="B416" s="63">
        <v>519.20269805151383</v>
      </c>
      <c r="C416" s="63">
        <v>525.71918015153483</v>
      </c>
      <c r="D416" s="63">
        <v>519.04375946370851</v>
      </c>
      <c r="E416" s="63">
        <v>525.58010888720514</v>
      </c>
      <c r="F416" s="63">
        <v>8026017.2033361597</v>
      </c>
      <c r="G416" s="63" t="s">
        <v>367</v>
      </c>
      <c r="H416" s="25">
        <f t="shared" si="15"/>
        <v>-1.213404146742536E-2</v>
      </c>
      <c r="J416" s="63">
        <v>37.700000000000003</v>
      </c>
      <c r="K416" s="63">
        <v>39.76</v>
      </c>
      <c r="L416" s="63">
        <v>36.89</v>
      </c>
      <c r="M416" s="63">
        <v>39.75</v>
      </c>
      <c r="N416" s="63">
        <v>3302201</v>
      </c>
      <c r="O416" s="63" t="s">
        <v>367</v>
      </c>
      <c r="P416" s="25">
        <f t="shared" si="14"/>
        <v>-5.1572327044025035E-2</v>
      </c>
    </row>
    <row r="417" spans="2:16">
      <c r="B417" s="63">
        <v>529.62310921450455</v>
      </c>
      <c r="C417" s="63">
        <v>532.64294238280706</v>
      </c>
      <c r="D417" s="63">
        <v>529.05689049544799</v>
      </c>
      <c r="E417" s="63">
        <v>530.80521496130723</v>
      </c>
      <c r="F417" s="63">
        <v>3087496.9179974315</v>
      </c>
      <c r="G417" s="63" t="s">
        <v>368</v>
      </c>
      <c r="H417" s="25">
        <f t="shared" si="15"/>
        <v>-2.2270047721533182E-3</v>
      </c>
      <c r="J417" s="63">
        <v>40.130000000000003</v>
      </c>
      <c r="K417" s="63">
        <v>41.28</v>
      </c>
      <c r="L417" s="63">
        <v>39.69</v>
      </c>
      <c r="M417" s="63">
        <v>40.700000000000003</v>
      </c>
      <c r="N417" s="63">
        <v>1768361</v>
      </c>
      <c r="O417" s="63" t="s">
        <v>368</v>
      </c>
      <c r="P417" s="25">
        <f t="shared" si="14"/>
        <v>-1.4004914004913993E-2</v>
      </c>
    </row>
    <row r="418" spans="2:16">
      <c r="B418" s="63">
        <v>531.22242875429629</v>
      </c>
      <c r="C418" s="63">
        <v>532.26546323676928</v>
      </c>
      <c r="D418" s="63">
        <v>528.22246290946964</v>
      </c>
      <c r="E418" s="63">
        <v>529.58337456755328</v>
      </c>
      <c r="F418" s="63">
        <v>3047829.7730513616</v>
      </c>
      <c r="G418" s="63" t="s">
        <v>369</v>
      </c>
      <c r="H418" s="25">
        <f t="shared" si="15"/>
        <v>3.0949879951980286E-3</v>
      </c>
      <c r="J418" s="63">
        <v>41.7</v>
      </c>
      <c r="K418" s="63">
        <v>41.92</v>
      </c>
      <c r="L418" s="63">
        <v>40.2301</v>
      </c>
      <c r="M418" s="63">
        <v>40.32</v>
      </c>
      <c r="N418" s="63">
        <v>1674815</v>
      </c>
      <c r="O418" s="63" t="s">
        <v>369</v>
      </c>
      <c r="P418" s="25">
        <f t="shared" si="14"/>
        <v>3.4226190476190466E-2</v>
      </c>
    </row>
    <row r="419" spans="2:16">
      <c r="B419" s="63">
        <v>530.37806750658012</v>
      </c>
      <c r="C419" s="63">
        <v>532.01712169332336</v>
      </c>
      <c r="D419" s="63">
        <v>530.13052065607326</v>
      </c>
      <c r="E419" s="63">
        <v>531.97738704637186</v>
      </c>
      <c r="F419" s="63">
        <v>3430729.8657243685</v>
      </c>
      <c r="G419" s="63" t="s">
        <v>370</v>
      </c>
      <c r="H419" s="25">
        <f t="shared" si="15"/>
        <v>-3.0063675237614884E-3</v>
      </c>
      <c r="J419" s="63">
        <v>40.14</v>
      </c>
      <c r="K419" s="63">
        <v>40.590000000000003</v>
      </c>
      <c r="L419" s="63">
        <v>38.909999999999997</v>
      </c>
      <c r="M419" s="63">
        <v>39.22</v>
      </c>
      <c r="N419" s="63">
        <v>1918638</v>
      </c>
      <c r="O419" s="63" t="s">
        <v>370</v>
      </c>
      <c r="P419" s="25">
        <f t="shared" si="14"/>
        <v>2.3457419683834857E-2</v>
      </c>
    </row>
    <row r="420" spans="2:16">
      <c r="B420" s="63">
        <v>528.72907965809929</v>
      </c>
      <c r="C420" s="63">
        <v>533.69600986363503</v>
      </c>
      <c r="D420" s="63">
        <v>527.88869187507828</v>
      </c>
      <c r="E420" s="63">
        <v>531.10322481344224</v>
      </c>
      <c r="F420" s="63">
        <v>4356087.5276414705</v>
      </c>
      <c r="G420" s="63" t="s">
        <v>371</v>
      </c>
      <c r="H420" s="25">
        <f t="shared" si="15"/>
        <v>-4.4702141587954491E-3</v>
      </c>
      <c r="J420" s="63">
        <v>39.18</v>
      </c>
      <c r="K420" s="63">
        <v>40.19</v>
      </c>
      <c r="L420" s="63">
        <v>38.895000000000003</v>
      </c>
      <c r="M420" s="63">
        <v>39.4</v>
      </c>
      <c r="N420" s="63">
        <v>1641386</v>
      </c>
      <c r="O420" s="63" t="s">
        <v>371</v>
      </c>
      <c r="P420" s="25">
        <f t="shared" si="14"/>
        <v>-5.583756345177604E-3</v>
      </c>
    </row>
    <row r="421" spans="2:16">
      <c r="B421" s="63">
        <v>528.93768655459394</v>
      </c>
      <c r="C421" s="63">
        <v>529.6429765379803</v>
      </c>
      <c r="D421" s="63">
        <v>526.52380675229949</v>
      </c>
      <c r="E421" s="63">
        <v>529.63304287624237</v>
      </c>
      <c r="F421" s="63">
        <v>4507665.0666938424</v>
      </c>
      <c r="G421" s="63" t="s">
        <v>372</v>
      </c>
      <c r="H421" s="25">
        <f t="shared" si="15"/>
        <v>-1.3129020762605581E-3</v>
      </c>
      <c r="J421" s="63">
        <v>39.01</v>
      </c>
      <c r="K421" s="63">
        <v>39.305599999999998</v>
      </c>
      <c r="L421" s="63">
        <v>38.01</v>
      </c>
      <c r="M421" s="63">
        <v>38.6</v>
      </c>
      <c r="N421" s="63">
        <v>1422488</v>
      </c>
      <c r="O421" s="63" t="s">
        <v>372</v>
      </c>
      <c r="P421" s="25">
        <f t="shared" si="14"/>
        <v>1.0621761658031081E-2</v>
      </c>
    </row>
    <row r="422" spans="2:16">
      <c r="B422" s="63">
        <v>527.74564714605344</v>
      </c>
      <c r="C422" s="63">
        <v>531.1727604456072</v>
      </c>
      <c r="D422" s="63">
        <v>524.51720708125652</v>
      </c>
      <c r="E422" s="63">
        <v>530.73567932914227</v>
      </c>
      <c r="F422" s="63">
        <v>5262665.6090852972</v>
      </c>
      <c r="G422" s="63" t="s">
        <v>373</v>
      </c>
      <c r="H422" s="25">
        <f t="shared" si="15"/>
        <v>-5.6337500935838003E-3</v>
      </c>
      <c r="J422" s="63">
        <v>38.664999999999999</v>
      </c>
      <c r="K422" s="63">
        <v>40.33</v>
      </c>
      <c r="L422" s="63">
        <v>38.01</v>
      </c>
      <c r="M422" s="63">
        <v>39.450000000000003</v>
      </c>
      <c r="N422" s="63">
        <v>2480735</v>
      </c>
      <c r="O422" s="63" t="s">
        <v>373</v>
      </c>
      <c r="P422" s="25">
        <f t="shared" si="14"/>
        <v>-1.9898605830164895E-2</v>
      </c>
    </row>
    <row r="423" spans="2:16">
      <c r="B423" s="63">
        <v>532.60320773585568</v>
      </c>
      <c r="C423" s="63">
        <v>533.7157778504934</v>
      </c>
      <c r="D423" s="63">
        <v>529.93105272837761</v>
      </c>
      <c r="E423" s="63">
        <v>530.56680707959913</v>
      </c>
      <c r="F423" s="63">
        <v>3389077.5515103652</v>
      </c>
      <c r="G423" s="63" t="s">
        <v>374</v>
      </c>
      <c r="H423" s="25">
        <f t="shared" si="15"/>
        <v>3.8381606785118372E-3</v>
      </c>
      <c r="J423" s="63">
        <v>39.700000000000003</v>
      </c>
      <c r="K423" s="63">
        <v>40.19</v>
      </c>
      <c r="L423" s="63">
        <v>38.729999999999997</v>
      </c>
      <c r="M423" s="63">
        <v>39.74</v>
      </c>
      <c r="N423" s="63">
        <v>1640239</v>
      </c>
      <c r="O423" s="63" t="s">
        <v>374</v>
      </c>
      <c r="P423" s="25">
        <f t="shared" si="14"/>
        <v>-1.0065425264217387E-3</v>
      </c>
    </row>
    <row r="424" spans="2:16">
      <c r="B424" s="63">
        <v>532.97075322015553</v>
      </c>
      <c r="C424" s="63">
        <v>534.04358868784198</v>
      </c>
      <c r="D424" s="63">
        <v>530.16946061008571</v>
      </c>
      <c r="E424" s="63">
        <v>533.15949279317454</v>
      </c>
      <c r="F424" s="63">
        <v>3695949.2852627807</v>
      </c>
      <c r="G424" s="63" t="s">
        <v>375</v>
      </c>
      <c r="H424" s="25">
        <f t="shared" si="15"/>
        <v>-3.5400208674929434E-4</v>
      </c>
      <c r="J424" s="63">
        <v>39.93</v>
      </c>
      <c r="K424" s="63">
        <v>39.950000000000003</v>
      </c>
      <c r="L424" s="63">
        <v>37.24</v>
      </c>
      <c r="M424" s="63">
        <v>37.46</v>
      </c>
      <c r="N424" s="63">
        <v>2515484</v>
      </c>
      <c r="O424" s="63" t="s">
        <v>375</v>
      </c>
      <c r="P424" s="25">
        <f t="shared" si="14"/>
        <v>6.5936999466097213E-2</v>
      </c>
    </row>
    <row r="425" spans="2:16">
      <c r="B425" s="63">
        <v>533.79524714439606</v>
      </c>
      <c r="C425" s="63">
        <v>534.53033811299599</v>
      </c>
      <c r="D425" s="63">
        <v>532.00718803158543</v>
      </c>
      <c r="E425" s="63">
        <v>533.3382987044555</v>
      </c>
      <c r="F425" s="63">
        <v>5104272.8591080224</v>
      </c>
      <c r="G425" s="63" t="s">
        <v>376</v>
      </c>
      <c r="H425" s="25">
        <f t="shared" si="15"/>
        <v>8.5677034829600984E-4</v>
      </c>
      <c r="J425" s="63">
        <v>37.31</v>
      </c>
      <c r="K425" s="63">
        <v>39.06</v>
      </c>
      <c r="L425" s="63">
        <v>37.064999999999998</v>
      </c>
      <c r="M425" s="63">
        <v>37.9</v>
      </c>
      <c r="N425" s="63">
        <v>1663739</v>
      </c>
      <c r="O425" s="63" t="s">
        <v>376</v>
      </c>
      <c r="P425" s="25">
        <f t="shared" si="14"/>
        <v>-1.5567282321899634E-2</v>
      </c>
    </row>
    <row r="426" spans="2:16">
      <c r="B426" s="63">
        <v>531.74891282640169</v>
      </c>
      <c r="C426" s="63">
        <v>535.18595978769315</v>
      </c>
      <c r="D426" s="63">
        <v>531.59990790033407</v>
      </c>
      <c r="E426" s="63">
        <v>535.04688852336346</v>
      </c>
      <c r="F426" s="63">
        <v>3246835.945414796</v>
      </c>
      <c r="G426" s="63" t="s">
        <v>377</v>
      </c>
      <c r="H426" s="25">
        <f t="shared" si="15"/>
        <v>-6.1639003379004853E-3</v>
      </c>
      <c r="J426" s="63">
        <v>37.61</v>
      </c>
      <c r="K426" s="63">
        <v>38.76</v>
      </c>
      <c r="L426" s="63">
        <v>37.46</v>
      </c>
      <c r="M426" s="63">
        <v>37.86</v>
      </c>
      <c r="N426" s="63">
        <v>2256406</v>
      </c>
      <c r="O426" s="63" t="s">
        <v>377</v>
      </c>
      <c r="P426" s="25">
        <f t="shared" si="14"/>
        <v>-6.603275224511318E-3</v>
      </c>
    </row>
    <row r="427" spans="2:16">
      <c r="B427" s="63">
        <v>531.66944353249903</v>
      </c>
      <c r="C427" s="63">
        <v>532.17606028112868</v>
      </c>
      <c r="D427" s="63">
        <v>528.68437818027905</v>
      </c>
      <c r="E427" s="63">
        <v>529.39463499453439</v>
      </c>
      <c r="F427" s="63">
        <v>3258834.5420195116</v>
      </c>
      <c r="G427" s="63" t="s">
        <v>378</v>
      </c>
      <c r="H427" s="25">
        <f t="shared" si="15"/>
        <v>4.2969996059520899E-3</v>
      </c>
      <c r="J427" s="63">
        <v>36.99</v>
      </c>
      <c r="K427" s="63">
        <v>37.5</v>
      </c>
      <c r="L427" s="63">
        <v>35.82</v>
      </c>
      <c r="M427" s="63">
        <v>36.82</v>
      </c>
      <c r="N427" s="63">
        <v>1979357</v>
      </c>
      <c r="O427" s="63" t="s">
        <v>378</v>
      </c>
      <c r="P427" s="25">
        <f t="shared" si="14"/>
        <v>4.6170559478544426E-3</v>
      </c>
    </row>
    <row r="428" spans="2:16">
      <c r="B428" s="63">
        <v>529.44430330322359</v>
      </c>
      <c r="C428" s="63">
        <v>534.04358868784198</v>
      </c>
      <c r="D428" s="63">
        <v>528.2919985416346</v>
      </c>
      <c r="E428" s="63">
        <v>533.81511446787169</v>
      </c>
      <c r="F428" s="63">
        <v>4843460.6764129233</v>
      </c>
      <c r="G428" s="63" t="s">
        <v>379</v>
      </c>
      <c r="H428" s="25">
        <f t="shared" si="15"/>
        <v>-8.1878745022143651E-3</v>
      </c>
      <c r="J428" s="63">
        <v>36.380000000000003</v>
      </c>
      <c r="K428" s="63">
        <v>38.29</v>
      </c>
      <c r="L428" s="63">
        <v>35.630000000000003</v>
      </c>
      <c r="M428" s="63">
        <v>38.1</v>
      </c>
      <c r="N428" s="63">
        <v>3408928</v>
      </c>
      <c r="O428" s="63" t="s">
        <v>379</v>
      </c>
      <c r="P428" s="25">
        <f t="shared" si="14"/>
        <v>-4.5144356955380549E-2</v>
      </c>
    </row>
    <row r="429" spans="2:16">
      <c r="B429" s="63">
        <v>533.50717095399887</v>
      </c>
      <c r="C429" s="63">
        <v>534.41113417214194</v>
      </c>
      <c r="D429" s="63">
        <v>530.42773581526944</v>
      </c>
      <c r="E429" s="63">
        <v>530.70587834392882</v>
      </c>
      <c r="F429" s="63">
        <v>2656552.1049991744</v>
      </c>
      <c r="G429" s="63" t="s">
        <v>380</v>
      </c>
      <c r="H429" s="25">
        <f t="shared" si="15"/>
        <v>5.2784277023867343E-3</v>
      </c>
      <c r="J429" s="63">
        <v>38.15</v>
      </c>
      <c r="K429" s="63">
        <v>40.370600000000003</v>
      </c>
      <c r="L429" s="63">
        <v>37.76</v>
      </c>
      <c r="M429" s="63">
        <v>39.11</v>
      </c>
      <c r="N429" s="63">
        <v>3026646</v>
      </c>
      <c r="O429" s="63" t="s">
        <v>380</v>
      </c>
      <c r="P429" s="25">
        <f t="shared" si="14"/>
        <v>-2.4546151879314748E-2</v>
      </c>
    </row>
    <row r="430" spans="2:16">
      <c r="B430" s="63">
        <v>529.17609443630204</v>
      </c>
      <c r="C430" s="63">
        <v>529.89131808142622</v>
      </c>
      <c r="D430" s="63">
        <v>525.87811873934015</v>
      </c>
      <c r="E430" s="63">
        <v>525.98738901845638</v>
      </c>
      <c r="F430" s="63">
        <v>5465424.6775090043</v>
      </c>
      <c r="G430" s="63" t="s">
        <v>381</v>
      </c>
      <c r="H430" s="25">
        <f t="shared" si="15"/>
        <v>6.0623229461758132E-3</v>
      </c>
      <c r="J430" s="63">
        <v>38.26</v>
      </c>
      <c r="K430" s="63">
        <v>39</v>
      </c>
      <c r="L430" s="63">
        <v>36.6</v>
      </c>
      <c r="M430" s="63">
        <v>37.06</v>
      </c>
      <c r="N430" s="63">
        <v>3072039</v>
      </c>
      <c r="O430" s="63" t="s">
        <v>381</v>
      </c>
      <c r="P430" s="25">
        <f t="shared" si="14"/>
        <v>3.2379924446842789E-2</v>
      </c>
    </row>
    <row r="431" spans="2:16">
      <c r="B431" s="63">
        <v>526.04699098888329</v>
      </c>
      <c r="C431" s="63">
        <v>527.37810166175348</v>
      </c>
      <c r="D431" s="63">
        <v>524.58674271342147</v>
      </c>
      <c r="E431" s="63">
        <v>525.7589147984861</v>
      </c>
      <c r="F431" s="63">
        <v>3661925.577900907</v>
      </c>
      <c r="G431" s="63" t="s">
        <v>382</v>
      </c>
      <c r="H431" s="25">
        <f t="shared" si="15"/>
        <v>5.4792449978258162E-4</v>
      </c>
      <c r="J431" s="63">
        <v>37.24</v>
      </c>
      <c r="K431" s="63">
        <v>37.29</v>
      </c>
      <c r="L431" s="63">
        <v>34.69</v>
      </c>
      <c r="M431" s="63">
        <v>34.85</v>
      </c>
      <c r="N431" s="63">
        <v>2319411</v>
      </c>
      <c r="O431" s="63" t="s">
        <v>382</v>
      </c>
      <c r="P431" s="25">
        <f t="shared" si="14"/>
        <v>6.8579626972740337E-2</v>
      </c>
    </row>
    <row r="432" spans="2:16">
      <c r="B432" s="63">
        <v>526.93108688355096</v>
      </c>
      <c r="C432" s="63">
        <v>527.50723926434534</v>
      </c>
      <c r="D432" s="63">
        <v>522.81855092408637</v>
      </c>
      <c r="E432" s="63">
        <v>523.37483598140534</v>
      </c>
      <c r="F432" s="63">
        <v>2961430.6160586346</v>
      </c>
      <c r="G432" s="63" t="s">
        <v>383</v>
      </c>
      <c r="H432" s="25">
        <f t="shared" si="15"/>
        <v>6.7948450281853923E-3</v>
      </c>
      <c r="J432" s="63">
        <v>35.17</v>
      </c>
      <c r="K432" s="63">
        <v>35.869999999999997</v>
      </c>
      <c r="L432" s="63">
        <v>34.26</v>
      </c>
      <c r="M432" s="63">
        <v>34.39</v>
      </c>
      <c r="N432" s="63">
        <v>3138816</v>
      </c>
      <c r="O432" s="63" t="s">
        <v>383</v>
      </c>
      <c r="P432" s="25">
        <f t="shared" si="14"/>
        <v>2.2681011922070393E-2</v>
      </c>
    </row>
    <row r="433" spans="2:16">
      <c r="B433" s="63">
        <v>523.3549686579297</v>
      </c>
      <c r="C433" s="63">
        <v>523.88145273003499</v>
      </c>
      <c r="D433" s="63">
        <v>520.02719197575436</v>
      </c>
      <c r="E433" s="63">
        <v>520.84175223825696</v>
      </c>
      <c r="F433" s="63">
        <v>2644208.2177966391</v>
      </c>
      <c r="G433" s="63" t="s">
        <v>384</v>
      </c>
      <c r="H433" s="25">
        <f t="shared" si="15"/>
        <v>4.8252975282270238E-3</v>
      </c>
      <c r="J433" s="63">
        <v>33.71</v>
      </c>
      <c r="K433" s="63">
        <v>33.799999999999997</v>
      </c>
      <c r="L433" s="63">
        <v>32.5</v>
      </c>
      <c r="M433" s="63">
        <v>32.83</v>
      </c>
      <c r="N433" s="63">
        <v>1551883</v>
      </c>
      <c r="O433" s="63" t="s">
        <v>384</v>
      </c>
      <c r="P433" s="25">
        <f t="shared" si="14"/>
        <v>2.680475175144692E-2</v>
      </c>
    </row>
    <row r="434" spans="2:16">
      <c r="B434" s="63">
        <v>518.44773975943826</v>
      </c>
      <c r="C434" s="63">
        <v>522.23256421817143</v>
      </c>
      <c r="D434" s="63">
        <v>517.35503696827618</v>
      </c>
      <c r="E434" s="63">
        <v>521.65631250075955</v>
      </c>
      <c r="F434" s="63">
        <v>3997020.5396430702</v>
      </c>
      <c r="G434" s="64" t="s">
        <v>385</v>
      </c>
      <c r="H434" s="25">
        <f t="shared" si="15"/>
        <v>-6.15074075484634E-3</v>
      </c>
      <c r="J434" s="63">
        <v>32.54</v>
      </c>
      <c r="K434" s="63">
        <v>33.049900000000001</v>
      </c>
      <c r="L434" s="63">
        <v>31.71</v>
      </c>
      <c r="M434" s="63">
        <v>32.369999999999997</v>
      </c>
      <c r="N434" s="63">
        <v>1870348</v>
      </c>
      <c r="O434" s="63" t="s">
        <v>385</v>
      </c>
      <c r="P434" s="25">
        <f t="shared" si="14"/>
        <v>5.2517763361137337E-3</v>
      </c>
    </row>
    <row r="435" spans="2:16">
      <c r="B435" s="63">
        <v>523.15629542317288</v>
      </c>
      <c r="C435" s="63">
        <v>523.52384090747285</v>
      </c>
      <c r="D435" s="63">
        <v>518.83515256721387</v>
      </c>
      <c r="E435" s="63">
        <v>522.66954599801886</v>
      </c>
      <c r="F435" s="63">
        <v>5393957.5771852722</v>
      </c>
      <c r="G435" s="63" t="s">
        <v>386</v>
      </c>
      <c r="H435" s="25">
        <f t="shared" si="15"/>
        <v>9.312756575947656E-4</v>
      </c>
      <c r="J435" s="63">
        <v>32.57</v>
      </c>
      <c r="K435" s="63">
        <v>32.700000000000003</v>
      </c>
      <c r="L435" s="63">
        <v>31.48</v>
      </c>
      <c r="M435" s="63">
        <v>31.81</v>
      </c>
      <c r="N435" s="63">
        <v>1966795</v>
      </c>
      <c r="O435" s="63" t="s">
        <v>386</v>
      </c>
      <c r="P435" s="25">
        <f t="shared" si="14"/>
        <v>2.3891857906318759E-2</v>
      </c>
    </row>
    <row r="436" spans="2:16">
      <c r="B436" s="63">
        <v>518.37820412727342</v>
      </c>
      <c r="C436" s="63">
        <v>520.28050035006913</v>
      </c>
      <c r="D436" s="63">
        <v>516.37160445623044</v>
      </c>
      <c r="E436" s="63">
        <v>518.10006159861393</v>
      </c>
      <c r="F436" s="63">
        <v>4034717.615493123</v>
      </c>
      <c r="G436" s="63" t="s">
        <v>387</v>
      </c>
      <c r="H436" s="25">
        <f t="shared" si="15"/>
        <v>5.3685098550504406E-4</v>
      </c>
      <c r="J436" s="63">
        <v>30.89</v>
      </c>
      <c r="K436" s="63">
        <v>32.46</v>
      </c>
      <c r="L436" s="63">
        <v>30.060300000000002</v>
      </c>
      <c r="M436" s="63">
        <v>30.15</v>
      </c>
      <c r="N436" s="63">
        <v>2281977</v>
      </c>
      <c r="O436" s="63" t="s">
        <v>387</v>
      </c>
      <c r="P436" s="25">
        <f t="shared" si="14"/>
        <v>2.4543946932006788E-2</v>
      </c>
    </row>
    <row r="437" spans="2:16">
      <c r="B437" s="63">
        <v>519.36163663931927</v>
      </c>
      <c r="C437" s="63">
        <v>520.37487013657858</v>
      </c>
      <c r="D437" s="63">
        <v>516.13329591113973</v>
      </c>
      <c r="E437" s="63">
        <v>518.38813778901124</v>
      </c>
      <c r="F437" s="63">
        <v>3292424.3711083229</v>
      </c>
      <c r="G437" s="63" t="s">
        <v>388</v>
      </c>
      <c r="H437" s="25">
        <f t="shared" si="15"/>
        <v>1.877934272300541E-3</v>
      </c>
      <c r="J437" s="63">
        <v>30.43</v>
      </c>
      <c r="K437" s="63">
        <v>30.8</v>
      </c>
      <c r="L437" s="63">
        <v>29.16</v>
      </c>
      <c r="M437" s="63">
        <v>29.96</v>
      </c>
      <c r="N437" s="63">
        <v>1715186</v>
      </c>
      <c r="O437" s="63" t="s">
        <v>388</v>
      </c>
      <c r="P437" s="25">
        <f t="shared" si="14"/>
        <v>1.5687583444592645E-2</v>
      </c>
    </row>
    <row r="438" spans="2:16">
      <c r="B438" s="63">
        <v>519.27223368367868</v>
      </c>
      <c r="C438" s="63">
        <v>523.60331020137562</v>
      </c>
      <c r="D438" s="63">
        <v>516.77888458748168</v>
      </c>
      <c r="E438" s="63">
        <v>523.54370823094848</v>
      </c>
      <c r="F438" s="63">
        <v>9260086.8066232149</v>
      </c>
      <c r="G438" s="63" t="s">
        <v>389</v>
      </c>
      <c r="H438" s="25">
        <f t="shared" si="15"/>
        <v>-8.158773527625951E-3</v>
      </c>
      <c r="J438" s="63">
        <v>29.96</v>
      </c>
      <c r="K438" s="63">
        <v>30.905000000000001</v>
      </c>
      <c r="L438" s="63">
        <v>29.6111</v>
      </c>
      <c r="M438" s="63">
        <v>30.88</v>
      </c>
      <c r="N438" s="63">
        <v>1629774</v>
      </c>
      <c r="O438" s="63" t="s">
        <v>389</v>
      </c>
      <c r="P438" s="25">
        <f t="shared" si="14"/>
        <v>-2.9792746113989632E-2</v>
      </c>
    </row>
    <row r="439" spans="2:16">
      <c r="B439" s="63">
        <v>524.16952892043219</v>
      </c>
      <c r="C439" s="63">
        <v>524.45263827996064</v>
      </c>
      <c r="D439" s="63">
        <v>518.72588228809775</v>
      </c>
      <c r="E439" s="63">
        <v>520.84175223825696</v>
      </c>
      <c r="F439" s="63">
        <v>8070889.8808808522</v>
      </c>
      <c r="G439" s="63" t="s">
        <v>390</v>
      </c>
      <c r="H439" s="25">
        <f t="shared" si="15"/>
        <v>6.3892279523953821E-3</v>
      </c>
      <c r="J439" s="63">
        <v>30.8</v>
      </c>
      <c r="K439" s="63">
        <v>31.98</v>
      </c>
      <c r="L439" s="63">
        <v>30.42</v>
      </c>
      <c r="M439" s="63">
        <v>30.94</v>
      </c>
      <c r="N439" s="63">
        <v>2691977</v>
      </c>
      <c r="O439" s="63" t="s">
        <v>390</v>
      </c>
      <c r="P439" s="25">
        <f t="shared" si="14"/>
        <v>-4.5248868778280382E-3</v>
      </c>
    </row>
    <row r="440" spans="2:16">
      <c r="B440" s="63">
        <v>521.89472038246765</v>
      </c>
      <c r="C440" s="63">
        <v>524.2688655378106</v>
      </c>
      <c r="D440" s="63">
        <v>520.84175223825696</v>
      </c>
      <c r="E440" s="63">
        <v>523.59337653963769</v>
      </c>
      <c r="F440" s="63">
        <v>5635982.1259820741</v>
      </c>
      <c r="G440" s="63" t="s">
        <v>391</v>
      </c>
      <c r="H440" s="25">
        <f t="shared" si="15"/>
        <v>-3.2442277409928666E-3</v>
      </c>
      <c r="J440" s="63">
        <v>31.45</v>
      </c>
      <c r="K440" s="63">
        <v>31.635000000000002</v>
      </c>
      <c r="L440" s="63">
        <v>30.76</v>
      </c>
      <c r="M440" s="63">
        <v>31.3</v>
      </c>
      <c r="N440" s="63">
        <v>1836890</v>
      </c>
      <c r="O440" s="63" t="s">
        <v>391</v>
      </c>
      <c r="P440" s="25">
        <f t="shared" si="14"/>
        <v>4.7923322683705027E-3</v>
      </c>
    </row>
    <row r="441" spans="2:16">
      <c r="B441" s="63">
        <v>522.57160009328379</v>
      </c>
      <c r="C441" s="63">
        <v>524.77002524432999</v>
      </c>
      <c r="D441" s="63">
        <v>520.3830777582333</v>
      </c>
      <c r="E441" s="63">
        <v>524.52245484443733</v>
      </c>
      <c r="F441" s="63">
        <v>5325672.0131809711</v>
      </c>
      <c r="G441" s="63" t="s">
        <v>392</v>
      </c>
      <c r="H441" s="25">
        <f t="shared" si="15"/>
        <v>-3.7192969207240356E-3</v>
      </c>
      <c r="J441" s="63">
        <v>31.23</v>
      </c>
      <c r="K441" s="63">
        <v>31.36</v>
      </c>
      <c r="L441" s="63">
        <v>29.91</v>
      </c>
      <c r="M441" s="63">
        <v>31</v>
      </c>
      <c r="N441" s="63">
        <v>1882420</v>
      </c>
      <c r="O441" s="63" t="s">
        <v>392</v>
      </c>
      <c r="P441" s="25">
        <f t="shared" si="14"/>
        <v>7.4193548387095909E-3</v>
      </c>
    </row>
    <row r="442" spans="2:16">
      <c r="B442" s="63">
        <v>520.50191155018172</v>
      </c>
      <c r="C442" s="63">
        <v>522.17548745345562</v>
      </c>
      <c r="D442" s="63">
        <v>519.55124121459414</v>
      </c>
      <c r="E442" s="63">
        <v>521.4921931497521</v>
      </c>
      <c r="F442" s="63">
        <v>35765633.750405967</v>
      </c>
      <c r="G442" s="63" t="s">
        <v>393</v>
      </c>
      <c r="H442" s="25">
        <f t="shared" si="15"/>
        <v>-1.8989384933821851E-3</v>
      </c>
      <c r="J442" s="63">
        <v>29.82</v>
      </c>
      <c r="K442" s="63">
        <v>30.9499</v>
      </c>
      <c r="L442" s="63">
        <v>29.58</v>
      </c>
      <c r="M442" s="63">
        <v>29.9</v>
      </c>
      <c r="N442" s="63">
        <v>1836443</v>
      </c>
      <c r="O442" s="63" t="s">
        <v>393</v>
      </c>
      <c r="P442" s="25">
        <f t="shared" ref="P442:P505" si="16">J442/M442-1</f>
        <v>-2.6755852842809125E-3</v>
      </c>
    </row>
    <row r="443" spans="2:16">
      <c r="B443" s="63">
        <v>521.56151286172189</v>
      </c>
      <c r="C443" s="63">
        <v>521.71995791765323</v>
      </c>
      <c r="D443" s="63">
        <v>518.29358358313982</v>
      </c>
      <c r="E443" s="63">
        <v>520.89802419000989</v>
      </c>
      <c r="F443" s="63">
        <v>4696248.0187632013</v>
      </c>
      <c r="G443" s="63" t="s">
        <v>394</v>
      </c>
      <c r="H443" s="25">
        <f t="shared" ref="H443:H506" si="17">B443/E443-1</f>
        <v>1.2737400429647661E-3</v>
      </c>
      <c r="J443" s="63">
        <v>29.88</v>
      </c>
      <c r="K443" s="63">
        <v>29.99</v>
      </c>
      <c r="L443" s="63">
        <v>28.75</v>
      </c>
      <c r="M443" s="63">
        <v>29.91</v>
      </c>
      <c r="N443" s="63">
        <v>1818152</v>
      </c>
      <c r="O443" s="63" t="s">
        <v>394</v>
      </c>
      <c r="P443" s="25">
        <f t="shared" si="16"/>
        <v>-1.0030090270812808E-3</v>
      </c>
    </row>
    <row r="444" spans="2:16">
      <c r="B444" s="63">
        <v>520.06618764637074</v>
      </c>
      <c r="C444" s="63">
        <v>520.71977350208726</v>
      </c>
      <c r="D444" s="63">
        <v>518.7392103029465</v>
      </c>
      <c r="E444" s="63">
        <v>519.89783977444381</v>
      </c>
      <c r="F444" s="63">
        <v>29576592.1660132</v>
      </c>
      <c r="G444" s="63" t="s">
        <v>395</v>
      </c>
      <c r="H444" s="25">
        <f t="shared" si="17"/>
        <v>3.2380952380939299E-4</v>
      </c>
      <c r="J444" s="63">
        <v>29.79</v>
      </c>
      <c r="K444" s="63">
        <v>30.3</v>
      </c>
      <c r="L444" s="63">
        <v>29.16</v>
      </c>
      <c r="M444" s="63">
        <v>29.48</v>
      </c>
      <c r="N444" s="63">
        <v>1735510</v>
      </c>
      <c r="O444" s="63" t="s">
        <v>395</v>
      </c>
      <c r="P444" s="25">
        <f t="shared" si="16"/>
        <v>1.0515603799185813E-2</v>
      </c>
    </row>
    <row r="445" spans="2:16">
      <c r="B445" s="63">
        <v>518.78872438292501</v>
      </c>
      <c r="C445" s="63">
        <v>519.81861724647808</v>
      </c>
      <c r="D445" s="63">
        <v>516.05554716811071</v>
      </c>
      <c r="E445" s="63">
        <v>518.42232019108394</v>
      </c>
      <c r="F445" s="63">
        <v>5667759.5569129474</v>
      </c>
      <c r="G445" s="63" t="s">
        <v>396</v>
      </c>
      <c r="H445" s="25">
        <f t="shared" si="17"/>
        <v>7.0676777903000421E-4</v>
      </c>
      <c r="J445" s="63">
        <v>29.18</v>
      </c>
      <c r="K445" s="63">
        <v>29.36</v>
      </c>
      <c r="L445" s="63">
        <v>28.31</v>
      </c>
      <c r="M445" s="63">
        <v>28.85</v>
      </c>
      <c r="N445" s="63">
        <v>3540947</v>
      </c>
      <c r="O445" s="63" t="s">
        <v>396</v>
      </c>
      <c r="P445" s="25">
        <f t="shared" si="16"/>
        <v>1.1438474870017368E-2</v>
      </c>
    </row>
    <row r="446" spans="2:16">
      <c r="B446" s="63">
        <v>519.80871443048238</v>
      </c>
      <c r="C446" s="63">
        <v>521.4822903337564</v>
      </c>
      <c r="D446" s="63">
        <v>517.11514847965111</v>
      </c>
      <c r="E446" s="63">
        <v>519.77900598249528</v>
      </c>
      <c r="F446" s="63">
        <v>5612919.6002545981</v>
      </c>
      <c r="G446" s="63" t="s">
        <v>397</v>
      </c>
      <c r="H446" s="25">
        <f t="shared" si="17"/>
        <v>5.7155921353357897E-5</v>
      </c>
      <c r="J446" s="63">
        <v>28.98</v>
      </c>
      <c r="K446" s="63">
        <v>29.58</v>
      </c>
      <c r="L446" s="63">
        <v>28.0001</v>
      </c>
      <c r="M446" s="63">
        <v>28.3</v>
      </c>
      <c r="N446" s="63">
        <v>2885256</v>
      </c>
      <c r="O446" s="63" t="s">
        <v>397</v>
      </c>
      <c r="P446" s="25">
        <f t="shared" si="16"/>
        <v>2.4028268551236742E-2</v>
      </c>
    </row>
    <row r="447" spans="2:16">
      <c r="B447" s="63">
        <v>510.89618003434907</v>
      </c>
      <c r="C447" s="63">
        <v>517.64990054341911</v>
      </c>
      <c r="D447" s="63">
        <v>510.4604561305382</v>
      </c>
      <c r="E447" s="63">
        <v>513.14411926537377</v>
      </c>
      <c r="F447" s="63">
        <v>6989201.8623821521</v>
      </c>
      <c r="G447" s="63" t="s">
        <v>398</v>
      </c>
      <c r="H447" s="25">
        <f t="shared" si="17"/>
        <v>-4.3807171253231747E-3</v>
      </c>
      <c r="J447" s="63">
        <v>27.05</v>
      </c>
      <c r="K447" s="63">
        <v>28.54</v>
      </c>
      <c r="L447" s="63">
        <v>27.03</v>
      </c>
      <c r="M447" s="63">
        <v>27.24</v>
      </c>
      <c r="N447" s="63">
        <v>1794606</v>
      </c>
      <c r="O447" s="63" t="s">
        <v>398</v>
      </c>
      <c r="P447" s="25">
        <f t="shared" si="16"/>
        <v>-6.9750367107194178E-3</v>
      </c>
    </row>
    <row r="448" spans="2:16">
      <c r="B448" s="63">
        <v>512.55985312162738</v>
      </c>
      <c r="C448" s="63">
        <v>515.6742887522762</v>
      </c>
      <c r="D448" s="63">
        <v>510.49016457852525</v>
      </c>
      <c r="E448" s="63">
        <v>514.39187408083262</v>
      </c>
      <c r="F448" s="63">
        <v>8229938.8411698611</v>
      </c>
      <c r="G448" s="63" t="s">
        <v>399</v>
      </c>
      <c r="H448" s="25">
        <f t="shared" si="17"/>
        <v>-3.5615277991684069E-3</v>
      </c>
      <c r="J448" s="63">
        <v>27.24</v>
      </c>
      <c r="K448" s="63">
        <v>28.475000000000001</v>
      </c>
      <c r="L448" s="63">
        <v>26.96</v>
      </c>
      <c r="M448" s="63">
        <v>27.9</v>
      </c>
      <c r="N448" s="63">
        <v>2085108</v>
      </c>
      <c r="O448" s="63" t="s">
        <v>399</v>
      </c>
      <c r="P448" s="25">
        <f t="shared" si="16"/>
        <v>-2.3655913978494647E-2</v>
      </c>
    </row>
    <row r="449" spans="2:16">
      <c r="B449" s="63">
        <v>512.32218553773043</v>
      </c>
      <c r="C449" s="63">
        <v>512.55985312162738</v>
      </c>
      <c r="D449" s="63">
        <v>509.64842521889045</v>
      </c>
      <c r="E449" s="63">
        <v>511.32200112216441</v>
      </c>
      <c r="F449" s="63">
        <v>4298022.9076724881</v>
      </c>
      <c r="G449" s="63" t="s">
        <v>400</v>
      </c>
      <c r="H449" s="25">
        <f t="shared" si="17"/>
        <v>1.9560754541581016E-3</v>
      </c>
      <c r="J449" s="63">
        <v>27.76</v>
      </c>
      <c r="K449" s="63">
        <v>28.61</v>
      </c>
      <c r="L449" s="63">
        <v>27.66</v>
      </c>
      <c r="M449" s="63">
        <v>28.24</v>
      </c>
      <c r="N449" s="63">
        <v>1751052</v>
      </c>
      <c r="O449" s="63" t="s">
        <v>400</v>
      </c>
      <c r="P449" s="25">
        <f t="shared" si="16"/>
        <v>-1.6997167138810054E-2</v>
      </c>
    </row>
    <row r="450" spans="2:16">
      <c r="B450" s="63">
        <v>511.5497658900656</v>
      </c>
      <c r="C450" s="63">
        <v>512.50043622565306</v>
      </c>
      <c r="D450" s="63">
        <v>509.23250694707093</v>
      </c>
      <c r="E450" s="63">
        <v>509.4305632669849</v>
      </c>
      <c r="F450" s="63">
        <v>4459984.9193564206</v>
      </c>
      <c r="G450" s="63" t="s">
        <v>401</v>
      </c>
      <c r="H450" s="25">
        <f t="shared" si="17"/>
        <v>4.1599440157069623E-3</v>
      </c>
      <c r="J450" s="63">
        <v>28.51</v>
      </c>
      <c r="K450" s="63">
        <v>28.626000000000001</v>
      </c>
      <c r="L450" s="63">
        <v>27.03</v>
      </c>
      <c r="M450" s="63">
        <v>27.99</v>
      </c>
      <c r="N450" s="63">
        <v>2188645</v>
      </c>
      <c r="O450" s="63" t="s">
        <v>401</v>
      </c>
      <c r="P450" s="25">
        <f t="shared" si="16"/>
        <v>1.8578063594140826E-2</v>
      </c>
    </row>
    <row r="451" spans="2:16">
      <c r="B451" s="63">
        <v>508.84629712323851</v>
      </c>
      <c r="C451" s="63">
        <v>509.14318354678971</v>
      </c>
      <c r="D451" s="63">
        <v>503.12246947772172</v>
      </c>
      <c r="E451" s="63">
        <v>505.13274112484953</v>
      </c>
      <c r="F451" s="63">
        <v>4139769.9419827382</v>
      </c>
      <c r="G451" s="63" t="s">
        <v>402</v>
      </c>
      <c r="H451" s="25">
        <f t="shared" si="17"/>
        <v>7.3516438275600393E-3</v>
      </c>
      <c r="J451" s="63">
        <v>27.77</v>
      </c>
      <c r="K451" s="63">
        <v>28.34</v>
      </c>
      <c r="L451" s="63">
        <v>26.31</v>
      </c>
      <c r="M451" s="63">
        <v>26.55</v>
      </c>
      <c r="N451" s="63">
        <v>2838064</v>
      </c>
      <c r="O451" s="63" t="s">
        <v>402</v>
      </c>
      <c r="P451" s="25">
        <f t="shared" si="16"/>
        <v>4.5951035781544247E-2</v>
      </c>
    </row>
    <row r="452" spans="2:16">
      <c r="B452" s="63">
        <v>504.50886371712022</v>
      </c>
      <c r="C452" s="63">
        <v>505.4793396846992</v>
      </c>
      <c r="D452" s="63">
        <v>491.42724378679566</v>
      </c>
      <c r="E452" s="63">
        <v>499.40891347933285</v>
      </c>
      <c r="F452" s="63">
        <v>4994369.2805619482</v>
      </c>
      <c r="G452" s="63" t="s">
        <v>403</v>
      </c>
      <c r="H452" s="25">
        <f t="shared" si="17"/>
        <v>1.0211972794511137E-2</v>
      </c>
      <c r="J452" s="63">
        <v>26.65</v>
      </c>
      <c r="K452" s="63">
        <v>27.55</v>
      </c>
      <c r="L452" s="63">
        <v>25.04</v>
      </c>
      <c r="M452" s="63">
        <v>25.11</v>
      </c>
      <c r="N452" s="63">
        <v>3691256</v>
      </c>
      <c r="O452" s="63" t="s">
        <v>403</v>
      </c>
      <c r="P452" s="25">
        <f t="shared" si="16"/>
        <v>6.1330147351652764E-2</v>
      </c>
    </row>
    <row r="453" spans="2:16">
      <c r="B453" s="63">
        <v>499.39901066333715</v>
      </c>
      <c r="C453" s="63">
        <v>499.80007471116312</v>
      </c>
      <c r="D453" s="63">
        <v>494.64536190091951</v>
      </c>
      <c r="E453" s="63">
        <v>499.05241210348748</v>
      </c>
      <c r="F453" s="63">
        <v>3004584.7578010764</v>
      </c>
      <c r="G453" s="63" t="s">
        <v>404</v>
      </c>
      <c r="H453" s="25">
        <f t="shared" si="17"/>
        <v>6.9451334457792946E-4</v>
      </c>
      <c r="J453" s="63">
        <v>24.9</v>
      </c>
      <c r="K453" s="63">
        <v>25.33</v>
      </c>
      <c r="L453" s="63">
        <v>24.465</v>
      </c>
      <c r="M453" s="63">
        <v>24.53</v>
      </c>
      <c r="N453" s="63">
        <v>3459953</v>
      </c>
      <c r="O453" s="63" t="s">
        <v>404</v>
      </c>
      <c r="P453" s="25">
        <f t="shared" si="16"/>
        <v>1.5083571137382679E-2</v>
      </c>
    </row>
    <row r="454" spans="2:16">
      <c r="B454" s="63">
        <v>497.34912775222648</v>
      </c>
      <c r="C454" s="63">
        <v>498.47804877573668</v>
      </c>
      <c r="D454" s="63">
        <v>493.90294778572161</v>
      </c>
      <c r="E454" s="63">
        <v>495.73496874492679</v>
      </c>
      <c r="F454" s="63">
        <v>3692683.9815932065</v>
      </c>
      <c r="G454" s="63" t="s">
        <v>405</v>
      </c>
      <c r="H454" s="25">
        <f t="shared" si="17"/>
        <v>3.2560926887734709E-3</v>
      </c>
      <c r="J454" s="63">
        <v>24.26</v>
      </c>
      <c r="K454" s="63">
        <v>25.34</v>
      </c>
      <c r="L454" s="63">
        <v>24.24</v>
      </c>
      <c r="M454" s="63">
        <v>24.79</v>
      </c>
      <c r="N454" s="63">
        <v>3018779</v>
      </c>
      <c r="O454" s="63" t="s">
        <v>405</v>
      </c>
      <c r="P454" s="25">
        <f t="shared" si="16"/>
        <v>-2.1379588543767536E-2</v>
      </c>
    </row>
    <row r="455" spans="2:16">
      <c r="B455" s="63">
        <v>491.81345361062807</v>
      </c>
      <c r="C455" s="63">
        <v>502.01335408620292</v>
      </c>
      <c r="D455" s="63">
        <v>490.98161706698903</v>
      </c>
      <c r="E455" s="63">
        <v>500.42890352689028</v>
      </c>
      <c r="F455" s="63">
        <v>7484173.1919642175</v>
      </c>
      <c r="G455" s="63" t="s">
        <v>406</v>
      </c>
      <c r="H455" s="25">
        <f t="shared" si="17"/>
        <v>-1.7216131713301941E-2</v>
      </c>
      <c r="J455" s="63">
        <v>24.38</v>
      </c>
      <c r="K455" s="63">
        <v>27.5</v>
      </c>
      <c r="L455" s="63">
        <v>24.08</v>
      </c>
      <c r="M455" s="63">
        <v>27.5</v>
      </c>
      <c r="N455" s="63">
        <v>7003797</v>
      </c>
      <c r="O455" s="63" t="s">
        <v>406</v>
      </c>
      <c r="P455" s="25">
        <f t="shared" si="16"/>
        <v>-0.11345454545454547</v>
      </c>
    </row>
    <row r="456" spans="2:16">
      <c r="B456" s="63">
        <v>500.14172186301494</v>
      </c>
      <c r="C456" s="63">
        <v>503.99391728534363</v>
      </c>
      <c r="D456" s="63">
        <v>497.95319952796439</v>
      </c>
      <c r="E456" s="63">
        <v>501.43899075845212</v>
      </c>
      <c r="F456" s="63">
        <v>3459186.762115113</v>
      </c>
      <c r="G456" s="63" t="s">
        <v>407</v>
      </c>
      <c r="H456" s="25">
        <f t="shared" si="17"/>
        <v>-2.5870921873766273E-3</v>
      </c>
      <c r="J456" s="63">
        <v>26.65</v>
      </c>
      <c r="K456" s="63">
        <v>28.21</v>
      </c>
      <c r="L456" s="63">
        <v>24.940100000000001</v>
      </c>
      <c r="M456" s="63">
        <v>27.33</v>
      </c>
      <c r="N456" s="63">
        <v>10574820</v>
      </c>
      <c r="O456" s="63" t="s">
        <v>407</v>
      </c>
      <c r="P456" s="25">
        <f t="shared" si="16"/>
        <v>-2.488108305890957E-2</v>
      </c>
    </row>
    <row r="457" spans="2:16">
      <c r="B457" s="63">
        <v>501.37957386247791</v>
      </c>
      <c r="C457" s="63">
        <v>504.57818342909013</v>
      </c>
      <c r="D457" s="63">
        <v>500.11201341502777</v>
      </c>
      <c r="E457" s="63">
        <v>500.76559927074425</v>
      </c>
      <c r="F457" s="63">
        <v>3636716.0629486055</v>
      </c>
      <c r="G457" s="63" t="s">
        <v>408</v>
      </c>
      <c r="H457" s="25">
        <f t="shared" si="17"/>
        <v>1.2260718240786339E-3</v>
      </c>
      <c r="J457" s="63">
        <v>31.3</v>
      </c>
      <c r="K457" s="63">
        <v>32.06</v>
      </c>
      <c r="L457" s="63">
        <v>30.6</v>
      </c>
      <c r="M457" s="63">
        <v>31.48</v>
      </c>
      <c r="N457" s="63">
        <v>3960665</v>
      </c>
      <c r="O457" s="63" t="s">
        <v>408</v>
      </c>
      <c r="P457" s="25">
        <f t="shared" si="16"/>
        <v>-5.7179161372299392E-3</v>
      </c>
    </row>
    <row r="458" spans="2:16">
      <c r="B458" s="63">
        <v>502.62732867793653</v>
      </c>
      <c r="C458" s="63">
        <v>510.42084486655529</v>
      </c>
      <c r="D458" s="63">
        <v>500.19123594299344</v>
      </c>
      <c r="E458" s="63">
        <v>510.11385757068854</v>
      </c>
      <c r="F458" s="63">
        <v>5924012.9298021281</v>
      </c>
      <c r="G458" s="63" t="s">
        <v>409</v>
      </c>
      <c r="H458" s="25">
        <f t="shared" si="17"/>
        <v>-1.4676191955272588E-2</v>
      </c>
      <c r="J458" s="63">
        <v>31.63</v>
      </c>
      <c r="K458" s="63">
        <v>34.409999999999997</v>
      </c>
      <c r="L458" s="63">
        <v>31.38</v>
      </c>
      <c r="M458" s="63">
        <v>34.409999999999997</v>
      </c>
      <c r="N458" s="63">
        <v>3319992</v>
      </c>
      <c r="O458" s="63" t="s">
        <v>409</v>
      </c>
      <c r="P458" s="25">
        <f t="shared" si="16"/>
        <v>-8.0790467887241979E-2</v>
      </c>
    </row>
    <row r="459" spans="2:16">
      <c r="B459" s="63">
        <v>513.00547984143395</v>
      </c>
      <c r="C459" s="63">
        <v>513.54023190520206</v>
      </c>
      <c r="D459" s="63">
        <v>507.14301277197745</v>
      </c>
      <c r="E459" s="63">
        <v>510.41094205055958</v>
      </c>
      <c r="F459" s="63">
        <v>5693052.3625258831</v>
      </c>
      <c r="G459" s="63" t="s">
        <v>410</v>
      </c>
      <c r="H459" s="25">
        <f t="shared" si="17"/>
        <v>5.0832330914594159E-3</v>
      </c>
      <c r="J459" s="63">
        <v>34.909999999999997</v>
      </c>
      <c r="K459" s="63">
        <v>35.85</v>
      </c>
      <c r="L459" s="63">
        <v>34.67</v>
      </c>
      <c r="M459" s="63">
        <v>35.200000000000003</v>
      </c>
      <c r="N459" s="63">
        <v>2374560</v>
      </c>
      <c r="O459" s="63" t="s">
        <v>410</v>
      </c>
      <c r="P459" s="25">
        <f t="shared" si="16"/>
        <v>-8.2386363636365312E-3</v>
      </c>
    </row>
    <row r="460" spans="2:16">
      <c r="B460" s="63">
        <v>508.22241971550915</v>
      </c>
      <c r="C460" s="63">
        <v>513.05499392141257</v>
      </c>
      <c r="D460" s="63">
        <v>507.1529155879731</v>
      </c>
      <c r="E460" s="63">
        <v>509.98512096274442</v>
      </c>
      <c r="F460" s="63">
        <v>3521367.0551011832</v>
      </c>
      <c r="G460" s="63" t="s">
        <v>411</v>
      </c>
      <c r="H460" s="25">
        <f t="shared" si="17"/>
        <v>-3.4563777937436369E-3</v>
      </c>
      <c r="J460" s="63">
        <v>35.200000000000003</v>
      </c>
      <c r="K460" s="63">
        <v>35.950000000000003</v>
      </c>
      <c r="L460" s="63">
        <v>33.880000000000003</v>
      </c>
      <c r="M460" s="63">
        <v>34</v>
      </c>
      <c r="N460" s="63">
        <v>1973650</v>
      </c>
      <c r="O460" s="63" t="s">
        <v>411</v>
      </c>
      <c r="P460" s="25">
        <f t="shared" si="16"/>
        <v>3.529411764705892E-2</v>
      </c>
    </row>
    <row r="461" spans="2:16">
      <c r="B461" s="63">
        <v>508.14319718754348</v>
      </c>
      <c r="C461" s="63">
        <v>511.21307014621163</v>
      </c>
      <c r="D461" s="63">
        <v>505.2020608368195</v>
      </c>
      <c r="E461" s="63">
        <v>510.78724905839636</v>
      </c>
      <c r="F461" s="63">
        <v>3979098.4723027707</v>
      </c>
      <c r="G461" s="63" t="s">
        <v>412</v>
      </c>
      <c r="H461" s="25">
        <f t="shared" si="17"/>
        <v>-5.1764249709189691E-3</v>
      </c>
      <c r="J461" s="63">
        <v>34.1</v>
      </c>
      <c r="K461" s="63">
        <v>35.22</v>
      </c>
      <c r="L461" s="63">
        <v>33.18</v>
      </c>
      <c r="M461" s="63">
        <v>34.96</v>
      </c>
      <c r="N461" s="63">
        <v>1911046</v>
      </c>
      <c r="O461" s="63" t="s">
        <v>412</v>
      </c>
      <c r="P461" s="25">
        <f t="shared" si="16"/>
        <v>-2.4599542334096114E-2</v>
      </c>
    </row>
    <row r="462" spans="2:16">
      <c r="B462" s="63">
        <v>511.06452790627611</v>
      </c>
      <c r="C462" s="63">
        <v>511.569571522057</v>
      </c>
      <c r="D462" s="63">
        <v>508.17290563553058</v>
      </c>
      <c r="E462" s="63">
        <v>509.26221539505798</v>
      </c>
      <c r="F462" s="63">
        <v>3061531.1859932854</v>
      </c>
      <c r="G462" s="63" t="s">
        <v>413</v>
      </c>
      <c r="H462" s="25">
        <f t="shared" si="17"/>
        <v>3.5390658421812216E-3</v>
      </c>
      <c r="J462" s="63">
        <v>35.380000000000003</v>
      </c>
      <c r="K462" s="63">
        <v>35.6</v>
      </c>
      <c r="L462" s="63">
        <v>33.75</v>
      </c>
      <c r="M462" s="63">
        <v>34.78</v>
      </c>
      <c r="N462" s="63">
        <v>1587226</v>
      </c>
      <c r="O462" s="63" t="s">
        <v>413</v>
      </c>
      <c r="P462" s="25">
        <f t="shared" si="16"/>
        <v>1.7251293847038607E-2</v>
      </c>
    </row>
    <row r="463" spans="2:16">
      <c r="B463" s="63">
        <v>510.38123360257254</v>
      </c>
      <c r="C463" s="63">
        <v>513.2530502413266</v>
      </c>
      <c r="D463" s="63">
        <v>508.88095697922341</v>
      </c>
      <c r="E463" s="63">
        <v>512.60936720160589</v>
      </c>
      <c r="F463" s="63">
        <v>3431993.4869783409</v>
      </c>
      <c r="G463" s="63" t="s">
        <v>414</v>
      </c>
      <c r="H463" s="25">
        <f t="shared" si="17"/>
        <v>-4.3466501815934144E-3</v>
      </c>
      <c r="J463" s="63">
        <v>35.21</v>
      </c>
      <c r="K463" s="63">
        <v>36.5</v>
      </c>
      <c r="L463" s="63">
        <v>33.93</v>
      </c>
      <c r="M463" s="63">
        <v>36.5</v>
      </c>
      <c r="N463" s="63">
        <v>2816995</v>
      </c>
      <c r="O463" s="63" t="s">
        <v>414</v>
      </c>
      <c r="P463" s="25">
        <f t="shared" si="16"/>
        <v>-3.534246575342459E-2</v>
      </c>
    </row>
    <row r="464" spans="2:16">
      <c r="B464" s="63">
        <v>511.63889123402686</v>
      </c>
      <c r="C464" s="63">
        <v>512.52024185764446</v>
      </c>
      <c r="D464" s="63">
        <v>507.27382897128069</v>
      </c>
      <c r="E464" s="63">
        <v>509.331535107028</v>
      </c>
      <c r="F464" s="63">
        <v>5152868.6408127062</v>
      </c>
      <c r="G464" s="63" t="s">
        <v>415</v>
      </c>
      <c r="H464" s="25">
        <f t="shared" si="17"/>
        <v>4.5301654579743555E-3</v>
      </c>
      <c r="J464" s="63">
        <v>36.450000000000003</v>
      </c>
      <c r="K464" s="63">
        <v>36.804900000000004</v>
      </c>
      <c r="L464" s="63">
        <v>35.479999999999997</v>
      </c>
      <c r="M464" s="63">
        <v>35.71</v>
      </c>
      <c r="N464" s="63">
        <v>3228388</v>
      </c>
      <c r="O464" s="63" t="s">
        <v>415</v>
      </c>
      <c r="P464" s="25">
        <f t="shared" si="16"/>
        <v>2.072248669840393E-2</v>
      </c>
    </row>
    <row r="465" spans="2:16">
      <c r="B465" s="63">
        <v>506.16263398840277</v>
      </c>
      <c r="C465" s="63">
        <v>512.59946438561019</v>
      </c>
      <c r="D465" s="63">
        <v>505.14264394084529</v>
      </c>
      <c r="E465" s="63">
        <v>512.02510105785927</v>
      </c>
      <c r="F465" s="63">
        <v>3713173.1030802694</v>
      </c>
      <c r="G465" s="63" t="s">
        <v>416</v>
      </c>
      <c r="H465" s="25">
        <f t="shared" si="17"/>
        <v>-1.1449569674112592E-2</v>
      </c>
      <c r="J465" s="63">
        <v>35.22</v>
      </c>
      <c r="K465" s="63">
        <v>36.218000000000004</v>
      </c>
      <c r="L465" s="63">
        <v>34.951000000000001</v>
      </c>
      <c r="M465" s="63">
        <v>36.159999999999997</v>
      </c>
      <c r="N465" s="63">
        <v>1868288</v>
      </c>
      <c r="O465" s="63" t="s">
        <v>416</v>
      </c>
      <c r="P465" s="25">
        <f t="shared" si="16"/>
        <v>-2.5995575221238854E-2</v>
      </c>
    </row>
    <row r="466" spans="2:16">
      <c r="B466" s="63">
        <v>510.29210825861117</v>
      </c>
      <c r="C466" s="63">
        <v>511.63879220586693</v>
      </c>
      <c r="D466" s="63">
        <v>507.86591833966384</v>
      </c>
      <c r="E466" s="63">
        <v>509.47017453096782</v>
      </c>
      <c r="F466" s="63">
        <v>3376867.7530217734</v>
      </c>
      <c r="G466" s="63" t="s">
        <v>417</v>
      </c>
      <c r="H466" s="25">
        <f t="shared" si="17"/>
        <v>1.6133107858571361E-3</v>
      </c>
      <c r="J466" s="63">
        <v>36.08</v>
      </c>
      <c r="K466" s="63">
        <v>36.11</v>
      </c>
      <c r="L466" s="63">
        <v>31.84</v>
      </c>
      <c r="M466" s="63">
        <v>32</v>
      </c>
      <c r="N466" s="63">
        <v>3730683</v>
      </c>
      <c r="O466" s="63" t="s">
        <v>417</v>
      </c>
      <c r="P466" s="25">
        <f t="shared" si="16"/>
        <v>0.12749999999999995</v>
      </c>
    </row>
    <row r="467" spans="2:16">
      <c r="B467" s="63">
        <v>508.50960137938455</v>
      </c>
      <c r="C467" s="63">
        <v>510.47025991837393</v>
      </c>
      <c r="D467" s="63">
        <v>507.27174937992157</v>
      </c>
      <c r="E467" s="63">
        <v>508.92551965120407</v>
      </c>
      <c r="F467" s="63">
        <v>3186953.0862425533</v>
      </c>
      <c r="G467" s="63" t="s">
        <v>418</v>
      </c>
      <c r="H467" s="25">
        <f t="shared" si="17"/>
        <v>-8.1724782067238433E-4</v>
      </c>
      <c r="J467" s="63">
        <v>32</v>
      </c>
      <c r="K467" s="63">
        <v>32.29</v>
      </c>
      <c r="L467" s="63">
        <v>31.5</v>
      </c>
      <c r="M467" s="63">
        <v>31.61</v>
      </c>
      <c r="N467" s="63">
        <v>2221675</v>
      </c>
      <c r="O467" s="63" t="s">
        <v>418</v>
      </c>
      <c r="P467" s="25">
        <f t="shared" si="16"/>
        <v>1.2337867763366095E-2</v>
      </c>
    </row>
    <row r="468" spans="2:16">
      <c r="B468" s="63">
        <v>509.35134073901935</v>
      </c>
      <c r="C468" s="63">
        <v>509.35134073901935</v>
      </c>
      <c r="D468" s="63">
        <v>504.1127510772921</v>
      </c>
      <c r="E468" s="63">
        <v>504.9049763569484</v>
      </c>
      <c r="F468" s="63">
        <v>3841647.6703702165</v>
      </c>
      <c r="G468" s="63" t="s">
        <v>419</v>
      </c>
      <c r="H468" s="25">
        <f t="shared" si="17"/>
        <v>8.8063389950181481E-3</v>
      </c>
      <c r="J468" s="63">
        <v>31.79</v>
      </c>
      <c r="K468" s="63">
        <v>31.79</v>
      </c>
      <c r="L468" s="63">
        <v>29.8415</v>
      </c>
      <c r="M468" s="63">
        <v>30.37</v>
      </c>
      <c r="N468" s="63">
        <v>1585551</v>
      </c>
      <c r="O468" s="63" t="s">
        <v>419</v>
      </c>
      <c r="P468" s="25">
        <f t="shared" si="16"/>
        <v>4.6756667764241033E-2</v>
      </c>
    </row>
    <row r="469" spans="2:16">
      <c r="B469" s="63">
        <v>504.49896090112452</v>
      </c>
      <c r="C469" s="63">
        <v>505.15254675684099</v>
      </c>
      <c r="D469" s="63">
        <v>501.72617242232747</v>
      </c>
      <c r="E469" s="63">
        <v>501.91432592624585</v>
      </c>
      <c r="F469" s="63">
        <v>3483136.5154078021</v>
      </c>
      <c r="G469" s="63" t="s">
        <v>420</v>
      </c>
      <c r="H469" s="25">
        <f t="shared" si="17"/>
        <v>5.149554099913134E-3</v>
      </c>
      <c r="J469" s="63">
        <v>30.42</v>
      </c>
      <c r="K469" s="63">
        <v>30.7</v>
      </c>
      <c r="L469" s="63">
        <v>29.9</v>
      </c>
      <c r="M469" s="63">
        <v>30.11</v>
      </c>
      <c r="N469" s="63">
        <v>1189876</v>
      </c>
      <c r="O469" s="63" t="s">
        <v>420</v>
      </c>
      <c r="P469" s="25">
        <f t="shared" si="16"/>
        <v>1.0295582862836383E-2</v>
      </c>
    </row>
    <row r="470" spans="2:16">
      <c r="B470" s="63">
        <v>503.43935958958423</v>
      </c>
      <c r="C470" s="63">
        <v>503.64731872549402</v>
      </c>
      <c r="D470" s="63">
        <v>499.58290595637737</v>
      </c>
      <c r="E470" s="63">
        <v>500.18133312699769</v>
      </c>
      <c r="F470" s="63">
        <v>4320945.680356387</v>
      </c>
      <c r="G470" s="63" t="s">
        <v>421</v>
      </c>
      <c r="H470" s="25">
        <f t="shared" si="17"/>
        <v>6.5136906293927765E-3</v>
      </c>
      <c r="J470" s="63">
        <v>30.34</v>
      </c>
      <c r="K470" s="63">
        <v>30.38</v>
      </c>
      <c r="L470" s="63">
        <v>29.11</v>
      </c>
      <c r="M470" s="63">
        <v>29.5</v>
      </c>
      <c r="N470" s="63">
        <v>1795414</v>
      </c>
      <c r="O470" s="63" t="s">
        <v>421</v>
      </c>
      <c r="P470" s="25">
        <f t="shared" si="16"/>
        <v>2.8474576271186436E-2</v>
      </c>
    </row>
    <row r="471" spans="2:16">
      <c r="B471" s="63">
        <v>494.9427434652705</v>
      </c>
      <c r="C471" s="63">
        <v>495.98253914481938</v>
      </c>
      <c r="D471" s="63">
        <v>491.65302799149771</v>
      </c>
      <c r="E471" s="63">
        <v>494.07129565764859</v>
      </c>
      <c r="F471" s="63">
        <v>3736818.9024267974</v>
      </c>
      <c r="G471" s="63" t="s">
        <v>422</v>
      </c>
      <c r="H471" s="25">
        <f t="shared" si="17"/>
        <v>1.7638098292311888E-3</v>
      </c>
      <c r="J471" s="63">
        <v>28.73</v>
      </c>
      <c r="K471" s="63">
        <v>29.1</v>
      </c>
      <c r="L471" s="63">
        <v>28.0487</v>
      </c>
      <c r="M471" s="63">
        <v>28.89</v>
      </c>
      <c r="N471" s="63">
        <v>1015329</v>
      </c>
      <c r="O471" s="63" t="s">
        <v>422</v>
      </c>
      <c r="P471" s="25">
        <f t="shared" si="16"/>
        <v>-5.5382485289027228E-3</v>
      </c>
    </row>
    <row r="472" spans="2:16">
      <c r="B472" s="63">
        <v>493.36819572195355</v>
      </c>
      <c r="C472" s="63">
        <v>493.53654359388054</v>
      </c>
      <c r="D472" s="63">
        <v>488.12960606022637</v>
      </c>
      <c r="E472" s="63">
        <v>488.3474680121318</v>
      </c>
      <c r="F472" s="63">
        <v>3279761.0310128825</v>
      </c>
      <c r="G472" s="63" t="s">
        <v>423</v>
      </c>
      <c r="H472" s="25">
        <f t="shared" si="17"/>
        <v>1.0281056089548546E-2</v>
      </c>
      <c r="J472" s="63">
        <v>28.67</v>
      </c>
      <c r="K472" s="63">
        <v>29.004999999999999</v>
      </c>
      <c r="L472" s="63">
        <v>27.6</v>
      </c>
      <c r="M472" s="63">
        <v>27.91</v>
      </c>
      <c r="N472" s="63">
        <v>1427722</v>
      </c>
      <c r="O472" s="63" t="s">
        <v>423</v>
      </c>
      <c r="P472" s="25">
        <f t="shared" si="16"/>
        <v>2.7230383375134393E-2</v>
      </c>
    </row>
    <row r="473" spans="2:16">
      <c r="B473" s="63">
        <v>485.3073035014508</v>
      </c>
      <c r="C473" s="63">
        <v>487.56514554847126</v>
      </c>
      <c r="D473" s="63">
        <v>483.23761495834873</v>
      </c>
      <c r="E473" s="63">
        <v>486.16884849307701</v>
      </c>
      <c r="F473" s="63">
        <v>3613249.0006401851</v>
      </c>
      <c r="G473" s="63" t="s">
        <v>424</v>
      </c>
      <c r="H473" s="25">
        <f t="shared" si="17"/>
        <v>-1.7721106448852497E-3</v>
      </c>
      <c r="J473" s="63">
        <v>27.6</v>
      </c>
      <c r="K473" s="63">
        <v>28.17</v>
      </c>
      <c r="L473" s="63">
        <v>27.17</v>
      </c>
      <c r="M473" s="63">
        <v>27.4</v>
      </c>
      <c r="N473" s="63">
        <v>1159156</v>
      </c>
      <c r="O473" s="63" t="s">
        <v>424</v>
      </c>
      <c r="P473" s="25">
        <f t="shared" si="16"/>
        <v>7.2992700729928028E-3</v>
      </c>
    </row>
    <row r="474" spans="2:16">
      <c r="B474" s="63">
        <v>485.05973310155821</v>
      </c>
      <c r="C474" s="63">
        <v>486.43622452496101</v>
      </c>
      <c r="D474" s="63">
        <v>481.09860670327669</v>
      </c>
      <c r="E474" s="63">
        <v>482.19781927879984</v>
      </c>
      <c r="F474" s="63">
        <v>7736517.5757318391</v>
      </c>
      <c r="G474" s="63" t="s">
        <v>425</v>
      </c>
      <c r="H474" s="25">
        <f t="shared" si="17"/>
        <v>5.9351446819870812E-3</v>
      </c>
      <c r="J474" s="63">
        <v>27.47</v>
      </c>
      <c r="K474" s="63">
        <v>27.68</v>
      </c>
      <c r="L474" s="63">
        <v>26.58</v>
      </c>
      <c r="M474" s="63">
        <v>26.63</v>
      </c>
      <c r="N474" s="63">
        <v>1192403</v>
      </c>
      <c r="O474" s="63" t="s">
        <v>425</v>
      </c>
      <c r="P474" s="25">
        <f t="shared" si="16"/>
        <v>3.1543372136688008E-2</v>
      </c>
    </row>
    <row r="475" spans="2:16">
      <c r="B475" s="63">
        <v>482.99004455845613</v>
      </c>
      <c r="C475" s="63">
        <v>483.52479662222407</v>
      </c>
      <c r="D475" s="63">
        <v>474.97866641793183</v>
      </c>
      <c r="E475" s="63">
        <v>476.81068737713701</v>
      </c>
      <c r="F475" s="63">
        <v>4218228.4330157014</v>
      </c>
      <c r="G475" s="63" t="s">
        <v>426</v>
      </c>
      <c r="H475" s="25">
        <f t="shared" si="17"/>
        <v>1.295977071174903E-2</v>
      </c>
      <c r="J475" s="63">
        <v>26.87</v>
      </c>
      <c r="K475" s="63">
        <v>27.18</v>
      </c>
      <c r="L475" s="63">
        <v>25.05</v>
      </c>
      <c r="M475" s="63">
        <v>25.62</v>
      </c>
      <c r="N475" s="63">
        <v>1358473</v>
      </c>
      <c r="O475" s="63" t="s">
        <v>426</v>
      </c>
      <c r="P475" s="25">
        <f t="shared" si="16"/>
        <v>4.8790007806401192E-2</v>
      </c>
    </row>
    <row r="476" spans="2:16">
      <c r="B476" s="63">
        <v>471.97811317123364</v>
      </c>
      <c r="C476" s="63">
        <v>483.80207547010383</v>
      </c>
      <c r="D476" s="63">
        <v>471.48297237144845</v>
      </c>
      <c r="E476" s="63">
        <v>480.97977291132827</v>
      </c>
      <c r="F476" s="63">
        <v>6035001.5617707362</v>
      </c>
      <c r="G476" s="63" t="s">
        <v>427</v>
      </c>
      <c r="H476" s="25">
        <f t="shared" si="17"/>
        <v>-1.8715256331068519E-2</v>
      </c>
      <c r="J476" s="63">
        <v>24.85</v>
      </c>
      <c r="K476" s="63">
        <v>26.23</v>
      </c>
      <c r="L476" s="63">
        <v>24.774999999999999</v>
      </c>
      <c r="M476" s="63">
        <v>25.94</v>
      </c>
      <c r="N476" s="63">
        <v>1185651</v>
      </c>
      <c r="O476" s="63" t="s">
        <v>427</v>
      </c>
      <c r="P476" s="25">
        <f t="shared" si="16"/>
        <v>-4.2020046260601407E-2</v>
      </c>
    </row>
    <row r="477" spans="2:16">
      <c r="B477" s="63">
        <v>475.27575089780294</v>
      </c>
      <c r="C477" s="63">
        <v>482.12849956682993</v>
      </c>
      <c r="D477" s="63">
        <v>471.31462449952147</v>
      </c>
      <c r="E477" s="63">
        <v>472.75053281889848</v>
      </c>
      <c r="F477" s="63">
        <v>8336053.1020483728</v>
      </c>
      <c r="G477" s="63" t="s">
        <v>428</v>
      </c>
      <c r="H477" s="25">
        <f t="shared" si="17"/>
        <v>5.3415446490290286E-3</v>
      </c>
      <c r="J477" s="63">
        <v>25.1</v>
      </c>
      <c r="K477" s="63">
        <v>25.49</v>
      </c>
      <c r="L477" s="63">
        <v>23.86</v>
      </c>
      <c r="M477" s="63">
        <v>24.9</v>
      </c>
      <c r="N477" s="63">
        <v>1108486</v>
      </c>
      <c r="O477" s="63" t="s">
        <v>428</v>
      </c>
      <c r="P477" s="25">
        <f t="shared" si="16"/>
        <v>8.0321285140563248E-3</v>
      </c>
    </row>
    <row r="478" spans="2:16">
      <c r="B478" s="63">
        <v>470.58181611583939</v>
      </c>
      <c r="C478" s="63">
        <v>476.50370008127021</v>
      </c>
      <c r="D478" s="63">
        <v>464.33313922255036</v>
      </c>
      <c r="E478" s="63">
        <v>465.60069967000044</v>
      </c>
      <c r="F478" s="63">
        <v>15393879.888926227</v>
      </c>
      <c r="G478" s="63" t="s">
        <v>429</v>
      </c>
      <c r="H478" s="25">
        <f t="shared" si="17"/>
        <v>1.0698258076865752E-2</v>
      </c>
      <c r="J478" s="63">
        <v>24.6</v>
      </c>
      <c r="K478" s="63">
        <v>25.57</v>
      </c>
      <c r="L478" s="63">
        <v>22.5</v>
      </c>
      <c r="M478" s="63">
        <v>22.5</v>
      </c>
      <c r="N478" s="63">
        <v>1769125</v>
      </c>
      <c r="O478" s="63" t="s">
        <v>429</v>
      </c>
      <c r="P478" s="25">
        <f t="shared" si="16"/>
        <v>9.333333333333349E-2</v>
      </c>
    </row>
    <row r="479" spans="2:16">
      <c r="B479" s="63">
        <v>485.14885844551952</v>
      </c>
      <c r="C479" s="63">
        <v>488.72377501996851</v>
      </c>
      <c r="D479" s="63">
        <v>481.07880107128534</v>
      </c>
      <c r="E479" s="63">
        <v>487.62456244444547</v>
      </c>
      <c r="F479" s="63">
        <v>8645183.3536180388</v>
      </c>
      <c r="G479" s="63" t="s">
        <v>430</v>
      </c>
      <c r="H479" s="25">
        <f t="shared" si="17"/>
        <v>-5.0770699214069959E-3</v>
      </c>
      <c r="J479" s="63">
        <v>25.33</v>
      </c>
      <c r="K479" s="63">
        <v>26.33</v>
      </c>
      <c r="L479" s="63">
        <v>24.49</v>
      </c>
      <c r="M479" s="63">
        <v>25.18</v>
      </c>
      <c r="N479" s="63">
        <v>2209431</v>
      </c>
      <c r="O479" s="63" t="s">
        <v>430</v>
      </c>
      <c r="P479" s="25">
        <f t="shared" si="16"/>
        <v>5.9571088165208952E-3</v>
      </c>
    </row>
    <row r="480" spans="2:16">
      <c r="B480" s="63">
        <v>494.18022663360125</v>
      </c>
      <c r="C480" s="63">
        <v>504.9445876209312</v>
      </c>
      <c r="D480" s="63">
        <v>490.93210298701047</v>
      </c>
      <c r="E480" s="63">
        <v>502.90460752581623</v>
      </c>
      <c r="F480" s="63">
        <v>7007316.9116850803</v>
      </c>
      <c r="G480" s="63" t="s">
        <v>431</v>
      </c>
      <c r="H480" s="25">
        <f t="shared" si="17"/>
        <v>-1.7347983616887275E-2</v>
      </c>
      <c r="J480" s="63">
        <v>26.56</v>
      </c>
      <c r="K480" s="63">
        <v>27.74</v>
      </c>
      <c r="L480" s="63">
        <v>26.39</v>
      </c>
      <c r="M480" s="63">
        <v>27.14</v>
      </c>
      <c r="N480" s="63">
        <v>2008170</v>
      </c>
      <c r="O480" s="63" t="s">
        <v>431</v>
      </c>
      <c r="P480" s="25">
        <f t="shared" si="16"/>
        <v>-2.1370670596905006E-2</v>
      </c>
    </row>
    <row r="481" spans="2:16">
      <c r="B481" s="63">
        <v>501.01316967063684</v>
      </c>
      <c r="C481" s="63">
        <v>503.7099045225869</v>
      </c>
      <c r="D481" s="63">
        <v>498.41368047176462</v>
      </c>
      <c r="E481" s="63">
        <v>499.57726135125984</v>
      </c>
      <c r="F481" s="63">
        <v>5420263.289077281</v>
      </c>
      <c r="G481" s="63" t="s">
        <v>432</v>
      </c>
      <c r="H481" s="25">
        <f t="shared" si="17"/>
        <v>2.8742467491278401E-3</v>
      </c>
      <c r="J481" s="63">
        <v>27.75</v>
      </c>
      <c r="K481" s="63">
        <v>28.12</v>
      </c>
      <c r="L481" s="63">
        <v>26.55</v>
      </c>
      <c r="M481" s="63">
        <v>27.24</v>
      </c>
      <c r="N481" s="63">
        <v>2266778</v>
      </c>
      <c r="O481" s="63" t="s">
        <v>432</v>
      </c>
      <c r="P481" s="25">
        <f t="shared" si="16"/>
        <v>1.8722466960352513E-2</v>
      </c>
    </row>
    <row r="482" spans="2:16">
      <c r="B482" s="63">
        <v>493.23945911400943</v>
      </c>
      <c r="C482" s="63">
        <v>498.12154739989137</v>
      </c>
      <c r="D482" s="63">
        <v>490.10521785136922</v>
      </c>
      <c r="E482" s="63">
        <v>497.1708770643038</v>
      </c>
      <c r="F482" s="63">
        <v>3855267.0287485314</v>
      </c>
      <c r="G482" s="63" t="s">
        <v>433</v>
      </c>
      <c r="H482" s="25">
        <f t="shared" si="17"/>
        <v>-7.9075789264017038E-3</v>
      </c>
      <c r="J482" s="63">
        <v>25.96</v>
      </c>
      <c r="K482" s="63">
        <v>27.49</v>
      </c>
      <c r="L482" s="63">
        <v>25.64</v>
      </c>
      <c r="M482" s="63">
        <v>27.45</v>
      </c>
      <c r="N482" s="63">
        <v>2601109</v>
      </c>
      <c r="O482" s="63" t="s">
        <v>433</v>
      </c>
      <c r="P482" s="25">
        <f t="shared" si="16"/>
        <v>-5.4280510018214878E-2</v>
      </c>
    </row>
    <row r="483" spans="2:16">
      <c r="B483" s="63">
        <v>495.8339969048838</v>
      </c>
      <c r="C483" s="63">
        <v>497.87892840799663</v>
      </c>
      <c r="D483" s="63">
        <v>493.92730871307106</v>
      </c>
      <c r="E483" s="63">
        <v>496.9431122964026</v>
      </c>
      <c r="F483" s="63">
        <v>3126563.1930788858</v>
      </c>
      <c r="G483" s="63" t="s">
        <v>434</v>
      </c>
      <c r="H483" s="25">
        <f t="shared" si="17"/>
        <v>-2.2318759714637926E-3</v>
      </c>
      <c r="J483" s="63">
        <v>27.38</v>
      </c>
      <c r="K483" s="63">
        <v>29.3</v>
      </c>
      <c r="L483" s="63">
        <v>27.29</v>
      </c>
      <c r="M483" s="63">
        <v>28.96</v>
      </c>
      <c r="N483" s="63">
        <v>1622742</v>
      </c>
      <c r="O483" s="63" t="s">
        <v>434</v>
      </c>
      <c r="P483" s="25">
        <f t="shared" si="16"/>
        <v>-5.4558011049723798E-2</v>
      </c>
    </row>
    <row r="484" spans="2:16">
      <c r="B484" s="63">
        <v>495.46759271304273</v>
      </c>
      <c r="C484" s="63">
        <v>497.99776219994504</v>
      </c>
      <c r="D484" s="63">
        <v>492.83344365818562</v>
      </c>
      <c r="E484" s="63">
        <v>493.51673796188913</v>
      </c>
      <c r="F484" s="63">
        <v>3671666.7275020173</v>
      </c>
      <c r="G484" s="63" t="s">
        <v>435</v>
      </c>
      <c r="H484" s="25">
        <f t="shared" si="17"/>
        <v>3.9529657275865215E-3</v>
      </c>
      <c r="J484" s="63">
        <v>28.58</v>
      </c>
      <c r="K484" s="63">
        <v>29.274999999999999</v>
      </c>
      <c r="L484" s="63">
        <v>28.34</v>
      </c>
      <c r="M484" s="63">
        <v>28.8</v>
      </c>
      <c r="N484" s="63">
        <v>1146393</v>
      </c>
      <c r="O484" s="63" t="s">
        <v>435</v>
      </c>
      <c r="P484" s="25">
        <f t="shared" si="16"/>
        <v>-7.6388888888889728E-3</v>
      </c>
    </row>
    <row r="485" spans="2:16">
      <c r="B485" s="63">
        <v>489.97152983542719</v>
      </c>
      <c r="C485" s="63">
        <v>498.25028400783549</v>
      </c>
      <c r="D485" s="63">
        <v>489.11988765979675</v>
      </c>
      <c r="E485" s="63">
        <v>492.71460986623714</v>
      </c>
      <c r="F485" s="63">
        <v>5702015.4695894197</v>
      </c>
      <c r="G485" s="63" t="s">
        <v>436</v>
      </c>
      <c r="H485" s="25">
        <f t="shared" si="17"/>
        <v>-5.5672796703849503E-3</v>
      </c>
      <c r="J485" s="63">
        <v>28.51</v>
      </c>
      <c r="K485" s="63">
        <v>29.38</v>
      </c>
      <c r="L485" s="63">
        <v>27.62</v>
      </c>
      <c r="M485" s="63">
        <v>29.13</v>
      </c>
      <c r="N485" s="63">
        <v>2007713</v>
      </c>
      <c r="O485" s="63" t="s">
        <v>436</v>
      </c>
      <c r="P485" s="25">
        <f t="shared" si="16"/>
        <v>-2.12838997596978E-2</v>
      </c>
    </row>
    <row r="486" spans="2:16">
      <c r="B486" s="63">
        <v>492.45713665034884</v>
      </c>
      <c r="C486" s="63">
        <v>499.79512330316527</v>
      </c>
      <c r="D486" s="63">
        <v>491.71937685866897</v>
      </c>
      <c r="E486" s="63">
        <v>499.52774727128127</v>
      </c>
      <c r="F486" s="63">
        <v>6217829.3554796651</v>
      </c>
      <c r="G486" s="63" t="s">
        <v>437</v>
      </c>
      <c r="H486" s="25">
        <f t="shared" si="17"/>
        <v>-1.4154590329679029E-2</v>
      </c>
      <c r="J486" s="63">
        <v>29.35</v>
      </c>
      <c r="K486" s="63">
        <v>30.21</v>
      </c>
      <c r="L486" s="63">
        <v>29.04</v>
      </c>
      <c r="M486" s="63">
        <v>30.07</v>
      </c>
      <c r="N486" s="63">
        <v>2045718</v>
      </c>
      <c r="O486" s="63" t="s">
        <v>437</v>
      </c>
      <c r="P486" s="25">
        <f t="shared" si="16"/>
        <v>-2.3944130362487437E-2</v>
      </c>
    </row>
    <row r="487" spans="2:16">
      <c r="B487" s="63">
        <v>503.99391728534363</v>
      </c>
      <c r="C487" s="63">
        <v>506.67758042017931</v>
      </c>
      <c r="D487" s="63">
        <v>503.548290565537</v>
      </c>
      <c r="E487" s="63">
        <v>504.70692003703437</v>
      </c>
      <c r="F487" s="63">
        <v>3146625.1633392838</v>
      </c>
      <c r="G487" s="63" t="s">
        <v>438</v>
      </c>
      <c r="H487" s="25">
        <f t="shared" si="17"/>
        <v>-1.4127065102226277E-3</v>
      </c>
      <c r="J487" s="63">
        <v>30.57</v>
      </c>
      <c r="K487" s="63">
        <v>30.92</v>
      </c>
      <c r="L487" s="63">
        <v>29.1</v>
      </c>
      <c r="M487" s="63">
        <v>29.31</v>
      </c>
      <c r="N487" s="63">
        <v>1683502</v>
      </c>
      <c r="O487" s="63" t="s">
        <v>438</v>
      </c>
      <c r="P487" s="25">
        <f t="shared" si="16"/>
        <v>4.2988741044012402E-2</v>
      </c>
    </row>
    <row r="488" spans="2:16">
      <c r="B488" s="63">
        <v>504.83565664497849</v>
      </c>
      <c r="C488" s="63">
        <v>505.36050589275072</v>
      </c>
      <c r="D488" s="63">
        <v>501.51821328641773</v>
      </c>
      <c r="E488" s="63">
        <v>503.33042861363151</v>
      </c>
      <c r="F488" s="63">
        <v>4385549.5264015486</v>
      </c>
      <c r="G488" s="63" t="s">
        <v>439</v>
      </c>
      <c r="H488" s="25">
        <f t="shared" si="17"/>
        <v>2.9905365258622307E-3</v>
      </c>
      <c r="J488" s="63">
        <v>29.52</v>
      </c>
      <c r="K488" s="63">
        <v>30.3</v>
      </c>
      <c r="L488" s="63">
        <v>28.97</v>
      </c>
      <c r="M488" s="63">
        <v>29.99</v>
      </c>
      <c r="N488" s="63">
        <v>1465930</v>
      </c>
      <c r="O488" s="63" t="s">
        <v>439</v>
      </c>
      <c r="P488" s="25">
        <f t="shared" si="16"/>
        <v>-1.5671890630210017E-2</v>
      </c>
    </row>
    <row r="489" spans="2:16">
      <c r="B489" s="63">
        <v>499.64658106322975</v>
      </c>
      <c r="C489" s="63">
        <v>504.25139050123192</v>
      </c>
      <c r="D489" s="63">
        <v>498.66620227965507</v>
      </c>
      <c r="E489" s="63">
        <v>502.70655120590214</v>
      </c>
      <c r="F489" s="63">
        <v>4079079.1243142341</v>
      </c>
      <c r="G489" s="63" t="s">
        <v>440</v>
      </c>
      <c r="H489" s="25">
        <f t="shared" si="17"/>
        <v>-6.0869907808682733E-3</v>
      </c>
      <c r="J489" s="63">
        <v>29.5</v>
      </c>
      <c r="K489" s="63">
        <v>29.69</v>
      </c>
      <c r="L489" s="63">
        <v>28.9</v>
      </c>
      <c r="M489" s="63">
        <v>29.69</v>
      </c>
      <c r="N489" s="63">
        <v>1088498</v>
      </c>
      <c r="O489" s="63" t="s">
        <v>440</v>
      </c>
      <c r="P489" s="25">
        <f t="shared" si="16"/>
        <v>-6.3994610980128153E-3</v>
      </c>
    </row>
    <row r="490" spans="2:16">
      <c r="B490" s="63">
        <v>503.0036356857733</v>
      </c>
      <c r="C490" s="63">
        <v>509.19289568308812</v>
      </c>
      <c r="D490" s="63">
        <v>500.95474305626215</v>
      </c>
      <c r="E490" s="63">
        <v>508.26203097949195</v>
      </c>
      <c r="F490" s="63">
        <v>5105466.9724182151</v>
      </c>
      <c r="G490" s="63" t="s">
        <v>441</v>
      </c>
      <c r="H490" s="25">
        <f t="shared" si="17"/>
        <v>-1.0345835362883582E-2</v>
      </c>
      <c r="J490" s="63">
        <v>29.57</v>
      </c>
      <c r="K490" s="63">
        <v>31.085000000000001</v>
      </c>
      <c r="L490" s="63">
        <v>28.54</v>
      </c>
      <c r="M490" s="63">
        <v>30.96</v>
      </c>
      <c r="N490" s="63">
        <v>2386854</v>
      </c>
      <c r="O490" s="63" t="s">
        <v>441</v>
      </c>
      <c r="P490" s="25">
        <f t="shared" si="16"/>
        <v>-4.4896640826873391E-2</v>
      </c>
    </row>
    <row r="491" spans="2:16">
      <c r="B491" s="63">
        <v>506.81621984411925</v>
      </c>
      <c r="C491" s="63">
        <v>510.10395475469284</v>
      </c>
      <c r="D491" s="63">
        <v>506.588455076218</v>
      </c>
      <c r="E491" s="63">
        <v>508.5690182753587</v>
      </c>
      <c r="F491" s="63">
        <v>5033220.8557267217</v>
      </c>
      <c r="G491" s="63" t="s">
        <v>442</v>
      </c>
      <c r="H491" s="25">
        <f t="shared" si="17"/>
        <v>-3.4465301035904172E-3</v>
      </c>
      <c r="J491" s="63">
        <v>30.45</v>
      </c>
      <c r="K491" s="63">
        <v>33.380000000000003</v>
      </c>
      <c r="L491" s="63">
        <v>30.1</v>
      </c>
      <c r="M491" s="63">
        <v>32.619999999999997</v>
      </c>
      <c r="N491" s="63">
        <v>4833807</v>
      </c>
      <c r="O491" s="63" t="s">
        <v>442</v>
      </c>
      <c r="P491" s="25">
        <f t="shared" si="16"/>
        <v>-6.6523605150214493E-2</v>
      </c>
    </row>
    <row r="492" spans="2:16">
      <c r="B492" s="63">
        <v>513.99576144100433</v>
      </c>
      <c r="C492" s="63">
        <v>514.3522628168497</v>
      </c>
      <c r="D492" s="63">
        <v>511.57947433805271</v>
      </c>
      <c r="E492" s="63">
        <v>512.30237990573903</v>
      </c>
      <c r="F492" s="63">
        <v>4205167.5016547516</v>
      </c>
      <c r="G492" s="63" t="s">
        <v>443</v>
      </c>
      <c r="H492" s="25">
        <f t="shared" si="17"/>
        <v>3.3054336690312436E-3</v>
      </c>
      <c r="J492" s="63">
        <v>33.83</v>
      </c>
      <c r="K492" s="63">
        <v>33.96</v>
      </c>
      <c r="L492" s="63">
        <v>32.24</v>
      </c>
      <c r="M492" s="63">
        <v>33.14</v>
      </c>
      <c r="N492" s="63">
        <v>3184582</v>
      </c>
      <c r="O492" s="63" t="s">
        <v>443</v>
      </c>
      <c r="P492" s="25">
        <f t="shared" si="16"/>
        <v>2.0820760410380057E-2</v>
      </c>
    </row>
    <row r="493" spans="2:16">
      <c r="B493" s="63">
        <v>511.09423635426322</v>
      </c>
      <c r="C493" s="63">
        <v>514.07498396897006</v>
      </c>
      <c r="D493" s="63">
        <v>509.34143792302365</v>
      </c>
      <c r="E493" s="63">
        <v>511.5596687060613</v>
      </c>
      <c r="F493" s="63">
        <v>7847791.9849986648</v>
      </c>
      <c r="G493" s="63" t="s">
        <v>444</v>
      </c>
      <c r="H493" s="25">
        <f t="shared" si="17"/>
        <v>-9.0983003600608736E-4</v>
      </c>
      <c r="J493" s="63">
        <v>33.090000000000003</v>
      </c>
      <c r="K493" s="63">
        <v>33.869999999999997</v>
      </c>
      <c r="L493" s="63">
        <v>31.11</v>
      </c>
      <c r="M493" s="63">
        <v>31.25</v>
      </c>
      <c r="N493" s="63">
        <v>3571662</v>
      </c>
      <c r="O493" s="63" t="s">
        <v>444</v>
      </c>
      <c r="P493" s="25">
        <f t="shared" si="16"/>
        <v>5.8880000000000043E-2</v>
      </c>
    </row>
    <row r="494" spans="2:16">
      <c r="B494" s="63">
        <v>509.54939705893338</v>
      </c>
      <c r="C494" s="63">
        <v>512.99557702543825</v>
      </c>
      <c r="D494" s="63">
        <v>507.1925268519559</v>
      </c>
      <c r="E494" s="63">
        <v>507.50941696381847</v>
      </c>
      <c r="F494" s="63">
        <v>5289576.2198071387</v>
      </c>
      <c r="G494" s="63" t="s">
        <v>445</v>
      </c>
      <c r="H494" s="25">
        <f t="shared" si="17"/>
        <v>4.0195906261584202E-3</v>
      </c>
      <c r="J494" s="63">
        <v>30.87</v>
      </c>
      <c r="K494" s="63">
        <v>31.57</v>
      </c>
      <c r="L494" s="63">
        <v>30.61</v>
      </c>
      <c r="M494" s="63">
        <v>30.99</v>
      </c>
      <c r="N494" s="63">
        <v>1221215</v>
      </c>
      <c r="O494" s="63" t="s">
        <v>445</v>
      </c>
      <c r="P494" s="25">
        <f t="shared" si="16"/>
        <v>-3.8722168441431837E-3</v>
      </c>
    </row>
    <row r="495" spans="2:16">
      <c r="B495" s="63">
        <v>506.42010720429101</v>
      </c>
      <c r="C495" s="63">
        <v>511.76762784197103</v>
      </c>
      <c r="D495" s="63">
        <v>505.86059810053376</v>
      </c>
      <c r="E495" s="63">
        <v>510.98530537831044</v>
      </c>
      <c r="F495" s="63">
        <v>5600738.2166913431</v>
      </c>
      <c r="G495" s="63" t="s">
        <v>446</v>
      </c>
      <c r="H495" s="25">
        <f t="shared" si="17"/>
        <v>-8.9341085271318343E-3</v>
      </c>
      <c r="J495" s="63">
        <v>30.66</v>
      </c>
      <c r="K495" s="63">
        <v>31.61</v>
      </c>
      <c r="L495" s="63">
        <v>30.055</v>
      </c>
      <c r="M495" s="63">
        <v>31.5</v>
      </c>
      <c r="N495" s="63">
        <v>1764762</v>
      </c>
      <c r="O495" s="63" t="s">
        <v>446</v>
      </c>
      <c r="P495" s="25">
        <f t="shared" si="16"/>
        <v>-2.6666666666666616E-2</v>
      </c>
    </row>
    <row r="496" spans="2:16">
      <c r="B496" s="63">
        <v>510.79715187439206</v>
      </c>
      <c r="C496" s="63">
        <v>511.16850747423092</v>
      </c>
      <c r="D496" s="63">
        <v>506.71719168416217</v>
      </c>
      <c r="E496" s="63">
        <v>507.00437334803757</v>
      </c>
      <c r="F496" s="63">
        <v>3480750.3254583725</v>
      </c>
      <c r="G496" s="63" t="s">
        <v>447</v>
      </c>
      <c r="H496" s="25">
        <f t="shared" si="17"/>
        <v>7.480760967225164E-3</v>
      </c>
      <c r="J496" s="63">
        <v>31.21</v>
      </c>
      <c r="K496" s="63">
        <v>31.661999999999999</v>
      </c>
      <c r="L496" s="63">
        <v>30.82</v>
      </c>
      <c r="M496" s="63">
        <v>31.33</v>
      </c>
      <c r="N496" s="63">
        <v>1062028</v>
      </c>
      <c r="O496" s="63" t="s">
        <v>447</v>
      </c>
      <c r="P496" s="25">
        <f t="shared" si="16"/>
        <v>-3.8301947015638715E-3</v>
      </c>
    </row>
    <row r="497" spans="2:16">
      <c r="B497" s="63">
        <v>505.92496640450588</v>
      </c>
      <c r="C497" s="63">
        <v>507.03408179602468</v>
      </c>
      <c r="D497" s="63">
        <v>505.57836784465627</v>
      </c>
      <c r="E497" s="63">
        <v>506.24185651636839</v>
      </c>
      <c r="F497" s="63">
        <v>3176695.3979199519</v>
      </c>
      <c r="G497" s="63" t="s">
        <v>448</v>
      </c>
      <c r="H497" s="25">
        <f t="shared" si="17"/>
        <v>-6.2596584573848535E-4</v>
      </c>
      <c r="J497" s="63">
        <v>31.44</v>
      </c>
      <c r="K497" s="63">
        <v>32.32</v>
      </c>
      <c r="L497" s="63">
        <v>31.41</v>
      </c>
      <c r="M497" s="63">
        <v>31.82</v>
      </c>
      <c r="N497" s="63">
        <v>1391719</v>
      </c>
      <c r="O497" s="63" t="s">
        <v>448</v>
      </c>
      <c r="P497" s="25">
        <f t="shared" si="16"/>
        <v>-1.1942174732872401E-2</v>
      </c>
    </row>
    <row r="498" spans="2:16">
      <c r="B498" s="63">
        <v>505.37040870874642</v>
      </c>
      <c r="C498" s="63">
        <v>506.23690510837054</v>
      </c>
      <c r="D498" s="63">
        <v>504.3702242931804</v>
      </c>
      <c r="E498" s="63">
        <v>505.53875658067341</v>
      </c>
      <c r="F498" s="63">
        <v>3174227.4130547778</v>
      </c>
      <c r="G498" s="63" t="s">
        <v>449</v>
      </c>
      <c r="H498" s="25">
        <f t="shared" si="17"/>
        <v>-3.330068560235544E-4</v>
      </c>
      <c r="J498" s="63">
        <v>31.8</v>
      </c>
      <c r="K498" s="63">
        <v>32.369999999999997</v>
      </c>
      <c r="L498" s="63">
        <v>31.45</v>
      </c>
      <c r="M498" s="63">
        <v>31.85</v>
      </c>
      <c r="N498" s="63">
        <v>1259144</v>
      </c>
      <c r="O498" s="63" t="s">
        <v>449</v>
      </c>
      <c r="P498" s="25">
        <f t="shared" si="16"/>
        <v>-1.5698587127158659E-3</v>
      </c>
    </row>
    <row r="499" spans="2:16">
      <c r="B499" s="63">
        <v>504.88517072495694</v>
      </c>
      <c r="C499" s="63">
        <v>505.14264394084529</v>
      </c>
      <c r="D499" s="63">
        <v>501.56772736639624</v>
      </c>
      <c r="E499" s="63">
        <v>502.20150759012125</v>
      </c>
      <c r="F499" s="63">
        <v>3187903.3210044717</v>
      </c>
      <c r="G499" s="63" t="s">
        <v>450</v>
      </c>
      <c r="H499" s="25">
        <f t="shared" si="17"/>
        <v>5.3437974483860895E-3</v>
      </c>
      <c r="J499" s="63">
        <v>31.63</v>
      </c>
      <c r="K499" s="63">
        <v>32.17</v>
      </c>
      <c r="L499" s="63">
        <v>31.36</v>
      </c>
      <c r="M499" s="63">
        <v>31.55</v>
      </c>
      <c r="N499" s="63">
        <v>973897</v>
      </c>
      <c r="O499" s="63" t="s">
        <v>450</v>
      </c>
      <c r="P499" s="25">
        <f t="shared" si="16"/>
        <v>2.5356576862123337E-3</v>
      </c>
    </row>
    <row r="500" spans="2:16">
      <c r="B500" s="63">
        <v>501.88461747825875</v>
      </c>
      <c r="C500" s="63">
        <v>502.21141040611695</v>
      </c>
      <c r="D500" s="63">
        <v>499.31978813537154</v>
      </c>
      <c r="E500" s="63">
        <v>499.31978813537154</v>
      </c>
      <c r="F500" s="63">
        <v>2151999.9977022349</v>
      </c>
      <c r="G500" s="63" t="s">
        <v>451</v>
      </c>
      <c r="H500" s="25">
        <f t="shared" si="17"/>
        <v>5.1366467018363338E-3</v>
      </c>
      <c r="J500" s="63">
        <v>31.58</v>
      </c>
      <c r="K500" s="63">
        <v>32.03</v>
      </c>
      <c r="L500" s="63">
        <v>31.01</v>
      </c>
      <c r="M500" s="63">
        <v>31.35</v>
      </c>
      <c r="N500" s="63">
        <v>715465</v>
      </c>
      <c r="O500" s="63" t="s">
        <v>451</v>
      </c>
      <c r="P500" s="25">
        <f t="shared" si="16"/>
        <v>7.3365231259967523E-3</v>
      </c>
    </row>
    <row r="501" spans="2:16">
      <c r="B501" s="63">
        <v>499.62677543123829</v>
      </c>
      <c r="C501" s="63">
        <v>499.70599795920396</v>
      </c>
      <c r="D501" s="63">
        <v>494.75458996135211</v>
      </c>
      <c r="E501" s="63">
        <v>494.83381248931772</v>
      </c>
      <c r="F501" s="63">
        <v>4251399.8056982309</v>
      </c>
      <c r="G501" s="63" t="s">
        <v>452</v>
      </c>
      <c r="H501" s="25">
        <f t="shared" si="17"/>
        <v>9.6860053233003285E-3</v>
      </c>
      <c r="J501" s="63">
        <v>31.35</v>
      </c>
      <c r="K501" s="63">
        <v>31.91</v>
      </c>
      <c r="L501" s="63">
        <v>30.76</v>
      </c>
      <c r="M501" s="63">
        <v>31.11</v>
      </c>
      <c r="N501" s="63">
        <v>1942735</v>
      </c>
      <c r="O501" s="63" t="s">
        <v>452</v>
      </c>
      <c r="P501" s="25">
        <f t="shared" si="16"/>
        <v>7.7145612343298975E-3</v>
      </c>
    </row>
    <row r="502" spans="2:16">
      <c r="B502" s="63">
        <v>496.40836023263461</v>
      </c>
      <c r="C502" s="63">
        <v>496.8043738443028</v>
      </c>
      <c r="D502" s="63">
        <v>493.75440554578603</v>
      </c>
      <c r="E502" s="63">
        <v>496.6163193685444</v>
      </c>
      <c r="F502" s="63">
        <v>4411397.7295905249</v>
      </c>
      <c r="G502" s="63" t="s">
        <v>453</v>
      </c>
      <c r="H502" s="25">
        <f t="shared" si="17"/>
        <v>-4.1875211868636075E-4</v>
      </c>
      <c r="J502" s="63">
        <v>31.22</v>
      </c>
      <c r="K502" s="63">
        <v>31.34</v>
      </c>
      <c r="L502" s="63">
        <v>30.14</v>
      </c>
      <c r="M502" s="63">
        <v>31.24</v>
      </c>
      <c r="N502" s="63">
        <v>1849467</v>
      </c>
      <c r="O502" s="63" t="s">
        <v>453</v>
      </c>
      <c r="P502" s="25">
        <f t="shared" si="16"/>
        <v>-6.4020486555693701E-4</v>
      </c>
    </row>
    <row r="503" spans="2:16">
      <c r="B503" s="63">
        <v>495.2695363931287</v>
      </c>
      <c r="C503" s="63">
        <v>500.81511335072275</v>
      </c>
      <c r="D503" s="63">
        <v>494.16042100160985</v>
      </c>
      <c r="E503" s="63">
        <v>498.08193613590856</v>
      </c>
      <c r="F503" s="63">
        <v>5653514.1139943674</v>
      </c>
      <c r="G503" s="63" t="s">
        <v>454</v>
      </c>
      <c r="H503" s="25">
        <f t="shared" si="17"/>
        <v>-5.6464600274370724E-3</v>
      </c>
      <c r="J503" s="63">
        <v>31.94</v>
      </c>
      <c r="K503" s="63">
        <v>32.777999999999999</v>
      </c>
      <c r="L503" s="63">
        <v>31.45</v>
      </c>
      <c r="M503" s="63">
        <v>31.47</v>
      </c>
      <c r="N503" s="63">
        <v>4227378</v>
      </c>
      <c r="O503" s="63" t="s">
        <v>454</v>
      </c>
      <c r="P503" s="25">
        <f t="shared" si="16"/>
        <v>1.4934858595487821E-2</v>
      </c>
    </row>
    <row r="504" spans="2:16">
      <c r="B504" s="63">
        <v>497.18721671069676</v>
      </c>
      <c r="C504" s="63">
        <v>497.80888575213316</v>
      </c>
      <c r="D504" s="63">
        <v>495.67744903863684</v>
      </c>
      <c r="E504" s="63">
        <v>496.34845689288568</v>
      </c>
      <c r="F504" s="63">
        <v>3668161.832107625</v>
      </c>
      <c r="G504" s="63" t="s">
        <v>455</v>
      </c>
      <c r="H504" s="25">
        <f t="shared" si="17"/>
        <v>1.6898608349902311E-3</v>
      </c>
      <c r="J504" s="63">
        <v>31.29</v>
      </c>
      <c r="K504" s="63">
        <v>31.3</v>
      </c>
      <c r="L504" s="63">
        <v>29.71</v>
      </c>
      <c r="M504" s="63">
        <v>29.89</v>
      </c>
      <c r="N504" s="63">
        <v>3059226</v>
      </c>
      <c r="O504" s="63" t="s">
        <v>455</v>
      </c>
      <c r="P504" s="25">
        <f t="shared" si="16"/>
        <v>4.6838407494145251E-2</v>
      </c>
    </row>
    <row r="505" spans="2:16">
      <c r="B505" s="63">
        <v>496.41753123082304</v>
      </c>
      <c r="C505" s="63">
        <v>497.10827461019687</v>
      </c>
      <c r="D505" s="63">
        <v>494.26635899220179</v>
      </c>
      <c r="E505" s="63">
        <v>494.83868922082587</v>
      </c>
      <c r="F505" s="63">
        <v>3245619.2371071526</v>
      </c>
      <c r="G505" s="63" t="s">
        <v>456</v>
      </c>
      <c r="H505" s="25">
        <f t="shared" si="17"/>
        <v>3.1906195784392466E-3</v>
      </c>
      <c r="J505" s="63">
        <v>29.71</v>
      </c>
      <c r="K505" s="63">
        <v>29.84</v>
      </c>
      <c r="L505" s="63">
        <v>28.79</v>
      </c>
      <c r="M505" s="63">
        <v>29.24</v>
      </c>
      <c r="N505" s="63">
        <v>1537737</v>
      </c>
      <c r="O505" s="63" t="s">
        <v>456</v>
      </c>
      <c r="P505" s="25">
        <f t="shared" si="16"/>
        <v>1.6073871409028717E-2</v>
      </c>
    </row>
    <row r="506" spans="2:16">
      <c r="B506" s="63">
        <v>495.86493652732401</v>
      </c>
      <c r="C506" s="63">
        <v>496.18070492932344</v>
      </c>
      <c r="D506" s="63">
        <v>493.70389652614028</v>
      </c>
      <c r="E506" s="63">
        <v>495.07551552232536</v>
      </c>
      <c r="F506" s="63">
        <v>6421642.1502602752</v>
      </c>
      <c r="G506" s="63" t="s">
        <v>457</v>
      </c>
      <c r="H506" s="25">
        <f t="shared" si="17"/>
        <v>1.5945466504554417E-3</v>
      </c>
      <c r="J506" s="63">
        <v>29.57</v>
      </c>
      <c r="K506" s="63">
        <v>30</v>
      </c>
      <c r="L506" s="63">
        <v>28.481400000000001</v>
      </c>
      <c r="M506" s="63">
        <v>29.17</v>
      </c>
      <c r="N506" s="63">
        <v>1976393</v>
      </c>
      <c r="O506" s="63" t="s">
        <v>457</v>
      </c>
      <c r="P506" s="25">
        <f t="shared" ref="P506:P569" si="18">J506/M506-1</f>
        <v>1.3712718546451841E-2</v>
      </c>
    </row>
    <row r="507" spans="2:16">
      <c r="B507" s="63">
        <v>493.81244191432762</v>
      </c>
      <c r="C507" s="63">
        <v>497.76892131375513</v>
      </c>
      <c r="D507" s="63">
        <v>493.81244191432762</v>
      </c>
      <c r="E507" s="63">
        <v>495.39128392432485</v>
      </c>
      <c r="F507" s="63">
        <v>7116956.8131896658</v>
      </c>
      <c r="G507" s="63" t="s">
        <v>458</v>
      </c>
      <c r="H507" s="25">
        <f t="shared" ref="H507:H570" si="19">B507/E507-1</f>
        <v>-3.1870605342310121E-3</v>
      </c>
      <c r="J507" s="63">
        <v>27.29</v>
      </c>
      <c r="K507" s="63">
        <v>27.78</v>
      </c>
      <c r="L507" s="63">
        <v>27</v>
      </c>
      <c r="M507" s="63">
        <v>27</v>
      </c>
      <c r="N507" s="63">
        <v>1558631</v>
      </c>
      <c r="O507" s="63" t="s">
        <v>458</v>
      </c>
      <c r="P507" s="25">
        <f t="shared" si="18"/>
        <v>1.0740740740740717E-2</v>
      </c>
    </row>
    <row r="508" spans="2:16">
      <c r="B508" s="63">
        <v>495.14458986026278</v>
      </c>
      <c r="C508" s="63">
        <v>496.56130453135847</v>
      </c>
      <c r="D508" s="63">
        <v>494.22688794195193</v>
      </c>
      <c r="E508" s="63">
        <v>495.46035826226228</v>
      </c>
      <c r="F508" s="63">
        <v>4406103.1793878563</v>
      </c>
      <c r="G508" s="63" t="s">
        <v>459</v>
      </c>
      <c r="H508" s="25">
        <f t="shared" si="19"/>
        <v>-6.3732324238208182E-4</v>
      </c>
      <c r="J508" s="63">
        <v>27.49</v>
      </c>
      <c r="K508" s="63">
        <v>28.14</v>
      </c>
      <c r="L508" s="63">
        <v>27.02</v>
      </c>
      <c r="M508" s="63">
        <v>28.14</v>
      </c>
      <c r="N508" s="63">
        <v>3524830</v>
      </c>
      <c r="O508" s="63" t="s">
        <v>459</v>
      </c>
      <c r="P508" s="25">
        <f t="shared" si="18"/>
        <v>-2.3098791755508219E-2</v>
      </c>
    </row>
    <row r="509" spans="2:16">
      <c r="B509" s="63">
        <v>496.23004374213588</v>
      </c>
      <c r="C509" s="63">
        <v>499.05222383500598</v>
      </c>
      <c r="D509" s="63">
        <v>494.56239186907629</v>
      </c>
      <c r="E509" s="63">
        <v>498.46015808125702</v>
      </c>
      <c r="F509" s="63">
        <v>4875337.2099678321</v>
      </c>
      <c r="G509" s="63" t="s">
        <v>460</v>
      </c>
      <c r="H509" s="25">
        <f t="shared" si="19"/>
        <v>-4.4740072059231695E-3</v>
      </c>
      <c r="J509" s="63">
        <v>28.37</v>
      </c>
      <c r="K509" s="63">
        <v>29.56</v>
      </c>
      <c r="L509" s="63">
        <v>27.73</v>
      </c>
      <c r="M509" s="63">
        <v>29.2</v>
      </c>
      <c r="N509" s="63">
        <v>1769929</v>
      </c>
      <c r="O509" s="63" t="s">
        <v>460</v>
      </c>
      <c r="P509" s="25">
        <f t="shared" si="18"/>
        <v>-2.84246575342465E-2</v>
      </c>
    </row>
    <row r="510" spans="2:16">
      <c r="B510" s="63">
        <v>497.61153050088348</v>
      </c>
      <c r="C510" s="63">
        <v>497.68573607535336</v>
      </c>
      <c r="D510" s="63">
        <v>495.98334967807381</v>
      </c>
      <c r="E510" s="63">
        <v>496.39779570569812</v>
      </c>
      <c r="F510" s="63">
        <v>3477652.5866635391</v>
      </c>
      <c r="G510" s="63" t="s">
        <v>461</v>
      </c>
      <c r="H510" s="25">
        <f t="shared" si="19"/>
        <v>2.4450849816122222E-3</v>
      </c>
      <c r="J510" s="63">
        <v>29.21</v>
      </c>
      <c r="K510" s="63">
        <v>29.75</v>
      </c>
      <c r="L510" s="63">
        <v>28.38</v>
      </c>
      <c r="M510" s="63">
        <v>28.63</v>
      </c>
      <c r="N510" s="63">
        <v>1443828</v>
      </c>
      <c r="O510" s="63" t="s">
        <v>461</v>
      </c>
      <c r="P510" s="25">
        <f t="shared" si="18"/>
        <v>2.025847013622073E-2</v>
      </c>
    </row>
    <row r="511" spans="2:16">
      <c r="B511" s="63">
        <v>496.28925031751078</v>
      </c>
      <c r="C511" s="63">
        <v>497.51285287525866</v>
      </c>
      <c r="D511" s="63">
        <v>491.32576574858194</v>
      </c>
      <c r="E511" s="63">
        <v>491.88822821464345</v>
      </c>
      <c r="F511" s="63">
        <v>4671311.2225920837</v>
      </c>
      <c r="G511" s="63" t="s">
        <v>462</v>
      </c>
      <c r="H511" s="25">
        <f t="shared" si="19"/>
        <v>8.9471994864387394E-3</v>
      </c>
      <c r="J511" s="63">
        <v>28.58</v>
      </c>
      <c r="K511" s="63">
        <v>29.065000000000001</v>
      </c>
      <c r="L511" s="63">
        <v>28.2</v>
      </c>
      <c r="M511" s="63">
        <v>28.95</v>
      </c>
      <c r="N511" s="63">
        <v>1518038</v>
      </c>
      <c r="O511" s="63" t="s">
        <v>462</v>
      </c>
      <c r="P511" s="25">
        <f t="shared" si="18"/>
        <v>-1.2780656303972404E-2</v>
      </c>
    </row>
    <row r="512" spans="2:16">
      <c r="B512" s="63">
        <v>492.38161634276764</v>
      </c>
      <c r="C512" s="63">
        <v>492.44082291814249</v>
      </c>
      <c r="D512" s="63">
        <v>489.72718821345973</v>
      </c>
      <c r="E512" s="63">
        <v>490.68436118202055</v>
      </c>
      <c r="F512" s="63">
        <v>5889932.9642338268</v>
      </c>
      <c r="G512" s="63" t="s">
        <v>463</v>
      </c>
      <c r="H512" s="25">
        <f t="shared" si="19"/>
        <v>3.4589550738044483E-3</v>
      </c>
      <c r="J512" s="63">
        <v>28.88</v>
      </c>
      <c r="K512" s="63">
        <v>29.74</v>
      </c>
      <c r="L512" s="63">
        <v>28.37</v>
      </c>
      <c r="M512" s="63">
        <v>28.5</v>
      </c>
      <c r="N512" s="63">
        <v>1364707</v>
      </c>
      <c r="O512" s="63" t="s">
        <v>463</v>
      </c>
      <c r="P512" s="25">
        <f t="shared" si="18"/>
        <v>1.3333333333333197E-2</v>
      </c>
    </row>
    <row r="513" spans="2:16">
      <c r="B513" s="63">
        <v>491.98690584026826</v>
      </c>
      <c r="C513" s="63">
        <v>492.84540118320427</v>
      </c>
      <c r="D513" s="63">
        <v>489.50022967452264</v>
      </c>
      <c r="E513" s="63">
        <v>492.69738474476708</v>
      </c>
      <c r="F513" s="63">
        <v>8926926.3870325722</v>
      </c>
      <c r="G513" s="63" t="s">
        <v>464</v>
      </c>
      <c r="H513" s="25">
        <f t="shared" si="19"/>
        <v>-1.4420188263569722E-3</v>
      </c>
      <c r="J513" s="63">
        <v>28.94</v>
      </c>
      <c r="K513" s="63">
        <v>29.53</v>
      </c>
      <c r="L513" s="63">
        <v>28.675000000000001</v>
      </c>
      <c r="M513" s="63">
        <v>29.02</v>
      </c>
      <c r="N513" s="63">
        <v>1408261</v>
      </c>
      <c r="O513" s="63" t="s">
        <v>464</v>
      </c>
      <c r="P513" s="25">
        <f t="shared" si="18"/>
        <v>-2.7567195037904169E-3</v>
      </c>
    </row>
    <row r="514" spans="2:16">
      <c r="B514" s="63">
        <v>491.05933615939489</v>
      </c>
      <c r="C514" s="63">
        <v>493.53614456257804</v>
      </c>
      <c r="D514" s="63">
        <v>490.14163424108398</v>
      </c>
      <c r="E514" s="63">
        <v>491.34550127370693</v>
      </c>
      <c r="F514" s="63">
        <v>3748354.2764423308</v>
      </c>
      <c r="G514" s="63" t="s">
        <v>465</v>
      </c>
      <c r="H514" s="25">
        <f t="shared" si="19"/>
        <v>-5.8241118229473976E-4</v>
      </c>
      <c r="J514" s="63">
        <v>29.08</v>
      </c>
      <c r="K514" s="63">
        <v>29.6</v>
      </c>
      <c r="L514" s="63">
        <v>28.830400000000001</v>
      </c>
      <c r="M514" s="63">
        <v>29</v>
      </c>
      <c r="N514" s="63">
        <v>1860404</v>
      </c>
      <c r="O514" s="63" t="s">
        <v>465</v>
      </c>
      <c r="P514" s="25">
        <f t="shared" si="18"/>
        <v>2.7586206896550447E-3</v>
      </c>
    </row>
    <row r="515" spans="2:16">
      <c r="B515" s="63">
        <v>487.00368574621444</v>
      </c>
      <c r="C515" s="63">
        <v>487.13196665952677</v>
      </c>
      <c r="D515" s="63">
        <v>482.64114791734079</v>
      </c>
      <c r="E515" s="63">
        <v>484.49727405534384</v>
      </c>
      <c r="F515" s="63">
        <v>4082407.7134932731</v>
      </c>
      <c r="G515" s="63" t="s">
        <v>466</v>
      </c>
      <c r="H515" s="25">
        <f t="shared" si="19"/>
        <v>5.1732214505386676E-3</v>
      </c>
      <c r="J515" s="63">
        <v>28.5</v>
      </c>
      <c r="K515" s="63">
        <v>28.51</v>
      </c>
      <c r="L515" s="63">
        <v>27.61</v>
      </c>
      <c r="M515" s="63">
        <v>28.08</v>
      </c>
      <c r="N515" s="63">
        <v>1886079</v>
      </c>
      <c r="O515" s="63" t="s">
        <v>466</v>
      </c>
      <c r="P515" s="25">
        <f t="shared" si="18"/>
        <v>1.4957264957265126E-2</v>
      </c>
    </row>
    <row r="516" spans="2:16">
      <c r="B516" s="63">
        <v>485.89849633921642</v>
      </c>
      <c r="C516" s="63">
        <v>486.17479369096588</v>
      </c>
      <c r="D516" s="63">
        <v>483.08618400890879</v>
      </c>
      <c r="E516" s="63">
        <v>483.68811752522026</v>
      </c>
      <c r="F516" s="63">
        <v>3511659.2824950577</v>
      </c>
      <c r="G516" s="63" t="s">
        <v>467</v>
      </c>
      <c r="H516" s="25">
        <f t="shared" si="19"/>
        <v>4.5698431156537822E-3</v>
      </c>
      <c r="J516" s="63">
        <v>28.57</v>
      </c>
      <c r="K516" s="63">
        <v>29.885000000000002</v>
      </c>
      <c r="L516" s="63">
        <v>27.49</v>
      </c>
      <c r="M516" s="63">
        <v>27.83</v>
      </c>
      <c r="N516" s="63">
        <v>3846541</v>
      </c>
      <c r="O516" s="63" t="s">
        <v>467</v>
      </c>
      <c r="P516" s="25">
        <f t="shared" si="18"/>
        <v>2.6590010779734108E-2</v>
      </c>
    </row>
    <row r="517" spans="2:16">
      <c r="B517" s="63">
        <v>484.30978656665667</v>
      </c>
      <c r="C517" s="63">
        <v>487.00368574621444</v>
      </c>
      <c r="D517" s="63">
        <v>483.06644848378386</v>
      </c>
      <c r="E517" s="63">
        <v>484.0630925025946</v>
      </c>
      <c r="F517" s="63">
        <v>3104641.9901181473</v>
      </c>
      <c r="G517" s="63" t="s">
        <v>468</v>
      </c>
      <c r="H517" s="25">
        <f t="shared" si="19"/>
        <v>5.0963204566301101E-4</v>
      </c>
      <c r="J517" s="63">
        <v>27.15</v>
      </c>
      <c r="K517" s="63">
        <v>28</v>
      </c>
      <c r="L517" s="63">
        <v>26.1</v>
      </c>
      <c r="M517" s="63">
        <v>26.28</v>
      </c>
      <c r="N517" s="63">
        <v>2930001</v>
      </c>
      <c r="O517" s="63" t="s">
        <v>468</v>
      </c>
      <c r="P517" s="25">
        <f t="shared" si="18"/>
        <v>3.3105022831050102E-2</v>
      </c>
    </row>
    <row r="518" spans="2:16">
      <c r="B518" s="63">
        <v>484.94132337065554</v>
      </c>
      <c r="C518" s="63">
        <v>485.67153780027928</v>
      </c>
      <c r="D518" s="63">
        <v>483.16522478703428</v>
      </c>
      <c r="E518" s="63">
        <v>485.33603387315486</v>
      </c>
      <c r="F518" s="63">
        <v>21629993.491280023</v>
      </c>
      <c r="G518" s="63" t="s">
        <v>469</v>
      </c>
      <c r="H518" s="25">
        <f t="shared" si="19"/>
        <v>-8.1327260897856579E-4</v>
      </c>
      <c r="J518" s="63">
        <v>25.84</v>
      </c>
      <c r="K518" s="63">
        <v>26.58</v>
      </c>
      <c r="L518" s="63">
        <v>25.65</v>
      </c>
      <c r="M518" s="63">
        <v>26.58</v>
      </c>
      <c r="N518" s="63">
        <v>1440666</v>
      </c>
      <c r="O518" s="63" t="s">
        <v>469</v>
      </c>
      <c r="P518" s="25">
        <f t="shared" si="18"/>
        <v>-2.784048156508645E-2</v>
      </c>
    </row>
    <row r="519" spans="2:16">
      <c r="B519" s="63">
        <v>485.04986875884288</v>
      </c>
      <c r="C519" s="63">
        <v>485.04986875884288</v>
      </c>
      <c r="D519" s="63">
        <v>479.63246711203982</v>
      </c>
      <c r="E519" s="63">
        <v>481.4185321358492</v>
      </c>
      <c r="F519" s="63">
        <v>3066699.244979193</v>
      </c>
      <c r="G519" s="63" t="s">
        <v>470</v>
      </c>
      <c r="H519" s="25">
        <f t="shared" si="19"/>
        <v>7.5429930104331522E-3</v>
      </c>
      <c r="J519" s="63">
        <v>26.5</v>
      </c>
      <c r="K519" s="63">
        <v>26.55</v>
      </c>
      <c r="L519" s="63">
        <v>24.81</v>
      </c>
      <c r="M519" s="63">
        <v>25.19</v>
      </c>
      <c r="N519" s="63">
        <v>3144026</v>
      </c>
      <c r="O519" s="63" t="s">
        <v>470</v>
      </c>
      <c r="P519" s="25">
        <f t="shared" si="18"/>
        <v>5.2004763795156839E-2</v>
      </c>
    </row>
    <row r="520" spans="2:16">
      <c r="B520" s="63">
        <v>479.31669871004038</v>
      </c>
      <c r="C520" s="63">
        <v>479.9778388017267</v>
      </c>
      <c r="D520" s="63">
        <v>476.17875021517079</v>
      </c>
      <c r="E520" s="63">
        <v>477.59970802416836</v>
      </c>
      <c r="F520" s="63">
        <v>2594579.0484806858</v>
      </c>
      <c r="G520" s="63" t="s">
        <v>471</v>
      </c>
      <c r="H520" s="25">
        <f t="shared" si="19"/>
        <v>3.5950413223140298E-3</v>
      </c>
      <c r="J520" s="63">
        <v>24.68</v>
      </c>
      <c r="K520" s="63">
        <v>25</v>
      </c>
      <c r="L520" s="63">
        <v>23.94</v>
      </c>
      <c r="M520" s="63">
        <v>25</v>
      </c>
      <c r="N520" s="63">
        <v>2003949</v>
      </c>
      <c r="O520" s="63" t="s">
        <v>471</v>
      </c>
      <c r="P520" s="25">
        <f t="shared" si="18"/>
        <v>-1.2800000000000034E-2</v>
      </c>
    </row>
    <row r="521" spans="2:16">
      <c r="B521" s="63">
        <v>478.73450071885384</v>
      </c>
      <c r="C521" s="63">
        <v>479.9778388017267</v>
      </c>
      <c r="D521" s="63">
        <v>474.04731350167452</v>
      </c>
      <c r="E521" s="63">
        <v>479.86929341353942</v>
      </c>
      <c r="F521" s="63">
        <v>4267690.8502147933</v>
      </c>
      <c r="G521" s="63" t="s">
        <v>472</v>
      </c>
      <c r="H521" s="25">
        <f t="shared" si="19"/>
        <v>-2.3647953937899757E-3</v>
      </c>
      <c r="J521" s="63">
        <v>25.19</v>
      </c>
      <c r="K521" s="63">
        <v>26.3</v>
      </c>
      <c r="L521" s="63">
        <v>24.33</v>
      </c>
      <c r="M521" s="63">
        <v>26.14</v>
      </c>
      <c r="N521" s="63">
        <v>3521806</v>
      </c>
      <c r="O521" s="63" t="s">
        <v>472</v>
      </c>
      <c r="P521" s="25">
        <f t="shared" si="18"/>
        <v>-3.6342769701606659E-2</v>
      </c>
    </row>
    <row r="522" spans="2:16">
      <c r="B522" s="63">
        <v>478.21150930304231</v>
      </c>
      <c r="C522" s="63">
        <v>478.49767441735429</v>
      </c>
      <c r="D522" s="63">
        <v>470.17421669590004</v>
      </c>
      <c r="E522" s="63">
        <v>474.87620555692308</v>
      </c>
      <c r="F522" s="63">
        <v>5405451.3028918337</v>
      </c>
      <c r="G522" s="63" t="s">
        <v>473</v>
      </c>
      <c r="H522" s="25">
        <f t="shared" si="19"/>
        <v>7.0235225667028001E-3</v>
      </c>
      <c r="J522" s="63">
        <v>26.07</v>
      </c>
      <c r="K522" s="63">
        <v>26.2</v>
      </c>
      <c r="L522" s="63">
        <v>24.82</v>
      </c>
      <c r="M522" s="63">
        <v>25.31</v>
      </c>
      <c r="N522" s="63">
        <v>5136517</v>
      </c>
      <c r="O522" s="63" t="s">
        <v>473</v>
      </c>
      <c r="P522" s="25">
        <f t="shared" si="18"/>
        <v>3.0027657052548395E-2</v>
      </c>
    </row>
    <row r="523" spans="2:16">
      <c r="B523" s="63">
        <v>474.08678455192444</v>
      </c>
      <c r="C523" s="63">
        <v>476.36663241436048</v>
      </c>
      <c r="D523" s="63">
        <v>472.86318199417656</v>
      </c>
      <c r="E523" s="63">
        <v>475.74456866242156</v>
      </c>
      <c r="F523" s="63">
        <v>3439066.3319184515</v>
      </c>
      <c r="G523" s="63" t="s">
        <v>474</v>
      </c>
      <c r="H523" s="25">
        <f t="shared" si="19"/>
        <v>-3.4846096407533667E-3</v>
      </c>
      <c r="J523" s="63">
        <v>25.69</v>
      </c>
      <c r="K523" s="63">
        <v>25.88</v>
      </c>
      <c r="L523" s="63">
        <v>21.4</v>
      </c>
      <c r="M523" s="63">
        <v>21.4</v>
      </c>
      <c r="N523" s="63">
        <v>10833930</v>
      </c>
      <c r="O523" s="63" t="s">
        <v>474</v>
      </c>
      <c r="P523" s="25">
        <f t="shared" si="18"/>
        <v>0.20046728971962624</v>
      </c>
    </row>
    <row r="524" spans="2:16">
      <c r="B524" s="63">
        <v>477.29380738473139</v>
      </c>
      <c r="C524" s="63">
        <v>478.27071587841715</v>
      </c>
      <c r="D524" s="63">
        <v>476.57346071767012</v>
      </c>
      <c r="E524" s="63">
        <v>476.80041925660726</v>
      </c>
      <c r="F524" s="63">
        <v>5680072.8275627885</v>
      </c>
      <c r="G524" s="63" t="s">
        <v>475</v>
      </c>
      <c r="H524" s="25">
        <f t="shared" si="19"/>
        <v>1.0347896272686619E-3</v>
      </c>
      <c r="J524" s="63">
        <v>20.22</v>
      </c>
      <c r="K524" s="63">
        <v>20.885000000000002</v>
      </c>
      <c r="L524" s="63">
        <v>20.085000000000001</v>
      </c>
      <c r="M524" s="63">
        <v>20.239999999999998</v>
      </c>
      <c r="N524" s="63">
        <v>4368202</v>
      </c>
      <c r="O524" s="63" t="s">
        <v>475</v>
      </c>
      <c r="P524" s="25">
        <f t="shared" si="18"/>
        <v>-9.8814229249011287E-4</v>
      </c>
    </row>
    <row r="525" spans="2:16">
      <c r="B525" s="63">
        <v>480.678449943663</v>
      </c>
      <c r="C525" s="63">
        <v>481.19650747819333</v>
      </c>
      <c r="D525" s="63">
        <v>478.11776555869864</v>
      </c>
      <c r="E525" s="63">
        <v>480.95474729541246</v>
      </c>
      <c r="F525" s="63">
        <v>4088785.0457001971</v>
      </c>
      <c r="G525" s="63" t="s">
        <v>476</v>
      </c>
      <c r="H525" s="25">
        <f t="shared" si="19"/>
        <v>-5.7447681575695242E-4</v>
      </c>
      <c r="J525" s="63">
        <v>20.73</v>
      </c>
      <c r="K525" s="63">
        <v>20.76</v>
      </c>
      <c r="L525" s="63">
        <v>19.72</v>
      </c>
      <c r="M525" s="63">
        <v>20.45</v>
      </c>
      <c r="N525" s="63">
        <v>2915000</v>
      </c>
      <c r="O525" s="63" t="s">
        <v>476</v>
      </c>
      <c r="P525" s="25">
        <f t="shared" si="18"/>
        <v>1.3691931540342317E-2</v>
      </c>
    </row>
    <row r="526" spans="2:16">
      <c r="B526" s="63">
        <v>480.29360720372614</v>
      </c>
      <c r="C526" s="63">
        <v>480.95474729541246</v>
      </c>
      <c r="D526" s="63">
        <v>477.92534418873026</v>
      </c>
      <c r="E526" s="63">
        <v>478.76410400654134</v>
      </c>
      <c r="F526" s="63">
        <v>2589483.6684812554</v>
      </c>
      <c r="G526" s="63" t="s">
        <v>477</v>
      </c>
      <c r="H526" s="25">
        <f t="shared" si="19"/>
        <v>3.1946906302815492E-3</v>
      </c>
      <c r="J526" s="63">
        <v>19.97</v>
      </c>
      <c r="K526" s="63">
        <v>20.149999999999999</v>
      </c>
      <c r="L526" s="63">
        <v>19.13</v>
      </c>
      <c r="M526" s="63">
        <v>19.309999999999999</v>
      </c>
      <c r="N526" s="63">
        <v>2364751</v>
      </c>
      <c r="O526" s="63" t="s">
        <v>477</v>
      </c>
      <c r="P526" s="25">
        <f t="shared" si="18"/>
        <v>3.4179181771103018E-2</v>
      </c>
    </row>
    <row r="527" spans="2:16">
      <c r="B527" s="63">
        <v>477.04711332066933</v>
      </c>
      <c r="C527" s="63">
        <v>483.51049779909556</v>
      </c>
      <c r="D527" s="63">
        <v>475.9123206259838</v>
      </c>
      <c r="E527" s="63">
        <v>483.43155569859573</v>
      </c>
      <c r="F527" s="63">
        <v>3862382.1518472382</v>
      </c>
      <c r="G527" s="63" t="s">
        <v>478</v>
      </c>
      <c r="H527" s="25">
        <f t="shared" si="19"/>
        <v>-1.320650731767059E-2</v>
      </c>
      <c r="J527" s="63">
        <v>19.100000000000001</v>
      </c>
      <c r="K527" s="63">
        <v>20.2</v>
      </c>
      <c r="L527" s="63">
        <v>18.98</v>
      </c>
      <c r="M527" s="63">
        <v>20.010000000000002</v>
      </c>
      <c r="N527" s="63">
        <v>1483309</v>
      </c>
      <c r="O527" s="63" t="s">
        <v>478</v>
      </c>
      <c r="P527" s="25">
        <f t="shared" si="18"/>
        <v>-4.5477261369315292E-2</v>
      </c>
    </row>
    <row r="528" spans="2:16">
      <c r="B528" s="63">
        <v>480.6192433682881</v>
      </c>
      <c r="C528" s="63">
        <v>481.97112683934824</v>
      </c>
      <c r="D528" s="63">
        <v>478.52727770504174</v>
      </c>
      <c r="E528" s="63">
        <v>481.33959003534937</v>
      </c>
      <c r="F528" s="63">
        <v>3294141.8882115106</v>
      </c>
      <c r="G528" s="63" t="s">
        <v>479</v>
      </c>
      <c r="H528" s="25">
        <f t="shared" si="19"/>
        <v>-1.4965456446421888E-3</v>
      </c>
      <c r="J528" s="63">
        <v>19.48</v>
      </c>
      <c r="K528" s="63">
        <v>19.64</v>
      </c>
      <c r="L528" s="63">
        <v>19.0501</v>
      </c>
      <c r="M528" s="63">
        <v>19.45</v>
      </c>
      <c r="N528" s="63">
        <v>1133608</v>
      </c>
      <c r="O528" s="63" t="s">
        <v>479</v>
      </c>
      <c r="P528" s="25">
        <f t="shared" si="18"/>
        <v>1.5424164524422412E-3</v>
      </c>
    </row>
    <row r="529" spans="2:16">
      <c r="B529" s="63">
        <v>482.02046565216068</v>
      </c>
      <c r="C529" s="63">
        <v>482.11914327778544</v>
      </c>
      <c r="D529" s="63">
        <v>479.9186322263518</v>
      </c>
      <c r="E529" s="63">
        <v>480.09625195247645</v>
      </c>
      <c r="F529" s="63">
        <v>2486456.2604378862</v>
      </c>
      <c r="G529" s="63" t="s">
        <v>480</v>
      </c>
      <c r="H529" s="25">
        <f t="shared" si="19"/>
        <v>4.0079748422503503E-3</v>
      </c>
      <c r="J529" s="63">
        <v>19.25</v>
      </c>
      <c r="K529" s="63">
        <v>19.43</v>
      </c>
      <c r="L529" s="63">
        <v>18.54</v>
      </c>
      <c r="M529" s="63">
        <v>18.72</v>
      </c>
      <c r="N529" s="63">
        <v>828872</v>
      </c>
      <c r="O529" s="63" t="s">
        <v>480</v>
      </c>
      <c r="P529" s="25">
        <f t="shared" si="18"/>
        <v>2.8311965811965933E-2</v>
      </c>
    </row>
    <row r="530" spans="2:16">
      <c r="B530" s="63">
        <v>480.72778875647543</v>
      </c>
      <c r="C530" s="63">
        <v>482.14864788784729</v>
      </c>
      <c r="D530" s="63">
        <v>480.01730985197662</v>
      </c>
      <c r="E530" s="63">
        <v>480.34294601653852</v>
      </c>
      <c r="F530" s="63">
        <v>2634421.9204094037</v>
      </c>
      <c r="G530" s="63" t="s">
        <v>481</v>
      </c>
      <c r="H530" s="25">
        <f t="shared" si="19"/>
        <v>8.0118328608413947E-4</v>
      </c>
      <c r="J530" s="63">
        <v>19.09</v>
      </c>
      <c r="K530" s="63">
        <v>19.260000000000002</v>
      </c>
      <c r="L530" s="63">
        <v>18.7379</v>
      </c>
      <c r="M530" s="63">
        <v>18.95</v>
      </c>
      <c r="N530" s="63">
        <v>1090046</v>
      </c>
      <c r="O530" s="63" t="s">
        <v>481</v>
      </c>
      <c r="P530" s="25">
        <f t="shared" si="18"/>
        <v>7.3878627968337884E-3</v>
      </c>
    </row>
    <row r="531" spans="2:16">
      <c r="B531" s="63">
        <v>480.25413615347622</v>
      </c>
      <c r="C531" s="63">
        <v>480.29360720372614</v>
      </c>
      <c r="D531" s="63">
        <v>478.29045140354214</v>
      </c>
      <c r="E531" s="63">
        <v>479.66207039972721</v>
      </c>
      <c r="F531" s="63">
        <v>3317910.1941993055</v>
      </c>
      <c r="G531" s="63" t="s">
        <v>482</v>
      </c>
      <c r="H531" s="25">
        <f t="shared" si="19"/>
        <v>1.2343393198790409E-3</v>
      </c>
      <c r="J531" s="63">
        <v>18.89</v>
      </c>
      <c r="K531" s="63">
        <v>19.41</v>
      </c>
      <c r="L531" s="63">
        <v>18.88</v>
      </c>
      <c r="M531" s="63">
        <v>19.29</v>
      </c>
      <c r="N531" s="63">
        <v>1262671</v>
      </c>
      <c r="O531" s="63" t="s">
        <v>482</v>
      </c>
      <c r="P531" s="25">
        <f t="shared" si="18"/>
        <v>-2.07361327112493E-2</v>
      </c>
    </row>
    <row r="532" spans="2:16">
      <c r="B532" s="63">
        <v>479.54365724897747</v>
      </c>
      <c r="C532" s="63">
        <v>482.10927551522298</v>
      </c>
      <c r="D532" s="63">
        <v>479.40550857310268</v>
      </c>
      <c r="E532" s="63">
        <v>480.60937560572563</v>
      </c>
      <c r="F532" s="63">
        <v>3392239.1006110399</v>
      </c>
      <c r="G532" s="63" t="s">
        <v>483</v>
      </c>
      <c r="H532" s="25">
        <f t="shared" si="19"/>
        <v>-2.2174314752079205E-3</v>
      </c>
      <c r="J532" s="63">
        <v>19.100000000000001</v>
      </c>
      <c r="K532" s="63">
        <v>19.45</v>
      </c>
      <c r="L532" s="63">
        <v>18.72</v>
      </c>
      <c r="M532" s="63">
        <v>18.84</v>
      </c>
      <c r="N532" s="63">
        <v>1844429</v>
      </c>
      <c r="O532" s="63" t="s">
        <v>483</v>
      </c>
      <c r="P532" s="25">
        <f t="shared" si="18"/>
        <v>1.3800424628450214E-2</v>
      </c>
    </row>
    <row r="533" spans="2:16">
      <c r="B533" s="63">
        <v>480.46135916728832</v>
      </c>
      <c r="C533" s="63">
        <v>480.78699533185028</v>
      </c>
      <c r="D533" s="63">
        <v>476.35143606001429</v>
      </c>
      <c r="E533" s="63">
        <v>476.94843569504445</v>
      </c>
      <c r="F533" s="63">
        <v>4458442.2984870141</v>
      </c>
      <c r="G533" s="63" t="s">
        <v>484</v>
      </c>
      <c r="H533" s="25">
        <f t="shared" si="19"/>
        <v>7.3654156494393774E-3</v>
      </c>
      <c r="J533" s="63">
        <v>18.91</v>
      </c>
      <c r="K533" s="63">
        <v>18.98</v>
      </c>
      <c r="L533" s="63">
        <v>17.73</v>
      </c>
      <c r="M533" s="63">
        <v>18</v>
      </c>
      <c r="N533" s="63">
        <v>1297991</v>
      </c>
      <c r="O533" s="63" t="s">
        <v>484</v>
      </c>
      <c r="P533" s="25">
        <f t="shared" si="18"/>
        <v>5.0555555555555465E-2</v>
      </c>
    </row>
    <row r="534" spans="2:16">
      <c r="B534" s="63">
        <v>474.67885030567345</v>
      </c>
      <c r="C534" s="63">
        <v>475.10316409586022</v>
      </c>
      <c r="D534" s="63">
        <v>472.15270308967786</v>
      </c>
      <c r="E534" s="63">
        <v>472.646091217802</v>
      </c>
      <c r="F534" s="63">
        <v>3301380.6112297941</v>
      </c>
      <c r="G534" s="63" t="s">
        <v>485</v>
      </c>
      <c r="H534" s="25">
        <f t="shared" si="19"/>
        <v>4.3008058791598192E-3</v>
      </c>
      <c r="J534" s="63">
        <v>17.84</v>
      </c>
      <c r="K534" s="63">
        <v>17.920000000000002</v>
      </c>
      <c r="L534" s="63">
        <v>17.52</v>
      </c>
      <c r="M534" s="63">
        <v>17.760000000000002</v>
      </c>
      <c r="N534" s="63">
        <v>1046961</v>
      </c>
      <c r="O534" s="63" t="s">
        <v>485</v>
      </c>
      <c r="P534" s="25">
        <f t="shared" si="18"/>
        <v>4.5045045045044585E-3</v>
      </c>
    </row>
    <row r="535" spans="2:16">
      <c r="B535" s="63">
        <v>472.43886820398978</v>
      </c>
      <c r="C535" s="63">
        <v>474.06704902679951</v>
      </c>
      <c r="D535" s="63">
        <v>471.41262089749165</v>
      </c>
      <c r="E535" s="63">
        <v>473.99797468886214</v>
      </c>
      <c r="F535" s="63">
        <v>3150098.0899340655</v>
      </c>
      <c r="G535" s="63" t="s">
        <v>486</v>
      </c>
      <c r="H535" s="25">
        <f t="shared" si="19"/>
        <v>-3.2892682419071173E-3</v>
      </c>
      <c r="J535" s="63">
        <v>17.760000000000002</v>
      </c>
      <c r="K535" s="63">
        <v>17.850000000000001</v>
      </c>
      <c r="L535" s="63">
        <v>17.29</v>
      </c>
      <c r="M535" s="63">
        <v>17.68</v>
      </c>
      <c r="N535" s="63">
        <v>1789860</v>
      </c>
      <c r="O535" s="63" t="s">
        <v>486</v>
      </c>
      <c r="P535" s="25">
        <f t="shared" si="18"/>
        <v>4.5248868778282603E-3</v>
      </c>
    </row>
    <row r="536" spans="2:16">
      <c r="B536" s="63">
        <v>472.40926491630239</v>
      </c>
      <c r="C536" s="63">
        <v>474.037445739112</v>
      </c>
      <c r="D536" s="63">
        <v>471.2744722216168</v>
      </c>
      <c r="E536" s="63">
        <v>473.34670235973823</v>
      </c>
      <c r="F536" s="63">
        <v>3392014.1255991319</v>
      </c>
      <c r="G536" s="63" t="s">
        <v>487</v>
      </c>
      <c r="H536" s="25">
        <f t="shared" si="19"/>
        <v>-1.9804457045174972E-3</v>
      </c>
      <c r="J536" s="63">
        <v>17.68</v>
      </c>
      <c r="K536" s="63">
        <v>17.72</v>
      </c>
      <c r="L536" s="63">
        <v>17.170000000000002</v>
      </c>
      <c r="M536" s="63">
        <v>17.420000000000002</v>
      </c>
      <c r="N536" s="63">
        <v>1825056</v>
      </c>
      <c r="O536" s="63" t="s">
        <v>487</v>
      </c>
      <c r="P536" s="25">
        <f t="shared" si="18"/>
        <v>1.4925373134328179E-2</v>
      </c>
    </row>
    <row r="537" spans="2:16">
      <c r="B537" s="63">
        <v>471.82706692511584</v>
      </c>
      <c r="C537" s="63">
        <v>471.82706692511584</v>
      </c>
      <c r="D537" s="63">
        <v>468.65951514255892</v>
      </c>
      <c r="E537" s="63">
        <v>469.30091970912025</v>
      </c>
      <c r="F537" s="63">
        <v>3532765.3841752745</v>
      </c>
      <c r="G537" s="63" t="s">
        <v>488</v>
      </c>
      <c r="H537" s="25">
        <f t="shared" si="19"/>
        <v>5.382787695283664E-3</v>
      </c>
      <c r="J537" s="63">
        <v>17.34</v>
      </c>
      <c r="K537" s="63">
        <v>17.739999999999998</v>
      </c>
      <c r="L537" s="63">
        <v>17.18</v>
      </c>
      <c r="M537" s="63">
        <v>17.3</v>
      </c>
      <c r="N537" s="63">
        <v>2041249</v>
      </c>
      <c r="O537" s="63" t="s">
        <v>488</v>
      </c>
      <c r="P537" s="25">
        <f t="shared" si="18"/>
        <v>2.3121387283235872E-3</v>
      </c>
    </row>
    <row r="538" spans="2:16">
      <c r="B538" s="63">
        <v>469.13316774555813</v>
      </c>
      <c r="C538" s="63">
        <v>469.56734929830736</v>
      </c>
      <c r="D538" s="63">
        <v>467.2385573335614</v>
      </c>
      <c r="E538" s="63">
        <v>467.3273671966237</v>
      </c>
      <c r="F538" s="63">
        <v>3257960.4339315477</v>
      </c>
      <c r="G538" s="63" t="s">
        <v>489</v>
      </c>
      <c r="H538" s="25">
        <f t="shared" si="19"/>
        <v>3.8641018602589838E-3</v>
      </c>
      <c r="J538" s="63">
        <v>17.309999999999999</v>
      </c>
      <c r="K538" s="63">
        <v>17.37</v>
      </c>
      <c r="L538" s="63">
        <v>16.98</v>
      </c>
      <c r="M538" s="63">
        <v>17.03</v>
      </c>
      <c r="N538" s="63">
        <v>1746069</v>
      </c>
      <c r="O538" s="63" t="s">
        <v>489</v>
      </c>
      <c r="P538" s="25">
        <f t="shared" si="18"/>
        <v>1.6441573693481981E-2</v>
      </c>
    </row>
    <row r="539" spans="2:16">
      <c r="B539" s="63">
        <v>469.11343222043308</v>
      </c>
      <c r="C539" s="63">
        <v>470.33703477818096</v>
      </c>
      <c r="D539" s="63">
        <v>468.43255660362178</v>
      </c>
      <c r="E539" s="63">
        <v>469.40946509730759</v>
      </c>
      <c r="F539" s="63">
        <v>3497552.7412078525</v>
      </c>
      <c r="G539" s="63" t="s">
        <v>490</v>
      </c>
      <c r="H539" s="25">
        <f t="shared" si="19"/>
        <v>-6.3064956905611869E-4</v>
      </c>
      <c r="J539" s="63">
        <v>17.21</v>
      </c>
      <c r="K539" s="63">
        <v>17.41</v>
      </c>
      <c r="L539" s="63">
        <v>16.91</v>
      </c>
      <c r="M539" s="63">
        <v>17.14</v>
      </c>
      <c r="N539" s="63">
        <v>2622108</v>
      </c>
      <c r="O539" s="63" t="s">
        <v>490</v>
      </c>
      <c r="P539" s="25">
        <f t="shared" si="18"/>
        <v>4.0840140023337135E-3</v>
      </c>
    </row>
    <row r="540" spans="2:16">
      <c r="B540" s="63">
        <v>468.4424243661843</v>
      </c>
      <c r="C540" s="63">
        <v>468.53123422924665</v>
      </c>
      <c r="D540" s="63">
        <v>465.58077322306428</v>
      </c>
      <c r="E540" s="63">
        <v>465.97548372556361</v>
      </c>
      <c r="F540" s="63">
        <v>4846632.6279304698</v>
      </c>
      <c r="G540" s="63" t="s">
        <v>491</v>
      </c>
      <c r="H540" s="25">
        <f t="shared" si="19"/>
        <v>5.2941425606709558E-3</v>
      </c>
      <c r="J540" s="63">
        <v>17.25</v>
      </c>
      <c r="K540" s="63">
        <v>17.5</v>
      </c>
      <c r="L540" s="63">
        <v>17.21</v>
      </c>
      <c r="M540" s="63">
        <v>17.350000000000001</v>
      </c>
      <c r="N540" s="63">
        <v>1500985</v>
      </c>
      <c r="O540" s="63" t="s">
        <v>491</v>
      </c>
      <c r="P540" s="25">
        <f t="shared" si="18"/>
        <v>-5.7636887608070175E-3</v>
      </c>
    </row>
    <row r="541" spans="2:16">
      <c r="B541" s="63">
        <v>463.76510491156745</v>
      </c>
      <c r="C541" s="63">
        <v>464.77161669294065</v>
      </c>
      <c r="D541" s="63">
        <v>461.25879189832239</v>
      </c>
      <c r="E541" s="63">
        <v>463.54801413519277</v>
      </c>
      <c r="F541" s="63">
        <v>4648327.2889431035</v>
      </c>
      <c r="G541" s="63" t="s">
        <v>492</v>
      </c>
      <c r="H541" s="25">
        <f t="shared" si="19"/>
        <v>4.6832425068132899E-4</v>
      </c>
      <c r="J541" s="63">
        <v>17.18</v>
      </c>
      <c r="K541" s="63">
        <v>17.82</v>
      </c>
      <c r="L541" s="63">
        <v>17.16</v>
      </c>
      <c r="M541" s="63">
        <v>17.73</v>
      </c>
      <c r="N541" s="63">
        <v>2143817</v>
      </c>
      <c r="O541" s="63" t="s">
        <v>492</v>
      </c>
      <c r="P541" s="25">
        <f t="shared" si="18"/>
        <v>-3.1020868584320405E-2</v>
      </c>
    </row>
    <row r="542" spans="2:16">
      <c r="B542" s="63">
        <v>458.08127367557734</v>
      </c>
      <c r="C542" s="63">
        <v>458.80162034263856</v>
      </c>
      <c r="D542" s="63">
        <v>453.08818581896105</v>
      </c>
      <c r="E542" s="63">
        <v>457.23264609520379</v>
      </c>
      <c r="F542" s="63">
        <v>4025658.2734399545</v>
      </c>
      <c r="G542" s="63" t="s">
        <v>493</v>
      </c>
      <c r="H542" s="25">
        <f t="shared" si="19"/>
        <v>1.8560082872929318E-3</v>
      </c>
      <c r="J542" s="63">
        <v>17.3</v>
      </c>
      <c r="K542" s="63">
        <v>17.559999999999999</v>
      </c>
      <c r="L542" s="63">
        <v>16.920000000000002</v>
      </c>
      <c r="M542" s="63">
        <v>17.559999999999999</v>
      </c>
      <c r="N542" s="63">
        <v>1699153</v>
      </c>
      <c r="O542" s="63" t="s">
        <v>493</v>
      </c>
      <c r="P542" s="25">
        <f t="shared" si="18"/>
        <v>-1.4806378132118381E-2</v>
      </c>
    </row>
    <row r="543" spans="2:16">
      <c r="B543" s="63">
        <v>453.84800353627219</v>
      </c>
      <c r="C543" s="63">
        <v>460.89358600588491</v>
      </c>
      <c r="D543" s="63">
        <v>453.36448317071051</v>
      </c>
      <c r="E543" s="63">
        <v>454.67689559152075</v>
      </c>
      <c r="F543" s="63">
        <v>6197328.889175579</v>
      </c>
      <c r="G543" s="63" t="s">
        <v>494</v>
      </c>
      <c r="H543" s="25">
        <f t="shared" si="19"/>
        <v>-1.8230353538641886E-3</v>
      </c>
      <c r="J543" s="63">
        <v>17.25</v>
      </c>
      <c r="K543" s="63">
        <v>17.935400000000001</v>
      </c>
      <c r="L543" s="63">
        <v>17.14</v>
      </c>
      <c r="M543" s="63">
        <v>17.600000000000001</v>
      </c>
      <c r="N543" s="63">
        <v>1396562</v>
      </c>
      <c r="O543" s="63" t="s">
        <v>494</v>
      </c>
      <c r="P543" s="25">
        <f t="shared" si="18"/>
        <v>-1.9886363636363757E-2</v>
      </c>
    </row>
    <row r="544" spans="2:16">
      <c r="B544" s="63">
        <v>455.3281679206446</v>
      </c>
      <c r="C544" s="63">
        <v>462.14679185132024</v>
      </c>
      <c r="D544" s="63">
        <v>455.25909358270724</v>
      </c>
      <c r="E544" s="63">
        <v>461.23895769557186</v>
      </c>
      <c r="F544" s="63">
        <v>4423328.9688131372</v>
      </c>
      <c r="G544" s="63" t="s">
        <v>495</v>
      </c>
      <c r="H544" s="25">
        <f t="shared" si="19"/>
        <v>-1.2815027170424931E-2</v>
      </c>
      <c r="J544" s="63">
        <v>17.87</v>
      </c>
      <c r="K544" s="63">
        <v>18.7</v>
      </c>
      <c r="L544" s="63">
        <v>17.78</v>
      </c>
      <c r="M544" s="63">
        <v>18.29</v>
      </c>
      <c r="N544" s="63">
        <v>1788247</v>
      </c>
      <c r="O544" s="63" t="s">
        <v>495</v>
      </c>
      <c r="P544" s="25">
        <f t="shared" si="18"/>
        <v>-2.296336796063414E-2</v>
      </c>
    </row>
    <row r="545" spans="2:16">
      <c r="B545" s="63">
        <v>462.64017997944438</v>
      </c>
      <c r="C545" s="63">
        <v>463.21251020806841</v>
      </c>
      <c r="D545" s="63">
        <v>460.04495842551137</v>
      </c>
      <c r="E545" s="63">
        <v>462.64017997944438</v>
      </c>
      <c r="F545" s="63">
        <v>3296801.0523162251</v>
      </c>
      <c r="G545" s="63" t="s">
        <v>496</v>
      </c>
      <c r="H545" s="25">
        <f t="shared" si="19"/>
        <v>0</v>
      </c>
      <c r="J545" s="63">
        <v>18.46</v>
      </c>
      <c r="K545" s="63">
        <v>18.725000000000001</v>
      </c>
      <c r="L545" s="63">
        <v>18.170000000000002</v>
      </c>
      <c r="M545" s="63">
        <v>18.61</v>
      </c>
      <c r="N545" s="63">
        <v>960762</v>
      </c>
      <c r="O545" s="63" t="s">
        <v>496</v>
      </c>
      <c r="P545" s="25">
        <f t="shared" si="18"/>
        <v>-8.0601826974744384E-3</v>
      </c>
    </row>
    <row r="546" spans="2:16">
      <c r="B546" s="63">
        <v>461.03173468175964</v>
      </c>
      <c r="C546" s="63">
        <v>462.43295696563223</v>
      </c>
      <c r="D546" s="63">
        <v>458.66347166676383</v>
      </c>
      <c r="E546" s="63">
        <v>459.17659532001289</v>
      </c>
      <c r="F546" s="63">
        <v>4972872.9982385458</v>
      </c>
      <c r="G546" s="63" t="s">
        <v>497</v>
      </c>
      <c r="H546" s="25">
        <f t="shared" si="19"/>
        <v>4.0401435540369235E-3</v>
      </c>
      <c r="J546" s="63">
        <v>18.559999999999999</v>
      </c>
      <c r="K546" s="63">
        <v>18.899999999999999</v>
      </c>
      <c r="L546" s="63">
        <v>18.440000000000001</v>
      </c>
      <c r="M546" s="63">
        <v>18.86</v>
      </c>
      <c r="N546" s="63">
        <v>1475180</v>
      </c>
      <c r="O546" s="63" t="s">
        <v>497</v>
      </c>
      <c r="P546" s="25">
        <f t="shared" si="18"/>
        <v>-1.5906680805938489E-2</v>
      </c>
    </row>
    <row r="547" spans="2:16">
      <c r="B547" s="63">
        <v>456.46296061533013</v>
      </c>
      <c r="C547" s="63">
        <v>457.33132372082861</v>
      </c>
      <c r="D547" s="63">
        <v>451.21331093208926</v>
      </c>
      <c r="E547" s="63">
        <v>452.70334307902419</v>
      </c>
      <c r="F547" s="63">
        <v>4941574.1097575594</v>
      </c>
      <c r="G547" s="63" t="s">
        <v>498</v>
      </c>
      <c r="H547" s="25">
        <f t="shared" si="19"/>
        <v>8.3048150489350991E-3</v>
      </c>
      <c r="J547" s="63">
        <v>18.170000000000002</v>
      </c>
      <c r="K547" s="63">
        <v>18.190000000000001</v>
      </c>
      <c r="L547" s="63">
        <v>17.420000000000002</v>
      </c>
      <c r="M547" s="63">
        <v>17.64</v>
      </c>
      <c r="N547" s="63">
        <v>2242715</v>
      </c>
      <c r="O547" s="63" t="s">
        <v>498</v>
      </c>
      <c r="P547" s="25">
        <f t="shared" si="18"/>
        <v>3.0045351473922954E-2</v>
      </c>
    </row>
    <row r="548" spans="2:16">
      <c r="B548" s="63">
        <v>458.35757102732686</v>
      </c>
      <c r="C548" s="63">
        <v>460.14363605113624</v>
      </c>
      <c r="D548" s="63">
        <v>456.3248119394554</v>
      </c>
      <c r="E548" s="63">
        <v>459.4134216215125</v>
      </c>
      <c r="F548" s="63">
        <v>7790861.3541524773</v>
      </c>
      <c r="G548" s="63" t="s">
        <v>499</v>
      </c>
      <c r="H548" s="25">
        <f t="shared" si="19"/>
        <v>-2.298258049272861E-3</v>
      </c>
      <c r="J548" s="63">
        <v>17.78</v>
      </c>
      <c r="K548" s="63">
        <v>18.420000000000002</v>
      </c>
      <c r="L548" s="63">
        <v>17.47</v>
      </c>
      <c r="M548" s="63">
        <v>18</v>
      </c>
      <c r="N548" s="63">
        <v>1180731</v>
      </c>
      <c r="O548" s="63" t="s">
        <v>499</v>
      </c>
      <c r="P548" s="25">
        <f t="shared" si="18"/>
        <v>-1.2222222222222134E-2</v>
      </c>
    </row>
    <row r="549" spans="2:16">
      <c r="B549" s="63">
        <v>458.69307495445122</v>
      </c>
      <c r="C549" s="63">
        <v>458.97924006876326</v>
      </c>
      <c r="D549" s="63">
        <v>454.57821796589593</v>
      </c>
      <c r="E549" s="63">
        <v>455.08147385658253</v>
      </c>
      <c r="F549" s="63">
        <v>4314453.2238611141</v>
      </c>
      <c r="G549" s="63" t="s">
        <v>500</v>
      </c>
      <c r="H549" s="25">
        <f t="shared" si="19"/>
        <v>7.9361637538488683E-3</v>
      </c>
      <c r="J549" s="63">
        <v>17.59</v>
      </c>
      <c r="K549" s="63">
        <v>17.84</v>
      </c>
      <c r="L549" s="63">
        <v>17.28</v>
      </c>
      <c r="M549" s="63">
        <v>17.48</v>
      </c>
      <c r="N549" s="63">
        <v>1019628</v>
      </c>
      <c r="O549" s="63" t="s">
        <v>500</v>
      </c>
      <c r="P549" s="25">
        <f t="shared" si="18"/>
        <v>6.2929061784897655E-3</v>
      </c>
    </row>
    <row r="550" spans="2:16">
      <c r="B550" s="63">
        <v>452.97964043077371</v>
      </c>
      <c r="C550" s="63">
        <v>455.62410211989345</v>
      </c>
      <c r="D550" s="63">
        <v>449.32856828265511</v>
      </c>
      <c r="E550" s="63">
        <v>451.4994760464013</v>
      </c>
      <c r="F550" s="63">
        <v>5896055.932801161</v>
      </c>
      <c r="G550" s="63" t="s">
        <v>501</v>
      </c>
      <c r="H550" s="25">
        <f t="shared" si="19"/>
        <v>3.2783302371326428E-3</v>
      </c>
      <c r="J550" s="63">
        <v>17.32</v>
      </c>
      <c r="K550" s="63">
        <v>17.440000000000001</v>
      </c>
      <c r="L550" s="63">
        <v>16.97</v>
      </c>
      <c r="M550" s="63">
        <v>17.100000000000001</v>
      </c>
      <c r="N550" s="63">
        <v>2443818</v>
      </c>
      <c r="O550" s="63" t="s">
        <v>501</v>
      </c>
      <c r="P550" s="25">
        <f t="shared" si="18"/>
        <v>1.2865497076023358E-2</v>
      </c>
    </row>
    <row r="551" spans="2:16">
      <c r="B551" s="63">
        <v>449.08187421859304</v>
      </c>
      <c r="C551" s="63">
        <v>453.85787129883465</v>
      </c>
      <c r="D551" s="63">
        <v>447.89774271109502</v>
      </c>
      <c r="E551" s="63">
        <v>452.92043385539881</v>
      </c>
      <c r="F551" s="63">
        <v>9918615.2261221297</v>
      </c>
      <c r="G551" s="63" t="s">
        <v>502</v>
      </c>
      <c r="H551" s="25">
        <f t="shared" si="19"/>
        <v>-8.4751301771279763E-3</v>
      </c>
      <c r="J551" s="63">
        <v>16.920000000000002</v>
      </c>
      <c r="K551" s="63">
        <v>17.97</v>
      </c>
      <c r="L551" s="63">
        <v>16.82</v>
      </c>
      <c r="M551" s="63">
        <v>17.87</v>
      </c>
      <c r="N551" s="63">
        <v>2217165</v>
      </c>
      <c r="O551" s="63" t="s">
        <v>502</v>
      </c>
      <c r="P551" s="25">
        <f t="shared" si="18"/>
        <v>-5.3161723559037477E-2</v>
      </c>
    </row>
    <row r="552" spans="2:16">
      <c r="B552" s="63">
        <v>452.87109504258638</v>
      </c>
      <c r="C552" s="63">
        <v>457.17343951982895</v>
      </c>
      <c r="D552" s="63">
        <v>452.15074837552515</v>
      </c>
      <c r="E552" s="63">
        <v>455.25909358270724</v>
      </c>
      <c r="F552" s="63">
        <v>5712831.0134183131</v>
      </c>
      <c r="G552" s="63" t="s">
        <v>503</v>
      </c>
      <c r="H552" s="25">
        <f t="shared" si="19"/>
        <v>-5.245361539795379E-3</v>
      </c>
      <c r="J552" s="63">
        <v>17.989999999999998</v>
      </c>
      <c r="K552" s="63">
        <v>18.649999999999999</v>
      </c>
      <c r="L552" s="63">
        <v>17.885000000000002</v>
      </c>
      <c r="M552" s="63">
        <v>18.53</v>
      </c>
      <c r="N552" s="63">
        <v>2171936</v>
      </c>
      <c r="O552" s="63" t="s">
        <v>503</v>
      </c>
      <c r="P552" s="25">
        <f t="shared" si="18"/>
        <v>-2.9141932002158755E-2</v>
      </c>
    </row>
    <row r="553" spans="2:16">
      <c r="B553" s="63">
        <v>453.90721011164709</v>
      </c>
      <c r="C553" s="63">
        <v>459.0877854569506</v>
      </c>
      <c r="D553" s="63">
        <v>452.66387202877428</v>
      </c>
      <c r="E553" s="63">
        <v>458.95950454363833</v>
      </c>
      <c r="F553" s="63">
        <v>7252129.2995110629</v>
      </c>
      <c r="G553" s="63" t="s">
        <v>504</v>
      </c>
      <c r="H553" s="25">
        <f t="shared" si="19"/>
        <v>-1.1008148610006319E-2</v>
      </c>
      <c r="J553" s="63">
        <v>18.59</v>
      </c>
      <c r="K553" s="63">
        <v>19.637699999999999</v>
      </c>
      <c r="L553" s="63">
        <v>18.41</v>
      </c>
      <c r="M553" s="63">
        <v>19.46</v>
      </c>
      <c r="N553" s="63">
        <v>1992027</v>
      </c>
      <c r="O553" s="63" t="s">
        <v>504</v>
      </c>
      <c r="P553" s="25">
        <f t="shared" si="18"/>
        <v>-4.4707091469681437E-2</v>
      </c>
    </row>
    <row r="554" spans="2:16">
      <c r="B554" s="63">
        <v>456.66031586657977</v>
      </c>
      <c r="C554" s="63">
        <v>459.3542150461376</v>
      </c>
      <c r="D554" s="63">
        <v>455.48605212164432</v>
      </c>
      <c r="E554" s="63">
        <v>457.91352171201515</v>
      </c>
      <c r="F554" s="63">
        <v>6852028.4686488919</v>
      </c>
      <c r="G554" s="63" t="s">
        <v>505</v>
      </c>
      <c r="H554" s="25">
        <f t="shared" si="19"/>
        <v>-2.736774054520108E-3</v>
      </c>
      <c r="J554" s="63">
        <v>19.38</v>
      </c>
      <c r="K554" s="63">
        <v>19.72</v>
      </c>
      <c r="L554" s="63">
        <v>19.12</v>
      </c>
      <c r="M554" s="63">
        <v>19.25</v>
      </c>
      <c r="N554" s="63">
        <v>2030252</v>
      </c>
      <c r="O554" s="63" t="s">
        <v>505</v>
      </c>
      <c r="P554" s="25">
        <f t="shared" si="18"/>
        <v>6.7532467532467333E-3</v>
      </c>
    </row>
    <row r="555" spans="2:16">
      <c r="B555" s="63">
        <v>457.47934015926592</v>
      </c>
      <c r="C555" s="63">
        <v>467.3273671966237</v>
      </c>
      <c r="D555" s="63">
        <v>456.72939020451719</v>
      </c>
      <c r="E555" s="63">
        <v>467.20895404587395</v>
      </c>
      <c r="F555" s="63">
        <v>9657755.6864138376</v>
      </c>
      <c r="G555" s="63" t="s">
        <v>506</v>
      </c>
      <c r="H555" s="25">
        <f t="shared" si="19"/>
        <v>-2.0824973071155495E-2</v>
      </c>
      <c r="J555" s="63">
        <v>19.440000000000001</v>
      </c>
      <c r="K555" s="63">
        <v>21.96</v>
      </c>
      <c r="L555" s="63">
        <v>19.41</v>
      </c>
      <c r="M555" s="63">
        <v>21.8</v>
      </c>
      <c r="N555" s="63">
        <v>2749047</v>
      </c>
      <c r="O555" s="63" t="s">
        <v>506</v>
      </c>
      <c r="P555" s="25">
        <f t="shared" si="18"/>
        <v>-0.1082568807339449</v>
      </c>
    </row>
    <row r="556" spans="2:16">
      <c r="B556" s="63">
        <v>463.3605266465056</v>
      </c>
      <c r="C556" s="63">
        <v>467.78128427449792</v>
      </c>
      <c r="D556" s="63">
        <v>461.72247806113353</v>
      </c>
      <c r="E556" s="63">
        <v>466.51821066650012</v>
      </c>
      <c r="F556" s="63">
        <v>7052989.9315381097</v>
      </c>
      <c r="G556" s="63" t="s">
        <v>507</v>
      </c>
      <c r="H556" s="25">
        <f t="shared" si="19"/>
        <v>-6.7686189902066429E-3</v>
      </c>
      <c r="J556" s="63">
        <v>21.44</v>
      </c>
      <c r="K556" s="63">
        <v>22.809000000000001</v>
      </c>
      <c r="L556" s="63">
        <v>21.4</v>
      </c>
      <c r="M556" s="63">
        <v>22.63</v>
      </c>
      <c r="N556" s="63">
        <v>1408266</v>
      </c>
      <c r="O556" s="63" t="s">
        <v>507</v>
      </c>
      <c r="P556" s="25">
        <f t="shared" si="18"/>
        <v>-5.2585064074237686E-2</v>
      </c>
    </row>
    <row r="557" spans="2:16">
      <c r="B557" s="63">
        <v>469.764704549557</v>
      </c>
      <c r="C557" s="63">
        <v>471.11658802061714</v>
      </c>
      <c r="D557" s="63">
        <v>464.44598052837875</v>
      </c>
      <c r="E557" s="63">
        <v>467.71220993656055</v>
      </c>
      <c r="F557" s="63">
        <v>5178378.5510079227</v>
      </c>
      <c r="G557" s="63" t="s">
        <v>508</v>
      </c>
      <c r="H557" s="25">
        <f t="shared" si="19"/>
        <v>4.3883708173340086E-3</v>
      </c>
      <c r="J557" s="63">
        <v>23.02</v>
      </c>
      <c r="K557" s="63">
        <v>23.040299999999998</v>
      </c>
      <c r="L557" s="63">
        <v>20.75</v>
      </c>
      <c r="M557" s="63">
        <v>21.16</v>
      </c>
      <c r="N557" s="63">
        <v>2725184</v>
      </c>
      <c r="O557" s="63" t="s">
        <v>508</v>
      </c>
      <c r="P557" s="25">
        <f t="shared" si="18"/>
        <v>8.790170132325148E-2</v>
      </c>
    </row>
    <row r="558" spans="2:16">
      <c r="B558" s="63">
        <v>466.39979751575032</v>
      </c>
      <c r="C558" s="63">
        <v>468.11678820162234</v>
      </c>
      <c r="D558" s="63">
        <v>464.44598052837875</v>
      </c>
      <c r="E558" s="63">
        <v>465.66958308612664</v>
      </c>
      <c r="F558" s="63">
        <v>7026302.0174002824</v>
      </c>
      <c r="G558" s="63" t="s">
        <v>509</v>
      </c>
      <c r="H558" s="25">
        <f t="shared" si="19"/>
        <v>1.5680956114512146E-3</v>
      </c>
      <c r="J558" s="63">
        <v>21.2</v>
      </c>
      <c r="K558" s="63">
        <v>21.55</v>
      </c>
      <c r="L558" s="63">
        <v>20.76</v>
      </c>
      <c r="M558" s="63">
        <v>20.88</v>
      </c>
      <c r="N558" s="63">
        <v>986021</v>
      </c>
      <c r="O558" s="63" t="s">
        <v>509</v>
      </c>
      <c r="P558" s="25">
        <f t="shared" si="18"/>
        <v>1.5325670498084198E-2</v>
      </c>
    </row>
    <row r="559" spans="2:16">
      <c r="B559" s="63">
        <v>470.95870381961737</v>
      </c>
      <c r="C559" s="63">
        <v>472.27111624042766</v>
      </c>
      <c r="D559" s="63">
        <v>466.48860737881267</v>
      </c>
      <c r="E559" s="63">
        <v>472.05402546405298</v>
      </c>
      <c r="F559" s="63">
        <v>5324602.174738585</v>
      </c>
      <c r="G559" s="63" t="s">
        <v>510</v>
      </c>
      <c r="H559" s="25">
        <f t="shared" si="19"/>
        <v>-2.3203311175217234E-3</v>
      </c>
      <c r="J559" s="63">
        <v>21.34</v>
      </c>
      <c r="K559" s="63">
        <v>22.25</v>
      </c>
      <c r="L559" s="63">
        <v>21.26</v>
      </c>
      <c r="M559" s="63">
        <v>21.99</v>
      </c>
      <c r="N559" s="63">
        <v>1012634</v>
      </c>
      <c r="O559" s="63" t="s">
        <v>510</v>
      </c>
      <c r="P559" s="25">
        <f t="shared" si="18"/>
        <v>-2.9558890404729365E-2</v>
      </c>
    </row>
    <row r="560" spans="2:16">
      <c r="B560" s="63">
        <v>470.37650582843094</v>
      </c>
      <c r="C560" s="63">
        <v>471.74812482461601</v>
      </c>
      <c r="D560" s="63">
        <v>469.67589468649464</v>
      </c>
      <c r="E560" s="63">
        <v>470.84029066886757</v>
      </c>
      <c r="F560" s="63">
        <v>4800255.3466468742</v>
      </c>
      <c r="G560" s="63" t="s">
        <v>511</v>
      </c>
      <c r="H560" s="25">
        <f t="shared" si="19"/>
        <v>-9.8501519438320972E-4</v>
      </c>
      <c r="J560" s="63">
        <v>21.8</v>
      </c>
      <c r="K560" s="63">
        <v>21.87</v>
      </c>
      <c r="L560" s="63">
        <v>21.125</v>
      </c>
      <c r="M560" s="63">
        <v>21.39</v>
      </c>
      <c r="N560" s="63">
        <v>1160920</v>
      </c>
      <c r="O560" s="63" t="s">
        <v>511</v>
      </c>
      <c r="P560" s="25">
        <f t="shared" si="18"/>
        <v>1.9167835437120084E-2</v>
      </c>
    </row>
    <row r="561" spans="2:16">
      <c r="B561" s="63">
        <v>470.18901833974377</v>
      </c>
      <c r="C561" s="63">
        <v>472.00468665124055</v>
      </c>
      <c r="D561" s="63">
        <v>466.17283897681324</v>
      </c>
      <c r="E561" s="63">
        <v>466.59715276700001</v>
      </c>
      <c r="F561" s="63">
        <v>5663046.6781255519</v>
      </c>
      <c r="G561" s="63" t="s">
        <v>512</v>
      </c>
      <c r="H561" s="25">
        <f t="shared" si="19"/>
        <v>7.6980014803849084E-3</v>
      </c>
      <c r="J561" s="63">
        <v>21.36</v>
      </c>
      <c r="K561" s="63">
        <v>21.91</v>
      </c>
      <c r="L561" s="63">
        <v>21.17</v>
      </c>
      <c r="M561" s="63">
        <v>21.83</v>
      </c>
      <c r="N561" s="63">
        <v>2235183</v>
      </c>
      <c r="O561" s="63" t="s">
        <v>512</v>
      </c>
      <c r="P561" s="25">
        <f t="shared" si="18"/>
        <v>-2.1530004580851969E-2</v>
      </c>
    </row>
    <row r="562" spans="2:16">
      <c r="B562" s="63">
        <v>465.24526929593986</v>
      </c>
      <c r="C562" s="63">
        <v>475.11303185842269</v>
      </c>
      <c r="D562" s="63">
        <v>465.03804628212771</v>
      </c>
      <c r="E562" s="63">
        <v>474.83673450667311</v>
      </c>
      <c r="F562" s="63">
        <v>6963270.5048297672</v>
      </c>
      <c r="G562" s="63" t="s">
        <v>513</v>
      </c>
      <c r="H562" s="25">
        <f t="shared" si="19"/>
        <v>-2.0199501246882634E-2</v>
      </c>
      <c r="J562" s="63">
        <v>21.64</v>
      </c>
      <c r="K562" s="63">
        <v>22.7</v>
      </c>
      <c r="L562" s="63">
        <v>21.58</v>
      </c>
      <c r="M562" s="63">
        <v>22.68</v>
      </c>
      <c r="N562" s="63">
        <v>1574507</v>
      </c>
      <c r="O562" s="63" t="s">
        <v>513</v>
      </c>
      <c r="P562" s="25">
        <f t="shared" si="18"/>
        <v>-4.585537918871252E-2</v>
      </c>
    </row>
    <row r="563" spans="2:16">
      <c r="B563" s="63">
        <v>471.04751368267978</v>
      </c>
      <c r="C563" s="63">
        <v>472.47044504418977</v>
      </c>
      <c r="D563" s="63">
        <v>469.49827496036994</v>
      </c>
      <c r="E563" s="63">
        <v>469.54761377318232</v>
      </c>
      <c r="F563" s="63">
        <v>6308230.4226357285</v>
      </c>
      <c r="G563" s="63" t="s">
        <v>514</v>
      </c>
      <c r="H563" s="25">
        <f t="shared" si="19"/>
        <v>3.194351042367316E-3</v>
      </c>
      <c r="J563" s="63">
        <v>22.44</v>
      </c>
      <c r="K563" s="63">
        <v>22.71</v>
      </c>
      <c r="L563" s="63">
        <v>21.46</v>
      </c>
      <c r="M563" s="63">
        <v>21.57</v>
      </c>
      <c r="N563" s="63">
        <v>1490646</v>
      </c>
      <c r="O563" s="63" t="s">
        <v>514</v>
      </c>
      <c r="P563" s="25">
        <f t="shared" si="18"/>
        <v>4.0333796940194677E-2</v>
      </c>
    </row>
    <row r="564" spans="2:16">
      <c r="B564" s="63">
        <v>470.62319989249301</v>
      </c>
      <c r="C564" s="63">
        <v>470.68240646786791</v>
      </c>
      <c r="D564" s="63">
        <v>468.43255660362178</v>
      </c>
      <c r="E564" s="63">
        <v>470.03113413874399</v>
      </c>
      <c r="F564" s="63">
        <v>4882385.4136066614</v>
      </c>
      <c r="G564" s="63" t="s">
        <v>515</v>
      </c>
      <c r="H564" s="25">
        <f t="shared" si="19"/>
        <v>1.259630928138078E-3</v>
      </c>
      <c r="J564" s="63">
        <v>22.05</v>
      </c>
      <c r="K564" s="63">
        <v>22.19</v>
      </c>
      <c r="L564" s="63">
        <v>20.309999999999999</v>
      </c>
      <c r="M564" s="63">
        <v>20.64</v>
      </c>
      <c r="N564" s="63">
        <v>1702644</v>
      </c>
      <c r="O564" s="63" t="s">
        <v>515</v>
      </c>
      <c r="P564" s="25">
        <f t="shared" si="18"/>
        <v>6.8313953488372103E-2</v>
      </c>
    </row>
    <row r="565" spans="2:16">
      <c r="B565" s="63">
        <v>473.72167733711257</v>
      </c>
      <c r="C565" s="63">
        <v>475.58668446142184</v>
      </c>
      <c r="D565" s="63">
        <v>472.49807477936469</v>
      </c>
      <c r="E565" s="63">
        <v>475.07356080817272</v>
      </c>
      <c r="F565" s="63">
        <v>5810800.5372975701</v>
      </c>
      <c r="G565" s="63" t="s">
        <v>516</v>
      </c>
      <c r="H565" s="25">
        <f t="shared" si="19"/>
        <v>-2.8456297773347128E-3</v>
      </c>
      <c r="J565" s="63">
        <v>21.26</v>
      </c>
      <c r="K565" s="63">
        <v>21.6</v>
      </c>
      <c r="L565" s="63">
        <v>20.730699999999999</v>
      </c>
      <c r="M565" s="63">
        <v>21.19</v>
      </c>
      <c r="N565" s="63">
        <v>1369747</v>
      </c>
      <c r="O565" s="63" t="s">
        <v>516</v>
      </c>
      <c r="P565" s="25">
        <f t="shared" si="18"/>
        <v>3.303445021236362E-3</v>
      </c>
    </row>
    <row r="566" spans="2:16">
      <c r="B566" s="63">
        <v>474.34334637854897</v>
      </c>
      <c r="C566" s="63">
        <v>475.78384235742027</v>
      </c>
      <c r="D566" s="63">
        <v>474.14934616657058</v>
      </c>
      <c r="E566" s="63">
        <v>474.51109834211121</v>
      </c>
      <c r="F566" s="63">
        <v>4119493.1214246862</v>
      </c>
      <c r="G566" s="63" t="s">
        <v>517</v>
      </c>
      <c r="H566" s="25">
        <f t="shared" si="19"/>
        <v>-3.5352590097126324E-4</v>
      </c>
      <c r="J566" s="63">
        <v>21.19</v>
      </c>
      <c r="K566" s="63">
        <v>21.55</v>
      </c>
      <c r="L566" s="63">
        <v>20.94</v>
      </c>
      <c r="M566" s="63">
        <v>21.23</v>
      </c>
      <c r="N566" s="63">
        <v>1853217</v>
      </c>
      <c r="O566" s="63" t="s">
        <v>517</v>
      </c>
      <c r="P566" s="25">
        <f t="shared" si="18"/>
        <v>-1.8841262364578393E-3</v>
      </c>
    </row>
    <row r="567" spans="2:16">
      <c r="B567" s="63">
        <v>474.40255295392387</v>
      </c>
      <c r="C567" s="63">
        <v>474.51109834211121</v>
      </c>
      <c r="D567" s="63">
        <v>471.13632354574207</v>
      </c>
      <c r="E567" s="63">
        <v>473.16908263361353</v>
      </c>
      <c r="F567" s="63">
        <v>5017782.8749399669</v>
      </c>
      <c r="G567" s="63" t="s">
        <v>518</v>
      </c>
      <c r="H567" s="25">
        <f t="shared" si="19"/>
        <v>2.6068278033826164E-3</v>
      </c>
      <c r="J567" s="63">
        <v>21.2</v>
      </c>
      <c r="K567" s="63">
        <v>22.045000000000002</v>
      </c>
      <c r="L567" s="63">
        <v>21.04</v>
      </c>
      <c r="M567" s="63">
        <v>21.93</v>
      </c>
      <c r="N567" s="63">
        <v>1332703</v>
      </c>
      <c r="O567" s="63" t="s">
        <v>518</v>
      </c>
      <c r="P567" s="25">
        <f t="shared" si="18"/>
        <v>-3.3287733698130428E-2</v>
      </c>
    </row>
    <row r="568" spans="2:16">
      <c r="B568" s="63">
        <v>470.29756372793105</v>
      </c>
      <c r="C568" s="63">
        <v>473.0309339577388</v>
      </c>
      <c r="D568" s="63">
        <v>470.12981176436887</v>
      </c>
      <c r="E568" s="63">
        <v>472.72503331830183</v>
      </c>
      <c r="F568" s="63">
        <v>8181694.6332853744</v>
      </c>
      <c r="G568" s="63" t="s">
        <v>519</v>
      </c>
      <c r="H568" s="25">
        <f t="shared" si="19"/>
        <v>-5.1350561516302351E-3</v>
      </c>
      <c r="J568" s="63">
        <v>21.66</v>
      </c>
      <c r="K568" s="63">
        <v>22.79</v>
      </c>
      <c r="L568" s="63">
        <v>21.515000000000001</v>
      </c>
      <c r="M568" s="63">
        <v>22.5</v>
      </c>
      <c r="N568" s="63">
        <v>1403527</v>
      </c>
      <c r="O568" s="63" t="s">
        <v>519</v>
      </c>
      <c r="P568" s="25">
        <f t="shared" si="18"/>
        <v>-3.7333333333333329E-2</v>
      </c>
    </row>
    <row r="569" spans="2:16">
      <c r="B569" s="63">
        <v>471.61984391130375</v>
      </c>
      <c r="C569" s="63">
        <v>472.45860372911483</v>
      </c>
      <c r="D569" s="63">
        <v>471.23500117136695</v>
      </c>
      <c r="E569" s="63">
        <v>471.41262089749165</v>
      </c>
      <c r="F569" s="63">
        <v>6162771.9166257447</v>
      </c>
      <c r="G569" s="63" t="s">
        <v>520</v>
      </c>
      <c r="H569" s="25">
        <f t="shared" si="19"/>
        <v>4.3957884160494842E-4</v>
      </c>
      <c r="J569" s="63">
        <v>22.31</v>
      </c>
      <c r="K569" s="63">
        <v>22.57</v>
      </c>
      <c r="L569" s="63">
        <v>21.73</v>
      </c>
      <c r="M569" s="63">
        <v>21.73</v>
      </c>
      <c r="N569" s="63">
        <v>1360190</v>
      </c>
      <c r="O569" s="63" t="s">
        <v>520</v>
      </c>
      <c r="P569" s="25">
        <f t="shared" si="18"/>
        <v>2.6691210308329438E-2</v>
      </c>
    </row>
    <row r="570" spans="2:16">
      <c r="B570" s="63">
        <v>472.84344646905163</v>
      </c>
      <c r="C570" s="63">
        <v>473.96837140117464</v>
      </c>
      <c r="D570" s="63">
        <v>472.48820701680222</v>
      </c>
      <c r="E570" s="63">
        <v>473.52432208586293</v>
      </c>
      <c r="F570" s="63">
        <v>5960320.7543333527</v>
      </c>
      <c r="G570" s="63" t="s">
        <v>521</v>
      </c>
      <c r="H570" s="25">
        <f t="shared" si="19"/>
        <v>-1.4378894283868515E-3</v>
      </c>
      <c r="J570" s="63">
        <v>21.99</v>
      </c>
      <c r="K570" s="63">
        <v>22.25</v>
      </c>
      <c r="L570" s="63">
        <v>21.27</v>
      </c>
      <c r="M570" s="63">
        <v>21.8</v>
      </c>
      <c r="N570" s="63">
        <v>1289724</v>
      </c>
      <c r="O570" s="63" t="s">
        <v>521</v>
      </c>
      <c r="P570" s="25">
        <f t="shared" ref="P570:P633" si="20">J570/M570-1</f>
        <v>8.7155963302751882E-3</v>
      </c>
    </row>
    <row r="571" spans="2:16">
      <c r="B571" s="63">
        <v>473.46225385934514</v>
      </c>
      <c r="C571" s="63">
        <v>475.31636489814201</v>
      </c>
      <c r="D571" s="63">
        <v>473.32454799969969</v>
      </c>
      <c r="E571" s="63">
        <v>474.71144272898545</v>
      </c>
      <c r="F571" s="63">
        <v>5128722.9303001203</v>
      </c>
      <c r="G571" s="63" t="s">
        <v>522</v>
      </c>
      <c r="H571" s="25">
        <f t="shared" ref="H571:H634" si="21">B571/E571-1</f>
        <v>-2.6314698934979397E-3</v>
      </c>
      <c r="J571" s="63">
        <v>21.62</v>
      </c>
      <c r="K571" s="63">
        <v>22.56</v>
      </c>
      <c r="L571" s="63">
        <v>21.19</v>
      </c>
      <c r="M571" s="63">
        <v>21.2</v>
      </c>
      <c r="N571" s="63">
        <v>2541636</v>
      </c>
      <c r="O571" s="63" t="s">
        <v>522</v>
      </c>
      <c r="P571" s="25">
        <f t="shared" si="20"/>
        <v>1.9811320754717032E-2</v>
      </c>
    </row>
    <row r="572" spans="2:16">
      <c r="B572" s="63">
        <v>471.88847260625494</v>
      </c>
      <c r="C572" s="63">
        <v>472.1540481927139</v>
      </c>
      <c r="D572" s="63">
        <v>467.14745658132085</v>
      </c>
      <c r="E572" s="63">
        <v>467.74746068406148</v>
      </c>
      <c r="F572" s="63">
        <v>6282302.3089051498</v>
      </c>
      <c r="G572" s="63" t="s">
        <v>523</v>
      </c>
      <c r="H572" s="25">
        <f t="shared" si="21"/>
        <v>8.8530933254824529E-3</v>
      </c>
      <c r="J572" s="63">
        <v>20.68</v>
      </c>
      <c r="K572" s="63">
        <v>20.725000000000001</v>
      </c>
      <c r="L572" s="63">
        <v>19.54</v>
      </c>
      <c r="M572" s="63">
        <v>19.809999999999999</v>
      </c>
      <c r="N572" s="63">
        <v>1886580</v>
      </c>
      <c r="O572" s="63" t="s">
        <v>523</v>
      </c>
      <c r="P572" s="25">
        <f t="shared" si="20"/>
        <v>4.3917213528521071E-2</v>
      </c>
    </row>
    <row r="573" spans="2:16">
      <c r="B573" s="63">
        <v>467.80647748105235</v>
      </c>
      <c r="C573" s="63">
        <v>467.94418334069775</v>
      </c>
      <c r="D573" s="63">
        <v>463.56710423054074</v>
      </c>
      <c r="E573" s="63">
        <v>464.46219231823574</v>
      </c>
      <c r="F573" s="63">
        <v>4626053.8341683242</v>
      </c>
      <c r="G573" s="63" t="s">
        <v>524</v>
      </c>
      <c r="H573" s="25">
        <f t="shared" si="21"/>
        <v>7.2003388394747958E-3</v>
      </c>
      <c r="J573" s="63">
        <v>19.850000000000001</v>
      </c>
      <c r="K573" s="63">
        <v>20.09</v>
      </c>
      <c r="L573" s="63">
        <v>19.59</v>
      </c>
      <c r="M573" s="63">
        <v>19.86</v>
      </c>
      <c r="N573" s="63">
        <v>1784707</v>
      </c>
      <c r="O573" s="63" t="s">
        <v>524</v>
      </c>
      <c r="P573" s="25">
        <f t="shared" si="20"/>
        <v>-5.0352467270886603E-4</v>
      </c>
    </row>
    <row r="574" spans="2:16">
      <c r="B574" s="63">
        <v>465.1999022806217</v>
      </c>
      <c r="C574" s="63">
        <v>467.49073761715113</v>
      </c>
      <c r="D574" s="63">
        <v>464.75727630319011</v>
      </c>
      <c r="E574" s="63">
        <v>466.1835155638031</v>
      </c>
      <c r="F574" s="63">
        <v>4004729.366056887</v>
      </c>
      <c r="G574" s="63" t="s">
        <v>525</v>
      </c>
      <c r="H574" s="25">
        <f t="shared" si="21"/>
        <v>-2.1099272075114639E-3</v>
      </c>
      <c r="J574" s="63">
        <v>19.850000000000001</v>
      </c>
      <c r="K574" s="63">
        <v>19.91</v>
      </c>
      <c r="L574" s="63">
        <v>19.015000000000001</v>
      </c>
      <c r="M574" s="63">
        <v>19.489999999999998</v>
      </c>
      <c r="N574" s="63">
        <v>2252793</v>
      </c>
      <c r="O574" s="63" t="s">
        <v>525</v>
      </c>
      <c r="P574" s="25">
        <f t="shared" si="20"/>
        <v>1.8471010774756547E-2</v>
      </c>
    </row>
    <row r="575" spans="2:16">
      <c r="B575" s="63">
        <v>462.30807922806855</v>
      </c>
      <c r="C575" s="63">
        <v>464.05045179789602</v>
      </c>
      <c r="D575" s="63">
        <v>461.03931645409295</v>
      </c>
      <c r="E575" s="63">
        <v>462.70152454134114</v>
      </c>
      <c r="F575" s="63">
        <v>6920491.128366488</v>
      </c>
      <c r="G575" s="63" t="s">
        <v>526</v>
      </c>
      <c r="H575" s="25">
        <f t="shared" si="21"/>
        <v>-8.5032205948010198E-4</v>
      </c>
      <c r="J575" s="63">
        <v>19.03</v>
      </c>
      <c r="K575" s="63">
        <v>19.385000000000002</v>
      </c>
      <c r="L575" s="63">
        <v>18.984999999999999</v>
      </c>
      <c r="M575" s="63">
        <v>19.03</v>
      </c>
      <c r="N575" s="63">
        <v>3149852</v>
      </c>
      <c r="O575" s="63" t="s">
        <v>526</v>
      </c>
      <c r="P575" s="25">
        <f t="shared" si="20"/>
        <v>0</v>
      </c>
    </row>
    <row r="576" spans="2:16">
      <c r="B576" s="63">
        <v>465.51465853123977</v>
      </c>
      <c r="C576" s="63">
        <v>467.53598382817745</v>
      </c>
      <c r="D576" s="63">
        <v>462.74086907266832</v>
      </c>
      <c r="E576" s="63">
        <v>467.37368763645253</v>
      </c>
      <c r="F576" s="63">
        <v>5238827.1774181742</v>
      </c>
      <c r="G576" s="63" t="s">
        <v>527</v>
      </c>
      <c r="H576" s="25">
        <f t="shared" si="21"/>
        <v>-3.9776075427224722E-3</v>
      </c>
      <c r="J576" s="63">
        <v>19.36</v>
      </c>
      <c r="K576" s="63">
        <v>20.219899999999999</v>
      </c>
      <c r="L576" s="63">
        <v>19.114999999999998</v>
      </c>
      <c r="M576" s="63">
        <v>20.04</v>
      </c>
      <c r="N576" s="63">
        <v>1957609</v>
      </c>
      <c r="O576" s="63" t="s">
        <v>527</v>
      </c>
      <c r="P576" s="25">
        <f t="shared" si="20"/>
        <v>-3.3932135728542923E-2</v>
      </c>
    </row>
    <row r="577" spans="2:16">
      <c r="B577" s="63">
        <v>466.5376163457484</v>
      </c>
      <c r="C577" s="63">
        <v>467.67860775423878</v>
      </c>
      <c r="D577" s="63">
        <v>465.15072161646265</v>
      </c>
      <c r="E577" s="63">
        <v>467.52122962892975</v>
      </c>
      <c r="F577" s="63">
        <v>3603576.792431822</v>
      </c>
      <c r="G577" s="63" t="s">
        <v>528</v>
      </c>
      <c r="H577" s="25">
        <f t="shared" si="21"/>
        <v>-2.1038900927815574E-3</v>
      </c>
      <c r="J577" s="63">
        <v>20.3</v>
      </c>
      <c r="K577" s="63">
        <v>20.8</v>
      </c>
      <c r="L577" s="63">
        <v>19.850000000000001</v>
      </c>
      <c r="M577" s="63">
        <v>20.52</v>
      </c>
      <c r="N577" s="63">
        <v>2171043</v>
      </c>
      <c r="O577" s="63" t="s">
        <v>528</v>
      </c>
      <c r="P577" s="25">
        <f t="shared" si="20"/>
        <v>-1.0721247563352798E-2</v>
      </c>
    </row>
    <row r="578" spans="2:16">
      <c r="B578" s="63">
        <v>467.2458179096389</v>
      </c>
      <c r="C578" s="63">
        <v>467.75729681689324</v>
      </c>
      <c r="D578" s="63">
        <v>461.87528938346873</v>
      </c>
      <c r="E578" s="63">
        <v>464.18678059894495</v>
      </c>
      <c r="F578" s="63">
        <v>4891186.4878841415</v>
      </c>
      <c r="G578" s="63" t="s">
        <v>529</v>
      </c>
      <c r="H578" s="25">
        <f t="shared" si="21"/>
        <v>6.5901000169519275E-3</v>
      </c>
      <c r="J578" s="63">
        <v>20.67</v>
      </c>
      <c r="K578" s="63">
        <v>20.81</v>
      </c>
      <c r="L578" s="63">
        <v>20.12</v>
      </c>
      <c r="M578" s="63">
        <v>20.632000000000001</v>
      </c>
      <c r="N578" s="63">
        <v>1666687</v>
      </c>
      <c r="O578" s="63" t="s">
        <v>529</v>
      </c>
      <c r="P578" s="25">
        <f t="shared" si="20"/>
        <v>1.8417991469561468E-3</v>
      </c>
    </row>
    <row r="579" spans="2:16">
      <c r="B579" s="63">
        <v>462.29824309523673</v>
      </c>
      <c r="C579" s="63">
        <v>462.74578713908426</v>
      </c>
      <c r="D579" s="63">
        <v>459.73101242613342</v>
      </c>
      <c r="E579" s="63">
        <v>461.51135246869165</v>
      </c>
      <c r="F579" s="63">
        <v>5412560.0894497139</v>
      </c>
      <c r="G579" s="63" t="s">
        <v>530</v>
      </c>
      <c r="H579" s="25">
        <f t="shared" si="21"/>
        <v>1.7050298380221207E-3</v>
      </c>
      <c r="J579" s="63">
        <v>20.46</v>
      </c>
      <c r="K579" s="63">
        <v>22.148800000000001</v>
      </c>
      <c r="L579" s="63">
        <v>20.395</v>
      </c>
      <c r="M579" s="63">
        <v>22.06</v>
      </c>
      <c r="N579" s="63">
        <v>2527617</v>
      </c>
      <c r="O579" s="63" t="s">
        <v>530</v>
      </c>
      <c r="P579" s="25">
        <f t="shared" si="20"/>
        <v>-7.2529465095194867E-2</v>
      </c>
    </row>
    <row r="580" spans="2:16">
      <c r="B580" s="63">
        <v>462.68185227567744</v>
      </c>
      <c r="C580" s="63">
        <v>468.49441661130936</v>
      </c>
      <c r="D580" s="63">
        <v>462.1211927042641</v>
      </c>
      <c r="E580" s="63">
        <v>466.00646517283042</v>
      </c>
      <c r="F580" s="63">
        <v>6390341.7201423468</v>
      </c>
      <c r="G580" s="63" t="s">
        <v>531</v>
      </c>
      <c r="H580" s="25">
        <f t="shared" si="21"/>
        <v>-7.1342634611731848E-3</v>
      </c>
      <c r="J580" s="63">
        <v>22.22</v>
      </c>
      <c r="K580" s="63">
        <v>23.83</v>
      </c>
      <c r="L580" s="63">
        <v>22.18</v>
      </c>
      <c r="M580" s="63">
        <v>22.58</v>
      </c>
      <c r="N580" s="63">
        <v>3035871</v>
      </c>
      <c r="O580" s="63" t="s">
        <v>531</v>
      </c>
      <c r="P580" s="25">
        <f t="shared" si="20"/>
        <v>-1.5943312666076181E-2</v>
      </c>
    </row>
    <row r="581" spans="2:16">
      <c r="B581" s="63">
        <v>465.50482239840795</v>
      </c>
      <c r="C581" s="63">
        <v>466.4195827517666</v>
      </c>
      <c r="D581" s="63">
        <v>463.06546145611816</v>
      </c>
      <c r="E581" s="63">
        <v>463.90153274682234</v>
      </c>
      <c r="F581" s="63">
        <v>7268915.6625406686</v>
      </c>
      <c r="G581" s="63" t="s">
        <v>532</v>
      </c>
      <c r="H581" s="25">
        <f t="shared" si="21"/>
        <v>3.4560990607044317E-3</v>
      </c>
      <c r="J581" s="63">
        <v>22.52</v>
      </c>
      <c r="K581" s="63">
        <v>22.75</v>
      </c>
      <c r="L581" s="63">
        <v>21.86</v>
      </c>
      <c r="M581" s="63">
        <v>21.92</v>
      </c>
      <c r="N581" s="63">
        <v>1472124</v>
      </c>
      <c r="O581" s="63" t="s">
        <v>532</v>
      </c>
      <c r="P581" s="25">
        <f t="shared" si="20"/>
        <v>2.7372262773722511E-2</v>
      </c>
    </row>
    <row r="582" spans="2:16">
      <c r="B582" s="63">
        <v>460.94085676444649</v>
      </c>
      <c r="C582" s="63">
        <v>462.94742786213646</v>
      </c>
      <c r="D582" s="63">
        <v>459.66206113498242</v>
      </c>
      <c r="E582" s="63">
        <v>461.56053313285071</v>
      </c>
      <c r="F582" s="63">
        <v>5413763.8145520939</v>
      </c>
      <c r="G582" s="63" t="s">
        <v>533</v>
      </c>
      <c r="H582" s="25">
        <f t="shared" si="21"/>
        <v>-1.3425679275438362E-3</v>
      </c>
      <c r="J582" s="63">
        <v>21.8</v>
      </c>
      <c r="K582" s="63">
        <v>21.85</v>
      </c>
      <c r="L582" s="63">
        <v>20.580100000000002</v>
      </c>
      <c r="M582" s="63">
        <v>21.11</v>
      </c>
      <c r="N582" s="63">
        <v>1664129</v>
      </c>
      <c r="O582" s="63" t="s">
        <v>533</v>
      </c>
      <c r="P582" s="25">
        <f t="shared" si="20"/>
        <v>3.2685930838465271E-2</v>
      </c>
    </row>
    <row r="583" spans="2:16">
      <c r="B583" s="63">
        <v>458.51133195498852</v>
      </c>
      <c r="C583" s="63">
        <v>461.68840285966428</v>
      </c>
      <c r="D583" s="63">
        <v>456.4555801931395</v>
      </c>
      <c r="E583" s="63">
        <v>461.26544914789633</v>
      </c>
      <c r="F583" s="63">
        <v>4693412.6235755878</v>
      </c>
      <c r="G583" s="63" t="s">
        <v>534</v>
      </c>
      <c r="H583" s="25">
        <f t="shared" si="21"/>
        <v>-5.9707857980595413E-3</v>
      </c>
      <c r="J583" s="63">
        <v>20.78</v>
      </c>
      <c r="K583" s="63">
        <v>21.504999999999999</v>
      </c>
      <c r="L583" s="63">
        <v>20.49</v>
      </c>
      <c r="M583" s="63">
        <v>21.3</v>
      </c>
      <c r="N583" s="63">
        <v>1955061</v>
      </c>
      <c r="O583" s="63" t="s">
        <v>534</v>
      </c>
      <c r="P583" s="25">
        <f t="shared" si="20"/>
        <v>-2.4413145539906034E-2</v>
      </c>
    </row>
    <row r="584" spans="2:16">
      <c r="B584" s="63">
        <v>463.1539866516045</v>
      </c>
      <c r="C584" s="63">
        <v>464.85563763150827</v>
      </c>
      <c r="D584" s="63">
        <v>462.88841106514559</v>
      </c>
      <c r="E584" s="63">
        <v>462.89824719797735</v>
      </c>
      <c r="F584" s="63">
        <v>4036385.0995981134</v>
      </c>
      <c r="G584" s="63" t="s">
        <v>535</v>
      </c>
      <c r="H584" s="25">
        <f t="shared" si="21"/>
        <v>5.5247444805672785E-4</v>
      </c>
      <c r="J584" s="63">
        <v>21.54</v>
      </c>
      <c r="K584" s="63">
        <v>22.94</v>
      </c>
      <c r="L584" s="63">
        <v>21.31</v>
      </c>
      <c r="M584" s="63">
        <v>22.94</v>
      </c>
      <c r="N584" s="63">
        <v>2353548</v>
      </c>
      <c r="O584" s="63" t="s">
        <v>535</v>
      </c>
      <c r="P584" s="25">
        <f t="shared" si="20"/>
        <v>-6.1028770706190172E-2</v>
      </c>
    </row>
    <row r="585" spans="2:16">
      <c r="B585" s="63">
        <v>463.70481009018607</v>
      </c>
      <c r="C585" s="63">
        <v>464.03923860646773</v>
      </c>
      <c r="D585" s="63">
        <v>459.77035695746065</v>
      </c>
      <c r="E585" s="63">
        <v>460.16380227073319</v>
      </c>
      <c r="F585" s="63">
        <v>4920044.3738901056</v>
      </c>
      <c r="G585" s="63" t="s">
        <v>536</v>
      </c>
      <c r="H585" s="25">
        <f t="shared" si="21"/>
        <v>7.6951029220015954E-3</v>
      </c>
      <c r="J585" s="63">
        <v>22.47</v>
      </c>
      <c r="K585" s="63">
        <v>22.995000000000001</v>
      </c>
      <c r="L585" s="63">
        <v>21.43</v>
      </c>
      <c r="M585" s="63">
        <v>21.6</v>
      </c>
      <c r="N585" s="63">
        <v>2292393</v>
      </c>
      <c r="O585" s="63" t="s">
        <v>536</v>
      </c>
      <c r="P585" s="25">
        <f t="shared" si="20"/>
        <v>4.0277777777777635E-2</v>
      </c>
    </row>
    <row r="586" spans="2:16">
      <c r="B586" s="63">
        <v>459.27855031587001</v>
      </c>
      <c r="C586" s="63">
        <v>460.81298703763292</v>
      </c>
      <c r="D586" s="63">
        <v>456.85886163924386</v>
      </c>
      <c r="E586" s="63">
        <v>459.31789484719724</v>
      </c>
      <c r="F586" s="63">
        <v>7455085.3728639456</v>
      </c>
      <c r="G586" s="63" t="s">
        <v>537</v>
      </c>
      <c r="H586" s="25">
        <f t="shared" si="21"/>
        <v>-8.5658607619332194E-5</v>
      </c>
      <c r="J586" s="63">
        <v>21.54</v>
      </c>
      <c r="K586" s="63">
        <v>22.69</v>
      </c>
      <c r="L586" s="63">
        <v>21.06</v>
      </c>
      <c r="M586" s="63">
        <v>22.52</v>
      </c>
      <c r="N586" s="63">
        <v>3467849</v>
      </c>
      <c r="O586" s="63" t="s">
        <v>537</v>
      </c>
      <c r="P586" s="25">
        <f t="shared" si="20"/>
        <v>-4.3516873889875685E-2</v>
      </c>
    </row>
    <row r="587" spans="2:16">
      <c r="B587" s="63">
        <v>457.58673546879805</v>
      </c>
      <c r="C587" s="63">
        <v>458.1965757043705</v>
      </c>
      <c r="D587" s="63">
        <v>456.50476085729855</v>
      </c>
      <c r="E587" s="63">
        <v>456.8785339049075</v>
      </c>
      <c r="F587" s="63">
        <v>2847259.2307231338</v>
      </c>
      <c r="G587" s="63" t="s">
        <v>538</v>
      </c>
      <c r="H587" s="25">
        <f t="shared" si="21"/>
        <v>1.55008719240457E-3</v>
      </c>
      <c r="J587" s="63">
        <v>22.17</v>
      </c>
      <c r="K587" s="63">
        <v>23.9</v>
      </c>
      <c r="L587" s="63">
        <v>22.05</v>
      </c>
      <c r="M587" s="63">
        <v>23.9</v>
      </c>
      <c r="N587" s="63">
        <v>5372235</v>
      </c>
      <c r="O587" s="63" t="s">
        <v>538</v>
      </c>
      <c r="P587" s="25">
        <f t="shared" si="20"/>
        <v>-7.2384937238493596E-2</v>
      </c>
    </row>
    <row r="588" spans="2:16">
      <c r="B588" s="63">
        <v>458.29493703268861</v>
      </c>
      <c r="C588" s="63">
        <v>458.48182355649311</v>
      </c>
      <c r="D588" s="63">
        <v>456.30803820066234</v>
      </c>
      <c r="E588" s="63">
        <v>458.0785421103887</v>
      </c>
      <c r="F588" s="63">
        <v>3646700.4475565357</v>
      </c>
      <c r="G588" s="63" t="s">
        <v>539</v>
      </c>
      <c r="H588" s="25">
        <f t="shared" si="21"/>
        <v>4.7239698524825791E-4</v>
      </c>
      <c r="J588" s="63">
        <v>22.02</v>
      </c>
      <c r="K588" s="63">
        <v>22.69</v>
      </c>
      <c r="L588" s="63">
        <v>21.94</v>
      </c>
      <c r="M588" s="63">
        <v>22.33</v>
      </c>
      <c r="N588" s="63">
        <v>3690186</v>
      </c>
      <c r="O588" s="63" t="s">
        <v>539</v>
      </c>
      <c r="P588" s="25">
        <f t="shared" si="20"/>
        <v>-1.3882669055082841E-2</v>
      </c>
    </row>
    <row r="589" spans="2:16">
      <c r="B589" s="63">
        <v>457.44902960915266</v>
      </c>
      <c r="C589" s="63">
        <v>459.92773508276963</v>
      </c>
      <c r="D589" s="63">
        <v>457.32115988233909</v>
      </c>
      <c r="E589" s="63">
        <v>459.53428976949715</v>
      </c>
      <c r="F589" s="63">
        <v>3508293.4106368246</v>
      </c>
      <c r="G589" s="63" t="s">
        <v>540</v>
      </c>
      <c r="H589" s="25">
        <f t="shared" si="21"/>
        <v>-4.5377683597680463E-3</v>
      </c>
      <c r="J589" s="63">
        <v>22.31</v>
      </c>
      <c r="K589" s="63">
        <v>22.85</v>
      </c>
      <c r="L589" s="63">
        <v>21.93</v>
      </c>
      <c r="M589" s="63">
        <v>22.68</v>
      </c>
      <c r="N589" s="63">
        <v>2644452</v>
      </c>
      <c r="O589" s="63" t="s">
        <v>540</v>
      </c>
      <c r="P589" s="25">
        <f t="shared" si="20"/>
        <v>-1.6313932980599688E-2</v>
      </c>
    </row>
    <row r="590" spans="2:16">
      <c r="B590" s="63">
        <v>459.13100832339273</v>
      </c>
      <c r="C590" s="63">
        <v>461.18676008524181</v>
      </c>
      <c r="D590" s="63">
        <v>458.4530036872959</v>
      </c>
      <c r="E590" s="63">
        <v>460.41954172436033</v>
      </c>
      <c r="F590" s="63">
        <v>4118103.1908178921</v>
      </c>
      <c r="G590" s="63" t="s">
        <v>541</v>
      </c>
      <c r="H590" s="25">
        <f t="shared" si="21"/>
        <v>-2.7986071054711958E-3</v>
      </c>
      <c r="J590" s="63">
        <v>22.6</v>
      </c>
      <c r="K590" s="63">
        <v>23.39</v>
      </c>
      <c r="L590" s="63">
        <v>22.145</v>
      </c>
      <c r="M590" s="63">
        <v>23.39</v>
      </c>
      <c r="N590" s="63">
        <v>1936899</v>
      </c>
      <c r="O590" s="63" t="s">
        <v>541</v>
      </c>
      <c r="P590" s="25">
        <f t="shared" si="20"/>
        <v>-3.3775117571611779E-2</v>
      </c>
    </row>
    <row r="591" spans="2:16">
      <c r="B591" s="63">
        <v>458.9244495339247</v>
      </c>
      <c r="C591" s="63">
        <v>459.67199562914249</v>
      </c>
      <c r="D591" s="63">
        <v>454.73917501398802</v>
      </c>
      <c r="E591" s="63">
        <v>455.62934503526719</v>
      </c>
      <c r="F591" s="63">
        <v>4400648.1754699135</v>
      </c>
      <c r="G591" s="63" t="s">
        <v>542</v>
      </c>
      <c r="H591" s="25">
        <f t="shared" si="21"/>
        <v>7.2319848020379052E-3</v>
      </c>
      <c r="J591" s="63">
        <v>23.27</v>
      </c>
      <c r="K591" s="63">
        <v>23.6</v>
      </c>
      <c r="L591" s="63">
        <v>22.7</v>
      </c>
      <c r="M591" s="63">
        <v>22.86</v>
      </c>
      <c r="N591" s="63">
        <v>2775584</v>
      </c>
      <c r="O591" s="63" t="s">
        <v>542</v>
      </c>
      <c r="P591" s="25">
        <f t="shared" si="20"/>
        <v>1.7935258092738326E-2</v>
      </c>
    </row>
    <row r="592" spans="2:16">
      <c r="B592" s="63">
        <v>449.48176201538371</v>
      </c>
      <c r="C592" s="63">
        <v>449.62930400786092</v>
      </c>
      <c r="D592" s="63">
        <v>446.16698525106256</v>
      </c>
      <c r="E592" s="63">
        <v>447.85880009813445</v>
      </c>
      <c r="F592" s="63">
        <v>4293433.275261458</v>
      </c>
      <c r="G592" s="63" t="s">
        <v>543</v>
      </c>
      <c r="H592" s="25">
        <f t="shared" si="21"/>
        <v>3.6238250021962681E-3</v>
      </c>
      <c r="J592" s="63">
        <v>21.97</v>
      </c>
      <c r="K592" s="63">
        <v>22.024999999999999</v>
      </c>
      <c r="L592" s="63">
        <v>20.72</v>
      </c>
      <c r="M592" s="63">
        <v>21.1</v>
      </c>
      <c r="N592" s="63">
        <v>2388868</v>
      </c>
      <c r="O592" s="63" t="s">
        <v>543</v>
      </c>
      <c r="P592" s="25">
        <f t="shared" si="20"/>
        <v>4.1232227488151585E-2</v>
      </c>
    </row>
    <row r="593" spans="2:16">
      <c r="B593" s="63">
        <v>449.02929990512024</v>
      </c>
      <c r="C593" s="63">
        <v>450.55390049405139</v>
      </c>
      <c r="D593" s="63">
        <v>446.98338427610304</v>
      </c>
      <c r="E593" s="63">
        <v>449.94406025847894</v>
      </c>
      <c r="F593" s="63">
        <v>5395193.508200678</v>
      </c>
      <c r="G593" s="63" t="s">
        <v>544</v>
      </c>
      <c r="H593" s="25">
        <f t="shared" si="21"/>
        <v>-2.0330535152152107E-3</v>
      </c>
      <c r="J593" s="63">
        <v>21.41</v>
      </c>
      <c r="K593" s="63">
        <v>22</v>
      </c>
      <c r="L593" s="63">
        <v>20.725000000000001</v>
      </c>
      <c r="M593" s="63">
        <v>21.92</v>
      </c>
      <c r="N593" s="63">
        <v>2016011</v>
      </c>
      <c r="O593" s="63" t="s">
        <v>544</v>
      </c>
      <c r="P593" s="25">
        <f t="shared" si="20"/>
        <v>-2.3266423357664268E-2</v>
      </c>
    </row>
    <row r="594" spans="2:16">
      <c r="B594" s="63">
        <v>451.50800537873727</v>
      </c>
      <c r="C594" s="63">
        <v>454.5768788222631</v>
      </c>
      <c r="D594" s="63">
        <v>450.888329010333</v>
      </c>
      <c r="E594" s="63">
        <v>453.52441260925906</v>
      </c>
      <c r="F594" s="63">
        <v>5619986.1210910352</v>
      </c>
      <c r="G594" s="63" t="s">
        <v>545</v>
      </c>
      <c r="H594" s="25">
        <f t="shared" si="21"/>
        <v>-4.4460831092218989E-3</v>
      </c>
      <c r="J594" s="63">
        <v>22.3</v>
      </c>
      <c r="K594" s="63">
        <v>22.76</v>
      </c>
      <c r="L594" s="63">
        <v>22.14</v>
      </c>
      <c r="M594" s="63">
        <v>22.62</v>
      </c>
      <c r="N594" s="63">
        <v>2251725</v>
      </c>
      <c r="O594" s="63" t="s">
        <v>545</v>
      </c>
      <c r="P594" s="25">
        <f t="shared" si="20"/>
        <v>-1.4146772767462457E-2</v>
      </c>
    </row>
    <row r="595" spans="2:16">
      <c r="B595" s="63">
        <v>453.82933272704526</v>
      </c>
      <c r="C595" s="63">
        <v>453.97687471952253</v>
      </c>
      <c r="D595" s="63">
        <v>450.91783740882846</v>
      </c>
      <c r="E595" s="63">
        <v>451.38013565192369</v>
      </c>
      <c r="F595" s="63">
        <v>5790599.9211174203</v>
      </c>
      <c r="G595" s="63" t="s">
        <v>546</v>
      </c>
      <c r="H595" s="25">
        <f t="shared" si="21"/>
        <v>5.4260187404662208E-3</v>
      </c>
      <c r="J595" s="63">
        <v>22.51</v>
      </c>
      <c r="K595" s="63">
        <v>22.64</v>
      </c>
      <c r="L595" s="63">
        <v>22.08</v>
      </c>
      <c r="M595" s="63">
        <v>22.64</v>
      </c>
      <c r="N595" s="63">
        <v>1042146</v>
      </c>
      <c r="O595" s="63" t="s">
        <v>546</v>
      </c>
      <c r="P595" s="25">
        <f t="shared" si="20"/>
        <v>-5.7420494699645941E-3</v>
      </c>
    </row>
    <row r="596" spans="2:16">
      <c r="B596" s="63">
        <v>450.78013154918312</v>
      </c>
      <c r="C596" s="63">
        <v>451.15390459679202</v>
      </c>
      <c r="D596" s="63">
        <v>446.95387587760757</v>
      </c>
      <c r="E596" s="63">
        <v>449.09323476852705</v>
      </c>
      <c r="F596" s="63">
        <v>5717703.3862433787</v>
      </c>
      <c r="G596" s="63" t="s">
        <v>547</v>
      </c>
      <c r="H596" s="25">
        <f t="shared" si="21"/>
        <v>3.7562284400154411E-3</v>
      </c>
      <c r="J596" s="63">
        <v>22.47</v>
      </c>
      <c r="K596" s="63">
        <v>23.178599999999999</v>
      </c>
      <c r="L596" s="63">
        <v>22.06</v>
      </c>
      <c r="M596" s="63">
        <v>22.5</v>
      </c>
      <c r="N596" s="63">
        <v>2117801</v>
      </c>
      <c r="O596" s="63" t="s">
        <v>547</v>
      </c>
      <c r="P596" s="25">
        <f t="shared" si="20"/>
        <v>-1.3333333333334085E-3</v>
      </c>
    </row>
    <row r="597" spans="2:16">
      <c r="B597" s="63">
        <v>446.53092216583963</v>
      </c>
      <c r="C597" s="63">
        <v>448.23257314574334</v>
      </c>
      <c r="D597" s="63">
        <v>443.60467264837507</v>
      </c>
      <c r="E597" s="63">
        <v>447.03256494026215</v>
      </c>
      <c r="F597" s="63">
        <v>8288056.0270930398</v>
      </c>
      <c r="G597" s="63" t="s">
        <v>548</v>
      </c>
      <c r="H597" s="25">
        <f t="shared" si="21"/>
        <v>-1.1221615912692107E-3</v>
      </c>
      <c r="J597" s="63">
        <v>22.1</v>
      </c>
      <c r="K597" s="63">
        <v>22.5</v>
      </c>
      <c r="L597" s="63">
        <v>21.53</v>
      </c>
      <c r="M597" s="63">
        <v>21.97</v>
      </c>
      <c r="N597" s="63">
        <v>2949388</v>
      </c>
      <c r="O597" s="63" t="s">
        <v>548</v>
      </c>
      <c r="P597" s="25">
        <f t="shared" si="20"/>
        <v>5.9171597633136397E-3</v>
      </c>
    </row>
    <row r="598" spans="2:16">
      <c r="B598" s="63">
        <v>452.91457237368661</v>
      </c>
      <c r="C598" s="63">
        <v>455.15721065934014</v>
      </c>
      <c r="D598" s="63">
        <v>452.21620694262788</v>
      </c>
      <c r="E598" s="63">
        <v>453.06211436616383</v>
      </c>
      <c r="F598" s="63">
        <v>4640271.8202804755</v>
      </c>
      <c r="G598" s="63" t="s">
        <v>549</v>
      </c>
      <c r="H598" s="25">
        <f t="shared" si="21"/>
        <v>-3.2565510952864418E-4</v>
      </c>
      <c r="J598" s="63">
        <v>22.47</v>
      </c>
      <c r="K598" s="63">
        <v>22.99</v>
      </c>
      <c r="L598" s="63">
        <v>22.25</v>
      </c>
      <c r="M598" s="63">
        <v>22.9</v>
      </c>
      <c r="N598" s="63">
        <v>2676737</v>
      </c>
      <c r="O598" s="63" t="s">
        <v>549</v>
      </c>
      <c r="P598" s="25">
        <f t="shared" si="20"/>
        <v>-1.8777292576419247E-2</v>
      </c>
    </row>
    <row r="599" spans="2:16">
      <c r="B599" s="63">
        <v>453.1211311631547</v>
      </c>
      <c r="C599" s="63">
        <v>453.47523194509995</v>
      </c>
      <c r="D599" s="63">
        <v>450.66209795520132</v>
      </c>
      <c r="E599" s="63">
        <v>451.02603486997845</v>
      </c>
      <c r="F599" s="63">
        <v>4069276.0746928803</v>
      </c>
      <c r="G599" s="63" t="s">
        <v>550</v>
      </c>
      <c r="H599" s="25">
        <f t="shared" si="21"/>
        <v>4.6451781742049558E-3</v>
      </c>
      <c r="J599" s="63">
        <v>22.55</v>
      </c>
      <c r="K599" s="63">
        <v>22.7</v>
      </c>
      <c r="L599" s="63">
        <v>21.06</v>
      </c>
      <c r="M599" s="63">
        <v>21.37</v>
      </c>
      <c r="N599" s="63">
        <v>3940413</v>
      </c>
      <c r="O599" s="63" t="s">
        <v>550</v>
      </c>
      <c r="P599" s="25">
        <f t="shared" si="20"/>
        <v>5.5217594759007893E-2</v>
      </c>
    </row>
    <row r="600" spans="2:16">
      <c r="B600" s="63">
        <v>450.56373662688316</v>
      </c>
      <c r="C600" s="63">
        <v>450.8194760805103</v>
      </c>
      <c r="D600" s="63">
        <v>449.54077881237453</v>
      </c>
      <c r="E600" s="63">
        <v>450.30799717325601</v>
      </c>
      <c r="F600" s="63">
        <v>4254306.1094758129</v>
      </c>
      <c r="G600" s="63" t="s">
        <v>551</v>
      </c>
      <c r="H600" s="25">
        <f t="shared" si="21"/>
        <v>5.6792119001336516E-4</v>
      </c>
      <c r="J600" s="63">
        <v>21.24</v>
      </c>
      <c r="K600" s="63">
        <v>21.75</v>
      </c>
      <c r="L600" s="63">
        <v>20.95</v>
      </c>
      <c r="M600" s="63">
        <v>21.15</v>
      </c>
      <c r="N600" s="63">
        <v>1891834</v>
      </c>
      <c r="O600" s="63" t="s">
        <v>551</v>
      </c>
      <c r="P600" s="25">
        <f t="shared" si="20"/>
        <v>4.2553191489360653E-3</v>
      </c>
    </row>
    <row r="601" spans="2:16">
      <c r="B601" s="63">
        <v>450.25881650909696</v>
      </c>
      <c r="C601" s="63">
        <v>450.67193408803314</v>
      </c>
      <c r="D601" s="63">
        <v>447.80961943397534</v>
      </c>
      <c r="E601" s="63">
        <v>448.67519912317493</v>
      </c>
      <c r="F601" s="63">
        <v>6876091.5652996404</v>
      </c>
      <c r="G601" s="63" t="s">
        <v>552</v>
      </c>
      <c r="H601" s="25">
        <f t="shared" si="21"/>
        <v>3.5295407212541097E-3</v>
      </c>
      <c r="J601" s="63">
        <v>20.98</v>
      </c>
      <c r="K601" s="63">
        <v>21.15</v>
      </c>
      <c r="L601" s="63">
        <v>20.23</v>
      </c>
      <c r="M601" s="63">
        <v>20.84</v>
      </c>
      <c r="N601" s="63">
        <v>1571590</v>
      </c>
      <c r="O601" s="63" t="s">
        <v>552</v>
      </c>
      <c r="P601" s="25">
        <f t="shared" si="20"/>
        <v>6.7178502879079449E-3</v>
      </c>
    </row>
    <row r="602" spans="2:16">
      <c r="B602" s="63">
        <v>446.5899389628305</v>
      </c>
      <c r="C602" s="63">
        <v>446.8456784164577</v>
      </c>
      <c r="D602" s="63">
        <v>444.79976278744044</v>
      </c>
      <c r="E602" s="63">
        <v>446.14731298539886</v>
      </c>
      <c r="F602" s="63">
        <v>4456630.5426680259</v>
      </c>
      <c r="G602" s="63" t="s">
        <v>553</v>
      </c>
      <c r="H602" s="25">
        <f t="shared" si="21"/>
        <v>9.9210723576881321E-4</v>
      </c>
      <c r="J602" s="63">
        <v>20.6</v>
      </c>
      <c r="K602" s="63">
        <v>21.48</v>
      </c>
      <c r="L602" s="63">
        <v>20.38</v>
      </c>
      <c r="M602" s="63">
        <v>21.39</v>
      </c>
      <c r="N602" s="63">
        <v>2426945</v>
      </c>
      <c r="O602" s="63" t="s">
        <v>553</v>
      </c>
      <c r="P602" s="25">
        <f t="shared" si="20"/>
        <v>-3.6933146330060729E-2</v>
      </c>
    </row>
    <row r="603" spans="2:16">
      <c r="B603" s="63">
        <v>445.2030442335448</v>
      </c>
      <c r="C603" s="63">
        <v>446.70797255681225</v>
      </c>
      <c r="D603" s="63">
        <v>443.1571286045276</v>
      </c>
      <c r="E603" s="63">
        <v>446.29485497787613</v>
      </c>
      <c r="F603" s="63">
        <v>7220171.9125122745</v>
      </c>
      <c r="G603" s="63" t="s">
        <v>554</v>
      </c>
      <c r="H603" s="25">
        <f t="shared" si="21"/>
        <v>-2.4463888215459084E-3</v>
      </c>
      <c r="J603" s="63">
        <v>21.31</v>
      </c>
      <c r="K603" s="63">
        <v>22.11</v>
      </c>
      <c r="L603" s="63">
        <v>20.9</v>
      </c>
      <c r="M603" s="63">
        <v>22.1</v>
      </c>
      <c r="N603" s="63">
        <v>2016250</v>
      </c>
      <c r="O603" s="63" t="s">
        <v>554</v>
      </c>
      <c r="P603" s="25">
        <f t="shared" si="20"/>
        <v>-3.5746606334841724E-2</v>
      </c>
    </row>
    <row r="604" spans="2:16">
      <c r="B604" s="63">
        <v>446.83584228362582</v>
      </c>
      <c r="C604" s="63">
        <v>448.40962353671603</v>
      </c>
      <c r="D604" s="63">
        <v>442.32105731382342</v>
      </c>
      <c r="E604" s="63">
        <v>442.63581356444143</v>
      </c>
      <c r="F604" s="63">
        <v>6357663.2269279826</v>
      </c>
      <c r="G604" s="63" t="s">
        <v>555</v>
      </c>
      <c r="H604" s="25">
        <f t="shared" si="21"/>
        <v>9.488678029377029E-3</v>
      </c>
      <c r="J604" s="63">
        <v>21.85</v>
      </c>
      <c r="K604" s="63">
        <v>22</v>
      </c>
      <c r="L604" s="63">
        <v>20.28</v>
      </c>
      <c r="M604" s="63">
        <v>20.399999999999999</v>
      </c>
      <c r="N604" s="63">
        <v>3073677</v>
      </c>
      <c r="O604" s="63" t="s">
        <v>555</v>
      </c>
      <c r="P604" s="25">
        <f t="shared" si="20"/>
        <v>7.1078431372549211E-2</v>
      </c>
    </row>
    <row r="605" spans="2:16">
      <c r="B605" s="63">
        <v>442.29154891532801</v>
      </c>
      <c r="C605" s="63">
        <v>442.29154891532801</v>
      </c>
      <c r="D605" s="63">
        <v>437.36384308924602</v>
      </c>
      <c r="E605" s="63">
        <v>438.05217566481639</v>
      </c>
      <c r="F605" s="63">
        <v>6240623.3272352358</v>
      </c>
      <c r="G605" s="63" t="s">
        <v>556</v>
      </c>
      <c r="H605" s="25">
        <f t="shared" si="21"/>
        <v>9.6777815201527506E-3</v>
      </c>
      <c r="J605" s="63">
        <v>20.56</v>
      </c>
      <c r="K605" s="63">
        <v>20.69</v>
      </c>
      <c r="L605" s="63">
        <v>20.100000000000001</v>
      </c>
      <c r="M605" s="63">
        <v>20.61</v>
      </c>
      <c r="N605" s="63">
        <v>1452153</v>
      </c>
      <c r="O605" s="63" t="s">
        <v>556</v>
      </c>
      <c r="P605" s="25">
        <f t="shared" si="20"/>
        <v>-2.4260067928190132E-3</v>
      </c>
    </row>
    <row r="606" spans="2:16">
      <c r="B606" s="63">
        <v>436.54724734154888</v>
      </c>
      <c r="C606" s="63">
        <v>442.09974432510762</v>
      </c>
      <c r="D606" s="63">
        <v>436.47839441172619</v>
      </c>
      <c r="E606" s="63">
        <v>441.68170867975556</v>
      </c>
      <c r="F606" s="63">
        <v>7226460.9695083257</v>
      </c>
      <c r="G606" s="63" t="s">
        <v>557</v>
      </c>
      <c r="H606" s="25">
        <f t="shared" si="21"/>
        <v>-1.1624799572421129E-2</v>
      </c>
      <c r="J606" s="63">
        <v>20.51</v>
      </c>
      <c r="K606" s="63">
        <v>20.96</v>
      </c>
      <c r="L606" s="63">
        <v>20.21</v>
      </c>
      <c r="M606" s="63">
        <v>20.75</v>
      </c>
      <c r="N606" s="63">
        <v>1653576</v>
      </c>
      <c r="O606" s="63" t="s">
        <v>557</v>
      </c>
      <c r="P606" s="25">
        <f t="shared" si="20"/>
        <v>-1.1566265060240943E-2</v>
      </c>
    </row>
    <row r="607" spans="2:16">
      <c r="B607" s="63">
        <v>443.77680497293187</v>
      </c>
      <c r="C607" s="63">
        <v>444.40631747416791</v>
      </c>
      <c r="D607" s="63">
        <v>443.05876727620944</v>
      </c>
      <c r="E607" s="63">
        <v>443.45221258948197</v>
      </c>
      <c r="F607" s="63">
        <v>3466761.8446255634</v>
      </c>
      <c r="G607" s="63" t="s">
        <v>558</v>
      </c>
      <c r="H607" s="25">
        <f t="shared" si="21"/>
        <v>7.3196699494282313E-4</v>
      </c>
      <c r="J607" s="63">
        <v>20.98</v>
      </c>
      <c r="K607" s="63">
        <v>21.189</v>
      </c>
      <c r="L607" s="63">
        <v>20.74</v>
      </c>
      <c r="M607" s="63">
        <v>21.04</v>
      </c>
      <c r="N607" s="63">
        <v>1873612</v>
      </c>
      <c r="O607" s="63" t="s">
        <v>558</v>
      </c>
      <c r="P607" s="25">
        <f t="shared" si="20"/>
        <v>-2.8517110266158552E-3</v>
      </c>
    </row>
    <row r="608" spans="2:16">
      <c r="B608" s="63">
        <v>444.09156122354989</v>
      </c>
      <c r="C608" s="63">
        <v>444.20939809487498</v>
      </c>
      <c r="D608" s="63">
        <v>440.37468334906418</v>
      </c>
      <c r="E608" s="63">
        <v>440.88498192037866</v>
      </c>
      <c r="F608" s="63">
        <v>4618941.2828032468</v>
      </c>
      <c r="G608" s="63" t="s">
        <v>559</v>
      </c>
      <c r="H608" s="25">
        <f t="shared" si="21"/>
        <v>7.2730517814514339E-3</v>
      </c>
      <c r="J608" s="63">
        <v>21.15</v>
      </c>
      <c r="K608" s="63">
        <v>21.22</v>
      </c>
      <c r="L608" s="63">
        <v>20.8</v>
      </c>
      <c r="M608" s="63">
        <v>20.88</v>
      </c>
      <c r="N608" s="63">
        <v>1669451</v>
      </c>
      <c r="O608" s="63" t="s">
        <v>559</v>
      </c>
      <c r="P608" s="25">
        <f t="shared" si="20"/>
        <v>1.2931034482758674E-2</v>
      </c>
    </row>
    <row r="609" spans="2:16">
      <c r="B609" s="63">
        <v>440.88498192037866</v>
      </c>
      <c r="C609" s="63">
        <v>442.14400692285079</v>
      </c>
      <c r="D609" s="63">
        <v>439.83251570737463</v>
      </c>
      <c r="E609" s="63">
        <v>440.75711219356509</v>
      </c>
      <c r="F609" s="63">
        <v>6510712.1970609371</v>
      </c>
      <c r="G609" s="63" t="s">
        <v>560</v>
      </c>
      <c r="H609" s="25">
        <f t="shared" si="21"/>
        <v>2.9011381388088786E-4</v>
      </c>
      <c r="J609" s="63">
        <v>20.84</v>
      </c>
      <c r="K609" s="63">
        <v>21.45</v>
      </c>
      <c r="L609" s="63">
        <v>20.684999999999999</v>
      </c>
      <c r="M609" s="63">
        <v>21.3</v>
      </c>
      <c r="N609" s="63">
        <v>3311805</v>
      </c>
      <c r="O609" s="63" t="s">
        <v>560</v>
      </c>
      <c r="P609" s="25">
        <f t="shared" si="20"/>
        <v>-2.1596244131455444E-2</v>
      </c>
    </row>
    <row r="610" spans="2:16">
      <c r="B610" s="63">
        <v>441.15055750683763</v>
      </c>
      <c r="C610" s="63">
        <v>441.40629696046477</v>
      </c>
      <c r="D610" s="63">
        <v>438.79972176003417</v>
      </c>
      <c r="E610" s="63">
        <v>440.79645672489232</v>
      </c>
      <c r="F610" s="63">
        <v>4236476.9480565209</v>
      </c>
      <c r="G610" s="63" t="s">
        <v>561</v>
      </c>
      <c r="H610" s="25">
        <f t="shared" si="21"/>
        <v>8.033203909492137E-4</v>
      </c>
      <c r="J610" s="63">
        <v>21.54</v>
      </c>
      <c r="K610" s="63">
        <v>22.17</v>
      </c>
      <c r="L610" s="63">
        <v>21.32</v>
      </c>
      <c r="M610" s="63">
        <v>22.1</v>
      </c>
      <c r="N610" s="63">
        <v>1367775</v>
      </c>
      <c r="O610" s="63" t="s">
        <v>561</v>
      </c>
      <c r="P610" s="25">
        <f t="shared" si="20"/>
        <v>-2.5339366515837236E-2</v>
      </c>
    </row>
    <row r="611" spans="2:16">
      <c r="B611" s="63">
        <v>438.68168816605242</v>
      </c>
      <c r="C611" s="63">
        <v>441.82885722691947</v>
      </c>
      <c r="D611" s="63">
        <v>438.44562097808887</v>
      </c>
      <c r="E611" s="63">
        <v>440.97350711586495</v>
      </c>
      <c r="F611" s="63">
        <v>4644308.9760081377</v>
      </c>
      <c r="G611" s="63" t="s">
        <v>562</v>
      </c>
      <c r="H611" s="25">
        <f t="shared" si="21"/>
        <v>-5.1971805852961683E-3</v>
      </c>
      <c r="J611" s="63">
        <v>21.75</v>
      </c>
      <c r="K611" s="63">
        <v>22.14</v>
      </c>
      <c r="L611" s="63">
        <v>21.51</v>
      </c>
      <c r="M611" s="63">
        <v>21.98</v>
      </c>
      <c r="N611" s="63">
        <v>1947972</v>
      </c>
      <c r="O611" s="63" t="s">
        <v>562</v>
      </c>
      <c r="P611" s="25">
        <f t="shared" si="20"/>
        <v>-1.0464058234758933E-2</v>
      </c>
    </row>
    <row r="612" spans="2:16">
      <c r="B612" s="63">
        <v>438.3177512512753</v>
      </c>
      <c r="C612" s="63">
        <v>438.51447390791157</v>
      </c>
      <c r="D612" s="63">
        <v>436.50790281022159</v>
      </c>
      <c r="E612" s="63">
        <v>437.54069675756205</v>
      </c>
      <c r="F612" s="63">
        <v>3305756.4955642079</v>
      </c>
      <c r="G612" s="63" t="s">
        <v>563</v>
      </c>
      <c r="H612" s="25">
        <f t="shared" si="21"/>
        <v>1.7759593552593156E-3</v>
      </c>
      <c r="J612" s="63">
        <v>21.7</v>
      </c>
      <c r="K612" s="63">
        <v>22.49</v>
      </c>
      <c r="L612" s="63">
        <v>21.68</v>
      </c>
      <c r="M612" s="63">
        <v>22.09</v>
      </c>
      <c r="N612" s="63">
        <v>2172398</v>
      </c>
      <c r="O612" s="63" t="s">
        <v>563</v>
      </c>
      <c r="P612" s="25">
        <f t="shared" si="20"/>
        <v>-1.7655047532820323E-2</v>
      </c>
    </row>
    <row r="613" spans="2:16">
      <c r="B613" s="63">
        <v>437.01938171747594</v>
      </c>
      <c r="C613" s="63">
        <v>438.61283523622973</v>
      </c>
      <c r="D613" s="63">
        <v>436.40954148190349</v>
      </c>
      <c r="E613" s="63">
        <v>437.48167996057117</v>
      </c>
      <c r="F613" s="63">
        <v>5968211.3899611058</v>
      </c>
      <c r="G613" s="63" t="s">
        <v>564</v>
      </c>
      <c r="H613" s="25">
        <f t="shared" si="21"/>
        <v>-1.0567259482429092E-3</v>
      </c>
      <c r="J613" s="63">
        <v>21.99</v>
      </c>
      <c r="K613" s="63">
        <v>22.07</v>
      </c>
      <c r="L613" s="63">
        <v>20.85</v>
      </c>
      <c r="M613" s="63">
        <v>21.033000000000001</v>
      </c>
      <c r="N613" s="63">
        <v>4141130</v>
      </c>
      <c r="O613" s="63" t="s">
        <v>564</v>
      </c>
      <c r="P613" s="25">
        <f t="shared" si="20"/>
        <v>4.5499928683497171E-2</v>
      </c>
    </row>
    <row r="614" spans="2:16">
      <c r="B614" s="63">
        <v>436.02593230146277</v>
      </c>
      <c r="C614" s="63">
        <v>436.34068855208079</v>
      </c>
      <c r="D614" s="63">
        <v>431.1275381512196</v>
      </c>
      <c r="E614" s="63">
        <v>431.80623131661474</v>
      </c>
      <c r="F614" s="63">
        <v>4917381.7420969186</v>
      </c>
      <c r="G614" s="63" t="s">
        <v>565</v>
      </c>
      <c r="H614" s="25">
        <f t="shared" si="21"/>
        <v>9.7722095671981535E-3</v>
      </c>
      <c r="J614" s="63">
        <v>20.78</v>
      </c>
      <c r="K614" s="63">
        <v>20.84</v>
      </c>
      <c r="L614" s="63">
        <v>19.149999999999999</v>
      </c>
      <c r="M614" s="63">
        <v>19.5</v>
      </c>
      <c r="N614" s="63">
        <v>3959003</v>
      </c>
      <c r="O614" s="63" t="s">
        <v>565</v>
      </c>
      <c r="P614" s="25">
        <f t="shared" si="20"/>
        <v>6.5641025641025808E-2</v>
      </c>
    </row>
    <row r="615" spans="2:16">
      <c r="B615" s="63">
        <v>430.7537651036107</v>
      </c>
      <c r="C615" s="63">
        <v>431.20622721387412</v>
      </c>
      <c r="D615" s="63">
        <v>427.04554302601701</v>
      </c>
      <c r="E615" s="63">
        <v>428.44227388813448</v>
      </c>
      <c r="F615" s="63">
        <v>4403442.9730260307</v>
      </c>
      <c r="G615" s="63" t="s">
        <v>566</v>
      </c>
      <c r="H615" s="25">
        <f t="shared" si="21"/>
        <v>5.395105376739151E-3</v>
      </c>
      <c r="J615" s="63">
        <v>19.190000000000001</v>
      </c>
      <c r="K615" s="63">
        <v>19.411899999999999</v>
      </c>
      <c r="L615" s="63">
        <v>18.739999999999998</v>
      </c>
      <c r="M615" s="63">
        <v>19.36</v>
      </c>
      <c r="N615" s="63">
        <v>2027215</v>
      </c>
      <c r="O615" s="63" t="s">
        <v>566</v>
      </c>
      <c r="P615" s="25">
        <f t="shared" si="20"/>
        <v>-8.780991735537147E-3</v>
      </c>
    </row>
    <row r="616" spans="2:16">
      <c r="B616" s="63">
        <v>426.95701783053067</v>
      </c>
      <c r="C616" s="63">
        <v>427.36029927663503</v>
      </c>
      <c r="D616" s="63">
        <v>424.73405181054079</v>
      </c>
      <c r="E616" s="63">
        <v>426.49471958743544</v>
      </c>
      <c r="F616" s="63">
        <v>6145312.4956279369</v>
      </c>
      <c r="G616" s="63" t="s">
        <v>567</v>
      </c>
      <c r="H616" s="25">
        <f t="shared" si="21"/>
        <v>1.0839483394833316E-3</v>
      </c>
      <c r="J616" s="63">
        <v>18.75</v>
      </c>
      <c r="K616" s="63">
        <v>18.88</v>
      </c>
      <c r="L616" s="63">
        <v>17.97</v>
      </c>
      <c r="M616" s="63">
        <v>18.77</v>
      </c>
      <c r="N616" s="63">
        <v>980042</v>
      </c>
      <c r="O616" s="63" t="s">
        <v>567</v>
      </c>
      <c r="P616" s="25">
        <f t="shared" si="20"/>
        <v>-1.0655301012253426E-3</v>
      </c>
    </row>
    <row r="617" spans="2:16">
      <c r="B617" s="63">
        <v>429.34719810866136</v>
      </c>
      <c r="C617" s="63">
        <v>430.80294576776976</v>
      </c>
      <c r="D617" s="63">
        <v>427.61603873026218</v>
      </c>
      <c r="E617" s="63">
        <v>429.63244596078397</v>
      </c>
      <c r="F617" s="63">
        <v>5826313.1435806062</v>
      </c>
      <c r="G617" s="63" t="s">
        <v>568</v>
      </c>
      <c r="H617" s="25">
        <f t="shared" si="21"/>
        <v>-6.6393461388769559E-4</v>
      </c>
      <c r="J617" s="63">
        <v>18.989999999999998</v>
      </c>
      <c r="K617" s="63">
        <v>19.850000000000001</v>
      </c>
      <c r="L617" s="63">
        <v>18.57</v>
      </c>
      <c r="M617" s="63">
        <v>18.87</v>
      </c>
      <c r="N617" s="63">
        <v>2547572</v>
      </c>
      <c r="O617" s="63" t="s">
        <v>568</v>
      </c>
      <c r="P617" s="25">
        <f t="shared" si="20"/>
        <v>6.3593004769473271E-3</v>
      </c>
    </row>
    <row r="618" spans="2:16">
      <c r="B618" s="63">
        <v>430.81278190060158</v>
      </c>
      <c r="C618" s="63">
        <v>432.59312194315982</v>
      </c>
      <c r="D618" s="63">
        <v>429.57342916379309</v>
      </c>
      <c r="E618" s="63">
        <v>431.91442877776473</v>
      </c>
      <c r="F618" s="63">
        <v>5269010.787692301</v>
      </c>
      <c r="G618" s="63" t="s">
        <v>569</v>
      </c>
      <c r="H618" s="25">
        <f t="shared" si="21"/>
        <v>-2.5506137414316177E-3</v>
      </c>
      <c r="J618" s="63">
        <v>18.899999999999999</v>
      </c>
      <c r="K618" s="63">
        <v>19.829999999999998</v>
      </c>
      <c r="L618" s="63">
        <v>18.89</v>
      </c>
      <c r="M618" s="63">
        <v>19.829999999999998</v>
      </c>
      <c r="N618" s="63">
        <v>2015151</v>
      </c>
      <c r="O618" s="63" t="s">
        <v>569</v>
      </c>
      <c r="P618" s="25">
        <f t="shared" si="20"/>
        <v>-4.6898638426626338E-2</v>
      </c>
    </row>
    <row r="619" spans="2:16">
      <c r="B619" s="63">
        <v>430.61605924396531</v>
      </c>
      <c r="C619" s="63">
        <v>432.15541403214417</v>
      </c>
      <c r="D619" s="63">
        <v>426.88816490070798</v>
      </c>
      <c r="E619" s="63">
        <v>431.74721451962387</v>
      </c>
      <c r="F619" s="63">
        <v>4876496.7716643009</v>
      </c>
      <c r="G619" s="63" t="s">
        <v>570</v>
      </c>
      <c r="H619" s="25">
        <f t="shared" si="21"/>
        <v>-2.6199480566819755E-3</v>
      </c>
      <c r="J619" s="63">
        <v>19.8</v>
      </c>
      <c r="K619" s="63">
        <v>20.03</v>
      </c>
      <c r="L619" s="63">
        <v>19.309999999999999</v>
      </c>
      <c r="M619" s="63">
        <v>19.600000000000001</v>
      </c>
      <c r="N619" s="63">
        <v>5504801</v>
      </c>
      <c r="O619" s="63" t="s">
        <v>570</v>
      </c>
      <c r="P619" s="25">
        <f t="shared" si="20"/>
        <v>1.0204081632652962E-2</v>
      </c>
    </row>
    <row r="620" spans="2:16">
      <c r="B620" s="63">
        <v>430.76360123644253</v>
      </c>
      <c r="C620" s="63">
        <v>431.54557379657172</v>
      </c>
      <c r="D620" s="63">
        <v>428.34391255981637</v>
      </c>
      <c r="E620" s="63">
        <v>428.62916041193893</v>
      </c>
      <c r="F620" s="63">
        <v>4350125.2709405348</v>
      </c>
      <c r="G620" s="63" t="s">
        <v>571</v>
      </c>
      <c r="H620" s="25">
        <f t="shared" si="21"/>
        <v>4.9796911214632367E-3</v>
      </c>
      <c r="J620" s="63">
        <v>19.739999999999998</v>
      </c>
      <c r="K620" s="63">
        <v>20.05</v>
      </c>
      <c r="L620" s="63">
        <v>19.5</v>
      </c>
      <c r="M620" s="63">
        <v>20</v>
      </c>
      <c r="N620" s="63">
        <v>1067852</v>
      </c>
      <c r="O620" s="63" t="s">
        <v>571</v>
      </c>
      <c r="P620" s="25">
        <f t="shared" si="20"/>
        <v>-1.3000000000000123E-2</v>
      </c>
    </row>
    <row r="621" spans="2:16">
      <c r="B621" s="63">
        <v>427.94063111371202</v>
      </c>
      <c r="C621" s="63">
        <v>429.27834517883866</v>
      </c>
      <c r="D621" s="63">
        <v>426.06517566667014</v>
      </c>
      <c r="E621" s="63">
        <v>426.51439185309908</v>
      </c>
      <c r="F621" s="63">
        <v>8071837.922237711</v>
      </c>
      <c r="G621" s="63" t="s">
        <v>572</v>
      </c>
      <c r="H621" s="25">
        <f t="shared" si="21"/>
        <v>3.3439417001059901E-3</v>
      </c>
      <c r="J621" s="63">
        <v>19.95</v>
      </c>
      <c r="K621" s="63">
        <v>20.13</v>
      </c>
      <c r="L621" s="63">
        <v>18.57</v>
      </c>
      <c r="M621" s="63">
        <v>18.61</v>
      </c>
      <c r="N621" s="63">
        <v>2382645</v>
      </c>
      <c r="O621" s="63" t="s">
        <v>572</v>
      </c>
      <c r="P621" s="25">
        <f t="shared" si="20"/>
        <v>7.2004298764105412E-2</v>
      </c>
    </row>
    <row r="622" spans="2:16">
      <c r="B622" s="63">
        <v>428.98326119388423</v>
      </c>
      <c r="C622" s="63">
        <v>429.12096705352963</v>
      </c>
      <c r="D622" s="63">
        <v>423.31764868275968</v>
      </c>
      <c r="E622" s="63">
        <v>423.39633774541414</v>
      </c>
      <c r="F622" s="63">
        <v>7342684.4914500499</v>
      </c>
      <c r="G622" s="63" t="s">
        <v>573</v>
      </c>
      <c r="H622" s="25">
        <f t="shared" si="21"/>
        <v>1.3195493088628218E-2</v>
      </c>
      <c r="J622" s="63">
        <v>18.850000000000001</v>
      </c>
      <c r="K622" s="63">
        <v>19.11</v>
      </c>
      <c r="L622" s="63">
        <v>17.36</v>
      </c>
      <c r="M622" s="63">
        <v>17.53</v>
      </c>
      <c r="N622" s="63">
        <v>2296229</v>
      </c>
      <c r="O622" s="63" t="s">
        <v>573</v>
      </c>
      <c r="P622" s="25">
        <f t="shared" si="20"/>
        <v>7.5299486594409659E-2</v>
      </c>
    </row>
    <row r="623" spans="2:16">
      <c r="B623" s="63">
        <v>422.93403950231897</v>
      </c>
      <c r="C623" s="63">
        <v>425.21602231929967</v>
      </c>
      <c r="D623" s="63">
        <v>421.61599770285591</v>
      </c>
      <c r="E623" s="63">
        <v>422.5504303218782</v>
      </c>
      <c r="F623" s="63">
        <v>5819978.3368973872</v>
      </c>
      <c r="G623" s="63" t="s">
        <v>574</v>
      </c>
      <c r="H623" s="25">
        <f t="shared" si="21"/>
        <v>9.0784236132135376E-4</v>
      </c>
      <c r="J623" s="63">
        <v>17.53</v>
      </c>
      <c r="K623" s="63">
        <v>18.190000000000001</v>
      </c>
      <c r="L623" s="63">
        <v>17.434999999999999</v>
      </c>
      <c r="M623" s="63">
        <v>18</v>
      </c>
      <c r="N623" s="63">
        <v>1301889</v>
      </c>
      <c r="O623" s="63" t="s">
        <v>574</v>
      </c>
      <c r="P623" s="25">
        <f t="shared" si="20"/>
        <v>-2.6111111111111085E-2</v>
      </c>
    </row>
    <row r="624" spans="2:16">
      <c r="B624" s="63">
        <v>422.39305219656916</v>
      </c>
      <c r="C624" s="63">
        <v>425.68815669522667</v>
      </c>
      <c r="D624" s="63">
        <v>422.17665727426925</v>
      </c>
      <c r="E624" s="63">
        <v>423.27830415143239</v>
      </c>
      <c r="F624" s="63">
        <v>4010985.8899420621</v>
      </c>
      <c r="G624" s="63" t="s">
        <v>575</v>
      </c>
      <c r="H624" s="25">
        <f t="shared" si="21"/>
        <v>-2.0914182139288862E-3</v>
      </c>
      <c r="J624" s="63">
        <v>17.940000000000001</v>
      </c>
      <c r="K624" s="63">
        <v>18.350000000000001</v>
      </c>
      <c r="L624" s="63">
        <v>17.77</v>
      </c>
      <c r="M624" s="63">
        <v>18.02</v>
      </c>
      <c r="N624" s="63">
        <v>1396525</v>
      </c>
      <c r="O624" s="63" t="s">
        <v>575</v>
      </c>
      <c r="P624" s="25">
        <f t="shared" si="20"/>
        <v>-4.4395116537180312E-3</v>
      </c>
    </row>
    <row r="625" spans="2:16">
      <c r="B625" s="63">
        <v>423.73076626169586</v>
      </c>
      <c r="C625" s="63">
        <v>425.90455161752664</v>
      </c>
      <c r="D625" s="63">
        <v>423.19961508877788</v>
      </c>
      <c r="E625" s="63">
        <v>425.23569458496331</v>
      </c>
      <c r="F625" s="63">
        <v>4885099.7461713459</v>
      </c>
      <c r="G625" s="63" t="s">
        <v>576</v>
      </c>
      <c r="H625" s="25">
        <f t="shared" si="21"/>
        <v>-3.5390451517394172E-3</v>
      </c>
      <c r="J625" s="63">
        <v>18.09</v>
      </c>
      <c r="K625" s="63">
        <v>18.309999999999999</v>
      </c>
      <c r="L625" s="63">
        <v>17.905000000000001</v>
      </c>
      <c r="M625" s="63">
        <v>18.14</v>
      </c>
      <c r="N625" s="63">
        <v>1365453</v>
      </c>
      <c r="O625" s="63" t="s">
        <v>576</v>
      </c>
      <c r="P625" s="25">
        <f t="shared" si="20"/>
        <v>-2.7563395810363822E-3</v>
      </c>
    </row>
    <row r="626" spans="2:16">
      <c r="B626" s="63">
        <v>426.8980010335398</v>
      </c>
      <c r="C626" s="63">
        <v>428.13735377034828</v>
      </c>
      <c r="D626" s="63">
        <v>425.27503911629054</v>
      </c>
      <c r="E626" s="63">
        <v>426.79963970522169</v>
      </c>
      <c r="F626" s="63">
        <v>9227245.2550100368</v>
      </c>
      <c r="G626" s="63" t="s">
        <v>577</v>
      </c>
      <c r="H626" s="25">
        <f t="shared" si="21"/>
        <v>2.3046253831426888E-4</v>
      </c>
      <c r="J626" s="63">
        <v>18.38</v>
      </c>
      <c r="K626" s="63">
        <v>19.03</v>
      </c>
      <c r="L626" s="63">
        <v>18.18</v>
      </c>
      <c r="M626" s="63">
        <v>19.03</v>
      </c>
      <c r="N626" s="63">
        <v>1888652</v>
      </c>
      <c r="O626" s="63" t="s">
        <v>577</v>
      </c>
      <c r="P626" s="25">
        <f t="shared" si="20"/>
        <v>-3.4156594850236588E-2</v>
      </c>
    </row>
    <row r="627" spans="2:16">
      <c r="B627" s="63">
        <v>429.64228209361579</v>
      </c>
      <c r="C627" s="63">
        <v>431.15704654971501</v>
      </c>
      <c r="D627" s="63">
        <v>427.81276138689844</v>
      </c>
      <c r="E627" s="63">
        <v>430.69474830661983</v>
      </c>
      <c r="F627" s="63">
        <v>4449802.6560231056</v>
      </c>
      <c r="G627" s="63" t="s">
        <v>578</v>
      </c>
      <c r="H627" s="25">
        <f t="shared" si="21"/>
        <v>-2.4436476579806632E-3</v>
      </c>
      <c r="J627" s="63">
        <v>19.47</v>
      </c>
      <c r="K627" s="63">
        <v>19.87</v>
      </c>
      <c r="L627" s="63">
        <v>19.350000000000001</v>
      </c>
      <c r="M627" s="63">
        <v>19.87</v>
      </c>
      <c r="N627" s="63">
        <v>1532701</v>
      </c>
      <c r="O627" s="63" t="s">
        <v>578</v>
      </c>
      <c r="P627" s="25">
        <f t="shared" si="20"/>
        <v>-2.0130850528434885E-2</v>
      </c>
    </row>
    <row r="628" spans="2:16">
      <c r="B628" s="63">
        <v>430.79310963493799</v>
      </c>
      <c r="C628" s="63">
        <v>431.6488531913057</v>
      </c>
      <c r="D628" s="63">
        <v>430.48818951715174</v>
      </c>
      <c r="E628" s="63">
        <v>431.06852135422872</v>
      </c>
      <c r="F628" s="63">
        <v>4782016.5510440329</v>
      </c>
      <c r="G628" s="63" t="s">
        <v>579</v>
      </c>
      <c r="H628" s="25">
        <f t="shared" si="21"/>
        <v>-6.3890473474037535E-4</v>
      </c>
      <c r="J628" s="63">
        <v>19.88</v>
      </c>
      <c r="K628" s="63">
        <v>20.77</v>
      </c>
      <c r="L628" s="63">
        <v>19.8</v>
      </c>
      <c r="M628" s="63">
        <v>19.850000000000001</v>
      </c>
      <c r="N628" s="63">
        <v>2136545</v>
      </c>
      <c r="O628" s="63" t="s">
        <v>579</v>
      </c>
      <c r="P628" s="25">
        <f t="shared" si="20"/>
        <v>1.5113350125943725E-3</v>
      </c>
    </row>
    <row r="629" spans="2:16">
      <c r="B629" s="63">
        <v>430.72425670511524</v>
      </c>
      <c r="C629" s="63">
        <v>430.84229029909699</v>
      </c>
      <c r="D629" s="63">
        <v>429.26850904600684</v>
      </c>
      <c r="E629" s="63">
        <v>429.73572535551796</v>
      </c>
      <c r="F629" s="63">
        <v>4342162.7920538438</v>
      </c>
      <c r="G629" s="63" t="s">
        <v>580</v>
      </c>
      <c r="H629" s="25">
        <f t="shared" si="21"/>
        <v>2.3003238764462974E-3</v>
      </c>
      <c r="J629" s="63">
        <v>19.84</v>
      </c>
      <c r="K629" s="63">
        <v>19.96</v>
      </c>
      <c r="L629" s="63">
        <v>19.695</v>
      </c>
      <c r="M629" s="63">
        <v>19.78</v>
      </c>
      <c r="N629" s="63">
        <v>798972</v>
      </c>
      <c r="O629" s="63" t="s">
        <v>580</v>
      </c>
      <c r="P629" s="25">
        <f t="shared" si="20"/>
        <v>3.0333670374114163E-3</v>
      </c>
    </row>
    <row r="630" spans="2:16">
      <c r="B630" s="63">
        <v>429.93736607857016</v>
      </c>
      <c r="C630" s="63">
        <v>430.74392897077888</v>
      </c>
      <c r="D630" s="63">
        <v>428.44227388813448</v>
      </c>
      <c r="E630" s="63">
        <v>428.52647118517484</v>
      </c>
      <c r="F630" s="63">
        <v>3899740.9506239491</v>
      </c>
      <c r="G630" s="63" t="s">
        <v>581</v>
      </c>
      <c r="H630" s="25">
        <f t="shared" si="21"/>
        <v>3.2924334627291163E-3</v>
      </c>
      <c r="J630" s="63">
        <v>19.829999999999998</v>
      </c>
      <c r="K630" s="63">
        <v>19.98</v>
      </c>
      <c r="L630" s="63">
        <v>19.760000000000002</v>
      </c>
      <c r="M630" s="63">
        <v>19.88</v>
      </c>
      <c r="N630" s="63">
        <v>1233635</v>
      </c>
      <c r="O630" s="63" t="s">
        <v>581</v>
      </c>
      <c r="P630" s="25">
        <f t="shared" si="20"/>
        <v>-2.5150905432596016E-3</v>
      </c>
    </row>
    <row r="631" spans="2:16">
      <c r="B631" s="63">
        <v>428.15702603601193</v>
      </c>
      <c r="C631" s="63">
        <v>429.67965939837666</v>
      </c>
      <c r="D631" s="63">
        <v>426.37668599345369</v>
      </c>
      <c r="E631" s="63">
        <v>428.32424029415273</v>
      </c>
      <c r="F631" s="63">
        <v>4105098.0797455548</v>
      </c>
      <c r="G631" s="63" t="s">
        <v>582</v>
      </c>
      <c r="H631" s="25">
        <f t="shared" si="21"/>
        <v>-3.9039176962285538E-4</v>
      </c>
      <c r="J631" s="63">
        <v>19.809999999999999</v>
      </c>
      <c r="K631" s="63">
        <v>19.899999999999999</v>
      </c>
      <c r="L631" s="63">
        <v>19.3</v>
      </c>
      <c r="M631" s="63">
        <v>19.600000000000001</v>
      </c>
      <c r="N631" s="63">
        <v>2073399</v>
      </c>
      <c r="O631" s="63" t="s">
        <v>582</v>
      </c>
      <c r="P631" s="25">
        <f t="shared" si="20"/>
        <v>1.0714285714285676E-2</v>
      </c>
    </row>
    <row r="632" spans="2:16">
      <c r="B632" s="63">
        <v>427.16357661999871</v>
      </c>
      <c r="C632" s="63">
        <v>427.51767740194401</v>
      </c>
      <c r="D632" s="63">
        <v>423.79489784775927</v>
      </c>
      <c r="E632" s="63">
        <v>426.03242134434021</v>
      </c>
      <c r="F632" s="63">
        <v>4698600.6381004583</v>
      </c>
      <c r="G632" s="63" t="s">
        <v>583</v>
      </c>
      <c r="H632" s="25">
        <f t="shared" si="21"/>
        <v>2.6550920047097026E-3</v>
      </c>
      <c r="J632" s="63">
        <v>19.510000000000002</v>
      </c>
      <c r="K632" s="63">
        <v>19.574999999999999</v>
      </c>
      <c r="L632" s="63">
        <v>18.98</v>
      </c>
      <c r="M632" s="63">
        <v>19.38</v>
      </c>
      <c r="N632" s="63">
        <v>1249481</v>
      </c>
      <c r="O632" s="63" t="s">
        <v>583</v>
      </c>
      <c r="P632" s="25">
        <f t="shared" si="20"/>
        <v>6.70794633642946E-3</v>
      </c>
    </row>
    <row r="633" spans="2:16">
      <c r="B633" s="63">
        <v>423.04223696346884</v>
      </c>
      <c r="C633" s="63">
        <v>430.13900680162237</v>
      </c>
      <c r="D633" s="63">
        <v>422.85535043966439</v>
      </c>
      <c r="E633" s="63">
        <v>428.37342095831178</v>
      </c>
      <c r="F633" s="63">
        <v>5879581.0293400744</v>
      </c>
      <c r="G633" s="63" t="s">
        <v>584</v>
      </c>
      <c r="H633" s="25">
        <f t="shared" si="21"/>
        <v>-1.2445179215173074E-2</v>
      </c>
      <c r="J633" s="63">
        <v>18.989999999999998</v>
      </c>
      <c r="K633" s="63">
        <v>19.995000000000001</v>
      </c>
      <c r="L633" s="63">
        <v>18.945</v>
      </c>
      <c r="M633" s="63">
        <v>19.239999999999998</v>
      </c>
      <c r="N633" s="63">
        <v>2322122</v>
      </c>
      <c r="O633" s="63" t="s">
        <v>584</v>
      </c>
      <c r="P633" s="25">
        <f t="shared" si="20"/>
        <v>-1.2993762993762981E-2</v>
      </c>
    </row>
    <row r="634" spans="2:16">
      <c r="B634" s="63">
        <v>429.23791867290009</v>
      </c>
      <c r="C634" s="63">
        <v>429.2673057825105</v>
      </c>
      <c r="D634" s="63">
        <v>427.04368115532253</v>
      </c>
      <c r="E634" s="63">
        <v>427.13184248415382</v>
      </c>
      <c r="F634" s="63">
        <v>4146213.8201173837</v>
      </c>
      <c r="G634" s="63" t="s">
        <v>585</v>
      </c>
      <c r="H634" s="25">
        <f t="shared" si="21"/>
        <v>4.9307402990550475E-3</v>
      </c>
      <c r="J634" s="63">
        <v>19.399999999999999</v>
      </c>
      <c r="K634" s="63">
        <v>19.559999999999999</v>
      </c>
      <c r="L634" s="63">
        <v>19.085000000000001</v>
      </c>
      <c r="M634" s="63">
        <v>19.5</v>
      </c>
      <c r="N634" s="63">
        <v>1697466</v>
      </c>
      <c r="O634" s="63" t="s">
        <v>585</v>
      </c>
      <c r="P634" s="25">
        <f t="shared" ref="P634:P697" si="22">J634/M634-1</f>
        <v>-5.128205128205221E-3</v>
      </c>
    </row>
    <row r="635" spans="2:16">
      <c r="B635" s="63">
        <v>426.64205732398028</v>
      </c>
      <c r="C635" s="63">
        <v>427.48448779947876</v>
      </c>
      <c r="D635" s="63">
        <v>425.57432567480186</v>
      </c>
      <c r="E635" s="63">
        <v>425.76044403566783</v>
      </c>
      <c r="F635" s="63">
        <v>4369747.5424563875</v>
      </c>
      <c r="G635" s="63" t="s">
        <v>586</v>
      </c>
      <c r="H635" s="25">
        <f t="shared" ref="H635:H698" si="23">B635/E635-1</f>
        <v>2.0706791827720394E-3</v>
      </c>
      <c r="J635" s="63">
        <v>19.28</v>
      </c>
      <c r="K635" s="63">
        <v>19.5</v>
      </c>
      <c r="L635" s="63">
        <v>18.875</v>
      </c>
      <c r="M635" s="63">
        <v>19.39</v>
      </c>
      <c r="N635" s="63">
        <v>2062698</v>
      </c>
      <c r="O635" s="63" t="s">
        <v>586</v>
      </c>
      <c r="P635" s="25">
        <f t="shared" si="22"/>
        <v>-5.6730273336771386E-3</v>
      </c>
    </row>
    <row r="636" spans="2:16">
      <c r="B636" s="63">
        <v>424.24211003912978</v>
      </c>
      <c r="C636" s="63">
        <v>425.37841161073248</v>
      </c>
      <c r="D636" s="63">
        <v>423.40947526683476</v>
      </c>
      <c r="E636" s="63">
        <v>424.34006707116453</v>
      </c>
      <c r="F636" s="63">
        <v>5437119.6119056791</v>
      </c>
      <c r="G636" s="63" t="s">
        <v>587</v>
      </c>
      <c r="H636" s="25">
        <f t="shared" si="23"/>
        <v>-2.3084558738661887E-4</v>
      </c>
      <c r="J636" s="63">
        <v>19.399999999999999</v>
      </c>
      <c r="K636" s="63">
        <v>19.605</v>
      </c>
      <c r="L636" s="63">
        <v>18.989999999999998</v>
      </c>
      <c r="M636" s="63">
        <v>19.3</v>
      </c>
      <c r="N636" s="63">
        <v>4800255</v>
      </c>
      <c r="O636" s="63" t="s">
        <v>587</v>
      </c>
      <c r="P636" s="25">
        <f t="shared" si="22"/>
        <v>5.1813471502588637E-3</v>
      </c>
    </row>
    <row r="637" spans="2:16">
      <c r="B637" s="63">
        <v>424.88862645055889</v>
      </c>
      <c r="C637" s="63">
        <v>426.46984886166319</v>
      </c>
      <c r="D637" s="63">
        <v>422.42990494648768</v>
      </c>
      <c r="E637" s="63">
        <v>425.34902450112207</v>
      </c>
      <c r="F637" s="63">
        <v>8523270.6897872202</v>
      </c>
      <c r="G637" s="63" t="s">
        <v>588</v>
      </c>
      <c r="H637" s="25">
        <f t="shared" si="23"/>
        <v>-1.082400626410629E-3</v>
      </c>
      <c r="J637" s="63">
        <v>19.11</v>
      </c>
      <c r="K637" s="63">
        <v>19.175000000000001</v>
      </c>
      <c r="L637" s="63">
        <v>18.684999999999999</v>
      </c>
      <c r="M637" s="63">
        <v>18.73</v>
      </c>
      <c r="N637" s="63">
        <v>2453723</v>
      </c>
      <c r="O637" s="63" t="s">
        <v>588</v>
      </c>
      <c r="P637" s="25">
        <f t="shared" si="22"/>
        <v>2.0288307528029792E-2</v>
      </c>
    </row>
    <row r="638" spans="2:16">
      <c r="B638" s="63">
        <v>423.64457214371811</v>
      </c>
      <c r="C638" s="63">
        <v>423.7719162853632</v>
      </c>
      <c r="D638" s="63">
        <v>417.79653733124582</v>
      </c>
      <c r="E638" s="63">
        <v>418.15897834977426</v>
      </c>
      <c r="F638" s="63">
        <v>8839708.4110629745</v>
      </c>
      <c r="G638" s="63" t="s">
        <v>589</v>
      </c>
      <c r="H638" s="25">
        <f t="shared" si="23"/>
        <v>1.311844077961033E-2</v>
      </c>
      <c r="J638" s="63">
        <v>18.57</v>
      </c>
      <c r="K638" s="63">
        <v>18.93</v>
      </c>
      <c r="L638" s="63">
        <v>18.32</v>
      </c>
      <c r="M638" s="63">
        <v>18.37</v>
      </c>
      <c r="N638" s="63">
        <v>2448305</v>
      </c>
      <c r="O638" s="63" t="s">
        <v>589</v>
      </c>
      <c r="P638" s="25">
        <f t="shared" si="22"/>
        <v>1.0887316276537717E-2</v>
      </c>
    </row>
    <row r="639" spans="2:16">
      <c r="B639" s="63">
        <v>417.95326858250138</v>
      </c>
      <c r="C639" s="63">
        <v>417.95326858250138</v>
      </c>
      <c r="D639" s="63">
        <v>414.62654981757061</v>
      </c>
      <c r="E639" s="63">
        <v>415.553321297651</v>
      </c>
      <c r="F639" s="63">
        <v>6107327.7494566049</v>
      </c>
      <c r="G639" s="63" t="s">
        <v>590</v>
      </c>
      <c r="H639" s="25">
        <f t="shared" si="23"/>
        <v>5.7753052661353443E-3</v>
      </c>
      <c r="J639" s="63">
        <v>18.59</v>
      </c>
      <c r="K639" s="63">
        <v>18.59</v>
      </c>
      <c r="L639" s="63">
        <v>18.03</v>
      </c>
      <c r="M639" s="63">
        <v>18.260000000000002</v>
      </c>
      <c r="N639" s="63">
        <v>2200321</v>
      </c>
      <c r="O639" s="63" t="s">
        <v>590</v>
      </c>
      <c r="P639" s="25">
        <f t="shared" si="22"/>
        <v>1.8072289156626509E-2</v>
      </c>
    </row>
    <row r="640" spans="2:16">
      <c r="B640" s="63">
        <v>415.88637520656897</v>
      </c>
      <c r="C640" s="63">
        <v>416.03331075462103</v>
      </c>
      <c r="D640" s="63">
        <v>413.59418065695678</v>
      </c>
      <c r="E640" s="63">
        <v>413.7802990178227</v>
      </c>
      <c r="F640" s="63">
        <v>5356517.9456853075</v>
      </c>
      <c r="G640" s="63" t="s">
        <v>591</v>
      </c>
      <c r="H640" s="25">
        <f t="shared" si="23"/>
        <v>5.0898416230675814E-3</v>
      </c>
      <c r="J640" s="63">
        <v>18.260000000000002</v>
      </c>
      <c r="K640" s="63">
        <v>18.27</v>
      </c>
      <c r="L640" s="63">
        <v>17.8</v>
      </c>
      <c r="M640" s="63">
        <v>18.239999999999998</v>
      </c>
      <c r="N640" s="63">
        <v>2404068</v>
      </c>
      <c r="O640" s="63" t="s">
        <v>591</v>
      </c>
      <c r="P640" s="25">
        <f t="shared" si="22"/>
        <v>1.0964912280704286E-3</v>
      </c>
    </row>
    <row r="641" spans="2:16">
      <c r="B641" s="63">
        <v>414.27987988119975</v>
      </c>
      <c r="C641" s="63">
        <v>414.72068652535592</v>
      </c>
      <c r="D641" s="63">
        <v>411.56647009383818</v>
      </c>
      <c r="E641" s="63">
        <v>411.78197556431456</v>
      </c>
      <c r="F641" s="63">
        <v>5232169.5477501424</v>
      </c>
      <c r="G641" s="63" t="s">
        <v>592</v>
      </c>
      <c r="H641" s="25">
        <f t="shared" si="23"/>
        <v>6.0660846397222468E-3</v>
      </c>
      <c r="J641" s="63">
        <v>18.21</v>
      </c>
      <c r="K641" s="63">
        <v>18.38</v>
      </c>
      <c r="L641" s="63">
        <v>17.7</v>
      </c>
      <c r="M641" s="63">
        <v>17.77</v>
      </c>
      <c r="N641" s="63">
        <v>1885127</v>
      </c>
      <c r="O641" s="63" t="s">
        <v>592</v>
      </c>
      <c r="P641" s="25">
        <f t="shared" si="22"/>
        <v>2.4760832864378246E-2</v>
      </c>
    </row>
    <row r="642" spans="2:16">
      <c r="B642" s="63">
        <v>412.52644900777841</v>
      </c>
      <c r="C642" s="63">
        <v>413.05541698076587</v>
      </c>
      <c r="D642" s="63">
        <v>410.71424391513619</v>
      </c>
      <c r="E642" s="63">
        <v>411.2334161849202</v>
      </c>
      <c r="F642" s="63">
        <v>3315995.7305045594</v>
      </c>
      <c r="G642" s="63" t="s">
        <v>593</v>
      </c>
      <c r="H642" s="25">
        <f t="shared" si="23"/>
        <v>3.1442795550369329E-3</v>
      </c>
      <c r="J642" s="63">
        <v>17.829999999999998</v>
      </c>
      <c r="K642" s="63">
        <v>17.87</v>
      </c>
      <c r="L642" s="63">
        <v>17.350000000000001</v>
      </c>
      <c r="M642" s="63">
        <v>17.79</v>
      </c>
      <c r="N642" s="63">
        <v>2236782</v>
      </c>
      <c r="O642" s="63" t="s">
        <v>593</v>
      </c>
      <c r="P642" s="25">
        <f t="shared" si="22"/>
        <v>2.2484541877458852E-3</v>
      </c>
    </row>
    <row r="643" spans="2:16">
      <c r="B643" s="63">
        <v>409.32325406024336</v>
      </c>
      <c r="C643" s="63">
        <v>413.05541698076587</v>
      </c>
      <c r="D643" s="63">
        <v>408.9314259321045</v>
      </c>
      <c r="E643" s="63">
        <v>412.99664276154499</v>
      </c>
      <c r="F643" s="63">
        <v>4289432.7367034713</v>
      </c>
      <c r="G643" s="63" t="s">
        <v>594</v>
      </c>
      <c r="H643" s="25">
        <f t="shared" si="23"/>
        <v>-8.8944759374777194E-3</v>
      </c>
      <c r="J643" s="63">
        <v>17.64</v>
      </c>
      <c r="K643" s="63">
        <v>18.579999999999998</v>
      </c>
      <c r="L643" s="63">
        <v>17.440000000000001</v>
      </c>
      <c r="M643" s="63">
        <v>18.350000000000001</v>
      </c>
      <c r="N643" s="63">
        <v>8413704</v>
      </c>
      <c r="O643" s="63" t="s">
        <v>594</v>
      </c>
      <c r="P643" s="25">
        <f t="shared" si="22"/>
        <v>-3.8692098092643068E-2</v>
      </c>
    </row>
    <row r="644" spans="2:16">
      <c r="B644" s="63">
        <v>411.03750212085077</v>
      </c>
      <c r="C644" s="63">
        <v>411.87993259634931</v>
      </c>
      <c r="D644" s="63">
        <v>409.46039390509196</v>
      </c>
      <c r="E644" s="63">
        <v>409.79344781400994</v>
      </c>
      <c r="F644" s="63">
        <v>3490594.7321764301</v>
      </c>
      <c r="G644" s="63" t="s">
        <v>595</v>
      </c>
      <c r="H644" s="25">
        <f t="shared" si="23"/>
        <v>3.0358081942918336E-3</v>
      </c>
      <c r="J644" s="63">
        <v>18.7</v>
      </c>
      <c r="K644" s="63">
        <v>18.96</v>
      </c>
      <c r="L644" s="63">
        <v>17.38</v>
      </c>
      <c r="M644" s="63">
        <v>18.93</v>
      </c>
      <c r="N644" s="63">
        <v>1567418</v>
      </c>
      <c r="O644" s="63" t="s">
        <v>595</v>
      </c>
      <c r="P644" s="25">
        <f t="shared" si="22"/>
        <v>-1.2150026413100923E-2</v>
      </c>
    </row>
    <row r="645" spans="2:16">
      <c r="B645" s="63">
        <v>411.16484626249593</v>
      </c>
      <c r="C645" s="63">
        <v>411.29219040414102</v>
      </c>
      <c r="D645" s="63">
        <v>408.97060874491837</v>
      </c>
      <c r="E645" s="63">
        <v>410.09711461331756</v>
      </c>
      <c r="F645" s="63">
        <v>5927169.1673371857</v>
      </c>
      <c r="G645" s="63" t="s">
        <v>596</v>
      </c>
      <c r="H645" s="25">
        <f t="shared" si="23"/>
        <v>2.6036068314820859E-3</v>
      </c>
      <c r="J645" s="63">
        <v>19.190000000000001</v>
      </c>
      <c r="K645" s="63">
        <v>19.3</v>
      </c>
      <c r="L645" s="63">
        <v>17.82</v>
      </c>
      <c r="M645" s="63">
        <v>18.77</v>
      </c>
      <c r="N645" s="63">
        <v>2849864</v>
      </c>
      <c r="O645" s="63" t="s">
        <v>596</v>
      </c>
      <c r="P645" s="25">
        <f t="shared" si="22"/>
        <v>2.2376132125732751E-2</v>
      </c>
    </row>
    <row r="646" spans="2:16">
      <c r="B646" s="63">
        <v>413.24153534163179</v>
      </c>
      <c r="C646" s="63">
        <v>413.74111620500884</v>
      </c>
      <c r="D646" s="63">
        <v>409.7052864851787</v>
      </c>
      <c r="E646" s="63">
        <v>410.27343727098003</v>
      </c>
      <c r="F646" s="63">
        <v>5077353.7097751191</v>
      </c>
      <c r="G646" s="63" t="s">
        <v>597</v>
      </c>
      <c r="H646" s="25">
        <f t="shared" si="23"/>
        <v>7.2344387937828269E-3</v>
      </c>
      <c r="J646" s="63">
        <v>19.07</v>
      </c>
      <c r="K646" s="63">
        <v>19.254999999999999</v>
      </c>
      <c r="L646" s="63">
        <v>17.59</v>
      </c>
      <c r="M646" s="63">
        <v>17.96</v>
      </c>
      <c r="N646" s="63">
        <v>3643271</v>
      </c>
      <c r="O646" s="63" t="s">
        <v>597</v>
      </c>
      <c r="P646" s="25">
        <f t="shared" si="22"/>
        <v>6.1804008908685981E-2</v>
      </c>
    </row>
    <row r="647" spans="2:16">
      <c r="B647" s="63">
        <v>410.83179235357784</v>
      </c>
      <c r="C647" s="63">
        <v>411.12566344968201</v>
      </c>
      <c r="D647" s="63">
        <v>408.05960834699556</v>
      </c>
      <c r="E647" s="63">
        <v>409.98936187807942</v>
      </c>
      <c r="F647" s="63">
        <v>4497573.9959524777</v>
      </c>
      <c r="G647" s="63" t="s">
        <v>598</v>
      </c>
      <c r="H647" s="25">
        <f t="shared" si="23"/>
        <v>2.0547617909874027E-3</v>
      </c>
      <c r="J647" s="63">
        <v>17.91</v>
      </c>
      <c r="K647" s="63">
        <v>19.28</v>
      </c>
      <c r="L647" s="63">
        <v>17.45</v>
      </c>
      <c r="M647" s="63">
        <v>18.46</v>
      </c>
      <c r="N647" s="63">
        <v>5141433</v>
      </c>
      <c r="O647" s="63" t="s">
        <v>598</v>
      </c>
      <c r="P647" s="25">
        <f t="shared" si="22"/>
        <v>-2.97941495124594E-2</v>
      </c>
    </row>
    <row r="648" spans="2:16">
      <c r="B648" s="63">
        <v>409.24488843461552</v>
      </c>
      <c r="C648" s="63">
        <v>412.5166533045749</v>
      </c>
      <c r="D648" s="63">
        <v>408.83836675167151</v>
      </c>
      <c r="E648" s="63">
        <v>411.47772102281476</v>
      </c>
      <c r="F648" s="63">
        <v>4177972.6426886683</v>
      </c>
      <c r="G648" s="63" t="s">
        <v>599</v>
      </c>
      <c r="H648" s="25">
        <f t="shared" si="23"/>
        <v>-5.4263754126203656E-3</v>
      </c>
      <c r="J648" s="63">
        <v>19.25</v>
      </c>
      <c r="K648" s="63">
        <v>19.420000000000002</v>
      </c>
      <c r="L648" s="63">
        <v>18.8</v>
      </c>
      <c r="M648" s="63">
        <v>18.940000000000001</v>
      </c>
      <c r="N648" s="63">
        <v>3167437</v>
      </c>
      <c r="O648" s="63" t="s">
        <v>599</v>
      </c>
      <c r="P648" s="25">
        <f t="shared" si="22"/>
        <v>1.6367476240760181E-2</v>
      </c>
    </row>
    <row r="649" spans="2:16">
      <c r="B649" s="63">
        <v>409.50937242110928</v>
      </c>
      <c r="C649" s="63">
        <v>410.68485680552584</v>
      </c>
      <c r="D649" s="63">
        <v>408.19674819184416</v>
      </c>
      <c r="E649" s="63">
        <v>408.72571616483162</v>
      </c>
      <c r="F649" s="63">
        <v>3452985.3852671185</v>
      </c>
      <c r="G649" s="63" t="s">
        <v>600</v>
      </c>
      <c r="H649" s="25">
        <f t="shared" si="23"/>
        <v>1.9173157579388533E-3</v>
      </c>
      <c r="J649" s="63">
        <v>18.53</v>
      </c>
      <c r="K649" s="63">
        <v>19.29</v>
      </c>
      <c r="L649" s="63">
        <v>18.175000000000001</v>
      </c>
      <c r="M649" s="63">
        <v>19.22</v>
      </c>
      <c r="N649" s="63">
        <v>2601133</v>
      </c>
      <c r="O649" s="63" t="s">
        <v>600</v>
      </c>
      <c r="P649" s="25">
        <f t="shared" si="22"/>
        <v>-3.5900104058272486E-2</v>
      </c>
    </row>
    <row r="650" spans="2:16">
      <c r="B650" s="63">
        <v>409.10774858976697</v>
      </c>
      <c r="C650" s="63">
        <v>409.97692133501101</v>
      </c>
      <c r="D650" s="63">
        <v>408.70612475842466</v>
      </c>
      <c r="E650" s="63">
        <v>409.25468413781908</v>
      </c>
      <c r="F650" s="63">
        <v>3708311.6184173571</v>
      </c>
      <c r="G650" s="63" t="s">
        <v>601</v>
      </c>
      <c r="H650" s="25">
        <f t="shared" si="23"/>
        <v>-3.5903204959442103E-4</v>
      </c>
      <c r="J650" s="63">
        <v>19.329999999999998</v>
      </c>
      <c r="K650" s="63">
        <v>19.36</v>
      </c>
      <c r="L650" s="63">
        <v>18.66</v>
      </c>
      <c r="M650" s="63">
        <v>18.899999999999999</v>
      </c>
      <c r="N650" s="63">
        <v>4061348</v>
      </c>
      <c r="O650" s="63" t="s">
        <v>601</v>
      </c>
      <c r="P650" s="25">
        <f t="shared" si="22"/>
        <v>2.2751322751322745E-2</v>
      </c>
    </row>
    <row r="651" spans="2:16">
      <c r="B651" s="63">
        <v>409.82283492362035</v>
      </c>
      <c r="C651" s="63">
        <v>409.94038336206205</v>
      </c>
      <c r="D651" s="63">
        <v>409.3036626538364</v>
      </c>
      <c r="E651" s="63">
        <v>409.64651226595788</v>
      </c>
      <c r="F651" s="63">
        <v>1379453.7992139023</v>
      </c>
      <c r="G651" s="63" t="s">
        <v>602</v>
      </c>
      <c r="H651" s="25">
        <f t="shared" si="23"/>
        <v>4.304263612233683E-4</v>
      </c>
      <c r="J651" s="63">
        <v>18.84</v>
      </c>
      <c r="K651" s="63">
        <v>18.97</v>
      </c>
      <c r="L651" s="63">
        <v>18.581800000000001</v>
      </c>
      <c r="M651" s="63">
        <v>18.71</v>
      </c>
      <c r="N651" s="63">
        <v>785854</v>
      </c>
      <c r="O651" s="63" t="s">
        <v>602</v>
      </c>
      <c r="P651" s="25">
        <f t="shared" si="22"/>
        <v>6.9481560662747466E-3</v>
      </c>
    </row>
    <row r="652" spans="2:16">
      <c r="B652" s="63">
        <v>409.59753374994051</v>
      </c>
      <c r="C652" s="63">
        <v>410.74363102474666</v>
      </c>
      <c r="D652" s="63">
        <v>408.53959780396565</v>
      </c>
      <c r="E652" s="63">
        <v>409.52896382751624</v>
      </c>
      <c r="F652" s="63">
        <v>3771106.4976846292</v>
      </c>
      <c r="G652" s="63" t="s">
        <v>603</v>
      </c>
      <c r="H652" s="25">
        <f t="shared" si="23"/>
        <v>1.6743607529834392E-4</v>
      </c>
      <c r="J652" s="63">
        <v>18.79</v>
      </c>
      <c r="K652" s="63">
        <v>18.88</v>
      </c>
      <c r="L652" s="63">
        <v>18.03</v>
      </c>
      <c r="M652" s="63">
        <v>18.3</v>
      </c>
      <c r="N652" s="63">
        <v>2174610</v>
      </c>
      <c r="O652" s="63" t="s">
        <v>603</v>
      </c>
      <c r="P652" s="25">
        <f t="shared" si="22"/>
        <v>2.6775956284152969E-2</v>
      </c>
    </row>
    <row r="653" spans="2:16">
      <c r="B653" s="63">
        <v>407.83430717331572</v>
      </c>
      <c r="C653" s="63">
        <v>408.32409233348926</v>
      </c>
      <c r="D653" s="63">
        <v>406.81555404015472</v>
      </c>
      <c r="E653" s="63">
        <v>407.89308139253654</v>
      </c>
      <c r="F653" s="63">
        <v>5357641.9078727392</v>
      </c>
      <c r="G653" s="63" t="s">
        <v>604</v>
      </c>
      <c r="H653" s="25">
        <f t="shared" si="23"/>
        <v>-1.4409221902011993E-4</v>
      </c>
      <c r="J653" s="63">
        <v>18.07</v>
      </c>
      <c r="K653" s="63">
        <v>18.25</v>
      </c>
      <c r="L653" s="63">
        <v>17.855</v>
      </c>
      <c r="M653" s="63">
        <v>17.93</v>
      </c>
      <c r="N653" s="63">
        <v>1281930</v>
      </c>
      <c r="O653" s="63" t="s">
        <v>604</v>
      </c>
      <c r="P653" s="25">
        <f t="shared" si="22"/>
        <v>7.8081427774678858E-3</v>
      </c>
    </row>
    <row r="654" spans="2:16">
      <c r="B654" s="63">
        <v>408.90203882249409</v>
      </c>
      <c r="C654" s="63">
        <v>409.65630796916133</v>
      </c>
      <c r="D654" s="63">
        <v>405.52242326026453</v>
      </c>
      <c r="E654" s="63">
        <v>405.53231692050002</v>
      </c>
      <c r="F654" s="63">
        <v>3597916.2769561326</v>
      </c>
      <c r="G654" s="63" t="s">
        <v>605</v>
      </c>
      <c r="H654" s="25">
        <f t="shared" si="23"/>
        <v>8.3093794536099885E-3</v>
      </c>
      <c r="J654" s="63">
        <v>18.190000000000001</v>
      </c>
      <c r="K654" s="63">
        <v>18.28</v>
      </c>
      <c r="L654" s="63">
        <v>17.649999999999999</v>
      </c>
      <c r="M654" s="63">
        <v>17.7</v>
      </c>
      <c r="N654" s="63">
        <v>2147966</v>
      </c>
      <c r="O654" s="63" t="s">
        <v>605</v>
      </c>
      <c r="P654" s="25">
        <f t="shared" si="22"/>
        <v>2.7683615819209084E-2</v>
      </c>
    </row>
    <row r="655" spans="2:16">
      <c r="B655" s="63">
        <v>405.84577942301109</v>
      </c>
      <c r="C655" s="63">
        <v>406.31597317677773</v>
      </c>
      <c r="D655" s="63">
        <v>404.43519816171124</v>
      </c>
      <c r="E655" s="63">
        <v>405.48333840448265</v>
      </c>
      <c r="F655" s="63">
        <v>4798163.9524710281</v>
      </c>
      <c r="G655" s="63" t="s">
        <v>606</v>
      </c>
      <c r="H655" s="25">
        <f t="shared" si="23"/>
        <v>8.9384935014735767E-4</v>
      </c>
      <c r="J655" s="63">
        <v>17.57</v>
      </c>
      <c r="K655" s="63">
        <v>17.79</v>
      </c>
      <c r="L655" s="63">
        <v>17.170000000000002</v>
      </c>
      <c r="M655" s="63">
        <v>17.68</v>
      </c>
      <c r="N655" s="63">
        <v>1295002</v>
      </c>
      <c r="O655" s="63" t="s">
        <v>606</v>
      </c>
      <c r="P655" s="25">
        <f t="shared" si="22"/>
        <v>-6.2217194570135526E-3</v>
      </c>
    </row>
    <row r="656" spans="2:16">
      <c r="B656" s="63">
        <v>405.24824152759936</v>
      </c>
      <c r="C656" s="63">
        <v>405.4931341076861</v>
      </c>
      <c r="D656" s="63">
        <v>403.33807940292252</v>
      </c>
      <c r="E656" s="63">
        <v>404.30785402006615</v>
      </c>
      <c r="F656" s="63">
        <v>3878117.7023144872</v>
      </c>
      <c r="G656" s="63" t="s">
        <v>607</v>
      </c>
      <c r="H656" s="25">
        <f t="shared" si="23"/>
        <v>2.3259194650384618E-3</v>
      </c>
      <c r="J656" s="63">
        <v>17.690000000000001</v>
      </c>
      <c r="K656" s="63">
        <v>17.89</v>
      </c>
      <c r="L656" s="63">
        <v>17.04</v>
      </c>
      <c r="M656" s="63">
        <v>17.32</v>
      </c>
      <c r="N656" s="63">
        <v>1832799</v>
      </c>
      <c r="O656" s="63" t="s">
        <v>607</v>
      </c>
      <c r="P656" s="25">
        <f t="shared" si="22"/>
        <v>2.1362586605080836E-2</v>
      </c>
    </row>
    <row r="657" spans="2:16">
      <c r="B657" s="63">
        <v>404.68009074179804</v>
      </c>
      <c r="C657" s="63">
        <v>406.24740325435346</v>
      </c>
      <c r="D657" s="63">
        <v>403.9454130015377</v>
      </c>
      <c r="E657" s="63">
        <v>405.09151027634385</v>
      </c>
      <c r="F657" s="63">
        <v>4506881.1378805526</v>
      </c>
      <c r="G657" s="63" t="s">
        <v>608</v>
      </c>
      <c r="H657" s="25">
        <f t="shared" si="23"/>
        <v>-1.0156212216473337E-3</v>
      </c>
      <c r="J657" s="63">
        <v>17.41</v>
      </c>
      <c r="K657" s="63">
        <v>17.5</v>
      </c>
      <c r="L657" s="63">
        <v>16.98</v>
      </c>
      <c r="M657" s="63">
        <v>17.32</v>
      </c>
      <c r="N657" s="63">
        <v>1433423</v>
      </c>
      <c r="O657" s="63" t="s">
        <v>608</v>
      </c>
      <c r="P657" s="25">
        <f t="shared" si="22"/>
        <v>5.1963048498844255E-3</v>
      </c>
    </row>
    <row r="658" spans="2:16">
      <c r="B658" s="63">
        <v>403.79847745348565</v>
      </c>
      <c r="C658" s="63">
        <v>405.06212316673339</v>
      </c>
      <c r="D658" s="63">
        <v>401.51176849766733</v>
      </c>
      <c r="E658" s="63">
        <v>401.66301415512896</v>
      </c>
      <c r="F658" s="63">
        <v>7118544.5854760921</v>
      </c>
      <c r="G658" s="63" t="s">
        <v>609</v>
      </c>
      <c r="H658" s="25">
        <f t="shared" si="23"/>
        <v>5.3165544824895772E-3</v>
      </c>
      <c r="J658" s="63">
        <v>17.2</v>
      </c>
      <c r="K658" s="63">
        <v>17.28</v>
      </c>
      <c r="L658" s="63">
        <v>16.324999999999999</v>
      </c>
      <c r="M658" s="63">
        <v>16.71</v>
      </c>
      <c r="N658" s="63">
        <v>1839303</v>
      </c>
      <c r="O658" s="63" t="s">
        <v>609</v>
      </c>
      <c r="P658" s="25">
        <f t="shared" si="22"/>
        <v>2.9323758228605445E-2</v>
      </c>
    </row>
    <row r="659" spans="2:16">
      <c r="B659" s="63">
        <v>396.18721606438856</v>
      </c>
      <c r="C659" s="63">
        <v>397.20596919754962</v>
      </c>
      <c r="D659" s="63">
        <v>394.59051644222279</v>
      </c>
      <c r="E659" s="63">
        <v>395.34478558889003</v>
      </c>
      <c r="F659" s="63">
        <v>2932858.3566945717</v>
      </c>
      <c r="G659" s="63" t="s">
        <v>610</v>
      </c>
      <c r="H659" s="25">
        <f t="shared" si="23"/>
        <v>2.1308753933446667E-3</v>
      </c>
      <c r="J659" s="63">
        <v>16.350000000000001</v>
      </c>
      <c r="K659" s="63">
        <v>16.585000000000001</v>
      </c>
      <c r="L659" s="63">
        <v>15.54</v>
      </c>
      <c r="M659" s="63">
        <v>15.9</v>
      </c>
      <c r="N659" s="63">
        <v>1557835</v>
      </c>
      <c r="O659" s="63" t="s">
        <v>610</v>
      </c>
      <c r="P659" s="25">
        <f t="shared" si="22"/>
        <v>2.8301886792452935E-2</v>
      </c>
    </row>
    <row r="660" spans="2:16">
      <c r="B660" s="63">
        <v>396.58883989573093</v>
      </c>
      <c r="C660" s="63">
        <v>396.83275290549733</v>
      </c>
      <c r="D660" s="63">
        <v>390.98569766334543</v>
      </c>
      <c r="E660" s="63">
        <v>392.40607462784874</v>
      </c>
      <c r="F660" s="63">
        <v>4077746.0454136403</v>
      </c>
      <c r="G660" s="63" t="s">
        <v>611</v>
      </c>
      <c r="H660" s="25">
        <f t="shared" si="23"/>
        <v>1.065927756559093E-2</v>
      </c>
      <c r="J660" s="63">
        <v>16.05</v>
      </c>
      <c r="K660" s="63">
        <v>16.234999999999999</v>
      </c>
      <c r="L660" s="63">
        <v>15.14</v>
      </c>
      <c r="M660" s="63">
        <v>15.18</v>
      </c>
      <c r="N660" s="63">
        <v>1806149</v>
      </c>
      <c r="O660" s="63" t="s">
        <v>611</v>
      </c>
      <c r="P660" s="25">
        <f t="shared" si="22"/>
        <v>5.7312252964426991E-2</v>
      </c>
    </row>
    <row r="661" spans="2:16">
      <c r="B661" s="63">
        <v>390.49591250317189</v>
      </c>
      <c r="C661" s="63">
        <v>394.64929066144362</v>
      </c>
      <c r="D661" s="63">
        <v>390.07469726542263</v>
      </c>
      <c r="E661" s="63">
        <v>394.58072073901934</v>
      </c>
      <c r="F661" s="63">
        <v>4232074.935193019</v>
      </c>
      <c r="G661" s="63" t="s">
        <v>612</v>
      </c>
      <c r="H661" s="25">
        <f t="shared" si="23"/>
        <v>-1.0352275266254596E-2</v>
      </c>
      <c r="J661" s="63">
        <v>15.05</v>
      </c>
      <c r="K661" s="63">
        <v>15.46</v>
      </c>
      <c r="L661" s="63">
        <v>14.984999999999999</v>
      </c>
      <c r="M661" s="63">
        <v>15.25</v>
      </c>
      <c r="N661" s="63">
        <v>818714</v>
      </c>
      <c r="O661" s="63" t="s">
        <v>612</v>
      </c>
      <c r="P661" s="25">
        <f t="shared" si="22"/>
        <v>-1.3114754098360604E-2</v>
      </c>
    </row>
    <row r="662" spans="2:16">
      <c r="B662" s="63">
        <v>393.46401057382366</v>
      </c>
      <c r="C662" s="63">
        <v>394.27960082254458</v>
      </c>
      <c r="D662" s="63">
        <v>391.39711719789125</v>
      </c>
      <c r="E662" s="63">
        <v>393.77747307633473</v>
      </c>
      <c r="F662" s="63">
        <v>3809688.7201294741</v>
      </c>
      <c r="G662" s="63" t="s">
        <v>613</v>
      </c>
      <c r="H662" s="25">
        <f t="shared" si="23"/>
        <v>-7.9603970248010025E-4</v>
      </c>
      <c r="J662" s="63">
        <v>15.14</v>
      </c>
      <c r="K662" s="63">
        <v>15.385</v>
      </c>
      <c r="L662" s="63">
        <v>14.94</v>
      </c>
      <c r="M662" s="63">
        <v>15.31</v>
      </c>
      <c r="N662" s="63">
        <v>932112</v>
      </c>
      <c r="O662" s="63" t="s">
        <v>613</v>
      </c>
      <c r="P662" s="25">
        <f t="shared" si="22"/>
        <v>-1.1103853690398457E-2</v>
      </c>
    </row>
    <row r="663" spans="2:16">
      <c r="B663" s="63">
        <v>393.14075236810908</v>
      </c>
      <c r="C663" s="63">
        <v>393.8264515923521</v>
      </c>
      <c r="D663" s="63">
        <v>391.07385899217672</v>
      </c>
      <c r="E663" s="63">
        <v>392.08281642213421</v>
      </c>
      <c r="F663" s="63">
        <v>3428623.6835043048</v>
      </c>
      <c r="G663" s="63" t="s">
        <v>614</v>
      </c>
      <c r="H663" s="25">
        <f t="shared" si="23"/>
        <v>2.6982461400089086E-3</v>
      </c>
      <c r="J663" s="63">
        <v>15.3</v>
      </c>
      <c r="K663" s="63">
        <v>15.35</v>
      </c>
      <c r="L663" s="63">
        <v>14.73</v>
      </c>
      <c r="M663" s="63">
        <v>14.82</v>
      </c>
      <c r="N663" s="63">
        <v>990245</v>
      </c>
      <c r="O663" s="63" t="s">
        <v>614</v>
      </c>
      <c r="P663" s="25">
        <f t="shared" si="22"/>
        <v>3.238866396761142E-2</v>
      </c>
    </row>
    <row r="664" spans="2:16">
      <c r="B664" s="63">
        <v>392.03383790611684</v>
      </c>
      <c r="C664" s="63">
        <v>392.54615318365842</v>
      </c>
      <c r="D664" s="63">
        <v>390.31958984550937</v>
      </c>
      <c r="E664" s="63">
        <v>391.94567657728561</v>
      </c>
      <c r="F664" s="63">
        <v>4090676.2044200012</v>
      </c>
      <c r="G664" s="63" t="s">
        <v>615</v>
      </c>
      <c r="H664" s="25">
        <f t="shared" si="23"/>
        <v>2.2493252024391452E-4</v>
      </c>
      <c r="J664" s="63">
        <v>14.81</v>
      </c>
      <c r="K664" s="63">
        <v>15.01</v>
      </c>
      <c r="L664" s="63">
        <v>14.56</v>
      </c>
      <c r="M664" s="63">
        <v>14.84</v>
      </c>
      <c r="N664" s="63">
        <v>1100762</v>
      </c>
      <c r="O664" s="63" t="s">
        <v>615</v>
      </c>
      <c r="P664" s="25">
        <f t="shared" si="22"/>
        <v>-2.0215633423180668E-3</v>
      </c>
    </row>
    <row r="665" spans="2:16">
      <c r="B665" s="63">
        <v>391.27956875944955</v>
      </c>
      <c r="C665" s="63">
        <v>392.66076291113905</v>
      </c>
      <c r="D665" s="63">
        <v>389.71225624689419</v>
      </c>
      <c r="E665" s="63">
        <v>389.79062187252197</v>
      </c>
      <c r="F665" s="63">
        <v>6106182.3492982965</v>
      </c>
      <c r="G665" s="63" t="s">
        <v>616</v>
      </c>
      <c r="H665" s="25">
        <f t="shared" si="23"/>
        <v>3.8198632891033313E-3</v>
      </c>
      <c r="J665" s="63">
        <v>14.85</v>
      </c>
      <c r="K665" s="63">
        <v>15.08</v>
      </c>
      <c r="L665" s="63">
        <v>14.36</v>
      </c>
      <c r="M665" s="63">
        <v>14.48</v>
      </c>
      <c r="N665" s="63">
        <v>1536647</v>
      </c>
      <c r="O665" s="63" t="s">
        <v>616</v>
      </c>
      <c r="P665" s="25">
        <f t="shared" si="22"/>
        <v>2.5552486187845336E-2</v>
      </c>
    </row>
    <row r="666" spans="2:16">
      <c r="B666" s="63">
        <v>387.69434138697915</v>
      </c>
      <c r="C666" s="63">
        <v>387.82129370049614</v>
      </c>
      <c r="D666" s="63">
        <v>383.91319995043932</v>
      </c>
      <c r="E666" s="63">
        <v>383.92299565364277</v>
      </c>
      <c r="F666" s="63">
        <v>4851273.9731804803</v>
      </c>
      <c r="G666" s="63" t="s">
        <v>617</v>
      </c>
      <c r="H666" s="25">
        <f t="shared" si="23"/>
        <v>9.8231827111985304E-3</v>
      </c>
      <c r="J666" s="63">
        <v>14.33</v>
      </c>
      <c r="K666" s="63">
        <v>15.09</v>
      </c>
      <c r="L666" s="63">
        <v>14.01</v>
      </c>
      <c r="M666" s="63">
        <v>15.01</v>
      </c>
      <c r="N666" s="63">
        <v>1697765</v>
      </c>
      <c r="O666" s="63" t="s">
        <v>617</v>
      </c>
      <c r="P666" s="25">
        <f t="shared" si="22"/>
        <v>-4.530313124583607E-2</v>
      </c>
    </row>
    <row r="667" spans="2:16">
      <c r="B667" s="63">
        <v>380.46511242281747</v>
      </c>
      <c r="C667" s="63">
        <v>381.13122024065348</v>
      </c>
      <c r="D667" s="63">
        <v>376.76233661190543</v>
      </c>
      <c r="E667" s="63">
        <v>377.2227346624685</v>
      </c>
      <c r="F667" s="63">
        <v>5664890.9064881224</v>
      </c>
      <c r="G667" s="63" t="s">
        <v>618</v>
      </c>
      <c r="H667" s="25">
        <f t="shared" si="23"/>
        <v>8.5953932846867254E-3</v>
      </c>
      <c r="J667" s="63">
        <v>14.52</v>
      </c>
      <c r="K667" s="63">
        <v>14.805</v>
      </c>
      <c r="L667" s="63">
        <v>14.24</v>
      </c>
      <c r="M667" s="63">
        <v>14.24</v>
      </c>
      <c r="N667" s="63">
        <v>2215361</v>
      </c>
      <c r="O667" s="63" t="s">
        <v>618</v>
      </c>
      <c r="P667" s="25">
        <f t="shared" si="22"/>
        <v>1.9662921348314599E-2</v>
      </c>
    </row>
    <row r="668" spans="2:16">
      <c r="B668" s="63">
        <v>376.3215299677492</v>
      </c>
      <c r="C668" s="63">
        <v>376.62519676705682</v>
      </c>
      <c r="D668" s="63">
        <v>372.78528111129611</v>
      </c>
      <c r="E668" s="63">
        <v>374.53871198471751</v>
      </c>
      <c r="F668" s="63">
        <v>4617493.921617819</v>
      </c>
      <c r="G668" s="63" t="s">
        <v>619</v>
      </c>
      <c r="H668" s="25">
        <f t="shared" si="23"/>
        <v>4.7600366156661522E-3</v>
      </c>
      <c r="J668" s="63">
        <v>14.22</v>
      </c>
      <c r="K668" s="63">
        <v>14.24</v>
      </c>
      <c r="L668" s="63">
        <v>13.53</v>
      </c>
      <c r="M668" s="63">
        <v>13.57</v>
      </c>
      <c r="N668" s="63">
        <v>1105974</v>
      </c>
      <c r="O668" s="63" t="s">
        <v>619</v>
      </c>
      <c r="P668" s="25">
        <f t="shared" si="22"/>
        <v>4.7899778924097358E-2</v>
      </c>
    </row>
    <row r="669" spans="2:16">
      <c r="B669" s="63">
        <v>374.05872252774742</v>
      </c>
      <c r="C669" s="63">
        <v>374.97951862887368</v>
      </c>
      <c r="D669" s="63">
        <v>370.97307601865396</v>
      </c>
      <c r="E669" s="63">
        <v>372.14856040307052</v>
      </c>
      <c r="F669" s="63">
        <v>5916635.9776460733</v>
      </c>
      <c r="G669" s="63" t="s">
        <v>620</v>
      </c>
      <c r="H669" s="25">
        <f t="shared" si="23"/>
        <v>5.1327946092496468E-3</v>
      </c>
      <c r="J669" s="63">
        <v>13.6</v>
      </c>
      <c r="K669" s="63">
        <v>14</v>
      </c>
      <c r="L669" s="63">
        <v>13.38</v>
      </c>
      <c r="M669" s="63">
        <v>14</v>
      </c>
      <c r="N669" s="63">
        <v>1082327</v>
      </c>
      <c r="O669" s="63" t="s">
        <v>620</v>
      </c>
      <c r="P669" s="25">
        <f t="shared" si="22"/>
        <v>-2.8571428571428581E-2</v>
      </c>
    </row>
    <row r="670" spans="2:16">
      <c r="B670" s="63">
        <v>369.61147327337147</v>
      </c>
      <c r="C670" s="63">
        <v>373.1085393170107</v>
      </c>
      <c r="D670" s="63">
        <v>368.2645640828942</v>
      </c>
      <c r="E670" s="63">
        <v>372.7558940016857</v>
      </c>
      <c r="F670" s="63">
        <v>5756352.4362415485</v>
      </c>
      <c r="G670" s="63" t="s">
        <v>621</v>
      </c>
      <c r="H670" s="25">
        <f t="shared" si="23"/>
        <v>-8.4356029747982841E-3</v>
      </c>
      <c r="J670" s="63">
        <v>13.91</v>
      </c>
      <c r="K670" s="63">
        <v>14.07</v>
      </c>
      <c r="L670" s="63">
        <v>13.62</v>
      </c>
      <c r="M670" s="63">
        <v>13.86</v>
      </c>
      <c r="N670" s="63">
        <v>1058313</v>
      </c>
      <c r="O670" s="63" t="s">
        <v>621</v>
      </c>
      <c r="P670" s="25">
        <f t="shared" si="22"/>
        <v>3.6075036075036149E-3</v>
      </c>
    </row>
    <row r="671" spans="2:16">
      <c r="B671" s="63">
        <v>371.25715141155467</v>
      </c>
      <c r="C671" s="63">
        <v>375.56442006715292</v>
      </c>
      <c r="D671" s="63">
        <v>370.42451663925959</v>
      </c>
      <c r="E671" s="63">
        <v>374.81299167441466</v>
      </c>
      <c r="F671" s="63">
        <v>7104544.5696373712</v>
      </c>
      <c r="G671" s="63" t="s">
        <v>622</v>
      </c>
      <c r="H671" s="25">
        <f t="shared" si="23"/>
        <v>-9.4869717481639304E-3</v>
      </c>
      <c r="J671" s="63">
        <v>13.71</v>
      </c>
      <c r="K671" s="63">
        <v>14.44</v>
      </c>
      <c r="L671" s="63">
        <v>13.65</v>
      </c>
      <c r="M671" s="63">
        <v>14.19</v>
      </c>
      <c r="N671" s="63">
        <v>1241543</v>
      </c>
      <c r="O671" s="63" t="s">
        <v>622</v>
      </c>
      <c r="P671" s="25">
        <f t="shared" si="22"/>
        <v>-3.3826638477801207E-2</v>
      </c>
    </row>
    <row r="672" spans="2:16">
      <c r="B672" s="63">
        <v>375.87092762038952</v>
      </c>
      <c r="C672" s="63">
        <v>379.75982179216754</v>
      </c>
      <c r="D672" s="63">
        <v>375.29298113138475</v>
      </c>
      <c r="E672" s="63">
        <v>379.68145616653982</v>
      </c>
      <c r="F672" s="63">
        <v>5585320.3045813804</v>
      </c>
      <c r="G672" s="63" t="s">
        <v>623</v>
      </c>
      <c r="H672" s="25">
        <f t="shared" si="23"/>
        <v>-1.0036119711042457E-2</v>
      </c>
      <c r="J672" s="63">
        <v>14.23</v>
      </c>
      <c r="K672" s="63">
        <v>14.96</v>
      </c>
      <c r="L672" s="63">
        <v>13.97</v>
      </c>
      <c r="M672" s="63">
        <v>14.94</v>
      </c>
      <c r="N672" s="63">
        <v>1498011</v>
      </c>
      <c r="O672" s="63" t="s">
        <v>623</v>
      </c>
      <c r="P672" s="25">
        <f t="shared" si="22"/>
        <v>-4.7523427041499255E-2</v>
      </c>
    </row>
    <row r="673" spans="2:16">
      <c r="B673" s="63">
        <v>381.24876867909518</v>
      </c>
      <c r="C673" s="63">
        <v>382.28711321866308</v>
      </c>
      <c r="D673" s="63">
        <v>378.65290733017537</v>
      </c>
      <c r="E673" s="63">
        <v>380.34756398437582</v>
      </c>
      <c r="F673" s="63">
        <v>4544352.6692627948</v>
      </c>
      <c r="G673" s="63" t="s">
        <v>624</v>
      </c>
      <c r="H673" s="25">
        <f t="shared" si="23"/>
        <v>2.3694241269187621E-3</v>
      </c>
      <c r="J673" s="63">
        <v>14.555</v>
      </c>
      <c r="K673" s="63">
        <v>14.77</v>
      </c>
      <c r="L673" s="63">
        <v>13.734999999999999</v>
      </c>
      <c r="M673" s="63">
        <v>14.68</v>
      </c>
      <c r="N673" s="63">
        <v>1536224</v>
      </c>
      <c r="O673" s="63" t="s">
        <v>624</v>
      </c>
      <c r="P673" s="25">
        <f t="shared" si="22"/>
        <v>-8.5149863760217714E-3</v>
      </c>
    </row>
    <row r="674" spans="2:16">
      <c r="B674" s="63">
        <v>378.41781045329202</v>
      </c>
      <c r="C674" s="63">
        <v>381.97365071615201</v>
      </c>
      <c r="D674" s="63">
        <v>376.00806746523813</v>
      </c>
      <c r="E674" s="63">
        <v>377.60476708740396</v>
      </c>
      <c r="F674" s="63">
        <v>5652612.0534541337</v>
      </c>
      <c r="G674" s="63" t="s">
        <v>625</v>
      </c>
      <c r="H674" s="25">
        <f t="shared" si="23"/>
        <v>2.1531596970010281E-3</v>
      </c>
      <c r="J674" s="63">
        <v>14.55</v>
      </c>
      <c r="K674" s="63">
        <v>14.71</v>
      </c>
      <c r="L674" s="63">
        <v>13.91</v>
      </c>
      <c r="M674" s="63">
        <v>14.2</v>
      </c>
      <c r="N674" s="63">
        <v>1177608</v>
      </c>
      <c r="O674" s="63" t="s">
        <v>625</v>
      </c>
      <c r="P674" s="25">
        <f t="shared" si="22"/>
        <v>2.464788732394374E-2</v>
      </c>
    </row>
    <row r="675" spans="2:16">
      <c r="B675" s="63">
        <v>379.08391827112808</v>
      </c>
      <c r="C675" s="63">
        <v>383.81524291840458</v>
      </c>
      <c r="D675" s="63">
        <v>378.93698272307597</v>
      </c>
      <c r="E675" s="63">
        <v>383.38423197745186</v>
      </c>
      <c r="F675" s="63">
        <v>7707066.9079937013</v>
      </c>
      <c r="G675" s="63" t="s">
        <v>626</v>
      </c>
      <c r="H675" s="25">
        <f t="shared" si="23"/>
        <v>-1.1216720322959728E-2</v>
      </c>
      <c r="J675" s="63">
        <v>14.29</v>
      </c>
      <c r="K675" s="63">
        <v>14.6</v>
      </c>
      <c r="L675" s="63">
        <v>14.1099</v>
      </c>
      <c r="M675" s="63">
        <v>14.58</v>
      </c>
      <c r="N675" s="63">
        <v>1062855</v>
      </c>
      <c r="O675" s="63" t="s">
        <v>626</v>
      </c>
      <c r="P675" s="25">
        <f t="shared" si="22"/>
        <v>-1.9890260631001411E-2</v>
      </c>
    </row>
    <row r="676" spans="2:16">
      <c r="B676" s="63">
        <v>383.86422143442195</v>
      </c>
      <c r="C676" s="63">
        <v>389.4771593700109</v>
      </c>
      <c r="D676" s="63">
        <v>383.14423724896682</v>
      </c>
      <c r="E676" s="63">
        <v>387.88045974784512</v>
      </c>
      <c r="F676" s="63">
        <v>6848822.2444537785</v>
      </c>
      <c r="G676" s="63" t="s">
        <v>627</v>
      </c>
      <c r="H676" s="25">
        <f t="shared" si="23"/>
        <v>-1.0354319771699982E-2</v>
      </c>
      <c r="J676" s="63">
        <v>14.61</v>
      </c>
      <c r="K676" s="63">
        <v>15.1</v>
      </c>
      <c r="L676" s="63">
        <v>14.57</v>
      </c>
      <c r="M676" s="63">
        <v>14.74</v>
      </c>
      <c r="N676" s="63">
        <v>965686</v>
      </c>
      <c r="O676" s="63" t="s">
        <v>627</v>
      </c>
      <c r="P676" s="25">
        <f t="shared" si="22"/>
        <v>-8.8195386702849543E-3</v>
      </c>
    </row>
    <row r="677" spans="2:16">
      <c r="B677" s="63">
        <v>387.14578200758478</v>
      </c>
      <c r="C677" s="63">
        <v>391.64200977797799</v>
      </c>
      <c r="D677" s="63">
        <v>386.16621168723771</v>
      </c>
      <c r="E677" s="63">
        <v>390.74080508325864</v>
      </c>
      <c r="F677" s="63">
        <v>7482118.2795767868</v>
      </c>
      <c r="G677" s="63" t="s">
        <v>628</v>
      </c>
      <c r="H677" s="25">
        <f t="shared" si="23"/>
        <v>-9.2005314748425659E-3</v>
      </c>
      <c r="J677" s="63">
        <v>14.66</v>
      </c>
      <c r="K677" s="63">
        <v>15.177</v>
      </c>
      <c r="L677" s="63">
        <v>14.47</v>
      </c>
      <c r="M677" s="63">
        <v>15.11</v>
      </c>
      <c r="N677" s="63">
        <v>1297175</v>
      </c>
      <c r="O677" s="63" t="s">
        <v>628</v>
      </c>
      <c r="P677" s="25">
        <f t="shared" si="22"/>
        <v>-2.978160158835208E-2</v>
      </c>
    </row>
    <row r="678" spans="2:16">
      <c r="B678" s="63">
        <v>392.39627892464529</v>
      </c>
      <c r="C678" s="63">
        <v>394.27705393971172</v>
      </c>
      <c r="D678" s="63">
        <v>389.19063505130936</v>
      </c>
      <c r="E678" s="63">
        <v>389.50654647962131</v>
      </c>
      <c r="F678" s="63">
        <v>4302507.8572271941</v>
      </c>
      <c r="G678" s="63" t="s">
        <v>629</v>
      </c>
      <c r="H678" s="25">
        <f t="shared" si="23"/>
        <v>7.4189573221337124E-3</v>
      </c>
      <c r="J678" s="63">
        <v>15.32</v>
      </c>
      <c r="K678" s="63">
        <v>15.835000000000001</v>
      </c>
      <c r="L678" s="63">
        <v>14.93</v>
      </c>
      <c r="M678" s="63">
        <v>15.4</v>
      </c>
      <c r="N678" s="63">
        <v>1104294</v>
      </c>
      <c r="O678" s="63" t="s">
        <v>629</v>
      </c>
      <c r="P678" s="25">
        <f t="shared" si="22"/>
        <v>-5.1948051948051965E-3</v>
      </c>
    </row>
    <row r="679" spans="2:16">
      <c r="B679" s="63">
        <v>392.38648322144178</v>
      </c>
      <c r="C679" s="63">
        <v>393.39544065139933</v>
      </c>
      <c r="D679" s="63">
        <v>390.20204140706772</v>
      </c>
      <c r="E679" s="63">
        <v>390.42734258074756</v>
      </c>
      <c r="F679" s="63">
        <v>5258367.7690181229</v>
      </c>
      <c r="G679" s="63" t="s">
        <v>630</v>
      </c>
      <c r="H679" s="25">
        <f t="shared" si="23"/>
        <v>5.0179391323983413E-3</v>
      </c>
      <c r="J679" s="63">
        <v>15.72</v>
      </c>
      <c r="K679" s="63">
        <v>15.91</v>
      </c>
      <c r="L679" s="63">
        <v>15.41</v>
      </c>
      <c r="M679" s="63">
        <v>15.54</v>
      </c>
      <c r="N679" s="63">
        <v>899594</v>
      </c>
      <c r="O679" s="63" t="s">
        <v>630</v>
      </c>
      <c r="P679" s="25">
        <f t="shared" si="22"/>
        <v>1.1583011583011782E-2</v>
      </c>
    </row>
    <row r="680" spans="2:16">
      <c r="B680" s="63">
        <v>388.32126639200129</v>
      </c>
      <c r="C680" s="63">
        <v>392.76851564637718</v>
      </c>
      <c r="D680" s="63">
        <v>386.89109372429448</v>
      </c>
      <c r="E680" s="63">
        <v>391.64200977797799</v>
      </c>
      <c r="F680" s="63">
        <v>3850891.479300146</v>
      </c>
      <c r="G680" s="63" t="s">
        <v>631</v>
      </c>
      <c r="H680" s="25">
        <f t="shared" si="23"/>
        <v>-8.4790275380806079E-3</v>
      </c>
      <c r="J680" s="63">
        <v>15.56</v>
      </c>
      <c r="K680" s="63">
        <v>15.865</v>
      </c>
      <c r="L680" s="63">
        <v>15.32</v>
      </c>
      <c r="M680" s="63">
        <v>15.55</v>
      </c>
      <c r="N680" s="63">
        <v>1231050</v>
      </c>
      <c r="O680" s="63" t="s">
        <v>631</v>
      </c>
      <c r="P680" s="25">
        <f t="shared" si="22"/>
        <v>6.430868167202064E-4</v>
      </c>
    </row>
    <row r="681" spans="2:16">
      <c r="B681" s="63">
        <v>390.37836406473019</v>
      </c>
      <c r="C681" s="63">
        <v>393.59135471546875</v>
      </c>
      <c r="D681" s="63">
        <v>388.1057609215249</v>
      </c>
      <c r="E681" s="63">
        <v>393.27789221295768</v>
      </c>
      <c r="F681" s="63">
        <v>3953701.8624937828</v>
      </c>
      <c r="G681" s="63" t="s">
        <v>632</v>
      </c>
      <c r="H681" s="25">
        <f t="shared" si="23"/>
        <v>-7.3727209325497034E-3</v>
      </c>
      <c r="J681" s="63">
        <v>15.52</v>
      </c>
      <c r="K681" s="63">
        <v>16.18</v>
      </c>
      <c r="L681" s="63">
        <v>15.09</v>
      </c>
      <c r="M681" s="63">
        <v>16.18</v>
      </c>
      <c r="N681" s="63">
        <v>1137122</v>
      </c>
      <c r="O681" s="63" t="s">
        <v>632</v>
      </c>
      <c r="P681" s="25">
        <f t="shared" si="22"/>
        <v>-4.0791100123609425E-2</v>
      </c>
    </row>
    <row r="682" spans="2:16">
      <c r="B682" s="63">
        <v>392.73912853676677</v>
      </c>
      <c r="C682" s="63">
        <v>392.89585978802228</v>
      </c>
      <c r="D682" s="63">
        <v>389.8591917949463</v>
      </c>
      <c r="E682" s="63">
        <v>392.09261212533767</v>
      </c>
      <c r="F682" s="63">
        <v>4268998.2670342531</v>
      </c>
      <c r="G682" s="63" t="s">
        <v>633</v>
      </c>
      <c r="H682" s="25">
        <f t="shared" si="23"/>
        <v>1.6488870012740797E-3</v>
      </c>
      <c r="J682" s="63">
        <v>16.09</v>
      </c>
      <c r="K682" s="63">
        <v>16.38</v>
      </c>
      <c r="L682" s="63">
        <v>15.77</v>
      </c>
      <c r="M682" s="63">
        <v>16.239999999999998</v>
      </c>
      <c r="N682" s="63">
        <v>1114540</v>
      </c>
      <c r="O682" s="63" t="s">
        <v>633</v>
      </c>
      <c r="P682" s="25">
        <f t="shared" si="22"/>
        <v>-9.2364532019703072E-3</v>
      </c>
    </row>
    <row r="683" spans="2:16">
      <c r="B683" s="63">
        <v>391.08365469538018</v>
      </c>
      <c r="C683" s="63">
        <v>393.47380627702711</v>
      </c>
      <c r="D683" s="63">
        <v>389.26900067693714</v>
      </c>
      <c r="E683" s="63">
        <v>389.64368632446991</v>
      </c>
      <c r="F683" s="63">
        <v>3358247.9293924696</v>
      </c>
      <c r="G683" s="63" t="s">
        <v>634</v>
      </c>
      <c r="H683" s="25">
        <f t="shared" si="23"/>
        <v>3.6956029866506146E-3</v>
      </c>
      <c r="J683" s="63">
        <v>16.190000000000001</v>
      </c>
      <c r="K683" s="63">
        <v>16.88</v>
      </c>
      <c r="L683" s="63">
        <v>15.88</v>
      </c>
      <c r="M683" s="63">
        <v>16.75</v>
      </c>
      <c r="N683" s="63">
        <v>1443703</v>
      </c>
      <c r="O683" s="63" t="s">
        <v>634</v>
      </c>
      <c r="P683" s="25">
        <f t="shared" si="22"/>
        <v>-3.3432835820895401E-2</v>
      </c>
    </row>
    <row r="684" spans="2:16">
      <c r="B684" s="63">
        <v>389.07553553866859</v>
      </c>
      <c r="C684" s="63">
        <v>389.56532069884213</v>
      </c>
      <c r="D684" s="63">
        <v>384.29523237537467</v>
      </c>
      <c r="E684" s="63">
        <v>384.77522183234476</v>
      </c>
      <c r="F684" s="63">
        <v>3021224.6517955987</v>
      </c>
      <c r="G684" s="63" t="s">
        <v>635</v>
      </c>
      <c r="H684" s="25">
        <f t="shared" si="23"/>
        <v>1.1176171079429809E-2</v>
      </c>
      <c r="J684" s="63">
        <v>16.64</v>
      </c>
      <c r="K684" s="63">
        <v>17.170000000000002</v>
      </c>
      <c r="L684" s="63">
        <v>16.234999999999999</v>
      </c>
      <c r="M684" s="63">
        <v>17.079999999999998</v>
      </c>
      <c r="N684" s="63">
        <v>1562069</v>
      </c>
      <c r="O684" s="63" t="s">
        <v>635</v>
      </c>
      <c r="P684" s="25">
        <f t="shared" si="22"/>
        <v>-2.5761124121779777E-2</v>
      </c>
    </row>
    <row r="685" spans="2:16">
      <c r="B685" s="63">
        <v>386.49926559615568</v>
      </c>
      <c r="C685" s="63">
        <v>387.99311033468501</v>
      </c>
      <c r="D685" s="63">
        <v>378.51615931345486</v>
      </c>
      <c r="E685" s="63">
        <v>379.76961749537105</v>
      </c>
      <c r="F685" s="63">
        <v>4999354.2048769658</v>
      </c>
      <c r="G685" s="63" t="s">
        <v>636</v>
      </c>
      <c r="H685" s="25">
        <f t="shared" si="23"/>
        <v>1.7720343573473629E-2</v>
      </c>
      <c r="J685" s="63">
        <v>17.25</v>
      </c>
      <c r="K685" s="63">
        <v>17.36</v>
      </c>
      <c r="L685" s="63">
        <v>16.350000000000001</v>
      </c>
      <c r="M685" s="63">
        <v>16.350000000000001</v>
      </c>
      <c r="N685" s="63">
        <v>2805726</v>
      </c>
      <c r="O685" s="63" t="s">
        <v>636</v>
      </c>
      <c r="P685" s="25">
        <f t="shared" si="22"/>
        <v>5.504587155963292E-2</v>
      </c>
    </row>
    <row r="686" spans="2:16">
      <c r="B686" s="63">
        <v>381.94426360654165</v>
      </c>
      <c r="C686" s="63">
        <v>382.80520796109471</v>
      </c>
      <c r="D686" s="63">
        <v>379.04473545831416</v>
      </c>
      <c r="E686" s="63">
        <v>381.92467220013464</v>
      </c>
      <c r="F686" s="63">
        <v>3398521.7098251195</v>
      </c>
      <c r="G686" s="63" t="s">
        <v>637</v>
      </c>
      <c r="H686" s="25">
        <f t="shared" si="23"/>
        <v>5.1296519531396356E-5</v>
      </c>
      <c r="J686" s="63">
        <v>16.46</v>
      </c>
      <c r="K686" s="63">
        <v>16.515000000000001</v>
      </c>
      <c r="L686" s="63">
        <v>15.84</v>
      </c>
      <c r="M686" s="63">
        <v>15.98</v>
      </c>
      <c r="N686" s="63">
        <v>1440069</v>
      </c>
      <c r="O686" s="63" t="s">
        <v>637</v>
      </c>
      <c r="P686" s="25">
        <f t="shared" si="22"/>
        <v>3.0037546933667114E-2</v>
      </c>
    </row>
    <row r="687" spans="2:16">
      <c r="B687" s="63">
        <v>382.26752181225618</v>
      </c>
      <c r="C687" s="63">
        <v>382.86505970766791</v>
      </c>
      <c r="D687" s="63">
        <v>378.50597178212325</v>
      </c>
      <c r="E687" s="63">
        <v>379.80880030818491</v>
      </c>
      <c r="F687" s="63">
        <v>4424123.4243033649</v>
      </c>
      <c r="G687" s="63" t="s">
        <v>638</v>
      </c>
      <c r="H687" s="25">
        <f t="shared" si="23"/>
        <v>6.4735769736672388E-3</v>
      </c>
      <c r="J687" s="63">
        <v>16.04</v>
      </c>
      <c r="K687" s="63">
        <v>16.13</v>
      </c>
      <c r="L687" s="63">
        <v>15.505000000000001</v>
      </c>
      <c r="M687" s="63">
        <v>15.65</v>
      </c>
      <c r="N687" s="63">
        <v>1777285</v>
      </c>
      <c r="O687" s="63" t="s">
        <v>638</v>
      </c>
      <c r="P687" s="25">
        <f t="shared" si="22"/>
        <v>2.4920127795527103E-2</v>
      </c>
    </row>
    <row r="688" spans="2:16">
      <c r="B688" s="63">
        <v>379.47574639926688</v>
      </c>
      <c r="C688" s="63">
        <v>383.92299565364277</v>
      </c>
      <c r="D688" s="63">
        <v>378.14353076359481</v>
      </c>
      <c r="E688" s="63">
        <v>382.60057572117415</v>
      </c>
      <c r="F688" s="63">
        <v>7030289.5636524763</v>
      </c>
      <c r="G688" s="63" t="s">
        <v>639</v>
      </c>
      <c r="H688" s="25">
        <f t="shared" si="23"/>
        <v>-8.167340877669127E-3</v>
      </c>
      <c r="J688" s="63">
        <v>15.6</v>
      </c>
      <c r="K688" s="63">
        <v>15.89</v>
      </c>
      <c r="L688" s="63">
        <v>15.44</v>
      </c>
      <c r="M688" s="63">
        <v>15.69</v>
      </c>
      <c r="N688" s="63">
        <v>1201110</v>
      </c>
      <c r="O688" s="63" t="s">
        <v>639</v>
      </c>
      <c r="P688" s="25">
        <f t="shared" si="22"/>
        <v>-5.7361376673039643E-3</v>
      </c>
    </row>
    <row r="689" spans="2:16">
      <c r="B689" s="63">
        <v>384.64787769069966</v>
      </c>
      <c r="C689" s="63">
        <v>385.71551138284599</v>
      </c>
      <c r="D689" s="63">
        <v>382.00303782576248</v>
      </c>
      <c r="E689" s="63">
        <v>383.89360854403236</v>
      </c>
      <c r="F689" s="63">
        <v>6008913.1711485982</v>
      </c>
      <c r="G689" s="63" t="s">
        <v>640</v>
      </c>
      <c r="H689" s="25">
        <f t="shared" si="23"/>
        <v>1.964786935442886E-3</v>
      </c>
      <c r="J689" s="63">
        <v>15.94</v>
      </c>
      <c r="K689" s="63">
        <v>16.285</v>
      </c>
      <c r="L689" s="63">
        <v>15.27</v>
      </c>
      <c r="M689" s="63">
        <v>15.395</v>
      </c>
      <c r="N689" s="63">
        <v>2273262</v>
      </c>
      <c r="O689" s="63" t="s">
        <v>640</v>
      </c>
      <c r="P689" s="25">
        <f t="shared" si="22"/>
        <v>3.5401104254628057E-2</v>
      </c>
    </row>
    <row r="690" spans="2:16">
      <c r="B690" s="63">
        <v>384.67726480031007</v>
      </c>
      <c r="C690" s="63">
        <v>388.63472889451236</v>
      </c>
      <c r="D690" s="63">
        <v>383.30586635182414</v>
      </c>
      <c r="E690" s="63">
        <v>388.51718045607072</v>
      </c>
      <c r="F690" s="63">
        <v>5886851.490107025</v>
      </c>
      <c r="G690" s="63" t="s">
        <v>641</v>
      </c>
      <c r="H690" s="25">
        <f t="shared" si="23"/>
        <v>-9.8835157077302727E-3</v>
      </c>
      <c r="J690" s="63">
        <v>15.25</v>
      </c>
      <c r="K690" s="63">
        <v>15.305</v>
      </c>
      <c r="L690" s="63">
        <v>15.11</v>
      </c>
      <c r="M690" s="63">
        <v>15.2</v>
      </c>
      <c r="N690" s="63">
        <v>970318</v>
      </c>
      <c r="O690" s="63" t="s">
        <v>641</v>
      </c>
      <c r="P690" s="25">
        <f t="shared" si="22"/>
        <v>3.2894736842106198E-3</v>
      </c>
    </row>
    <row r="691" spans="2:16">
      <c r="B691" s="63">
        <v>385.59806090143633</v>
      </c>
      <c r="C691" s="63">
        <v>387.1947605236021</v>
      </c>
      <c r="D691" s="63">
        <v>382.35568314108741</v>
      </c>
      <c r="E691" s="63">
        <v>382.88465111407487</v>
      </c>
      <c r="F691" s="63">
        <v>4150569.8116285275</v>
      </c>
      <c r="G691" s="63" t="s">
        <v>642</v>
      </c>
      <c r="H691" s="25">
        <f t="shared" si="23"/>
        <v>7.0867551871465206E-3</v>
      </c>
      <c r="J691" s="63">
        <v>15.02</v>
      </c>
      <c r="K691" s="63">
        <v>15.26</v>
      </c>
      <c r="L691" s="63">
        <v>14.84</v>
      </c>
      <c r="M691" s="63">
        <v>15</v>
      </c>
      <c r="N691" s="63">
        <v>1481689</v>
      </c>
      <c r="O691" s="63" t="s">
        <v>642</v>
      </c>
      <c r="P691" s="25">
        <f t="shared" si="22"/>
        <v>1.3333333333334085E-3</v>
      </c>
    </row>
    <row r="692" spans="2:16">
      <c r="B692" s="63">
        <v>383.36219164524408</v>
      </c>
      <c r="C692" s="63">
        <v>384.86499876025914</v>
      </c>
      <c r="D692" s="63">
        <v>380.04430580689905</v>
      </c>
      <c r="E692" s="63">
        <v>384.32828193346802</v>
      </c>
      <c r="F692" s="63">
        <v>4957425.903540004</v>
      </c>
      <c r="G692" s="63" t="s">
        <v>643</v>
      </c>
      <c r="H692" s="25">
        <f t="shared" si="23"/>
        <v>-2.5137111517365973E-3</v>
      </c>
      <c r="J692" s="63">
        <v>15.1</v>
      </c>
      <c r="K692" s="63">
        <v>15.14</v>
      </c>
      <c r="L692" s="63">
        <v>14.76</v>
      </c>
      <c r="M692" s="63">
        <v>14.8</v>
      </c>
      <c r="N692" s="63">
        <v>1033336</v>
      </c>
      <c r="O692" s="63" t="s">
        <v>643</v>
      </c>
      <c r="P692" s="25">
        <f t="shared" si="22"/>
        <v>2.0270270270270174E-2</v>
      </c>
    </row>
    <row r="693" spans="2:16">
      <c r="B693" s="63">
        <v>383.27436525540548</v>
      </c>
      <c r="C693" s="63">
        <v>386.78742084894725</v>
      </c>
      <c r="D693" s="63">
        <v>382.49368623461845</v>
      </c>
      <c r="E693" s="63">
        <v>386.16287763231765</v>
      </c>
      <c r="F693" s="63">
        <v>5876662.5947943795</v>
      </c>
      <c r="G693" s="63" t="s">
        <v>644</v>
      </c>
      <c r="H693" s="25">
        <f t="shared" si="23"/>
        <v>-7.4800363893663402E-3</v>
      </c>
      <c r="J693" s="63">
        <v>14.65</v>
      </c>
      <c r="K693" s="63">
        <v>14.75</v>
      </c>
      <c r="L693" s="63">
        <v>14.56</v>
      </c>
      <c r="M693" s="63">
        <v>14.74</v>
      </c>
      <c r="N693" s="63">
        <v>685396</v>
      </c>
      <c r="O693" s="63" t="s">
        <v>644</v>
      </c>
      <c r="P693" s="25">
        <f t="shared" si="22"/>
        <v>-6.105834464043447E-3</v>
      </c>
    </row>
    <row r="694" spans="2:16">
      <c r="B694" s="63">
        <v>388.98308059491086</v>
      </c>
      <c r="C694" s="63">
        <v>389.01157537916959</v>
      </c>
      <c r="D694" s="63">
        <v>385.82133056072325</v>
      </c>
      <c r="E694" s="63">
        <v>386.20191158335695</v>
      </c>
      <c r="F694" s="63">
        <v>3307787.1074293554</v>
      </c>
      <c r="G694" s="63" t="s">
        <v>645</v>
      </c>
      <c r="H694" s="25">
        <f t="shared" si="23"/>
        <v>7.2013341419041588E-3</v>
      </c>
      <c r="J694" s="63">
        <v>14.88</v>
      </c>
      <c r="K694" s="63">
        <v>15.01</v>
      </c>
      <c r="L694" s="63">
        <v>14.7</v>
      </c>
      <c r="M694" s="63">
        <v>14.8</v>
      </c>
      <c r="N694" s="63">
        <v>945238</v>
      </c>
      <c r="O694" s="63" t="s">
        <v>645</v>
      </c>
      <c r="P694" s="25">
        <f t="shared" si="22"/>
        <v>5.4054054054053502E-3</v>
      </c>
    </row>
    <row r="695" spans="2:16">
      <c r="B695" s="63">
        <v>387.37293011453755</v>
      </c>
      <c r="C695" s="63">
        <v>390.65763709449914</v>
      </c>
      <c r="D695" s="63">
        <v>386.9777113602641</v>
      </c>
      <c r="E695" s="63">
        <v>389.16361261846788</v>
      </c>
      <c r="F695" s="63">
        <v>7384881.9380181106</v>
      </c>
      <c r="G695" s="63" t="s">
        <v>646</v>
      </c>
      <c r="H695" s="25">
        <f t="shared" si="23"/>
        <v>-4.6013616018255599E-3</v>
      </c>
      <c r="J695" s="63">
        <v>14.87</v>
      </c>
      <c r="K695" s="63">
        <v>15.02</v>
      </c>
      <c r="L695" s="63">
        <v>14.494999999999999</v>
      </c>
      <c r="M695" s="63">
        <v>14.63</v>
      </c>
      <c r="N695" s="63">
        <v>812118</v>
      </c>
      <c r="O695" s="63" t="s">
        <v>646</v>
      </c>
      <c r="P695" s="25">
        <f t="shared" si="22"/>
        <v>1.6404647983595311E-2</v>
      </c>
    </row>
    <row r="696" spans="2:16">
      <c r="B696" s="63">
        <v>388.30974493948202</v>
      </c>
      <c r="C696" s="63">
        <v>392.34000038429519</v>
      </c>
      <c r="D696" s="63">
        <v>388.08529972100575</v>
      </c>
      <c r="E696" s="63">
        <v>392.09603819029928</v>
      </c>
      <c r="F696" s="63">
        <v>4747804.284868842</v>
      </c>
      <c r="G696" s="63" t="s">
        <v>647</v>
      </c>
      <c r="H696" s="25">
        <f t="shared" si="23"/>
        <v>-9.656545545047357E-3</v>
      </c>
      <c r="J696" s="63">
        <v>14.48</v>
      </c>
      <c r="K696" s="63">
        <v>14.73</v>
      </c>
      <c r="L696" s="63">
        <v>14.4</v>
      </c>
      <c r="M696" s="63">
        <v>14.51</v>
      </c>
      <c r="N696" s="63">
        <v>1122943</v>
      </c>
      <c r="O696" s="63" t="s">
        <v>647</v>
      </c>
      <c r="P696" s="25">
        <f t="shared" si="22"/>
        <v>-2.0675396278427849E-3</v>
      </c>
    </row>
    <row r="697" spans="2:16">
      <c r="B697" s="63">
        <v>394.77962232425477</v>
      </c>
      <c r="C697" s="63">
        <v>399.94186234920915</v>
      </c>
      <c r="D697" s="63">
        <v>394.56493559353828</v>
      </c>
      <c r="E697" s="63">
        <v>399.57103981433528</v>
      </c>
      <c r="F697" s="63">
        <v>4108643.7762427176</v>
      </c>
      <c r="G697" s="63" t="s">
        <v>648</v>
      </c>
      <c r="H697" s="25">
        <f t="shared" si="23"/>
        <v>-1.1991403311678694E-2</v>
      </c>
      <c r="J697" s="63">
        <v>14.79</v>
      </c>
      <c r="K697" s="63">
        <v>15.28</v>
      </c>
      <c r="L697" s="63">
        <v>14.77</v>
      </c>
      <c r="M697" s="63">
        <v>15.25</v>
      </c>
      <c r="N697" s="63">
        <v>1058337</v>
      </c>
      <c r="O697" s="63" t="s">
        <v>648</v>
      </c>
      <c r="P697" s="25">
        <f t="shared" si="22"/>
        <v>-3.0163934426229555E-2</v>
      </c>
    </row>
    <row r="698" spans="2:16">
      <c r="B698" s="63">
        <v>398.50736464851298</v>
      </c>
      <c r="C698" s="63">
        <v>398.93185886606591</v>
      </c>
      <c r="D698" s="63">
        <v>395.91160690439597</v>
      </c>
      <c r="E698" s="63">
        <v>398.36098733211543</v>
      </c>
      <c r="F698" s="63">
        <v>3719606.0386923924</v>
      </c>
      <c r="G698" s="63" t="s">
        <v>649</v>
      </c>
      <c r="H698" s="25">
        <f t="shared" si="23"/>
        <v>3.6744892459950051E-4</v>
      </c>
      <c r="J698" s="63">
        <v>15.13</v>
      </c>
      <c r="K698" s="63">
        <v>15.17</v>
      </c>
      <c r="L698" s="63">
        <v>14.81</v>
      </c>
      <c r="M698" s="63">
        <v>15.01</v>
      </c>
      <c r="N698" s="63">
        <v>1342427</v>
      </c>
      <c r="O698" s="63" t="s">
        <v>649</v>
      </c>
      <c r="P698" s="25">
        <f t="shared" ref="P698:P761" si="24">J698/M698-1</f>
        <v>7.9946702198534503E-3</v>
      </c>
    </row>
    <row r="699" spans="2:16">
      <c r="B699" s="63">
        <v>399.30756064481966</v>
      </c>
      <c r="C699" s="63">
        <v>400.42978673720103</v>
      </c>
      <c r="D699" s="63">
        <v>398.30243640555636</v>
      </c>
      <c r="E699" s="63">
        <v>398.71229289146953</v>
      </c>
      <c r="F699" s="63">
        <v>3089178.4405435175</v>
      </c>
      <c r="G699" s="63" t="s">
        <v>650</v>
      </c>
      <c r="H699" s="25">
        <f t="shared" ref="H699:H762" si="25">B699/E699-1</f>
        <v>1.4929756718391474E-3</v>
      </c>
      <c r="J699" s="63">
        <v>15.03</v>
      </c>
      <c r="K699" s="63">
        <v>15.21</v>
      </c>
      <c r="L699" s="63">
        <v>14.7</v>
      </c>
      <c r="M699" s="63">
        <v>14.77</v>
      </c>
      <c r="N699" s="63">
        <v>1728880</v>
      </c>
      <c r="O699" s="63" t="s">
        <v>650</v>
      </c>
      <c r="P699" s="25">
        <f t="shared" si="24"/>
        <v>1.760324983073791E-2</v>
      </c>
    </row>
    <row r="700" spans="2:16">
      <c r="B700" s="63">
        <v>398.86842869562696</v>
      </c>
      <c r="C700" s="63">
        <v>402.70351438524341</v>
      </c>
      <c r="D700" s="63">
        <v>398.61470801387117</v>
      </c>
      <c r="E700" s="63">
        <v>402.38148428916867</v>
      </c>
      <c r="F700" s="63">
        <v>4103125.5031941393</v>
      </c>
      <c r="G700" s="63" t="s">
        <v>651</v>
      </c>
      <c r="H700" s="25">
        <f t="shared" si="25"/>
        <v>-8.7306591647667853E-3</v>
      </c>
      <c r="J700" s="63">
        <v>14.96</v>
      </c>
      <c r="K700" s="63">
        <v>15.37</v>
      </c>
      <c r="L700" s="63">
        <v>14.63</v>
      </c>
      <c r="M700" s="63">
        <v>15.31</v>
      </c>
      <c r="N700" s="63">
        <v>3356439</v>
      </c>
      <c r="O700" s="63" t="s">
        <v>651</v>
      </c>
      <c r="P700" s="25">
        <f t="shared" si="24"/>
        <v>-2.2860875244937962E-2</v>
      </c>
    </row>
    <row r="701" spans="2:16">
      <c r="B701" s="63">
        <v>403.90380837970343</v>
      </c>
      <c r="C701" s="63">
        <v>404.49907613305362</v>
      </c>
      <c r="D701" s="63">
        <v>401.48370341526362</v>
      </c>
      <c r="E701" s="63">
        <v>402.70351438524341</v>
      </c>
      <c r="F701" s="63">
        <v>3751504.4237353187</v>
      </c>
      <c r="G701" s="63" t="s">
        <v>652</v>
      </c>
      <c r="H701" s="25">
        <f t="shared" si="25"/>
        <v>2.9805898175294665E-3</v>
      </c>
      <c r="J701" s="63">
        <v>15.36</v>
      </c>
      <c r="K701" s="63">
        <v>15.41</v>
      </c>
      <c r="L701" s="63">
        <v>15.09</v>
      </c>
      <c r="M701" s="63">
        <v>15.17</v>
      </c>
      <c r="N701" s="63">
        <v>1428622</v>
      </c>
      <c r="O701" s="63" t="s">
        <v>652</v>
      </c>
      <c r="P701" s="25">
        <f t="shared" si="24"/>
        <v>1.2524719841793042E-2</v>
      </c>
    </row>
    <row r="702" spans="2:16">
      <c r="B702" s="63">
        <v>400.43954522496091</v>
      </c>
      <c r="C702" s="63">
        <v>401.46418643974391</v>
      </c>
      <c r="D702" s="63">
        <v>399.11239088962293</v>
      </c>
      <c r="E702" s="63">
        <v>400.12727361664605</v>
      </c>
      <c r="F702" s="63">
        <v>2592356.5846046028</v>
      </c>
      <c r="G702" s="63" t="s">
        <v>653</v>
      </c>
      <c r="H702" s="25">
        <f t="shared" si="25"/>
        <v>7.8043070019284677E-4</v>
      </c>
      <c r="J702" s="63">
        <v>15.07</v>
      </c>
      <c r="K702" s="63">
        <v>15.6</v>
      </c>
      <c r="L702" s="63">
        <v>14.885</v>
      </c>
      <c r="M702" s="63">
        <v>15.58</v>
      </c>
      <c r="N702" s="63">
        <v>1609172</v>
      </c>
      <c r="O702" s="63" t="s">
        <v>653</v>
      </c>
      <c r="P702" s="25">
        <f t="shared" si="24"/>
        <v>-3.2734274711168188E-2</v>
      </c>
    </row>
    <row r="703" spans="2:16">
      <c r="B703" s="63">
        <v>399.97113781248868</v>
      </c>
      <c r="C703" s="63">
        <v>402.19607302173176</v>
      </c>
      <c r="D703" s="63">
        <v>399.40514552241808</v>
      </c>
      <c r="E703" s="63">
        <v>400.78109229655524</v>
      </c>
      <c r="F703" s="63">
        <v>7783271.5344061935</v>
      </c>
      <c r="G703" s="63" t="s">
        <v>654</v>
      </c>
      <c r="H703" s="25">
        <f t="shared" si="25"/>
        <v>-2.020939858777715E-3</v>
      </c>
      <c r="J703" s="63">
        <v>15.65</v>
      </c>
      <c r="K703" s="63">
        <v>16.14</v>
      </c>
      <c r="L703" s="63">
        <v>15.46</v>
      </c>
      <c r="M703" s="63">
        <v>15.57</v>
      </c>
      <c r="N703" s="63">
        <v>1008435</v>
      </c>
      <c r="O703" s="63" t="s">
        <v>654</v>
      </c>
      <c r="P703" s="25">
        <f t="shared" si="24"/>
        <v>5.138086062941527E-3</v>
      </c>
    </row>
    <row r="704" spans="2:16">
      <c r="B704" s="63">
        <v>402.12776360741293</v>
      </c>
      <c r="C704" s="63">
        <v>402.42051824020808</v>
      </c>
      <c r="D704" s="63">
        <v>400.3809942984019</v>
      </c>
      <c r="E704" s="63">
        <v>401.93259385221614</v>
      </c>
      <c r="F704" s="63">
        <v>3429386.8910437454</v>
      </c>
      <c r="G704" s="63" t="s">
        <v>655</v>
      </c>
      <c r="H704" s="25">
        <f t="shared" si="25"/>
        <v>4.8557832378359755E-4</v>
      </c>
      <c r="J704" s="63">
        <v>15.63</v>
      </c>
      <c r="K704" s="63">
        <v>16.100000000000001</v>
      </c>
      <c r="L704" s="63">
        <v>15.14</v>
      </c>
      <c r="M704" s="63">
        <v>16.02</v>
      </c>
      <c r="N704" s="63">
        <v>1532387</v>
      </c>
      <c r="O704" s="63" t="s">
        <v>655</v>
      </c>
      <c r="P704" s="25">
        <f t="shared" si="24"/>
        <v>-2.4344569288389462E-2</v>
      </c>
    </row>
    <row r="705" spans="2:16">
      <c r="B705" s="63">
        <v>399.50273040001645</v>
      </c>
      <c r="C705" s="63">
        <v>400.91771112519297</v>
      </c>
      <c r="D705" s="63">
        <v>398.62446650163099</v>
      </c>
      <c r="E705" s="63">
        <v>398.94649659770567</v>
      </c>
      <c r="F705" s="63">
        <v>4227317.901629867</v>
      </c>
      <c r="G705" s="63" t="s">
        <v>656</v>
      </c>
      <c r="H705" s="25">
        <f t="shared" si="25"/>
        <v>1.3942566410645174E-3</v>
      </c>
      <c r="J705" s="63">
        <v>15.84</v>
      </c>
      <c r="K705" s="63">
        <v>16.64</v>
      </c>
      <c r="L705" s="63">
        <v>15.81</v>
      </c>
      <c r="M705" s="63">
        <v>16.54</v>
      </c>
      <c r="N705" s="63">
        <v>1177823</v>
      </c>
      <c r="O705" s="63" t="s">
        <v>656</v>
      </c>
      <c r="P705" s="25">
        <f t="shared" si="24"/>
        <v>-4.2321644498186206E-2</v>
      </c>
    </row>
    <row r="706" spans="2:16">
      <c r="B706" s="63">
        <v>398.9562550854655</v>
      </c>
      <c r="C706" s="63">
        <v>399.5417643510558</v>
      </c>
      <c r="D706" s="63">
        <v>397.02895375289745</v>
      </c>
      <c r="E706" s="63">
        <v>397.33634611733237</v>
      </c>
      <c r="F706" s="63">
        <v>2301339.1575307297</v>
      </c>
      <c r="G706" s="63" t="s">
        <v>657</v>
      </c>
      <c r="H706" s="25">
        <f t="shared" si="25"/>
        <v>4.0769211877103029E-3</v>
      </c>
      <c r="J706" s="63">
        <v>16.59</v>
      </c>
      <c r="K706" s="63">
        <v>16.63</v>
      </c>
      <c r="L706" s="63">
        <v>16.16</v>
      </c>
      <c r="M706" s="63">
        <v>16.5</v>
      </c>
      <c r="N706" s="63">
        <v>1062256</v>
      </c>
      <c r="O706" s="63" t="s">
        <v>657</v>
      </c>
      <c r="P706" s="25">
        <f t="shared" si="24"/>
        <v>5.4545454545453786E-3</v>
      </c>
    </row>
    <row r="707" spans="2:16">
      <c r="B707" s="63">
        <v>400.14679059216576</v>
      </c>
      <c r="C707" s="63">
        <v>402.17655604621211</v>
      </c>
      <c r="D707" s="63">
        <v>397.98040630948168</v>
      </c>
      <c r="E707" s="63">
        <v>402.14728058293264</v>
      </c>
      <c r="F707" s="63">
        <v>3836729.7189314449</v>
      </c>
      <c r="G707" s="63" t="s">
        <v>658</v>
      </c>
      <c r="H707" s="25">
        <f t="shared" si="25"/>
        <v>-4.9745207473915753E-3</v>
      </c>
      <c r="J707" s="63">
        <v>17.02</v>
      </c>
      <c r="K707" s="63">
        <v>17.18</v>
      </c>
      <c r="L707" s="63">
        <v>16.739999999999998</v>
      </c>
      <c r="M707" s="63">
        <v>17.05</v>
      </c>
      <c r="N707" s="63">
        <v>1331487</v>
      </c>
      <c r="O707" s="63" t="s">
        <v>658</v>
      </c>
      <c r="P707" s="25">
        <f t="shared" si="24"/>
        <v>-1.7595307917889214E-3</v>
      </c>
    </row>
    <row r="708" spans="2:16">
      <c r="B708" s="63">
        <v>402.92795960371961</v>
      </c>
      <c r="C708" s="63">
        <v>404.46004218201426</v>
      </c>
      <c r="D708" s="63">
        <v>402.80109926284172</v>
      </c>
      <c r="E708" s="63">
        <v>404.19656301249859</v>
      </c>
      <c r="F708" s="63">
        <v>4536242.8164519137</v>
      </c>
      <c r="G708" s="63" t="s">
        <v>659</v>
      </c>
      <c r="H708" s="25">
        <f t="shared" si="25"/>
        <v>-3.1385803959439462E-3</v>
      </c>
      <c r="J708" s="63">
        <v>17.05</v>
      </c>
      <c r="K708" s="63">
        <v>17.099</v>
      </c>
      <c r="L708" s="63">
        <v>16.63</v>
      </c>
      <c r="M708" s="63">
        <v>16.77</v>
      </c>
      <c r="N708" s="63">
        <v>1665934</v>
      </c>
      <c r="O708" s="63" t="s">
        <v>659</v>
      </c>
      <c r="P708" s="25">
        <f t="shared" si="24"/>
        <v>1.6696481812760844E-2</v>
      </c>
    </row>
    <row r="709" spans="2:16">
      <c r="B709" s="63">
        <v>404.69424588825035</v>
      </c>
      <c r="C709" s="63">
        <v>406.81183773213525</v>
      </c>
      <c r="D709" s="63">
        <v>403.23047272427465</v>
      </c>
      <c r="E709" s="63">
        <v>406.40198124622202</v>
      </c>
      <c r="F709" s="63">
        <v>3676769.4834506679</v>
      </c>
      <c r="G709" s="63" t="s">
        <v>660</v>
      </c>
      <c r="H709" s="25">
        <f t="shared" si="25"/>
        <v>-4.2020842337798792E-3</v>
      </c>
      <c r="J709" s="63">
        <v>16.809999999999999</v>
      </c>
      <c r="K709" s="63">
        <v>16.89</v>
      </c>
      <c r="L709" s="63">
        <v>16.440000000000001</v>
      </c>
      <c r="M709" s="63">
        <v>16.55</v>
      </c>
      <c r="N709" s="63">
        <v>1558059</v>
      </c>
      <c r="O709" s="63" t="s">
        <v>660</v>
      </c>
      <c r="P709" s="25">
        <f t="shared" si="24"/>
        <v>1.5709969788519462E-2</v>
      </c>
    </row>
    <row r="710" spans="2:16">
      <c r="B710" s="63">
        <v>403.8354989653846</v>
      </c>
      <c r="C710" s="63">
        <v>406.07019266238757</v>
      </c>
      <c r="D710" s="63">
        <v>403.6696046734674</v>
      </c>
      <c r="E710" s="63">
        <v>404.95967675531801</v>
      </c>
      <c r="F710" s="63">
        <v>4868716.4619436599</v>
      </c>
      <c r="G710" s="63" t="s">
        <v>661</v>
      </c>
      <c r="H710" s="25">
        <f t="shared" si="25"/>
        <v>-2.7760240203190678E-3</v>
      </c>
      <c r="J710" s="63">
        <v>16.46</v>
      </c>
      <c r="K710" s="63">
        <v>16.600000000000001</v>
      </c>
      <c r="L710" s="63">
        <v>16.22</v>
      </c>
      <c r="M710" s="63">
        <v>16.22</v>
      </c>
      <c r="N710" s="63">
        <v>2168747</v>
      </c>
      <c r="O710" s="63" t="s">
        <v>661</v>
      </c>
      <c r="P710" s="25">
        <f t="shared" si="24"/>
        <v>1.4796547472256671E-2</v>
      </c>
    </row>
    <row r="711" spans="2:16">
      <c r="B711" s="63">
        <v>404.35269881665607</v>
      </c>
      <c r="C711" s="63">
        <v>405.0057368175444</v>
      </c>
      <c r="D711" s="63">
        <v>402.44003521572773</v>
      </c>
      <c r="E711" s="63">
        <v>403.05481994459751</v>
      </c>
      <c r="F711" s="63">
        <v>3078874.5899393465</v>
      </c>
      <c r="G711" s="63" t="s">
        <v>662</v>
      </c>
      <c r="H711" s="25">
        <f t="shared" si="25"/>
        <v>3.2201050771132333E-3</v>
      </c>
      <c r="J711" s="63">
        <v>16.22</v>
      </c>
      <c r="K711" s="63">
        <v>16.3</v>
      </c>
      <c r="L711" s="63">
        <v>15.59</v>
      </c>
      <c r="M711" s="63">
        <v>15.79</v>
      </c>
      <c r="N711" s="63">
        <v>1597950</v>
      </c>
      <c r="O711" s="63" t="s">
        <v>662</v>
      </c>
      <c r="P711" s="25">
        <f t="shared" si="24"/>
        <v>2.7232425585813846E-2</v>
      </c>
    </row>
    <row r="712" spans="2:16">
      <c r="B712" s="63">
        <v>402.67423892196388</v>
      </c>
      <c r="C712" s="63">
        <v>403.00602750579839</v>
      </c>
      <c r="D712" s="63">
        <v>396.75083685174206</v>
      </c>
      <c r="E712" s="63">
        <v>396.95576509469862</v>
      </c>
      <c r="F712" s="63">
        <v>3568856.2466954826</v>
      </c>
      <c r="G712" s="63" t="s">
        <v>663</v>
      </c>
      <c r="H712" s="25">
        <f t="shared" si="25"/>
        <v>1.4405821328482338E-2</v>
      </c>
      <c r="J712" s="63">
        <v>15.83</v>
      </c>
      <c r="K712" s="63">
        <v>16.195</v>
      </c>
      <c r="L712" s="63">
        <v>15.47</v>
      </c>
      <c r="M712" s="63">
        <v>15.48</v>
      </c>
      <c r="N712" s="63">
        <v>1892888</v>
      </c>
      <c r="O712" s="63" t="s">
        <v>663</v>
      </c>
      <c r="P712" s="25">
        <f t="shared" si="24"/>
        <v>2.2609819121446995E-2</v>
      </c>
    </row>
    <row r="713" spans="2:16">
      <c r="B713" s="63">
        <v>397.03383299677739</v>
      </c>
      <c r="C713" s="63">
        <v>397.59982528684799</v>
      </c>
      <c r="D713" s="63">
        <v>395.3163391510459</v>
      </c>
      <c r="E713" s="63">
        <v>396.54590860878545</v>
      </c>
      <c r="F713" s="63">
        <v>3316816.1703506233</v>
      </c>
      <c r="G713" s="63" t="s">
        <v>664</v>
      </c>
      <c r="H713" s="25">
        <f t="shared" si="25"/>
        <v>1.2304360665420511E-3</v>
      </c>
      <c r="J713" s="63">
        <v>15.51</v>
      </c>
      <c r="K713" s="63">
        <v>16.155000000000001</v>
      </c>
      <c r="L713" s="63">
        <v>15.45</v>
      </c>
      <c r="M713" s="63">
        <v>15.87</v>
      </c>
      <c r="N713" s="63">
        <v>2613302</v>
      </c>
      <c r="O713" s="63" t="s">
        <v>664</v>
      </c>
      <c r="P713" s="25">
        <f t="shared" si="24"/>
        <v>-2.2684310018903586E-2</v>
      </c>
    </row>
    <row r="714" spans="2:16">
      <c r="B714" s="63">
        <v>394.43807525266038</v>
      </c>
      <c r="C714" s="63">
        <v>395.99943329423456</v>
      </c>
      <c r="D714" s="63">
        <v>390.05651424849304</v>
      </c>
      <c r="E714" s="63">
        <v>393.34512462355855</v>
      </c>
      <c r="F714" s="63">
        <v>4527171.7388240546</v>
      </c>
      <c r="G714" s="63" t="s">
        <v>665</v>
      </c>
      <c r="H714" s="25">
        <f t="shared" si="25"/>
        <v>2.7786047434750216E-3</v>
      </c>
      <c r="J714" s="63">
        <v>15.65</v>
      </c>
      <c r="K714" s="63">
        <v>16.03</v>
      </c>
      <c r="L714" s="63">
        <v>13.91</v>
      </c>
      <c r="M714" s="63">
        <v>14.6</v>
      </c>
      <c r="N714" s="63">
        <v>4621946</v>
      </c>
      <c r="O714" s="63" t="s">
        <v>665</v>
      </c>
      <c r="P714" s="25">
        <f t="shared" si="24"/>
        <v>7.1917808219178037E-2</v>
      </c>
    </row>
    <row r="715" spans="2:16">
      <c r="B715" s="63">
        <v>391.84231750854349</v>
      </c>
      <c r="C715" s="63">
        <v>399.1992414306855</v>
      </c>
      <c r="D715" s="63">
        <v>391.70569867990571</v>
      </c>
      <c r="E715" s="63">
        <v>398.73180986698924</v>
      </c>
      <c r="F715" s="63">
        <v>3544392.4152212543</v>
      </c>
      <c r="G715" s="63" t="s">
        <v>666</v>
      </c>
      <c r="H715" s="25">
        <f t="shared" si="25"/>
        <v>-1.7278511992168344E-2</v>
      </c>
      <c r="J715" s="63">
        <v>14.88</v>
      </c>
      <c r="K715" s="63">
        <v>16.34</v>
      </c>
      <c r="L715" s="63">
        <v>14.835000000000001</v>
      </c>
      <c r="M715" s="63">
        <v>16.29</v>
      </c>
      <c r="N715" s="63">
        <v>3906273</v>
      </c>
      <c r="O715" s="63" t="s">
        <v>666</v>
      </c>
      <c r="P715" s="25">
        <f t="shared" si="24"/>
        <v>-8.6556169429097496E-2</v>
      </c>
    </row>
    <row r="716" spans="2:16">
      <c r="B716" s="63">
        <v>397.12165938661593</v>
      </c>
      <c r="C716" s="63">
        <v>397.82427050532431</v>
      </c>
      <c r="D716" s="63">
        <v>393.72570564619224</v>
      </c>
      <c r="E716" s="63">
        <v>393.81353203603078</v>
      </c>
      <c r="F716" s="63">
        <v>3330397.1680688797</v>
      </c>
      <c r="G716" s="63" t="s">
        <v>667</v>
      </c>
      <c r="H716" s="25">
        <f t="shared" si="25"/>
        <v>8.4002378828427204E-3</v>
      </c>
      <c r="J716" s="63">
        <v>16.07</v>
      </c>
      <c r="K716" s="63">
        <v>16.248000000000001</v>
      </c>
      <c r="L716" s="63">
        <v>14.67</v>
      </c>
      <c r="M716" s="63">
        <v>14.89</v>
      </c>
      <c r="N716" s="63">
        <v>2357908</v>
      </c>
      <c r="O716" s="63" t="s">
        <v>667</v>
      </c>
      <c r="P716" s="25">
        <f t="shared" si="24"/>
        <v>7.9247817327065206E-2</v>
      </c>
    </row>
    <row r="717" spans="2:16">
      <c r="B717" s="63">
        <v>392.88647569884614</v>
      </c>
      <c r="C717" s="63">
        <v>395.60909378384099</v>
      </c>
      <c r="D717" s="63">
        <v>392.34975887205502</v>
      </c>
      <c r="E717" s="63">
        <v>395.56030134504181</v>
      </c>
      <c r="F717" s="63">
        <v>2713587.4586001462</v>
      </c>
      <c r="G717" s="63" t="s">
        <v>668</v>
      </c>
      <c r="H717" s="25">
        <f t="shared" si="25"/>
        <v>-6.7595904773651849E-3</v>
      </c>
      <c r="J717" s="63">
        <v>14.88</v>
      </c>
      <c r="K717" s="63">
        <v>15.51</v>
      </c>
      <c r="L717" s="63">
        <v>14.792</v>
      </c>
      <c r="M717" s="63">
        <v>15.11</v>
      </c>
      <c r="N717" s="63">
        <v>1789367</v>
      </c>
      <c r="O717" s="63" t="s">
        <v>668</v>
      </c>
      <c r="P717" s="25">
        <f t="shared" si="24"/>
        <v>-1.5221707478490942E-2</v>
      </c>
    </row>
    <row r="718" spans="2:16">
      <c r="B718" s="63">
        <v>393.98918481570786</v>
      </c>
      <c r="C718" s="63">
        <v>394.62348652009734</v>
      </c>
      <c r="D718" s="63">
        <v>390.32975190576855</v>
      </c>
      <c r="E718" s="63">
        <v>392.42782677413373</v>
      </c>
      <c r="F718" s="63">
        <v>3373918.2556033526</v>
      </c>
      <c r="G718" s="63" t="s">
        <v>669</v>
      </c>
      <c r="H718" s="25">
        <f t="shared" si="25"/>
        <v>3.9787138807381162E-3</v>
      </c>
      <c r="J718" s="63">
        <v>14.85</v>
      </c>
      <c r="K718" s="63">
        <v>14.91</v>
      </c>
      <c r="L718" s="63">
        <v>13.94</v>
      </c>
      <c r="M718" s="63">
        <v>14.04</v>
      </c>
      <c r="N718" s="63">
        <v>1816846</v>
      </c>
      <c r="O718" s="63" t="s">
        <v>669</v>
      </c>
      <c r="P718" s="25">
        <f t="shared" si="24"/>
        <v>5.7692307692307709E-2</v>
      </c>
    </row>
    <row r="719" spans="2:16">
      <c r="B719" s="63">
        <v>391.40318555935073</v>
      </c>
      <c r="C719" s="63">
        <v>392.31072492101566</v>
      </c>
      <c r="D719" s="63">
        <v>388.24143552516318</v>
      </c>
      <c r="E719" s="63">
        <v>388.55370713347799</v>
      </c>
      <c r="F719" s="63">
        <v>4260564.8562794654</v>
      </c>
      <c r="G719" s="63" t="s">
        <v>670</v>
      </c>
      <c r="H719" s="25">
        <f t="shared" si="25"/>
        <v>7.3335509958056821E-3</v>
      </c>
      <c r="J719" s="63">
        <v>14.02</v>
      </c>
      <c r="K719" s="63">
        <v>14.1</v>
      </c>
      <c r="L719" s="63">
        <v>13.53</v>
      </c>
      <c r="M719" s="63">
        <v>13.56</v>
      </c>
      <c r="N719" s="63">
        <v>1489788</v>
      </c>
      <c r="O719" s="63" t="s">
        <v>670</v>
      </c>
      <c r="P719" s="25">
        <f t="shared" si="24"/>
        <v>3.3923303834808127E-2</v>
      </c>
    </row>
    <row r="720" spans="2:16">
      <c r="B720" s="63">
        <v>391.04212151223675</v>
      </c>
      <c r="C720" s="63">
        <v>395.78474656351807</v>
      </c>
      <c r="D720" s="63">
        <v>390.70057444064236</v>
      </c>
      <c r="E720" s="63">
        <v>395.5407843695221</v>
      </c>
      <c r="F720" s="63">
        <v>7278283.4541545361</v>
      </c>
      <c r="G720" s="63" t="s">
        <v>671</v>
      </c>
      <c r="H720" s="25">
        <f t="shared" si="25"/>
        <v>-1.137344879480906E-2</v>
      </c>
      <c r="J720" s="63">
        <v>13.89</v>
      </c>
      <c r="K720" s="63">
        <v>14.36</v>
      </c>
      <c r="L720" s="63">
        <v>13.795</v>
      </c>
      <c r="M720" s="63">
        <v>14.36</v>
      </c>
      <c r="N720" s="63">
        <v>1410690</v>
      </c>
      <c r="O720" s="63" t="s">
        <v>671</v>
      </c>
      <c r="P720" s="25">
        <f t="shared" si="24"/>
        <v>-3.2729805013927527E-2</v>
      </c>
    </row>
    <row r="721" spans="2:16">
      <c r="B721" s="63">
        <v>394.23314700970383</v>
      </c>
      <c r="C721" s="63">
        <v>398.25364396675718</v>
      </c>
      <c r="D721" s="63">
        <v>394.11604515658576</v>
      </c>
      <c r="E721" s="63">
        <v>396.77035382726172</v>
      </c>
      <c r="F721" s="63">
        <v>3436652.3610371388</v>
      </c>
      <c r="G721" s="63" t="s">
        <v>672</v>
      </c>
      <c r="H721" s="25">
        <f t="shared" si="25"/>
        <v>-6.3946481713764713E-3</v>
      </c>
      <c r="J721" s="63">
        <v>14.32</v>
      </c>
      <c r="K721" s="63">
        <v>14.89</v>
      </c>
      <c r="L721" s="63">
        <v>14.145</v>
      </c>
      <c r="M721" s="63">
        <v>14.88</v>
      </c>
      <c r="N721" s="63">
        <v>2053885</v>
      </c>
      <c r="O721" s="63" t="s">
        <v>672</v>
      </c>
      <c r="P721" s="25">
        <f t="shared" si="24"/>
        <v>-3.7634408602150615E-2</v>
      </c>
    </row>
    <row r="722" spans="2:16">
      <c r="B722" s="63">
        <v>397.17045182541511</v>
      </c>
      <c r="C722" s="63">
        <v>401.76913918223886</v>
      </c>
      <c r="D722" s="63">
        <v>396.59470104758469</v>
      </c>
      <c r="E722" s="63">
        <v>400.18582454320511</v>
      </c>
      <c r="F722" s="63">
        <v>4802095.4837757498</v>
      </c>
      <c r="G722" s="63" t="s">
        <v>673</v>
      </c>
      <c r="H722" s="25">
        <f t="shared" si="25"/>
        <v>-7.5349313565314935E-3</v>
      </c>
      <c r="J722" s="63">
        <v>14.88</v>
      </c>
      <c r="K722" s="63">
        <v>15.035</v>
      </c>
      <c r="L722" s="63">
        <v>14.465</v>
      </c>
      <c r="M722" s="63">
        <v>14.73</v>
      </c>
      <c r="N722" s="63">
        <v>1605790</v>
      </c>
      <c r="O722" s="63" t="s">
        <v>673</v>
      </c>
      <c r="P722" s="25">
        <f t="shared" si="24"/>
        <v>1.0183299389002087E-2</v>
      </c>
    </row>
    <row r="723" spans="2:16">
      <c r="B723" s="63">
        <v>401.77645804805877</v>
      </c>
      <c r="C723" s="63">
        <v>401.79597502357842</v>
      </c>
      <c r="D723" s="63">
        <v>398.44881372195391</v>
      </c>
      <c r="E723" s="63">
        <v>398.69277591594988</v>
      </c>
      <c r="F723" s="63">
        <v>2841538.6361523434</v>
      </c>
      <c r="G723" s="63" t="s">
        <v>674</v>
      </c>
      <c r="H723" s="25">
        <f t="shared" si="25"/>
        <v>7.7344820834148731E-3</v>
      </c>
      <c r="J723" s="63">
        <v>14.85</v>
      </c>
      <c r="K723" s="63">
        <v>14.87</v>
      </c>
      <c r="L723" s="63">
        <v>14.21</v>
      </c>
      <c r="M723" s="63">
        <v>14.33</v>
      </c>
      <c r="N723" s="63">
        <v>1616028</v>
      </c>
      <c r="O723" s="63" t="s">
        <v>674</v>
      </c>
      <c r="P723" s="25">
        <f t="shared" si="24"/>
        <v>3.6287508722958828E-2</v>
      </c>
    </row>
    <row r="724" spans="2:16">
      <c r="B724" s="63">
        <v>399.52224737553615</v>
      </c>
      <c r="C724" s="63">
        <v>400.49809615151997</v>
      </c>
      <c r="D724" s="63">
        <v>397.50224040924957</v>
      </c>
      <c r="E724" s="63">
        <v>398.09750816259975</v>
      </c>
      <c r="F724" s="63">
        <v>2991100.7441263557</v>
      </c>
      <c r="G724" s="63" t="s">
        <v>675</v>
      </c>
      <c r="H724" s="25">
        <f t="shared" si="25"/>
        <v>3.5788699595540319E-3</v>
      </c>
      <c r="J724" s="63">
        <v>14.33</v>
      </c>
      <c r="K724" s="63">
        <v>14.63</v>
      </c>
      <c r="L724" s="63">
        <v>14</v>
      </c>
      <c r="M724" s="63">
        <v>14.41</v>
      </c>
      <c r="N724" s="63">
        <v>7780894</v>
      </c>
      <c r="O724" s="63" t="s">
        <v>675</v>
      </c>
      <c r="P724" s="25">
        <f t="shared" si="24"/>
        <v>-5.5517002081887368E-3</v>
      </c>
    </row>
    <row r="725" spans="2:16">
      <c r="B725" s="63">
        <v>399.89306991041002</v>
      </c>
      <c r="C725" s="63">
        <v>405.02603447208486</v>
      </c>
      <c r="D725" s="63">
        <v>398.75132684250889</v>
      </c>
      <c r="E725" s="63">
        <v>401.85452595013749</v>
      </c>
      <c r="F725" s="63">
        <v>4701882.2105650436</v>
      </c>
      <c r="G725" s="63" t="s">
        <v>676</v>
      </c>
      <c r="H725" s="25">
        <f t="shared" si="25"/>
        <v>-4.8810101991257904E-3</v>
      </c>
      <c r="J725" s="63">
        <v>14.54</v>
      </c>
      <c r="K725" s="63">
        <v>15.04</v>
      </c>
      <c r="L725" s="63">
        <v>14.445</v>
      </c>
      <c r="M725" s="63">
        <v>14.81</v>
      </c>
      <c r="N725" s="63">
        <v>3015508</v>
      </c>
      <c r="O725" s="63" t="s">
        <v>676</v>
      </c>
      <c r="P725" s="25">
        <f t="shared" si="24"/>
        <v>-1.82309250506415E-2</v>
      </c>
    </row>
    <row r="726" spans="2:16">
      <c r="B726" s="63">
        <v>399.65886620417388</v>
      </c>
      <c r="C726" s="63">
        <v>402.76206531180242</v>
      </c>
      <c r="D726" s="63">
        <v>398.97577206098521</v>
      </c>
      <c r="E726" s="63">
        <v>402.69375589748358</v>
      </c>
      <c r="F726" s="63">
        <v>3223792.5357116582</v>
      </c>
      <c r="G726" s="63" t="s">
        <v>677</v>
      </c>
      <c r="H726" s="25">
        <f t="shared" si="25"/>
        <v>-7.5364707022731459E-3</v>
      </c>
      <c r="J726" s="63">
        <v>14.75</v>
      </c>
      <c r="K726" s="63">
        <v>15.45</v>
      </c>
      <c r="L726" s="63">
        <v>14.69</v>
      </c>
      <c r="M726" s="63">
        <v>15.44</v>
      </c>
      <c r="N726" s="63">
        <v>2863019</v>
      </c>
      <c r="O726" s="63" t="s">
        <v>677</v>
      </c>
      <c r="P726" s="25">
        <f t="shared" si="24"/>
        <v>-4.4689119170984393E-2</v>
      </c>
    </row>
    <row r="727" spans="2:16">
      <c r="B727" s="63">
        <v>402.33269185036954</v>
      </c>
      <c r="C727" s="63">
        <v>402.77182379956224</v>
      </c>
      <c r="D727" s="63">
        <v>399.24413047438071</v>
      </c>
      <c r="E727" s="63">
        <v>401.81549199909807</v>
      </c>
      <c r="F727" s="63">
        <v>3873639.1262970357</v>
      </c>
      <c r="G727" s="63" t="s">
        <v>678</v>
      </c>
      <c r="H727" s="25">
        <f t="shared" si="25"/>
        <v>1.2871575675150737E-3</v>
      </c>
      <c r="J727" s="63">
        <v>15.45</v>
      </c>
      <c r="K727" s="63">
        <v>16</v>
      </c>
      <c r="L727" s="63">
        <v>15</v>
      </c>
      <c r="M727" s="63">
        <v>16</v>
      </c>
      <c r="N727" s="63">
        <v>2445205</v>
      </c>
      <c r="O727" s="63" t="s">
        <v>678</v>
      </c>
      <c r="P727" s="25">
        <f t="shared" si="24"/>
        <v>-3.4375000000000044E-2</v>
      </c>
    </row>
    <row r="728" spans="2:16">
      <c r="B728" s="63">
        <v>404.07946115938057</v>
      </c>
      <c r="C728" s="63">
        <v>404.235596963538</v>
      </c>
      <c r="D728" s="63">
        <v>401.69839014598006</v>
      </c>
      <c r="E728" s="63">
        <v>402.33269185036954</v>
      </c>
      <c r="F728" s="63">
        <v>2662274.1801164825</v>
      </c>
      <c r="G728" s="63" t="s">
        <v>679</v>
      </c>
      <c r="H728" s="25">
        <f t="shared" si="25"/>
        <v>4.341604210628347E-3</v>
      </c>
      <c r="J728" s="63">
        <v>16.41</v>
      </c>
      <c r="K728" s="63">
        <v>16.600000000000001</v>
      </c>
      <c r="L728" s="63">
        <v>15.845000000000001</v>
      </c>
      <c r="M728" s="63">
        <v>16.260000000000002</v>
      </c>
      <c r="N728" s="63">
        <v>2239920</v>
      </c>
      <c r="O728" s="63" t="s">
        <v>679</v>
      </c>
      <c r="P728" s="25">
        <f t="shared" si="24"/>
        <v>9.2250922509224953E-3</v>
      </c>
    </row>
    <row r="729" spans="2:16">
      <c r="B729" s="63">
        <v>400.46882068824044</v>
      </c>
      <c r="C729" s="63">
        <v>406.07848737698339</v>
      </c>
      <c r="D729" s="63">
        <v>400.12727361664605</v>
      </c>
      <c r="E729" s="63">
        <v>404.1477705736994</v>
      </c>
      <c r="F729" s="63">
        <v>5858762.280288795</v>
      </c>
      <c r="G729" s="63" t="s">
        <v>680</v>
      </c>
      <c r="H729" s="25">
        <f t="shared" si="25"/>
        <v>-9.1029820113484039E-3</v>
      </c>
      <c r="J729" s="63">
        <v>16.45</v>
      </c>
      <c r="K729" s="63">
        <v>16.68</v>
      </c>
      <c r="L729" s="63">
        <v>15.9</v>
      </c>
      <c r="M729" s="63">
        <v>16.059999999999999</v>
      </c>
      <c r="N729" s="63">
        <v>1285338</v>
      </c>
      <c r="O729" s="63" t="s">
        <v>680</v>
      </c>
      <c r="P729" s="25">
        <f t="shared" si="24"/>
        <v>2.4283935242839449E-2</v>
      </c>
    </row>
    <row r="730" spans="2:16">
      <c r="B730" s="63">
        <v>402.44003521572773</v>
      </c>
      <c r="C730" s="63">
        <v>404.18680452473876</v>
      </c>
      <c r="D730" s="63">
        <v>401.16167331918894</v>
      </c>
      <c r="E730" s="63">
        <v>401.73742409701941</v>
      </c>
      <c r="F730" s="63">
        <v>3103143.719114739</v>
      </c>
      <c r="G730" s="63" t="s">
        <v>681</v>
      </c>
      <c r="H730" s="25">
        <f t="shared" si="25"/>
        <v>1.748931208705784E-3</v>
      </c>
      <c r="J730" s="63">
        <v>16.02</v>
      </c>
      <c r="K730" s="63">
        <v>16.100000000000001</v>
      </c>
      <c r="L730" s="63">
        <v>15.6022</v>
      </c>
      <c r="M730" s="63">
        <v>15.7</v>
      </c>
      <c r="N730" s="63">
        <v>1403585</v>
      </c>
      <c r="O730" s="63" t="s">
        <v>681</v>
      </c>
      <c r="P730" s="25">
        <f t="shared" si="24"/>
        <v>2.0382165605095537E-2</v>
      </c>
    </row>
    <row r="731" spans="2:16">
      <c r="B731" s="63">
        <v>403.58177828362881</v>
      </c>
      <c r="C731" s="63">
        <v>406.63618495245817</v>
      </c>
      <c r="D731" s="63">
        <v>402.90844262819996</v>
      </c>
      <c r="E731" s="63">
        <v>406.40198124622202</v>
      </c>
      <c r="F731" s="63">
        <v>5102294.661363136</v>
      </c>
      <c r="G731" s="63" t="s">
        <v>682</v>
      </c>
      <c r="H731" s="25">
        <f t="shared" si="25"/>
        <v>-6.9394419632137216E-3</v>
      </c>
      <c r="J731" s="63">
        <v>15.86</v>
      </c>
      <c r="K731" s="63">
        <v>16.55</v>
      </c>
      <c r="L731" s="63">
        <v>15.67</v>
      </c>
      <c r="M731" s="63">
        <v>16.55</v>
      </c>
      <c r="N731" s="63">
        <v>1243840</v>
      </c>
      <c r="O731" s="63" t="s">
        <v>682</v>
      </c>
      <c r="P731" s="25">
        <f t="shared" si="24"/>
        <v>-4.1691842900302145E-2</v>
      </c>
    </row>
    <row r="732" spans="2:16">
      <c r="B732" s="63">
        <v>409.25145967209482</v>
      </c>
      <c r="C732" s="63">
        <v>409.93455381528349</v>
      </c>
      <c r="D732" s="63">
        <v>408.44150518802826</v>
      </c>
      <c r="E732" s="63">
        <v>409.13435781897675</v>
      </c>
      <c r="F732" s="63">
        <v>3214919.2346294592</v>
      </c>
      <c r="G732" s="63" t="s">
        <v>683</v>
      </c>
      <c r="H732" s="25">
        <f t="shared" si="25"/>
        <v>2.8621857558563946E-4</v>
      </c>
      <c r="J732" s="63">
        <v>16.82</v>
      </c>
      <c r="K732" s="63">
        <v>17.015000000000001</v>
      </c>
      <c r="L732" s="63">
        <v>16.555</v>
      </c>
      <c r="M732" s="63">
        <v>16.91</v>
      </c>
      <c r="N732" s="63">
        <v>1256247</v>
      </c>
      <c r="O732" s="63" t="s">
        <v>683</v>
      </c>
      <c r="P732" s="25">
        <f t="shared" si="24"/>
        <v>-5.3222945002956434E-3</v>
      </c>
    </row>
    <row r="733" spans="2:16">
      <c r="B733" s="63">
        <v>410.5200630808738</v>
      </c>
      <c r="C733" s="63">
        <v>410.80305922590912</v>
      </c>
      <c r="D733" s="63">
        <v>408.92942957602014</v>
      </c>
      <c r="E733" s="63">
        <v>410.16875752151958</v>
      </c>
      <c r="F733" s="63">
        <v>3540033.1332252184</v>
      </c>
      <c r="G733" s="63" t="s">
        <v>684</v>
      </c>
      <c r="H733" s="25">
        <f t="shared" si="25"/>
        <v>8.5649029311007929E-4</v>
      </c>
      <c r="J733" s="63">
        <v>16.97</v>
      </c>
      <c r="K733" s="63">
        <v>17.059999999999999</v>
      </c>
      <c r="L733" s="63">
        <v>16.68</v>
      </c>
      <c r="M733" s="63">
        <v>16.899999999999999</v>
      </c>
      <c r="N733" s="63">
        <v>1190933</v>
      </c>
      <c r="O733" s="63" t="s">
        <v>684</v>
      </c>
      <c r="P733" s="25">
        <f t="shared" si="24"/>
        <v>4.1420118343196144E-3</v>
      </c>
    </row>
    <row r="734" spans="2:16">
      <c r="B734" s="63">
        <v>409.72962557232688</v>
      </c>
      <c r="C734" s="63">
        <v>410.46151215431473</v>
      </c>
      <c r="D734" s="63">
        <v>408.06092416539457</v>
      </c>
      <c r="E734" s="63">
        <v>408.81232772290213</v>
      </c>
      <c r="F734" s="63">
        <v>2769618.6812092797</v>
      </c>
      <c r="G734" s="63" t="s">
        <v>685</v>
      </c>
      <c r="H734" s="25">
        <f t="shared" si="25"/>
        <v>2.2438116153056242E-3</v>
      </c>
      <c r="J734" s="63">
        <v>16.899999999999999</v>
      </c>
      <c r="K734" s="63">
        <v>17.28</v>
      </c>
      <c r="L734" s="63">
        <v>16.88</v>
      </c>
      <c r="M734" s="63">
        <v>17.13</v>
      </c>
      <c r="N734" s="63">
        <v>1108250</v>
      </c>
      <c r="O734" s="63" t="s">
        <v>685</v>
      </c>
      <c r="P734" s="25">
        <f t="shared" si="24"/>
        <v>-1.3426736719206134E-2</v>
      </c>
    </row>
    <row r="735" spans="2:16">
      <c r="B735" s="63">
        <v>405.77743802959242</v>
      </c>
      <c r="C735" s="63">
        <v>411.95456078156997</v>
      </c>
      <c r="D735" s="63">
        <v>404.89917413120696</v>
      </c>
      <c r="E735" s="63">
        <v>411.60325522221586</v>
      </c>
      <c r="F735" s="63">
        <v>4252137.3209867058</v>
      </c>
      <c r="G735" s="63" t="s">
        <v>686</v>
      </c>
      <c r="H735" s="25">
        <f t="shared" si="25"/>
        <v>-1.4153962872519577E-2</v>
      </c>
      <c r="J735" s="63">
        <v>16.97</v>
      </c>
      <c r="K735" s="63">
        <v>17.649999999999999</v>
      </c>
      <c r="L735" s="63">
        <v>16.760000000000002</v>
      </c>
      <c r="M735" s="63">
        <v>17.11</v>
      </c>
      <c r="N735" s="63">
        <v>2116105</v>
      </c>
      <c r="O735" s="63" t="s">
        <v>686</v>
      </c>
      <c r="P735" s="25">
        <f t="shared" si="24"/>
        <v>-8.1823495032145033E-3</v>
      </c>
    </row>
    <row r="736" spans="2:16">
      <c r="B736" s="63">
        <v>408.54884855338651</v>
      </c>
      <c r="C736" s="63">
        <v>409.74914254784653</v>
      </c>
      <c r="D736" s="63">
        <v>406.51908309934009</v>
      </c>
      <c r="E736" s="63">
        <v>407.53396582636327</v>
      </c>
      <c r="F736" s="63">
        <v>6290766.7161963824</v>
      </c>
      <c r="G736" s="63" t="s">
        <v>687</v>
      </c>
      <c r="H736" s="25">
        <f t="shared" si="25"/>
        <v>2.4903021885926968E-3</v>
      </c>
      <c r="J736" s="63">
        <v>16.72</v>
      </c>
      <c r="K736" s="63">
        <v>17.27</v>
      </c>
      <c r="L736" s="63">
        <v>16.420000000000002</v>
      </c>
      <c r="M736" s="63">
        <v>16.760000000000002</v>
      </c>
      <c r="N736" s="63">
        <v>1682515</v>
      </c>
      <c r="O736" s="63" t="s">
        <v>687</v>
      </c>
      <c r="P736" s="25">
        <f t="shared" si="24"/>
        <v>-2.3866348448688957E-3</v>
      </c>
    </row>
    <row r="737" spans="2:16">
      <c r="B737" s="63">
        <v>408.45126367578808</v>
      </c>
      <c r="C737" s="63">
        <v>409.51493884161044</v>
      </c>
      <c r="D737" s="63">
        <v>406.99471179275463</v>
      </c>
      <c r="E737" s="63">
        <v>407.00700748733203</v>
      </c>
      <c r="F737" s="63">
        <v>4047049.1916315909</v>
      </c>
      <c r="G737" s="63" t="s">
        <v>688</v>
      </c>
      <c r="H737" s="25">
        <f t="shared" si="25"/>
        <v>3.548479907931279E-3</v>
      </c>
      <c r="J737" s="63">
        <v>16.8</v>
      </c>
      <c r="K737" s="63">
        <v>17.035</v>
      </c>
      <c r="L737" s="63">
        <v>16.34</v>
      </c>
      <c r="M737" s="63">
        <v>16.52</v>
      </c>
      <c r="N737" s="63">
        <v>1244583</v>
      </c>
      <c r="O737" s="63" t="s">
        <v>688</v>
      </c>
      <c r="P737" s="25">
        <f t="shared" si="24"/>
        <v>1.6949152542373058E-2</v>
      </c>
    </row>
    <row r="738" spans="2:16">
      <c r="B738" s="63">
        <v>407.25096968132794</v>
      </c>
      <c r="C738" s="63">
        <v>408.00237323883556</v>
      </c>
      <c r="D738" s="63">
        <v>405.96772854090926</v>
      </c>
      <c r="E738" s="63">
        <v>406.51908309934009</v>
      </c>
      <c r="F738" s="63">
        <v>3557032.6934114527</v>
      </c>
      <c r="G738" s="63" t="s">
        <v>689</v>
      </c>
      <c r="H738" s="25">
        <f t="shared" si="25"/>
        <v>1.8003744778913866E-3</v>
      </c>
      <c r="J738" s="63">
        <v>16.37</v>
      </c>
      <c r="K738" s="63">
        <v>16.41</v>
      </c>
      <c r="L738" s="63">
        <v>15.965</v>
      </c>
      <c r="M738" s="63">
        <v>16.21</v>
      </c>
      <c r="N738" s="63">
        <v>1707829</v>
      </c>
      <c r="O738" s="63" t="s">
        <v>689</v>
      </c>
      <c r="P738" s="25">
        <f t="shared" si="24"/>
        <v>9.8704503392967879E-3</v>
      </c>
    </row>
    <row r="739" spans="2:16">
      <c r="B739" s="63">
        <v>405.53347583559645</v>
      </c>
      <c r="C739" s="63">
        <v>407.22169421804847</v>
      </c>
      <c r="D739" s="63">
        <v>405.44564944575791</v>
      </c>
      <c r="E739" s="63">
        <v>407.03628295061156</v>
      </c>
      <c r="F739" s="63">
        <v>3255333.2833740916</v>
      </c>
      <c r="G739" s="63" t="s">
        <v>690</v>
      </c>
      <c r="H739" s="25">
        <f t="shared" si="25"/>
        <v>-3.6920716357795591E-3</v>
      </c>
      <c r="J739" s="63">
        <v>16.32</v>
      </c>
      <c r="K739" s="63">
        <v>16.68</v>
      </c>
      <c r="L739" s="63">
        <v>15.77</v>
      </c>
      <c r="M739" s="63">
        <v>16.010000000000002</v>
      </c>
      <c r="N739" s="63">
        <v>2747227</v>
      </c>
      <c r="O739" s="63" t="s">
        <v>690</v>
      </c>
      <c r="P739" s="25">
        <f t="shared" si="24"/>
        <v>1.9362898188632016E-2</v>
      </c>
    </row>
    <row r="740" spans="2:16">
      <c r="B740" s="63">
        <v>405.48468339679727</v>
      </c>
      <c r="C740" s="63">
        <v>408.06092416539457</v>
      </c>
      <c r="D740" s="63">
        <v>404.8015892536086</v>
      </c>
      <c r="E740" s="63">
        <v>407.22169421804847</v>
      </c>
      <c r="F740" s="63">
        <v>4186096.3507195371</v>
      </c>
      <c r="G740" s="63" t="s">
        <v>691</v>
      </c>
      <c r="H740" s="25">
        <f t="shared" si="25"/>
        <v>-4.2655164150491309E-3</v>
      </c>
      <c r="J740" s="63">
        <v>15.76</v>
      </c>
      <c r="K740" s="63">
        <v>16.04</v>
      </c>
      <c r="L740" s="63">
        <v>15.435</v>
      </c>
      <c r="M740" s="63">
        <v>16.04</v>
      </c>
      <c r="N740" s="63">
        <v>1534516</v>
      </c>
      <c r="O740" s="63" t="s">
        <v>691</v>
      </c>
      <c r="P740" s="25">
        <f t="shared" si="24"/>
        <v>-1.7456359102244301E-2</v>
      </c>
    </row>
    <row r="741" spans="2:16">
      <c r="B741" s="63">
        <v>408.14875055523311</v>
      </c>
      <c r="C741" s="63">
        <v>409.241701184335</v>
      </c>
      <c r="D741" s="63">
        <v>407.40710548548543</v>
      </c>
      <c r="E741" s="63">
        <v>407.97309777555603</v>
      </c>
      <c r="F741" s="63">
        <v>3581411.4707235582</v>
      </c>
      <c r="G741" s="63" t="s">
        <v>692</v>
      </c>
      <c r="H741" s="25">
        <f t="shared" si="25"/>
        <v>4.3054990791024927E-4</v>
      </c>
      <c r="J741" s="63">
        <v>16.100000000000001</v>
      </c>
      <c r="K741" s="63">
        <v>16.45</v>
      </c>
      <c r="L741" s="63">
        <v>15.975</v>
      </c>
      <c r="M741" s="63">
        <v>16.45</v>
      </c>
      <c r="N741" s="63">
        <v>2212428</v>
      </c>
      <c r="O741" s="63" t="s">
        <v>692</v>
      </c>
      <c r="P741" s="25">
        <f t="shared" si="24"/>
        <v>-2.1276595744680771E-2</v>
      </c>
    </row>
    <row r="742" spans="2:16">
      <c r="B742" s="63">
        <v>407.27048665684771</v>
      </c>
      <c r="C742" s="63">
        <v>407.83647894691831</v>
      </c>
      <c r="D742" s="63">
        <v>403.55250282034933</v>
      </c>
      <c r="E742" s="63">
        <v>403.91356686746332</v>
      </c>
      <c r="F742" s="63">
        <v>3686312.9703404387</v>
      </c>
      <c r="G742" s="63" t="s">
        <v>693</v>
      </c>
      <c r="H742" s="25">
        <f t="shared" si="25"/>
        <v>8.3109854799354732E-3</v>
      </c>
      <c r="J742" s="63">
        <v>16.36</v>
      </c>
      <c r="K742" s="63">
        <v>16.809999999999999</v>
      </c>
      <c r="L742" s="63">
        <v>15.605</v>
      </c>
      <c r="M742" s="63">
        <v>16.79</v>
      </c>
      <c r="N742" s="63">
        <v>1829545</v>
      </c>
      <c r="O742" s="63" t="s">
        <v>693</v>
      </c>
      <c r="P742" s="25">
        <f t="shared" si="24"/>
        <v>-2.5610482430017845E-2</v>
      </c>
    </row>
    <row r="743" spans="2:16">
      <c r="B743" s="63">
        <v>404.20632150025847</v>
      </c>
      <c r="C743" s="63">
        <v>405.22071630289366</v>
      </c>
      <c r="D743" s="63">
        <v>402.66448043420399</v>
      </c>
      <c r="E743" s="63">
        <v>402.6839974097237</v>
      </c>
      <c r="F743" s="63">
        <v>3041728.4655683292</v>
      </c>
      <c r="G743" s="63" t="s">
        <v>694</v>
      </c>
      <c r="H743" s="25">
        <f t="shared" si="25"/>
        <v>3.7804434750998706E-3</v>
      </c>
      <c r="J743" s="63">
        <v>16.79</v>
      </c>
      <c r="K743" s="63">
        <v>17.309999999999999</v>
      </c>
      <c r="L743" s="63">
        <v>16.684999999999999</v>
      </c>
      <c r="M743" s="63">
        <v>16.899999999999999</v>
      </c>
      <c r="N743" s="63">
        <v>1735130</v>
      </c>
      <c r="O743" s="63" t="s">
        <v>694</v>
      </c>
      <c r="P743" s="25">
        <f t="shared" si="24"/>
        <v>-6.5088757396449815E-3</v>
      </c>
    </row>
    <row r="744" spans="2:16">
      <c r="B744" s="63">
        <v>402.80109926284172</v>
      </c>
      <c r="C744" s="63">
        <v>404.69424588825035</v>
      </c>
      <c r="D744" s="63">
        <v>402.12776360741293</v>
      </c>
      <c r="E744" s="63">
        <v>403.94284233074285</v>
      </c>
      <c r="F744" s="63">
        <v>3772044.4915135377</v>
      </c>
      <c r="G744" s="63" t="s">
        <v>695</v>
      </c>
      <c r="H744" s="25">
        <f t="shared" si="25"/>
        <v>-2.8264965937093711E-3</v>
      </c>
      <c r="J744" s="63">
        <v>16.899999999999999</v>
      </c>
      <c r="K744" s="63">
        <v>17.27</v>
      </c>
      <c r="L744" s="63">
        <v>16.600000000000001</v>
      </c>
      <c r="M744" s="63">
        <v>17.11</v>
      </c>
      <c r="N744" s="63">
        <v>2136274</v>
      </c>
      <c r="O744" s="63" t="s">
        <v>695</v>
      </c>
      <c r="P744" s="25">
        <f t="shared" si="24"/>
        <v>-1.2273524254821755E-2</v>
      </c>
    </row>
    <row r="745" spans="2:16">
      <c r="B745" s="63">
        <v>403.12312935891646</v>
      </c>
      <c r="C745" s="63">
        <v>403.81598198986495</v>
      </c>
      <c r="D745" s="63">
        <v>401.20070727022829</v>
      </c>
      <c r="E745" s="63">
        <v>401.60080526838169</v>
      </c>
      <c r="F745" s="63">
        <v>3354440.8524771994</v>
      </c>
      <c r="G745" s="63" t="s">
        <v>696</v>
      </c>
      <c r="H745" s="25">
        <f t="shared" si="25"/>
        <v>3.7906400349905223E-3</v>
      </c>
      <c r="J745" s="63">
        <v>17.149999999999999</v>
      </c>
      <c r="K745" s="63">
        <v>17.664999999999999</v>
      </c>
      <c r="L745" s="63">
        <v>17</v>
      </c>
      <c r="M745" s="63">
        <v>17</v>
      </c>
      <c r="N745" s="63">
        <v>2491226</v>
      </c>
      <c r="O745" s="63" t="s">
        <v>696</v>
      </c>
      <c r="P745" s="25">
        <f t="shared" si="24"/>
        <v>8.8235294117646745E-3</v>
      </c>
    </row>
    <row r="746" spans="2:16">
      <c r="B746" s="63">
        <v>399.86379444713043</v>
      </c>
      <c r="C746" s="63">
        <v>401.20070727022829</v>
      </c>
      <c r="D746" s="63">
        <v>398.9172211344262</v>
      </c>
      <c r="E746" s="63">
        <v>400.28340942080348</v>
      </c>
      <c r="F746" s="63">
        <v>4351451.8893759446</v>
      </c>
      <c r="G746" s="63" t="s">
        <v>697</v>
      </c>
      <c r="H746" s="25">
        <f t="shared" si="25"/>
        <v>-1.0482946927033998E-3</v>
      </c>
      <c r="J746" s="63">
        <v>16.88</v>
      </c>
      <c r="K746" s="63">
        <v>17.23</v>
      </c>
      <c r="L746" s="63">
        <v>16.734999999999999</v>
      </c>
      <c r="M746" s="63">
        <v>17.100000000000001</v>
      </c>
      <c r="N746" s="63">
        <v>1490842</v>
      </c>
      <c r="O746" s="63" t="s">
        <v>697</v>
      </c>
      <c r="P746" s="25">
        <f t="shared" si="24"/>
        <v>-1.286549707602358E-2</v>
      </c>
    </row>
    <row r="747" spans="2:16">
      <c r="B747" s="63">
        <v>396.74107836398224</v>
      </c>
      <c r="C747" s="63">
        <v>397.17045182541511</v>
      </c>
      <c r="D747" s="63">
        <v>394.01846027898733</v>
      </c>
      <c r="E747" s="63">
        <v>394.99430905497115</v>
      </c>
      <c r="F747" s="63">
        <v>3260618.9384130086</v>
      </c>
      <c r="G747" s="63" t="s">
        <v>698</v>
      </c>
      <c r="H747" s="25">
        <f t="shared" si="25"/>
        <v>4.4222644958866741E-3</v>
      </c>
      <c r="J747" s="63">
        <v>16.7</v>
      </c>
      <c r="K747" s="63">
        <v>16.71</v>
      </c>
      <c r="L747" s="63">
        <v>16.265000000000001</v>
      </c>
      <c r="M747" s="63">
        <v>16.28</v>
      </c>
      <c r="N747" s="63">
        <v>1423319</v>
      </c>
      <c r="O747" s="63" t="s">
        <v>698</v>
      </c>
      <c r="P747" s="25">
        <f t="shared" si="24"/>
        <v>2.5798525798525596E-2</v>
      </c>
    </row>
    <row r="748" spans="2:16">
      <c r="B748" s="63">
        <v>394.21363003418418</v>
      </c>
      <c r="C748" s="63">
        <v>394.3502488628219</v>
      </c>
      <c r="D748" s="63">
        <v>392.34975887205502</v>
      </c>
      <c r="E748" s="63">
        <v>392.90599267436579</v>
      </c>
      <c r="F748" s="63">
        <v>3445489.7959063947</v>
      </c>
      <c r="G748" s="63" t="s">
        <v>699</v>
      </c>
      <c r="H748" s="25">
        <f t="shared" si="25"/>
        <v>3.3281176266053425E-3</v>
      </c>
      <c r="J748" s="63">
        <v>16.45</v>
      </c>
      <c r="K748" s="63">
        <v>16.734999999999999</v>
      </c>
      <c r="L748" s="63">
        <v>16.265000000000001</v>
      </c>
      <c r="M748" s="63">
        <v>16.399999999999999</v>
      </c>
      <c r="N748" s="63">
        <v>1222783</v>
      </c>
      <c r="O748" s="63" t="s">
        <v>699</v>
      </c>
      <c r="P748" s="25">
        <f t="shared" si="24"/>
        <v>3.0487804878049918E-3</v>
      </c>
    </row>
    <row r="749" spans="2:16">
      <c r="B749" s="63">
        <v>393.15971335612159</v>
      </c>
      <c r="C749" s="63">
        <v>396.85720436832429</v>
      </c>
      <c r="D749" s="63">
        <v>392.98406057644451</v>
      </c>
      <c r="E749" s="63">
        <v>393.29633218475931</v>
      </c>
      <c r="F749" s="63">
        <v>3764158.0236617527</v>
      </c>
      <c r="G749" s="63" t="s">
        <v>700</v>
      </c>
      <c r="H749" s="25">
        <f t="shared" si="25"/>
        <v>-3.4736868223206319E-4</v>
      </c>
      <c r="J749" s="63">
        <v>16.399999999999999</v>
      </c>
      <c r="K749" s="63">
        <v>16.594999999999999</v>
      </c>
      <c r="L749" s="63">
        <v>16</v>
      </c>
      <c r="M749" s="63">
        <v>16.12</v>
      </c>
      <c r="N749" s="63">
        <v>1742889</v>
      </c>
      <c r="O749" s="63" t="s">
        <v>700</v>
      </c>
      <c r="P749" s="25">
        <f t="shared" si="24"/>
        <v>1.7369727047146233E-2</v>
      </c>
    </row>
    <row r="750" spans="2:16">
      <c r="B750" s="63">
        <v>394.0770112055464</v>
      </c>
      <c r="C750" s="63">
        <v>394.58445256905799</v>
      </c>
      <c r="D750" s="63">
        <v>391.86183448406314</v>
      </c>
      <c r="E750" s="63">
        <v>394.02821876674716</v>
      </c>
      <c r="F750" s="63">
        <v>6189761.3120540967</v>
      </c>
      <c r="G750" s="63" t="s">
        <v>701</v>
      </c>
      <c r="H750" s="25">
        <f t="shared" si="25"/>
        <v>1.2382980831149304E-4</v>
      </c>
      <c r="J750" s="63">
        <v>16.07</v>
      </c>
      <c r="K750" s="63">
        <v>16.350000000000001</v>
      </c>
      <c r="L750" s="63">
        <v>15.76</v>
      </c>
      <c r="M750" s="63">
        <v>16.079999999999998</v>
      </c>
      <c r="N750" s="63">
        <v>2293213</v>
      </c>
      <c r="O750" s="63" t="s">
        <v>701</v>
      </c>
      <c r="P750" s="25">
        <f t="shared" si="24"/>
        <v>-6.2189054726358162E-4</v>
      </c>
    </row>
    <row r="751" spans="2:16">
      <c r="B751" s="63">
        <v>397.31682914181266</v>
      </c>
      <c r="C751" s="63">
        <v>397.9901647972415</v>
      </c>
      <c r="D751" s="63">
        <v>396.20436153719112</v>
      </c>
      <c r="E751" s="63">
        <v>396.20436153719112</v>
      </c>
      <c r="F751" s="63">
        <v>4338914.0860798694</v>
      </c>
      <c r="G751" s="63" t="s">
        <v>702</v>
      </c>
      <c r="H751" s="25">
        <f t="shared" si="25"/>
        <v>2.8078126154527094E-3</v>
      </c>
      <c r="J751" s="63">
        <v>16.440000000000001</v>
      </c>
      <c r="K751" s="63">
        <v>17.14</v>
      </c>
      <c r="L751" s="63">
        <v>16.395</v>
      </c>
      <c r="M751" s="63">
        <v>16.82</v>
      </c>
      <c r="N751" s="63">
        <v>3247923</v>
      </c>
      <c r="O751" s="63" t="s">
        <v>702</v>
      </c>
      <c r="P751" s="25">
        <f t="shared" si="24"/>
        <v>-2.2592152199762183E-2</v>
      </c>
    </row>
    <row r="752" spans="2:16">
      <c r="B752" s="63">
        <v>398.20485152795794</v>
      </c>
      <c r="C752" s="63">
        <v>398.20485152795794</v>
      </c>
      <c r="D752" s="63">
        <v>396.85818021710031</v>
      </c>
      <c r="E752" s="63">
        <v>397.0923839233364</v>
      </c>
      <c r="F752" s="63">
        <v>2430723.9588517216</v>
      </c>
      <c r="G752" s="63" t="s">
        <v>703</v>
      </c>
      <c r="H752" s="25">
        <f t="shared" si="25"/>
        <v>2.8015334709525774E-3</v>
      </c>
      <c r="J752" s="63">
        <v>16.91</v>
      </c>
      <c r="K752" s="63">
        <v>17.39</v>
      </c>
      <c r="L752" s="63">
        <v>16.675000000000001</v>
      </c>
      <c r="M752" s="63">
        <v>17.14</v>
      </c>
      <c r="N752" s="63">
        <v>1222838</v>
      </c>
      <c r="O752" s="63" t="s">
        <v>703</v>
      </c>
      <c r="P752" s="25">
        <f t="shared" si="24"/>
        <v>-1.3418903150525074E-2</v>
      </c>
    </row>
    <row r="753" spans="2:16">
      <c r="B753" s="63">
        <v>397.44368948269056</v>
      </c>
      <c r="C753" s="63">
        <v>398.36098733211543</v>
      </c>
      <c r="D753" s="63">
        <v>395.5017504184828</v>
      </c>
      <c r="E753" s="63">
        <v>395.60909378384099</v>
      </c>
      <c r="F753" s="63">
        <v>5301735.3993030749</v>
      </c>
      <c r="G753" s="63" t="s">
        <v>704</v>
      </c>
      <c r="H753" s="25">
        <f t="shared" si="25"/>
        <v>4.6373951652687317E-3</v>
      </c>
      <c r="J753" s="63">
        <v>17.34</v>
      </c>
      <c r="K753" s="63">
        <v>17.98</v>
      </c>
      <c r="L753" s="63">
        <v>17.34</v>
      </c>
      <c r="M753" s="63">
        <v>17.850000000000001</v>
      </c>
      <c r="N753" s="63">
        <v>1198617</v>
      </c>
      <c r="O753" s="63" t="s">
        <v>704</v>
      </c>
      <c r="P753" s="25">
        <f t="shared" si="24"/>
        <v>-2.8571428571428692E-2</v>
      </c>
    </row>
    <row r="754" spans="2:16">
      <c r="B754" s="63">
        <v>392.78889082124778</v>
      </c>
      <c r="C754" s="63">
        <v>392.94502662540521</v>
      </c>
      <c r="D754" s="63">
        <v>390.52492166096528</v>
      </c>
      <c r="E754" s="63">
        <v>390.92501965911868</v>
      </c>
      <c r="F754" s="63">
        <v>4011737.3678653939</v>
      </c>
      <c r="G754" s="63" t="s">
        <v>705</v>
      </c>
      <c r="H754" s="25">
        <f t="shared" si="25"/>
        <v>4.7678482276585221E-3</v>
      </c>
      <c r="J754" s="63">
        <v>17.55</v>
      </c>
      <c r="K754" s="63">
        <v>17.87</v>
      </c>
      <c r="L754" s="63">
        <v>17.39</v>
      </c>
      <c r="M754" s="63">
        <v>17.63</v>
      </c>
      <c r="N754" s="63">
        <v>1572388</v>
      </c>
      <c r="O754" s="63" t="s">
        <v>705</v>
      </c>
      <c r="P754" s="25">
        <f t="shared" si="24"/>
        <v>-4.5377197958025306E-3</v>
      </c>
    </row>
    <row r="755" spans="2:16">
      <c r="B755" s="63">
        <v>391.28979193158125</v>
      </c>
      <c r="C755" s="63">
        <v>392.1986379270005</v>
      </c>
      <c r="D755" s="63">
        <v>389.50126077482031</v>
      </c>
      <c r="E755" s="63">
        <v>390.12335856847631</v>
      </c>
      <c r="F755" s="63">
        <v>4445008.6597304381</v>
      </c>
      <c r="G755" s="63" t="s">
        <v>706</v>
      </c>
      <c r="H755" s="25">
        <f t="shared" si="25"/>
        <v>2.9899090569327491E-3</v>
      </c>
      <c r="J755" s="63">
        <v>17.600000000000001</v>
      </c>
      <c r="K755" s="63">
        <v>18.05</v>
      </c>
      <c r="L755" s="63">
        <v>17.29</v>
      </c>
      <c r="M755" s="63">
        <v>17.46</v>
      </c>
      <c r="N755" s="63">
        <v>1942450</v>
      </c>
      <c r="O755" s="63" t="s">
        <v>706</v>
      </c>
      <c r="P755" s="25">
        <f t="shared" si="24"/>
        <v>8.0183276059564434E-3</v>
      </c>
    </row>
    <row r="756" spans="2:16">
      <c r="B756" s="63">
        <v>391.11482692711547</v>
      </c>
      <c r="C756" s="63">
        <v>391.65916249656448</v>
      </c>
      <c r="D756" s="63">
        <v>387.24615627281742</v>
      </c>
      <c r="E756" s="63">
        <v>387.64468767187827</v>
      </c>
      <c r="F756" s="63">
        <v>4426170.7211948764</v>
      </c>
      <c r="G756" s="63" t="s">
        <v>707</v>
      </c>
      <c r="H756" s="25">
        <f t="shared" si="25"/>
        <v>8.9518555667000843E-3</v>
      </c>
      <c r="J756" s="63">
        <v>17.86</v>
      </c>
      <c r="K756" s="63">
        <v>17.88</v>
      </c>
      <c r="L756" s="63">
        <v>16.86</v>
      </c>
      <c r="M756" s="63">
        <v>17.25</v>
      </c>
      <c r="N756" s="63">
        <v>1849947</v>
      </c>
      <c r="O756" s="63" t="s">
        <v>707</v>
      </c>
      <c r="P756" s="25">
        <f t="shared" si="24"/>
        <v>3.536231884057961E-2</v>
      </c>
    </row>
    <row r="757" spans="2:16">
      <c r="B757" s="63">
        <v>386.82818431770477</v>
      </c>
      <c r="C757" s="63">
        <v>389.64706494520846</v>
      </c>
      <c r="D757" s="63">
        <v>386.60461792310969</v>
      </c>
      <c r="E757" s="63">
        <v>387.87797434449925</v>
      </c>
      <c r="F757" s="63">
        <v>3344245.9066982488</v>
      </c>
      <c r="G757" s="63" t="s">
        <v>708</v>
      </c>
      <c r="H757" s="25">
        <f t="shared" si="25"/>
        <v>-2.7064955894147147E-3</v>
      </c>
      <c r="J757" s="63">
        <v>17.14</v>
      </c>
      <c r="K757" s="63">
        <v>17.940000000000001</v>
      </c>
      <c r="L757" s="63">
        <v>17</v>
      </c>
      <c r="M757" s="63">
        <v>17.54</v>
      </c>
      <c r="N757" s="63">
        <v>1851716</v>
      </c>
      <c r="O757" s="63" t="s">
        <v>708</v>
      </c>
      <c r="P757" s="25">
        <f t="shared" si="24"/>
        <v>-2.2805017103762704E-2</v>
      </c>
    </row>
    <row r="758" spans="2:16">
      <c r="B758" s="63">
        <v>388.43203019197409</v>
      </c>
      <c r="C758" s="63">
        <v>390.05531662229515</v>
      </c>
      <c r="D758" s="63">
        <v>387.77105128621463</v>
      </c>
      <c r="E758" s="63">
        <v>388.15986240724959</v>
      </c>
      <c r="F758" s="63">
        <v>4336611.5545040993</v>
      </c>
      <c r="G758" s="63" t="s">
        <v>709</v>
      </c>
      <c r="H758" s="25">
        <f t="shared" si="25"/>
        <v>7.0117446723272359E-4</v>
      </c>
      <c r="J758" s="63">
        <v>17.440000000000001</v>
      </c>
      <c r="K758" s="63">
        <v>17.635000000000002</v>
      </c>
      <c r="L758" s="63">
        <v>17.16</v>
      </c>
      <c r="M758" s="63">
        <v>17.600000000000001</v>
      </c>
      <c r="N758" s="63">
        <v>2744153</v>
      </c>
      <c r="O758" s="63" t="s">
        <v>709</v>
      </c>
      <c r="P758" s="25">
        <f t="shared" si="24"/>
        <v>-9.0909090909091494E-3</v>
      </c>
    </row>
    <row r="759" spans="2:16">
      <c r="B759" s="63">
        <v>391.36755415578824</v>
      </c>
      <c r="C759" s="63">
        <v>391.45503665802113</v>
      </c>
      <c r="D759" s="63">
        <v>388.76251964485385</v>
      </c>
      <c r="E759" s="63">
        <v>389.08328881970766</v>
      </c>
      <c r="F759" s="63">
        <v>3231410.6568133757</v>
      </c>
      <c r="G759" s="63" t="s">
        <v>710</v>
      </c>
      <c r="H759" s="25">
        <f t="shared" si="25"/>
        <v>5.8708903767363818E-3</v>
      </c>
      <c r="J759" s="63">
        <v>18.010000000000002</v>
      </c>
      <c r="K759" s="63">
        <v>18.34</v>
      </c>
      <c r="L759" s="63">
        <v>17.57</v>
      </c>
      <c r="M759" s="63">
        <v>17.84</v>
      </c>
      <c r="N759" s="63">
        <v>1709302</v>
      </c>
      <c r="O759" s="63" t="s">
        <v>710</v>
      </c>
      <c r="P759" s="25">
        <f t="shared" si="24"/>
        <v>9.5291479820629466E-3</v>
      </c>
    </row>
    <row r="760" spans="2:16">
      <c r="B760" s="63">
        <v>389.94839356401053</v>
      </c>
      <c r="C760" s="63">
        <v>391.78552611090083</v>
      </c>
      <c r="D760" s="63">
        <v>389.46237966271684</v>
      </c>
      <c r="E760" s="63">
        <v>391.05650525896021</v>
      </c>
      <c r="F760" s="63">
        <v>3522062.8369752495</v>
      </c>
      <c r="G760" s="63" t="s">
        <v>711</v>
      </c>
      <c r="H760" s="25">
        <f t="shared" si="25"/>
        <v>-2.8336357535233558E-3</v>
      </c>
      <c r="J760" s="63">
        <v>17.84</v>
      </c>
      <c r="K760" s="63">
        <v>18.61</v>
      </c>
      <c r="L760" s="63">
        <v>17.600000000000001</v>
      </c>
      <c r="M760" s="63">
        <v>18.34</v>
      </c>
      <c r="N760" s="63">
        <v>2731048</v>
      </c>
      <c r="O760" s="63" t="s">
        <v>711</v>
      </c>
      <c r="P760" s="25">
        <f t="shared" si="24"/>
        <v>-2.7262813522355489E-2</v>
      </c>
    </row>
    <row r="761" spans="2:16">
      <c r="B761" s="63">
        <v>392.0965750077288</v>
      </c>
      <c r="C761" s="63">
        <v>393.01028114216103</v>
      </c>
      <c r="D761" s="63">
        <v>390.03587606624342</v>
      </c>
      <c r="E761" s="63">
        <v>392.20349806601342</v>
      </c>
      <c r="F761" s="63">
        <v>4369094.1644829009</v>
      </c>
      <c r="G761" s="63" t="s">
        <v>712</v>
      </c>
      <c r="H761" s="25">
        <f t="shared" si="25"/>
        <v>-2.7262137847283707E-4</v>
      </c>
      <c r="J761" s="63">
        <v>18.52</v>
      </c>
      <c r="K761" s="63">
        <v>19.07</v>
      </c>
      <c r="L761" s="63">
        <v>18.03</v>
      </c>
      <c r="M761" s="63">
        <v>18.03</v>
      </c>
      <c r="N761" s="63">
        <v>3525447</v>
      </c>
      <c r="O761" s="63" t="s">
        <v>712</v>
      </c>
      <c r="P761" s="25">
        <f t="shared" si="24"/>
        <v>2.717692734331667E-2</v>
      </c>
    </row>
    <row r="762" spans="2:16">
      <c r="B762" s="63">
        <v>393.91426699856737</v>
      </c>
      <c r="C762" s="63">
        <v>397.32608458564931</v>
      </c>
      <c r="D762" s="63">
        <v>393.56433698963588</v>
      </c>
      <c r="E762" s="63">
        <v>397.25804263946821</v>
      </c>
      <c r="F762" s="63">
        <v>5289853.8357778713</v>
      </c>
      <c r="G762" s="63" t="s">
        <v>713</v>
      </c>
      <c r="H762" s="25">
        <f t="shared" si="25"/>
        <v>-8.4171376838190204E-3</v>
      </c>
      <c r="J762" s="63">
        <v>18.03</v>
      </c>
      <c r="K762" s="63">
        <v>18.239999999999998</v>
      </c>
      <c r="L762" s="63">
        <v>17.68</v>
      </c>
      <c r="M762" s="63">
        <v>18</v>
      </c>
      <c r="N762" s="63">
        <v>5136425</v>
      </c>
      <c r="O762" s="63" t="s">
        <v>713</v>
      </c>
      <c r="P762" s="25">
        <f t="shared" ref="P762:P825" si="26">J762/M762-1</f>
        <v>1.6666666666667052E-3</v>
      </c>
    </row>
    <row r="763" spans="2:16">
      <c r="B763" s="63">
        <v>395.37230870244855</v>
      </c>
      <c r="C763" s="63">
        <v>396.51930150950176</v>
      </c>
      <c r="D763" s="63">
        <v>389.67622577928603</v>
      </c>
      <c r="E763" s="63">
        <v>389.78314883757065</v>
      </c>
      <c r="F763" s="63">
        <v>5437070.8182747522</v>
      </c>
      <c r="G763" s="63" t="s">
        <v>714</v>
      </c>
      <c r="H763" s="25">
        <f t="shared" ref="H763:H826" si="27">B763/E763-1</f>
        <v>1.4339152119700715E-2</v>
      </c>
      <c r="J763" s="63">
        <v>17.72</v>
      </c>
      <c r="K763" s="63">
        <v>17.89</v>
      </c>
      <c r="L763" s="63">
        <v>17.332000000000001</v>
      </c>
      <c r="M763" s="63">
        <v>17.510000000000002</v>
      </c>
      <c r="N763" s="63">
        <v>2301795</v>
      </c>
      <c r="O763" s="63" t="s">
        <v>714</v>
      </c>
      <c r="P763" s="25">
        <f t="shared" si="26"/>
        <v>1.1993146773272345E-2</v>
      </c>
    </row>
    <row r="764" spans="2:16">
      <c r="B764" s="63">
        <v>390.36636551912318</v>
      </c>
      <c r="C764" s="63">
        <v>392.1510085646737</v>
      </c>
      <c r="D764" s="63">
        <v>387.31419821899851</v>
      </c>
      <c r="E764" s="63">
        <v>390.37608579714902</v>
      </c>
      <c r="F764" s="63">
        <v>5309804.9111981187</v>
      </c>
      <c r="G764" s="63" t="s">
        <v>715</v>
      </c>
      <c r="H764" s="25">
        <f t="shared" si="27"/>
        <v>-2.4899778391929139E-5</v>
      </c>
      <c r="J764" s="63">
        <v>17.7</v>
      </c>
      <c r="K764" s="63">
        <v>17.760000000000002</v>
      </c>
      <c r="L764" s="63">
        <v>17.04</v>
      </c>
      <c r="M764" s="63">
        <v>17.350000000000001</v>
      </c>
      <c r="N764" s="63">
        <v>2879270</v>
      </c>
      <c r="O764" s="63" t="s">
        <v>715</v>
      </c>
      <c r="P764" s="25">
        <f t="shared" si="26"/>
        <v>2.0172910662824117E-2</v>
      </c>
    </row>
    <row r="765" spans="2:16">
      <c r="B765" s="63">
        <v>390.06503690032105</v>
      </c>
      <c r="C765" s="63">
        <v>390.60937246977005</v>
      </c>
      <c r="D765" s="63">
        <v>388.22790435343069</v>
      </c>
      <c r="E765" s="63">
        <v>388.82958956323239</v>
      </c>
      <c r="F765" s="63">
        <v>4025692.4643345485</v>
      </c>
      <c r="G765" s="63" t="s">
        <v>716</v>
      </c>
      <c r="H765" s="25">
        <f t="shared" si="27"/>
        <v>3.1773490759188228E-3</v>
      </c>
      <c r="J765" s="63">
        <v>17.5</v>
      </c>
      <c r="K765" s="63">
        <v>17.844999999999999</v>
      </c>
      <c r="L765" s="63">
        <v>17.350000000000001</v>
      </c>
      <c r="M765" s="63">
        <v>17.36</v>
      </c>
      <c r="N765" s="63">
        <v>4445191</v>
      </c>
      <c r="O765" s="63" t="s">
        <v>716</v>
      </c>
      <c r="P765" s="25">
        <f t="shared" si="26"/>
        <v>8.0645161290322509E-3</v>
      </c>
    </row>
    <row r="766" spans="2:16">
      <c r="B766" s="63">
        <v>387.50860377951602</v>
      </c>
      <c r="C766" s="63">
        <v>387.53290447458073</v>
      </c>
      <c r="D766" s="63">
        <v>384.24259036282217</v>
      </c>
      <c r="E766" s="63">
        <v>384.90356926858163</v>
      </c>
      <c r="F766" s="63">
        <v>3906518.9183807769</v>
      </c>
      <c r="G766" s="63" t="s">
        <v>717</v>
      </c>
      <c r="H766" s="25">
        <f t="shared" si="27"/>
        <v>6.7680185867973197E-3</v>
      </c>
      <c r="J766" s="63">
        <v>17.07</v>
      </c>
      <c r="K766" s="63">
        <v>17.420000000000002</v>
      </c>
      <c r="L766" s="63">
        <v>16.269500000000001</v>
      </c>
      <c r="M766" s="63">
        <v>16.52</v>
      </c>
      <c r="N766" s="63">
        <v>2831595</v>
      </c>
      <c r="O766" s="63" t="s">
        <v>717</v>
      </c>
      <c r="P766" s="25">
        <f t="shared" si="26"/>
        <v>3.3292978208232515E-2</v>
      </c>
    </row>
    <row r="767" spans="2:16">
      <c r="B767" s="63">
        <v>383.98014285612351</v>
      </c>
      <c r="C767" s="63">
        <v>385.8269956810397</v>
      </c>
      <c r="D767" s="63">
        <v>383.05671644366544</v>
      </c>
      <c r="E767" s="63">
        <v>383.9995834121753</v>
      </c>
      <c r="F767" s="63">
        <v>3151008.635603732</v>
      </c>
      <c r="G767" s="63" t="s">
        <v>718</v>
      </c>
      <c r="H767" s="25">
        <f t="shared" si="27"/>
        <v>-5.0626502974382426E-5</v>
      </c>
      <c r="J767" s="63">
        <v>16.48</v>
      </c>
      <c r="K767" s="63">
        <v>16.87</v>
      </c>
      <c r="L767" s="63">
        <v>15.94</v>
      </c>
      <c r="M767" s="63">
        <v>16.29</v>
      </c>
      <c r="N767" s="63">
        <v>2565291</v>
      </c>
      <c r="O767" s="63" t="s">
        <v>718</v>
      </c>
      <c r="P767" s="25">
        <f t="shared" si="26"/>
        <v>1.1663597298956496E-2</v>
      </c>
    </row>
    <row r="768" spans="2:16">
      <c r="B768" s="63">
        <v>383.33860450641583</v>
      </c>
      <c r="C768" s="63">
        <v>383.68853451534733</v>
      </c>
      <c r="D768" s="63">
        <v>380.34475887444648</v>
      </c>
      <c r="E768" s="63">
        <v>380.99601750218005</v>
      </c>
      <c r="F768" s="63">
        <v>3559930.066597715</v>
      </c>
      <c r="G768" s="63" t="s">
        <v>719</v>
      </c>
      <c r="H768" s="25">
        <f t="shared" si="27"/>
        <v>6.1485865904684633E-3</v>
      </c>
      <c r="J768" s="63">
        <v>16.059999999999999</v>
      </c>
      <c r="K768" s="63">
        <v>16.21</v>
      </c>
      <c r="L768" s="63">
        <v>15.39</v>
      </c>
      <c r="M768" s="63">
        <v>16.11</v>
      </c>
      <c r="N768" s="63">
        <v>2507568</v>
      </c>
      <c r="O768" s="63" t="s">
        <v>719</v>
      </c>
      <c r="P768" s="25">
        <f t="shared" si="26"/>
        <v>-3.1036623215394687E-3</v>
      </c>
    </row>
    <row r="769" spans="2:16">
      <c r="B769" s="63">
        <v>381.05433917033525</v>
      </c>
      <c r="C769" s="63">
        <v>383.7176953494249</v>
      </c>
      <c r="D769" s="63">
        <v>380.58776582509336</v>
      </c>
      <c r="E769" s="63">
        <v>382.65818504460464</v>
      </c>
      <c r="F769" s="63">
        <v>4056358.2538527637</v>
      </c>
      <c r="G769" s="63" t="s">
        <v>720</v>
      </c>
      <c r="H769" s="25">
        <f t="shared" si="27"/>
        <v>-4.1913277618311762E-3</v>
      </c>
      <c r="J769" s="63">
        <v>16.09</v>
      </c>
      <c r="K769" s="63">
        <v>16.649999999999999</v>
      </c>
      <c r="L769" s="63">
        <v>15.73</v>
      </c>
      <c r="M769" s="63">
        <v>15.92</v>
      </c>
      <c r="N769" s="63">
        <v>2956534</v>
      </c>
      <c r="O769" s="63" t="s">
        <v>720</v>
      </c>
      <c r="P769" s="25">
        <f t="shared" si="26"/>
        <v>1.0678391959799027E-2</v>
      </c>
    </row>
    <row r="770" spans="2:16">
      <c r="B770" s="63">
        <v>382.30825503567314</v>
      </c>
      <c r="C770" s="63">
        <v>382.7748283809151</v>
      </c>
      <c r="D770" s="63">
        <v>380.46140221075694</v>
      </c>
      <c r="E770" s="63">
        <v>381.08350000441294</v>
      </c>
      <c r="F770" s="63">
        <v>2977963.1737843766</v>
      </c>
      <c r="G770" s="63" t="s">
        <v>721</v>
      </c>
      <c r="H770" s="25">
        <f t="shared" si="27"/>
        <v>3.2138757811503993E-3</v>
      </c>
      <c r="J770" s="63">
        <v>15.76</v>
      </c>
      <c r="K770" s="63">
        <v>16.170000000000002</v>
      </c>
      <c r="L770" s="63">
        <v>15.53</v>
      </c>
      <c r="M770" s="63">
        <v>15.87</v>
      </c>
      <c r="N770" s="63">
        <v>2209193</v>
      </c>
      <c r="O770" s="63" t="s">
        <v>721</v>
      </c>
      <c r="P770" s="25">
        <f t="shared" si="26"/>
        <v>-6.9313169502205341E-3</v>
      </c>
    </row>
    <row r="771" spans="2:16">
      <c r="B771" s="63">
        <v>381.52091251557727</v>
      </c>
      <c r="C771" s="63">
        <v>383.7274156274508</v>
      </c>
      <c r="D771" s="63">
        <v>380.83077277574017</v>
      </c>
      <c r="E771" s="63">
        <v>382.53182143026822</v>
      </c>
      <c r="F771" s="63">
        <v>4127225.568364379</v>
      </c>
      <c r="G771" s="63" t="s">
        <v>722</v>
      </c>
      <c r="H771" s="25">
        <f t="shared" si="27"/>
        <v>-2.642679270213999E-3</v>
      </c>
      <c r="J771" s="63">
        <v>15.98</v>
      </c>
      <c r="K771" s="63">
        <v>16.52</v>
      </c>
      <c r="L771" s="63">
        <v>14.93</v>
      </c>
      <c r="M771" s="63">
        <v>16.34</v>
      </c>
      <c r="N771" s="63">
        <v>3409790</v>
      </c>
      <c r="O771" s="63" t="s">
        <v>722</v>
      </c>
      <c r="P771" s="25">
        <f t="shared" si="26"/>
        <v>-2.2031823745410017E-2</v>
      </c>
    </row>
    <row r="772" spans="2:16">
      <c r="B772" s="63">
        <v>382.25965364554372</v>
      </c>
      <c r="C772" s="63">
        <v>382.94007310735492</v>
      </c>
      <c r="D772" s="63">
        <v>378.64371021991843</v>
      </c>
      <c r="E772" s="63">
        <v>379.16860523331559</v>
      </c>
      <c r="F772" s="63">
        <v>7580958.055299025</v>
      </c>
      <c r="G772" s="63" t="s">
        <v>723</v>
      </c>
      <c r="H772" s="25">
        <f t="shared" si="27"/>
        <v>8.152173913043459E-3</v>
      </c>
      <c r="J772" s="63">
        <v>16.46</v>
      </c>
      <c r="K772" s="63">
        <v>17.059999999999999</v>
      </c>
      <c r="L772" s="63">
        <v>15.74</v>
      </c>
      <c r="M772" s="63">
        <v>16.72</v>
      </c>
      <c r="N772" s="63">
        <v>4105317</v>
      </c>
      <c r="O772" s="63" t="s">
        <v>723</v>
      </c>
      <c r="P772" s="25">
        <f t="shared" si="26"/>
        <v>-1.5550239234449648E-2</v>
      </c>
    </row>
    <row r="773" spans="2:16">
      <c r="B773" s="63">
        <v>376.72881544882108</v>
      </c>
      <c r="C773" s="63">
        <v>377.70084325140857</v>
      </c>
      <c r="D773" s="63">
        <v>372.25748755691882</v>
      </c>
      <c r="E773" s="63">
        <v>373.45308175410133</v>
      </c>
      <c r="F773" s="63">
        <v>3666103.9843861563</v>
      </c>
      <c r="G773" s="63" t="s">
        <v>724</v>
      </c>
      <c r="H773" s="25">
        <f t="shared" si="27"/>
        <v>8.7714731910464305E-3</v>
      </c>
      <c r="J773" s="63">
        <v>16.54</v>
      </c>
      <c r="K773" s="63">
        <v>17.145</v>
      </c>
      <c r="L773" s="63">
        <v>13.73</v>
      </c>
      <c r="M773" s="63">
        <v>14.38</v>
      </c>
      <c r="N773" s="63">
        <v>9343126</v>
      </c>
      <c r="O773" s="63" t="s">
        <v>724</v>
      </c>
      <c r="P773" s="25">
        <f t="shared" si="26"/>
        <v>0.15020862308762162</v>
      </c>
    </row>
    <row r="774" spans="2:16">
      <c r="B774" s="63">
        <v>373.15175313529926</v>
      </c>
      <c r="C774" s="63">
        <v>374.38622844458536</v>
      </c>
      <c r="D774" s="63">
        <v>371.72287226549571</v>
      </c>
      <c r="E774" s="63">
        <v>373.56000481238601</v>
      </c>
      <c r="F774" s="63">
        <v>4326365.9627900664</v>
      </c>
      <c r="G774" s="63" t="s">
        <v>725</v>
      </c>
      <c r="H774" s="25">
        <f t="shared" si="27"/>
        <v>-1.0928677369832496E-3</v>
      </c>
      <c r="J774" s="63">
        <v>13.42</v>
      </c>
      <c r="K774" s="63">
        <v>13.75</v>
      </c>
      <c r="L774" s="63">
        <v>13.06</v>
      </c>
      <c r="M774" s="63">
        <v>13.42</v>
      </c>
      <c r="N774" s="63">
        <v>6117818</v>
      </c>
      <c r="O774" s="63" t="s">
        <v>725</v>
      </c>
      <c r="P774" s="25">
        <f t="shared" si="26"/>
        <v>0</v>
      </c>
    </row>
    <row r="775" spans="2:16">
      <c r="B775" s="63">
        <v>375.19301152073291</v>
      </c>
      <c r="C775" s="63">
        <v>377.39951463260644</v>
      </c>
      <c r="D775" s="63">
        <v>373.99741732355034</v>
      </c>
      <c r="E775" s="63">
        <v>376.91350073131269</v>
      </c>
      <c r="F775" s="63">
        <v>4082651.7404505406</v>
      </c>
      <c r="G775" s="63" t="s">
        <v>726</v>
      </c>
      <c r="H775" s="25">
        <f t="shared" si="27"/>
        <v>-4.5646791829997424E-3</v>
      </c>
      <c r="J775" s="63">
        <v>13.68</v>
      </c>
      <c r="K775" s="63">
        <v>15.1</v>
      </c>
      <c r="L775" s="63">
        <v>13.18</v>
      </c>
      <c r="M775" s="63">
        <v>14.925000000000001</v>
      </c>
      <c r="N775" s="63">
        <v>5350061</v>
      </c>
      <c r="O775" s="63" t="s">
        <v>726</v>
      </c>
      <c r="P775" s="25">
        <f t="shared" si="26"/>
        <v>-8.3417085427135773E-2</v>
      </c>
    </row>
    <row r="776" spans="2:16">
      <c r="B776" s="63">
        <v>375.07636818442245</v>
      </c>
      <c r="C776" s="63">
        <v>375.75678764623365</v>
      </c>
      <c r="D776" s="63">
        <v>370.86262766020582</v>
      </c>
      <c r="E776" s="63">
        <v>370.96469057947746</v>
      </c>
      <c r="F776" s="63">
        <v>3130354.9053847413</v>
      </c>
      <c r="G776" s="63" t="s">
        <v>727</v>
      </c>
      <c r="H776" s="25">
        <f t="shared" si="27"/>
        <v>1.1083743842364546E-2</v>
      </c>
      <c r="J776" s="63">
        <v>13.72</v>
      </c>
      <c r="K776" s="63">
        <v>13.9</v>
      </c>
      <c r="L776" s="63">
        <v>12.069900000000001</v>
      </c>
      <c r="M776" s="63">
        <v>12.08</v>
      </c>
      <c r="N776" s="63">
        <v>3997827</v>
      </c>
      <c r="O776" s="63" t="s">
        <v>727</v>
      </c>
      <c r="P776" s="25">
        <f t="shared" si="26"/>
        <v>0.13576158940397365</v>
      </c>
    </row>
    <row r="777" spans="2:16">
      <c r="B777" s="63">
        <v>370.26483056161453</v>
      </c>
      <c r="C777" s="63">
        <v>371.5867883731334</v>
      </c>
      <c r="D777" s="63">
        <v>368.32077495643961</v>
      </c>
      <c r="E777" s="63">
        <v>370.33287250779563</v>
      </c>
      <c r="F777" s="63">
        <v>3411293.3716231384</v>
      </c>
      <c r="G777" s="63" t="s">
        <v>728</v>
      </c>
      <c r="H777" s="25">
        <f t="shared" si="27"/>
        <v>-1.8373185647913015E-4</v>
      </c>
      <c r="J777" s="63">
        <v>11.98</v>
      </c>
      <c r="K777" s="63">
        <v>12.87</v>
      </c>
      <c r="L777" s="63">
        <v>11.14</v>
      </c>
      <c r="M777" s="63">
        <v>12.02</v>
      </c>
      <c r="N777" s="63">
        <v>3979902</v>
      </c>
      <c r="O777" s="63" t="s">
        <v>728</v>
      </c>
      <c r="P777" s="25">
        <f t="shared" si="26"/>
        <v>-3.3277870216305017E-3</v>
      </c>
    </row>
    <row r="778" spans="2:16">
      <c r="B778" s="63">
        <v>367.06685909110178</v>
      </c>
      <c r="C778" s="63">
        <v>368.64154413129347</v>
      </c>
      <c r="D778" s="63">
        <v>366.03650962035908</v>
      </c>
      <c r="E778" s="63">
        <v>368.31105467841377</v>
      </c>
      <c r="F778" s="63">
        <v>3715523.3527129977</v>
      </c>
      <c r="G778" s="63" t="s">
        <v>729</v>
      </c>
      <c r="H778" s="25">
        <f t="shared" si="27"/>
        <v>-3.378110897046871E-3</v>
      </c>
      <c r="J778" s="63">
        <v>10.93</v>
      </c>
      <c r="K778" s="63">
        <v>10.95</v>
      </c>
      <c r="L778" s="63">
        <v>10.65</v>
      </c>
      <c r="M778" s="63">
        <v>10.83</v>
      </c>
      <c r="N778" s="63">
        <v>1471750</v>
      </c>
      <c r="O778" s="63" t="s">
        <v>729</v>
      </c>
      <c r="P778" s="25">
        <f t="shared" si="26"/>
        <v>9.2336103416434945E-3</v>
      </c>
    </row>
    <row r="779" spans="2:16">
      <c r="B779" s="63">
        <v>369.83713832847604</v>
      </c>
      <c r="C779" s="63">
        <v>373.3655992518685</v>
      </c>
      <c r="D779" s="63">
        <v>369.44832720744103</v>
      </c>
      <c r="E779" s="63">
        <v>372.47133367348806</v>
      </c>
      <c r="F779" s="63">
        <v>2970351.2515941835</v>
      </c>
      <c r="G779" s="63" t="s">
        <v>730</v>
      </c>
      <c r="H779" s="25">
        <f t="shared" si="27"/>
        <v>-7.0722096088102759E-3</v>
      </c>
      <c r="J779" s="63">
        <v>11.03</v>
      </c>
      <c r="K779" s="63">
        <v>11.09</v>
      </c>
      <c r="L779" s="63">
        <v>10.72</v>
      </c>
      <c r="M779" s="63">
        <v>10.72</v>
      </c>
      <c r="N779" s="63">
        <v>1743178</v>
      </c>
      <c r="O779" s="63" t="s">
        <v>730</v>
      </c>
      <c r="P779" s="25">
        <f t="shared" si="26"/>
        <v>2.8917910447761042E-2</v>
      </c>
    </row>
    <row r="780" spans="2:16">
      <c r="B780" s="63">
        <v>374.01685787960207</v>
      </c>
      <c r="C780" s="63">
        <v>375.42629819335394</v>
      </c>
      <c r="D780" s="63">
        <v>372.74350145821256</v>
      </c>
      <c r="E780" s="63">
        <v>373.90021454329161</v>
      </c>
      <c r="F780" s="63">
        <v>2864127.9525021706</v>
      </c>
      <c r="G780" s="63" t="s">
        <v>731</v>
      </c>
      <c r="H780" s="25">
        <f t="shared" si="27"/>
        <v>3.1196381219777969E-4</v>
      </c>
      <c r="J780" s="63">
        <v>10.77</v>
      </c>
      <c r="K780" s="63">
        <v>10.88</v>
      </c>
      <c r="L780" s="63">
        <v>10.117900000000001</v>
      </c>
      <c r="M780" s="63">
        <v>10.14</v>
      </c>
      <c r="N780" s="63">
        <v>2390847</v>
      </c>
      <c r="O780" s="63" t="s">
        <v>731</v>
      </c>
      <c r="P780" s="25">
        <f t="shared" si="26"/>
        <v>6.2130177514792884E-2</v>
      </c>
    </row>
    <row r="781" spans="2:16">
      <c r="B781" s="63">
        <v>373.81273204105872</v>
      </c>
      <c r="C781" s="63">
        <v>375.72762681215602</v>
      </c>
      <c r="D781" s="63">
        <v>372.71434062413488</v>
      </c>
      <c r="E781" s="63">
        <v>375.22217235481054</v>
      </c>
      <c r="F781" s="63">
        <v>3754052.0860478966</v>
      </c>
      <c r="G781" s="63" t="s">
        <v>732</v>
      </c>
      <c r="H781" s="25">
        <f t="shared" si="27"/>
        <v>-3.7562820579244427E-3</v>
      </c>
      <c r="J781" s="63">
        <v>10.199999999999999</v>
      </c>
      <c r="K781" s="63">
        <v>10.28</v>
      </c>
      <c r="L781" s="63">
        <v>10</v>
      </c>
      <c r="M781" s="63">
        <v>10.210000000000001</v>
      </c>
      <c r="N781" s="63">
        <v>1674574</v>
      </c>
      <c r="O781" s="63" t="s">
        <v>732</v>
      </c>
      <c r="P781" s="25">
        <f t="shared" si="26"/>
        <v>-9.7943192948102276E-4</v>
      </c>
    </row>
    <row r="782" spans="2:16">
      <c r="B782" s="63">
        <v>374.40566900063709</v>
      </c>
      <c r="C782" s="63">
        <v>374.78475984364616</v>
      </c>
      <c r="D782" s="63">
        <v>370.34259278582152</v>
      </c>
      <c r="E782" s="63">
        <v>370.59532001449423</v>
      </c>
      <c r="F782" s="63">
        <v>3436753.5487231379</v>
      </c>
      <c r="G782" s="63" t="s">
        <v>733</v>
      </c>
      <c r="H782" s="25">
        <f t="shared" si="27"/>
        <v>1.0281697529245237E-2</v>
      </c>
      <c r="J782" s="63">
        <v>10.19</v>
      </c>
      <c r="K782" s="63">
        <v>10.365</v>
      </c>
      <c r="L782" s="63">
        <v>9.84</v>
      </c>
      <c r="M782" s="63">
        <v>9.86</v>
      </c>
      <c r="N782" s="63">
        <v>2104488</v>
      </c>
      <c r="O782" s="63" t="s">
        <v>733</v>
      </c>
      <c r="P782" s="25">
        <f t="shared" si="26"/>
        <v>3.3468559837728229E-2</v>
      </c>
    </row>
    <row r="783" spans="2:16">
      <c r="B783" s="63">
        <v>370.78000529698585</v>
      </c>
      <c r="C783" s="63">
        <v>371.40210309064179</v>
      </c>
      <c r="D783" s="63">
        <v>366.72664936019612</v>
      </c>
      <c r="E783" s="63">
        <v>368.25273301025851</v>
      </c>
      <c r="F783" s="63">
        <v>3315383.5635375697</v>
      </c>
      <c r="G783" s="63" t="s">
        <v>734</v>
      </c>
      <c r="H783" s="25">
        <f t="shared" si="27"/>
        <v>6.8628744885836923E-3</v>
      </c>
      <c r="J783" s="63">
        <v>9.86</v>
      </c>
      <c r="K783" s="63">
        <v>10.005000000000001</v>
      </c>
      <c r="L783" s="63">
        <v>8.9600000000000009</v>
      </c>
      <c r="M783" s="63">
        <v>9.02</v>
      </c>
      <c r="N783" s="63">
        <v>2522426</v>
      </c>
      <c r="O783" s="63" t="s">
        <v>734</v>
      </c>
      <c r="P783" s="25">
        <f t="shared" si="26"/>
        <v>9.312638580931254E-2</v>
      </c>
    </row>
    <row r="784" spans="2:16">
      <c r="B784" s="63">
        <v>366.40588018534231</v>
      </c>
      <c r="C784" s="63">
        <v>368.67070496537104</v>
      </c>
      <c r="D784" s="63">
        <v>366.36699907323884</v>
      </c>
      <c r="E784" s="63">
        <v>367.80560022106823</v>
      </c>
      <c r="F784" s="63">
        <v>2343159.3149261507</v>
      </c>
      <c r="G784" s="63" t="s">
        <v>735</v>
      </c>
      <c r="H784" s="25">
        <f t="shared" si="27"/>
        <v>-3.8055973995083647E-3</v>
      </c>
      <c r="J784" s="63">
        <v>8.94</v>
      </c>
      <c r="K784" s="63">
        <v>9.0749999999999993</v>
      </c>
      <c r="L784" s="63">
        <v>8.5500000000000007</v>
      </c>
      <c r="M784" s="63">
        <v>8.5500000000000007</v>
      </c>
      <c r="N784" s="63">
        <v>1487282</v>
      </c>
      <c r="O784" s="63" t="s">
        <v>735</v>
      </c>
      <c r="P784" s="25">
        <f t="shared" si="26"/>
        <v>4.5614035087719218E-2</v>
      </c>
    </row>
    <row r="785" spans="2:16">
      <c r="B785" s="63">
        <v>368.84566996983682</v>
      </c>
      <c r="C785" s="63">
        <v>369.21504053482005</v>
      </c>
      <c r="D785" s="63">
        <v>366.36699907323884</v>
      </c>
      <c r="E785" s="63">
        <v>368.14580995197389</v>
      </c>
      <c r="F785" s="63">
        <v>3994290.0703713847</v>
      </c>
      <c r="G785" s="63" t="s">
        <v>736</v>
      </c>
      <c r="H785" s="25">
        <f t="shared" si="27"/>
        <v>1.9010402914927393E-3</v>
      </c>
      <c r="J785" s="63">
        <v>8.61</v>
      </c>
      <c r="K785" s="63">
        <v>8.64</v>
      </c>
      <c r="L785" s="63">
        <v>7.96</v>
      </c>
      <c r="M785" s="63">
        <v>7.99</v>
      </c>
      <c r="N785" s="63">
        <v>1463071</v>
      </c>
      <c r="O785" s="63" t="s">
        <v>736</v>
      </c>
      <c r="P785" s="25">
        <f t="shared" si="26"/>
        <v>7.7596996245306471E-2</v>
      </c>
    </row>
    <row r="786" spans="2:16">
      <c r="B786" s="63">
        <v>367.57231354844726</v>
      </c>
      <c r="C786" s="63">
        <v>369.38028526125993</v>
      </c>
      <c r="D786" s="63">
        <v>365.32206918545728</v>
      </c>
      <c r="E786" s="63">
        <v>369.22476081284594</v>
      </c>
      <c r="F786" s="63">
        <v>2603850.4179228684</v>
      </c>
      <c r="G786" s="63" t="s">
        <v>737</v>
      </c>
      <c r="H786" s="25">
        <f t="shared" si="27"/>
        <v>-4.4754508358563205E-3</v>
      </c>
      <c r="J786" s="63">
        <v>7.91</v>
      </c>
      <c r="K786" s="63">
        <v>8.06</v>
      </c>
      <c r="L786" s="63">
        <v>7.8150000000000004</v>
      </c>
      <c r="M786" s="63">
        <v>7.95</v>
      </c>
      <c r="N786" s="63">
        <v>537379</v>
      </c>
      <c r="O786" s="63" t="s">
        <v>737</v>
      </c>
      <c r="P786" s="25">
        <f t="shared" si="26"/>
        <v>-5.031446540880502E-3</v>
      </c>
    </row>
    <row r="787" spans="2:16">
      <c r="B787" s="63">
        <v>368.0680477277669</v>
      </c>
      <c r="C787" s="63">
        <v>368.28189384433608</v>
      </c>
      <c r="D787" s="63">
        <v>366.13371240061781</v>
      </c>
      <c r="E787" s="63">
        <v>367.88336244527528</v>
      </c>
      <c r="F787" s="63">
        <v>2753647.5735313874</v>
      </c>
      <c r="G787" s="63" t="s">
        <v>738</v>
      </c>
      <c r="H787" s="25">
        <f t="shared" si="27"/>
        <v>5.0202129627185954E-4</v>
      </c>
      <c r="J787" s="63">
        <v>7.94</v>
      </c>
      <c r="K787" s="63">
        <v>7.9850000000000003</v>
      </c>
      <c r="L787" s="63">
        <v>7.69</v>
      </c>
      <c r="M787" s="63">
        <v>7.82</v>
      </c>
      <c r="N787" s="63">
        <v>670686</v>
      </c>
      <c r="O787" s="63" t="s">
        <v>738</v>
      </c>
      <c r="P787" s="25">
        <f t="shared" si="26"/>
        <v>1.5345268542199531E-2</v>
      </c>
    </row>
    <row r="788" spans="2:16">
      <c r="B788" s="63">
        <v>368.58322246313821</v>
      </c>
      <c r="C788" s="63">
        <v>370.17734805938164</v>
      </c>
      <c r="D788" s="63">
        <v>365.13252376395269</v>
      </c>
      <c r="E788" s="63">
        <v>369.64273276795853</v>
      </c>
      <c r="F788" s="63">
        <v>3614039.6299867393</v>
      </c>
      <c r="G788" s="63" t="s">
        <v>739</v>
      </c>
      <c r="H788" s="25">
        <f t="shared" si="27"/>
        <v>-2.8663090354474896E-3</v>
      </c>
      <c r="J788" s="63">
        <v>7.88</v>
      </c>
      <c r="K788" s="63">
        <v>7.9349999999999996</v>
      </c>
      <c r="L788" s="63">
        <v>7.6550000000000002</v>
      </c>
      <c r="M788" s="63">
        <v>7.74</v>
      </c>
      <c r="N788" s="63">
        <v>706081</v>
      </c>
      <c r="O788" s="63" t="s">
        <v>739</v>
      </c>
      <c r="P788" s="25">
        <f t="shared" si="26"/>
        <v>1.8087855297157507E-2</v>
      </c>
    </row>
    <row r="789" spans="2:16">
      <c r="B789" s="63">
        <v>366.97937658886894</v>
      </c>
      <c r="C789" s="63">
        <v>367.99028550355985</v>
      </c>
      <c r="D789" s="63">
        <v>366.77525075032554</v>
      </c>
      <c r="E789" s="63">
        <v>367.14462131530877</v>
      </c>
      <c r="F789" s="63">
        <v>2336403.3353312062</v>
      </c>
      <c r="G789" s="63" t="s">
        <v>740</v>
      </c>
      <c r="H789" s="25">
        <f t="shared" si="27"/>
        <v>-4.500807497814785E-4</v>
      </c>
      <c r="J789" s="63">
        <v>7.58</v>
      </c>
      <c r="K789" s="63">
        <v>7.63</v>
      </c>
      <c r="L789" s="63">
        <v>7.44</v>
      </c>
      <c r="M789" s="63">
        <v>7.48</v>
      </c>
      <c r="N789" s="63">
        <v>1197140</v>
      </c>
      <c r="O789" s="63" t="s">
        <v>740</v>
      </c>
      <c r="P789" s="25">
        <f t="shared" si="26"/>
        <v>1.3368983957219305E-2</v>
      </c>
    </row>
    <row r="790" spans="2:16">
      <c r="B790" s="63">
        <v>368.57350218511232</v>
      </c>
      <c r="C790" s="63">
        <v>369.0011944182508</v>
      </c>
      <c r="D790" s="63">
        <v>367.30986604174865</v>
      </c>
      <c r="E790" s="63">
        <v>368.79706857970746</v>
      </c>
      <c r="F790" s="63">
        <v>3042729.8397505339</v>
      </c>
      <c r="G790" s="63" t="s">
        <v>741</v>
      </c>
      <c r="H790" s="25">
        <f t="shared" si="27"/>
        <v>-6.0620436994285321E-4</v>
      </c>
      <c r="J790" s="63">
        <v>7.58</v>
      </c>
      <c r="K790" s="63">
        <v>7.7</v>
      </c>
      <c r="L790" s="63">
        <v>7.44</v>
      </c>
      <c r="M790" s="63">
        <v>7.7</v>
      </c>
      <c r="N790" s="63">
        <v>1011756</v>
      </c>
      <c r="O790" s="63" t="s">
        <v>741</v>
      </c>
      <c r="P790" s="25">
        <f t="shared" si="26"/>
        <v>-1.558441558441559E-2</v>
      </c>
    </row>
    <row r="791" spans="2:16">
      <c r="B791" s="63">
        <v>368.36937634656897</v>
      </c>
      <c r="C791" s="63">
        <v>369.45804748546692</v>
      </c>
      <c r="D791" s="63">
        <v>364.9283979254094</v>
      </c>
      <c r="E791" s="63">
        <v>365.22972654421147</v>
      </c>
      <c r="F791" s="63">
        <v>3229736.8363777162</v>
      </c>
      <c r="G791" s="63" t="s">
        <v>742</v>
      </c>
      <c r="H791" s="25">
        <f t="shared" si="27"/>
        <v>8.5963698302018443E-3</v>
      </c>
      <c r="J791" s="63">
        <v>7.63</v>
      </c>
      <c r="K791" s="63">
        <v>7.7</v>
      </c>
      <c r="L791" s="63">
        <v>7.46</v>
      </c>
      <c r="M791" s="63">
        <v>7.49</v>
      </c>
      <c r="N791" s="63">
        <v>1118746</v>
      </c>
      <c r="O791" s="63" t="s">
        <v>742</v>
      </c>
      <c r="P791" s="25">
        <f t="shared" si="26"/>
        <v>1.8691588785046731E-2</v>
      </c>
    </row>
    <row r="792" spans="2:16">
      <c r="B792" s="63">
        <v>361.73042645489659</v>
      </c>
      <c r="C792" s="63">
        <v>363.64532122599394</v>
      </c>
      <c r="D792" s="63">
        <v>360.54455253573997</v>
      </c>
      <c r="E792" s="63">
        <v>363.38287371929528</v>
      </c>
      <c r="F792" s="63">
        <v>4548721.7425575415</v>
      </c>
      <c r="G792" s="63" t="s">
        <v>743</v>
      </c>
      <c r="H792" s="25">
        <f t="shared" si="27"/>
        <v>-4.5473999572009927E-3</v>
      </c>
      <c r="J792" s="63">
        <v>7.35</v>
      </c>
      <c r="K792" s="63">
        <v>7.45</v>
      </c>
      <c r="L792" s="63">
        <v>7.1950000000000003</v>
      </c>
      <c r="M792" s="63">
        <v>7.45</v>
      </c>
      <c r="N792" s="63">
        <v>1662483</v>
      </c>
      <c r="O792" s="63" t="s">
        <v>743</v>
      </c>
      <c r="P792" s="25">
        <f t="shared" si="26"/>
        <v>-1.34228187919464E-2</v>
      </c>
    </row>
    <row r="793" spans="2:16">
      <c r="B793" s="63">
        <v>364.39378263398623</v>
      </c>
      <c r="C793" s="63">
        <v>369.56497054375154</v>
      </c>
      <c r="D793" s="63">
        <v>364.12161484926179</v>
      </c>
      <c r="E793" s="63">
        <v>367.33902687582628</v>
      </c>
      <c r="F793" s="63">
        <v>5671688.5929854512</v>
      </c>
      <c r="G793" s="63" t="s">
        <v>744</v>
      </c>
      <c r="H793" s="25">
        <f t="shared" si="27"/>
        <v>-8.0177820115902021E-3</v>
      </c>
      <c r="J793" s="63">
        <v>7.48</v>
      </c>
      <c r="K793" s="63">
        <v>7.81</v>
      </c>
      <c r="L793" s="63">
        <v>7.4450000000000003</v>
      </c>
      <c r="M793" s="63">
        <v>7.77</v>
      </c>
      <c r="N793" s="63">
        <v>1619759</v>
      </c>
      <c r="O793" s="63" t="s">
        <v>744</v>
      </c>
      <c r="P793" s="25">
        <f t="shared" si="26"/>
        <v>-3.7323037323037211E-2</v>
      </c>
    </row>
    <row r="794" spans="2:16">
      <c r="B794" s="63">
        <v>366.95021575479126</v>
      </c>
      <c r="C794" s="63">
        <v>370.44951584410614</v>
      </c>
      <c r="D794" s="63">
        <v>364.18965679544289</v>
      </c>
      <c r="E794" s="63">
        <v>370.40091445397678</v>
      </c>
      <c r="F794" s="63">
        <v>4435665.3055837518</v>
      </c>
      <c r="G794" s="63" t="s">
        <v>745</v>
      </c>
      <c r="H794" s="25">
        <f t="shared" si="27"/>
        <v>-9.3161181966096018E-3</v>
      </c>
      <c r="J794" s="63">
        <v>7.75</v>
      </c>
      <c r="K794" s="63">
        <v>8.1563999999999997</v>
      </c>
      <c r="L794" s="63">
        <v>7.73</v>
      </c>
      <c r="M794" s="63">
        <v>8.1300000000000008</v>
      </c>
      <c r="N794" s="63">
        <v>1376815</v>
      </c>
      <c r="O794" s="63" t="s">
        <v>745</v>
      </c>
      <c r="P794" s="25">
        <f t="shared" si="26"/>
        <v>-4.6740467404674191E-2</v>
      </c>
    </row>
    <row r="795" spans="2:16">
      <c r="B795" s="63">
        <v>371.11049474986561</v>
      </c>
      <c r="C795" s="63">
        <v>372.90874618465239</v>
      </c>
      <c r="D795" s="63">
        <v>370.84804724316695</v>
      </c>
      <c r="E795" s="63">
        <v>371.05217308171035</v>
      </c>
      <c r="F795" s="63">
        <v>3157622.6439509075</v>
      </c>
      <c r="G795" s="63" t="s">
        <v>746</v>
      </c>
      <c r="H795" s="25">
        <f t="shared" si="27"/>
        <v>1.5717915804369653E-4</v>
      </c>
      <c r="J795" s="63">
        <v>8.14</v>
      </c>
      <c r="K795" s="63">
        <v>8.2650000000000006</v>
      </c>
      <c r="L795" s="63">
        <v>8.0399999999999991</v>
      </c>
      <c r="M795" s="63">
        <v>8.1199999999999992</v>
      </c>
      <c r="N795" s="63">
        <v>1278299</v>
      </c>
      <c r="O795" s="63" t="s">
        <v>746</v>
      </c>
      <c r="P795" s="25">
        <f t="shared" si="26"/>
        <v>2.4630541871923928E-3</v>
      </c>
    </row>
    <row r="796" spans="2:16">
      <c r="B796" s="63">
        <v>371.36322197853838</v>
      </c>
      <c r="C796" s="63">
        <v>371.43126392471947</v>
      </c>
      <c r="D796" s="63">
        <v>367.42650937805911</v>
      </c>
      <c r="E796" s="63">
        <v>367.46539049016263</v>
      </c>
      <c r="F796" s="63">
        <v>3484372.5570239169</v>
      </c>
      <c r="G796" s="63" t="s">
        <v>747</v>
      </c>
      <c r="H796" s="25">
        <f t="shared" si="27"/>
        <v>1.0607343138292258E-2</v>
      </c>
      <c r="J796" s="63">
        <v>8.11</v>
      </c>
      <c r="K796" s="63">
        <v>8.4149999999999991</v>
      </c>
      <c r="L796" s="63">
        <v>8.0399999999999991</v>
      </c>
      <c r="M796" s="63">
        <v>8.33</v>
      </c>
      <c r="N796" s="63">
        <v>1338894</v>
      </c>
      <c r="O796" s="63" t="s">
        <v>747</v>
      </c>
      <c r="P796" s="25">
        <f t="shared" si="26"/>
        <v>-2.6410564225690325E-2</v>
      </c>
    </row>
    <row r="797" spans="2:16">
      <c r="B797" s="63">
        <v>368.21385189815499</v>
      </c>
      <c r="C797" s="63">
        <v>368.52490079498295</v>
      </c>
      <c r="D797" s="63">
        <v>363.21762899285545</v>
      </c>
      <c r="E797" s="63">
        <v>363.43147510942464</v>
      </c>
      <c r="F797" s="63">
        <v>4426187.1816294007</v>
      </c>
      <c r="G797" s="63" t="s">
        <v>748</v>
      </c>
      <c r="H797" s="25">
        <f t="shared" si="27"/>
        <v>1.315895049346083E-2</v>
      </c>
      <c r="J797" s="63">
        <v>8.36</v>
      </c>
      <c r="K797" s="63">
        <v>8.4649999999999999</v>
      </c>
      <c r="L797" s="63">
        <v>7.915</v>
      </c>
      <c r="M797" s="63">
        <v>8.2799999999999994</v>
      </c>
      <c r="N797" s="63">
        <v>1845091</v>
      </c>
      <c r="O797" s="63" t="s">
        <v>748</v>
      </c>
      <c r="P797" s="25">
        <f t="shared" si="26"/>
        <v>9.6618357487923134E-3</v>
      </c>
    </row>
    <row r="798" spans="2:16">
      <c r="B798" s="63">
        <v>361.05000699308539</v>
      </c>
      <c r="C798" s="63">
        <v>364.19937707346878</v>
      </c>
      <c r="D798" s="63">
        <v>360.60287420389517</v>
      </c>
      <c r="E798" s="63">
        <v>363.20790871482961</v>
      </c>
      <c r="F798" s="63">
        <v>3875296.5604202193</v>
      </c>
      <c r="G798" s="63" t="s">
        <v>749</v>
      </c>
      <c r="H798" s="25">
        <f t="shared" si="27"/>
        <v>-5.9412299951829839E-3</v>
      </c>
      <c r="J798" s="63">
        <v>8.2799999999999994</v>
      </c>
      <c r="K798" s="63">
        <v>8.4600000000000009</v>
      </c>
      <c r="L798" s="63">
        <v>7.82</v>
      </c>
      <c r="M798" s="63">
        <v>7.82</v>
      </c>
      <c r="N798" s="63">
        <v>1591023</v>
      </c>
      <c r="O798" s="63" t="s">
        <v>749</v>
      </c>
      <c r="P798" s="25">
        <f t="shared" si="26"/>
        <v>5.8823529411764497E-2</v>
      </c>
    </row>
    <row r="799" spans="2:16">
      <c r="B799" s="63">
        <v>362.66357314538061</v>
      </c>
      <c r="C799" s="63">
        <v>367.13490103728287</v>
      </c>
      <c r="D799" s="63">
        <v>362.58581092117356</v>
      </c>
      <c r="E799" s="63">
        <v>366.62944657993745</v>
      </c>
      <c r="F799" s="63">
        <v>3904649.6302851452</v>
      </c>
      <c r="G799" s="63" t="s">
        <v>750</v>
      </c>
      <c r="H799" s="25">
        <f t="shared" si="27"/>
        <v>-1.081711649610273E-2</v>
      </c>
      <c r="J799" s="63">
        <v>7.72</v>
      </c>
      <c r="K799" s="63">
        <v>8.33</v>
      </c>
      <c r="L799" s="63">
        <v>7.72</v>
      </c>
      <c r="M799" s="63">
        <v>8.33</v>
      </c>
      <c r="N799" s="63">
        <v>1249465</v>
      </c>
      <c r="O799" s="63" t="s">
        <v>750</v>
      </c>
      <c r="P799" s="25">
        <f t="shared" si="26"/>
        <v>-7.3229291716686684E-2</v>
      </c>
    </row>
    <row r="800" spans="2:16">
      <c r="B800" s="63">
        <v>368.48601968287943</v>
      </c>
      <c r="C800" s="63">
        <v>368.85539024786272</v>
      </c>
      <c r="D800" s="63">
        <v>366.67804797006681</v>
      </c>
      <c r="E800" s="63">
        <v>367.89308272330112</v>
      </c>
      <c r="F800" s="63">
        <v>2376858.9682825711</v>
      </c>
      <c r="G800" s="63" t="s">
        <v>751</v>
      </c>
      <c r="H800" s="25">
        <f t="shared" si="27"/>
        <v>1.6117099978860683E-3</v>
      </c>
      <c r="J800" s="63">
        <v>8.42</v>
      </c>
      <c r="K800" s="63">
        <v>8.58</v>
      </c>
      <c r="L800" s="63">
        <v>8.31</v>
      </c>
      <c r="M800" s="63">
        <v>8.56</v>
      </c>
      <c r="N800" s="63">
        <v>1229418</v>
      </c>
      <c r="O800" s="63" t="s">
        <v>751</v>
      </c>
      <c r="P800" s="25">
        <f t="shared" si="26"/>
        <v>-1.6355140186915973E-2</v>
      </c>
    </row>
    <row r="801" spans="2:16">
      <c r="B801" s="63">
        <v>368.00000578158568</v>
      </c>
      <c r="C801" s="63">
        <v>368.49573996090538</v>
      </c>
      <c r="D801" s="63">
        <v>366.2795165710059</v>
      </c>
      <c r="E801" s="63">
        <v>368.08748828381863</v>
      </c>
      <c r="F801" s="63">
        <v>2841797.3155160467</v>
      </c>
      <c r="G801" s="63" t="s">
        <v>752</v>
      </c>
      <c r="H801" s="25">
        <f t="shared" si="27"/>
        <v>-2.376676877576811E-4</v>
      </c>
      <c r="J801" s="63">
        <v>8.58</v>
      </c>
      <c r="K801" s="63">
        <v>8.6050000000000004</v>
      </c>
      <c r="L801" s="63">
        <v>8.3800000000000008</v>
      </c>
      <c r="M801" s="63">
        <v>8.57</v>
      </c>
      <c r="N801" s="63">
        <v>812789</v>
      </c>
      <c r="O801" s="63" t="s">
        <v>752</v>
      </c>
      <c r="P801" s="25">
        <f t="shared" si="26"/>
        <v>1.166861143523823E-3</v>
      </c>
    </row>
    <row r="802" spans="2:16">
      <c r="B802" s="63">
        <v>367.7861596650165</v>
      </c>
      <c r="C802" s="63">
        <v>369.43860692941519</v>
      </c>
      <c r="D802" s="63">
        <v>366.39615990731642</v>
      </c>
      <c r="E802" s="63">
        <v>367.21266326148987</v>
      </c>
      <c r="F802" s="63">
        <v>3038156.9252843349</v>
      </c>
      <c r="G802" s="63" t="s">
        <v>753</v>
      </c>
      <c r="H802" s="25">
        <f t="shared" si="27"/>
        <v>1.5617555190852173E-3</v>
      </c>
      <c r="J802" s="63">
        <v>8.6199999999999992</v>
      </c>
      <c r="K802" s="63">
        <v>8.8000000000000007</v>
      </c>
      <c r="L802" s="63">
        <v>8.48</v>
      </c>
      <c r="M802" s="63">
        <v>8.6</v>
      </c>
      <c r="N802" s="63">
        <v>663218</v>
      </c>
      <c r="O802" s="63" t="s">
        <v>753</v>
      </c>
      <c r="P802" s="25">
        <f t="shared" si="26"/>
        <v>2.3255813953488857E-3</v>
      </c>
    </row>
    <row r="803" spans="2:16">
      <c r="B803" s="63">
        <v>369.87601944057951</v>
      </c>
      <c r="C803" s="63">
        <v>370.66336196067533</v>
      </c>
      <c r="D803" s="63">
        <v>368.07776800579273</v>
      </c>
      <c r="E803" s="63">
        <v>368.13608967394799</v>
      </c>
      <c r="F803" s="63">
        <v>2748183.7380465763</v>
      </c>
      <c r="G803" s="63" t="s">
        <v>754</v>
      </c>
      <c r="H803" s="25">
        <f t="shared" si="27"/>
        <v>4.7263221820292856E-3</v>
      </c>
      <c r="J803" s="63">
        <v>8.74</v>
      </c>
      <c r="K803" s="63">
        <v>8.9499999999999993</v>
      </c>
      <c r="L803" s="63">
        <v>8.74</v>
      </c>
      <c r="M803" s="63">
        <v>8.89</v>
      </c>
      <c r="N803" s="63">
        <v>756326</v>
      </c>
      <c r="O803" s="63" t="s">
        <v>754</v>
      </c>
      <c r="P803" s="25">
        <f t="shared" si="26"/>
        <v>-1.6872890888638969E-2</v>
      </c>
    </row>
    <row r="804" spans="2:16">
      <c r="B804" s="63">
        <v>369.8954599966313</v>
      </c>
      <c r="C804" s="63">
        <v>371.23199822518905</v>
      </c>
      <c r="D804" s="63">
        <v>368.63182385326758</v>
      </c>
      <c r="E804" s="63">
        <v>371.15909613999497</v>
      </c>
      <c r="F804" s="63">
        <v>3106153.9515258279</v>
      </c>
      <c r="G804" s="63" t="s">
        <v>755</v>
      </c>
      <c r="H804" s="25">
        <f t="shared" si="27"/>
        <v>-3.4045673580556102E-3</v>
      </c>
      <c r="J804" s="63">
        <v>9.0299999999999994</v>
      </c>
      <c r="K804" s="63">
        <v>9.15</v>
      </c>
      <c r="L804" s="63">
        <v>8.9350000000000005</v>
      </c>
      <c r="M804" s="63">
        <v>9.1199999999999992</v>
      </c>
      <c r="N804" s="63">
        <v>1153641</v>
      </c>
      <c r="O804" s="63" t="s">
        <v>755</v>
      </c>
      <c r="P804" s="25">
        <f t="shared" si="26"/>
        <v>-9.8684210526315264E-3</v>
      </c>
    </row>
    <row r="805" spans="2:16">
      <c r="B805" s="63">
        <v>369.64273276795853</v>
      </c>
      <c r="C805" s="63">
        <v>369.681613880062</v>
      </c>
      <c r="D805" s="63">
        <v>367.11546048123114</v>
      </c>
      <c r="E805" s="63">
        <v>368.24301273223256</v>
      </c>
      <c r="F805" s="63">
        <v>2799306.7613466522</v>
      </c>
      <c r="G805" s="63" t="s">
        <v>756</v>
      </c>
      <c r="H805" s="25">
        <f t="shared" si="27"/>
        <v>3.8010769718088699E-3</v>
      </c>
      <c r="J805" s="63">
        <v>9.0299999999999994</v>
      </c>
      <c r="K805" s="63">
        <v>9.06</v>
      </c>
      <c r="L805" s="63">
        <v>8.7750000000000004</v>
      </c>
      <c r="M805" s="63">
        <v>8.86</v>
      </c>
      <c r="N805" s="63">
        <v>674074</v>
      </c>
      <c r="O805" s="63" t="s">
        <v>756</v>
      </c>
      <c r="P805" s="25">
        <f t="shared" si="26"/>
        <v>1.9187358916478603E-2</v>
      </c>
    </row>
    <row r="806" spans="2:16">
      <c r="B806" s="63">
        <v>368.3888169026207</v>
      </c>
      <c r="C806" s="63">
        <v>370.66336196067533</v>
      </c>
      <c r="D806" s="63">
        <v>366.18231379074723</v>
      </c>
      <c r="E806" s="63">
        <v>368.66098468734521</v>
      </c>
      <c r="F806" s="63">
        <v>3067456.4987370577</v>
      </c>
      <c r="G806" s="63" t="s">
        <v>757</v>
      </c>
      <c r="H806" s="25">
        <f t="shared" si="27"/>
        <v>-7.3826034223645198E-4</v>
      </c>
      <c r="J806" s="63">
        <v>8.89</v>
      </c>
      <c r="K806" s="63">
        <v>9.02</v>
      </c>
      <c r="L806" s="63">
        <v>8.6950000000000003</v>
      </c>
      <c r="M806" s="63">
        <v>8.9499999999999993</v>
      </c>
      <c r="N806" s="63">
        <v>1054546</v>
      </c>
      <c r="O806" s="63" t="s">
        <v>757</v>
      </c>
      <c r="P806" s="25">
        <f t="shared" si="26"/>
        <v>-6.7039106145250216E-3</v>
      </c>
    </row>
    <row r="807" spans="2:16">
      <c r="B807" s="63">
        <v>369.14699858863889</v>
      </c>
      <c r="C807" s="63">
        <v>369.53580970967391</v>
      </c>
      <c r="D807" s="63">
        <v>364.94278393688762</v>
      </c>
      <c r="E807" s="63">
        <v>365.39497127065135</v>
      </c>
      <c r="F807" s="63">
        <v>2758017.8188975095</v>
      </c>
      <c r="G807" s="63" t="s">
        <v>758</v>
      </c>
      <c r="H807" s="25">
        <f t="shared" si="27"/>
        <v>1.0268415312175705E-2</v>
      </c>
      <c r="J807" s="63">
        <v>8.9600000000000009</v>
      </c>
      <c r="K807" s="63">
        <v>9.0500000000000007</v>
      </c>
      <c r="L807" s="63">
        <v>8.64</v>
      </c>
      <c r="M807" s="63">
        <v>8.69</v>
      </c>
      <c r="N807" s="63">
        <v>960155</v>
      </c>
      <c r="O807" s="63" t="s">
        <v>758</v>
      </c>
      <c r="P807" s="25">
        <f t="shared" si="26"/>
        <v>3.1070195627157737E-2</v>
      </c>
    </row>
    <row r="808" spans="2:16">
      <c r="B808" s="63">
        <v>364.42294346806392</v>
      </c>
      <c r="C808" s="63">
        <v>368.02916661566337</v>
      </c>
      <c r="D808" s="63">
        <v>363.84944706453729</v>
      </c>
      <c r="E808" s="63">
        <v>367.81532049909407</v>
      </c>
      <c r="F808" s="63">
        <v>3728466.3981346516</v>
      </c>
      <c r="G808" s="63" t="s">
        <v>759</v>
      </c>
      <c r="H808" s="25">
        <f t="shared" si="27"/>
        <v>-9.2230443974627985E-3</v>
      </c>
      <c r="J808" s="63">
        <v>8.57</v>
      </c>
      <c r="K808" s="63">
        <v>9.0299999999999994</v>
      </c>
      <c r="L808" s="63">
        <v>8.56</v>
      </c>
      <c r="M808" s="63">
        <v>9.02</v>
      </c>
      <c r="N808" s="63">
        <v>698652</v>
      </c>
      <c r="O808" s="63" t="s">
        <v>759</v>
      </c>
      <c r="P808" s="25">
        <f t="shared" si="26"/>
        <v>-4.9889135254988837E-2</v>
      </c>
    </row>
    <row r="809" spans="2:16">
      <c r="B809" s="63">
        <v>365.8809851719451</v>
      </c>
      <c r="C809" s="63">
        <v>367.19322270543813</v>
      </c>
      <c r="D809" s="63">
        <v>365.18112515408211</v>
      </c>
      <c r="E809" s="63">
        <v>366.35727879521289</v>
      </c>
      <c r="F809" s="63">
        <v>3157318.1259122137</v>
      </c>
      <c r="G809" s="63" t="s">
        <v>760</v>
      </c>
      <c r="H809" s="25">
        <f t="shared" si="27"/>
        <v>-1.3000795967098577E-3</v>
      </c>
      <c r="J809" s="63">
        <v>8.9</v>
      </c>
      <c r="K809" s="63">
        <v>9.19</v>
      </c>
      <c r="L809" s="63">
        <v>8.9</v>
      </c>
      <c r="M809" s="63">
        <v>9.18</v>
      </c>
      <c r="N809" s="63">
        <v>832431</v>
      </c>
      <c r="O809" s="63" t="s">
        <v>760</v>
      </c>
      <c r="P809" s="25">
        <f t="shared" si="26"/>
        <v>-3.0501089324618702E-2</v>
      </c>
    </row>
    <row r="810" spans="2:16">
      <c r="B810" s="63">
        <v>365.83238378181574</v>
      </c>
      <c r="C810" s="63">
        <v>365.86154461589331</v>
      </c>
      <c r="D810" s="63">
        <v>362.5274892530183</v>
      </c>
      <c r="E810" s="63">
        <v>363.10098565654494</v>
      </c>
      <c r="F810" s="63">
        <v>2747984.155277973</v>
      </c>
      <c r="G810" s="63" t="s">
        <v>761</v>
      </c>
      <c r="H810" s="25">
        <f t="shared" si="27"/>
        <v>7.5224200240933126E-3</v>
      </c>
      <c r="J810" s="63">
        <v>9.15</v>
      </c>
      <c r="K810" s="63">
        <v>9.1649999999999991</v>
      </c>
      <c r="L810" s="63">
        <v>8.92</v>
      </c>
      <c r="M810" s="63">
        <v>8.9499999999999993</v>
      </c>
      <c r="N810" s="63">
        <v>864171</v>
      </c>
      <c r="O810" s="63" t="s">
        <v>761</v>
      </c>
      <c r="P810" s="25">
        <f t="shared" si="26"/>
        <v>2.2346368715083997E-2</v>
      </c>
    </row>
    <row r="811" spans="2:16">
      <c r="B811" s="63">
        <v>365.43385238275482</v>
      </c>
      <c r="C811" s="63">
        <v>365.66227891636288</v>
      </c>
      <c r="D811" s="63">
        <v>362.29420258039738</v>
      </c>
      <c r="E811" s="63">
        <v>363.21762899285545</v>
      </c>
      <c r="F811" s="63">
        <v>3164747.9545454849</v>
      </c>
      <c r="G811" s="63" t="s">
        <v>762</v>
      </c>
      <c r="H811" s="25">
        <f t="shared" si="27"/>
        <v>6.1016404849196793E-3</v>
      </c>
      <c r="J811" s="63">
        <v>9.01</v>
      </c>
      <c r="K811" s="63">
        <v>9.0749999999999993</v>
      </c>
      <c r="L811" s="63">
        <v>8.86</v>
      </c>
      <c r="M811" s="63">
        <v>8.9700000000000006</v>
      </c>
      <c r="N811" s="63">
        <v>992446</v>
      </c>
      <c r="O811" s="63" t="s">
        <v>762</v>
      </c>
      <c r="P811" s="25">
        <f t="shared" si="26"/>
        <v>4.4593088071347431E-3</v>
      </c>
    </row>
    <row r="812" spans="2:16">
      <c r="B812" s="63">
        <v>364.04385262505474</v>
      </c>
      <c r="C812" s="63">
        <v>364.9186776473835</v>
      </c>
      <c r="D812" s="63">
        <v>362.45944730683721</v>
      </c>
      <c r="E812" s="63">
        <v>364.22853790754635</v>
      </c>
      <c r="F812" s="63">
        <v>3320620.0392705179</v>
      </c>
      <c r="G812" s="63" t="s">
        <v>763</v>
      </c>
      <c r="H812" s="25">
        <f t="shared" si="27"/>
        <v>-5.0705879213253091E-4</v>
      </c>
      <c r="J812" s="63">
        <v>9.0399999999999991</v>
      </c>
      <c r="K812" s="63">
        <v>9.15</v>
      </c>
      <c r="L812" s="63">
        <v>8.8699999999999992</v>
      </c>
      <c r="M812" s="63">
        <v>9</v>
      </c>
      <c r="N812" s="63">
        <v>1226469</v>
      </c>
      <c r="O812" s="63" t="s">
        <v>763</v>
      </c>
      <c r="P812" s="25">
        <f t="shared" si="26"/>
        <v>4.444444444444251E-3</v>
      </c>
    </row>
    <row r="813" spans="2:16">
      <c r="B813" s="63">
        <v>364.9283979254094</v>
      </c>
      <c r="C813" s="63">
        <v>367.81532049909407</v>
      </c>
      <c r="D813" s="63">
        <v>363.66476178204567</v>
      </c>
      <c r="E813" s="63">
        <v>367.61119466055072</v>
      </c>
      <c r="F813" s="63">
        <v>2791358.4290258749</v>
      </c>
      <c r="G813" s="63" t="s">
        <v>764</v>
      </c>
      <c r="H813" s="25">
        <f t="shared" si="27"/>
        <v>-7.2979190354053314E-3</v>
      </c>
      <c r="J813" s="63">
        <v>9.08</v>
      </c>
      <c r="K813" s="63">
        <v>9.33</v>
      </c>
      <c r="L813" s="63">
        <v>9.0299999999999994</v>
      </c>
      <c r="M813" s="63">
        <v>9.33</v>
      </c>
      <c r="N813" s="63">
        <v>756546</v>
      </c>
      <c r="O813" s="63" t="s">
        <v>764</v>
      </c>
      <c r="P813" s="25">
        <f t="shared" si="26"/>
        <v>-2.6795284030010746E-2</v>
      </c>
    </row>
    <row r="814" spans="2:16">
      <c r="B814" s="63">
        <v>366.99881714492068</v>
      </c>
      <c r="C814" s="63">
        <v>367.33902687582628</v>
      </c>
      <c r="D814" s="63">
        <v>364.72427208686605</v>
      </c>
      <c r="E814" s="63">
        <v>365.09364265184928</v>
      </c>
      <c r="F814" s="63">
        <v>3626743.9991077953</v>
      </c>
      <c r="G814" s="63" t="s">
        <v>765</v>
      </c>
      <c r="H814" s="25">
        <f t="shared" si="27"/>
        <v>5.2183173588924436E-3</v>
      </c>
      <c r="J814" s="63">
        <v>9.3000000000000007</v>
      </c>
      <c r="K814" s="63">
        <v>9.42</v>
      </c>
      <c r="L814" s="63">
        <v>9.06</v>
      </c>
      <c r="M814" s="63">
        <v>9.42</v>
      </c>
      <c r="N814" s="63">
        <v>1283848</v>
      </c>
      <c r="O814" s="63" t="s">
        <v>765</v>
      </c>
      <c r="P814" s="25">
        <f t="shared" si="26"/>
        <v>-1.27388535031846E-2</v>
      </c>
    </row>
    <row r="815" spans="2:16">
      <c r="B815" s="63">
        <v>365.55049571906534</v>
      </c>
      <c r="C815" s="63">
        <v>365.81294322576395</v>
      </c>
      <c r="D815" s="63">
        <v>361.25413283162874</v>
      </c>
      <c r="E815" s="63">
        <v>361.38049644596509</v>
      </c>
      <c r="F815" s="63">
        <v>4279552.4870038051</v>
      </c>
      <c r="G815" s="63" t="s">
        <v>766</v>
      </c>
      <c r="H815" s="25">
        <f t="shared" si="27"/>
        <v>1.1539082252945532E-2</v>
      </c>
      <c r="J815" s="63">
        <v>9.42</v>
      </c>
      <c r="K815" s="63">
        <v>9.4499999999999993</v>
      </c>
      <c r="L815" s="63">
        <v>9.0850000000000009</v>
      </c>
      <c r="M815" s="63">
        <v>9.26</v>
      </c>
      <c r="N815" s="63">
        <v>1734432</v>
      </c>
      <c r="O815" s="63" t="s">
        <v>766</v>
      </c>
      <c r="P815" s="25">
        <f t="shared" si="26"/>
        <v>1.7278617710583255E-2</v>
      </c>
    </row>
    <row r="816" spans="2:16">
      <c r="B816" s="63">
        <v>360.51539170166228</v>
      </c>
      <c r="C816" s="63">
        <v>361.08888810518891</v>
      </c>
      <c r="D816" s="63">
        <v>358.77740599063588</v>
      </c>
      <c r="E816" s="63">
        <v>360.84588115454204</v>
      </c>
      <c r="F816" s="63">
        <v>3412188.4077503812</v>
      </c>
      <c r="G816" s="63" t="s">
        <v>767</v>
      </c>
      <c r="H816" s="25">
        <f t="shared" si="27"/>
        <v>-9.1587425585226701E-4</v>
      </c>
      <c r="J816" s="63">
        <v>9.1999999999999993</v>
      </c>
      <c r="K816" s="63">
        <v>9.3699999999999992</v>
      </c>
      <c r="L816" s="63">
        <v>9.0299999999999994</v>
      </c>
      <c r="M816" s="63">
        <v>9.16</v>
      </c>
      <c r="N816" s="63">
        <v>1095199</v>
      </c>
      <c r="O816" s="63" t="s">
        <v>767</v>
      </c>
      <c r="P816" s="25">
        <f t="shared" si="26"/>
        <v>4.366812227074135E-3</v>
      </c>
    </row>
    <row r="817" spans="2:16">
      <c r="B817" s="63">
        <v>358.3769305359699</v>
      </c>
      <c r="C817" s="63">
        <v>358.61993748661678</v>
      </c>
      <c r="D817" s="63">
        <v>356.04406380976002</v>
      </c>
      <c r="E817" s="63">
        <v>357.12301467063207</v>
      </c>
      <c r="F817" s="63">
        <v>3740704.7312032469</v>
      </c>
      <c r="G817" s="63" t="s">
        <v>768</v>
      </c>
      <c r="H817" s="25">
        <f t="shared" si="27"/>
        <v>3.5111594991834583E-3</v>
      </c>
      <c r="J817" s="63">
        <v>9.07</v>
      </c>
      <c r="K817" s="63">
        <v>9.1549999999999994</v>
      </c>
      <c r="L817" s="63">
        <v>8.7850000000000001</v>
      </c>
      <c r="M817" s="63">
        <v>8.98</v>
      </c>
      <c r="N817" s="63">
        <v>1540423</v>
      </c>
      <c r="O817" s="63" t="s">
        <v>768</v>
      </c>
      <c r="P817" s="25">
        <f t="shared" si="26"/>
        <v>1.0022271714922093E-2</v>
      </c>
    </row>
    <row r="818" spans="2:16">
      <c r="B818" s="63">
        <v>353.35154679659274</v>
      </c>
      <c r="C818" s="63">
        <v>354.01252570235221</v>
      </c>
      <c r="D818" s="63">
        <v>351.56495969543698</v>
      </c>
      <c r="E818" s="63">
        <v>353.37098735264453</v>
      </c>
      <c r="F818" s="63">
        <v>2483111.0731350011</v>
      </c>
      <c r="G818" s="63" t="s">
        <v>769</v>
      </c>
      <c r="H818" s="25">
        <f t="shared" si="27"/>
        <v>-5.5014578863477048E-5</v>
      </c>
      <c r="J818" s="63">
        <v>8.8800000000000008</v>
      </c>
      <c r="K818" s="63">
        <v>8.9499999999999993</v>
      </c>
      <c r="L818" s="63">
        <v>8.69</v>
      </c>
      <c r="M818" s="63">
        <v>8.83</v>
      </c>
      <c r="N818" s="63">
        <v>2047460</v>
      </c>
      <c r="O818" s="63" t="s">
        <v>769</v>
      </c>
      <c r="P818" s="25">
        <f t="shared" si="26"/>
        <v>5.6625141562853809E-3</v>
      </c>
    </row>
    <row r="819" spans="2:16">
      <c r="B819" s="63">
        <v>353.97364459024874</v>
      </c>
      <c r="C819" s="63">
        <v>356.18014770212227</v>
      </c>
      <c r="D819" s="63">
        <v>353.23490346028223</v>
      </c>
      <c r="E819" s="63">
        <v>355.4948681012981</v>
      </c>
      <c r="F819" s="63">
        <v>4264070.4195568245</v>
      </c>
      <c r="G819" s="63" t="s">
        <v>770</v>
      </c>
      <c r="H819" s="25">
        <f t="shared" si="27"/>
        <v>-4.279171508647206E-3</v>
      </c>
      <c r="J819" s="63">
        <v>8.9</v>
      </c>
      <c r="K819" s="63">
        <v>9.0688999999999993</v>
      </c>
      <c r="L819" s="63">
        <v>8.2899999999999991</v>
      </c>
      <c r="M819" s="63">
        <v>8.35</v>
      </c>
      <c r="N819" s="63">
        <v>2458995</v>
      </c>
      <c r="O819" s="63" t="s">
        <v>770</v>
      </c>
      <c r="P819" s="25">
        <f t="shared" si="26"/>
        <v>6.5868263473054078E-2</v>
      </c>
    </row>
    <row r="820" spans="2:16">
      <c r="B820" s="63">
        <v>353.39042790869627</v>
      </c>
      <c r="C820" s="63">
        <v>353.45846985487736</v>
      </c>
      <c r="D820" s="63">
        <v>347.71378554158554</v>
      </c>
      <c r="E820" s="63">
        <v>349.91056837543317</v>
      </c>
      <c r="F820" s="63">
        <v>3848594.6492908155</v>
      </c>
      <c r="G820" s="63" t="s">
        <v>771</v>
      </c>
      <c r="H820" s="25">
        <f t="shared" si="27"/>
        <v>9.9449969442746422E-3</v>
      </c>
      <c r="J820" s="63">
        <v>8.26</v>
      </c>
      <c r="K820" s="63">
        <v>8.2799999999999994</v>
      </c>
      <c r="L820" s="63">
        <v>7.96</v>
      </c>
      <c r="M820" s="63">
        <v>8.17</v>
      </c>
      <c r="N820" s="63">
        <v>1905010</v>
      </c>
      <c r="O820" s="63" t="s">
        <v>771</v>
      </c>
      <c r="P820" s="25">
        <f t="shared" si="26"/>
        <v>1.1015911872704898E-2</v>
      </c>
    </row>
    <row r="821" spans="2:16">
      <c r="B821" s="63">
        <v>351.0503681767471</v>
      </c>
      <c r="C821" s="63">
        <v>356.51592735037912</v>
      </c>
      <c r="D821" s="63">
        <v>348.61090499616745</v>
      </c>
      <c r="E821" s="63">
        <v>352.83156351494813</v>
      </c>
      <c r="F821" s="63">
        <v>4945238.139291577</v>
      </c>
      <c r="G821" s="63" t="s">
        <v>772</v>
      </c>
      <c r="H821" s="25">
        <f t="shared" si="27"/>
        <v>-5.0482879719052631E-3</v>
      </c>
      <c r="J821" s="63">
        <v>8.2200000000000006</v>
      </c>
      <c r="K821" s="63">
        <v>8.4700000000000006</v>
      </c>
      <c r="L821" s="63">
        <v>8.0500000000000007</v>
      </c>
      <c r="M821" s="63">
        <v>8.11</v>
      </c>
      <c r="N821" s="63">
        <v>1833522</v>
      </c>
      <c r="O821" s="63" t="s">
        <v>772</v>
      </c>
      <c r="P821" s="25">
        <f t="shared" si="26"/>
        <v>1.356350184956856E-2</v>
      </c>
    </row>
    <row r="822" spans="2:16">
      <c r="B822" s="63">
        <v>350.21785296432705</v>
      </c>
      <c r="C822" s="63">
        <v>359.3551914411093</v>
      </c>
      <c r="D822" s="63">
        <v>350.10168805096617</v>
      </c>
      <c r="E822" s="63">
        <v>356.02609863237382</v>
      </c>
      <c r="F822" s="63">
        <v>4230027.6889393684</v>
      </c>
      <c r="G822" s="63" t="s">
        <v>773</v>
      </c>
      <c r="H822" s="25">
        <f t="shared" si="27"/>
        <v>-1.631410082114304E-2</v>
      </c>
      <c r="J822" s="63">
        <v>8</v>
      </c>
      <c r="K822" s="63">
        <v>8.33</v>
      </c>
      <c r="L822" s="63">
        <v>8</v>
      </c>
      <c r="M822" s="63">
        <v>8.33</v>
      </c>
      <c r="N822" s="63">
        <v>1911963</v>
      </c>
      <c r="O822" s="63" t="s">
        <v>773</v>
      </c>
      <c r="P822" s="25">
        <f t="shared" si="26"/>
        <v>-3.9615846338535432E-2</v>
      </c>
    </row>
    <row r="823" spans="2:16">
      <c r="B823" s="63">
        <v>356.12290272684129</v>
      </c>
      <c r="C823" s="63">
        <v>356.63596442751879</v>
      </c>
      <c r="D823" s="63">
        <v>353.21877989281791</v>
      </c>
      <c r="E823" s="63">
        <v>354.70956294761658</v>
      </c>
      <c r="F823" s="63">
        <v>4253569.048553722</v>
      </c>
      <c r="G823" s="63" t="s">
        <v>774</v>
      </c>
      <c r="H823" s="25">
        <f t="shared" si="27"/>
        <v>3.9844986627366463E-3</v>
      </c>
      <c r="J823" s="63">
        <v>8.36</v>
      </c>
      <c r="K823" s="63">
        <v>8.57</v>
      </c>
      <c r="L823" s="63">
        <v>8.2799999999999994</v>
      </c>
      <c r="M823" s="63">
        <v>8.3000000000000007</v>
      </c>
      <c r="N823" s="63">
        <v>1752309</v>
      </c>
      <c r="O823" s="63" t="s">
        <v>774</v>
      </c>
      <c r="P823" s="25">
        <f t="shared" si="26"/>
        <v>7.2289156626503814E-3</v>
      </c>
    </row>
    <row r="824" spans="2:16">
      <c r="B824" s="63">
        <v>351.52470823963756</v>
      </c>
      <c r="C824" s="63">
        <v>351.9603266647411</v>
      </c>
      <c r="D824" s="63">
        <v>348.32049271276509</v>
      </c>
      <c r="E824" s="63">
        <v>348.94971932680352</v>
      </c>
      <c r="F824" s="63">
        <v>3202088.7309083808</v>
      </c>
      <c r="G824" s="63" t="s">
        <v>775</v>
      </c>
      <c r="H824" s="25">
        <f t="shared" si="27"/>
        <v>7.3792548617082065E-3</v>
      </c>
      <c r="J824" s="63">
        <v>8.1999999999999993</v>
      </c>
      <c r="K824" s="63">
        <v>8.25</v>
      </c>
      <c r="L824" s="63">
        <v>7.91</v>
      </c>
      <c r="M824" s="63">
        <v>8.1999999999999993</v>
      </c>
      <c r="N824" s="63">
        <v>2381233</v>
      </c>
      <c r="O824" s="63" t="s">
        <v>775</v>
      </c>
      <c r="P824" s="25">
        <f t="shared" si="26"/>
        <v>0</v>
      </c>
    </row>
    <row r="825" spans="2:16">
      <c r="B825" s="63">
        <v>348.37857516944558</v>
      </c>
      <c r="C825" s="63">
        <v>352.16361526312278</v>
      </c>
      <c r="D825" s="63">
        <v>346.96533219431535</v>
      </c>
      <c r="E825" s="63">
        <v>351.16653309010803</v>
      </c>
      <c r="F825" s="63">
        <v>5361247.4023454525</v>
      </c>
      <c r="G825" s="63" t="s">
        <v>776</v>
      </c>
      <c r="H825" s="25">
        <f t="shared" si="27"/>
        <v>-7.9391333112801554E-3</v>
      </c>
      <c r="J825" s="63">
        <v>8.17</v>
      </c>
      <c r="K825" s="63">
        <v>8.2850000000000001</v>
      </c>
      <c r="L825" s="63">
        <v>7.8414999999999999</v>
      </c>
      <c r="M825" s="63">
        <v>8.2750000000000004</v>
      </c>
      <c r="N825" s="63">
        <v>5315942</v>
      </c>
      <c r="O825" s="63" t="s">
        <v>776</v>
      </c>
      <c r="P825" s="25">
        <f t="shared" si="26"/>
        <v>-1.2688821752265933E-2</v>
      </c>
    </row>
    <row r="826" spans="2:16">
      <c r="B826" s="63">
        <v>352.23137812924995</v>
      </c>
      <c r="C826" s="63">
        <v>352.61859450711972</v>
      </c>
      <c r="D826" s="63">
        <v>343.64485494998746</v>
      </c>
      <c r="E826" s="63">
        <v>344.17727746955842</v>
      </c>
      <c r="F826" s="63">
        <v>5216558.2745037554</v>
      </c>
      <c r="G826" s="63" t="s">
        <v>777</v>
      </c>
      <c r="H826" s="25">
        <f t="shared" si="27"/>
        <v>2.3401023794791032E-2</v>
      </c>
      <c r="J826" s="63">
        <v>8.23</v>
      </c>
      <c r="K826" s="63">
        <v>8.4</v>
      </c>
      <c r="L826" s="63">
        <v>8.15</v>
      </c>
      <c r="M826" s="63">
        <v>8.19</v>
      </c>
      <c r="N826" s="63">
        <v>2358652</v>
      </c>
      <c r="O826" s="63" t="s">
        <v>777</v>
      </c>
      <c r="P826" s="25">
        <f t="shared" ref="P826:P889" si="28">J826/M826-1</f>
        <v>4.8840048840050887E-3</v>
      </c>
    </row>
    <row r="827" spans="2:16">
      <c r="B827" s="63">
        <v>346.30696754784225</v>
      </c>
      <c r="C827" s="63">
        <v>346.44249328009664</v>
      </c>
      <c r="D827" s="63">
        <v>341.29735565915189</v>
      </c>
      <c r="E827" s="63">
        <v>343.13179324930996</v>
      </c>
      <c r="F827" s="63">
        <v>6828629.549572384</v>
      </c>
      <c r="G827" s="63" t="s">
        <v>778</v>
      </c>
      <c r="H827" s="25">
        <f t="shared" ref="H827:H890" si="29">B827/E827-1</f>
        <v>9.2535123850365775E-3</v>
      </c>
      <c r="J827" s="63">
        <v>8.25</v>
      </c>
      <c r="K827" s="63">
        <v>8.49</v>
      </c>
      <c r="L827" s="63">
        <v>8.15</v>
      </c>
      <c r="M827" s="63">
        <v>8.4700000000000006</v>
      </c>
      <c r="N827" s="63">
        <v>4300574</v>
      </c>
      <c r="O827" s="63" t="s">
        <v>778</v>
      </c>
      <c r="P827" s="25">
        <f t="shared" si="28"/>
        <v>-2.5974025974026094E-2</v>
      </c>
    </row>
    <row r="828" spans="2:16">
      <c r="B828" s="63">
        <v>348.45601844501954</v>
      </c>
      <c r="C828" s="63">
        <v>349.95648190926494</v>
      </c>
      <c r="D828" s="63">
        <v>344.2644011545791</v>
      </c>
      <c r="E828" s="63">
        <v>347.41053422477114</v>
      </c>
      <c r="F828" s="63">
        <v>4957239.6977627501</v>
      </c>
      <c r="G828" s="63" t="s">
        <v>779</v>
      </c>
      <c r="H828" s="25">
        <f t="shared" si="29"/>
        <v>3.0093624609897063E-3</v>
      </c>
      <c r="J828" s="63">
        <v>8.56</v>
      </c>
      <c r="K828" s="63">
        <v>9.27</v>
      </c>
      <c r="L828" s="63">
        <v>8.42</v>
      </c>
      <c r="M828" s="63">
        <v>9.0399999999999991</v>
      </c>
      <c r="N828" s="63">
        <v>3469460</v>
      </c>
      <c r="O828" s="63" t="s">
        <v>779</v>
      </c>
      <c r="P828" s="25">
        <f t="shared" si="28"/>
        <v>-5.3097345132743223E-2</v>
      </c>
    </row>
    <row r="829" spans="2:16">
      <c r="B829" s="63">
        <v>342.76393769033371</v>
      </c>
      <c r="C829" s="63">
        <v>347.20724562638952</v>
      </c>
      <c r="D829" s="63">
        <v>338.58200080934</v>
      </c>
      <c r="E829" s="63">
        <v>339.5500417540145</v>
      </c>
      <c r="F829" s="63">
        <v>6692581.585150498</v>
      </c>
      <c r="G829" s="63" t="s">
        <v>780</v>
      </c>
      <c r="H829" s="25">
        <f t="shared" si="29"/>
        <v>9.4651613638954135E-3</v>
      </c>
      <c r="J829" s="63">
        <v>8.92</v>
      </c>
      <c r="K829" s="63">
        <v>9.2899999999999991</v>
      </c>
      <c r="L829" s="63">
        <v>8.81</v>
      </c>
      <c r="M829" s="63">
        <v>8.8800000000000008</v>
      </c>
      <c r="N829" s="63">
        <v>2696551</v>
      </c>
      <c r="O829" s="63" t="s">
        <v>780</v>
      </c>
      <c r="P829" s="25">
        <f t="shared" si="28"/>
        <v>4.5045045045044585E-3</v>
      </c>
    </row>
    <row r="830" spans="2:16">
      <c r="B830" s="63">
        <v>343.34476225713837</v>
      </c>
      <c r="C830" s="63">
        <v>349.69511085420288</v>
      </c>
      <c r="D830" s="63">
        <v>341.8539792023397</v>
      </c>
      <c r="E830" s="63">
        <v>347.84615264987463</v>
      </c>
      <c r="F830" s="63">
        <v>8636413.6207187772</v>
      </c>
      <c r="G830" s="63" t="s">
        <v>781</v>
      </c>
      <c r="H830" s="25">
        <f t="shared" si="29"/>
        <v>-1.2940750841844539E-2</v>
      </c>
      <c r="J830" s="63">
        <v>9</v>
      </c>
      <c r="K830" s="63">
        <v>9.6999999999999993</v>
      </c>
      <c r="L830" s="63">
        <v>8.93</v>
      </c>
      <c r="M830" s="63">
        <v>9.61</v>
      </c>
      <c r="N830" s="63">
        <v>2112376</v>
      </c>
      <c r="O830" s="63" t="s">
        <v>781</v>
      </c>
      <c r="P830" s="25">
        <f t="shared" si="28"/>
        <v>-6.3475546305931219E-2</v>
      </c>
    </row>
    <row r="831" spans="2:16">
      <c r="B831" s="63">
        <v>348.3398535316586</v>
      </c>
      <c r="C831" s="63">
        <v>357.09094367151573</v>
      </c>
      <c r="D831" s="63">
        <v>347.38149299643089</v>
      </c>
      <c r="E831" s="63">
        <v>355.60984102616385</v>
      </c>
      <c r="F831" s="63">
        <v>4555209.1822757469</v>
      </c>
      <c r="G831" s="63" t="s">
        <v>782</v>
      </c>
      <c r="H831" s="25">
        <f t="shared" si="29"/>
        <v>-2.0443718524567944E-2</v>
      </c>
      <c r="J831" s="63">
        <v>9.6</v>
      </c>
      <c r="K831" s="63">
        <v>10.06</v>
      </c>
      <c r="L831" s="63">
        <v>9.5701000000000001</v>
      </c>
      <c r="M831" s="63">
        <v>9.94</v>
      </c>
      <c r="N831" s="63">
        <v>1544572</v>
      </c>
      <c r="O831" s="63" t="s">
        <v>782</v>
      </c>
      <c r="P831" s="25">
        <f t="shared" si="28"/>
        <v>-3.4205231388329982E-2</v>
      </c>
    </row>
    <row r="832" spans="2:16">
      <c r="B832" s="63">
        <v>354.83540827042424</v>
      </c>
      <c r="C832" s="63">
        <v>355.56018052570204</v>
      </c>
      <c r="D832" s="63">
        <v>352.79284187716115</v>
      </c>
      <c r="E832" s="63">
        <v>354.40947025476748</v>
      </c>
      <c r="F832" s="63">
        <v>3002205.6566804931</v>
      </c>
      <c r="G832" s="63" t="s">
        <v>783</v>
      </c>
      <c r="H832" s="25">
        <f t="shared" si="29"/>
        <v>1.201824588238587E-3</v>
      </c>
      <c r="J832" s="63">
        <v>9.9700000000000006</v>
      </c>
      <c r="K832" s="63">
        <v>10.205</v>
      </c>
      <c r="L832" s="63">
        <v>9.7799999999999994</v>
      </c>
      <c r="M832" s="63">
        <v>9.8800000000000008</v>
      </c>
      <c r="N832" s="63">
        <v>1291853</v>
      </c>
      <c r="O832" s="63" t="s">
        <v>783</v>
      </c>
      <c r="P832" s="25">
        <f t="shared" si="28"/>
        <v>9.109311740890691E-3</v>
      </c>
    </row>
    <row r="833" spans="2:16">
      <c r="B833" s="63">
        <v>354.28362493195982</v>
      </c>
      <c r="C833" s="63">
        <v>360.00474691498584</v>
      </c>
      <c r="D833" s="63">
        <v>353.70764056987849</v>
      </c>
      <c r="E833" s="63">
        <v>359.75305626937052</v>
      </c>
      <c r="F833" s="63">
        <v>3663213.85423683</v>
      </c>
      <c r="G833" s="63" t="s">
        <v>784</v>
      </c>
      <c r="H833" s="25">
        <f t="shared" si="29"/>
        <v>-1.5203293598471501E-2</v>
      </c>
      <c r="J833" s="63">
        <v>9.85</v>
      </c>
      <c r="K833" s="63">
        <v>10.199999999999999</v>
      </c>
      <c r="L833" s="63">
        <v>9.6999999999999993</v>
      </c>
      <c r="M833" s="63">
        <v>10.09</v>
      </c>
      <c r="N833" s="63">
        <v>2397747</v>
      </c>
      <c r="O833" s="63" t="s">
        <v>784</v>
      </c>
      <c r="P833" s="25">
        <f t="shared" si="28"/>
        <v>-2.378592666005952E-2</v>
      </c>
    </row>
    <row r="834" spans="2:16">
      <c r="B834" s="63">
        <v>359.84986036383799</v>
      </c>
      <c r="C834" s="63">
        <v>362.47325132390574</v>
      </c>
      <c r="D834" s="63">
        <v>359.43360275762797</v>
      </c>
      <c r="E834" s="63">
        <v>360.36292206451543</v>
      </c>
      <c r="F834" s="63">
        <v>2725427.0746649345</v>
      </c>
      <c r="G834" s="63" t="s">
        <v>785</v>
      </c>
      <c r="H834" s="25">
        <f t="shared" si="29"/>
        <v>-1.4237360984257208E-3</v>
      </c>
      <c r="J834" s="63">
        <v>10.15</v>
      </c>
      <c r="K834" s="63">
        <v>10.43</v>
      </c>
      <c r="L834" s="63">
        <v>10.050000000000001</v>
      </c>
      <c r="M834" s="63">
        <v>10.269</v>
      </c>
      <c r="N834" s="63">
        <v>1328307</v>
      </c>
      <c r="O834" s="63" t="s">
        <v>785</v>
      </c>
      <c r="P834" s="25">
        <f t="shared" si="28"/>
        <v>-1.1588275391956393E-2</v>
      </c>
    </row>
    <row r="835" spans="2:16">
      <c r="B835" s="63">
        <v>359.41424193873445</v>
      </c>
      <c r="C835" s="63">
        <v>359.7917779071575</v>
      </c>
      <c r="D835" s="63">
        <v>354.98061441212542</v>
      </c>
      <c r="E835" s="63">
        <v>355.55175856948335</v>
      </c>
      <c r="F835" s="63">
        <v>5075817.3267685166</v>
      </c>
      <c r="G835" s="63" t="s">
        <v>786</v>
      </c>
      <c r="H835" s="25">
        <f t="shared" si="29"/>
        <v>1.0863350485992074E-2</v>
      </c>
      <c r="J835" s="63">
        <v>10.31</v>
      </c>
      <c r="K835" s="63">
        <v>10.37</v>
      </c>
      <c r="L835" s="63">
        <v>10.09</v>
      </c>
      <c r="M835" s="63">
        <v>10.23</v>
      </c>
      <c r="N835" s="63">
        <v>1291194</v>
      </c>
      <c r="O835" s="63" t="s">
        <v>786</v>
      </c>
      <c r="P835" s="25">
        <f t="shared" si="28"/>
        <v>7.82013685239491E-3</v>
      </c>
    </row>
    <row r="836" spans="2:16">
      <c r="B836" s="63">
        <v>353.8092848690693</v>
      </c>
      <c r="C836" s="63">
        <v>354.65148049093614</v>
      </c>
      <c r="D836" s="63">
        <v>349.00780178348396</v>
      </c>
      <c r="E836" s="63">
        <v>349.27885324799286</v>
      </c>
      <c r="F836" s="63">
        <v>2820969.5209930725</v>
      </c>
      <c r="G836" s="63" t="s">
        <v>787</v>
      </c>
      <c r="H836" s="25">
        <f t="shared" si="29"/>
        <v>1.297081566475411E-2</v>
      </c>
      <c r="J836" s="63">
        <v>10.26</v>
      </c>
      <c r="K836" s="63">
        <v>10.629</v>
      </c>
      <c r="L836" s="63">
        <v>10.02</v>
      </c>
      <c r="M836" s="63">
        <v>10.17</v>
      </c>
      <c r="N836" s="63">
        <v>1614378</v>
      </c>
      <c r="O836" s="63" t="s">
        <v>787</v>
      </c>
      <c r="P836" s="25">
        <f t="shared" si="28"/>
        <v>8.8495575221239076E-3</v>
      </c>
    </row>
    <row r="837" spans="2:16">
      <c r="B837" s="63">
        <v>351.18589390900149</v>
      </c>
      <c r="C837" s="63">
        <v>352.86060474328832</v>
      </c>
      <c r="D837" s="63">
        <v>349.8983994525845</v>
      </c>
      <c r="E837" s="63">
        <v>351.72799683801918</v>
      </c>
      <c r="F837" s="63">
        <v>3889013.1876250538</v>
      </c>
      <c r="G837" s="63" t="s">
        <v>788</v>
      </c>
      <c r="H837" s="25">
        <f t="shared" si="29"/>
        <v>-1.5412561237407862E-3</v>
      </c>
      <c r="J837" s="63">
        <v>10.58</v>
      </c>
      <c r="K837" s="63">
        <v>10.92</v>
      </c>
      <c r="L837" s="63">
        <v>10.4915</v>
      </c>
      <c r="M837" s="63">
        <v>10.67</v>
      </c>
      <c r="N837" s="63">
        <v>1723088</v>
      </c>
      <c r="O837" s="63" t="s">
        <v>788</v>
      </c>
      <c r="P837" s="25">
        <f t="shared" si="28"/>
        <v>-8.434864104967188E-3</v>
      </c>
    </row>
    <row r="838" spans="2:16">
      <c r="B838" s="63">
        <v>352.4733883654186</v>
      </c>
      <c r="C838" s="63">
        <v>355.13550096327333</v>
      </c>
      <c r="D838" s="63">
        <v>352.41530590873811</v>
      </c>
      <c r="E838" s="63">
        <v>353.34462521562557</v>
      </c>
      <c r="F838" s="63">
        <v>3121975.3840229558</v>
      </c>
      <c r="G838" s="63" t="s">
        <v>789</v>
      </c>
      <c r="H838" s="25">
        <f t="shared" si="29"/>
        <v>-2.4656858716197716E-3</v>
      </c>
      <c r="J838" s="63">
        <v>10.61</v>
      </c>
      <c r="K838" s="63">
        <v>10.75</v>
      </c>
      <c r="L838" s="63">
        <v>10.26</v>
      </c>
      <c r="M838" s="63">
        <v>10.35</v>
      </c>
      <c r="N838" s="63">
        <v>1980351</v>
      </c>
      <c r="O838" s="63" t="s">
        <v>789</v>
      </c>
      <c r="P838" s="25">
        <f t="shared" si="28"/>
        <v>2.5120772946859882E-2</v>
      </c>
    </row>
    <row r="839" spans="2:16">
      <c r="B839" s="63">
        <v>353.8092848690693</v>
      </c>
      <c r="C839" s="63">
        <v>356.98445916760153</v>
      </c>
      <c r="D839" s="63">
        <v>352.94153296626314</v>
      </c>
      <c r="E839" s="63">
        <v>355.74536675841824</v>
      </c>
      <c r="F839" s="63">
        <v>3409099.602816686</v>
      </c>
      <c r="G839" s="63" t="s">
        <v>790</v>
      </c>
      <c r="H839" s="25">
        <f t="shared" si="29"/>
        <v>-5.4423249612234326E-3</v>
      </c>
      <c r="J839" s="63">
        <v>10.34</v>
      </c>
      <c r="K839" s="63">
        <v>10.62</v>
      </c>
      <c r="L839" s="63">
        <v>10.06</v>
      </c>
      <c r="M839" s="63">
        <v>10.5</v>
      </c>
      <c r="N839" s="63">
        <v>1999813</v>
      </c>
      <c r="O839" s="63" t="s">
        <v>790</v>
      </c>
      <c r="P839" s="25">
        <f t="shared" si="28"/>
        <v>-1.5238095238095273E-2</v>
      </c>
    </row>
    <row r="840" spans="2:16">
      <c r="B840" s="63">
        <v>352.58955327877953</v>
      </c>
      <c r="C840" s="63">
        <v>353.36398603451903</v>
      </c>
      <c r="D840" s="63">
        <v>350.16945091709334</v>
      </c>
      <c r="E840" s="63">
        <v>351.69895560967899</v>
      </c>
      <c r="F840" s="63">
        <v>4188879.6360402266</v>
      </c>
      <c r="G840" s="63" t="s">
        <v>791</v>
      </c>
      <c r="H840" s="25">
        <f t="shared" si="29"/>
        <v>2.5322727147616408E-3</v>
      </c>
      <c r="J840" s="63">
        <v>10.51</v>
      </c>
      <c r="K840" s="63">
        <v>10.53</v>
      </c>
      <c r="L840" s="63">
        <v>9.81</v>
      </c>
      <c r="M840" s="63">
        <v>9.9</v>
      </c>
      <c r="N840" s="63">
        <v>2223925</v>
      </c>
      <c r="O840" s="63" t="s">
        <v>791</v>
      </c>
      <c r="P840" s="25">
        <f t="shared" si="28"/>
        <v>6.1616161616161458E-2</v>
      </c>
    </row>
    <row r="841" spans="2:16">
      <c r="B841" s="63">
        <v>356.40363460079692</v>
      </c>
      <c r="C841" s="63">
        <v>357.75889192334114</v>
      </c>
      <c r="D841" s="63">
        <v>352.49274918431206</v>
      </c>
      <c r="E841" s="63">
        <v>357.27487145100389</v>
      </c>
      <c r="F841" s="63">
        <v>2961850.9586536069</v>
      </c>
      <c r="G841" s="63" t="s">
        <v>792</v>
      </c>
      <c r="H841" s="25">
        <f t="shared" si="29"/>
        <v>-2.4385617904461032E-3</v>
      </c>
      <c r="J841" s="63">
        <v>10.119999999999999</v>
      </c>
      <c r="K841" s="63">
        <v>10.199999999999999</v>
      </c>
      <c r="L841" s="63">
        <v>9.8514999999999997</v>
      </c>
      <c r="M841" s="63">
        <v>10.029999999999999</v>
      </c>
      <c r="N841" s="63">
        <v>1937122</v>
      </c>
      <c r="O841" s="63" t="s">
        <v>792</v>
      </c>
      <c r="P841" s="25">
        <f t="shared" si="28"/>
        <v>8.9730807577268479E-3</v>
      </c>
    </row>
    <row r="842" spans="2:16">
      <c r="B842" s="63">
        <v>354.62243926259583</v>
      </c>
      <c r="C842" s="63">
        <v>356.81989220700694</v>
      </c>
      <c r="D842" s="63">
        <v>353.18005825503087</v>
      </c>
      <c r="E842" s="63">
        <v>355.44527406556915</v>
      </c>
      <c r="F842" s="63">
        <v>3999834.9463432003</v>
      </c>
      <c r="G842" s="63" t="s">
        <v>793</v>
      </c>
      <c r="H842" s="25">
        <f t="shared" si="29"/>
        <v>-2.3149409009205479E-3</v>
      </c>
      <c r="J842" s="63">
        <v>9.91</v>
      </c>
      <c r="K842" s="63">
        <v>9.9749999999999996</v>
      </c>
      <c r="L842" s="63">
        <v>9.3699999999999992</v>
      </c>
      <c r="M842" s="63">
        <v>9.41</v>
      </c>
      <c r="N842" s="63">
        <v>2955624</v>
      </c>
      <c r="O842" s="63" t="s">
        <v>793</v>
      </c>
      <c r="P842" s="25">
        <f t="shared" si="28"/>
        <v>5.3134962805525987E-2</v>
      </c>
    </row>
    <row r="843" spans="2:16">
      <c r="B843" s="63">
        <v>355.06773809714616</v>
      </c>
      <c r="C843" s="63">
        <v>359.46748419069155</v>
      </c>
      <c r="D843" s="63">
        <v>354.76764540429707</v>
      </c>
      <c r="E843" s="63">
        <v>358.56236590742088</v>
      </c>
      <c r="F843" s="63">
        <v>3211822.8233058555</v>
      </c>
      <c r="G843" s="63" t="s">
        <v>794</v>
      </c>
      <c r="H843" s="25">
        <f t="shared" si="29"/>
        <v>-9.7462203023755967E-3</v>
      </c>
      <c r="J843" s="63">
        <v>9.36</v>
      </c>
      <c r="K843" s="63">
        <v>9.7799999999999994</v>
      </c>
      <c r="L843" s="63">
        <v>9.35</v>
      </c>
      <c r="M843" s="63">
        <v>9.4499999999999993</v>
      </c>
      <c r="N843" s="63">
        <v>3698480</v>
      </c>
      <c r="O843" s="63" t="s">
        <v>794</v>
      </c>
      <c r="P843" s="25">
        <f t="shared" si="28"/>
        <v>-9.52380952380949E-3</v>
      </c>
    </row>
    <row r="844" spans="2:16">
      <c r="B844" s="63">
        <v>362.26028231607739</v>
      </c>
      <c r="C844" s="63">
        <v>362.48293173335247</v>
      </c>
      <c r="D844" s="63">
        <v>359.45296357652143</v>
      </c>
      <c r="E844" s="63">
        <v>361.25255169267126</v>
      </c>
      <c r="F844" s="63">
        <v>3393789.3000019803</v>
      </c>
      <c r="G844" s="63" t="s">
        <v>795</v>
      </c>
      <c r="H844" s="25">
        <f t="shared" si="29"/>
        <v>2.7895460355487067E-3</v>
      </c>
      <c r="J844" s="63">
        <v>9.65</v>
      </c>
      <c r="K844" s="63">
        <v>10.23</v>
      </c>
      <c r="L844" s="63">
        <v>9.6300000000000008</v>
      </c>
      <c r="M844" s="63">
        <v>10.16</v>
      </c>
      <c r="N844" s="63">
        <v>4162969</v>
      </c>
      <c r="O844" s="63" t="s">
        <v>795</v>
      </c>
      <c r="P844" s="25">
        <f t="shared" si="28"/>
        <v>-5.0196850393700809E-2</v>
      </c>
    </row>
    <row r="845" spans="2:16">
      <c r="B845" s="63">
        <v>363.19928203241159</v>
      </c>
      <c r="C845" s="63">
        <v>367.30377563783134</v>
      </c>
      <c r="D845" s="63">
        <v>363.10247793794412</v>
      </c>
      <c r="E845" s="63">
        <v>363.65426127640865</v>
      </c>
      <c r="F845" s="63">
        <v>3179102.099896112</v>
      </c>
      <c r="G845" s="63" t="s">
        <v>796</v>
      </c>
      <c r="H845" s="25">
        <f t="shared" si="29"/>
        <v>-1.2511313421712522E-3</v>
      </c>
      <c r="J845" s="63">
        <v>10.199999999999999</v>
      </c>
      <c r="K845" s="63">
        <v>10.755000000000001</v>
      </c>
      <c r="L845" s="63">
        <v>10.1</v>
      </c>
      <c r="M845" s="63">
        <v>10.29</v>
      </c>
      <c r="N845" s="63">
        <v>5937019</v>
      </c>
      <c r="O845" s="63" t="s">
        <v>796</v>
      </c>
      <c r="P845" s="25">
        <f t="shared" si="28"/>
        <v>-8.7463556851311575E-3</v>
      </c>
    </row>
    <row r="846" spans="2:16">
      <c r="B846" s="63">
        <v>368.32021862973954</v>
      </c>
      <c r="C846" s="63">
        <v>368.36862067697319</v>
      </c>
      <c r="D846" s="63">
        <v>364.30284870934048</v>
      </c>
      <c r="E846" s="63">
        <v>365.09664228397355</v>
      </c>
      <c r="F846" s="63">
        <v>2925104.579075662</v>
      </c>
      <c r="G846" s="63" t="s">
        <v>797</v>
      </c>
      <c r="H846" s="25">
        <f t="shared" si="29"/>
        <v>8.8293782314730063E-3</v>
      </c>
      <c r="J846" s="63">
        <v>10.3</v>
      </c>
      <c r="K846" s="63">
        <v>11.89</v>
      </c>
      <c r="L846" s="63">
        <v>10.01</v>
      </c>
      <c r="M846" s="63">
        <v>10.67</v>
      </c>
      <c r="N846" s="63">
        <v>24967520</v>
      </c>
      <c r="O846" s="63" t="s">
        <v>797</v>
      </c>
      <c r="P846" s="25">
        <f t="shared" si="28"/>
        <v>-3.4676663542642872E-2</v>
      </c>
    </row>
    <row r="847" spans="2:16">
      <c r="B847" s="63">
        <v>367.09080663000293</v>
      </c>
      <c r="C847" s="63">
        <v>369.23017711773355</v>
      </c>
      <c r="D847" s="63">
        <v>363.45097267802697</v>
      </c>
      <c r="E847" s="63">
        <v>365.88075544915984</v>
      </c>
      <c r="F847" s="63">
        <v>4873799.0122789731</v>
      </c>
      <c r="G847" s="63" t="s">
        <v>798</v>
      </c>
      <c r="H847" s="25">
        <f t="shared" si="29"/>
        <v>3.3072282781247964E-3</v>
      </c>
      <c r="J847" s="63">
        <v>19.36</v>
      </c>
      <c r="K847" s="63">
        <v>19.46</v>
      </c>
      <c r="L847" s="63">
        <v>18.22</v>
      </c>
      <c r="M847" s="63">
        <v>18.940000000000001</v>
      </c>
      <c r="N847" s="63">
        <v>4135320</v>
      </c>
      <c r="O847" s="63" t="s">
        <v>798</v>
      </c>
      <c r="P847" s="25">
        <f t="shared" si="28"/>
        <v>2.2175290390707314E-2</v>
      </c>
    </row>
    <row r="848" spans="2:16">
      <c r="B848" s="63">
        <v>367.22633236225738</v>
      </c>
      <c r="C848" s="63">
        <v>367.31345604727807</v>
      </c>
      <c r="D848" s="63">
        <v>363.20896244185832</v>
      </c>
      <c r="E848" s="63">
        <v>363.6436128260172</v>
      </c>
      <c r="F848" s="63">
        <v>3079001.995109133</v>
      </c>
      <c r="G848" s="63" t="s">
        <v>799</v>
      </c>
      <c r="H848" s="25">
        <f t="shared" si="29"/>
        <v>9.852282316737071E-3</v>
      </c>
      <c r="J848" s="63">
        <v>19.3</v>
      </c>
      <c r="K848" s="63">
        <v>19.375399999999999</v>
      </c>
      <c r="L848" s="63">
        <v>18.594999999999999</v>
      </c>
      <c r="M848" s="63">
        <v>18.75</v>
      </c>
      <c r="N848" s="63">
        <v>1725844</v>
      </c>
      <c r="O848" s="63" t="s">
        <v>799</v>
      </c>
      <c r="P848" s="25">
        <f t="shared" si="28"/>
        <v>2.9333333333333433E-2</v>
      </c>
    </row>
    <row r="849" spans="2:16">
      <c r="B849" s="63">
        <v>363.03471507181695</v>
      </c>
      <c r="C849" s="63">
        <v>363.39289022134648</v>
      </c>
      <c r="D849" s="63">
        <v>360.30483960783494</v>
      </c>
      <c r="E849" s="63">
        <v>361.07927236357455</v>
      </c>
      <c r="F849" s="63">
        <v>3364222.3688122826</v>
      </c>
      <c r="G849" s="63" t="s">
        <v>800</v>
      </c>
      <c r="H849" s="25">
        <f t="shared" si="29"/>
        <v>5.4155495978551738E-3</v>
      </c>
      <c r="J849" s="63">
        <v>18.625</v>
      </c>
      <c r="K849" s="63">
        <v>18.72</v>
      </c>
      <c r="L849" s="63">
        <v>18.04</v>
      </c>
      <c r="M849" s="63">
        <v>18.2</v>
      </c>
      <c r="N849" s="63">
        <v>1150579</v>
      </c>
      <c r="O849" s="63" t="s">
        <v>800</v>
      </c>
      <c r="P849" s="25">
        <f t="shared" si="28"/>
        <v>2.3351648351648491E-2</v>
      </c>
    </row>
    <row r="850" spans="2:16">
      <c r="B850" s="63">
        <v>362.15379781216319</v>
      </c>
      <c r="C850" s="63">
        <v>368.82359992097025</v>
      </c>
      <c r="D850" s="63">
        <v>361.02951505901825</v>
      </c>
      <c r="E850" s="63">
        <v>368.79455869263001</v>
      </c>
      <c r="F850" s="63">
        <v>3437576.7040711897</v>
      </c>
      <c r="G850" s="63" t="s">
        <v>801</v>
      </c>
      <c r="H850" s="25">
        <f t="shared" si="29"/>
        <v>-1.8006667191642345E-2</v>
      </c>
      <c r="J850" s="63">
        <v>18.39</v>
      </c>
      <c r="K850" s="63">
        <v>18.88</v>
      </c>
      <c r="L850" s="63">
        <v>18.18</v>
      </c>
      <c r="M850" s="63">
        <v>18.45</v>
      </c>
      <c r="N850" s="63">
        <v>1439961</v>
      </c>
      <c r="O850" s="63" t="s">
        <v>801</v>
      </c>
      <c r="P850" s="25">
        <f t="shared" si="28"/>
        <v>-3.2520325203251321E-3</v>
      </c>
    </row>
    <row r="851" spans="2:16">
      <c r="B851" s="63">
        <v>365.28057006346165</v>
      </c>
      <c r="C851" s="63">
        <v>368.75583705484303</v>
      </c>
      <c r="D851" s="63">
        <v>364.69006508721031</v>
      </c>
      <c r="E851" s="63">
        <v>367.55546628344666</v>
      </c>
      <c r="F851" s="63">
        <v>3017953.9574975902</v>
      </c>
      <c r="G851" s="63" t="s">
        <v>802</v>
      </c>
      <c r="H851" s="25">
        <f t="shared" si="29"/>
        <v>-6.1892596591957005E-3</v>
      </c>
      <c r="J851" s="63">
        <v>18.34</v>
      </c>
      <c r="K851" s="63">
        <v>18.899999999999999</v>
      </c>
      <c r="L851" s="63">
        <v>17.940000000000001</v>
      </c>
      <c r="M851" s="63">
        <v>18.690000000000001</v>
      </c>
      <c r="N851" s="63">
        <v>2493310</v>
      </c>
      <c r="O851" s="63" t="s">
        <v>802</v>
      </c>
      <c r="P851" s="25">
        <f t="shared" si="28"/>
        <v>-1.8726591760299671E-2</v>
      </c>
    </row>
    <row r="852" spans="2:16">
      <c r="B852" s="63">
        <v>369.32698121220096</v>
      </c>
      <c r="C852" s="63">
        <v>370.51457384312761</v>
      </c>
      <c r="D852" s="63">
        <v>362.64749869394717</v>
      </c>
      <c r="E852" s="63">
        <v>363.78010659921631</v>
      </c>
      <c r="F852" s="63">
        <v>4653349.6592076896</v>
      </c>
      <c r="G852" s="63" t="s">
        <v>803</v>
      </c>
      <c r="H852" s="25">
        <f t="shared" si="29"/>
        <v>1.5247877804092758E-2</v>
      </c>
      <c r="J852" s="63">
        <v>18.73</v>
      </c>
      <c r="K852" s="63">
        <v>18.776199999999999</v>
      </c>
      <c r="L852" s="63">
        <v>17.7</v>
      </c>
      <c r="M852" s="63">
        <v>18.399999999999999</v>
      </c>
      <c r="N852" s="63">
        <v>1595089</v>
      </c>
      <c r="O852" s="63" t="s">
        <v>803</v>
      </c>
      <c r="P852" s="25">
        <f t="shared" si="28"/>
        <v>1.7934782608695743E-2</v>
      </c>
    </row>
    <row r="853" spans="2:16">
      <c r="B853" s="63">
        <v>364.62230222108309</v>
      </c>
      <c r="C853" s="63">
        <v>365.85171422081964</v>
      </c>
      <c r="D853" s="63">
        <v>363.03471507181695</v>
      </c>
      <c r="E853" s="63">
        <v>364.54001874078574</v>
      </c>
      <c r="F853" s="63">
        <v>2975182.0063443012</v>
      </c>
      <c r="G853" s="63" t="s">
        <v>804</v>
      </c>
      <c r="H853" s="25">
        <f t="shared" si="29"/>
        <v>2.2571864834364241E-4</v>
      </c>
      <c r="J853" s="63">
        <v>18.43</v>
      </c>
      <c r="K853" s="63">
        <v>18.600000000000001</v>
      </c>
      <c r="L853" s="63">
        <v>17.559999999999999</v>
      </c>
      <c r="M853" s="63">
        <v>17.88</v>
      </c>
      <c r="N853" s="63">
        <v>1843996</v>
      </c>
      <c r="O853" s="63" t="s">
        <v>804</v>
      </c>
      <c r="P853" s="25">
        <f t="shared" si="28"/>
        <v>3.0760626398210311E-2</v>
      </c>
    </row>
    <row r="854" spans="2:16">
      <c r="B854" s="63">
        <v>366.74231188992019</v>
      </c>
      <c r="C854" s="63">
        <v>370.95328999925403</v>
      </c>
      <c r="D854" s="63">
        <v>365.71618848856525</v>
      </c>
      <c r="E854" s="63">
        <v>366.14212650422201</v>
      </c>
      <c r="F854" s="63">
        <v>6686193.425606193</v>
      </c>
      <c r="G854" s="63" t="s">
        <v>805</v>
      </c>
      <c r="H854" s="25">
        <f t="shared" si="29"/>
        <v>1.6392142347250171E-3</v>
      </c>
      <c r="J854" s="63">
        <v>18.21</v>
      </c>
      <c r="K854" s="63">
        <v>18.47</v>
      </c>
      <c r="L854" s="63">
        <v>17.64</v>
      </c>
      <c r="M854" s="63">
        <v>17.841999999999999</v>
      </c>
      <c r="N854" s="63">
        <v>1456798</v>
      </c>
      <c r="O854" s="63" t="s">
        <v>805</v>
      </c>
      <c r="P854" s="25">
        <f t="shared" si="28"/>
        <v>2.0625490415872694E-2</v>
      </c>
    </row>
    <row r="855" spans="2:16">
      <c r="B855" s="63">
        <v>370.7015993536387</v>
      </c>
      <c r="C855" s="63">
        <v>372.1246195423102</v>
      </c>
      <c r="D855" s="63">
        <v>367.27473440949109</v>
      </c>
      <c r="E855" s="63">
        <v>369.06561015713885</v>
      </c>
      <c r="F855" s="63">
        <v>5379861.2844329085</v>
      </c>
      <c r="G855" s="63" t="s">
        <v>806</v>
      </c>
      <c r="H855" s="25">
        <f t="shared" si="29"/>
        <v>4.432786885245843E-3</v>
      </c>
      <c r="J855" s="63">
        <v>18.39</v>
      </c>
      <c r="K855" s="63">
        <v>18.7654</v>
      </c>
      <c r="L855" s="63">
        <v>17.61</v>
      </c>
      <c r="M855" s="63">
        <v>18.170000000000002</v>
      </c>
      <c r="N855" s="63">
        <v>2651981</v>
      </c>
      <c r="O855" s="63" t="s">
        <v>806</v>
      </c>
      <c r="P855" s="25">
        <f t="shared" si="28"/>
        <v>1.2107870115575015E-2</v>
      </c>
    </row>
    <row r="856" spans="2:16">
      <c r="B856" s="63">
        <v>365.46449784294981</v>
      </c>
      <c r="C856" s="63">
        <v>368.01044552744372</v>
      </c>
      <c r="D856" s="63">
        <v>357.94281970282924</v>
      </c>
      <c r="E856" s="63">
        <v>360.53716943455686</v>
      </c>
      <c r="F856" s="63">
        <v>5104837.7934693824</v>
      </c>
      <c r="G856" s="63" t="s">
        <v>807</v>
      </c>
      <c r="H856" s="25">
        <f t="shared" si="29"/>
        <v>1.36666308667166E-2</v>
      </c>
      <c r="J856" s="63">
        <v>17.940000000000001</v>
      </c>
      <c r="K856" s="63">
        <v>18.170000000000002</v>
      </c>
      <c r="L856" s="63">
        <v>16.690000000000001</v>
      </c>
      <c r="M856" s="63">
        <v>17.32</v>
      </c>
      <c r="N856" s="63">
        <v>3442580</v>
      </c>
      <c r="O856" s="63" t="s">
        <v>807</v>
      </c>
      <c r="P856" s="25">
        <f t="shared" si="28"/>
        <v>3.5796766743648956E-2</v>
      </c>
    </row>
    <row r="857" spans="2:16">
      <c r="B857" s="63">
        <v>361.5052103792313</v>
      </c>
      <c r="C857" s="63">
        <v>361.60201447369877</v>
      </c>
      <c r="D857" s="63">
        <v>356.55852115194477</v>
      </c>
      <c r="E857" s="63">
        <v>356.82957261645367</v>
      </c>
      <c r="F857" s="63">
        <v>4319740.8363819132</v>
      </c>
      <c r="G857" s="63" t="s">
        <v>808</v>
      </c>
      <c r="H857" s="25">
        <f t="shared" si="29"/>
        <v>1.3103279889313812E-2</v>
      </c>
      <c r="J857" s="63">
        <v>17.329999999999998</v>
      </c>
      <c r="K857" s="63">
        <v>17.54</v>
      </c>
      <c r="L857" s="63">
        <v>16.809999999999999</v>
      </c>
      <c r="M857" s="63">
        <v>16.88</v>
      </c>
      <c r="N857" s="63">
        <v>1986394</v>
      </c>
      <c r="O857" s="63" t="s">
        <v>808</v>
      </c>
      <c r="P857" s="25">
        <f t="shared" si="28"/>
        <v>2.665876777251186E-2</v>
      </c>
    </row>
    <row r="858" spans="2:16">
      <c r="B858" s="63">
        <v>356.44235623858384</v>
      </c>
      <c r="C858" s="63">
        <v>360.39196329285568</v>
      </c>
      <c r="D858" s="63">
        <v>356.10354190794783</v>
      </c>
      <c r="E858" s="63">
        <v>358.32035567125229</v>
      </c>
      <c r="F858" s="63">
        <v>3388900.0439988766</v>
      </c>
      <c r="G858" s="63" t="s">
        <v>809</v>
      </c>
      <c r="H858" s="25">
        <f t="shared" si="29"/>
        <v>-5.2411184654869158E-3</v>
      </c>
      <c r="J858" s="63">
        <v>16.920000000000002</v>
      </c>
      <c r="K858" s="63">
        <v>17.16</v>
      </c>
      <c r="L858" s="63">
        <v>16.309999999999999</v>
      </c>
      <c r="M858" s="63">
        <v>16.93</v>
      </c>
      <c r="N858" s="63">
        <v>2254565</v>
      </c>
      <c r="O858" s="63" t="s">
        <v>809</v>
      </c>
      <c r="P858" s="25">
        <f t="shared" si="28"/>
        <v>-5.9066745422320377E-4</v>
      </c>
    </row>
    <row r="859" spans="2:16">
      <c r="B859" s="63">
        <v>360.95342704076688</v>
      </c>
      <c r="C859" s="63">
        <v>363.09279752849739</v>
      </c>
      <c r="D859" s="63">
        <v>358.91086064750374</v>
      </c>
      <c r="E859" s="63">
        <v>359.0367059703114</v>
      </c>
      <c r="F859" s="63">
        <v>5732734.7882647878</v>
      </c>
      <c r="G859" s="63" t="s">
        <v>810</v>
      </c>
      <c r="H859" s="25">
        <f t="shared" si="29"/>
        <v>5.3385100703713384E-3</v>
      </c>
      <c r="J859" s="63">
        <v>17.309999999999999</v>
      </c>
      <c r="K859" s="63">
        <v>17.510000000000002</v>
      </c>
      <c r="L859" s="63">
        <v>17.03</v>
      </c>
      <c r="M859" s="63">
        <v>17.5</v>
      </c>
      <c r="N859" s="63">
        <v>1744520</v>
      </c>
      <c r="O859" s="63" t="s">
        <v>810</v>
      </c>
      <c r="P859" s="25">
        <f t="shared" si="28"/>
        <v>-1.0857142857142899E-2</v>
      </c>
    </row>
    <row r="860" spans="2:16">
      <c r="B860" s="63">
        <v>359.92730363941195</v>
      </c>
      <c r="C860" s="63">
        <v>360.16931387558054</v>
      </c>
      <c r="D860" s="63">
        <v>355.86153167177918</v>
      </c>
      <c r="E860" s="63">
        <v>358.62044836410138</v>
      </c>
      <c r="F860" s="63">
        <v>3575193.8169969241</v>
      </c>
      <c r="G860" s="63" t="s">
        <v>811</v>
      </c>
      <c r="H860" s="25">
        <f t="shared" si="29"/>
        <v>3.6441181234143638E-3</v>
      </c>
      <c r="J860" s="63">
        <v>17.489999999999998</v>
      </c>
      <c r="K860" s="63">
        <v>17.649999999999999</v>
      </c>
      <c r="L860" s="63">
        <v>16.71</v>
      </c>
      <c r="M860" s="63">
        <v>17.649999999999999</v>
      </c>
      <c r="N860" s="63">
        <v>1645416</v>
      </c>
      <c r="O860" s="63" t="s">
        <v>811</v>
      </c>
      <c r="P860" s="25">
        <f t="shared" si="28"/>
        <v>-9.0651558073654437E-3</v>
      </c>
    </row>
    <row r="861" spans="2:16">
      <c r="B861" s="63">
        <v>356.12290272684129</v>
      </c>
      <c r="C861" s="63">
        <v>356.39395419135013</v>
      </c>
      <c r="D861" s="63">
        <v>350.10168805096617</v>
      </c>
      <c r="E861" s="63">
        <v>352.15393485367593</v>
      </c>
      <c r="F861" s="63">
        <v>3162761.8819672936</v>
      </c>
      <c r="G861" s="63" t="s">
        <v>812</v>
      </c>
      <c r="H861" s="25">
        <f t="shared" si="29"/>
        <v>1.1270548133487379E-2</v>
      </c>
      <c r="J861" s="63">
        <v>17.46</v>
      </c>
      <c r="K861" s="63">
        <v>17.5</v>
      </c>
      <c r="L861" s="63">
        <v>16.420000000000002</v>
      </c>
      <c r="M861" s="63">
        <v>16.829999999999998</v>
      </c>
      <c r="N861" s="63">
        <v>1925106</v>
      </c>
      <c r="O861" s="63" t="s">
        <v>812</v>
      </c>
      <c r="P861" s="25">
        <f t="shared" si="28"/>
        <v>3.7433155080214053E-2</v>
      </c>
    </row>
    <row r="862" spans="2:16">
      <c r="B862" s="63">
        <v>355.99705740403363</v>
      </c>
      <c r="C862" s="63">
        <v>356.82957261645367</v>
      </c>
      <c r="D862" s="63">
        <v>353.74152200294213</v>
      </c>
      <c r="E862" s="63">
        <v>354.85476908931776</v>
      </c>
      <c r="F862" s="63">
        <v>2791596.796464812</v>
      </c>
      <c r="G862" s="63" t="s">
        <v>813</v>
      </c>
      <c r="H862" s="25">
        <f t="shared" si="29"/>
        <v>3.2190304716697149E-3</v>
      </c>
      <c r="J862" s="63">
        <v>17.079999999999998</v>
      </c>
      <c r="K862" s="63">
        <v>17.53</v>
      </c>
      <c r="L862" s="63">
        <v>15.53</v>
      </c>
      <c r="M862" s="63">
        <v>15.65</v>
      </c>
      <c r="N862" s="63">
        <v>3196955</v>
      </c>
      <c r="O862" s="63" t="s">
        <v>813</v>
      </c>
      <c r="P862" s="25">
        <f t="shared" si="28"/>
        <v>9.1373801916932784E-2</v>
      </c>
    </row>
    <row r="863" spans="2:16">
      <c r="B863" s="63">
        <v>356.37459337245662</v>
      </c>
      <c r="C863" s="63">
        <v>358.17514952955116</v>
      </c>
      <c r="D863" s="63">
        <v>352.02808953086827</v>
      </c>
      <c r="E863" s="63">
        <v>352.86060474328832</v>
      </c>
      <c r="F863" s="63">
        <v>3350357.2528026351</v>
      </c>
      <c r="G863" s="63" t="s">
        <v>814</v>
      </c>
      <c r="H863" s="25">
        <f t="shared" si="29"/>
        <v>9.9585745247043889E-3</v>
      </c>
      <c r="J863" s="63">
        <v>15.67</v>
      </c>
      <c r="K863" s="63">
        <v>16.23</v>
      </c>
      <c r="L863" s="63">
        <v>14.95</v>
      </c>
      <c r="M863" s="63">
        <v>15.33</v>
      </c>
      <c r="N863" s="63">
        <v>2596101</v>
      </c>
      <c r="O863" s="63" t="s">
        <v>814</v>
      </c>
      <c r="P863" s="25">
        <f t="shared" si="28"/>
        <v>2.2178734507501519E-2</v>
      </c>
    </row>
    <row r="864" spans="2:16">
      <c r="B864" s="63">
        <v>352.08617198754877</v>
      </c>
      <c r="C864" s="63">
        <v>352.27978017648371</v>
      </c>
      <c r="D864" s="63">
        <v>345.4744523354222</v>
      </c>
      <c r="E864" s="63">
        <v>346.99427661856112</v>
      </c>
      <c r="F864" s="63">
        <v>3372855.2681188406</v>
      </c>
      <c r="G864" s="63" t="s">
        <v>815</v>
      </c>
      <c r="H864" s="25">
        <f t="shared" si="29"/>
        <v>1.4674292090947061E-2</v>
      </c>
      <c r="J864" s="63">
        <v>15</v>
      </c>
      <c r="K864" s="63">
        <v>15.025</v>
      </c>
      <c r="L864" s="63">
        <v>14.52</v>
      </c>
      <c r="M864" s="63">
        <v>14.72</v>
      </c>
      <c r="N864" s="63">
        <v>1334291</v>
      </c>
      <c r="O864" s="63" t="s">
        <v>815</v>
      </c>
      <c r="P864" s="25">
        <f t="shared" si="28"/>
        <v>1.9021739130434812E-2</v>
      </c>
    </row>
    <row r="865" spans="2:16">
      <c r="B865" s="63">
        <v>345.72614298103753</v>
      </c>
      <c r="C865" s="63">
        <v>347.87035367349154</v>
      </c>
      <c r="D865" s="63">
        <v>344.47737016240751</v>
      </c>
      <c r="E865" s="63">
        <v>346.32632836673571</v>
      </c>
      <c r="F865" s="63">
        <v>3630917.699645442</v>
      </c>
      <c r="G865" s="63" t="s">
        <v>816</v>
      </c>
      <c r="H865" s="25">
        <f t="shared" si="29"/>
        <v>-1.7330053667263812E-3</v>
      </c>
      <c r="J865" s="63">
        <v>14.46</v>
      </c>
      <c r="K865" s="63">
        <v>14.9</v>
      </c>
      <c r="L865" s="63">
        <v>14.37</v>
      </c>
      <c r="M865" s="63">
        <v>14.74</v>
      </c>
      <c r="N865" s="63">
        <v>1099109</v>
      </c>
      <c r="O865" s="63" t="s">
        <v>816</v>
      </c>
      <c r="P865" s="25">
        <f t="shared" si="28"/>
        <v>-1.8995929443690551E-2</v>
      </c>
    </row>
    <row r="866" spans="2:16">
      <c r="B866" s="63">
        <v>348.23336902774446</v>
      </c>
      <c r="C866" s="63">
        <v>355.90993371901294</v>
      </c>
      <c r="D866" s="63">
        <v>348.08816288604322</v>
      </c>
      <c r="E866" s="63">
        <v>354.95157318378523</v>
      </c>
      <c r="F866" s="63">
        <v>4061608.1598926638</v>
      </c>
      <c r="G866" s="63" t="s">
        <v>817</v>
      </c>
      <c r="H866" s="25">
        <f t="shared" si="29"/>
        <v>-1.8927100662721297E-2</v>
      </c>
      <c r="J866" s="63">
        <v>14.96</v>
      </c>
      <c r="K866" s="63">
        <v>15.19</v>
      </c>
      <c r="L866" s="63">
        <v>14.6</v>
      </c>
      <c r="M866" s="63">
        <v>15.05</v>
      </c>
      <c r="N866" s="63">
        <v>1991814</v>
      </c>
      <c r="O866" s="63" t="s">
        <v>817</v>
      </c>
      <c r="P866" s="25">
        <f t="shared" si="28"/>
        <v>-5.9800664451826746E-3</v>
      </c>
    </row>
    <row r="867" spans="2:16">
      <c r="B867" s="63">
        <v>353.98353223911073</v>
      </c>
      <c r="C867" s="63">
        <v>355.96801617569338</v>
      </c>
      <c r="D867" s="63">
        <v>353.20909948337118</v>
      </c>
      <c r="E867" s="63">
        <v>354.48691353034144</v>
      </c>
      <c r="F867" s="63">
        <v>5105159.0608720798</v>
      </c>
      <c r="G867" s="63" t="s">
        <v>818</v>
      </c>
      <c r="H867" s="25">
        <f t="shared" si="29"/>
        <v>-1.4200278543925471E-3</v>
      </c>
      <c r="J867" s="63">
        <v>15</v>
      </c>
      <c r="K867" s="63">
        <v>15.045</v>
      </c>
      <c r="L867" s="63">
        <v>14.22</v>
      </c>
      <c r="M867" s="63">
        <v>14.6</v>
      </c>
      <c r="N867" s="63">
        <v>2550067</v>
      </c>
      <c r="O867" s="63" t="s">
        <v>818</v>
      </c>
      <c r="P867" s="25">
        <f t="shared" si="28"/>
        <v>2.7397260273972712E-2</v>
      </c>
    </row>
    <row r="868" spans="2:16">
      <c r="B868" s="63">
        <v>354.52563516812842</v>
      </c>
      <c r="C868" s="63">
        <v>355.00936522818222</v>
      </c>
      <c r="D868" s="63">
        <v>349.91776027147802</v>
      </c>
      <c r="E868" s="63">
        <v>350.1217264985209</v>
      </c>
      <c r="F868" s="63">
        <v>3114702.9643606166</v>
      </c>
      <c r="G868" s="63" t="s">
        <v>819</v>
      </c>
      <c r="H868" s="25">
        <f t="shared" si="29"/>
        <v>1.257822161923472E-2</v>
      </c>
      <c r="J868" s="63">
        <v>14.74</v>
      </c>
      <c r="K868" s="63">
        <v>14.92</v>
      </c>
      <c r="L868" s="63">
        <v>13.83</v>
      </c>
      <c r="M868" s="63">
        <v>13.86</v>
      </c>
      <c r="N868" s="63">
        <v>1535294</v>
      </c>
      <c r="O868" s="63" t="s">
        <v>819</v>
      </c>
      <c r="P868" s="25">
        <f t="shared" si="28"/>
        <v>6.3492063492063489E-2</v>
      </c>
    </row>
    <row r="869" spans="2:16">
      <c r="B869" s="63">
        <v>353.15101702669068</v>
      </c>
      <c r="C869" s="63">
        <v>354.44819189255446</v>
      </c>
      <c r="D869" s="63">
        <v>349.07556464961124</v>
      </c>
      <c r="E869" s="63">
        <v>352.83156351494813</v>
      </c>
      <c r="F869" s="63">
        <v>4900061.3311817646</v>
      </c>
      <c r="G869" s="63" t="s">
        <v>820</v>
      </c>
      <c r="H869" s="25">
        <f t="shared" si="29"/>
        <v>9.0539947322199055E-4</v>
      </c>
      <c r="J869" s="63">
        <v>13.94</v>
      </c>
      <c r="K869" s="63">
        <v>14.13</v>
      </c>
      <c r="L869" s="63">
        <v>13.315</v>
      </c>
      <c r="M869" s="63">
        <v>13.54</v>
      </c>
      <c r="N869" s="63">
        <v>898397</v>
      </c>
      <c r="O869" s="63" t="s">
        <v>820</v>
      </c>
      <c r="P869" s="25">
        <f t="shared" si="28"/>
        <v>2.9542097488921781E-2</v>
      </c>
    </row>
    <row r="870" spans="2:16">
      <c r="B870" s="63">
        <v>351.83448134193338</v>
      </c>
      <c r="C870" s="63">
        <v>351.89256379861388</v>
      </c>
      <c r="D870" s="63">
        <v>348.16560616161723</v>
      </c>
      <c r="E870" s="63">
        <v>348.89163687012308</v>
      </c>
      <c r="F870" s="63">
        <v>5899060.3976160996</v>
      </c>
      <c r="G870" s="63" t="s">
        <v>821</v>
      </c>
      <c r="H870" s="25">
        <f t="shared" si="29"/>
        <v>8.4348381010515006E-3</v>
      </c>
      <c r="J870" s="63">
        <v>13.41</v>
      </c>
      <c r="K870" s="63">
        <v>13.55</v>
      </c>
      <c r="L870" s="63">
        <v>13.105</v>
      </c>
      <c r="M870" s="63">
        <v>13.44</v>
      </c>
      <c r="N870" s="63">
        <v>404008</v>
      </c>
      <c r="O870" s="63" t="s">
        <v>821</v>
      </c>
      <c r="P870" s="25">
        <f t="shared" si="28"/>
        <v>-2.2321428571427937E-3</v>
      </c>
    </row>
    <row r="871" spans="2:16">
      <c r="B871" s="63">
        <v>347.40085381532435</v>
      </c>
      <c r="C871" s="63">
        <v>347.47829709089831</v>
      </c>
      <c r="D871" s="63">
        <v>343.61581372164721</v>
      </c>
      <c r="E871" s="63">
        <v>344.46768975296072</v>
      </c>
      <c r="F871" s="63">
        <v>3611127.2144336384</v>
      </c>
      <c r="G871" s="63" t="s">
        <v>822</v>
      </c>
      <c r="H871" s="25">
        <f t="shared" si="29"/>
        <v>8.5150629496402175E-3</v>
      </c>
      <c r="J871" s="63">
        <v>13.39</v>
      </c>
      <c r="K871" s="63">
        <v>13.53</v>
      </c>
      <c r="L871" s="63">
        <v>13.2</v>
      </c>
      <c r="M871" s="63">
        <v>13.24</v>
      </c>
      <c r="N871" s="63">
        <v>405174</v>
      </c>
      <c r="O871" s="63" t="s">
        <v>822</v>
      </c>
      <c r="P871" s="25">
        <f t="shared" si="28"/>
        <v>1.1329305135951762E-2</v>
      </c>
    </row>
    <row r="872" spans="2:16">
      <c r="B872" s="63">
        <v>344.94202981585124</v>
      </c>
      <c r="C872" s="63">
        <v>350.16945091709334</v>
      </c>
      <c r="D872" s="63">
        <v>344.83690056925963</v>
      </c>
      <c r="E872" s="63">
        <v>347.26532808306996</v>
      </c>
      <c r="F872" s="63">
        <v>3899961.0716565126</v>
      </c>
      <c r="G872" s="63" t="s">
        <v>823</v>
      </c>
      <c r="H872" s="25">
        <f t="shared" si="29"/>
        <v>-6.6902684470214746E-3</v>
      </c>
      <c r="J872" s="63">
        <v>13.22</v>
      </c>
      <c r="K872" s="63">
        <v>13.545</v>
      </c>
      <c r="L872" s="63">
        <v>12.78</v>
      </c>
      <c r="M872" s="63">
        <v>12.78</v>
      </c>
      <c r="N872" s="63">
        <v>709725</v>
      </c>
      <c r="O872" s="63" t="s">
        <v>823</v>
      </c>
      <c r="P872" s="25">
        <f t="shared" si="28"/>
        <v>3.4428794992175327E-2</v>
      </c>
    </row>
    <row r="873" spans="2:16">
      <c r="B873" s="63">
        <v>345.19372046146657</v>
      </c>
      <c r="C873" s="63">
        <v>346.23920468171502</v>
      </c>
      <c r="D873" s="63">
        <v>337.59450224167756</v>
      </c>
      <c r="E873" s="63">
        <v>340.35351573809425</v>
      </c>
      <c r="F873" s="63">
        <v>3579163.6904006698</v>
      </c>
      <c r="G873" s="63" t="s">
        <v>824</v>
      </c>
      <c r="H873" s="25">
        <f t="shared" si="29"/>
        <v>1.4221109815410138E-2</v>
      </c>
      <c r="J873" s="63">
        <v>12.67</v>
      </c>
      <c r="K873" s="63">
        <v>12.77</v>
      </c>
      <c r="L873" s="63">
        <v>11.92</v>
      </c>
      <c r="M873" s="63">
        <v>12.22</v>
      </c>
      <c r="N873" s="63">
        <v>521701</v>
      </c>
      <c r="O873" s="63" t="s">
        <v>824</v>
      </c>
      <c r="P873" s="25">
        <f t="shared" si="28"/>
        <v>3.6824877250409171E-2</v>
      </c>
    </row>
    <row r="874" spans="2:16">
      <c r="B874" s="63">
        <v>337.51715577019814</v>
      </c>
      <c r="C874" s="63">
        <v>339.58876339180148</v>
      </c>
      <c r="D874" s="63">
        <v>336.93633120339342</v>
      </c>
      <c r="E874" s="63">
        <v>339.52100052567425</v>
      </c>
      <c r="F874" s="63">
        <v>3322729.2891848423</v>
      </c>
      <c r="G874" s="63" t="s">
        <v>825</v>
      </c>
      <c r="H874" s="25">
        <f t="shared" si="29"/>
        <v>-5.9019758788810828E-3</v>
      </c>
      <c r="J874" s="63">
        <v>12.09</v>
      </c>
      <c r="K874" s="63">
        <v>12.74</v>
      </c>
      <c r="L874" s="63">
        <v>11.95</v>
      </c>
      <c r="M874" s="63">
        <v>12.74</v>
      </c>
      <c r="N874" s="63">
        <v>1007928</v>
      </c>
      <c r="O874" s="63" t="s">
        <v>825</v>
      </c>
      <c r="P874" s="25">
        <f t="shared" si="28"/>
        <v>-5.1020408163265363E-2</v>
      </c>
    </row>
    <row r="875" spans="2:16">
      <c r="B875" s="63">
        <v>341.24411340719479</v>
      </c>
      <c r="C875" s="63">
        <v>343.23198548708376</v>
      </c>
      <c r="D875" s="63">
        <v>338.03989788032231</v>
      </c>
      <c r="E875" s="63">
        <v>340.84721661987828</v>
      </c>
      <c r="F875" s="63">
        <v>3222061.0266117426</v>
      </c>
      <c r="G875" s="63" t="s">
        <v>826</v>
      </c>
      <c r="H875" s="25">
        <f t="shared" si="29"/>
        <v>1.1644419199090539E-3</v>
      </c>
      <c r="J875" s="63">
        <v>12.74</v>
      </c>
      <c r="K875" s="63">
        <v>13.14</v>
      </c>
      <c r="L875" s="63">
        <v>12.465</v>
      </c>
      <c r="M875" s="63">
        <v>13</v>
      </c>
      <c r="N875" s="63">
        <v>1031627</v>
      </c>
      <c r="O875" s="63" t="s">
        <v>826</v>
      </c>
      <c r="P875" s="25">
        <f t="shared" si="28"/>
        <v>-2.0000000000000018E-2</v>
      </c>
    </row>
    <row r="876" spans="2:16">
      <c r="B876" s="63">
        <v>338.80465022661514</v>
      </c>
      <c r="C876" s="63">
        <v>343.69548349139393</v>
      </c>
      <c r="D876" s="63">
        <v>336.09413558152664</v>
      </c>
      <c r="E876" s="63">
        <v>341.89366888107133</v>
      </c>
      <c r="F876" s="63">
        <v>5120996.2009066427</v>
      </c>
      <c r="G876" s="63" t="s">
        <v>827</v>
      </c>
      <c r="H876" s="25">
        <f t="shared" si="29"/>
        <v>-9.0350273655717128E-3</v>
      </c>
      <c r="J876" s="63">
        <v>13</v>
      </c>
      <c r="K876" s="63">
        <v>13.77</v>
      </c>
      <c r="L876" s="63">
        <v>12.97</v>
      </c>
      <c r="M876" s="63">
        <v>13.61</v>
      </c>
      <c r="N876" s="63">
        <v>642611</v>
      </c>
      <c r="O876" s="63" t="s">
        <v>827</v>
      </c>
      <c r="P876" s="25">
        <f t="shared" si="28"/>
        <v>-4.4819985304922816E-2</v>
      </c>
    </row>
    <row r="877" spans="2:16">
      <c r="B877" s="63">
        <v>340.11150550192565</v>
      </c>
      <c r="C877" s="63">
        <v>340.25671164362683</v>
      </c>
      <c r="D877" s="63">
        <v>336.6493070632975</v>
      </c>
      <c r="E877" s="63">
        <v>338.61104203768025</v>
      </c>
      <c r="F877" s="63">
        <v>5501262.1411286136</v>
      </c>
      <c r="G877" s="63" t="s">
        <v>828</v>
      </c>
      <c r="H877" s="25">
        <f t="shared" si="29"/>
        <v>4.4312301666713516E-3</v>
      </c>
      <c r="J877" s="63">
        <v>13.31</v>
      </c>
      <c r="K877" s="63">
        <v>13.34</v>
      </c>
      <c r="L877" s="63">
        <v>12.95</v>
      </c>
      <c r="M877" s="63">
        <v>12.95</v>
      </c>
      <c r="N877" s="63">
        <v>752111</v>
      </c>
      <c r="O877" s="63" t="s">
        <v>828</v>
      </c>
      <c r="P877" s="25">
        <f t="shared" si="28"/>
        <v>2.7799227799227832E-2</v>
      </c>
    </row>
    <row r="878" spans="2:16">
      <c r="B878" s="63">
        <v>341.0505052182599</v>
      </c>
      <c r="C878" s="63">
        <v>341.83945858816958</v>
      </c>
      <c r="D878" s="63">
        <v>337.33322799070999</v>
      </c>
      <c r="E878" s="63">
        <v>337.75916600636674</v>
      </c>
      <c r="F878" s="63">
        <v>4221489.8269352159</v>
      </c>
      <c r="G878" s="63" t="s">
        <v>829</v>
      </c>
      <c r="H878" s="25">
        <f t="shared" si="29"/>
        <v>9.7446332865207541E-3</v>
      </c>
      <c r="J878" s="63">
        <v>13.17</v>
      </c>
      <c r="K878" s="63">
        <v>13.4</v>
      </c>
      <c r="L878" s="63">
        <v>12.55</v>
      </c>
      <c r="M878" s="63">
        <v>12.6</v>
      </c>
      <c r="N878" s="63">
        <v>599036</v>
      </c>
      <c r="O878" s="63" t="s">
        <v>829</v>
      </c>
      <c r="P878" s="25">
        <f t="shared" si="28"/>
        <v>4.5238095238095299E-2</v>
      </c>
    </row>
    <row r="879" spans="2:16">
      <c r="B879" s="63">
        <v>335.10673381795874</v>
      </c>
      <c r="C879" s="63">
        <v>340.9440207143457</v>
      </c>
      <c r="D879" s="63">
        <v>334.84536276289657</v>
      </c>
      <c r="E879" s="63">
        <v>339.22090783282516</v>
      </c>
      <c r="F879" s="63">
        <v>4612040.4561001211</v>
      </c>
      <c r="G879" s="63" t="s">
        <v>830</v>
      </c>
      <c r="H879" s="25">
        <f t="shared" si="29"/>
        <v>-1.2128303179042121E-2</v>
      </c>
      <c r="J879" s="63">
        <v>12.39</v>
      </c>
      <c r="K879" s="63">
        <v>12.64</v>
      </c>
      <c r="L879" s="63">
        <v>12.25</v>
      </c>
      <c r="M879" s="63">
        <v>12.57</v>
      </c>
      <c r="N879" s="63">
        <v>455371</v>
      </c>
      <c r="O879" s="63" t="s">
        <v>830</v>
      </c>
      <c r="P879" s="25">
        <f t="shared" si="28"/>
        <v>-1.4319809069212375E-2</v>
      </c>
    </row>
    <row r="880" spans="2:16">
      <c r="B880" s="63">
        <v>339.26930988005893</v>
      </c>
      <c r="C880" s="63">
        <v>340.78913416319784</v>
      </c>
      <c r="D880" s="63">
        <v>337.7010835496863</v>
      </c>
      <c r="E880" s="63">
        <v>340.51808269868894</v>
      </c>
      <c r="F880" s="63">
        <v>4445282.0138172004</v>
      </c>
      <c r="G880" s="63" t="s">
        <v>831</v>
      </c>
      <c r="H880" s="25">
        <f t="shared" si="29"/>
        <v>-3.6672731407776382E-3</v>
      </c>
      <c r="J880" s="63">
        <v>12.62</v>
      </c>
      <c r="K880" s="63">
        <v>13.01</v>
      </c>
      <c r="L880" s="63">
        <v>12.545</v>
      </c>
      <c r="M880" s="63">
        <v>12.9</v>
      </c>
      <c r="N880" s="63">
        <v>3048257</v>
      </c>
      <c r="O880" s="63" t="s">
        <v>831</v>
      </c>
      <c r="P880" s="25">
        <f t="shared" si="28"/>
        <v>-2.170542635658923E-2</v>
      </c>
    </row>
    <row r="881" spans="2:16">
      <c r="B881" s="63">
        <v>340.62456720260315</v>
      </c>
      <c r="C881" s="63">
        <v>340.69997759219331</v>
      </c>
      <c r="D881" s="63">
        <v>336.24902213267461</v>
      </c>
      <c r="E881" s="63">
        <v>337.7785268252602</v>
      </c>
      <c r="F881" s="63">
        <v>4722921.0966251921</v>
      </c>
      <c r="G881" s="63" t="s">
        <v>832</v>
      </c>
      <c r="H881" s="25">
        <f t="shared" si="29"/>
        <v>8.4257587481730845E-3</v>
      </c>
      <c r="J881" s="63">
        <v>12.96</v>
      </c>
      <c r="K881" s="63">
        <v>13.28</v>
      </c>
      <c r="L881" s="63">
        <v>12.89</v>
      </c>
      <c r="M881" s="63">
        <v>13.28</v>
      </c>
      <c r="N881" s="63">
        <v>497891</v>
      </c>
      <c r="O881" s="63" t="s">
        <v>832</v>
      </c>
      <c r="P881" s="25">
        <f t="shared" si="28"/>
        <v>-2.409638554216853E-2</v>
      </c>
    </row>
    <row r="882" spans="2:16">
      <c r="B882" s="63">
        <v>338.72720695104124</v>
      </c>
      <c r="C882" s="63">
        <v>340.99242276157946</v>
      </c>
      <c r="D882" s="63">
        <v>333.33521888920438</v>
      </c>
      <c r="E882" s="63">
        <v>340.73105170651735</v>
      </c>
      <c r="F882" s="63">
        <v>6675578.1721331533</v>
      </c>
      <c r="G882" s="63" t="s">
        <v>833</v>
      </c>
      <c r="H882" s="25">
        <f t="shared" si="29"/>
        <v>-5.8810159668162276E-3</v>
      </c>
      <c r="J882" s="63">
        <v>13.28</v>
      </c>
      <c r="K882" s="63">
        <v>13.32</v>
      </c>
      <c r="L882" s="63">
        <v>12.78</v>
      </c>
      <c r="M882" s="63">
        <v>13.2</v>
      </c>
      <c r="N882" s="63">
        <v>1703675</v>
      </c>
      <c r="O882" s="63" t="s">
        <v>833</v>
      </c>
      <c r="P882" s="25">
        <f t="shared" si="28"/>
        <v>6.0606060606060996E-3</v>
      </c>
    </row>
    <row r="883" spans="2:16">
      <c r="B883" s="63">
        <v>343.55773126496672</v>
      </c>
      <c r="C883" s="63">
        <v>344.57572312238642</v>
      </c>
      <c r="D883" s="63">
        <v>340.46000024200845</v>
      </c>
      <c r="E883" s="63">
        <v>340.9440207143457</v>
      </c>
      <c r="F883" s="63">
        <v>3958973.0383654321</v>
      </c>
      <c r="G883" s="63" t="s">
        <v>834</v>
      </c>
      <c r="H883" s="25">
        <f t="shared" si="29"/>
        <v>7.6660988074956915E-3</v>
      </c>
      <c r="J883" s="63">
        <v>13.33</v>
      </c>
      <c r="K883" s="63">
        <v>13.53</v>
      </c>
      <c r="L883" s="63">
        <v>13.15</v>
      </c>
      <c r="M883" s="63">
        <v>13.49</v>
      </c>
      <c r="N883" s="63">
        <v>368185</v>
      </c>
      <c r="O883" s="63" t="s">
        <v>834</v>
      </c>
      <c r="P883" s="25">
        <f t="shared" si="28"/>
        <v>-1.1860637509266136E-2</v>
      </c>
    </row>
    <row r="884" spans="2:16">
      <c r="B884" s="63">
        <v>338.49487712431932</v>
      </c>
      <c r="C884" s="63">
        <v>339.94209833660767</v>
      </c>
      <c r="D884" s="63">
        <v>336.11156031853085</v>
      </c>
      <c r="E884" s="63">
        <v>337.31386717181647</v>
      </c>
      <c r="F884" s="63">
        <v>5235532.6785318591</v>
      </c>
      <c r="G884" s="63" t="s">
        <v>835</v>
      </c>
      <c r="H884" s="25">
        <f t="shared" si="29"/>
        <v>3.5012196871861967E-3</v>
      </c>
      <c r="J884" s="63">
        <v>13.32</v>
      </c>
      <c r="K884" s="63">
        <v>13.4</v>
      </c>
      <c r="L884" s="63">
        <v>13.08</v>
      </c>
      <c r="M884" s="63">
        <v>13.08</v>
      </c>
      <c r="N884" s="63">
        <v>642348</v>
      </c>
      <c r="O884" s="63" t="s">
        <v>835</v>
      </c>
      <c r="P884" s="25">
        <f t="shared" si="28"/>
        <v>1.8348623853211121E-2</v>
      </c>
    </row>
    <row r="885" spans="2:16">
      <c r="B885" s="63">
        <v>337.98016975403596</v>
      </c>
      <c r="C885" s="63">
        <v>341.38107052434395</v>
      </c>
      <c r="D885" s="63">
        <v>336.47722210483471</v>
      </c>
      <c r="E885" s="63">
        <v>341.17875064848994</v>
      </c>
      <c r="F885" s="63">
        <v>5748731.7303378517</v>
      </c>
      <c r="G885" s="63" t="s">
        <v>836</v>
      </c>
      <c r="H885" s="25">
        <f t="shared" si="29"/>
        <v>-9.3750882444300077E-3</v>
      </c>
      <c r="J885" s="63">
        <v>13.22</v>
      </c>
      <c r="K885" s="63">
        <v>13.81</v>
      </c>
      <c r="L885" s="63">
        <v>12.962</v>
      </c>
      <c r="M885" s="63">
        <v>13.71</v>
      </c>
      <c r="N885" s="63">
        <v>927473</v>
      </c>
      <c r="O885" s="63" t="s">
        <v>836</v>
      </c>
      <c r="P885" s="25">
        <f t="shared" si="28"/>
        <v>-3.5740335521517119E-2</v>
      </c>
    </row>
    <row r="886" spans="2:16">
      <c r="B886" s="63">
        <v>340.91862509382048</v>
      </c>
      <c r="C886" s="63">
        <v>343.7800061951844</v>
      </c>
      <c r="D886" s="63">
        <v>338.92432917468807</v>
      </c>
      <c r="E886" s="63">
        <v>342.64219775050066</v>
      </c>
      <c r="F886" s="63">
        <v>4705150.8705297643</v>
      </c>
      <c r="G886" s="63" t="s">
        <v>837</v>
      </c>
      <c r="H886" s="25">
        <f t="shared" si="29"/>
        <v>-5.0302404899212894E-3</v>
      </c>
      <c r="J886" s="63">
        <v>13.73</v>
      </c>
      <c r="K886" s="63">
        <v>14.3</v>
      </c>
      <c r="L886" s="63">
        <v>13.695</v>
      </c>
      <c r="M886" s="63">
        <v>13.98</v>
      </c>
      <c r="N886" s="63">
        <v>2450773</v>
      </c>
      <c r="O886" s="63" t="s">
        <v>837</v>
      </c>
      <c r="P886" s="25">
        <f t="shared" si="28"/>
        <v>-1.788268955650929E-2</v>
      </c>
    </row>
    <row r="887" spans="2:16">
      <c r="B887" s="63">
        <v>345.03246256951883</v>
      </c>
      <c r="C887" s="63">
        <v>349.95557954863324</v>
      </c>
      <c r="D887" s="63">
        <v>343.42353784248922</v>
      </c>
      <c r="E887" s="63">
        <v>349.2137400038352</v>
      </c>
      <c r="F887" s="63">
        <v>5321365.0683377795</v>
      </c>
      <c r="G887" s="63" t="s">
        <v>838</v>
      </c>
      <c r="H887" s="25">
        <f t="shared" si="29"/>
        <v>-1.1973404695561074E-2</v>
      </c>
      <c r="J887" s="63">
        <v>14.06</v>
      </c>
      <c r="K887" s="63">
        <v>14.96</v>
      </c>
      <c r="L887" s="63">
        <v>13.49</v>
      </c>
      <c r="M887" s="63">
        <v>14.96</v>
      </c>
      <c r="N887" s="63">
        <v>1713639</v>
      </c>
      <c r="O887" s="63" t="s">
        <v>838</v>
      </c>
      <c r="P887" s="25">
        <f t="shared" si="28"/>
        <v>-6.0160427807486649E-2</v>
      </c>
    </row>
    <row r="888" spans="2:16">
      <c r="B888" s="63">
        <v>353.73221723124158</v>
      </c>
      <c r="C888" s="63">
        <v>359.16595103989226</v>
      </c>
      <c r="D888" s="63">
        <v>350.92864180869304</v>
      </c>
      <c r="E888" s="63">
        <v>355.60126751294058</v>
      </c>
      <c r="F888" s="63">
        <v>4885798.5199301215</v>
      </c>
      <c r="G888" s="63" t="s">
        <v>839</v>
      </c>
      <c r="H888" s="25">
        <f t="shared" si="29"/>
        <v>-5.2560281766458328E-3</v>
      </c>
      <c r="J888" s="63">
        <v>14.98</v>
      </c>
      <c r="K888" s="63">
        <v>15.3</v>
      </c>
      <c r="L888" s="63">
        <v>14.79</v>
      </c>
      <c r="M888" s="63">
        <v>14.79</v>
      </c>
      <c r="N888" s="63">
        <v>1530568</v>
      </c>
      <c r="O888" s="63" t="s">
        <v>839</v>
      </c>
      <c r="P888" s="25">
        <f t="shared" si="28"/>
        <v>1.2846517917511902E-2</v>
      </c>
    </row>
    <row r="889" spans="2:16">
      <c r="B889" s="63">
        <v>355.88066162721515</v>
      </c>
      <c r="C889" s="63">
        <v>363.39539987322149</v>
      </c>
      <c r="D889" s="63">
        <v>353.38634658632918</v>
      </c>
      <c r="E889" s="63">
        <v>363.31832563480089</v>
      </c>
      <c r="F889" s="63">
        <v>6395729.7548643742</v>
      </c>
      <c r="G889" s="63" t="s">
        <v>840</v>
      </c>
      <c r="H889" s="25">
        <f t="shared" si="29"/>
        <v>-2.0471480469889336E-2</v>
      </c>
      <c r="J889" s="63">
        <v>14.83</v>
      </c>
      <c r="K889" s="63">
        <v>15.1289</v>
      </c>
      <c r="L889" s="63">
        <v>14.535</v>
      </c>
      <c r="M889" s="63">
        <v>14.89</v>
      </c>
      <c r="N889" s="63">
        <v>1557709</v>
      </c>
      <c r="O889" s="63" t="s">
        <v>840</v>
      </c>
      <c r="P889" s="25">
        <f t="shared" si="28"/>
        <v>-4.0295500335796319E-3</v>
      </c>
    </row>
    <row r="890" spans="2:16">
      <c r="B890" s="63">
        <v>353.2697718007181</v>
      </c>
      <c r="C890" s="63">
        <v>353.2697718007181</v>
      </c>
      <c r="D890" s="63">
        <v>348.35628910140622</v>
      </c>
      <c r="E890" s="63">
        <v>349.03068868758629</v>
      </c>
      <c r="F890" s="63">
        <v>3058055.2572423751</v>
      </c>
      <c r="G890" s="63" t="s">
        <v>841</v>
      </c>
      <c r="H890" s="25">
        <f t="shared" si="29"/>
        <v>1.2145301976371981E-2</v>
      </c>
      <c r="J890" s="63">
        <v>14.5</v>
      </c>
      <c r="K890" s="63">
        <v>15.04</v>
      </c>
      <c r="L890" s="63">
        <v>14.435</v>
      </c>
      <c r="M890" s="63">
        <v>14.93</v>
      </c>
      <c r="N890" s="63">
        <v>1318019</v>
      </c>
      <c r="O890" s="63" t="s">
        <v>841</v>
      </c>
      <c r="P890" s="25">
        <f t="shared" ref="P890:P936" si="30">J890/M890-1</f>
        <v>-2.8801071667783007E-2</v>
      </c>
    </row>
    <row r="891" spans="2:16">
      <c r="B891" s="63">
        <v>348.29848342259078</v>
      </c>
      <c r="C891" s="63">
        <v>352.07531379079518</v>
      </c>
      <c r="D891" s="63">
        <v>348.1253554145386</v>
      </c>
      <c r="E891" s="63">
        <v>349.72435683337147</v>
      </c>
      <c r="F891" s="63">
        <v>4433496.9375288524</v>
      </c>
      <c r="G891" s="63" t="s">
        <v>842</v>
      </c>
      <c r="H891" s="25">
        <f t="shared" ref="H891:H936" si="31">B891/E891-1</f>
        <v>-4.077134986225972E-3</v>
      </c>
      <c r="J891" s="63">
        <v>14.86</v>
      </c>
      <c r="K891" s="63">
        <v>15.08</v>
      </c>
      <c r="L891" s="63">
        <v>14.71</v>
      </c>
      <c r="M891" s="63">
        <v>14.92</v>
      </c>
      <c r="N891" s="63">
        <v>759696</v>
      </c>
      <c r="O891" s="63" t="s">
        <v>842</v>
      </c>
      <c r="P891" s="25">
        <f t="shared" si="30"/>
        <v>-4.0214477211796273E-3</v>
      </c>
    </row>
    <row r="892" spans="2:16">
      <c r="B892" s="63">
        <v>350.86120185007502</v>
      </c>
      <c r="C892" s="63">
        <v>351.79572699092449</v>
      </c>
      <c r="D892" s="63">
        <v>348.37555766101138</v>
      </c>
      <c r="E892" s="63">
        <v>349.84960247080494</v>
      </c>
      <c r="F892" s="63">
        <v>3741344.5258644498</v>
      </c>
      <c r="G892" s="63" t="s">
        <v>843</v>
      </c>
      <c r="H892" s="25">
        <f t="shared" si="31"/>
        <v>2.8915264505824378E-3</v>
      </c>
      <c r="J892" s="63">
        <v>15</v>
      </c>
      <c r="K892" s="63">
        <v>15.27</v>
      </c>
      <c r="L892" s="63">
        <v>14.9</v>
      </c>
      <c r="M892" s="63">
        <v>15.2</v>
      </c>
      <c r="N892" s="63">
        <v>954872</v>
      </c>
      <c r="O892" s="63" t="s">
        <v>843</v>
      </c>
      <c r="P892" s="25">
        <f t="shared" si="30"/>
        <v>-1.3157894736842035E-2</v>
      </c>
    </row>
    <row r="893" spans="2:16">
      <c r="B893" s="63">
        <v>348.11543210634193</v>
      </c>
      <c r="C893" s="63">
        <v>350.31204790132841</v>
      </c>
      <c r="D893" s="63">
        <v>347.1327355664796</v>
      </c>
      <c r="E893" s="63">
        <v>347.84567227186994</v>
      </c>
      <c r="F893" s="63">
        <v>3464687.6241946043</v>
      </c>
      <c r="G893" s="63" t="s">
        <v>844</v>
      </c>
      <c r="H893" s="25">
        <f t="shared" si="31"/>
        <v>7.7551585652946287E-4</v>
      </c>
      <c r="J893" s="63">
        <v>15.12</v>
      </c>
      <c r="K893" s="63">
        <v>15.195</v>
      </c>
      <c r="L893" s="63">
        <v>14.69</v>
      </c>
      <c r="M893" s="63">
        <v>14.69</v>
      </c>
      <c r="N893" s="63">
        <v>873337</v>
      </c>
      <c r="O893" s="63" t="s">
        <v>844</v>
      </c>
      <c r="P893" s="25">
        <f t="shared" si="30"/>
        <v>2.9271613342409797E-2</v>
      </c>
    </row>
    <row r="894" spans="2:16">
      <c r="B894" s="63">
        <v>348.78983169252194</v>
      </c>
      <c r="C894" s="63">
        <v>354.1657598223573</v>
      </c>
      <c r="D894" s="63">
        <v>346.76759636196209</v>
      </c>
      <c r="E894" s="63">
        <v>353.6647772726235</v>
      </c>
      <c r="F894" s="63">
        <v>4059504.2703200369</v>
      </c>
      <c r="G894" s="63" t="s">
        <v>845</v>
      </c>
      <c r="H894" s="25">
        <f t="shared" si="31"/>
        <v>-1.3784085646571742E-2</v>
      </c>
      <c r="J894" s="63">
        <v>14.69</v>
      </c>
      <c r="K894" s="63">
        <v>15.13</v>
      </c>
      <c r="L894" s="63">
        <v>14.55</v>
      </c>
      <c r="M894" s="63">
        <v>14.95</v>
      </c>
      <c r="N894" s="63">
        <v>1512522</v>
      </c>
      <c r="O894" s="63" t="s">
        <v>845</v>
      </c>
      <c r="P894" s="25">
        <f t="shared" si="30"/>
        <v>-1.7391304347826098E-2</v>
      </c>
    </row>
    <row r="895" spans="2:16">
      <c r="B895" s="63">
        <v>353.90563426768784</v>
      </c>
      <c r="C895" s="63">
        <v>358.57825997193538</v>
      </c>
      <c r="D895" s="63">
        <v>352.60500649434061</v>
      </c>
      <c r="E895" s="63">
        <v>357.70154050990129</v>
      </c>
      <c r="F895" s="63">
        <v>3847711.5840151175</v>
      </c>
      <c r="G895" s="63" t="s">
        <v>846</v>
      </c>
      <c r="H895" s="25">
        <f t="shared" si="31"/>
        <v>-1.061193708252528E-2</v>
      </c>
      <c r="J895" s="63">
        <v>14.85</v>
      </c>
      <c r="K895" s="63">
        <v>15.5</v>
      </c>
      <c r="L895" s="63">
        <v>14.71</v>
      </c>
      <c r="M895" s="63">
        <v>14.8</v>
      </c>
      <c r="N895" s="63">
        <v>1918701</v>
      </c>
      <c r="O895" s="63" t="s">
        <v>846</v>
      </c>
      <c r="P895" s="25">
        <f t="shared" si="30"/>
        <v>3.3783783783782884E-3</v>
      </c>
    </row>
    <row r="896" spans="2:16">
      <c r="B896" s="63">
        <v>360.32206461620092</v>
      </c>
      <c r="C896" s="63">
        <v>361.16988123882732</v>
      </c>
      <c r="D896" s="63">
        <v>356.1407871818846</v>
      </c>
      <c r="E896" s="63">
        <v>356.1407871818846</v>
      </c>
      <c r="F896" s="63">
        <v>3732488.6485442561</v>
      </c>
      <c r="G896" s="63" t="s">
        <v>847</v>
      </c>
      <c r="H896" s="25">
        <f t="shared" si="31"/>
        <v>1.1740518314126369E-2</v>
      </c>
      <c r="J896" s="63">
        <v>14.94</v>
      </c>
      <c r="K896" s="63">
        <v>15.02</v>
      </c>
      <c r="L896" s="63">
        <v>13.76</v>
      </c>
      <c r="M896" s="63">
        <v>14.09</v>
      </c>
      <c r="N896" s="63">
        <v>1110152</v>
      </c>
      <c r="O896" s="63" t="s">
        <v>847</v>
      </c>
      <c r="P896" s="25">
        <f t="shared" si="30"/>
        <v>6.0326472675656495E-2</v>
      </c>
    </row>
    <row r="897" spans="2:16">
      <c r="B897" s="63">
        <v>360.84231572553983</v>
      </c>
      <c r="C897" s="63">
        <v>363.21234855697259</v>
      </c>
      <c r="D897" s="63">
        <v>358.44338005469939</v>
      </c>
      <c r="E897" s="63">
        <v>362.12367493928195</v>
      </c>
      <c r="F897" s="63">
        <v>4783572.9233954372</v>
      </c>
      <c r="G897" s="63" t="s">
        <v>848</v>
      </c>
      <c r="H897" s="25">
        <f t="shared" si="31"/>
        <v>-3.5384574453933837E-3</v>
      </c>
      <c r="J897" s="63">
        <v>14.5</v>
      </c>
      <c r="K897" s="63">
        <v>15.18</v>
      </c>
      <c r="L897" s="63">
        <v>13.65</v>
      </c>
      <c r="M897" s="63">
        <v>14.2</v>
      </c>
      <c r="N897" s="63">
        <v>1219269</v>
      </c>
      <c r="O897" s="63" t="s">
        <v>848</v>
      </c>
      <c r="P897" s="25">
        <f t="shared" si="30"/>
        <v>2.1126760563380254E-2</v>
      </c>
    </row>
    <row r="898" spans="2:16">
      <c r="B898" s="63">
        <v>360.79414432652698</v>
      </c>
      <c r="C898" s="63">
        <v>360.89048712455269</v>
      </c>
      <c r="D898" s="63">
        <v>348.42372906002424</v>
      </c>
      <c r="E898" s="63">
        <v>350.15789942448725</v>
      </c>
      <c r="F898" s="63">
        <v>4929099.109963703</v>
      </c>
      <c r="G898" s="63" t="s">
        <v>849</v>
      </c>
      <c r="H898" s="25">
        <f t="shared" si="31"/>
        <v>3.0375567478332588E-2</v>
      </c>
      <c r="J898" s="63">
        <v>13.93</v>
      </c>
      <c r="K898" s="63">
        <v>14.18</v>
      </c>
      <c r="L898" s="63">
        <v>13.03</v>
      </c>
      <c r="M898" s="63">
        <v>13.94</v>
      </c>
      <c r="N898" s="63">
        <v>2329484</v>
      </c>
      <c r="O898" s="63" t="s">
        <v>849</v>
      </c>
      <c r="P898" s="25">
        <f t="shared" si="30"/>
        <v>-7.1736011477763206E-4</v>
      </c>
    </row>
    <row r="899" spans="2:16">
      <c r="B899" s="63">
        <v>350.02301950725126</v>
      </c>
      <c r="C899" s="63">
        <v>351.82462983033224</v>
      </c>
      <c r="D899" s="63">
        <v>348.25994630338056</v>
      </c>
      <c r="E899" s="63">
        <v>350.62034485501073</v>
      </c>
      <c r="F899" s="63">
        <v>2602965.7134625264</v>
      </c>
      <c r="G899" s="63" t="s">
        <v>850</v>
      </c>
      <c r="H899" s="25">
        <f t="shared" si="31"/>
        <v>-1.7036243233587989E-3</v>
      </c>
      <c r="J899" s="63">
        <v>13.89</v>
      </c>
      <c r="K899" s="63">
        <v>14.17</v>
      </c>
      <c r="L899" s="63">
        <v>13.734999999999999</v>
      </c>
      <c r="M899" s="63">
        <v>14.03</v>
      </c>
      <c r="N899" s="63">
        <v>856461</v>
      </c>
      <c r="O899" s="63" t="s">
        <v>850</v>
      </c>
      <c r="P899" s="25">
        <f t="shared" si="30"/>
        <v>-9.978617248752597E-3</v>
      </c>
    </row>
    <row r="900" spans="2:16">
      <c r="B900" s="63">
        <v>350.63961341461584</v>
      </c>
      <c r="C900" s="63">
        <v>354.90759936715534</v>
      </c>
      <c r="D900" s="63">
        <v>349.86887103041005</v>
      </c>
      <c r="E900" s="63">
        <v>353.44318883716437</v>
      </c>
      <c r="F900" s="63">
        <v>3692025.8419838818</v>
      </c>
      <c r="G900" s="63" t="s">
        <v>851</v>
      </c>
      <c r="H900" s="25">
        <f t="shared" si="31"/>
        <v>-7.932181213542E-3</v>
      </c>
      <c r="J900" s="63">
        <v>14.13</v>
      </c>
      <c r="K900" s="63">
        <v>14.35</v>
      </c>
      <c r="L900" s="63">
        <v>13.75</v>
      </c>
      <c r="M900" s="63">
        <v>14.23</v>
      </c>
      <c r="N900" s="63">
        <v>811496</v>
      </c>
      <c r="O900" s="63" t="s">
        <v>851</v>
      </c>
      <c r="P900" s="25">
        <f t="shared" si="30"/>
        <v>-7.0274068868587669E-3</v>
      </c>
    </row>
    <row r="901" spans="2:16">
      <c r="B901" s="63">
        <v>356.2756670991206</v>
      </c>
      <c r="C901" s="63">
        <v>356.79591820845945</v>
      </c>
      <c r="D901" s="63">
        <v>355.56273039373025</v>
      </c>
      <c r="E901" s="63">
        <v>355.88066162721515</v>
      </c>
      <c r="F901" s="63">
        <v>1477478.3680456949</v>
      </c>
      <c r="G901" s="63" t="s">
        <v>852</v>
      </c>
      <c r="H901" s="25">
        <f t="shared" si="31"/>
        <v>1.109938005901645E-3</v>
      </c>
      <c r="J901" s="63">
        <v>14.4</v>
      </c>
      <c r="K901" s="63">
        <v>14.6599</v>
      </c>
      <c r="L901" s="63">
        <v>14.3</v>
      </c>
      <c r="M901" s="63">
        <v>14.46</v>
      </c>
      <c r="N901" s="63">
        <v>150950</v>
      </c>
      <c r="O901" s="63" t="s">
        <v>852</v>
      </c>
      <c r="P901" s="25">
        <f t="shared" si="30"/>
        <v>-4.1493775933609811E-3</v>
      </c>
    </row>
    <row r="902" spans="2:16">
      <c r="B902" s="63">
        <v>356.31420421833087</v>
      </c>
      <c r="C902" s="63">
        <v>356.81509042526659</v>
      </c>
      <c r="D902" s="63">
        <v>353.59974588395613</v>
      </c>
      <c r="E902" s="63">
        <v>353.78038863025438</v>
      </c>
      <c r="F902" s="63">
        <v>2689208.7972245491</v>
      </c>
      <c r="G902" s="63" t="s">
        <v>853</v>
      </c>
      <c r="H902" s="25">
        <f t="shared" si="31"/>
        <v>7.1621143215054861E-3</v>
      </c>
      <c r="J902" s="63">
        <v>14.48</v>
      </c>
      <c r="K902" s="63">
        <v>14.75</v>
      </c>
      <c r="L902" s="63">
        <v>14.41</v>
      </c>
      <c r="M902" s="63">
        <v>14.52</v>
      </c>
      <c r="N902" s="63">
        <v>346299</v>
      </c>
      <c r="O902" s="63" t="s">
        <v>853</v>
      </c>
      <c r="P902" s="25">
        <f t="shared" si="30"/>
        <v>-2.7548209366390353E-3</v>
      </c>
    </row>
    <row r="903" spans="2:16">
      <c r="B903" s="63">
        <v>354.09831986373928</v>
      </c>
      <c r="C903" s="63">
        <v>354.23319978097533</v>
      </c>
      <c r="D903" s="63">
        <v>349.92667670922549</v>
      </c>
      <c r="E903" s="63">
        <v>351.17913308355992</v>
      </c>
      <c r="F903" s="63">
        <v>2403878.6992481472</v>
      </c>
      <c r="G903" s="63" t="s">
        <v>854</v>
      </c>
      <c r="H903" s="25">
        <f t="shared" si="31"/>
        <v>8.3125291487200492E-3</v>
      </c>
      <c r="J903" s="63">
        <v>14.48</v>
      </c>
      <c r="K903" s="63">
        <v>14.63</v>
      </c>
      <c r="L903" s="63">
        <v>14.08</v>
      </c>
      <c r="M903" s="63">
        <v>14.24</v>
      </c>
      <c r="N903" s="63">
        <v>948606</v>
      </c>
      <c r="O903" s="63" t="s">
        <v>854</v>
      </c>
      <c r="P903" s="25">
        <f t="shared" si="30"/>
        <v>1.6853932584269593E-2</v>
      </c>
    </row>
    <row r="904" spans="2:16">
      <c r="B904" s="63">
        <v>349.44496271909691</v>
      </c>
      <c r="C904" s="63">
        <v>350.4359447395895</v>
      </c>
      <c r="D904" s="63">
        <v>347.67225523542362</v>
      </c>
      <c r="E904" s="63">
        <v>349.50276839791235</v>
      </c>
      <c r="F904" s="63">
        <v>2488899.0657711653</v>
      </c>
      <c r="G904" s="63" t="s">
        <v>855</v>
      </c>
      <c r="H904" s="25">
        <f t="shared" si="31"/>
        <v>-1.6539405132731666E-4</v>
      </c>
      <c r="J904" s="63">
        <v>14.11</v>
      </c>
      <c r="K904" s="63">
        <v>14.41</v>
      </c>
      <c r="L904" s="63">
        <v>13.785</v>
      </c>
      <c r="M904" s="63">
        <v>14.41</v>
      </c>
      <c r="N904" s="63">
        <v>664923</v>
      </c>
      <c r="O904" s="63" t="s">
        <v>855</v>
      </c>
      <c r="P904" s="25">
        <f t="shared" si="30"/>
        <v>-2.0818875780707846E-2</v>
      </c>
    </row>
    <row r="905" spans="2:16">
      <c r="B905" s="63">
        <v>350.67815053382617</v>
      </c>
      <c r="C905" s="63">
        <v>352.21963530223769</v>
      </c>
      <c r="D905" s="63">
        <v>348.01908930831621</v>
      </c>
      <c r="E905" s="63">
        <v>352.09438966480423</v>
      </c>
      <c r="F905" s="63">
        <v>2672093.8697593976</v>
      </c>
      <c r="G905" s="63" t="s">
        <v>856</v>
      </c>
      <c r="H905" s="25">
        <f t="shared" si="31"/>
        <v>-4.0223280249547244E-3</v>
      </c>
      <c r="J905" s="63">
        <v>14.44</v>
      </c>
      <c r="K905" s="63">
        <v>14.865</v>
      </c>
      <c r="L905" s="63">
        <v>14.06</v>
      </c>
      <c r="M905" s="63">
        <v>14.28</v>
      </c>
      <c r="N905" s="63">
        <v>775847</v>
      </c>
      <c r="O905" s="63" t="s">
        <v>856</v>
      </c>
      <c r="P905" s="25">
        <f t="shared" si="30"/>
        <v>1.1204481792717047E-2</v>
      </c>
    </row>
    <row r="906" spans="2:16">
      <c r="B906" s="63">
        <v>349.13666576541459</v>
      </c>
      <c r="C906" s="63">
        <v>349.71472255356895</v>
      </c>
      <c r="D906" s="63">
        <v>345.45155374093071</v>
      </c>
      <c r="E906" s="63">
        <v>345.67795931629115</v>
      </c>
      <c r="F906" s="63">
        <v>3409101.7359939087</v>
      </c>
      <c r="G906" s="63" t="s">
        <v>857</v>
      </c>
      <c r="H906" s="25">
        <f t="shared" si="31"/>
        <v>1.0005574136008999E-2</v>
      </c>
      <c r="J906" s="63">
        <v>13.99</v>
      </c>
      <c r="K906" s="63">
        <v>14.5</v>
      </c>
      <c r="L906" s="63">
        <v>13.914999999999999</v>
      </c>
      <c r="M906" s="63">
        <v>14.05</v>
      </c>
      <c r="N906" s="63">
        <v>1262946</v>
      </c>
      <c r="O906" s="63" t="s">
        <v>857</v>
      </c>
      <c r="P906" s="25">
        <f t="shared" si="30"/>
        <v>-4.270462633451988E-3</v>
      </c>
    </row>
    <row r="907" spans="2:16">
      <c r="B907" s="63">
        <v>350.14826514468467</v>
      </c>
      <c r="C907" s="63">
        <v>352.15219534361967</v>
      </c>
      <c r="D907" s="63">
        <v>349.57984263633296</v>
      </c>
      <c r="E907" s="63">
        <v>351.36218439980877</v>
      </c>
      <c r="F907" s="63">
        <v>2859708.3087252881</v>
      </c>
      <c r="G907" s="63" t="s">
        <v>858</v>
      </c>
      <c r="H907" s="25">
        <f t="shared" si="31"/>
        <v>-3.4548944337812193E-3</v>
      </c>
      <c r="J907" s="63">
        <v>14.41</v>
      </c>
      <c r="K907" s="63">
        <v>15.36</v>
      </c>
      <c r="L907" s="63">
        <v>14.324999999999999</v>
      </c>
      <c r="M907" s="63">
        <v>15.22</v>
      </c>
      <c r="N907" s="63">
        <v>785459</v>
      </c>
      <c r="O907" s="63" t="s">
        <v>858</v>
      </c>
      <c r="P907" s="25">
        <f t="shared" si="30"/>
        <v>-5.3219448094612432E-2</v>
      </c>
    </row>
    <row r="908" spans="2:16">
      <c r="B908" s="63">
        <v>352.8265949297998</v>
      </c>
      <c r="C908" s="63">
        <v>356.21978827626572</v>
      </c>
      <c r="D908" s="63">
        <v>349.32935136146602</v>
      </c>
      <c r="E908" s="63">
        <v>355.1677249218248</v>
      </c>
      <c r="F908" s="63">
        <v>4772333.8892155197</v>
      </c>
      <c r="G908" s="63" t="s">
        <v>859</v>
      </c>
      <c r="H908" s="25">
        <f t="shared" si="31"/>
        <v>-6.5916180659160162E-3</v>
      </c>
      <c r="J908" s="63">
        <v>15.36</v>
      </c>
      <c r="K908" s="63">
        <v>15.41</v>
      </c>
      <c r="L908" s="63">
        <v>14.76</v>
      </c>
      <c r="M908" s="63">
        <v>15.03</v>
      </c>
      <c r="N908" s="63">
        <v>1237218</v>
      </c>
      <c r="O908" s="63" t="s">
        <v>859</v>
      </c>
      <c r="P908" s="25">
        <f t="shared" si="30"/>
        <v>2.1956087824351211E-2</v>
      </c>
    </row>
    <row r="909" spans="2:16">
      <c r="B909" s="63">
        <v>349.93631098902813</v>
      </c>
      <c r="C909" s="63">
        <v>354.33917685880363</v>
      </c>
      <c r="D909" s="63">
        <v>349.61837975554317</v>
      </c>
      <c r="E909" s="63">
        <v>351.2369387623753</v>
      </c>
      <c r="F909" s="63">
        <v>5474526.4909078442</v>
      </c>
      <c r="G909" s="63" t="s">
        <v>860</v>
      </c>
      <c r="H909" s="25">
        <f t="shared" si="31"/>
        <v>-3.7029925665851282E-3</v>
      </c>
      <c r="J909" s="63">
        <v>14.68</v>
      </c>
      <c r="K909" s="63">
        <v>14.94</v>
      </c>
      <c r="L909" s="63">
        <v>14.31</v>
      </c>
      <c r="M909" s="63">
        <v>14.79</v>
      </c>
      <c r="N909" s="63">
        <v>1083249</v>
      </c>
      <c r="O909" s="63" t="s">
        <v>860</v>
      </c>
      <c r="P909" s="25">
        <f t="shared" si="30"/>
        <v>-7.4374577417173349E-3</v>
      </c>
    </row>
    <row r="910" spans="2:16">
      <c r="B910" s="63">
        <v>352.76878925098436</v>
      </c>
      <c r="C910" s="63">
        <v>353.59733731400553</v>
      </c>
      <c r="D910" s="63">
        <v>348.51043757824743</v>
      </c>
      <c r="E910" s="63">
        <v>350.38912213974896</v>
      </c>
      <c r="F910" s="63">
        <v>5062532.0210212357</v>
      </c>
      <c r="G910" s="63" t="s">
        <v>861</v>
      </c>
      <c r="H910" s="25">
        <f t="shared" si="31"/>
        <v>6.7914982540075997E-3</v>
      </c>
      <c r="J910" s="63">
        <v>14.91</v>
      </c>
      <c r="K910" s="63">
        <v>14.96</v>
      </c>
      <c r="L910" s="63">
        <v>14.34</v>
      </c>
      <c r="M910" s="63">
        <v>14.4</v>
      </c>
      <c r="N910" s="63">
        <v>1049640</v>
      </c>
      <c r="O910" s="63" t="s">
        <v>861</v>
      </c>
      <c r="P910" s="25">
        <f t="shared" si="30"/>
        <v>3.5416666666666652E-2</v>
      </c>
    </row>
    <row r="911" spans="2:16">
      <c r="B911" s="63">
        <v>349.42569415949174</v>
      </c>
      <c r="C911" s="63">
        <v>349.73399111317406</v>
      </c>
      <c r="D911" s="63">
        <v>341.44851048296198</v>
      </c>
      <c r="E911" s="63">
        <v>343.48134352130467</v>
      </c>
      <c r="F911" s="63">
        <v>4778387.2737128669</v>
      </c>
      <c r="G911" s="63" t="s">
        <v>862</v>
      </c>
      <c r="H911" s="25">
        <f t="shared" si="31"/>
        <v>1.7306181981375568E-2</v>
      </c>
      <c r="J911" s="63">
        <v>14.36</v>
      </c>
      <c r="K911" s="63">
        <v>14.39</v>
      </c>
      <c r="L911" s="63">
        <v>13.61</v>
      </c>
      <c r="M911" s="63">
        <v>14.1</v>
      </c>
      <c r="N911" s="63">
        <v>992543</v>
      </c>
      <c r="O911" s="63" t="s">
        <v>862</v>
      </c>
      <c r="P911" s="25">
        <f t="shared" si="30"/>
        <v>1.8439716312056653E-2</v>
      </c>
    </row>
    <row r="912" spans="2:16">
      <c r="B912" s="63">
        <v>331.29397957105084</v>
      </c>
      <c r="C912" s="63">
        <v>337.41174724568424</v>
      </c>
      <c r="D912" s="63">
        <v>330.80080078795714</v>
      </c>
      <c r="E912" s="63">
        <v>336.31343934819097</v>
      </c>
      <c r="F912" s="63">
        <v>3706341.390507102</v>
      </c>
      <c r="G912" s="63" t="s">
        <v>863</v>
      </c>
      <c r="H912" s="25">
        <f t="shared" si="31"/>
        <v>-1.492494557121582E-2</v>
      </c>
      <c r="J912" s="63">
        <v>13.44</v>
      </c>
      <c r="K912" s="63">
        <v>13.74</v>
      </c>
      <c r="L912" s="63">
        <v>13.28</v>
      </c>
      <c r="M912" s="63">
        <v>13.73</v>
      </c>
      <c r="N912" s="63">
        <v>478072</v>
      </c>
      <c r="O912" s="63" t="s">
        <v>863</v>
      </c>
      <c r="P912" s="25">
        <f t="shared" si="30"/>
        <v>-2.1121631463947632E-2</v>
      </c>
    </row>
    <row r="913" spans="2:16">
      <c r="B913" s="63">
        <v>338.20175818949514</v>
      </c>
      <c r="C913" s="63">
        <v>340.92825937362306</v>
      </c>
      <c r="D913" s="63">
        <v>334.38658338767652</v>
      </c>
      <c r="E913" s="63">
        <v>337.4021129658816</v>
      </c>
      <c r="F913" s="63">
        <v>3360080.9467208064</v>
      </c>
      <c r="G913" s="63" t="s">
        <v>864</v>
      </c>
      <c r="H913" s="25">
        <f t="shared" si="31"/>
        <v>2.3700065674883142E-3</v>
      </c>
      <c r="J913" s="63">
        <v>13.89</v>
      </c>
      <c r="K913" s="63">
        <v>13.98</v>
      </c>
      <c r="L913" s="63">
        <v>12.97</v>
      </c>
      <c r="M913" s="63">
        <v>13.73</v>
      </c>
      <c r="N913" s="63">
        <v>647774</v>
      </c>
      <c r="O913" s="63" t="s">
        <v>864</v>
      </c>
      <c r="P913" s="25">
        <f t="shared" si="30"/>
        <v>1.1653313911143437E-2</v>
      </c>
    </row>
    <row r="914" spans="2:16">
      <c r="B914" s="63">
        <v>336.37124502700641</v>
      </c>
      <c r="C914" s="63">
        <v>336.92039897575302</v>
      </c>
      <c r="D914" s="63">
        <v>332.47899598676725</v>
      </c>
      <c r="E914" s="63">
        <v>334.36731482807141</v>
      </c>
      <c r="F914" s="63">
        <v>3442496.0328788823</v>
      </c>
      <c r="G914" s="63" t="s">
        <v>865</v>
      </c>
      <c r="H914" s="25">
        <f t="shared" si="31"/>
        <v>5.9932000230507043E-3</v>
      </c>
      <c r="J914" s="63">
        <v>13.57</v>
      </c>
      <c r="K914" s="63">
        <v>14.25</v>
      </c>
      <c r="L914" s="63">
        <v>13.14</v>
      </c>
      <c r="M914" s="63">
        <v>14.25</v>
      </c>
      <c r="N914" s="63">
        <v>1017525</v>
      </c>
      <c r="O914" s="63" t="s">
        <v>865</v>
      </c>
      <c r="P914" s="25">
        <f t="shared" si="30"/>
        <v>-4.771929824561405E-2</v>
      </c>
    </row>
    <row r="915" spans="2:16">
      <c r="B915" s="63">
        <v>333.17266413255243</v>
      </c>
      <c r="C915" s="63">
        <v>335.2922056891183</v>
      </c>
      <c r="D915" s="63">
        <v>327.56551328745542</v>
      </c>
      <c r="E915" s="63">
        <v>333.7410866409042</v>
      </c>
      <c r="F915" s="63">
        <v>3794205.7682651565</v>
      </c>
      <c r="G915" s="63" t="s">
        <v>866</v>
      </c>
      <c r="H915" s="25">
        <f t="shared" si="31"/>
        <v>-1.7031840882192339E-3</v>
      </c>
      <c r="J915" s="63">
        <v>14.19</v>
      </c>
      <c r="K915" s="63">
        <v>14.33</v>
      </c>
      <c r="L915" s="63">
        <v>13.72</v>
      </c>
      <c r="M915" s="63">
        <v>14.1</v>
      </c>
      <c r="N915" s="63">
        <v>1013606</v>
      </c>
      <c r="O915" s="63" t="s">
        <v>866</v>
      </c>
      <c r="P915" s="25">
        <f t="shared" si="30"/>
        <v>6.382978723404209E-3</v>
      </c>
    </row>
    <row r="916" spans="2:16">
      <c r="B916" s="63">
        <v>328.3651585110689</v>
      </c>
      <c r="C916" s="63">
        <v>331.2361738922354</v>
      </c>
      <c r="D916" s="63">
        <v>326.50574250917242</v>
      </c>
      <c r="E916" s="63">
        <v>328.85650678100006</v>
      </c>
      <c r="F916" s="63">
        <v>4706915.4030478531</v>
      </c>
      <c r="G916" s="63" t="s">
        <v>867</v>
      </c>
      <c r="H916" s="25">
        <f t="shared" si="31"/>
        <v>-1.494111443135826E-3</v>
      </c>
      <c r="J916" s="63">
        <v>13.92</v>
      </c>
      <c r="K916" s="63">
        <v>13.97</v>
      </c>
      <c r="L916" s="63">
        <v>13.13</v>
      </c>
      <c r="M916" s="63">
        <v>13.17</v>
      </c>
      <c r="N916" s="63">
        <v>636395</v>
      </c>
      <c r="O916" s="63" t="s">
        <v>867</v>
      </c>
      <c r="P916" s="25">
        <f t="shared" si="30"/>
        <v>5.6947608200455635E-2</v>
      </c>
    </row>
    <row r="917" spans="2:16">
      <c r="B917" s="63">
        <v>331.90093919861289</v>
      </c>
      <c r="C917" s="63">
        <v>344.06421744936034</v>
      </c>
      <c r="D917" s="63">
        <v>331.81423068038976</v>
      </c>
      <c r="E917" s="63">
        <v>339.87812287514265</v>
      </c>
      <c r="F917" s="63">
        <v>5213191.9592568334</v>
      </c>
      <c r="G917" s="63" t="s">
        <v>868</v>
      </c>
      <c r="H917" s="25">
        <f t="shared" si="31"/>
        <v>-2.3470718294687831E-2</v>
      </c>
      <c r="J917" s="63">
        <v>13.41</v>
      </c>
      <c r="K917" s="63">
        <v>14.1</v>
      </c>
      <c r="L917" s="63">
        <v>13.35</v>
      </c>
      <c r="M917" s="63">
        <v>13.89</v>
      </c>
      <c r="N917" s="63">
        <v>837285</v>
      </c>
      <c r="O917" s="63" t="s">
        <v>868</v>
      </c>
      <c r="P917" s="25">
        <f t="shared" si="30"/>
        <v>-3.4557235421166288E-2</v>
      </c>
    </row>
    <row r="918" spans="2:16">
      <c r="B918" s="63">
        <v>340.591059580533</v>
      </c>
      <c r="C918" s="63">
        <v>345.64423933698214</v>
      </c>
      <c r="D918" s="63">
        <v>339.40604316481665</v>
      </c>
      <c r="E918" s="63">
        <v>345.41783376162169</v>
      </c>
      <c r="F918" s="63">
        <v>8318503.4732542224</v>
      </c>
      <c r="G918" s="63" t="s">
        <v>869</v>
      </c>
      <c r="H918" s="25">
        <f t="shared" si="31"/>
        <v>-1.3973726048029489E-2</v>
      </c>
      <c r="J918" s="63">
        <v>13.91</v>
      </c>
      <c r="K918" s="63">
        <v>14.19</v>
      </c>
      <c r="L918" s="63">
        <v>13.81</v>
      </c>
      <c r="M918" s="63">
        <v>13.88</v>
      </c>
      <c r="N918" s="63">
        <v>788235</v>
      </c>
      <c r="O918" s="63" t="s">
        <v>869</v>
      </c>
      <c r="P918" s="25">
        <f t="shared" si="30"/>
        <v>2.161383285302465E-3</v>
      </c>
    </row>
    <row r="919" spans="2:16">
      <c r="B919" s="63">
        <v>341.96876159230084</v>
      </c>
      <c r="C919" s="63">
        <v>343.86671471340759</v>
      </c>
      <c r="D919" s="63">
        <v>341.10167641006939</v>
      </c>
      <c r="E919" s="63">
        <v>342.17108146815491</v>
      </c>
      <c r="F919" s="63">
        <v>6675082.2394456752</v>
      </c>
      <c r="G919" s="63" t="s">
        <v>870</v>
      </c>
      <c r="H919" s="25">
        <f t="shared" si="31"/>
        <v>-5.9128280211750983E-4</v>
      </c>
      <c r="J919" s="63">
        <v>13.74</v>
      </c>
      <c r="K919" s="63">
        <v>13.84</v>
      </c>
      <c r="L919" s="63">
        <v>13.51</v>
      </c>
      <c r="M919" s="63">
        <v>13.54</v>
      </c>
      <c r="N919" s="63">
        <v>786900</v>
      </c>
      <c r="O919" s="63" t="s">
        <v>870</v>
      </c>
      <c r="P919" s="25">
        <f t="shared" si="30"/>
        <v>1.4771048744461002E-2</v>
      </c>
    </row>
    <row r="920" spans="2:16">
      <c r="B920" s="63">
        <v>344.3098915843259</v>
      </c>
      <c r="C920" s="63">
        <v>344.88794837248025</v>
      </c>
      <c r="D920" s="63">
        <v>336.1881937107575</v>
      </c>
      <c r="E920" s="63">
        <v>336.27490222898069</v>
      </c>
      <c r="F920" s="63">
        <v>4554650.7781810993</v>
      </c>
      <c r="G920" s="63" t="s">
        <v>871</v>
      </c>
      <c r="H920" s="25">
        <f t="shared" si="31"/>
        <v>2.3894109557643706E-2</v>
      </c>
      <c r="J920" s="63">
        <v>13.72</v>
      </c>
      <c r="K920" s="63">
        <v>13.82</v>
      </c>
      <c r="L920" s="63">
        <v>13.35</v>
      </c>
      <c r="M920" s="63">
        <v>13.37</v>
      </c>
      <c r="N920" s="63">
        <v>1070900</v>
      </c>
      <c r="O920" s="63" t="s">
        <v>871</v>
      </c>
      <c r="P920" s="25">
        <f t="shared" si="30"/>
        <v>2.6178010471204383E-2</v>
      </c>
    </row>
    <row r="921" spans="2:16">
      <c r="B921" s="63">
        <v>336.4579535452296</v>
      </c>
      <c r="C921" s="63">
        <v>340.85118513520251</v>
      </c>
      <c r="D921" s="63">
        <v>335.84617677776623</v>
      </c>
      <c r="E921" s="63">
        <v>339.17482044955494</v>
      </c>
      <c r="F921" s="63">
        <v>4302618.4467813289</v>
      </c>
      <c r="G921" s="63" t="s">
        <v>872</v>
      </c>
      <c r="H921" s="25">
        <f t="shared" si="31"/>
        <v>-8.0102258201959486E-3</v>
      </c>
      <c r="J921" s="63">
        <v>13.38</v>
      </c>
      <c r="K921" s="63">
        <v>13.63</v>
      </c>
      <c r="L921" s="63">
        <v>13.08</v>
      </c>
      <c r="M921" s="63">
        <v>13.36</v>
      </c>
      <c r="N921" s="63">
        <v>1080398</v>
      </c>
      <c r="O921" s="63" t="s">
        <v>872</v>
      </c>
      <c r="P921" s="25">
        <f t="shared" si="30"/>
        <v>1.4970059880241582E-3</v>
      </c>
    </row>
    <row r="922" spans="2:16">
      <c r="B922" s="63">
        <v>338.26919814811316</v>
      </c>
      <c r="C922" s="63">
        <v>343.14414372821471</v>
      </c>
      <c r="D922" s="63">
        <v>337.62370140134078</v>
      </c>
      <c r="E922" s="63">
        <v>337.87419267620766</v>
      </c>
      <c r="F922" s="63">
        <v>4440091.0993449781</v>
      </c>
      <c r="G922" s="63" t="s">
        <v>873</v>
      </c>
      <c r="H922" s="25">
        <f t="shared" si="31"/>
        <v>1.1690903906473871E-3</v>
      </c>
      <c r="J922" s="63">
        <v>13.16</v>
      </c>
      <c r="K922" s="63">
        <v>13.41</v>
      </c>
      <c r="L922" s="63">
        <v>12.855</v>
      </c>
      <c r="M922" s="63">
        <v>12.88</v>
      </c>
      <c r="N922" s="63">
        <v>1090720</v>
      </c>
      <c r="O922" s="63" t="s">
        <v>873</v>
      </c>
      <c r="P922" s="25">
        <f t="shared" si="30"/>
        <v>2.1739130434782483E-2</v>
      </c>
    </row>
    <row r="923" spans="2:16">
      <c r="B923" s="63">
        <v>340.81264801599218</v>
      </c>
      <c r="C923" s="63">
        <v>341.08240785046422</v>
      </c>
      <c r="D923" s="63">
        <v>335.30183996892089</v>
      </c>
      <c r="E923" s="63">
        <v>335.32110852852605</v>
      </c>
      <c r="F923" s="63">
        <v>5400918.4979356388</v>
      </c>
      <c r="G923" s="63" t="s">
        <v>874</v>
      </c>
      <c r="H923" s="25">
        <f t="shared" si="31"/>
        <v>1.6376957333716247E-2</v>
      </c>
      <c r="J923" s="63">
        <v>12.94</v>
      </c>
      <c r="K923" s="63">
        <v>13.045</v>
      </c>
      <c r="L923" s="63">
        <v>11.82</v>
      </c>
      <c r="M923" s="63">
        <v>11.82</v>
      </c>
      <c r="N923" s="63">
        <v>1484229</v>
      </c>
      <c r="O923" s="63" t="s">
        <v>874</v>
      </c>
      <c r="P923" s="25">
        <f t="shared" si="30"/>
        <v>9.4754653130287636E-2</v>
      </c>
    </row>
    <row r="924" spans="2:16">
      <c r="B924" s="63">
        <v>335.35964564773627</v>
      </c>
      <c r="C924" s="63">
        <v>336.4579535452296</v>
      </c>
      <c r="D924" s="63">
        <v>330.33055159079362</v>
      </c>
      <c r="E924" s="63">
        <v>332.81619577985725</v>
      </c>
      <c r="F924" s="63">
        <v>5853490.9879764495</v>
      </c>
      <c r="G924" s="63" t="s">
        <v>875</v>
      </c>
      <c r="H924" s="25">
        <f t="shared" si="31"/>
        <v>7.642205818497505E-3</v>
      </c>
      <c r="J924" s="63">
        <v>11.71</v>
      </c>
      <c r="K924" s="63">
        <v>11.75</v>
      </c>
      <c r="L924" s="63">
        <v>11.21</v>
      </c>
      <c r="M924" s="63">
        <v>11.69</v>
      </c>
      <c r="N924" s="63">
        <v>645843</v>
      </c>
      <c r="O924" s="63" t="s">
        <v>875</v>
      </c>
      <c r="P924" s="25">
        <f t="shared" si="30"/>
        <v>1.7108639863132602E-3</v>
      </c>
    </row>
    <row r="925" spans="2:16">
      <c r="B925" s="63">
        <v>331.32288241045853</v>
      </c>
      <c r="C925" s="63">
        <v>331.79544383477469</v>
      </c>
      <c r="D925" s="63">
        <v>321.91019104334549</v>
      </c>
      <c r="E925" s="63">
        <v>323.23008737629789</v>
      </c>
      <c r="F925" s="63">
        <v>4528029.1722846711</v>
      </c>
      <c r="G925" s="63" t="s">
        <v>876</v>
      </c>
      <c r="H925" s="25">
        <f t="shared" si="31"/>
        <v>2.5037257824143122E-2</v>
      </c>
      <c r="J925" s="63">
        <v>11.61</v>
      </c>
      <c r="K925" s="63">
        <v>11.63</v>
      </c>
      <c r="L925" s="63">
        <v>11.15</v>
      </c>
      <c r="M925" s="63">
        <v>11.45</v>
      </c>
      <c r="N925" s="63">
        <v>884228</v>
      </c>
      <c r="O925" s="63" t="s">
        <v>876</v>
      </c>
      <c r="P925" s="25">
        <f t="shared" si="30"/>
        <v>1.3973799126637543E-2</v>
      </c>
    </row>
    <row r="926" spans="2:16">
      <c r="B926" s="63">
        <v>323.54801860978279</v>
      </c>
      <c r="C926" s="63">
        <v>329.89700899967789</v>
      </c>
      <c r="D926" s="63">
        <v>322.79654478518216</v>
      </c>
      <c r="E926" s="63">
        <v>325.80244008358471</v>
      </c>
      <c r="F926" s="63">
        <v>3590365.9338152912</v>
      </c>
      <c r="G926" s="63" t="s">
        <v>877</v>
      </c>
      <c r="H926" s="25">
        <f t="shared" si="31"/>
        <v>-6.9195966525712471E-3</v>
      </c>
      <c r="J926" s="63">
        <v>11.38</v>
      </c>
      <c r="K926" s="63">
        <v>11.61</v>
      </c>
      <c r="L926" s="63">
        <v>11.005000000000001</v>
      </c>
      <c r="M926" s="63">
        <v>11.08</v>
      </c>
      <c r="N926" s="63">
        <v>896515</v>
      </c>
      <c r="O926" s="63" t="s">
        <v>877</v>
      </c>
      <c r="P926" s="25">
        <f t="shared" si="30"/>
        <v>2.7075812274368394E-2</v>
      </c>
    </row>
    <row r="927" spans="2:16">
      <c r="B927" s="63">
        <v>326.22634839489785</v>
      </c>
      <c r="C927" s="63">
        <v>329.17443801448496</v>
      </c>
      <c r="D927" s="63">
        <v>323.61545856840075</v>
      </c>
      <c r="E927" s="63">
        <v>326.64062242640847</v>
      </c>
      <c r="F927" s="63">
        <v>4570381.0665997043</v>
      </c>
      <c r="G927" s="63" t="s">
        <v>878</v>
      </c>
      <c r="H927" s="25">
        <f t="shared" si="31"/>
        <v>-1.2682869277961251E-3</v>
      </c>
      <c r="J927" s="63">
        <v>11.01</v>
      </c>
      <c r="K927" s="63">
        <v>11.08</v>
      </c>
      <c r="L927" s="63">
        <v>10.79</v>
      </c>
      <c r="M927" s="63">
        <v>11.01</v>
      </c>
      <c r="N927" s="63">
        <v>1048924</v>
      </c>
      <c r="O927" s="63" t="s">
        <v>878</v>
      </c>
      <c r="P927" s="25">
        <f t="shared" si="30"/>
        <v>0</v>
      </c>
    </row>
    <row r="928" spans="2:16">
      <c r="B928" s="63">
        <v>328.50003842830495</v>
      </c>
      <c r="C928" s="63">
        <v>332.38265318874153</v>
      </c>
      <c r="D928" s="63">
        <v>325.41225175158047</v>
      </c>
      <c r="E928" s="63">
        <v>332.07435623505921</v>
      </c>
      <c r="F928" s="63">
        <v>5089407.9271923304</v>
      </c>
      <c r="G928" s="63" t="s">
        <v>879</v>
      </c>
      <c r="H928" s="25">
        <f t="shared" si="31"/>
        <v>-1.0763606823720462E-2</v>
      </c>
      <c r="J928" s="63">
        <v>11.17</v>
      </c>
      <c r="K928" s="63">
        <v>11.375</v>
      </c>
      <c r="L928" s="63">
        <v>10.885</v>
      </c>
      <c r="M928" s="63">
        <v>11</v>
      </c>
      <c r="N928" s="63">
        <v>883112</v>
      </c>
      <c r="O928" s="63" t="s">
        <v>879</v>
      </c>
      <c r="P928" s="25">
        <f t="shared" si="30"/>
        <v>1.5454545454545388E-2</v>
      </c>
    </row>
    <row r="929" spans="2:16">
      <c r="B929" s="63">
        <v>324.67522934668375</v>
      </c>
      <c r="C929" s="63">
        <v>325.73500012496669</v>
      </c>
      <c r="D929" s="63">
        <v>322.22812227683039</v>
      </c>
      <c r="E929" s="63">
        <v>322.33409935465869</v>
      </c>
      <c r="F929" s="63">
        <v>4037163.2127204295</v>
      </c>
      <c r="G929" s="63" t="s">
        <v>880</v>
      </c>
      <c r="H929" s="25">
        <f t="shared" si="31"/>
        <v>7.2630540694025303E-3</v>
      </c>
      <c r="J929" s="63">
        <v>10.92</v>
      </c>
      <c r="K929" s="63">
        <v>11.13</v>
      </c>
      <c r="L929" s="63">
        <v>10.74</v>
      </c>
      <c r="M929" s="63">
        <v>10.9</v>
      </c>
      <c r="N929" s="63">
        <v>640143</v>
      </c>
      <c r="O929" s="63" t="s">
        <v>880</v>
      </c>
      <c r="P929" s="25">
        <f t="shared" si="30"/>
        <v>1.8348623853210455E-3</v>
      </c>
    </row>
    <row r="930" spans="2:16">
      <c r="B930" s="63">
        <v>316.63060571153591</v>
      </c>
      <c r="C930" s="63">
        <v>327.74856460370427</v>
      </c>
      <c r="D930" s="63">
        <v>316.02846322387512</v>
      </c>
      <c r="E930" s="63">
        <v>326.23598267470044</v>
      </c>
      <c r="F930" s="63">
        <v>5069396.0525165992</v>
      </c>
      <c r="G930" s="63" t="s">
        <v>881</v>
      </c>
      <c r="H930" s="25">
        <f t="shared" si="31"/>
        <v>-2.9443033488866677E-2</v>
      </c>
      <c r="J930" s="63">
        <v>10.64</v>
      </c>
      <c r="K930" s="63">
        <v>11.45</v>
      </c>
      <c r="L930" s="63">
        <v>10.59</v>
      </c>
      <c r="M930" s="63">
        <v>11.3</v>
      </c>
      <c r="N930" s="63">
        <v>1037968</v>
      </c>
      <c r="O930" s="63" t="s">
        <v>881</v>
      </c>
      <c r="P930" s="25">
        <f t="shared" si="30"/>
        <v>-5.8407079646017657E-2</v>
      </c>
    </row>
    <row r="931" spans="2:16">
      <c r="B931" s="63">
        <v>323.92375552208313</v>
      </c>
      <c r="C931" s="63">
        <v>325.32554323335739</v>
      </c>
      <c r="D931" s="63">
        <v>308.17170804487751</v>
      </c>
      <c r="E931" s="63">
        <v>309.10623318572698</v>
      </c>
      <c r="F931" s="63">
        <v>6639718.9318625769</v>
      </c>
      <c r="G931" s="63" t="s">
        <v>882</v>
      </c>
      <c r="H931" s="25">
        <f t="shared" si="31"/>
        <v>4.7936666251091165E-2</v>
      </c>
      <c r="J931" s="63">
        <v>11.1</v>
      </c>
      <c r="K931" s="63">
        <v>11.23</v>
      </c>
      <c r="L931" s="63">
        <v>10.08</v>
      </c>
      <c r="M931" s="63">
        <v>10.08</v>
      </c>
      <c r="N931" s="63">
        <v>1523713</v>
      </c>
      <c r="O931" s="63" t="s">
        <v>882</v>
      </c>
      <c r="P931" s="25">
        <f t="shared" si="30"/>
        <v>0.10119047619047605</v>
      </c>
    </row>
    <row r="932" spans="2:16">
      <c r="B932" s="63">
        <v>315.6575434514761</v>
      </c>
      <c r="C932" s="63">
        <v>318.49002171343233</v>
      </c>
      <c r="D932" s="63">
        <v>315.46485785542467</v>
      </c>
      <c r="E932" s="63">
        <v>317.11231970166455</v>
      </c>
      <c r="F932" s="63">
        <v>3357865.9394304533</v>
      </c>
      <c r="G932" s="63" t="s">
        <v>883</v>
      </c>
      <c r="H932" s="25">
        <f t="shared" si="31"/>
        <v>-4.5875740543825927E-3</v>
      </c>
      <c r="J932" s="63">
        <v>10.39</v>
      </c>
      <c r="K932" s="63">
        <v>10.4</v>
      </c>
      <c r="L932" s="63">
        <v>9.35</v>
      </c>
      <c r="M932" s="63">
        <v>9.85</v>
      </c>
      <c r="N932" s="63">
        <v>816338</v>
      </c>
      <c r="O932" s="63" t="s">
        <v>883</v>
      </c>
      <c r="P932" s="25">
        <f t="shared" si="30"/>
        <v>5.4822335025380697E-2</v>
      </c>
    </row>
    <row r="933" spans="2:16">
      <c r="B933" s="63">
        <v>316.64023999133855</v>
      </c>
      <c r="C933" s="63">
        <v>321.36103709459888</v>
      </c>
      <c r="D933" s="63">
        <v>314.89643534707295</v>
      </c>
      <c r="E933" s="63">
        <v>317.1604911006774</v>
      </c>
      <c r="F933" s="63">
        <v>5156698.89374978</v>
      </c>
      <c r="G933" s="63" t="s">
        <v>884</v>
      </c>
      <c r="H933" s="25">
        <f t="shared" si="31"/>
        <v>-1.6403402187118443E-3</v>
      </c>
      <c r="J933" s="63">
        <v>9.8800000000000008</v>
      </c>
      <c r="K933" s="63">
        <v>10.28</v>
      </c>
      <c r="L933" s="63">
        <v>9.7899999999999991</v>
      </c>
      <c r="M933" s="63">
        <v>10.25</v>
      </c>
      <c r="N933" s="63">
        <v>1004341</v>
      </c>
      <c r="O933" s="63" t="s">
        <v>884</v>
      </c>
      <c r="P933" s="25">
        <f t="shared" si="30"/>
        <v>-3.6097560975609677E-2</v>
      </c>
    </row>
    <row r="934" spans="2:16">
      <c r="B934" s="63">
        <v>318.7405129882992</v>
      </c>
      <c r="C934" s="63">
        <v>322.43044215268441</v>
      </c>
      <c r="D934" s="63">
        <v>316.64023999133855</v>
      </c>
      <c r="E934" s="63">
        <v>322.23775655663297</v>
      </c>
      <c r="F934" s="63">
        <v>4083190.5244746106</v>
      </c>
      <c r="G934" s="63" t="s">
        <v>885</v>
      </c>
      <c r="H934" s="25">
        <f t="shared" si="31"/>
        <v>-1.0852991299668324E-2</v>
      </c>
      <c r="J934" s="63">
        <v>10.34</v>
      </c>
      <c r="K934" s="63">
        <v>10.91</v>
      </c>
      <c r="L934" s="63">
        <v>10.244999999999999</v>
      </c>
      <c r="M934" s="63">
        <v>10.91</v>
      </c>
      <c r="N934" s="63">
        <v>958236</v>
      </c>
      <c r="O934" s="63" t="s">
        <v>885</v>
      </c>
      <c r="P934" s="25">
        <f t="shared" si="30"/>
        <v>-5.2245646196150353E-2</v>
      </c>
    </row>
    <row r="935" spans="2:16">
      <c r="B935" s="63">
        <v>321.1394486591397</v>
      </c>
      <c r="C935" s="63">
        <v>326.92965082048562</v>
      </c>
      <c r="D935" s="63">
        <v>319.52088965230757</v>
      </c>
      <c r="E935" s="63">
        <v>326.67915954561875</v>
      </c>
      <c r="F935" s="63">
        <v>5364257.7399715921</v>
      </c>
      <c r="G935" s="63" t="s">
        <v>886</v>
      </c>
      <c r="H935" s="25">
        <f t="shared" si="31"/>
        <v>-1.6957650112067957E-2</v>
      </c>
      <c r="J935" s="63">
        <v>10.99</v>
      </c>
      <c r="K935" s="63">
        <v>11.35</v>
      </c>
      <c r="L935" s="63">
        <v>10.85</v>
      </c>
      <c r="M935" s="63">
        <v>11.27</v>
      </c>
      <c r="N935" s="63">
        <v>1001642</v>
      </c>
      <c r="O935" s="63" t="s">
        <v>886</v>
      </c>
      <c r="P935" s="25">
        <f t="shared" si="30"/>
        <v>-2.4844720496894346E-2</v>
      </c>
    </row>
    <row r="936" spans="2:16">
      <c r="B936" s="63">
        <v>330.41726010901675</v>
      </c>
      <c r="C936" s="63">
        <v>335.25366856990803</v>
      </c>
      <c r="D936" s="63">
        <v>329.96444895829586</v>
      </c>
      <c r="E936" s="63">
        <v>332.5560702251878</v>
      </c>
      <c r="F936" s="63">
        <v>4026883.2538621081</v>
      </c>
      <c r="G936" s="63" t="s">
        <v>887</v>
      </c>
      <c r="H936" s="25">
        <f t="shared" si="31"/>
        <v>-6.4314270815226671E-3</v>
      </c>
      <c r="J936" s="63">
        <v>11.57</v>
      </c>
      <c r="K936" s="63">
        <v>11.97</v>
      </c>
      <c r="L936" s="63">
        <v>11.5</v>
      </c>
      <c r="M936" s="63">
        <v>11.59</v>
      </c>
      <c r="N936" s="63">
        <v>1125518</v>
      </c>
      <c r="O936" s="63" t="s">
        <v>887</v>
      </c>
      <c r="P936" s="25">
        <f t="shared" si="30"/>
        <v>-1.7256255392579245E-3</v>
      </c>
    </row>
    <row r="937" spans="2:16">
      <c r="B937" s="63"/>
      <c r="C937" s="63"/>
      <c r="D937" s="63"/>
      <c r="E937" s="63"/>
      <c r="F937" s="63"/>
      <c r="G937" s="63"/>
      <c r="H937" s="25"/>
    </row>
    <row r="938" spans="2:16">
      <c r="B938" s="63"/>
      <c r="C938" s="63"/>
      <c r="D938" s="63"/>
      <c r="E938" s="63"/>
      <c r="F938" s="63"/>
      <c r="G938" s="63"/>
      <c r="H938" s="25"/>
      <c r="P938" s="25"/>
    </row>
    <row r="939" spans="2:16">
      <c r="B939" s="63"/>
      <c r="C939" s="63"/>
      <c r="D939" s="63"/>
      <c r="E939" s="63"/>
      <c r="F939" s="63"/>
      <c r="G939" s="63"/>
      <c r="H939" s="25"/>
      <c r="P939" s="25"/>
    </row>
    <row r="940" spans="2:16">
      <c r="B940" s="63"/>
      <c r="C940" s="63"/>
      <c r="D940" s="63"/>
      <c r="E940" s="63"/>
      <c r="F940" s="63"/>
      <c r="G940" s="63"/>
      <c r="H940" s="25"/>
      <c r="P940" s="25"/>
    </row>
    <row r="941" spans="2:16">
      <c r="B941" s="63"/>
      <c r="C941" s="63"/>
      <c r="D941" s="63"/>
      <c r="E941" s="63"/>
      <c r="F941" s="63"/>
      <c r="G941" s="63"/>
      <c r="H941" s="25"/>
      <c r="P941" s="25"/>
    </row>
    <row r="942" spans="2:16">
      <c r="B942" s="63"/>
      <c r="C942" s="63"/>
      <c r="D942" s="63"/>
      <c r="E942" s="63"/>
      <c r="F942" s="63"/>
      <c r="G942" s="63"/>
      <c r="H942" s="25"/>
      <c r="P942" s="25"/>
    </row>
    <row r="943" spans="2:16">
      <c r="B943" s="63"/>
      <c r="C943" s="63"/>
      <c r="D943" s="63"/>
      <c r="E943" s="63"/>
      <c r="F943" s="63"/>
      <c r="G943" s="63"/>
      <c r="H943" s="25"/>
      <c r="P943" s="25"/>
    </row>
    <row r="944" spans="2:16">
      <c r="B944" s="63"/>
      <c r="C944" s="63"/>
      <c r="D944" s="63"/>
      <c r="E944" s="63"/>
      <c r="F944" s="63"/>
      <c r="G944" s="63"/>
      <c r="H944" s="25"/>
      <c r="P944" s="25"/>
    </row>
    <row r="945" spans="2:16">
      <c r="B945" s="63"/>
      <c r="C945" s="63"/>
      <c r="D945" s="63"/>
      <c r="E945" s="63"/>
      <c r="F945" s="63"/>
      <c r="G945" s="63"/>
      <c r="H945" s="25"/>
      <c r="P945" s="25"/>
    </row>
    <row r="946" spans="2:16">
      <c r="B946" s="63"/>
      <c r="C946" s="63"/>
      <c r="D946" s="63"/>
      <c r="E946" s="63"/>
      <c r="F946" s="63"/>
      <c r="G946" s="63"/>
      <c r="H946" s="25"/>
      <c r="P946" s="25"/>
    </row>
    <row r="947" spans="2:16">
      <c r="B947" s="63"/>
      <c r="C947" s="63"/>
      <c r="D947" s="63"/>
      <c r="E947" s="63"/>
      <c r="F947" s="63"/>
      <c r="G947" s="63"/>
      <c r="H947" s="25"/>
      <c r="P947" s="25"/>
    </row>
    <row r="948" spans="2:16">
      <c r="B948" s="63"/>
      <c r="C948" s="63"/>
      <c r="D948" s="63"/>
      <c r="E948" s="63"/>
      <c r="F948" s="63"/>
      <c r="G948" s="63"/>
      <c r="H948" s="25"/>
      <c r="P948" s="25"/>
    </row>
    <row r="949" spans="2:16">
      <c r="B949" s="63"/>
      <c r="C949" s="63"/>
      <c r="D949" s="63"/>
      <c r="E949" s="63"/>
      <c r="F949" s="63"/>
      <c r="G949" s="63"/>
      <c r="H949" s="25"/>
      <c r="P949" s="25"/>
    </row>
    <row r="950" spans="2:16">
      <c r="B950" s="63"/>
      <c r="C950" s="63"/>
      <c r="D950" s="63"/>
      <c r="E950" s="63"/>
      <c r="F950" s="63"/>
      <c r="G950" s="63"/>
      <c r="H950" s="25"/>
      <c r="P950" s="25"/>
    </row>
    <row r="951" spans="2:16">
      <c r="B951" s="63"/>
      <c r="C951" s="63"/>
      <c r="D951" s="63"/>
      <c r="E951" s="63"/>
      <c r="F951" s="63"/>
      <c r="G951" s="63"/>
      <c r="H951" s="25"/>
      <c r="P951" s="25"/>
    </row>
    <row r="952" spans="2:16">
      <c r="B952" s="63"/>
      <c r="C952" s="63"/>
      <c r="D952" s="63"/>
      <c r="E952" s="63"/>
      <c r="F952" s="63"/>
      <c r="G952" s="63"/>
      <c r="H952" s="25"/>
      <c r="P952" s="25"/>
    </row>
    <row r="953" spans="2:16">
      <c r="B953" s="63"/>
      <c r="C953" s="63"/>
      <c r="D953" s="63"/>
      <c r="E953" s="63"/>
      <c r="F953" s="63"/>
      <c r="G953" s="63"/>
      <c r="H953" s="25"/>
      <c r="P953" s="25"/>
    </row>
    <row r="954" spans="2:16">
      <c r="B954" s="63"/>
      <c r="C954" s="63"/>
      <c r="D954" s="63"/>
      <c r="E954" s="63"/>
      <c r="F954" s="63"/>
      <c r="G954" s="63"/>
      <c r="H954" s="25"/>
      <c r="P954" s="25"/>
    </row>
    <row r="955" spans="2:16">
      <c r="B955" s="63"/>
      <c r="C955" s="63"/>
      <c r="D955" s="63"/>
      <c r="E955" s="63"/>
      <c r="F955" s="63"/>
      <c r="G955" s="63"/>
      <c r="H955" s="25"/>
      <c r="P955" s="25"/>
    </row>
    <row r="956" spans="2:16">
      <c r="B956" s="63"/>
      <c r="C956" s="63"/>
      <c r="D956" s="63"/>
      <c r="E956" s="63"/>
      <c r="F956" s="63"/>
      <c r="G956" s="63"/>
      <c r="H956" s="25"/>
      <c r="P956" s="25"/>
    </row>
    <row r="957" spans="2:16">
      <c r="B957" s="63"/>
      <c r="C957" s="63"/>
      <c r="D957" s="63"/>
      <c r="E957" s="63"/>
      <c r="F957" s="63"/>
      <c r="G957" s="63"/>
      <c r="H957" s="25"/>
      <c r="P957" s="25"/>
    </row>
    <row r="958" spans="2:16">
      <c r="B958" s="63"/>
      <c r="C958" s="63"/>
      <c r="D958" s="63"/>
      <c r="E958" s="63"/>
      <c r="F958" s="63"/>
      <c r="G958" s="63"/>
      <c r="H958" s="25"/>
      <c r="P958" s="25"/>
    </row>
    <row r="959" spans="2:16">
      <c r="B959" s="63"/>
      <c r="C959" s="63"/>
      <c r="D959" s="63"/>
      <c r="E959" s="63"/>
      <c r="F959" s="63"/>
      <c r="G959" s="63"/>
      <c r="H959" s="25"/>
      <c r="P959" s="25"/>
    </row>
    <row r="960" spans="2:16">
      <c r="B960" s="63"/>
      <c r="C960" s="63"/>
      <c r="D960" s="63"/>
      <c r="E960" s="63"/>
      <c r="F960" s="63"/>
      <c r="G960" s="63"/>
      <c r="H960" s="25"/>
      <c r="P960" s="25"/>
    </row>
    <row r="961" spans="2:16">
      <c r="B961" s="63"/>
      <c r="C961" s="63"/>
      <c r="D961" s="63"/>
      <c r="E961" s="63"/>
      <c r="F961" s="63"/>
      <c r="G961" s="63"/>
      <c r="H961" s="25"/>
      <c r="P961" s="25"/>
    </row>
    <row r="962" spans="2:16">
      <c r="B962" s="63"/>
      <c r="C962" s="63"/>
      <c r="D962" s="63"/>
      <c r="E962" s="63"/>
      <c r="F962" s="63"/>
      <c r="G962" s="63"/>
      <c r="H962" s="25"/>
      <c r="P962" s="25"/>
    </row>
    <row r="963" spans="2:16">
      <c r="B963" s="63"/>
      <c r="C963" s="63"/>
      <c r="D963" s="63"/>
      <c r="E963" s="63"/>
      <c r="F963" s="63"/>
      <c r="G963" s="63"/>
      <c r="H963" s="25"/>
      <c r="P963" s="25"/>
    </row>
    <row r="964" spans="2:16">
      <c r="B964" s="63"/>
      <c r="C964" s="63"/>
      <c r="D964" s="63"/>
      <c r="E964" s="63"/>
      <c r="F964" s="63"/>
      <c r="G964" s="63"/>
      <c r="H964" s="25"/>
      <c r="P964" s="25"/>
    </row>
    <row r="965" spans="2:16">
      <c r="B965" s="63"/>
      <c r="C965" s="63"/>
      <c r="D965" s="63"/>
      <c r="E965" s="63"/>
      <c r="F965" s="63"/>
      <c r="G965" s="63"/>
      <c r="H965" s="25"/>
      <c r="P965" s="25"/>
    </row>
    <row r="966" spans="2:16">
      <c r="B966" s="63"/>
      <c r="C966" s="63"/>
      <c r="D966" s="63"/>
      <c r="E966" s="63"/>
      <c r="F966" s="63"/>
      <c r="G966" s="63"/>
      <c r="H966" s="25"/>
      <c r="P966" s="25"/>
    </row>
    <row r="967" spans="2:16">
      <c r="B967" s="63"/>
      <c r="C967" s="63"/>
      <c r="D967" s="63"/>
      <c r="E967" s="63"/>
      <c r="F967" s="63"/>
      <c r="G967" s="63"/>
      <c r="H967" s="25"/>
      <c r="P967" s="25"/>
    </row>
    <row r="968" spans="2:16">
      <c r="B968" s="63"/>
      <c r="C968" s="63"/>
      <c r="D968" s="63"/>
      <c r="E968" s="63"/>
      <c r="F968" s="63"/>
      <c r="G968" s="63"/>
      <c r="H968" s="25"/>
      <c r="P968" s="25"/>
    </row>
    <row r="969" spans="2:16">
      <c r="B969" s="63"/>
      <c r="C969" s="63"/>
      <c r="D969" s="63"/>
      <c r="E969" s="63"/>
      <c r="F969" s="63"/>
      <c r="G969" s="63"/>
      <c r="H969" s="25"/>
      <c r="P969" s="25"/>
    </row>
    <row r="970" spans="2:16">
      <c r="B970" s="63"/>
      <c r="C970" s="63"/>
      <c r="D970" s="63"/>
      <c r="E970" s="63"/>
      <c r="F970" s="63"/>
      <c r="G970" s="63"/>
      <c r="H970" s="25"/>
      <c r="P970" s="25"/>
    </row>
    <row r="971" spans="2:16">
      <c r="B971" s="63"/>
      <c r="C971" s="63"/>
      <c r="D971" s="63"/>
      <c r="E971" s="63"/>
      <c r="F971" s="63"/>
      <c r="G971" s="63"/>
      <c r="H971" s="25"/>
      <c r="P971" s="25"/>
    </row>
    <row r="972" spans="2:16">
      <c r="B972" s="63"/>
      <c r="C972" s="63"/>
      <c r="D972" s="63"/>
      <c r="E972" s="63"/>
      <c r="F972" s="63"/>
      <c r="G972" s="63"/>
      <c r="H972" s="25"/>
      <c r="P972" s="25"/>
    </row>
    <row r="973" spans="2:16">
      <c r="B973" s="63"/>
      <c r="C973" s="63"/>
      <c r="D973" s="63"/>
      <c r="E973" s="63"/>
      <c r="F973" s="63"/>
      <c r="G973" s="63"/>
      <c r="H973" s="25"/>
      <c r="P973" s="25"/>
    </row>
    <row r="974" spans="2:16">
      <c r="B974" s="63"/>
      <c r="C974" s="63"/>
      <c r="D974" s="63"/>
      <c r="E974" s="63"/>
      <c r="F974" s="63"/>
      <c r="G974" s="63"/>
      <c r="H974" s="25"/>
      <c r="P974" s="25"/>
    </row>
    <row r="975" spans="2:16">
      <c r="B975" s="63"/>
      <c r="C975" s="63"/>
      <c r="D975" s="63"/>
      <c r="E975" s="63"/>
      <c r="F975" s="63"/>
      <c r="G975" s="63"/>
      <c r="H975" s="25"/>
      <c r="P975" s="25"/>
    </row>
    <row r="976" spans="2:16">
      <c r="B976" s="63"/>
      <c r="C976" s="63"/>
      <c r="D976" s="63"/>
      <c r="E976" s="63"/>
      <c r="F976" s="63"/>
      <c r="G976" s="63"/>
      <c r="H976" s="25"/>
      <c r="P976" s="25"/>
    </row>
    <row r="977" spans="2:16">
      <c r="B977" s="63"/>
      <c r="C977" s="63"/>
      <c r="D977" s="63"/>
      <c r="E977" s="63"/>
      <c r="F977" s="63"/>
      <c r="G977" s="63"/>
      <c r="H977" s="25"/>
      <c r="P977" s="25"/>
    </row>
    <row r="978" spans="2:16">
      <c r="B978" s="63"/>
      <c r="C978" s="63"/>
      <c r="D978" s="63"/>
      <c r="E978" s="63"/>
      <c r="F978" s="63"/>
      <c r="G978" s="63"/>
      <c r="H978" s="25"/>
      <c r="P978" s="25"/>
    </row>
    <row r="979" spans="2:16">
      <c r="B979" s="63"/>
      <c r="C979" s="63"/>
      <c r="D979" s="63"/>
      <c r="E979" s="63"/>
      <c r="F979" s="63"/>
      <c r="G979" s="63"/>
      <c r="H979" s="25"/>
      <c r="P979" s="25"/>
    </row>
    <row r="980" spans="2:16">
      <c r="B980" s="63"/>
      <c r="C980" s="63"/>
      <c r="D980" s="63"/>
      <c r="E980" s="63"/>
      <c r="F980" s="63"/>
      <c r="G980" s="63"/>
      <c r="H980" s="25"/>
      <c r="P980" s="25"/>
    </row>
    <row r="981" spans="2:16">
      <c r="B981" s="63"/>
      <c r="C981" s="63"/>
      <c r="D981" s="63"/>
      <c r="E981" s="63"/>
      <c r="F981" s="63"/>
      <c r="G981" s="63"/>
      <c r="H981" s="25"/>
      <c r="P981" s="25"/>
    </row>
    <row r="982" spans="2:16">
      <c r="B982" s="63"/>
      <c r="C982" s="63"/>
      <c r="D982" s="63"/>
      <c r="E982" s="63"/>
      <c r="F982" s="63"/>
      <c r="G982" s="63"/>
      <c r="H982" s="25"/>
      <c r="P982" s="25"/>
    </row>
    <row r="983" spans="2:16">
      <c r="B983" s="63"/>
      <c r="C983" s="63"/>
      <c r="D983" s="63"/>
      <c r="E983" s="63"/>
      <c r="F983" s="63"/>
      <c r="G983" s="63"/>
      <c r="H983" s="25"/>
      <c r="P983" s="25"/>
    </row>
    <row r="984" spans="2:16">
      <c r="B984" s="63"/>
      <c r="C984" s="63"/>
      <c r="D984" s="63"/>
      <c r="E984" s="63"/>
      <c r="F984" s="63"/>
      <c r="G984" s="63"/>
      <c r="H984" s="25"/>
      <c r="P984" s="25"/>
    </row>
    <row r="985" spans="2:16">
      <c r="B985" s="63"/>
      <c r="C985" s="63"/>
      <c r="D985" s="63"/>
      <c r="E985" s="63"/>
      <c r="F985" s="63"/>
      <c r="G985" s="63"/>
      <c r="H985" s="25"/>
      <c r="P985" s="25"/>
    </row>
    <row r="986" spans="2:16">
      <c r="B986" s="63"/>
      <c r="C986" s="63"/>
      <c r="D986" s="63"/>
      <c r="E986" s="63"/>
      <c r="F986" s="63"/>
      <c r="G986" s="63"/>
      <c r="H986" s="25"/>
      <c r="P986" s="25"/>
    </row>
    <row r="987" spans="2:16">
      <c r="B987" s="63"/>
      <c r="C987" s="63"/>
      <c r="D987" s="63"/>
      <c r="E987" s="63"/>
      <c r="F987" s="63"/>
      <c r="G987" s="63"/>
      <c r="H987" s="25"/>
      <c r="P987" s="25"/>
    </row>
    <row r="988" spans="2:16">
      <c r="B988" s="63"/>
      <c r="C988" s="63"/>
      <c r="D988" s="63"/>
      <c r="E988" s="63"/>
      <c r="F988" s="63"/>
      <c r="G988" s="63"/>
      <c r="H988" s="25"/>
      <c r="P988" s="25"/>
    </row>
    <row r="989" spans="2:16">
      <c r="B989" s="63"/>
      <c r="C989" s="63"/>
      <c r="D989" s="63"/>
      <c r="E989" s="63"/>
      <c r="F989" s="63"/>
      <c r="G989" s="63"/>
      <c r="H989" s="25"/>
      <c r="P989" s="25"/>
    </row>
    <row r="990" spans="2:16">
      <c r="B990" s="63"/>
      <c r="C990" s="63"/>
      <c r="D990" s="63"/>
      <c r="E990" s="63"/>
      <c r="F990" s="63"/>
      <c r="G990" s="63"/>
      <c r="H990" s="25"/>
      <c r="P990" s="25"/>
    </row>
    <row r="991" spans="2:16">
      <c r="B991" s="63"/>
      <c r="C991" s="63"/>
      <c r="D991" s="63"/>
      <c r="E991" s="63"/>
      <c r="F991" s="63"/>
      <c r="G991" s="63"/>
      <c r="H991" s="25"/>
      <c r="P991" s="25"/>
    </row>
    <row r="992" spans="2:16">
      <c r="B992" s="63"/>
      <c r="C992" s="63"/>
      <c r="D992" s="63"/>
      <c r="E992" s="63"/>
      <c r="F992" s="63"/>
      <c r="G992" s="63"/>
      <c r="H992" s="25"/>
      <c r="P992" s="25"/>
    </row>
    <row r="993" spans="2:16">
      <c r="B993" s="63"/>
      <c r="C993" s="63"/>
      <c r="D993" s="63"/>
      <c r="E993" s="63"/>
      <c r="F993" s="63"/>
      <c r="G993" s="63"/>
      <c r="H993" s="25"/>
      <c r="P993" s="25"/>
    </row>
    <row r="994" spans="2:16">
      <c r="B994" s="63"/>
      <c r="C994" s="63"/>
      <c r="D994" s="63"/>
      <c r="E994" s="63"/>
      <c r="F994" s="63"/>
      <c r="G994" s="63"/>
      <c r="H994" s="25"/>
      <c r="P994" s="25"/>
    </row>
    <row r="995" spans="2:16">
      <c r="B995" s="63"/>
      <c r="C995" s="63"/>
      <c r="D995" s="63"/>
      <c r="E995" s="63"/>
      <c r="F995" s="63"/>
      <c r="G995" s="63"/>
      <c r="H995" s="25"/>
      <c r="P995" s="25"/>
    </row>
    <row r="996" spans="2:16">
      <c r="B996" s="63"/>
      <c r="C996" s="63"/>
      <c r="D996" s="63"/>
      <c r="E996" s="63"/>
      <c r="F996" s="63"/>
      <c r="G996" s="63"/>
      <c r="H996" s="25"/>
      <c r="P996" s="25"/>
    </row>
    <row r="997" spans="2:16">
      <c r="B997" s="63"/>
      <c r="C997" s="63"/>
      <c r="D997" s="63"/>
      <c r="E997" s="63"/>
      <c r="F997" s="63"/>
      <c r="G997" s="63"/>
      <c r="H997" s="25"/>
      <c r="P997" s="25"/>
    </row>
    <row r="998" spans="2:16">
      <c r="B998" s="63"/>
      <c r="C998" s="63"/>
      <c r="D998" s="63"/>
      <c r="E998" s="63"/>
      <c r="F998" s="63"/>
      <c r="G998" s="63"/>
      <c r="H998" s="25"/>
      <c r="P998" s="25"/>
    </row>
    <row r="999" spans="2:16">
      <c r="B999" s="63"/>
      <c r="C999" s="63"/>
      <c r="D999" s="63"/>
      <c r="E999" s="63"/>
      <c r="F999" s="63"/>
      <c r="G999" s="63"/>
      <c r="H999" s="25"/>
      <c r="P999" s="25"/>
    </row>
    <row r="1000" spans="2:16">
      <c r="B1000" s="63"/>
      <c r="C1000" s="63"/>
      <c r="D1000" s="63"/>
      <c r="E1000" s="63"/>
      <c r="F1000" s="63"/>
      <c r="G1000" s="63"/>
      <c r="H1000" s="25"/>
      <c r="P1000" s="25"/>
    </row>
    <row r="1001" spans="2:16">
      <c r="B1001" s="63"/>
      <c r="C1001" s="63"/>
      <c r="D1001" s="63"/>
      <c r="E1001" s="63"/>
      <c r="F1001" s="63"/>
      <c r="G1001" s="63"/>
      <c r="H1001" s="25"/>
      <c r="P1001" s="25"/>
    </row>
    <row r="1002" spans="2:16">
      <c r="B1002" s="63"/>
      <c r="C1002" s="63"/>
      <c r="D1002" s="63"/>
      <c r="E1002" s="63"/>
      <c r="F1002" s="63"/>
      <c r="G1002" s="63"/>
      <c r="H1002" s="25"/>
      <c r="P1002" s="25"/>
    </row>
    <row r="1003" spans="2:16">
      <c r="B1003" s="63"/>
      <c r="C1003" s="63"/>
      <c r="D1003" s="63"/>
      <c r="E1003" s="63"/>
      <c r="F1003" s="63"/>
      <c r="G1003" s="63"/>
      <c r="H1003" s="25"/>
      <c r="P1003" s="25"/>
    </row>
    <row r="1004" spans="2:16">
      <c r="B1004" s="63"/>
      <c r="C1004" s="63"/>
      <c r="D1004" s="63"/>
      <c r="E1004" s="63"/>
      <c r="F1004" s="63"/>
      <c r="G1004" s="63"/>
      <c r="H1004" s="25"/>
      <c r="P1004" s="25"/>
    </row>
    <row r="1005" spans="2:16">
      <c r="B1005" s="63"/>
      <c r="C1005" s="63"/>
      <c r="D1005" s="63"/>
      <c r="E1005" s="63"/>
      <c r="F1005" s="63"/>
      <c r="G1005" s="63"/>
      <c r="H1005" s="25"/>
      <c r="P1005" s="25"/>
    </row>
    <row r="1006" spans="2:16">
      <c r="B1006" s="63"/>
      <c r="C1006" s="63"/>
      <c r="D1006" s="63"/>
      <c r="E1006" s="63"/>
      <c r="F1006" s="63"/>
      <c r="G1006" s="63"/>
      <c r="H1006" s="25"/>
      <c r="P1006" s="25"/>
    </row>
    <row r="1007" spans="2:16">
      <c r="B1007" s="63"/>
      <c r="C1007" s="63"/>
      <c r="D1007" s="63"/>
      <c r="E1007" s="63"/>
      <c r="F1007" s="63"/>
      <c r="G1007" s="63"/>
      <c r="H1007" s="25"/>
      <c r="P1007" s="25"/>
    </row>
    <row r="1008" spans="2:16">
      <c r="B1008" s="63"/>
      <c r="C1008" s="63"/>
      <c r="D1008" s="63"/>
      <c r="E1008" s="63"/>
      <c r="F1008" s="63"/>
      <c r="G1008" s="63"/>
      <c r="H1008" s="25"/>
      <c r="P1008" s="25"/>
    </row>
    <row r="1009" spans="2:16">
      <c r="B1009" s="63"/>
      <c r="C1009" s="63"/>
      <c r="D1009" s="63"/>
      <c r="E1009" s="63"/>
      <c r="F1009" s="63"/>
      <c r="G1009" s="63"/>
      <c r="H1009" s="25"/>
      <c r="P1009" s="25"/>
    </row>
    <row r="1010" spans="2:16">
      <c r="B1010" s="63"/>
      <c r="C1010" s="63"/>
      <c r="D1010" s="63"/>
      <c r="E1010" s="63"/>
      <c r="F1010" s="63"/>
      <c r="G1010" s="63"/>
      <c r="H1010" s="25"/>
      <c r="P1010" s="25"/>
    </row>
    <row r="1011" spans="2:16">
      <c r="B1011" s="63"/>
      <c r="C1011" s="63"/>
      <c r="D1011" s="63"/>
      <c r="E1011" s="63"/>
      <c r="F1011" s="63"/>
      <c r="G1011" s="63"/>
      <c r="H1011" s="25"/>
      <c r="P1011" s="25"/>
    </row>
    <row r="1012" spans="2:16">
      <c r="B1012" s="63"/>
      <c r="C1012" s="63"/>
      <c r="D1012" s="63"/>
      <c r="E1012" s="63"/>
      <c r="F1012" s="63"/>
      <c r="G1012" s="63"/>
      <c r="H1012" s="25"/>
      <c r="P1012" s="25"/>
    </row>
    <row r="1013" spans="2:16">
      <c r="B1013" s="63"/>
      <c r="C1013" s="63"/>
      <c r="D1013" s="63"/>
      <c r="E1013" s="63"/>
      <c r="F1013" s="63"/>
      <c r="G1013" s="63"/>
      <c r="H1013" s="25"/>
      <c r="P1013" s="25"/>
    </row>
    <row r="1014" spans="2:16">
      <c r="B1014" s="63"/>
      <c r="C1014" s="63"/>
      <c r="D1014" s="63"/>
      <c r="E1014" s="63"/>
      <c r="F1014" s="63"/>
      <c r="G1014" s="63"/>
      <c r="H1014" s="25"/>
      <c r="P1014" s="25"/>
    </row>
    <row r="1015" spans="2:16">
      <c r="B1015" s="63"/>
      <c r="C1015" s="63"/>
      <c r="D1015" s="63"/>
      <c r="E1015" s="63"/>
      <c r="F1015" s="63"/>
      <c r="G1015" s="63"/>
      <c r="H1015" s="25"/>
      <c r="P1015" s="25"/>
    </row>
    <row r="1016" spans="2:16">
      <c r="B1016" s="63"/>
      <c r="C1016" s="63"/>
      <c r="D1016" s="63"/>
      <c r="E1016" s="63"/>
      <c r="F1016" s="63"/>
      <c r="G1016" s="63"/>
      <c r="H1016" s="25"/>
      <c r="P1016" s="25"/>
    </row>
    <row r="1017" spans="2:16">
      <c r="B1017" s="63"/>
      <c r="C1017" s="63"/>
      <c r="D1017" s="63"/>
      <c r="E1017" s="63"/>
      <c r="F1017" s="63"/>
      <c r="G1017" s="63"/>
      <c r="H1017" s="25"/>
      <c r="P1017" s="25"/>
    </row>
    <row r="1018" spans="2:16">
      <c r="B1018" s="63"/>
      <c r="C1018" s="63"/>
      <c r="D1018" s="63"/>
      <c r="E1018" s="63"/>
      <c r="F1018" s="63"/>
      <c r="G1018" s="63"/>
      <c r="H1018" s="25"/>
      <c r="P1018" s="25"/>
    </row>
    <row r="1019" spans="2:16">
      <c r="B1019" s="63"/>
      <c r="C1019" s="63"/>
      <c r="D1019" s="63"/>
      <c r="E1019" s="63"/>
      <c r="F1019" s="63"/>
      <c r="G1019" s="63"/>
      <c r="H1019" s="25"/>
      <c r="P1019" s="25"/>
    </row>
    <row r="1020" spans="2:16">
      <c r="B1020" s="63"/>
      <c r="C1020" s="63"/>
      <c r="D1020" s="63"/>
      <c r="E1020" s="63"/>
      <c r="F1020" s="63"/>
      <c r="G1020" s="63"/>
      <c r="H1020" s="25"/>
      <c r="P1020" s="25"/>
    </row>
    <row r="1021" spans="2:16">
      <c r="B1021" s="63"/>
      <c r="C1021" s="63"/>
      <c r="D1021" s="63"/>
      <c r="E1021" s="63"/>
      <c r="F1021" s="63"/>
      <c r="G1021" s="63"/>
      <c r="H1021" s="25"/>
      <c r="P1021" s="25"/>
    </row>
    <row r="1022" spans="2:16">
      <c r="B1022" s="63"/>
      <c r="C1022" s="63"/>
      <c r="D1022" s="63"/>
      <c r="E1022" s="63"/>
      <c r="F1022" s="63"/>
      <c r="G1022" s="63"/>
      <c r="H1022" s="25"/>
      <c r="P1022" s="25"/>
    </row>
    <row r="1023" spans="2:16">
      <c r="B1023" s="63"/>
      <c r="C1023" s="63"/>
      <c r="D1023" s="63"/>
      <c r="E1023" s="63"/>
      <c r="F1023" s="63"/>
      <c r="G1023" s="63"/>
      <c r="H1023" s="25"/>
      <c r="P1023" s="25"/>
    </row>
    <row r="1024" spans="2:16">
      <c r="B1024" s="63"/>
      <c r="C1024" s="63"/>
      <c r="D1024" s="63"/>
      <c r="E1024" s="63"/>
      <c r="F1024" s="63"/>
      <c r="G1024" s="63"/>
      <c r="H1024" s="25"/>
      <c r="P1024" s="25"/>
    </row>
    <row r="1025" spans="2:16">
      <c r="B1025" s="63"/>
      <c r="C1025" s="63"/>
      <c r="D1025" s="63"/>
      <c r="E1025" s="63"/>
      <c r="F1025" s="63"/>
      <c r="G1025" s="63"/>
      <c r="H1025" s="25"/>
      <c r="P1025" s="25"/>
    </row>
    <row r="1026" spans="2:16">
      <c r="B1026" s="63"/>
      <c r="C1026" s="63"/>
      <c r="D1026" s="63"/>
      <c r="E1026" s="63"/>
      <c r="F1026" s="63"/>
      <c r="G1026" s="63"/>
      <c r="H1026" s="25"/>
      <c r="P1026" s="25"/>
    </row>
    <row r="1027" spans="2:16">
      <c r="B1027" s="63"/>
      <c r="C1027" s="63"/>
      <c r="D1027" s="63"/>
      <c r="E1027" s="63"/>
      <c r="F1027" s="63"/>
      <c r="G1027" s="63"/>
      <c r="H1027" s="25"/>
      <c r="P1027" s="25"/>
    </row>
    <row r="1028" spans="2:16">
      <c r="B1028" s="63"/>
      <c r="C1028" s="63"/>
      <c r="D1028" s="63"/>
      <c r="E1028" s="63"/>
      <c r="F1028" s="63"/>
      <c r="G1028" s="63"/>
      <c r="H1028" s="25"/>
      <c r="P1028" s="25"/>
    </row>
    <row r="1029" spans="2:16">
      <c r="B1029" s="63"/>
      <c r="C1029" s="63"/>
      <c r="D1029" s="63"/>
      <c r="E1029" s="63"/>
      <c r="F1029" s="63"/>
      <c r="G1029" s="63"/>
      <c r="H1029" s="25"/>
      <c r="P1029" s="25"/>
    </row>
    <row r="1030" spans="2:16">
      <c r="B1030" s="63"/>
      <c r="C1030" s="63"/>
      <c r="D1030" s="63"/>
      <c r="E1030" s="63"/>
      <c r="F1030" s="63"/>
      <c r="G1030" s="63"/>
      <c r="H1030" s="25"/>
      <c r="P1030" s="25"/>
    </row>
    <row r="1031" spans="2:16">
      <c r="B1031" s="63"/>
      <c r="C1031" s="63"/>
      <c r="D1031" s="63"/>
      <c r="E1031" s="63"/>
      <c r="F1031" s="63"/>
      <c r="G1031" s="63"/>
      <c r="H1031" s="25"/>
      <c r="P1031" s="25"/>
    </row>
    <row r="1032" spans="2:16">
      <c r="B1032" s="63"/>
      <c r="C1032" s="63"/>
      <c r="D1032" s="63"/>
      <c r="E1032" s="63"/>
      <c r="F1032" s="63"/>
      <c r="G1032" s="63"/>
      <c r="H1032" s="25"/>
      <c r="P1032" s="25"/>
    </row>
    <row r="1033" spans="2:16">
      <c r="B1033" s="63"/>
      <c r="C1033" s="63"/>
      <c r="D1033" s="63"/>
      <c r="E1033" s="63"/>
      <c r="F1033" s="63"/>
      <c r="G1033" s="63"/>
      <c r="H1033" s="25"/>
      <c r="P1033" s="25"/>
    </row>
    <row r="1034" spans="2:16">
      <c r="B1034" s="63"/>
      <c r="C1034" s="63"/>
      <c r="D1034" s="63"/>
      <c r="E1034" s="63"/>
      <c r="F1034" s="63"/>
      <c r="G1034" s="63"/>
      <c r="H1034" s="25"/>
      <c r="P1034" s="25"/>
    </row>
    <row r="1035" spans="2:16">
      <c r="B1035" s="63"/>
      <c r="C1035" s="63"/>
      <c r="D1035" s="63"/>
      <c r="E1035" s="63"/>
      <c r="F1035" s="63"/>
      <c r="G1035" s="63"/>
      <c r="H1035" s="25"/>
      <c r="P1035" s="25"/>
    </row>
    <row r="1036" spans="2:16">
      <c r="B1036" s="63"/>
      <c r="C1036" s="63"/>
      <c r="D1036" s="63"/>
      <c r="E1036" s="63"/>
      <c r="F1036" s="63"/>
      <c r="G1036" s="63"/>
      <c r="H1036" s="25"/>
      <c r="P1036" s="25"/>
    </row>
    <row r="1037" spans="2:16">
      <c r="B1037" s="63"/>
      <c r="C1037" s="63"/>
      <c r="D1037" s="63"/>
      <c r="E1037" s="63"/>
      <c r="F1037" s="63"/>
      <c r="G1037" s="63"/>
      <c r="H1037" s="25"/>
      <c r="P1037" s="25"/>
    </row>
    <row r="1038" spans="2:16">
      <c r="B1038" s="63"/>
      <c r="C1038" s="63"/>
      <c r="D1038" s="63"/>
      <c r="E1038" s="63"/>
      <c r="F1038" s="63"/>
      <c r="G1038" s="63"/>
      <c r="H1038" s="25"/>
      <c r="P1038" s="25"/>
    </row>
    <row r="1039" spans="2:16">
      <c r="B1039" s="63"/>
      <c r="C1039" s="63"/>
      <c r="D1039" s="63"/>
      <c r="E1039" s="63"/>
      <c r="F1039" s="63"/>
      <c r="G1039" s="63"/>
      <c r="H1039" s="25"/>
      <c r="P1039" s="25"/>
    </row>
    <row r="1040" spans="2:16">
      <c r="B1040" s="63"/>
      <c r="C1040" s="63"/>
      <c r="D1040" s="63"/>
      <c r="E1040" s="63"/>
      <c r="F1040" s="63"/>
      <c r="G1040" s="63"/>
      <c r="H1040" s="25"/>
      <c r="P1040" s="25"/>
    </row>
    <row r="1041" spans="2:16">
      <c r="B1041" s="63"/>
      <c r="C1041" s="63"/>
      <c r="D1041" s="63"/>
      <c r="E1041" s="63"/>
      <c r="F1041" s="63"/>
      <c r="G1041" s="63"/>
      <c r="H1041" s="25"/>
      <c r="P1041" s="25"/>
    </row>
    <row r="1042" spans="2:16">
      <c r="B1042" s="63"/>
      <c r="C1042" s="63"/>
      <c r="D1042" s="63"/>
      <c r="E1042" s="63"/>
      <c r="F1042" s="63"/>
      <c r="G1042" s="63"/>
      <c r="H1042" s="25"/>
      <c r="P1042" s="25"/>
    </row>
    <row r="1043" spans="2:16">
      <c r="B1043" s="63"/>
      <c r="C1043" s="63"/>
      <c r="D1043" s="63"/>
      <c r="E1043" s="63"/>
      <c r="F1043" s="63"/>
      <c r="G1043" s="63"/>
      <c r="H1043" s="25"/>
      <c r="P1043" s="25"/>
    </row>
    <row r="1044" spans="2:16">
      <c r="B1044" s="63"/>
      <c r="C1044" s="63"/>
      <c r="D1044" s="63"/>
      <c r="E1044" s="63"/>
      <c r="F1044" s="63"/>
      <c r="G1044" s="63"/>
      <c r="H1044" s="25"/>
      <c r="P1044" s="25"/>
    </row>
    <row r="1045" spans="2:16">
      <c r="B1045" s="63"/>
      <c r="C1045" s="63"/>
      <c r="D1045" s="63"/>
      <c r="E1045" s="63"/>
      <c r="F1045" s="63"/>
      <c r="G1045" s="63"/>
      <c r="H1045" s="25"/>
      <c r="P1045" s="25"/>
    </row>
    <row r="1046" spans="2:16">
      <c r="B1046" s="63"/>
      <c r="C1046" s="63"/>
      <c r="D1046" s="63"/>
      <c r="E1046" s="63"/>
      <c r="F1046" s="63"/>
      <c r="G1046" s="63"/>
      <c r="H1046" s="25"/>
      <c r="P1046" s="25"/>
    </row>
    <row r="1047" spans="2:16">
      <c r="B1047" s="63"/>
      <c r="C1047" s="63"/>
      <c r="D1047" s="63"/>
      <c r="E1047" s="63"/>
      <c r="F1047" s="63"/>
      <c r="G1047" s="63"/>
      <c r="H1047" s="25"/>
      <c r="P1047" s="25"/>
    </row>
    <row r="1048" spans="2:16">
      <c r="B1048" s="63"/>
      <c r="C1048" s="63"/>
      <c r="D1048" s="63"/>
      <c r="E1048" s="63"/>
      <c r="F1048" s="63"/>
      <c r="G1048" s="63"/>
      <c r="H1048" s="25"/>
      <c r="P1048" s="25"/>
    </row>
    <row r="1049" spans="2:16">
      <c r="B1049" s="63"/>
      <c r="C1049" s="63"/>
      <c r="D1049" s="63"/>
      <c r="E1049" s="63"/>
      <c r="F1049" s="63"/>
      <c r="G1049" s="63"/>
      <c r="H1049" s="25"/>
      <c r="P1049" s="25"/>
    </row>
    <row r="1050" spans="2:16">
      <c r="B1050" s="63"/>
      <c r="C1050" s="63"/>
      <c r="D1050" s="63"/>
      <c r="E1050" s="63"/>
      <c r="F1050" s="63"/>
      <c r="G1050" s="63"/>
      <c r="H1050" s="25"/>
      <c r="P1050" s="25"/>
    </row>
    <row r="1051" spans="2:16">
      <c r="B1051" s="63"/>
      <c r="C1051" s="63"/>
      <c r="D1051" s="63"/>
      <c r="E1051" s="63"/>
      <c r="F1051" s="63"/>
      <c r="G1051" s="63"/>
      <c r="H1051" s="25"/>
      <c r="P1051" s="25"/>
    </row>
    <row r="1052" spans="2:16">
      <c r="B1052" s="63"/>
      <c r="C1052" s="63"/>
      <c r="D1052" s="63"/>
      <c r="E1052" s="63"/>
      <c r="F1052" s="63"/>
      <c r="G1052" s="63"/>
      <c r="H1052" s="25"/>
      <c r="P1052" s="25"/>
    </row>
    <row r="1053" spans="2:16">
      <c r="B1053" s="63"/>
      <c r="C1053" s="63"/>
      <c r="D1053" s="63"/>
      <c r="E1053" s="63"/>
      <c r="F1053" s="63"/>
      <c r="G1053" s="63"/>
      <c r="H1053" s="25"/>
      <c r="P1053" s="25"/>
    </row>
    <row r="1054" spans="2:16">
      <c r="B1054" s="63"/>
      <c r="C1054" s="63"/>
      <c r="D1054" s="63"/>
      <c r="E1054" s="63"/>
      <c r="F1054" s="63"/>
      <c r="G1054" s="63"/>
      <c r="H1054" s="25"/>
      <c r="P1054" s="25"/>
    </row>
    <row r="1055" spans="2:16">
      <c r="B1055" s="63"/>
      <c r="C1055" s="63"/>
      <c r="D1055" s="63"/>
      <c r="E1055" s="63"/>
      <c r="F1055" s="63"/>
      <c r="G1055" s="63"/>
      <c r="H1055" s="25"/>
      <c r="P1055" s="25"/>
    </row>
    <row r="1056" spans="2:16">
      <c r="B1056" s="63"/>
      <c r="C1056" s="63"/>
      <c r="D1056" s="63"/>
      <c r="E1056" s="63"/>
      <c r="F1056" s="63"/>
      <c r="G1056" s="63"/>
      <c r="H1056" s="25"/>
      <c r="P1056" s="25"/>
    </row>
    <row r="1057" spans="2:16">
      <c r="B1057" s="63"/>
      <c r="C1057" s="63"/>
      <c r="D1057" s="63"/>
      <c r="E1057" s="63"/>
      <c r="F1057" s="63"/>
      <c r="G1057" s="63"/>
      <c r="H1057" s="25"/>
      <c r="P1057" s="25"/>
    </row>
    <row r="1058" spans="2:16">
      <c r="B1058" s="63"/>
      <c r="C1058" s="63"/>
      <c r="D1058" s="63"/>
      <c r="E1058" s="63"/>
      <c r="F1058" s="63"/>
      <c r="G1058" s="63"/>
      <c r="H1058" s="25"/>
      <c r="P1058" s="25"/>
    </row>
    <row r="1059" spans="2:16">
      <c r="B1059" s="63"/>
      <c r="C1059" s="63"/>
      <c r="D1059" s="63"/>
      <c r="E1059" s="63"/>
      <c r="F1059" s="63"/>
      <c r="G1059" s="63"/>
      <c r="H1059" s="25"/>
      <c r="P1059" s="25"/>
    </row>
    <row r="1060" spans="2:16">
      <c r="B1060" s="63"/>
      <c r="C1060" s="63"/>
      <c r="D1060" s="63"/>
      <c r="E1060" s="63"/>
      <c r="F1060" s="63"/>
      <c r="G1060" s="63"/>
      <c r="H1060" s="25"/>
      <c r="P1060" s="25"/>
    </row>
    <row r="1061" spans="2:16">
      <c r="B1061" s="63"/>
      <c r="C1061" s="63"/>
      <c r="D1061" s="63"/>
      <c r="E1061" s="63"/>
      <c r="F1061" s="63"/>
      <c r="G1061" s="63"/>
      <c r="H1061" s="25"/>
      <c r="P1061" s="25"/>
    </row>
    <row r="1062" spans="2:16">
      <c r="B1062" s="63"/>
      <c r="C1062" s="63"/>
      <c r="D1062" s="63"/>
      <c r="E1062" s="63"/>
      <c r="F1062" s="63"/>
      <c r="G1062" s="63"/>
      <c r="H1062" s="25"/>
      <c r="P1062" s="25"/>
    </row>
    <row r="1063" spans="2:16">
      <c r="B1063" s="63"/>
      <c r="C1063" s="63"/>
      <c r="D1063" s="63"/>
      <c r="E1063" s="63"/>
      <c r="F1063" s="63"/>
      <c r="G1063" s="63"/>
      <c r="H1063" s="25"/>
      <c r="P1063" s="25"/>
    </row>
    <row r="1064" spans="2:16">
      <c r="B1064" s="63"/>
      <c r="C1064" s="63"/>
      <c r="D1064" s="63"/>
      <c r="E1064" s="63"/>
      <c r="F1064" s="63"/>
      <c r="G1064" s="63"/>
      <c r="H1064" s="25"/>
      <c r="P1064" s="25"/>
    </row>
    <row r="1065" spans="2:16">
      <c r="B1065" s="63"/>
      <c r="C1065" s="63"/>
      <c r="D1065" s="63"/>
      <c r="E1065" s="63"/>
      <c r="F1065" s="63"/>
      <c r="G1065" s="63"/>
      <c r="H1065" s="25"/>
      <c r="P1065" s="25"/>
    </row>
    <row r="1066" spans="2:16">
      <c r="B1066" s="63"/>
      <c r="C1066" s="63"/>
      <c r="D1066" s="63"/>
      <c r="E1066" s="63"/>
      <c r="F1066" s="63"/>
      <c r="G1066" s="63"/>
      <c r="H1066" s="25"/>
      <c r="P1066" s="25"/>
    </row>
    <row r="1067" spans="2:16">
      <c r="B1067" s="63"/>
      <c r="C1067" s="63"/>
      <c r="D1067" s="63"/>
      <c r="E1067" s="63"/>
      <c r="F1067" s="63"/>
      <c r="G1067" s="63"/>
      <c r="H1067" s="25"/>
      <c r="P1067" s="25"/>
    </row>
    <row r="1068" spans="2:16">
      <c r="B1068" s="63"/>
      <c r="C1068" s="63"/>
      <c r="D1068" s="63"/>
      <c r="E1068" s="63"/>
      <c r="F1068" s="63"/>
      <c r="G1068" s="63"/>
      <c r="H1068" s="25"/>
      <c r="P1068" s="25"/>
    </row>
    <row r="1069" spans="2:16">
      <c r="B1069" s="63"/>
      <c r="C1069" s="63"/>
      <c r="D1069" s="63"/>
      <c r="E1069" s="63"/>
      <c r="F1069" s="63"/>
      <c r="G1069" s="63"/>
      <c r="H1069" s="25"/>
      <c r="P1069" s="25"/>
    </row>
    <row r="1070" spans="2:16">
      <c r="B1070" s="63"/>
      <c r="C1070" s="63"/>
      <c r="D1070" s="63"/>
      <c r="E1070" s="63"/>
      <c r="F1070" s="63"/>
      <c r="G1070" s="63"/>
      <c r="H1070" s="25"/>
      <c r="P1070" s="25"/>
    </row>
    <row r="1071" spans="2:16">
      <c r="B1071" s="63"/>
      <c r="C1071" s="63"/>
      <c r="D1071" s="63"/>
      <c r="E1071" s="63"/>
      <c r="F1071" s="63"/>
      <c r="G1071" s="63"/>
      <c r="H1071" s="25"/>
      <c r="P1071" s="25"/>
    </row>
    <row r="1072" spans="2:16">
      <c r="B1072" s="63"/>
      <c r="C1072" s="63"/>
      <c r="D1072" s="63"/>
      <c r="E1072" s="63"/>
      <c r="F1072" s="63"/>
      <c r="G1072" s="63"/>
      <c r="H1072" s="25"/>
      <c r="P1072" s="25"/>
    </row>
    <row r="1073" spans="2:16">
      <c r="B1073" s="63"/>
      <c r="C1073" s="63"/>
      <c r="D1073" s="63"/>
      <c r="E1073" s="63"/>
      <c r="F1073" s="63"/>
      <c r="G1073" s="63"/>
      <c r="H1073" s="25"/>
      <c r="P1073" s="25"/>
    </row>
    <row r="1074" spans="2:16">
      <c r="B1074" s="63"/>
      <c r="C1074" s="63"/>
      <c r="D1074" s="63"/>
      <c r="E1074" s="63"/>
      <c r="F1074" s="63"/>
      <c r="G1074" s="63"/>
      <c r="H1074" s="25"/>
      <c r="P1074" s="25"/>
    </row>
    <row r="1075" spans="2:16">
      <c r="B1075" s="63"/>
      <c r="C1075" s="63"/>
      <c r="D1075" s="63"/>
      <c r="E1075" s="63"/>
      <c r="F1075" s="63"/>
      <c r="G1075" s="63"/>
      <c r="H1075" s="25"/>
      <c r="P1075" s="25"/>
    </row>
    <row r="1076" spans="2:16">
      <c r="B1076" s="63"/>
      <c r="C1076" s="63"/>
      <c r="D1076" s="63"/>
      <c r="E1076" s="63"/>
      <c r="F1076" s="63"/>
      <c r="G1076" s="63"/>
      <c r="H1076" s="25"/>
      <c r="P1076" s="25"/>
    </row>
    <row r="1077" spans="2:16">
      <c r="B1077" s="63"/>
      <c r="C1077" s="63"/>
      <c r="D1077" s="63"/>
      <c r="E1077" s="63"/>
      <c r="F1077" s="63"/>
      <c r="G1077" s="63"/>
      <c r="H1077" s="25"/>
      <c r="P1077" s="25"/>
    </row>
    <row r="1078" spans="2:16">
      <c r="B1078" s="63"/>
      <c r="C1078" s="63"/>
      <c r="D1078" s="63"/>
      <c r="E1078" s="63"/>
      <c r="F1078" s="63"/>
      <c r="G1078" s="63"/>
      <c r="H1078" s="25"/>
      <c r="P1078" s="25"/>
    </row>
    <row r="1079" spans="2:16">
      <c r="B1079" s="63"/>
      <c r="C1079" s="63"/>
      <c r="D1079" s="63"/>
      <c r="E1079" s="63"/>
      <c r="F1079" s="63"/>
      <c r="G1079" s="63"/>
      <c r="H1079" s="25"/>
      <c r="P1079" s="25"/>
    </row>
    <row r="1080" spans="2:16">
      <c r="B1080" s="63"/>
      <c r="C1080" s="63"/>
      <c r="D1080" s="63"/>
      <c r="E1080" s="63"/>
      <c r="F1080" s="63"/>
      <c r="G1080" s="63"/>
      <c r="H1080" s="25"/>
      <c r="P1080" s="25"/>
    </row>
    <row r="1081" spans="2:16">
      <c r="B1081" s="63"/>
      <c r="C1081" s="63"/>
      <c r="D1081" s="63"/>
      <c r="E1081" s="63"/>
      <c r="F1081" s="63"/>
      <c r="G1081" s="63"/>
      <c r="H1081" s="25"/>
      <c r="P1081" s="25"/>
    </row>
    <row r="1082" spans="2:16">
      <c r="B1082" s="63"/>
      <c r="C1082" s="63"/>
      <c r="D1082" s="63"/>
      <c r="E1082" s="63"/>
      <c r="F1082" s="63"/>
      <c r="G1082" s="63"/>
      <c r="H1082" s="25"/>
      <c r="P1082" s="25"/>
    </row>
    <row r="1083" spans="2:16">
      <c r="B1083" s="63"/>
      <c r="C1083" s="63"/>
      <c r="D1083" s="63"/>
      <c r="E1083" s="63"/>
      <c r="F1083" s="63"/>
      <c r="G1083" s="63"/>
      <c r="H1083" s="25"/>
      <c r="P1083" s="25"/>
    </row>
    <row r="1084" spans="2:16">
      <c r="B1084" s="63"/>
      <c r="C1084" s="63"/>
      <c r="D1084" s="63"/>
      <c r="E1084" s="63"/>
      <c r="F1084" s="63"/>
      <c r="G1084" s="63"/>
      <c r="H1084" s="25"/>
      <c r="P1084" s="25"/>
    </row>
    <row r="1085" spans="2:16">
      <c r="B1085" s="63"/>
      <c r="C1085" s="63"/>
      <c r="D1085" s="63"/>
      <c r="E1085" s="63"/>
      <c r="F1085" s="63"/>
      <c r="G1085" s="63"/>
      <c r="H1085" s="25"/>
      <c r="P1085" s="25"/>
    </row>
    <row r="1086" spans="2:16">
      <c r="B1086" s="63"/>
      <c r="C1086" s="63"/>
      <c r="D1086" s="63"/>
      <c r="E1086" s="63"/>
      <c r="F1086" s="63"/>
      <c r="G1086" s="63"/>
      <c r="H1086" s="25"/>
      <c r="P1086" s="25"/>
    </row>
    <row r="1087" spans="2:16">
      <c r="B1087" s="63"/>
      <c r="C1087" s="63"/>
      <c r="D1087" s="63"/>
      <c r="E1087" s="63"/>
      <c r="F1087" s="63"/>
      <c r="G1087" s="63"/>
      <c r="H1087" s="25"/>
      <c r="P1087" s="25"/>
    </row>
    <row r="1088" spans="2:16">
      <c r="B1088" s="63"/>
      <c r="C1088" s="63"/>
      <c r="D1088" s="63"/>
      <c r="E1088" s="63"/>
      <c r="F1088" s="63"/>
      <c r="G1088" s="63"/>
      <c r="H1088" s="25"/>
      <c r="P1088" s="25"/>
    </row>
    <row r="1089" spans="2:16">
      <c r="B1089" s="63"/>
      <c r="C1089" s="63"/>
      <c r="D1089" s="63"/>
      <c r="E1089" s="63"/>
      <c r="F1089" s="63"/>
      <c r="G1089" s="63"/>
      <c r="H1089" s="25"/>
      <c r="P1089" s="25"/>
    </row>
    <row r="1090" spans="2:16">
      <c r="B1090" s="63"/>
      <c r="C1090" s="63"/>
      <c r="D1090" s="63"/>
      <c r="E1090" s="63"/>
      <c r="F1090" s="63"/>
      <c r="G1090" s="63"/>
      <c r="H1090" s="25"/>
      <c r="P1090" s="25"/>
    </row>
    <row r="1091" spans="2:16">
      <c r="B1091" s="63"/>
      <c r="C1091" s="63"/>
      <c r="D1091" s="63"/>
      <c r="E1091" s="63"/>
      <c r="F1091" s="63"/>
      <c r="G1091" s="63"/>
      <c r="H1091" s="25"/>
      <c r="P1091" s="25"/>
    </row>
    <row r="1092" spans="2:16">
      <c r="B1092" s="63"/>
      <c r="C1092" s="63"/>
      <c r="D1092" s="63"/>
      <c r="E1092" s="63"/>
      <c r="F1092" s="63"/>
      <c r="G1092" s="63"/>
      <c r="H1092" s="25"/>
      <c r="P1092" s="25"/>
    </row>
    <row r="1093" spans="2:16">
      <c r="B1093" s="63"/>
      <c r="C1093" s="63"/>
      <c r="D1093" s="63"/>
      <c r="E1093" s="63"/>
      <c r="F1093" s="63"/>
      <c r="G1093" s="63"/>
      <c r="H1093" s="25"/>
      <c r="P1093" s="25"/>
    </row>
    <row r="1094" spans="2:16">
      <c r="B1094" s="63"/>
      <c r="C1094" s="63"/>
      <c r="D1094" s="63"/>
      <c r="E1094" s="63"/>
      <c r="F1094" s="63"/>
      <c r="G1094" s="63"/>
      <c r="H1094" s="25"/>
      <c r="P1094" s="25"/>
    </row>
    <row r="1095" spans="2:16">
      <c r="B1095" s="63"/>
      <c r="C1095" s="63"/>
      <c r="D1095" s="63"/>
      <c r="E1095" s="63"/>
      <c r="F1095" s="63"/>
      <c r="G1095" s="63"/>
      <c r="H1095" s="25"/>
      <c r="P1095" s="25"/>
    </row>
    <row r="1096" spans="2:16">
      <c r="B1096" s="63"/>
      <c r="C1096" s="63"/>
      <c r="D1096" s="63"/>
      <c r="E1096" s="63"/>
      <c r="F1096" s="63"/>
      <c r="G1096" s="63"/>
      <c r="H1096" s="25"/>
      <c r="P1096" s="25"/>
    </row>
    <row r="1097" spans="2:16">
      <c r="B1097" s="63"/>
      <c r="C1097" s="63"/>
      <c r="D1097" s="63"/>
      <c r="E1097" s="63"/>
      <c r="F1097" s="63"/>
      <c r="G1097" s="63"/>
      <c r="H1097" s="25"/>
      <c r="P1097" s="25"/>
    </row>
    <row r="1098" spans="2:16">
      <c r="B1098" s="63"/>
      <c r="C1098" s="63"/>
      <c r="D1098" s="63"/>
      <c r="E1098" s="63"/>
      <c r="F1098" s="63"/>
      <c r="G1098" s="63"/>
      <c r="H1098" s="25"/>
      <c r="P1098" s="25"/>
    </row>
    <row r="1099" spans="2:16">
      <c r="B1099" s="63"/>
      <c r="C1099" s="63"/>
      <c r="D1099" s="63"/>
      <c r="E1099" s="63"/>
      <c r="F1099" s="63"/>
      <c r="G1099" s="63"/>
      <c r="H1099" s="25"/>
      <c r="P1099" s="25"/>
    </row>
    <row r="1100" spans="2:16">
      <c r="B1100" s="63"/>
      <c r="C1100" s="63"/>
      <c r="D1100" s="63"/>
      <c r="E1100" s="63"/>
      <c r="F1100" s="63"/>
      <c r="G1100" s="63"/>
      <c r="H1100" s="25"/>
      <c r="P1100" s="25"/>
    </row>
    <row r="1101" spans="2:16">
      <c r="B1101" s="63"/>
      <c r="C1101" s="63"/>
      <c r="D1101" s="63"/>
      <c r="E1101" s="63"/>
      <c r="F1101" s="63"/>
      <c r="G1101" s="63"/>
      <c r="H1101" s="25"/>
      <c r="P1101" s="25"/>
    </row>
    <row r="1102" spans="2:16">
      <c r="B1102" s="63"/>
      <c r="C1102" s="63"/>
      <c r="D1102" s="63"/>
      <c r="E1102" s="63"/>
      <c r="F1102" s="63"/>
      <c r="G1102" s="63"/>
      <c r="H1102" s="25"/>
      <c r="P1102" s="25"/>
    </row>
    <row r="1103" spans="2:16">
      <c r="B1103" s="63"/>
      <c r="C1103" s="63"/>
      <c r="D1103" s="63"/>
      <c r="E1103" s="63"/>
      <c r="F1103" s="63"/>
      <c r="G1103" s="63"/>
      <c r="H1103" s="25"/>
      <c r="P1103" s="25"/>
    </row>
    <row r="1104" spans="2:16">
      <c r="B1104" s="63"/>
      <c r="C1104" s="63"/>
      <c r="D1104" s="63"/>
      <c r="E1104" s="63"/>
      <c r="F1104" s="63"/>
      <c r="G1104" s="63"/>
      <c r="H1104" s="25"/>
      <c r="P1104" s="25"/>
    </row>
    <row r="1105" spans="2:16">
      <c r="B1105" s="63"/>
      <c r="C1105" s="63"/>
      <c r="D1105" s="63"/>
      <c r="E1105" s="63"/>
      <c r="F1105" s="63"/>
      <c r="G1105" s="63"/>
      <c r="H1105" s="25"/>
      <c r="P1105" s="25"/>
    </row>
    <row r="1106" spans="2:16">
      <c r="B1106" s="63"/>
      <c r="C1106" s="63"/>
      <c r="D1106" s="63"/>
      <c r="E1106" s="63"/>
      <c r="F1106" s="63"/>
      <c r="G1106" s="63"/>
      <c r="H1106" s="25"/>
      <c r="P1106" s="25"/>
    </row>
    <row r="1107" spans="2:16">
      <c r="B1107" s="63"/>
      <c r="C1107" s="63"/>
      <c r="D1107" s="63"/>
      <c r="E1107" s="63"/>
      <c r="F1107" s="63"/>
      <c r="G1107" s="63"/>
      <c r="H1107" s="25"/>
      <c r="P1107" s="25"/>
    </row>
    <row r="1108" spans="2:16">
      <c r="B1108" s="63"/>
      <c r="C1108" s="63"/>
      <c r="D1108" s="63"/>
      <c r="E1108" s="63"/>
      <c r="F1108" s="63"/>
      <c r="G1108" s="63"/>
      <c r="H1108" s="25"/>
      <c r="P1108" s="25"/>
    </row>
    <row r="1109" spans="2:16">
      <c r="B1109" s="63"/>
      <c r="C1109" s="63"/>
      <c r="D1109" s="63"/>
      <c r="E1109" s="63"/>
      <c r="F1109" s="63"/>
      <c r="G1109" s="63"/>
      <c r="H1109" s="25"/>
      <c r="P1109" s="25"/>
    </row>
    <row r="1110" spans="2:16">
      <c r="B1110" s="63"/>
      <c r="C1110" s="63"/>
      <c r="D1110" s="63"/>
      <c r="E1110" s="63"/>
      <c r="F1110" s="63"/>
      <c r="G1110" s="63"/>
      <c r="H1110" s="25"/>
      <c r="P1110" s="25"/>
    </row>
    <row r="1111" spans="2:16">
      <c r="B1111" s="63"/>
      <c r="C1111" s="63"/>
      <c r="D1111" s="63"/>
      <c r="E1111" s="63"/>
      <c r="F1111" s="63"/>
      <c r="G1111" s="63"/>
      <c r="H1111" s="25"/>
      <c r="P1111" s="25"/>
    </row>
    <row r="1112" spans="2:16">
      <c r="B1112" s="63"/>
      <c r="C1112" s="63"/>
      <c r="D1112" s="63"/>
      <c r="E1112" s="63"/>
      <c r="F1112" s="63"/>
      <c r="G1112" s="63"/>
      <c r="H1112" s="25"/>
      <c r="P1112" s="25"/>
    </row>
    <row r="1113" spans="2:16">
      <c r="B1113" s="63"/>
      <c r="C1113" s="63"/>
      <c r="D1113" s="63"/>
      <c r="E1113" s="63"/>
      <c r="F1113" s="63"/>
      <c r="G1113" s="63"/>
      <c r="H1113" s="25"/>
      <c r="P1113" s="25"/>
    </row>
    <row r="1114" spans="2:16">
      <c r="B1114" s="63"/>
      <c r="C1114" s="63"/>
      <c r="D1114" s="63"/>
      <c r="E1114" s="63"/>
      <c r="F1114" s="63"/>
      <c r="G1114" s="63"/>
      <c r="H1114" s="25"/>
      <c r="P1114" s="25"/>
    </row>
    <row r="1115" spans="2:16">
      <c r="B1115" s="63"/>
      <c r="C1115" s="63"/>
      <c r="D1115" s="63"/>
      <c r="E1115" s="63"/>
      <c r="F1115" s="63"/>
      <c r="G1115" s="63"/>
      <c r="H1115" s="25"/>
      <c r="P1115" s="25"/>
    </row>
    <row r="1116" spans="2:16">
      <c r="B1116" s="63"/>
      <c r="C1116" s="63"/>
      <c r="D1116" s="63"/>
      <c r="E1116" s="63"/>
      <c r="F1116" s="63"/>
      <c r="G1116" s="63"/>
      <c r="H1116" s="25"/>
      <c r="P1116" s="25"/>
    </row>
    <row r="1117" spans="2:16">
      <c r="B1117" s="63"/>
      <c r="C1117" s="63"/>
      <c r="D1117" s="63"/>
      <c r="E1117" s="63"/>
      <c r="F1117" s="63"/>
      <c r="G1117" s="63"/>
      <c r="H1117" s="25"/>
      <c r="P1117" s="25"/>
    </row>
    <row r="1118" spans="2:16">
      <c r="B1118" s="63"/>
      <c r="C1118" s="63"/>
      <c r="D1118" s="63"/>
      <c r="E1118" s="63"/>
      <c r="F1118" s="63"/>
      <c r="G1118" s="63"/>
      <c r="H1118" s="25"/>
      <c r="P1118" s="25"/>
    </row>
    <row r="1119" spans="2:16">
      <c r="B1119" s="63"/>
      <c r="C1119" s="63"/>
      <c r="D1119" s="63"/>
      <c r="E1119" s="63"/>
      <c r="F1119" s="63"/>
      <c r="G1119" s="63"/>
      <c r="H1119" s="25"/>
      <c r="P1119" s="25"/>
    </row>
    <row r="1120" spans="2:16">
      <c r="B1120" s="63"/>
      <c r="C1120" s="63"/>
      <c r="D1120" s="63"/>
      <c r="E1120" s="63"/>
      <c r="F1120" s="63"/>
      <c r="G1120" s="63"/>
      <c r="H1120" s="25"/>
      <c r="P1120" s="25"/>
    </row>
    <row r="1121" spans="2:16">
      <c r="B1121" s="63"/>
      <c r="C1121" s="63"/>
      <c r="D1121" s="63"/>
      <c r="E1121" s="63"/>
      <c r="F1121" s="63"/>
      <c r="G1121" s="63"/>
      <c r="H1121" s="25"/>
      <c r="P1121" s="25"/>
    </row>
    <row r="1122" spans="2:16">
      <c r="B1122" s="63"/>
      <c r="C1122" s="63"/>
      <c r="D1122" s="63"/>
      <c r="E1122" s="63"/>
      <c r="F1122" s="63"/>
      <c r="G1122" s="63"/>
      <c r="H1122" s="25"/>
      <c r="P1122" s="25"/>
    </row>
    <row r="1123" spans="2:16">
      <c r="B1123" s="63"/>
      <c r="C1123" s="63"/>
      <c r="D1123" s="63"/>
      <c r="E1123" s="63"/>
      <c r="F1123" s="63"/>
      <c r="G1123" s="63"/>
      <c r="H1123" s="25"/>
      <c r="P1123" s="25"/>
    </row>
    <row r="1124" spans="2:16">
      <c r="B1124" s="63"/>
      <c r="C1124" s="63"/>
      <c r="D1124" s="63"/>
      <c r="E1124" s="63"/>
      <c r="F1124" s="63"/>
      <c r="G1124" s="63"/>
      <c r="H1124" s="25"/>
      <c r="P1124" s="25"/>
    </row>
    <row r="1125" spans="2:16">
      <c r="B1125" s="63"/>
      <c r="C1125" s="63"/>
      <c r="D1125" s="63"/>
      <c r="E1125" s="63"/>
      <c r="F1125" s="63"/>
      <c r="G1125" s="63"/>
      <c r="H1125" s="25"/>
      <c r="P1125" s="25"/>
    </row>
    <row r="1126" spans="2:16">
      <c r="B1126" s="63"/>
      <c r="C1126" s="63"/>
      <c r="D1126" s="63"/>
      <c r="E1126" s="63"/>
      <c r="F1126" s="63"/>
      <c r="G1126" s="63"/>
      <c r="H1126" s="25"/>
      <c r="P1126" s="25"/>
    </row>
    <row r="1127" spans="2:16">
      <c r="B1127" s="63"/>
      <c r="C1127" s="63"/>
      <c r="D1127" s="63"/>
      <c r="E1127" s="63"/>
      <c r="F1127" s="63"/>
      <c r="G1127" s="63"/>
      <c r="H1127" s="25"/>
      <c r="P1127" s="25"/>
    </row>
    <row r="1128" spans="2:16">
      <c r="B1128" s="63"/>
      <c r="C1128" s="63"/>
      <c r="D1128" s="63"/>
      <c r="E1128" s="63"/>
      <c r="F1128" s="63"/>
      <c r="G1128" s="63"/>
      <c r="H1128" s="25"/>
      <c r="P1128" s="25"/>
    </row>
    <row r="1129" spans="2:16">
      <c r="B1129" s="63"/>
      <c r="C1129" s="63"/>
      <c r="D1129" s="63"/>
      <c r="E1129" s="63"/>
      <c r="F1129" s="63"/>
      <c r="G1129" s="63"/>
      <c r="H1129" s="25"/>
      <c r="P1129" s="25"/>
    </row>
    <row r="1130" spans="2:16">
      <c r="B1130" s="63"/>
      <c r="C1130" s="63"/>
      <c r="D1130" s="63"/>
      <c r="E1130" s="63"/>
      <c r="F1130" s="63"/>
      <c r="G1130" s="63"/>
      <c r="H1130" s="25"/>
      <c r="P1130" s="25"/>
    </row>
    <row r="1131" spans="2:16">
      <c r="B1131" s="63"/>
      <c r="C1131" s="63"/>
      <c r="D1131" s="63"/>
      <c r="E1131" s="63"/>
      <c r="F1131" s="63"/>
      <c r="G1131" s="63"/>
      <c r="H1131" s="25"/>
      <c r="P1131" s="25"/>
    </row>
    <row r="1132" spans="2:16">
      <c r="B1132" s="63"/>
      <c r="C1132" s="63"/>
      <c r="D1132" s="63"/>
      <c r="E1132" s="63"/>
      <c r="F1132" s="63"/>
      <c r="G1132" s="63"/>
      <c r="H1132" s="25"/>
      <c r="P1132" s="25"/>
    </row>
    <row r="1133" spans="2:16">
      <c r="B1133" s="63"/>
      <c r="C1133" s="63"/>
      <c r="D1133" s="63"/>
      <c r="E1133" s="63"/>
      <c r="F1133" s="63"/>
      <c r="G1133" s="63"/>
      <c r="H1133" s="25"/>
      <c r="P1133" s="25"/>
    </row>
    <row r="1134" spans="2:16">
      <c r="B1134" s="63"/>
      <c r="C1134" s="63"/>
      <c r="D1134" s="63"/>
      <c r="E1134" s="63"/>
      <c r="F1134" s="63"/>
      <c r="G1134" s="63"/>
      <c r="H1134" s="25"/>
      <c r="P1134" s="25"/>
    </row>
    <row r="1135" spans="2:16">
      <c r="B1135" s="63"/>
      <c r="C1135" s="63"/>
      <c r="D1135" s="63"/>
      <c r="E1135" s="63"/>
      <c r="F1135" s="63"/>
      <c r="G1135" s="63"/>
      <c r="H1135" s="25"/>
      <c r="P1135" s="25"/>
    </row>
    <row r="1136" spans="2:16">
      <c r="B1136" s="63"/>
      <c r="C1136" s="63"/>
      <c r="D1136" s="63"/>
      <c r="E1136" s="63"/>
      <c r="F1136" s="63"/>
      <c r="G1136" s="63"/>
      <c r="H1136" s="25"/>
      <c r="P1136" s="25"/>
    </row>
    <row r="1137" spans="2:16">
      <c r="B1137" s="63"/>
      <c r="C1137" s="63"/>
      <c r="D1137" s="63"/>
      <c r="E1137" s="63"/>
      <c r="F1137" s="63"/>
      <c r="G1137" s="63"/>
      <c r="H1137" s="25"/>
      <c r="P1137" s="25"/>
    </row>
    <row r="1138" spans="2:16">
      <c r="B1138" s="63"/>
      <c r="C1138" s="63"/>
      <c r="D1138" s="63"/>
      <c r="E1138" s="63"/>
      <c r="F1138" s="63"/>
      <c r="G1138" s="63"/>
      <c r="H1138" s="25"/>
      <c r="P1138" s="25"/>
    </row>
    <row r="1139" spans="2:16">
      <c r="B1139" s="63"/>
      <c r="C1139" s="63"/>
      <c r="D1139" s="63"/>
      <c r="E1139" s="63"/>
      <c r="F1139" s="63"/>
      <c r="G1139" s="63"/>
      <c r="H1139" s="25"/>
      <c r="P1139" s="25"/>
    </row>
    <row r="1140" spans="2:16">
      <c r="B1140" s="63"/>
      <c r="C1140" s="63"/>
      <c r="D1140" s="63"/>
      <c r="E1140" s="63"/>
      <c r="F1140" s="63"/>
      <c r="G1140" s="63"/>
      <c r="H1140" s="25"/>
      <c r="P1140" s="25"/>
    </row>
    <row r="1141" spans="2:16">
      <c r="B1141" s="63"/>
      <c r="C1141" s="63"/>
      <c r="D1141" s="63"/>
      <c r="E1141" s="63"/>
      <c r="F1141" s="63"/>
      <c r="G1141" s="63"/>
      <c r="H1141" s="25"/>
      <c r="P1141" s="25"/>
    </row>
    <row r="1142" spans="2:16">
      <c r="B1142" s="63"/>
      <c r="C1142" s="63"/>
      <c r="D1142" s="63"/>
      <c r="E1142" s="63"/>
      <c r="F1142" s="63"/>
      <c r="G1142" s="63"/>
      <c r="H1142" s="25"/>
      <c r="P1142" s="25"/>
    </row>
    <row r="1143" spans="2:16">
      <c r="B1143" s="63"/>
      <c r="C1143" s="63"/>
      <c r="D1143" s="63"/>
      <c r="E1143" s="63"/>
      <c r="F1143" s="63"/>
      <c r="G1143" s="63"/>
      <c r="H1143" s="25"/>
      <c r="P1143" s="25"/>
    </row>
    <row r="1144" spans="2:16">
      <c r="B1144" s="63"/>
      <c r="C1144" s="63"/>
      <c r="D1144" s="63"/>
      <c r="E1144" s="63"/>
      <c r="F1144" s="63"/>
      <c r="G1144" s="63"/>
      <c r="H1144" s="25"/>
      <c r="P1144" s="25"/>
    </row>
    <row r="1145" spans="2:16">
      <c r="B1145" s="63"/>
      <c r="C1145" s="63"/>
      <c r="D1145" s="63"/>
      <c r="E1145" s="63"/>
      <c r="F1145" s="63"/>
      <c r="G1145" s="63"/>
      <c r="H1145" s="25"/>
      <c r="P1145" s="25"/>
    </row>
    <row r="1146" spans="2:16">
      <c r="B1146" s="63"/>
      <c r="C1146" s="63"/>
      <c r="D1146" s="63"/>
      <c r="E1146" s="63"/>
      <c r="F1146" s="63"/>
      <c r="G1146" s="63"/>
      <c r="H1146" s="25"/>
      <c r="P1146" s="25"/>
    </row>
    <row r="1147" spans="2:16">
      <c r="B1147" s="63"/>
      <c r="C1147" s="63"/>
      <c r="D1147" s="63"/>
      <c r="E1147" s="63"/>
      <c r="F1147" s="63"/>
      <c r="G1147" s="63"/>
      <c r="H1147" s="25"/>
      <c r="P1147" s="25"/>
    </row>
    <row r="1148" spans="2:16">
      <c r="B1148" s="63"/>
      <c r="C1148" s="63"/>
      <c r="D1148" s="63"/>
      <c r="E1148" s="63"/>
      <c r="F1148" s="63"/>
      <c r="G1148" s="63"/>
      <c r="H1148" s="25"/>
      <c r="P1148" s="25"/>
    </row>
    <row r="1149" spans="2:16">
      <c r="B1149" s="63"/>
      <c r="C1149" s="63"/>
      <c r="D1149" s="63"/>
      <c r="E1149" s="63"/>
      <c r="F1149" s="63"/>
      <c r="G1149" s="63"/>
      <c r="H1149" s="25"/>
      <c r="P1149" s="25"/>
    </row>
    <row r="1150" spans="2:16">
      <c r="B1150" s="63"/>
      <c r="C1150" s="63"/>
      <c r="D1150" s="63"/>
      <c r="E1150" s="63"/>
      <c r="F1150" s="63"/>
      <c r="G1150" s="63"/>
      <c r="H1150" s="25"/>
      <c r="P1150" s="25"/>
    </row>
    <row r="1151" spans="2:16">
      <c r="B1151" s="63"/>
      <c r="C1151" s="63"/>
      <c r="D1151" s="63"/>
      <c r="E1151" s="63"/>
      <c r="F1151" s="63"/>
      <c r="G1151" s="63"/>
      <c r="H1151" s="25"/>
      <c r="P1151" s="25"/>
    </row>
    <row r="1152" spans="2:16">
      <c r="B1152" s="63"/>
      <c r="C1152" s="63"/>
      <c r="D1152" s="63"/>
      <c r="E1152" s="63"/>
      <c r="F1152" s="63"/>
      <c r="G1152" s="63"/>
      <c r="H1152" s="25"/>
      <c r="P1152" s="25"/>
    </row>
    <row r="1153" spans="2:16">
      <c r="B1153" s="63"/>
      <c r="C1153" s="63"/>
      <c r="D1153" s="63"/>
      <c r="E1153" s="63"/>
      <c r="F1153" s="63"/>
      <c r="G1153" s="63"/>
      <c r="H1153" s="25"/>
      <c r="P1153" s="25"/>
    </row>
    <row r="1154" spans="2:16">
      <c r="B1154" s="63"/>
      <c r="C1154" s="63"/>
      <c r="D1154" s="63"/>
      <c r="E1154" s="63"/>
      <c r="F1154" s="63"/>
      <c r="G1154" s="63"/>
      <c r="H1154" s="25"/>
      <c r="P1154" s="25"/>
    </row>
    <row r="1155" spans="2:16">
      <c r="B1155" s="63"/>
      <c r="C1155" s="63"/>
      <c r="D1155" s="63"/>
      <c r="E1155" s="63"/>
      <c r="F1155" s="63"/>
      <c r="G1155" s="63"/>
      <c r="H1155" s="25"/>
      <c r="P1155" s="25"/>
    </row>
    <row r="1156" spans="2:16">
      <c r="B1156" s="63"/>
      <c r="C1156" s="63"/>
      <c r="D1156" s="63"/>
      <c r="E1156" s="63"/>
      <c r="F1156" s="63"/>
      <c r="G1156" s="63"/>
      <c r="H1156" s="25"/>
      <c r="P1156" s="25"/>
    </row>
    <row r="1157" spans="2:16">
      <c r="B1157" s="63"/>
      <c r="C1157" s="63"/>
      <c r="D1157" s="63"/>
      <c r="E1157" s="63"/>
      <c r="F1157" s="63"/>
      <c r="G1157" s="63"/>
      <c r="H1157" s="25"/>
      <c r="P1157" s="25"/>
    </row>
    <row r="1158" spans="2:16">
      <c r="B1158" s="63"/>
      <c r="C1158" s="63"/>
      <c r="D1158" s="63"/>
      <c r="E1158" s="63"/>
      <c r="F1158" s="63"/>
      <c r="G1158" s="63"/>
      <c r="H1158" s="25"/>
      <c r="P1158" s="25"/>
    </row>
    <row r="1159" spans="2:16">
      <c r="B1159" s="63"/>
      <c r="C1159" s="63"/>
      <c r="D1159" s="63"/>
      <c r="E1159" s="63"/>
      <c r="F1159" s="63"/>
      <c r="G1159" s="63"/>
      <c r="H1159" s="25"/>
      <c r="P1159" s="25"/>
    </row>
    <row r="1160" spans="2:16">
      <c r="B1160" s="63"/>
      <c r="C1160" s="63"/>
      <c r="D1160" s="63"/>
      <c r="E1160" s="63"/>
      <c r="F1160" s="63"/>
      <c r="G1160" s="63"/>
      <c r="H1160" s="25"/>
      <c r="P1160" s="25"/>
    </row>
    <row r="1161" spans="2:16">
      <c r="B1161" s="63"/>
      <c r="C1161" s="63"/>
      <c r="D1161" s="63"/>
      <c r="E1161" s="63"/>
      <c r="F1161" s="63"/>
      <c r="G1161" s="63"/>
      <c r="H1161" s="25"/>
      <c r="P1161" s="25"/>
    </row>
    <row r="1162" spans="2:16">
      <c r="B1162" s="63"/>
      <c r="C1162" s="63"/>
      <c r="D1162" s="63"/>
      <c r="E1162" s="63"/>
      <c r="F1162" s="63"/>
      <c r="G1162" s="63"/>
      <c r="H1162" s="25"/>
      <c r="P1162" s="25"/>
    </row>
    <row r="1163" spans="2:16">
      <c r="B1163" s="63"/>
      <c r="C1163" s="63"/>
      <c r="D1163" s="63"/>
      <c r="E1163" s="63"/>
      <c r="F1163" s="63"/>
      <c r="G1163" s="63"/>
      <c r="H1163" s="25"/>
      <c r="P1163" s="25"/>
    </row>
    <row r="1164" spans="2:16">
      <c r="B1164" s="63"/>
      <c r="C1164" s="63"/>
      <c r="D1164" s="63"/>
      <c r="E1164" s="63"/>
      <c r="F1164" s="63"/>
      <c r="G1164" s="63"/>
      <c r="H1164" s="25"/>
      <c r="P1164" s="25"/>
    </row>
    <row r="1165" spans="2:16">
      <c r="B1165" s="63"/>
      <c r="C1165" s="63"/>
      <c r="D1165" s="63"/>
      <c r="E1165" s="63"/>
      <c r="F1165" s="63"/>
      <c r="G1165" s="63"/>
      <c r="H1165" s="25"/>
      <c r="P1165" s="25"/>
    </row>
    <row r="1166" spans="2:16">
      <c r="B1166" s="63"/>
      <c r="C1166" s="63"/>
      <c r="D1166" s="63"/>
      <c r="E1166" s="63"/>
      <c r="F1166" s="63"/>
      <c r="G1166" s="63"/>
      <c r="H1166" s="25"/>
      <c r="P1166" s="25"/>
    </row>
    <row r="1167" spans="2:16">
      <c r="B1167" s="63"/>
      <c r="C1167" s="63"/>
      <c r="D1167" s="63"/>
      <c r="E1167" s="63"/>
      <c r="F1167" s="63"/>
      <c r="G1167" s="63"/>
      <c r="H1167" s="25"/>
      <c r="P1167" s="25"/>
    </row>
    <row r="1168" spans="2:16">
      <c r="B1168" s="63"/>
      <c r="C1168" s="63"/>
      <c r="D1168" s="63"/>
      <c r="E1168" s="63"/>
      <c r="F1168" s="63"/>
      <c r="G1168" s="63"/>
      <c r="H1168" s="25"/>
      <c r="P1168" s="25"/>
    </row>
    <row r="1169" spans="2:16">
      <c r="B1169" s="63"/>
      <c r="C1169" s="63"/>
      <c r="D1169" s="63"/>
      <c r="E1169" s="63"/>
      <c r="F1169" s="63"/>
      <c r="G1169" s="63"/>
      <c r="H1169" s="25"/>
      <c r="P1169" s="25"/>
    </row>
    <row r="1170" spans="2:16">
      <c r="B1170" s="63"/>
      <c r="C1170" s="63"/>
      <c r="D1170" s="63"/>
      <c r="E1170" s="63"/>
      <c r="F1170" s="63"/>
      <c r="G1170" s="63"/>
      <c r="H1170" s="25"/>
      <c r="P1170" s="25"/>
    </row>
    <row r="1171" spans="2:16">
      <c r="B1171" s="63"/>
      <c r="C1171" s="63"/>
      <c r="D1171" s="63"/>
      <c r="E1171" s="63"/>
      <c r="F1171" s="63"/>
      <c r="G1171" s="63"/>
      <c r="H1171" s="25"/>
      <c r="P1171" s="25"/>
    </row>
    <row r="1172" spans="2:16">
      <c r="B1172" s="63"/>
      <c r="C1172" s="63"/>
      <c r="D1172" s="63"/>
      <c r="E1172" s="63"/>
      <c r="F1172" s="63"/>
      <c r="G1172" s="63"/>
      <c r="H1172" s="25"/>
      <c r="P1172" s="25"/>
    </row>
    <row r="1173" spans="2:16">
      <c r="B1173" s="63"/>
      <c r="C1173" s="63"/>
      <c r="D1173" s="63"/>
      <c r="E1173" s="63"/>
      <c r="F1173" s="63"/>
      <c r="G1173" s="63"/>
      <c r="H1173" s="25"/>
      <c r="P1173" s="25"/>
    </row>
    <row r="1174" spans="2:16">
      <c r="B1174" s="63"/>
      <c r="C1174" s="63"/>
      <c r="D1174" s="63"/>
      <c r="E1174" s="63"/>
      <c r="F1174" s="63"/>
      <c r="G1174" s="63"/>
      <c r="H1174" s="25"/>
      <c r="P1174" s="25"/>
    </row>
    <row r="1175" spans="2:16">
      <c r="B1175" s="63"/>
      <c r="C1175" s="63"/>
      <c r="D1175" s="63"/>
      <c r="E1175" s="63"/>
      <c r="F1175" s="63"/>
      <c r="G1175" s="63"/>
      <c r="H1175" s="25"/>
      <c r="P1175" s="25"/>
    </row>
    <row r="1176" spans="2:16">
      <c r="B1176" s="63"/>
      <c r="C1176" s="63"/>
      <c r="D1176" s="63"/>
      <c r="E1176" s="63"/>
      <c r="F1176" s="63"/>
      <c r="G1176" s="63"/>
      <c r="H1176" s="25"/>
      <c r="P1176" s="25"/>
    </row>
    <row r="1177" spans="2:16">
      <c r="B1177" s="63"/>
      <c r="C1177" s="63"/>
      <c r="D1177" s="63"/>
      <c r="E1177" s="63"/>
      <c r="F1177" s="63"/>
      <c r="G1177" s="63"/>
      <c r="H1177" s="25"/>
      <c r="P1177" s="25"/>
    </row>
    <row r="1178" spans="2:16">
      <c r="B1178" s="63"/>
      <c r="C1178" s="63"/>
      <c r="D1178" s="63"/>
      <c r="E1178" s="63"/>
      <c r="F1178" s="63"/>
      <c r="G1178" s="63"/>
      <c r="H1178" s="25"/>
      <c r="P1178" s="25"/>
    </row>
    <row r="1179" spans="2:16">
      <c r="B1179" s="63"/>
      <c r="C1179" s="63"/>
      <c r="D1179" s="63"/>
      <c r="E1179" s="63"/>
      <c r="F1179" s="63"/>
      <c r="G1179" s="63"/>
      <c r="H1179" s="25"/>
      <c r="P1179" s="25"/>
    </row>
    <row r="1180" spans="2:16">
      <c r="B1180" s="63"/>
      <c r="C1180" s="63"/>
      <c r="D1180" s="63"/>
      <c r="E1180" s="63"/>
      <c r="F1180" s="63"/>
      <c r="G1180" s="63"/>
      <c r="H1180" s="25"/>
      <c r="P1180" s="25"/>
    </row>
    <row r="1181" spans="2:16">
      <c r="B1181" s="63"/>
      <c r="C1181" s="63"/>
      <c r="D1181" s="63"/>
      <c r="E1181" s="63"/>
      <c r="F1181" s="63"/>
      <c r="G1181" s="63"/>
      <c r="H1181" s="25"/>
      <c r="P1181" s="25"/>
    </row>
    <row r="1182" spans="2:16">
      <c r="B1182" s="63"/>
      <c r="C1182" s="63"/>
      <c r="D1182" s="63"/>
      <c r="E1182" s="63"/>
      <c r="F1182" s="63"/>
      <c r="G1182" s="63"/>
      <c r="H1182" s="25"/>
      <c r="P1182" s="25"/>
    </row>
    <row r="1183" spans="2:16">
      <c r="B1183" s="63"/>
      <c r="C1183" s="63"/>
      <c r="D1183" s="63"/>
      <c r="E1183" s="63"/>
      <c r="F1183" s="63"/>
      <c r="G1183" s="63"/>
      <c r="H1183" s="25"/>
      <c r="P1183" s="25"/>
    </row>
    <row r="1184" spans="2:16">
      <c r="B1184" s="63"/>
      <c r="C1184" s="63"/>
      <c r="D1184" s="63"/>
      <c r="E1184" s="63"/>
      <c r="F1184" s="63"/>
      <c r="G1184" s="63"/>
      <c r="H1184" s="25"/>
      <c r="P1184" s="25"/>
    </row>
    <row r="1185" spans="2:16">
      <c r="B1185" s="63"/>
      <c r="C1185" s="63"/>
      <c r="D1185" s="63"/>
      <c r="E1185" s="63"/>
      <c r="F1185" s="63"/>
      <c r="G1185" s="63"/>
      <c r="H1185" s="25"/>
      <c r="P1185" s="25"/>
    </row>
    <row r="1186" spans="2:16">
      <c r="B1186" s="63"/>
      <c r="C1186" s="63"/>
      <c r="D1186" s="63"/>
      <c r="E1186" s="63"/>
      <c r="F1186" s="63"/>
      <c r="G1186" s="63"/>
      <c r="H1186" s="25"/>
      <c r="P1186" s="25"/>
    </row>
    <row r="1187" spans="2:16">
      <c r="B1187" s="63"/>
      <c r="C1187" s="63"/>
      <c r="D1187" s="63"/>
      <c r="E1187" s="63"/>
      <c r="F1187" s="63"/>
      <c r="G1187" s="63"/>
      <c r="H1187" s="25"/>
      <c r="P1187" s="25"/>
    </row>
    <row r="1188" spans="2:16">
      <c r="B1188" s="63"/>
      <c r="C1188" s="63"/>
      <c r="D1188" s="63"/>
      <c r="E1188" s="63"/>
      <c r="F1188" s="63"/>
      <c r="G1188" s="63"/>
      <c r="H1188" s="25"/>
      <c r="P1188" s="25"/>
    </row>
    <row r="1189" spans="2:16">
      <c r="B1189" s="63"/>
      <c r="C1189" s="63"/>
      <c r="D1189" s="63"/>
      <c r="E1189" s="63"/>
      <c r="F1189" s="63"/>
      <c r="G1189" s="63"/>
      <c r="H1189" s="25"/>
      <c r="P1189" s="25"/>
    </row>
    <row r="1190" spans="2:16">
      <c r="B1190" s="63"/>
      <c r="C1190" s="63"/>
      <c r="D1190" s="63"/>
      <c r="E1190" s="63"/>
      <c r="F1190" s="63"/>
      <c r="G1190" s="63"/>
      <c r="H1190" s="25"/>
      <c r="P1190" s="25"/>
    </row>
    <row r="1191" spans="2:16">
      <c r="B1191" s="63"/>
      <c r="C1191" s="63"/>
      <c r="D1191" s="63"/>
      <c r="E1191" s="63"/>
      <c r="F1191" s="63"/>
      <c r="G1191" s="63"/>
      <c r="H1191" s="25"/>
      <c r="P1191" s="25"/>
    </row>
    <row r="1192" spans="2:16">
      <c r="B1192" s="63"/>
      <c r="C1192" s="63"/>
      <c r="D1192" s="63"/>
      <c r="E1192" s="63"/>
      <c r="F1192" s="63"/>
      <c r="G1192" s="63"/>
      <c r="H1192" s="25"/>
      <c r="P1192" s="25"/>
    </row>
    <row r="1193" spans="2:16">
      <c r="B1193" s="63"/>
      <c r="C1193" s="63"/>
      <c r="D1193" s="63"/>
      <c r="E1193" s="63"/>
      <c r="F1193" s="63"/>
      <c r="G1193" s="63"/>
      <c r="H1193" s="25"/>
      <c r="P1193" s="25"/>
    </row>
    <row r="1194" spans="2:16">
      <c r="B1194" s="63"/>
      <c r="C1194" s="63"/>
      <c r="D1194" s="63"/>
      <c r="E1194" s="63"/>
      <c r="F1194" s="63"/>
      <c r="G1194" s="63"/>
      <c r="H1194" s="25"/>
      <c r="P1194" s="25"/>
    </row>
    <row r="1195" spans="2:16">
      <c r="B1195" s="63"/>
      <c r="C1195" s="63"/>
      <c r="D1195" s="63"/>
      <c r="E1195" s="63"/>
      <c r="F1195" s="63"/>
      <c r="G1195" s="63"/>
      <c r="H1195" s="25"/>
      <c r="P1195" s="25"/>
    </row>
    <row r="1196" spans="2:16">
      <c r="B1196" s="63"/>
      <c r="C1196" s="63"/>
      <c r="D1196" s="63"/>
      <c r="E1196" s="63"/>
      <c r="F1196" s="63"/>
      <c r="G1196" s="63"/>
      <c r="H1196" s="25"/>
      <c r="P1196" s="25"/>
    </row>
    <row r="1197" spans="2:16">
      <c r="B1197" s="63"/>
      <c r="C1197" s="63"/>
      <c r="D1197" s="63"/>
      <c r="E1197" s="63"/>
      <c r="F1197" s="63"/>
      <c r="G1197" s="63"/>
      <c r="H1197" s="25"/>
      <c r="P1197" s="25"/>
    </row>
    <row r="1198" spans="2:16">
      <c r="B1198" s="63"/>
      <c r="C1198" s="63"/>
      <c r="D1198" s="63"/>
      <c r="E1198" s="63"/>
      <c r="F1198" s="63"/>
      <c r="G1198" s="63"/>
      <c r="H1198" s="25"/>
      <c r="P1198" s="25"/>
    </row>
    <row r="1199" spans="2:16">
      <c r="B1199" s="63"/>
      <c r="C1199" s="63"/>
      <c r="D1199" s="63"/>
      <c r="E1199" s="63"/>
      <c r="F1199" s="63"/>
      <c r="G1199" s="63"/>
      <c r="H1199" s="25"/>
      <c r="P1199" s="25"/>
    </row>
    <row r="1200" spans="2:16">
      <c r="B1200" s="63"/>
      <c r="C1200" s="63"/>
      <c r="D1200" s="63"/>
      <c r="E1200" s="63"/>
      <c r="F1200" s="63"/>
      <c r="G1200" s="63"/>
      <c r="H1200" s="25"/>
      <c r="P1200" s="25"/>
    </row>
    <row r="1201" spans="2:16">
      <c r="B1201" s="63"/>
      <c r="C1201" s="63"/>
      <c r="D1201" s="63"/>
      <c r="E1201" s="63"/>
      <c r="F1201" s="63"/>
      <c r="G1201" s="63"/>
      <c r="H1201" s="25"/>
      <c r="P1201" s="25"/>
    </row>
    <row r="1202" spans="2:16">
      <c r="B1202" s="63"/>
      <c r="C1202" s="63"/>
      <c r="D1202" s="63"/>
      <c r="E1202" s="63"/>
      <c r="F1202" s="63"/>
      <c r="G1202" s="63"/>
      <c r="H1202" s="25"/>
      <c r="P1202" s="25"/>
    </row>
    <row r="1203" spans="2:16">
      <c r="B1203" s="63"/>
      <c r="C1203" s="63"/>
      <c r="D1203" s="63"/>
      <c r="E1203" s="63"/>
      <c r="F1203" s="63"/>
      <c r="G1203" s="63"/>
      <c r="H1203" s="25"/>
      <c r="P1203" s="25"/>
    </row>
    <row r="1204" spans="2:16">
      <c r="B1204" s="63"/>
      <c r="C1204" s="63"/>
      <c r="D1204" s="63"/>
      <c r="E1204" s="63"/>
      <c r="F1204" s="63"/>
      <c r="G1204" s="63"/>
      <c r="H1204" s="25"/>
      <c r="P1204" s="25"/>
    </row>
    <row r="1205" spans="2:16">
      <c r="B1205" s="63"/>
      <c r="C1205" s="63"/>
      <c r="D1205" s="63"/>
      <c r="E1205" s="63"/>
      <c r="F1205" s="63"/>
      <c r="G1205" s="63"/>
      <c r="H1205" s="25"/>
      <c r="P1205" s="25"/>
    </row>
    <row r="1206" spans="2:16">
      <c r="B1206" s="63"/>
      <c r="C1206" s="63"/>
      <c r="D1206" s="63"/>
      <c r="E1206" s="63"/>
      <c r="F1206" s="63"/>
      <c r="G1206" s="63"/>
      <c r="H1206" s="25"/>
      <c r="P1206" s="25"/>
    </row>
    <row r="1207" spans="2:16">
      <c r="B1207" s="63"/>
      <c r="C1207" s="63"/>
      <c r="D1207" s="63"/>
      <c r="E1207" s="63"/>
      <c r="F1207" s="63"/>
      <c r="G1207" s="63"/>
      <c r="H1207" s="25"/>
      <c r="P1207" s="25"/>
    </row>
    <row r="1208" spans="2:16">
      <c r="B1208" s="63"/>
      <c r="C1208" s="63"/>
      <c r="D1208" s="63"/>
      <c r="E1208" s="63"/>
      <c r="F1208" s="63"/>
      <c r="G1208" s="63"/>
      <c r="H1208" s="25"/>
      <c r="P1208" s="25"/>
    </row>
    <row r="1209" spans="2:16">
      <c r="B1209" s="63"/>
      <c r="C1209" s="63"/>
      <c r="D1209" s="63"/>
      <c r="E1209" s="63"/>
      <c r="F1209" s="63"/>
      <c r="G1209" s="63"/>
      <c r="H1209" s="25"/>
      <c r="P1209" s="25"/>
    </row>
    <row r="1210" spans="2:16">
      <c r="B1210" s="63"/>
      <c r="C1210" s="63"/>
      <c r="D1210" s="63"/>
      <c r="E1210" s="63"/>
      <c r="F1210" s="63"/>
      <c r="G1210" s="63"/>
      <c r="H1210" s="25"/>
      <c r="P1210" s="25"/>
    </row>
    <row r="1211" spans="2:16">
      <c r="B1211" s="63"/>
      <c r="C1211" s="63"/>
      <c r="D1211" s="63"/>
      <c r="E1211" s="63"/>
      <c r="F1211" s="63"/>
      <c r="G1211" s="63"/>
      <c r="H1211" s="25"/>
      <c r="P1211" s="25"/>
    </row>
    <row r="1212" spans="2:16">
      <c r="B1212" s="63"/>
      <c r="C1212" s="63"/>
      <c r="D1212" s="63"/>
      <c r="E1212" s="63"/>
      <c r="F1212" s="63"/>
      <c r="G1212" s="63"/>
      <c r="H1212" s="25"/>
      <c r="P1212" s="25"/>
    </row>
    <row r="1213" spans="2:16">
      <c r="B1213" s="63"/>
      <c r="C1213" s="63"/>
      <c r="D1213" s="63"/>
      <c r="E1213" s="63"/>
      <c r="F1213" s="63"/>
      <c r="G1213" s="63"/>
      <c r="H1213" s="25"/>
      <c r="P1213" s="25"/>
    </row>
    <row r="1214" spans="2:16">
      <c r="B1214" s="63"/>
      <c r="C1214" s="63"/>
      <c r="D1214" s="63"/>
      <c r="E1214" s="63"/>
      <c r="F1214" s="63"/>
      <c r="G1214" s="63"/>
      <c r="H1214" s="25"/>
      <c r="P1214" s="25"/>
    </row>
    <row r="1215" spans="2:16">
      <c r="B1215" s="63"/>
      <c r="C1215" s="63"/>
      <c r="D1215" s="63"/>
      <c r="E1215" s="63"/>
      <c r="F1215" s="63"/>
      <c r="G1215" s="63"/>
      <c r="H1215" s="25"/>
      <c r="P1215" s="25"/>
    </row>
    <row r="1216" spans="2:16">
      <c r="B1216" s="63"/>
      <c r="C1216" s="63"/>
      <c r="D1216" s="63"/>
      <c r="E1216" s="63"/>
      <c r="F1216" s="63"/>
      <c r="G1216" s="63"/>
      <c r="H1216" s="25"/>
      <c r="P1216" s="25"/>
    </row>
    <row r="1217" spans="2:16">
      <c r="B1217" s="63"/>
      <c r="C1217" s="63"/>
      <c r="D1217" s="63"/>
      <c r="E1217" s="63"/>
      <c r="F1217" s="63"/>
      <c r="G1217" s="63"/>
      <c r="H1217" s="25"/>
      <c r="P1217" s="25"/>
    </row>
    <row r="1218" spans="2:16">
      <c r="B1218" s="63"/>
      <c r="C1218" s="63"/>
      <c r="D1218" s="63"/>
      <c r="E1218" s="63"/>
      <c r="F1218" s="63"/>
      <c r="G1218" s="63"/>
      <c r="H1218" s="25"/>
      <c r="P1218" s="25"/>
    </row>
    <row r="1219" spans="2:16">
      <c r="B1219" s="63"/>
      <c r="C1219" s="63"/>
      <c r="D1219" s="63"/>
      <c r="E1219" s="63"/>
      <c r="F1219" s="63"/>
      <c r="G1219" s="63"/>
      <c r="H1219" s="25"/>
      <c r="P1219" s="25"/>
    </row>
    <row r="1220" spans="2:16">
      <c r="B1220" s="63"/>
      <c r="C1220" s="63"/>
      <c r="D1220" s="63"/>
      <c r="E1220" s="63"/>
      <c r="F1220" s="63"/>
      <c r="G1220" s="63"/>
      <c r="H1220" s="25"/>
      <c r="P1220" s="25"/>
    </row>
    <row r="1221" spans="2:16">
      <c r="B1221" s="63"/>
      <c r="C1221" s="63"/>
      <c r="D1221" s="63"/>
      <c r="E1221" s="63"/>
      <c r="F1221" s="63"/>
      <c r="G1221" s="63"/>
      <c r="H1221" s="25"/>
      <c r="P1221" s="25"/>
    </row>
    <row r="1222" spans="2:16">
      <c r="B1222" s="63"/>
      <c r="C1222" s="63"/>
      <c r="D1222" s="63"/>
      <c r="E1222" s="63"/>
      <c r="F1222" s="63"/>
      <c r="G1222" s="63"/>
      <c r="H1222" s="25"/>
      <c r="P1222" s="25"/>
    </row>
    <row r="1223" spans="2:16">
      <c r="B1223" s="63"/>
      <c r="C1223" s="63"/>
      <c r="D1223" s="63"/>
      <c r="E1223" s="63"/>
      <c r="F1223" s="63"/>
      <c r="G1223" s="63"/>
      <c r="H1223" s="25"/>
      <c r="P1223" s="25"/>
    </row>
    <row r="1224" spans="2:16">
      <c r="B1224" s="63"/>
      <c r="C1224" s="63"/>
      <c r="D1224" s="63"/>
      <c r="E1224" s="63"/>
      <c r="F1224" s="63"/>
      <c r="G1224" s="63"/>
      <c r="H1224" s="25"/>
      <c r="P1224" s="25"/>
    </row>
    <row r="1225" spans="2:16">
      <c r="B1225" s="63"/>
      <c r="C1225" s="63"/>
      <c r="D1225" s="63"/>
      <c r="E1225" s="63"/>
      <c r="F1225" s="63"/>
      <c r="G1225" s="63"/>
      <c r="H1225" s="25"/>
      <c r="P1225" s="25"/>
    </row>
    <row r="1226" spans="2:16">
      <c r="B1226" s="63"/>
      <c r="C1226" s="63"/>
      <c r="D1226" s="63"/>
      <c r="E1226" s="63"/>
      <c r="F1226" s="63"/>
      <c r="G1226" s="63"/>
      <c r="H1226" s="25"/>
      <c r="P1226" s="25"/>
    </row>
    <row r="1227" spans="2:16">
      <c r="B1227" s="63"/>
      <c r="C1227" s="63"/>
      <c r="D1227" s="63"/>
      <c r="E1227" s="63"/>
      <c r="F1227" s="63"/>
      <c r="G1227" s="63"/>
      <c r="H1227" s="25"/>
      <c r="P1227" s="25"/>
    </row>
    <row r="1228" spans="2:16">
      <c r="B1228" s="63"/>
      <c r="C1228" s="63"/>
      <c r="D1228" s="63"/>
      <c r="E1228" s="63"/>
      <c r="F1228" s="63"/>
      <c r="G1228" s="63"/>
      <c r="H1228" s="25"/>
      <c r="P1228" s="25"/>
    </row>
    <row r="1229" spans="2:16">
      <c r="B1229" s="63"/>
      <c r="C1229" s="63"/>
      <c r="D1229" s="63"/>
      <c r="E1229" s="63"/>
      <c r="F1229" s="63"/>
      <c r="G1229" s="63"/>
      <c r="H1229" s="25"/>
      <c r="P1229" s="25"/>
    </row>
    <row r="1230" spans="2:16">
      <c r="B1230" s="63"/>
      <c r="C1230" s="63"/>
      <c r="D1230" s="63"/>
      <c r="E1230" s="63"/>
      <c r="F1230" s="63"/>
      <c r="G1230" s="63"/>
      <c r="H1230" s="25"/>
      <c r="P1230" s="25"/>
    </row>
    <row r="1231" spans="2:16">
      <c r="B1231" s="63"/>
      <c r="C1231" s="63"/>
      <c r="D1231" s="63"/>
      <c r="E1231" s="63"/>
      <c r="F1231" s="63"/>
      <c r="G1231" s="63"/>
      <c r="H1231" s="25"/>
      <c r="P1231" s="25"/>
    </row>
    <row r="1232" spans="2:16">
      <c r="B1232" s="63"/>
      <c r="C1232" s="63"/>
      <c r="D1232" s="63"/>
      <c r="E1232" s="63"/>
      <c r="F1232" s="63"/>
      <c r="G1232" s="63"/>
      <c r="H1232" s="25"/>
      <c r="P1232" s="25"/>
    </row>
    <row r="1233" spans="2:16">
      <c r="B1233" s="63"/>
      <c r="C1233" s="63"/>
      <c r="D1233" s="63"/>
      <c r="E1233" s="63"/>
      <c r="F1233" s="63"/>
      <c r="G1233" s="63"/>
      <c r="H1233" s="25"/>
      <c r="P1233" s="25"/>
    </row>
    <row r="1234" spans="2:16">
      <c r="B1234" s="63"/>
      <c r="C1234" s="63"/>
      <c r="D1234" s="63"/>
      <c r="E1234" s="63"/>
      <c r="F1234" s="63"/>
      <c r="G1234" s="63"/>
      <c r="H1234" s="25"/>
      <c r="P1234" s="25"/>
    </row>
    <row r="1235" spans="2:16">
      <c r="B1235" s="63"/>
      <c r="C1235" s="63"/>
      <c r="D1235" s="63"/>
      <c r="E1235" s="63"/>
      <c r="F1235" s="63"/>
      <c r="G1235" s="63"/>
      <c r="H1235" s="25"/>
      <c r="P1235" s="25"/>
    </row>
    <row r="1236" spans="2:16">
      <c r="B1236" s="63"/>
      <c r="C1236" s="63"/>
      <c r="D1236" s="63"/>
      <c r="E1236" s="63"/>
      <c r="F1236" s="63"/>
      <c r="G1236" s="63"/>
      <c r="H1236" s="25"/>
      <c r="P1236" s="25"/>
    </row>
    <row r="1237" spans="2:16">
      <c r="B1237" s="63"/>
      <c r="C1237" s="63"/>
      <c r="D1237" s="63"/>
      <c r="E1237" s="63"/>
      <c r="F1237" s="63"/>
      <c r="G1237" s="63"/>
      <c r="H1237" s="25"/>
      <c r="P1237" s="25"/>
    </row>
    <row r="1238" spans="2:16">
      <c r="B1238" s="63"/>
      <c r="C1238" s="63"/>
      <c r="D1238" s="63"/>
      <c r="E1238" s="63"/>
      <c r="F1238" s="63"/>
      <c r="G1238" s="63"/>
      <c r="H1238" s="25"/>
      <c r="P1238" s="25"/>
    </row>
    <row r="1239" spans="2:16">
      <c r="B1239" s="63"/>
      <c r="C1239" s="63"/>
      <c r="D1239" s="63"/>
      <c r="E1239" s="63"/>
      <c r="F1239" s="63"/>
      <c r="G1239" s="63"/>
      <c r="H1239" s="25"/>
      <c r="P1239" s="25"/>
    </row>
    <row r="1240" spans="2:16">
      <c r="B1240" s="63"/>
      <c r="C1240" s="63"/>
      <c r="D1240" s="63"/>
      <c r="E1240" s="63"/>
      <c r="F1240" s="63"/>
      <c r="G1240" s="63"/>
      <c r="H1240" s="25"/>
      <c r="P1240" s="25"/>
    </row>
    <row r="1241" spans="2:16">
      <c r="B1241" s="63"/>
      <c r="C1241" s="63"/>
      <c r="D1241" s="63"/>
      <c r="E1241" s="63"/>
      <c r="F1241" s="63"/>
      <c r="G1241" s="63"/>
      <c r="H1241" s="25"/>
      <c r="P1241" s="25"/>
    </row>
    <row r="1242" spans="2:16">
      <c r="B1242" s="63"/>
      <c r="C1242" s="63"/>
      <c r="D1242" s="63"/>
      <c r="E1242" s="63"/>
      <c r="F1242" s="63"/>
      <c r="G1242" s="63"/>
      <c r="H1242" s="25"/>
      <c r="P1242" s="25"/>
    </row>
    <row r="1243" spans="2:16">
      <c r="B1243" s="63"/>
      <c r="C1243" s="63"/>
      <c r="D1243" s="63"/>
      <c r="E1243" s="63"/>
      <c r="F1243" s="63"/>
      <c r="G1243" s="63"/>
      <c r="H1243" s="25"/>
      <c r="P1243" s="25"/>
    </row>
    <row r="1244" spans="2:16">
      <c r="B1244" s="63"/>
      <c r="C1244" s="63"/>
      <c r="D1244" s="63"/>
      <c r="E1244" s="63"/>
      <c r="F1244" s="63"/>
      <c r="G1244" s="63"/>
      <c r="H1244" s="25"/>
      <c r="P1244" s="25"/>
    </row>
    <row r="1245" spans="2:16">
      <c r="B1245" s="63"/>
      <c r="C1245" s="63"/>
      <c r="D1245" s="63"/>
      <c r="E1245" s="63"/>
      <c r="F1245" s="63"/>
      <c r="G1245" s="63"/>
      <c r="H1245" s="25"/>
      <c r="P1245" s="25"/>
    </row>
    <row r="1246" spans="2:16">
      <c r="B1246" s="63"/>
      <c r="C1246" s="63"/>
      <c r="D1246" s="63"/>
      <c r="E1246" s="63"/>
      <c r="F1246" s="63"/>
      <c r="G1246" s="63"/>
      <c r="H1246" s="25"/>
      <c r="P1246" s="25"/>
    </row>
    <row r="1247" spans="2:16">
      <c r="B1247" s="63"/>
      <c r="C1247" s="63"/>
      <c r="D1247" s="63"/>
      <c r="E1247" s="63"/>
      <c r="F1247" s="63"/>
      <c r="G1247" s="63"/>
      <c r="H1247" s="25"/>
      <c r="P1247" s="25"/>
    </row>
    <row r="1248" spans="2:16">
      <c r="B1248" s="63"/>
      <c r="C1248" s="63"/>
      <c r="D1248" s="63"/>
      <c r="E1248" s="63"/>
      <c r="F1248" s="63"/>
      <c r="G1248" s="63"/>
      <c r="H1248" s="25"/>
      <c r="P1248" s="25"/>
    </row>
    <row r="1249" spans="2:16">
      <c r="B1249" s="63"/>
      <c r="C1249" s="63"/>
      <c r="D1249" s="63"/>
      <c r="E1249" s="63"/>
      <c r="F1249" s="63"/>
      <c r="G1249" s="63"/>
      <c r="H1249" s="25"/>
      <c r="P1249" s="25"/>
    </row>
    <row r="1250" spans="2:16">
      <c r="B1250" s="63"/>
      <c r="C1250" s="63"/>
      <c r="D1250" s="63"/>
      <c r="E1250" s="63"/>
      <c r="F1250" s="63"/>
      <c r="G1250" s="63"/>
      <c r="H1250" s="25"/>
      <c r="P1250" s="25"/>
    </row>
    <row r="1251" spans="2:16">
      <c r="B1251" s="63"/>
      <c r="C1251" s="63"/>
      <c r="D1251" s="63"/>
      <c r="E1251" s="63"/>
      <c r="F1251" s="63"/>
      <c r="G1251" s="63"/>
      <c r="H1251" s="25"/>
      <c r="P1251" s="25"/>
    </row>
    <row r="1252" spans="2:16">
      <c r="B1252" s="63"/>
      <c r="C1252" s="63"/>
      <c r="D1252" s="63"/>
      <c r="E1252" s="63"/>
      <c r="F1252" s="63"/>
      <c r="G1252" s="63"/>
      <c r="H1252" s="25"/>
      <c r="P1252" s="25"/>
    </row>
    <row r="1253" spans="2:16">
      <c r="B1253" s="63"/>
      <c r="C1253" s="63"/>
      <c r="D1253" s="63"/>
      <c r="E1253" s="63"/>
      <c r="F1253" s="63"/>
      <c r="G1253" s="63"/>
      <c r="H1253" s="25"/>
      <c r="P1253" s="25"/>
    </row>
    <row r="1254" spans="2:16">
      <c r="B1254" s="63"/>
      <c r="C1254" s="63"/>
      <c r="D1254" s="63"/>
      <c r="E1254" s="63"/>
      <c r="F1254" s="63"/>
      <c r="G1254" s="63"/>
      <c r="H1254" s="25"/>
      <c r="P1254" s="25"/>
    </row>
    <row r="1255" spans="2:16">
      <c r="B1255" s="63"/>
      <c r="C1255" s="63"/>
      <c r="D1255" s="63"/>
      <c r="E1255" s="63"/>
      <c r="F1255" s="63"/>
      <c r="G1255" s="63"/>
      <c r="H1255" s="25"/>
      <c r="P1255" s="25"/>
    </row>
    <row r="1256" spans="2:16">
      <c r="B1256" s="63"/>
      <c r="C1256" s="63"/>
      <c r="D1256" s="63"/>
      <c r="E1256" s="63"/>
      <c r="F1256" s="63"/>
      <c r="G1256" s="63"/>
      <c r="H1256" s="25"/>
      <c r="P1256" s="25"/>
    </row>
    <row r="1257" spans="2:16">
      <c r="B1257" s="63"/>
      <c r="C1257" s="63"/>
      <c r="D1257" s="63"/>
      <c r="E1257" s="63"/>
      <c r="F1257" s="63"/>
      <c r="G1257" s="63"/>
      <c r="H1257" s="25"/>
      <c r="P1257" s="25"/>
    </row>
    <row r="1258" spans="2:16">
      <c r="B1258" s="63"/>
      <c r="C1258" s="63"/>
      <c r="D1258" s="63"/>
      <c r="E1258" s="63"/>
      <c r="F1258" s="63"/>
      <c r="G1258" s="63"/>
      <c r="H1258" s="25"/>
      <c r="P1258" s="25"/>
    </row>
    <row r="1259" spans="2:16">
      <c r="B1259" s="63"/>
      <c r="C1259" s="63"/>
      <c r="D1259" s="63"/>
      <c r="E1259" s="63"/>
      <c r="F1259" s="63"/>
      <c r="G1259" s="63"/>
      <c r="H1259" s="25"/>
      <c r="P1259" s="25"/>
    </row>
    <row r="1260" spans="2:16">
      <c r="B1260" s="63"/>
      <c r="C1260" s="63"/>
      <c r="D1260" s="63"/>
      <c r="E1260" s="63"/>
      <c r="F1260" s="63"/>
      <c r="G1260" s="63"/>
      <c r="H1260" s="25"/>
      <c r="P1260" s="25"/>
    </row>
    <row r="1261" spans="2:16">
      <c r="B1261" s="63"/>
      <c r="C1261" s="63"/>
      <c r="D1261" s="63"/>
      <c r="E1261" s="63"/>
      <c r="F1261" s="63"/>
      <c r="G1261" s="63"/>
      <c r="H1261" s="25"/>
      <c r="P1261" s="25"/>
    </row>
    <row r="1262" spans="2:16">
      <c r="B1262" s="63"/>
      <c r="C1262" s="63"/>
      <c r="D1262" s="63"/>
      <c r="E1262" s="63"/>
      <c r="F1262" s="63"/>
      <c r="G1262" s="63"/>
      <c r="H1262" s="25"/>
      <c r="P1262" s="25"/>
    </row>
    <row r="1263" spans="2:16">
      <c r="B1263" s="63"/>
      <c r="C1263" s="63"/>
      <c r="D1263" s="63"/>
      <c r="E1263" s="63"/>
      <c r="F1263" s="63"/>
      <c r="G1263" s="63"/>
      <c r="H1263" s="25"/>
      <c r="P1263" s="25"/>
    </row>
    <row r="1264" spans="2:16">
      <c r="B1264" s="63"/>
      <c r="C1264" s="63"/>
      <c r="D1264" s="63"/>
      <c r="E1264" s="63"/>
      <c r="F1264" s="63"/>
      <c r="G1264" s="63"/>
      <c r="H1264" s="25"/>
      <c r="P1264" s="25"/>
    </row>
    <row r="1265" spans="2:16">
      <c r="B1265" s="63"/>
      <c r="C1265" s="63"/>
      <c r="D1265" s="63"/>
      <c r="E1265" s="63"/>
      <c r="F1265" s="63"/>
      <c r="G1265" s="63"/>
      <c r="H1265" s="25"/>
      <c r="P1265" s="25"/>
    </row>
    <row r="1266" spans="2:16">
      <c r="B1266" s="63"/>
      <c r="C1266" s="63"/>
      <c r="D1266" s="63"/>
      <c r="E1266" s="63"/>
      <c r="F1266" s="63"/>
      <c r="G1266" s="63"/>
      <c r="H1266" s="25"/>
      <c r="P1266" s="25"/>
    </row>
    <row r="1267" spans="2:16">
      <c r="B1267" s="63"/>
      <c r="C1267" s="63"/>
      <c r="D1267" s="63"/>
      <c r="E1267" s="63"/>
      <c r="F1267" s="63"/>
      <c r="G1267" s="63"/>
      <c r="H1267" s="25"/>
      <c r="P1267" s="25"/>
    </row>
    <row r="1268" spans="2:16">
      <c r="B1268" s="63"/>
      <c r="C1268" s="63"/>
      <c r="D1268" s="63"/>
      <c r="E1268" s="63"/>
      <c r="F1268" s="63"/>
      <c r="G1268" s="63"/>
      <c r="H1268" s="25"/>
      <c r="P1268" s="25"/>
    </row>
    <row r="1269" spans="2:16">
      <c r="B1269" s="63"/>
      <c r="C1269" s="63"/>
      <c r="D1269" s="63"/>
      <c r="E1269" s="63"/>
      <c r="F1269" s="63"/>
      <c r="G1269" s="63"/>
      <c r="H1269" s="25"/>
      <c r="P1269" s="25"/>
    </row>
    <row r="1270" spans="2:16">
      <c r="B1270" s="63"/>
      <c r="C1270" s="63"/>
      <c r="D1270" s="63"/>
      <c r="E1270" s="63"/>
      <c r="F1270" s="63"/>
      <c r="G1270" s="63"/>
      <c r="H1270" s="25"/>
      <c r="P1270" s="25"/>
    </row>
    <row r="1271" spans="2:16">
      <c r="B1271" s="63"/>
      <c r="C1271" s="63"/>
      <c r="D1271" s="63"/>
      <c r="E1271" s="63"/>
      <c r="F1271" s="63"/>
      <c r="G1271" s="63"/>
      <c r="H1271" s="25"/>
      <c r="P1271" s="25"/>
    </row>
    <row r="1272" spans="2:16">
      <c r="B1272" s="63"/>
      <c r="C1272" s="63"/>
      <c r="D1272" s="63"/>
      <c r="E1272" s="63"/>
      <c r="F1272" s="63"/>
      <c r="G1272" s="63"/>
      <c r="H1272" s="25"/>
      <c r="P1272" s="25"/>
    </row>
    <row r="1273" spans="2:16">
      <c r="B1273" s="63"/>
      <c r="C1273" s="63"/>
      <c r="D1273" s="63"/>
      <c r="E1273" s="63"/>
      <c r="F1273" s="63"/>
      <c r="G1273" s="63"/>
      <c r="H1273" s="25"/>
      <c r="P1273" s="25"/>
    </row>
    <row r="1274" spans="2:16">
      <c r="B1274" s="63"/>
      <c r="C1274" s="63"/>
      <c r="D1274" s="63"/>
      <c r="E1274" s="63"/>
      <c r="F1274" s="63"/>
      <c r="G1274" s="63"/>
      <c r="H1274" s="25"/>
      <c r="P1274" s="25"/>
    </row>
    <row r="1275" spans="2:16">
      <c r="B1275" s="63"/>
      <c r="C1275" s="63"/>
      <c r="D1275" s="63"/>
      <c r="E1275" s="63"/>
      <c r="F1275" s="63"/>
      <c r="G1275" s="63"/>
      <c r="H1275" s="25"/>
      <c r="P1275" s="25"/>
    </row>
    <row r="1276" spans="2:16">
      <c r="B1276" s="63"/>
      <c r="C1276" s="63"/>
      <c r="D1276" s="63"/>
      <c r="E1276" s="63"/>
      <c r="F1276" s="63"/>
      <c r="G1276" s="63"/>
      <c r="H1276" s="25"/>
      <c r="P1276" s="25"/>
    </row>
    <row r="1277" spans="2:16">
      <c r="B1277" s="63"/>
      <c r="C1277" s="63"/>
      <c r="D1277" s="63"/>
      <c r="E1277" s="63"/>
      <c r="F1277" s="63"/>
      <c r="G1277" s="63"/>
      <c r="H1277" s="25"/>
      <c r="P1277" s="25"/>
    </row>
    <row r="1278" spans="2:16">
      <c r="B1278" s="63"/>
      <c r="C1278" s="63"/>
      <c r="D1278" s="63"/>
      <c r="E1278" s="63"/>
      <c r="F1278" s="63"/>
      <c r="G1278" s="63"/>
      <c r="H1278" s="25"/>
      <c r="P1278" s="25"/>
    </row>
    <row r="1279" spans="2:16">
      <c r="B1279" s="63"/>
      <c r="C1279" s="63"/>
      <c r="D1279" s="63"/>
      <c r="E1279" s="63"/>
      <c r="F1279" s="63"/>
      <c r="G1279" s="63"/>
      <c r="H1279" s="25"/>
      <c r="P1279" s="25"/>
    </row>
    <row r="1280" spans="2:16">
      <c r="B1280" s="63"/>
      <c r="C1280" s="63"/>
      <c r="D1280" s="63"/>
      <c r="E1280" s="63"/>
      <c r="F1280" s="63"/>
      <c r="G1280" s="63"/>
      <c r="H1280" s="25"/>
      <c r="P1280" s="25"/>
    </row>
    <row r="1281" spans="2:16">
      <c r="B1281" s="63"/>
      <c r="C1281" s="63"/>
      <c r="D1281" s="63"/>
      <c r="E1281" s="63"/>
      <c r="F1281" s="63"/>
      <c r="G1281" s="63"/>
      <c r="H1281" s="25"/>
      <c r="P1281" s="25"/>
    </row>
    <row r="1282" spans="2:16">
      <c r="B1282" s="63"/>
      <c r="C1282" s="63"/>
      <c r="D1282" s="63"/>
      <c r="E1282" s="63"/>
      <c r="F1282" s="63"/>
      <c r="G1282" s="63"/>
      <c r="H1282" s="25"/>
      <c r="P1282" s="25"/>
    </row>
    <row r="1283" spans="2:16">
      <c r="B1283" s="63"/>
      <c r="C1283" s="63"/>
      <c r="D1283" s="63"/>
      <c r="E1283" s="63"/>
      <c r="F1283" s="63"/>
      <c r="G1283" s="63"/>
      <c r="H1283" s="25"/>
      <c r="P1283" s="25"/>
    </row>
    <row r="1284" spans="2:16">
      <c r="B1284" s="63"/>
      <c r="C1284" s="63"/>
      <c r="D1284" s="63"/>
      <c r="E1284" s="63"/>
      <c r="F1284" s="63"/>
      <c r="G1284" s="63"/>
      <c r="H1284" s="25"/>
      <c r="P1284" s="25"/>
    </row>
    <row r="1285" spans="2:16">
      <c r="B1285" s="63"/>
      <c r="C1285" s="63"/>
      <c r="D1285" s="63"/>
      <c r="E1285" s="63"/>
      <c r="F1285" s="63"/>
      <c r="G1285" s="63"/>
      <c r="H1285" s="25"/>
      <c r="P1285" s="25"/>
    </row>
    <row r="1286" spans="2:16">
      <c r="B1286" s="63"/>
      <c r="C1286" s="63"/>
      <c r="D1286" s="63"/>
      <c r="E1286" s="63"/>
      <c r="F1286" s="63"/>
      <c r="G1286" s="63"/>
      <c r="H1286" s="25"/>
      <c r="P1286" s="25"/>
    </row>
    <row r="1287" spans="2:16">
      <c r="B1287" s="63"/>
      <c r="C1287" s="63"/>
      <c r="D1287" s="63"/>
      <c r="E1287" s="63"/>
      <c r="F1287" s="63"/>
      <c r="G1287" s="63"/>
      <c r="H1287" s="25"/>
      <c r="P1287" s="25"/>
    </row>
    <row r="1288" spans="2:16">
      <c r="B1288" s="63"/>
      <c r="C1288" s="63"/>
      <c r="D1288" s="63"/>
      <c r="E1288" s="63"/>
      <c r="F1288" s="63"/>
      <c r="G1288" s="63"/>
      <c r="H1288" s="25"/>
      <c r="P1288" s="25"/>
    </row>
    <row r="1289" spans="2:16">
      <c r="B1289" s="63"/>
      <c r="C1289" s="63"/>
      <c r="D1289" s="63"/>
      <c r="E1289" s="63"/>
      <c r="F1289" s="63"/>
      <c r="G1289" s="63"/>
      <c r="H1289" s="25"/>
      <c r="P1289" s="25"/>
    </row>
    <row r="1290" spans="2:16">
      <c r="B1290" s="63"/>
      <c r="C1290" s="63"/>
      <c r="D1290" s="63"/>
      <c r="E1290" s="63"/>
      <c r="F1290" s="63"/>
      <c r="G1290" s="63"/>
      <c r="H1290" s="25"/>
      <c r="P1290" s="25"/>
    </row>
    <row r="1291" spans="2:16">
      <c r="B1291" s="63"/>
      <c r="C1291" s="63"/>
      <c r="D1291" s="63"/>
      <c r="E1291" s="63"/>
      <c r="F1291" s="63"/>
      <c r="G1291" s="63"/>
      <c r="H1291" s="25"/>
      <c r="P1291" s="25"/>
    </row>
    <row r="1292" spans="2:16">
      <c r="B1292" s="63"/>
      <c r="C1292" s="63"/>
      <c r="D1292" s="63"/>
      <c r="E1292" s="63"/>
      <c r="F1292" s="63"/>
      <c r="G1292" s="63"/>
      <c r="H1292" s="25"/>
      <c r="P1292" s="25"/>
    </row>
    <row r="1293" spans="2:16">
      <c r="B1293" s="63"/>
      <c r="C1293" s="63"/>
      <c r="D1293" s="63"/>
      <c r="E1293" s="63"/>
      <c r="F1293" s="63"/>
      <c r="G1293" s="63"/>
      <c r="H1293" s="25"/>
      <c r="P1293" s="25"/>
    </row>
    <row r="1294" spans="2:16">
      <c r="B1294" s="63"/>
      <c r="C1294" s="63"/>
      <c r="D1294" s="63"/>
      <c r="E1294" s="63"/>
      <c r="F1294" s="63"/>
      <c r="G1294" s="63"/>
      <c r="H1294" s="25"/>
      <c r="P1294" s="25"/>
    </row>
    <row r="1295" spans="2:16">
      <c r="B1295" s="63"/>
      <c r="C1295" s="63"/>
      <c r="D1295" s="63"/>
      <c r="E1295" s="63"/>
      <c r="F1295" s="63"/>
      <c r="G1295" s="63"/>
      <c r="H1295" s="25"/>
      <c r="P1295" s="25"/>
    </row>
    <row r="1296" spans="2:16">
      <c r="B1296" s="63"/>
      <c r="C1296" s="63"/>
      <c r="D1296" s="63"/>
      <c r="E1296" s="63"/>
      <c r="F1296" s="63"/>
      <c r="G1296" s="63"/>
      <c r="H1296" s="25"/>
      <c r="P1296" s="25"/>
    </row>
    <row r="1297" spans="2:16">
      <c r="B1297" s="63"/>
      <c r="C1297" s="63"/>
      <c r="D1297" s="63"/>
      <c r="E1297" s="63"/>
      <c r="F1297" s="63"/>
      <c r="G1297" s="63"/>
      <c r="H1297" s="25"/>
      <c r="P1297" s="25"/>
    </row>
    <row r="1298" spans="2:16">
      <c r="B1298" s="63"/>
      <c r="C1298" s="63"/>
      <c r="D1298" s="63"/>
      <c r="E1298" s="63"/>
      <c r="F1298" s="63"/>
      <c r="G1298" s="63"/>
      <c r="H1298" s="25"/>
      <c r="P1298" s="25"/>
    </row>
    <row r="1299" spans="2:16">
      <c r="B1299" s="63"/>
      <c r="C1299" s="63"/>
      <c r="D1299" s="63"/>
      <c r="E1299" s="63"/>
      <c r="F1299" s="63"/>
      <c r="G1299" s="63"/>
      <c r="H1299" s="25"/>
      <c r="P1299" s="25"/>
    </row>
    <row r="1300" spans="2:16">
      <c r="B1300" s="63"/>
      <c r="C1300" s="63"/>
      <c r="D1300" s="63"/>
      <c r="E1300" s="63"/>
      <c r="F1300" s="63"/>
      <c r="G1300" s="63"/>
      <c r="H1300" s="25"/>
      <c r="P1300" s="25"/>
    </row>
    <row r="1301" spans="2:16">
      <c r="B1301" s="63"/>
      <c r="C1301" s="63"/>
      <c r="D1301" s="63"/>
      <c r="E1301" s="63"/>
      <c r="F1301" s="63"/>
      <c r="G1301" s="63"/>
      <c r="H1301" s="25"/>
      <c r="P1301" s="25"/>
    </row>
    <row r="1302" spans="2:16">
      <c r="B1302" s="63"/>
      <c r="C1302" s="63"/>
      <c r="D1302" s="63"/>
      <c r="E1302" s="63"/>
      <c r="F1302" s="63"/>
      <c r="G1302" s="63"/>
      <c r="H1302" s="25"/>
      <c r="P1302" s="25"/>
    </row>
    <row r="1303" spans="2:16">
      <c r="B1303" s="63"/>
      <c r="C1303" s="63"/>
      <c r="D1303" s="63"/>
      <c r="E1303" s="63"/>
      <c r="F1303" s="63"/>
      <c r="G1303" s="63"/>
      <c r="H1303" s="25"/>
      <c r="P1303" s="25"/>
    </row>
    <row r="1304" spans="2:16">
      <c r="B1304" s="63"/>
      <c r="C1304" s="63"/>
      <c r="D1304" s="63"/>
      <c r="E1304" s="63"/>
      <c r="F1304" s="63"/>
      <c r="G1304" s="63"/>
      <c r="H1304" s="25"/>
      <c r="P1304" s="25"/>
    </row>
    <row r="1305" spans="2:16">
      <c r="B1305" s="63"/>
      <c r="C1305" s="63"/>
      <c r="D1305" s="63"/>
      <c r="E1305" s="63"/>
      <c r="F1305" s="63"/>
      <c r="G1305" s="63"/>
      <c r="H1305" s="25"/>
      <c r="P1305" s="25"/>
    </row>
    <row r="1306" spans="2:16">
      <c r="B1306" s="63"/>
      <c r="C1306" s="63"/>
      <c r="D1306" s="63"/>
      <c r="E1306" s="63"/>
      <c r="F1306" s="63"/>
      <c r="G1306" s="63"/>
      <c r="H1306" s="25"/>
      <c r="P1306" s="25"/>
    </row>
    <row r="1307" spans="2:16">
      <c r="B1307" s="63"/>
      <c r="C1307" s="63"/>
      <c r="D1307" s="63"/>
      <c r="E1307" s="63"/>
      <c r="F1307" s="63"/>
      <c r="G1307" s="63"/>
      <c r="H1307" s="25"/>
      <c r="P1307" s="25"/>
    </row>
    <row r="1308" spans="2:16">
      <c r="B1308" s="63"/>
      <c r="C1308" s="63"/>
      <c r="D1308" s="63"/>
      <c r="E1308" s="63"/>
      <c r="F1308" s="63"/>
      <c r="G1308" s="63"/>
      <c r="H1308" s="25"/>
      <c r="P1308" s="25"/>
    </row>
    <row r="1309" spans="2:16">
      <c r="B1309" s="63"/>
      <c r="C1309" s="63"/>
      <c r="D1309" s="63"/>
      <c r="E1309" s="63"/>
      <c r="F1309" s="63"/>
      <c r="G1309" s="63"/>
      <c r="H1309" s="25"/>
      <c r="P1309" s="25"/>
    </row>
    <row r="1310" spans="2:16">
      <c r="B1310" s="63"/>
      <c r="C1310" s="63"/>
      <c r="D1310" s="63"/>
      <c r="E1310" s="63"/>
      <c r="F1310" s="63"/>
      <c r="G1310" s="63"/>
      <c r="H1310" s="25"/>
      <c r="P1310" s="25"/>
    </row>
    <row r="1311" spans="2:16">
      <c r="B1311" s="63"/>
      <c r="C1311" s="63"/>
      <c r="D1311" s="63"/>
      <c r="E1311" s="63"/>
      <c r="F1311" s="63"/>
      <c r="G1311" s="63"/>
      <c r="H1311" s="25"/>
      <c r="P1311" s="25"/>
    </row>
    <row r="1312" spans="2:16">
      <c r="B1312" s="63"/>
      <c r="C1312" s="63"/>
      <c r="D1312" s="63"/>
      <c r="E1312" s="63"/>
      <c r="F1312" s="63"/>
      <c r="G1312" s="63"/>
      <c r="H1312" s="25"/>
      <c r="P1312" s="25"/>
    </row>
    <row r="1313" spans="2:16">
      <c r="B1313" s="63"/>
      <c r="C1313" s="63"/>
      <c r="D1313" s="63"/>
      <c r="E1313" s="63"/>
      <c r="F1313" s="63"/>
      <c r="G1313" s="63"/>
      <c r="H1313" s="25"/>
      <c r="P1313" s="25"/>
    </row>
    <row r="1314" spans="2:16">
      <c r="B1314" s="63"/>
      <c r="C1314" s="63"/>
      <c r="D1314" s="63"/>
      <c r="E1314" s="63"/>
      <c r="F1314" s="63"/>
      <c r="G1314" s="63"/>
      <c r="H1314" s="25"/>
      <c r="P1314" s="25"/>
    </row>
    <row r="1315" spans="2:16">
      <c r="B1315" s="63"/>
      <c r="C1315" s="63"/>
      <c r="D1315" s="63"/>
      <c r="E1315" s="63"/>
      <c r="F1315" s="63"/>
      <c r="G1315" s="63"/>
      <c r="H1315" s="25"/>
      <c r="P1315" s="25"/>
    </row>
    <row r="1316" spans="2:16">
      <c r="B1316" s="63"/>
      <c r="C1316" s="63"/>
      <c r="D1316" s="63"/>
      <c r="E1316" s="63"/>
      <c r="F1316" s="63"/>
      <c r="G1316" s="63"/>
      <c r="H1316" s="25"/>
      <c r="P1316" s="25"/>
    </row>
    <row r="1317" spans="2:16">
      <c r="B1317" s="63"/>
      <c r="C1317" s="63"/>
      <c r="D1317" s="63"/>
      <c r="E1317" s="63"/>
      <c r="F1317" s="63"/>
      <c r="G1317" s="63"/>
      <c r="H1317" s="25"/>
      <c r="P1317" s="25"/>
    </row>
    <row r="1318" spans="2:16">
      <c r="B1318" s="63"/>
      <c r="C1318" s="63"/>
      <c r="D1318" s="63"/>
      <c r="E1318" s="63"/>
      <c r="F1318" s="63"/>
      <c r="G1318" s="63"/>
      <c r="H1318" s="25"/>
      <c r="P1318" s="25"/>
    </row>
    <row r="1319" spans="2:16">
      <c r="B1319" s="63"/>
      <c r="C1319" s="63"/>
      <c r="D1319" s="63"/>
      <c r="E1319" s="63"/>
      <c r="F1319" s="63"/>
      <c r="G1319" s="63"/>
      <c r="H1319" s="25"/>
      <c r="P1319" s="25"/>
    </row>
    <row r="1320" spans="2:16">
      <c r="B1320" s="63"/>
      <c r="C1320" s="63"/>
      <c r="D1320" s="63"/>
      <c r="E1320" s="63"/>
      <c r="F1320" s="63"/>
      <c r="G1320" s="63"/>
      <c r="H1320" s="25"/>
      <c r="P1320" s="25"/>
    </row>
    <row r="1321" spans="2:16">
      <c r="B1321" s="63"/>
      <c r="C1321" s="63"/>
      <c r="D1321" s="63"/>
      <c r="E1321" s="63"/>
      <c r="F1321" s="63"/>
      <c r="G1321" s="63"/>
      <c r="H1321" s="25"/>
      <c r="P1321" s="25"/>
    </row>
    <row r="1322" spans="2:16">
      <c r="B1322" s="63"/>
      <c r="C1322" s="63"/>
      <c r="D1322" s="63"/>
      <c r="E1322" s="63"/>
      <c r="F1322" s="63"/>
      <c r="G1322" s="63"/>
      <c r="H1322" s="25"/>
      <c r="P1322" s="25"/>
    </row>
    <row r="1323" spans="2:16">
      <c r="B1323" s="63"/>
      <c r="C1323" s="63"/>
      <c r="D1323" s="63"/>
      <c r="E1323" s="63"/>
      <c r="F1323" s="63"/>
      <c r="G1323" s="63"/>
      <c r="H1323" s="25"/>
      <c r="P1323" s="25"/>
    </row>
    <row r="1324" spans="2:16">
      <c r="B1324" s="63"/>
      <c r="C1324" s="63"/>
      <c r="D1324" s="63"/>
      <c r="E1324" s="63"/>
      <c r="F1324" s="63"/>
      <c r="G1324" s="63"/>
      <c r="H1324" s="25"/>
      <c r="P1324" s="25"/>
    </row>
    <row r="1325" spans="2:16">
      <c r="B1325" s="63"/>
      <c r="C1325" s="63"/>
      <c r="D1325" s="63"/>
      <c r="E1325" s="63"/>
      <c r="F1325" s="63"/>
      <c r="G1325" s="63"/>
      <c r="H1325" s="25"/>
      <c r="P1325" s="25"/>
    </row>
    <row r="1326" spans="2:16">
      <c r="B1326" s="63"/>
      <c r="C1326" s="63"/>
      <c r="D1326" s="63"/>
      <c r="E1326" s="63"/>
      <c r="F1326" s="63"/>
      <c r="G1326" s="63"/>
      <c r="H1326" s="25"/>
      <c r="P1326" s="25"/>
    </row>
    <row r="1327" spans="2:16">
      <c r="B1327" s="63"/>
      <c r="C1327" s="63"/>
      <c r="D1327" s="63"/>
      <c r="E1327" s="63"/>
      <c r="F1327" s="63"/>
      <c r="G1327" s="63"/>
      <c r="H1327" s="25"/>
      <c r="P1327" s="25"/>
    </row>
    <row r="1328" spans="2:16">
      <c r="B1328" s="63"/>
      <c r="C1328" s="63"/>
      <c r="D1328" s="63"/>
      <c r="E1328" s="63"/>
      <c r="F1328" s="63"/>
      <c r="G1328" s="63"/>
      <c r="H1328" s="25"/>
      <c r="P1328" s="25"/>
    </row>
    <row r="1329" spans="2:16">
      <c r="B1329" s="63"/>
      <c r="C1329" s="63"/>
      <c r="D1329" s="63"/>
      <c r="E1329" s="63"/>
      <c r="F1329" s="63"/>
      <c r="G1329" s="63"/>
      <c r="H1329" s="25"/>
      <c r="P1329" s="25"/>
    </row>
    <row r="1330" spans="2:16">
      <c r="B1330" s="63"/>
      <c r="C1330" s="63"/>
      <c r="D1330" s="63"/>
      <c r="E1330" s="63"/>
      <c r="F1330" s="63"/>
      <c r="G1330" s="63"/>
      <c r="H1330" s="25"/>
      <c r="P1330" s="25"/>
    </row>
    <row r="1331" spans="2:16">
      <c r="B1331" s="63"/>
      <c r="C1331" s="63"/>
      <c r="D1331" s="63"/>
      <c r="E1331" s="63"/>
      <c r="F1331" s="63"/>
      <c r="G1331" s="63"/>
      <c r="H1331" s="25"/>
      <c r="P1331" s="25"/>
    </row>
    <row r="1332" spans="2:16">
      <c r="B1332" s="63"/>
      <c r="C1332" s="63"/>
      <c r="D1332" s="63"/>
      <c r="E1332" s="63"/>
      <c r="F1332" s="63"/>
      <c r="G1332" s="63"/>
      <c r="H1332" s="25"/>
      <c r="P1332" s="25"/>
    </row>
    <row r="1333" spans="2:16">
      <c r="B1333" s="63"/>
      <c r="C1333" s="63"/>
      <c r="D1333" s="63"/>
      <c r="E1333" s="63"/>
      <c r="F1333" s="63"/>
      <c r="G1333" s="63"/>
      <c r="H1333" s="25"/>
      <c r="P1333" s="25"/>
    </row>
    <row r="1334" spans="2:16">
      <c r="B1334" s="63"/>
      <c r="C1334" s="63"/>
      <c r="D1334" s="63"/>
      <c r="E1334" s="63"/>
      <c r="F1334" s="63"/>
      <c r="G1334" s="63"/>
      <c r="H1334" s="25"/>
      <c r="P1334" s="25"/>
    </row>
    <row r="1335" spans="2:16">
      <c r="B1335" s="63"/>
      <c r="C1335" s="63"/>
      <c r="D1335" s="63"/>
      <c r="E1335" s="63"/>
      <c r="F1335" s="63"/>
      <c r="G1335" s="63"/>
      <c r="H1335" s="25"/>
      <c r="P1335" s="25"/>
    </row>
    <row r="1336" spans="2:16">
      <c r="B1336" s="63"/>
      <c r="C1336" s="63"/>
      <c r="D1336" s="63"/>
      <c r="E1336" s="63"/>
      <c r="F1336" s="63"/>
      <c r="G1336" s="63"/>
      <c r="H1336" s="25"/>
      <c r="P1336" s="25"/>
    </row>
    <row r="1337" spans="2:16">
      <c r="B1337" s="63"/>
      <c r="C1337" s="63"/>
      <c r="D1337" s="63"/>
      <c r="E1337" s="63"/>
      <c r="F1337" s="63"/>
      <c r="G1337" s="63"/>
      <c r="H1337" s="25"/>
      <c r="P1337" s="25"/>
    </row>
    <row r="1338" spans="2:16">
      <c r="B1338" s="63"/>
      <c r="C1338" s="63"/>
      <c r="D1338" s="63"/>
      <c r="E1338" s="63"/>
      <c r="F1338" s="63"/>
      <c r="G1338" s="63"/>
      <c r="H1338" s="25"/>
      <c r="P1338" s="25"/>
    </row>
    <row r="1339" spans="2:16">
      <c r="B1339" s="63"/>
      <c r="C1339" s="63"/>
      <c r="D1339" s="63"/>
      <c r="E1339" s="63"/>
      <c r="F1339" s="63"/>
      <c r="G1339" s="63"/>
      <c r="H1339" s="25"/>
      <c r="P1339" s="25"/>
    </row>
    <row r="1340" spans="2:16">
      <c r="B1340" s="63"/>
      <c r="C1340" s="63"/>
      <c r="D1340" s="63"/>
      <c r="E1340" s="63"/>
      <c r="F1340" s="63"/>
      <c r="G1340" s="63"/>
      <c r="H1340" s="25"/>
      <c r="P1340" s="25"/>
    </row>
    <row r="1341" spans="2:16">
      <c r="B1341" s="63"/>
      <c r="C1341" s="63"/>
      <c r="D1341" s="63"/>
      <c r="E1341" s="63"/>
      <c r="F1341" s="63"/>
      <c r="G1341" s="63"/>
      <c r="H1341" s="25"/>
      <c r="P1341" s="25"/>
    </row>
    <row r="1342" spans="2:16">
      <c r="B1342" s="63"/>
      <c r="C1342" s="63"/>
      <c r="D1342" s="63"/>
      <c r="E1342" s="63"/>
      <c r="F1342" s="63"/>
      <c r="G1342" s="63"/>
      <c r="H1342" s="25"/>
      <c r="P1342" s="25"/>
    </row>
    <row r="1343" spans="2:16">
      <c r="B1343" s="63"/>
      <c r="C1343" s="63"/>
      <c r="D1343" s="63"/>
      <c r="E1343" s="63"/>
      <c r="F1343" s="63"/>
      <c r="G1343" s="63"/>
      <c r="H1343" s="25"/>
      <c r="P1343" s="25"/>
    </row>
    <row r="1344" spans="2:16">
      <c r="B1344" s="63"/>
      <c r="C1344" s="63"/>
      <c r="D1344" s="63"/>
      <c r="E1344" s="63"/>
      <c r="F1344" s="63"/>
      <c r="G1344" s="63"/>
      <c r="H1344" s="25"/>
      <c r="P1344" s="25"/>
    </row>
    <row r="1345" spans="2:16">
      <c r="B1345" s="63"/>
      <c r="C1345" s="63"/>
      <c r="D1345" s="63"/>
      <c r="E1345" s="63"/>
      <c r="F1345" s="63"/>
      <c r="G1345" s="63"/>
      <c r="H1345" s="25"/>
      <c r="P1345" s="25"/>
    </row>
    <row r="1346" spans="2:16">
      <c r="B1346" s="63"/>
      <c r="C1346" s="63"/>
      <c r="D1346" s="63"/>
      <c r="E1346" s="63"/>
      <c r="F1346" s="63"/>
      <c r="G1346" s="63"/>
      <c r="H1346" s="25"/>
      <c r="P1346" s="25"/>
    </row>
    <row r="1347" spans="2:16">
      <c r="B1347" s="63"/>
      <c r="C1347" s="63"/>
      <c r="D1347" s="63"/>
      <c r="E1347" s="63"/>
      <c r="F1347" s="63"/>
      <c r="G1347" s="63"/>
      <c r="H1347" s="25"/>
      <c r="P1347" s="25"/>
    </row>
    <row r="1348" spans="2:16">
      <c r="B1348" s="63"/>
      <c r="C1348" s="63"/>
      <c r="D1348" s="63"/>
      <c r="E1348" s="63"/>
      <c r="F1348" s="63"/>
      <c r="G1348" s="63"/>
      <c r="H1348" s="25"/>
      <c r="P1348" s="25"/>
    </row>
    <row r="1349" spans="2:16">
      <c r="B1349" s="63"/>
      <c r="C1349" s="63"/>
      <c r="D1349" s="63"/>
      <c r="E1349" s="63"/>
      <c r="F1349" s="63"/>
      <c r="G1349" s="63"/>
      <c r="H1349" s="25"/>
      <c r="P1349" s="25"/>
    </row>
    <row r="1350" spans="2:16">
      <c r="B1350" s="63"/>
      <c r="C1350" s="63"/>
      <c r="D1350" s="63"/>
      <c r="E1350" s="63"/>
      <c r="F1350" s="63"/>
      <c r="G1350" s="63"/>
      <c r="H1350" s="25"/>
      <c r="P1350" s="25"/>
    </row>
    <row r="1351" spans="2:16">
      <c r="B1351" s="63"/>
      <c r="C1351" s="63"/>
      <c r="D1351" s="63"/>
      <c r="E1351" s="63"/>
      <c r="F1351" s="63"/>
      <c r="G1351" s="63"/>
      <c r="H1351" s="25"/>
      <c r="P1351" s="25"/>
    </row>
    <row r="1352" spans="2:16">
      <c r="B1352" s="63"/>
      <c r="C1352" s="63"/>
      <c r="D1352" s="63"/>
      <c r="E1352" s="63"/>
      <c r="F1352" s="63"/>
      <c r="G1352" s="63"/>
      <c r="H1352" s="25"/>
      <c r="P1352" s="25"/>
    </row>
    <row r="1353" spans="2:16">
      <c r="B1353" s="63"/>
      <c r="C1353" s="63"/>
      <c r="D1353" s="63"/>
      <c r="E1353" s="63"/>
      <c r="F1353" s="63"/>
      <c r="G1353" s="63"/>
      <c r="H1353" s="25"/>
      <c r="P1353" s="25"/>
    </row>
    <row r="1354" spans="2:16">
      <c r="B1354" s="63"/>
      <c r="C1354" s="63"/>
      <c r="D1354" s="63"/>
      <c r="E1354" s="63"/>
      <c r="F1354" s="63"/>
      <c r="G1354" s="63"/>
      <c r="H1354" s="25"/>
      <c r="P1354" s="25"/>
    </row>
    <row r="1355" spans="2:16">
      <c r="B1355" s="63"/>
      <c r="C1355" s="63"/>
      <c r="D1355" s="63"/>
      <c r="E1355" s="63"/>
      <c r="F1355" s="63"/>
      <c r="G1355" s="63"/>
      <c r="H1355" s="25"/>
      <c r="P1355" s="25"/>
    </row>
    <row r="1356" spans="2:16">
      <c r="B1356" s="63"/>
      <c r="C1356" s="63"/>
      <c r="D1356" s="63"/>
      <c r="E1356" s="63"/>
      <c r="F1356" s="63"/>
      <c r="G1356" s="63"/>
      <c r="H1356" s="25"/>
      <c r="P1356" s="25"/>
    </row>
    <row r="1357" spans="2:16">
      <c r="B1357" s="63"/>
      <c r="C1357" s="63"/>
      <c r="D1357" s="63"/>
      <c r="E1357" s="63"/>
      <c r="F1357" s="63"/>
      <c r="G1357" s="63"/>
      <c r="H1357" s="25"/>
      <c r="P1357" s="25"/>
    </row>
    <row r="1358" spans="2:16">
      <c r="B1358" s="63"/>
      <c r="C1358" s="63"/>
      <c r="D1358" s="63"/>
      <c r="E1358" s="63"/>
      <c r="F1358" s="63"/>
      <c r="G1358" s="63"/>
      <c r="H1358" s="25"/>
      <c r="P1358" s="25"/>
    </row>
    <row r="1359" spans="2:16">
      <c r="B1359" s="63"/>
      <c r="C1359" s="63"/>
      <c r="D1359" s="63"/>
      <c r="E1359" s="63"/>
      <c r="F1359" s="63"/>
      <c r="G1359" s="63"/>
      <c r="H1359" s="25"/>
      <c r="P1359" s="25"/>
    </row>
    <row r="1360" spans="2:16">
      <c r="B1360" s="63"/>
      <c r="C1360" s="63"/>
      <c r="D1360" s="63"/>
      <c r="E1360" s="63"/>
      <c r="F1360" s="63"/>
      <c r="G1360" s="63"/>
      <c r="H1360" s="25"/>
      <c r="P1360" s="25"/>
    </row>
    <row r="1361" spans="2:16">
      <c r="B1361" s="63"/>
      <c r="C1361" s="63"/>
      <c r="D1361" s="63"/>
      <c r="E1361" s="63"/>
      <c r="F1361" s="63"/>
      <c r="G1361" s="63"/>
      <c r="H1361" s="25"/>
      <c r="P1361" s="25"/>
    </row>
    <row r="1362" spans="2:16">
      <c r="B1362" s="63"/>
      <c r="C1362" s="63"/>
      <c r="D1362" s="63"/>
      <c r="E1362" s="63"/>
      <c r="F1362" s="63"/>
      <c r="G1362" s="63"/>
      <c r="H1362" s="25"/>
      <c r="P1362" s="25"/>
    </row>
    <row r="1363" spans="2:16">
      <c r="B1363" s="63"/>
      <c r="C1363" s="63"/>
      <c r="D1363" s="63"/>
      <c r="E1363" s="63"/>
      <c r="F1363" s="63"/>
      <c r="G1363" s="63"/>
      <c r="H1363" s="25"/>
      <c r="P1363" s="25"/>
    </row>
    <row r="1364" spans="2:16">
      <c r="B1364" s="63"/>
      <c r="C1364" s="63"/>
      <c r="D1364" s="63"/>
      <c r="E1364" s="63"/>
      <c r="F1364" s="63"/>
      <c r="G1364" s="63"/>
      <c r="H1364" s="25"/>
      <c r="P1364" s="25"/>
    </row>
    <row r="1365" spans="2:16">
      <c r="B1365" s="63"/>
      <c r="C1365" s="63"/>
      <c r="D1365" s="63"/>
      <c r="E1365" s="63"/>
      <c r="F1365" s="63"/>
      <c r="G1365" s="63"/>
      <c r="H1365" s="25"/>
      <c r="P1365" s="25"/>
    </row>
    <row r="1366" spans="2:16">
      <c r="B1366" s="63"/>
      <c r="C1366" s="63"/>
      <c r="D1366" s="63"/>
      <c r="E1366" s="63"/>
      <c r="F1366" s="63"/>
      <c r="G1366" s="63"/>
      <c r="H1366" s="25"/>
      <c r="P1366" s="25"/>
    </row>
    <row r="1367" spans="2:16">
      <c r="B1367" s="63"/>
      <c r="C1367" s="63"/>
      <c r="D1367" s="63"/>
      <c r="E1367" s="63"/>
      <c r="F1367" s="63"/>
      <c r="G1367" s="63"/>
      <c r="H1367" s="25"/>
      <c r="P1367" s="25"/>
    </row>
    <row r="1368" spans="2:16">
      <c r="B1368" s="63"/>
      <c r="C1368" s="63"/>
      <c r="D1368" s="63"/>
      <c r="E1368" s="63"/>
      <c r="F1368" s="63"/>
      <c r="G1368" s="63"/>
      <c r="H1368" s="25"/>
      <c r="P1368" s="25"/>
    </row>
    <row r="1369" spans="2:16">
      <c r="B1369" s="63"/>
      <c r="C1369" s="63"/>
      <c r="D1369" s="63"/>
      <c r="E1369" s="63"/>
      <c r="F1369" s="63"/>
      <c r="G1369" s="63"/>
      <c r="H1369" s="25"/>
      <c r="P1369" s="25"/>
    </row>
    <row r="1370" spans="2:16">
      <c r="B1370" s="63"/>
      <c r="C1370" s="63"/>
      <c r="D1370" s="63"/>
      <c r="E1370" s="63"/>
      <c r="F1370" s="63"/>
      <c r="G1370" s="63"/>
      <c r="H1370" s="25"/>
      <c r="P1370" s="25"/>
    </row>
    <row r="1371" spans="2:16">
      <c r="B1371" s="63"/>
      <c r="C1371" s="63"/>
      <c r="D1371" s="63"/>
      <c r="E1371" s="63"/>
      <c r="F1371" s="63"/>
      <c r="G1371" s="63"/>
      <c r="H1371" s="25"/>
      <c r="P1371" s="25"/>
    </row>
    <row r="1372" spans="2:16">
      <c r="B1372" s="63"/>
      <c r="C1372" s="63"/>
      <c r="D1372" s="63"/>
      <c r="E1372" s="63"/>
      <c r="F1372" s="63"/>
      <c r="G1372" s="63"/>
      <c r="H1372" s="25"/>
      <c r="P1372" s="25"/>
    </row>
    <row r="1373" spans="2:16">
      <c r="B1373" s="63"/>
      <c r="C1373" s="63"/>
      <c r="D1373" s="63"/>
      <c r="E1373" s="63"/>
      <c r="F1373" s="63"/>
      <c r="G1373" s="63"/>
      <c r="H1373" s="25"/>
      <c r="P1373" s="25"/>
    </row>
    <row r="1374" spans="2:16">
      <c r="B1374" s="63"/>
      <c r="C1374" s="63"/>
      <c r="D1374" s="63"/>
      <c r="E1374" s="63"/>
      <c r="F1374" s="63"/>
      <c r="G1374" s="63"/>
      <c r="H1374" s="25"/>
      <c r="P1374" s="25"/>
    </row>
    <row r="1375" spans="2:16">
      <c r="B1375" s="63"/>
      <c r="C1375" s="63"/>
      <c r="D1375" s="63"/>
      <c r="E1375" s="63"/>
      <c r="F1375" s="63"/>
      <c r="G1375" s="63"/>
      <c r="H1375" s="25"/>
      <c r="P1375" s="25"/>
    </row>
    <row r="1376" spans="2:16">
      <c r="B1376" s="63"/>
      <c r="C1376" s="63"/>
      <c r="D1376" s="63"/>
      <c r="E1376" s="63"/>
      <c r="F1376" s="63"/>
      <c r="G1376" s="63"/>
      <c r="H1376" s="25"/>
      <c r="P1376" s="25"/>
    </row>
    <row r="1377" spans="2:16">
      <c r="B1377" s="63"/>
      <c r="C1377" s="63"/>
      <c r="D1377" s="63"/>
      <c r="E1377" s="63"/>
      <c r="F1377" s="63"/>
      <c r="G1377" s="63"/>
      <c r="H1377" s="25"/>
      <c r="P1377" s="25"/>
    </row>
    <row r="1378" spans="2:16">
      <c r="B1378" s="63"/>
      <c r="C1378" s="63"/>
      <c r="D1378" s="63"/>
      <c r="E1378" s="63"/>
      <c r="F1378" s="63"/>
      <c r="G1378" s="63"/>
      <c r="H1378" s="25"/>
      <c r="P1378" s="25"/>
    </row>
    <row r="1379" spans="2:16">
      <c r="B1379" s="63"/>
      <c r="C1379" s="63"/>
      <c r="D1379" s="63"/>
      <c r="E1379" s="63"/>
      <c r="F1379" s="63"/>
      <c r="G1379" s="63"/>
      <c r="H1379" s="25"/>
      <c r="P1379" s="25"/>
    </row>
    <row r="1380" spans="2:16">
      <c r="B1380" s="63"/>
      <c r="C1380" s="63"/>
      <c r="D1380" s="63"/>
      <c r="E1380" s="63"/>
      <c r="F1380" s="63"/>
      <c r="G1380" s="63"/>
      <c r="H1380" s="25"/>
      <c r="P1380" s="25"/>
    </row>
    <row r="1381" spans="2:16">
      <c r="B1381" s="63"/>
      <c r="C1381" s="63"/>
      <c r="D1381" s="63"/>
      <c r="E1381" s="63"/>
      <c r="F1381" s="63"/>
      <c r="G1381" s="63"/>
      <c r="H1381" s="25"/>
      <c r="P1381" s="25"/>
    </row>
    <row r="1382" spans="2:16">
      <c r="B1382" s="63"/>
      <c r="C1382" s="63"/>
      <c r="D1382" s="63"/>
      <c r="E1382" s="63"/>
      <c r="F1382" s="63"/>
      <c r="G1382" s="63"/>
      <c r="H1382" s="25"/>
      <c r="P1382" s="25"/>
    </row>
    <row r="1383" spans="2:16">
      <c r="B1383" s="63"/>
      <c r="C1383" s="63"/>
      <c r="D1383" s="63"/>
      <c r="E1383" s="63"/>
      <c r="F1383" s="63"/>
      <c r="G1383" s="63"/>
      <c r="H1383" s="25"/>
      <c r="P1383" s="25"/>
    </row>
    <row r="1384" spans="2:16">
      <c r="B1384" s="63"/>
      <c r="C1384" s="63"/>
      <c r="D1384" s="63"/>
      <c r="E1384" s="63"/>
      <c r="F1384" s="63"/>
      <c r="G1384" s="63"/>
      <c r="H1384" s="25"/>
      <c r="P1384" s="25"/>
    </row>
    <row r="1385" spans="2:16">
      <c r="B1385" s="63"/>
      <c r="C1385" s="63"/>
      <c r="D1385" s="63"/>
      <c r="E1385" s="63"/>
      <c r="F1385" s="63"/>
      <c r="G1385" s="63"/>
      <c r="H1385" s="25"/>
      <c r="P1385" s="25"/>
    </row>
    <row r="1386" spans="2:16">
      <c r="B1386" s="63"/>
      <c r="C1386" s="63"/>
      <c r="D1386" s="63"/>
      <c r="E1386" s="63"/>
      <c r="F1386" s="63"/>
      <c r="G1386" s="63"/>
      <c r="H1386" s="25"/>
      <c r="P1386" s="25"/>
    </row>
    <row r="1387" spans="2:16">
      <c r="B1387" s="63"/>
      <c r="C1387" s="63"/>
      <c r="D1387" s="63"/>
      <c r="E1387" s="63"/>
      <c r="F1387" s="63"/>
      <c r="G1387" s="63"/>
      <c r="H1387" s="25"/>
      <c r="P1387" s="25"/>
    </row>
    <row r="1388" spans="2:16">
      <c r="B1388" s="63"/>
      <c r="C1388" s="63"/>
      <c r="D1388" s="63"/>
      <c r="E1388" s="63"/>
      <c r="F1388" s="63"/>
      <c r="G1388" s="63"/>
      <c r="H1388" s="25"/>
      <c r="P1388" s="25"/>
    </row>
    <row r="1389" spans="2:16">
      <c r="B1389" s="63"/>
      <c r="C1389" s="63"/>
      <c r="D1389" s="63"/>
      <c r="E1389" s="63"/>
      <c r="F1389" s="63"/>
      <c r="G1389" s="63"/>
      <c r="H1389" s="25"/>
      <c r="P1389" s="25"/>
    </row>
    <row r="1390" spans="2:16">
      <c r="B1390" s="63"/>
      <c r="C1390" s="63"/>
      <c r="D1390" s="63"/>
      <c r="E1390" s="63"/>
      <c r="F1390" s="63"/>
      <c r="G1390" s="63"/>
      <c r="H1390" s="25"/>
      <c r="P1390" s="25"/>
    </row>
    <row r="1391" spans="2:16">
      <c r="B1391" s="63"/>
      <c r="C1391" s="63"/>
      <c r="D1391" s="63"/>
      <c r="E1391" s="63"/>
      <c r="F1391" s="63"/>
      <c r="G1391" s="63"/>
      <c r="H1391" s="25"/>
      <c r="P1391" s="25"/>
    </row>
    <row r="1392" spans="2:16">
      <c r="B1392" s="63"/>
      <c r="C1392" s="63"/>
      <c r="D1392" s="63"/>
      <c r="E1392" s="63"/>
      <c r="F1392" s="63"/>
      <c r="G1392" s="63"/>
      <c r="H1392" s="25"/>
      <c r="P1392" s="25"/>
    </row>
    <row r="1393" spans="2:16">
      <c r="B1393" s="63"/>
      <c r="C1393" s="63"/>
      <c r="D1393" s="63"/>
      <c r="E1393" s="63"/>
      <c r="F1393" s="63"/>
      <c r="G1393" s="63"/>
      <c r="H1393" s="25"/>
      <c r="P1393" s="25"/>
    </row>
    <row r="1394" spans="2:16">
      <c r="B1394" s="63"/>
      <c r="C1394" s="63"/>
      <c r="D1394" s="63"/>
      <c r="E1394" s="63"/>
      <c r="F1394" s="63"/>
      <c r="G1394" s="63"/>
      <c r="H1394" s="25"/>
      <c r="P1394" s="25"/>
    </row>
    <row r="1395" spans="2:16">
      <c r="B1395" s="63"/>
      <c r="C1395" s="63"/>
      <c r="D1395" s="63"/>
      <c r="E1395" s="63"/>
      <c r="F1395" s="63"/>
      <c r="G1395" s="63"/>
      <c r="H1395" s="25"/>
      <c r="P1395" s="25"/>
    </row>
    <row r="1396" spans="2:16">
      <c r="B1396" s="63"/>
      <c r="C1396" s="63"/>
      <c r="D1396" s="63"/>
      <c r="E1396" s="63"/>
      <c r="F1396" s="63"/>
      <c r="G1396" s="63"/>
      <c r="H1396" s="25"/>
      <c r="P1396" s="25"/>
    </row>
    <row r="1397" spans="2:16">
      <c r="B1397" s="63"/>
      <c r="C1397" s="63"/>
      <c r="D1397" s="63"/>
      <c r="E1397" s="63"/>
      <c r="F1397" s="63"/>
      <c r="G1397" s="63"/>
      <c r="H1397" s="25"/>
      <c r="P1397" s="25"/>
    </row>
    <row r="1398" spans="2:16">
      <c r="B1398" s="63"/>
      <c r="C1398" s="63"/>
      <c r="D1398" s="63"/>
      <c r="E1398" s="63"/>
      <c r="F1398" s="63"/>
      <c r="G1398" s="63"/>
      <c r="H1398" s="25"/>
      <c r="P1398" s="25"/>
    </row>
    <row r="1399" spans="2:16">
      <c r="B1399" s="63"/>
      <c r="C1399" s="63"/>
      <c r="D1399" s="63"/>
      <c r="E1399" s="63"/>
      <c r="F1399" s="63"/>
      <c r="G1399" s="63"/>
      <c r="H1399" s="25"/>
      <c r="P1399" s="25"/>
    </row>
    <row r="1400" spans="2:16">
      <c r="B1400" s="63"/>
      <c r="C1400" s="63"/>
      <c r="D1400" s="63"/>
      <c r="E1400" s="63"/>
      <c r="F1400" s="63"/>
      <c r="G1400" s="63"/>
      <c r="H1400" s="25"/>
      <c r="P1400" s="25"/>
    </row>
    <row r="1401" spans="2:16">
      <c r="B1401" s="63"/>
      <c r="C1401" s="63"/>
      <c r="D1401" s="63"/>
      <c r="E1401" s="63"/>
      <c r="F1401" s="63"/>
      <c r="G1401" s="63"/>
      <c r="H1401" s="25"/>
      <c r="P1401" s="25"/>
    </row>
    <row r="1402" spans="2:16">
      <c r="B1402" s="63"/>
      <c r="C1402" s="63"/>
      <c r="D1402" s="63"/>
      <c r="E1402" s="63"/>
      <c r="F1402" s="63"/>
      <c r="G1402" s="63"/>
      <c r="H1402" s="25"/>
      <c r="P1402" s="25"/>
    </row>
    <row r="1403" spans="2:16">
      <c r="B1403" s="63"/>
      <c r="C1403" s="63"/>
      <c r="D1403" s="63"/>
      <c r="E1403" s="63"/>
      <c r="F1403" s="63"/>
      <c r="G1403" s="63"/>
      <c r="H1403" s="25"/>
      <c r="P1403" s="25"/>
    </row>
    <row r="1404" spans="2:16">
      <c r="B1404" s="63"/>
      <c r="C1404" s="63"/>
      <c r="D1404" s="63"/>
      <c r="E1404" s="63"/>
      <c r="F1404" s="63"/>
      <c r="G1404" s="63"/>
      <c r="H1404" s="25"/>
      <c r="P1404" s="25"/>
    </row>
    <row r="1405" spans="2:16">
      <c r="B1405" s="63"/>
      <c r="C1405" s="63"/>
      <c r="D1405" s="63"/>
      <c r="E1405" s="63"/>
      <c r="F1405" s="63"/>
      <c r="G1405" s="63"/>
      <c r="H1405" s="25"/>
      <c r="P1405" s="25"/>
    </row>
    <row r="1406" spans="2:16">
      <c r="B1406" s="63"/>
      <c r="C1406" s="63"/>
      <c r="D1406" s="63"/>
      <c r="E1406" s="63"/>
      <c r="F1406" s="63"/>
      <c r="G1406" s="63"/>
      <c r="H1406" s="25"/>
      <c r="P1406" s="25"/>
    </row>
    <row r="1407" spans="2:16">
      <c r="B1407" s="63"/>
      <c r="C1407" s="63"/>
      <c r="D1407" s="63"/>
      <c r="E1407" s="63"/>
      <c r="F1407" s="63"/>
      <c r="G1407" s="63"/>
      <c r="H1407" s="25"/>
      <c r="P1407" s="25"/>
    </row>
    <row r="1408" spans="2:16">
      <c r="B1408" s="63"/>
      <c r="C1408" s="63"/>
      <c r="D1408" s="63"/>
      <c r="E1408" s="63"/>
      <c r="F1408" s="63"/>
      <c r="G1408" s="63"/>
      <c r="H1408" s="25"/>
      <c r="P1408" s="25"/>
    </row>
    <row r="1409" spans="2:16">
      <c r="B1409" s="63"/>
      <c r="C1409" s="63"/>
      <c r="D1409" s="63"/>
      <c r="E1409" s="63"/>
      <c r="F1409" s="63"/>
      <c r="G1409" s="63"/>
      <c r="H1409" s="25"/>
      <c r="P1409" s="25"/>
    </row>
    <row r="1410" spans="2:16">
      <c r="B1410" s="63"/>
      <c r="C1410" s="63"/>
      <c r="D1410" s="63"/>
      <c r="E1410" s="63"/>
      <c r="F1410" s="63"/>
      <c r="G1410" s="63"/>
      <c r="H1410" s="25"/>
      <c r="P1410" s="25"/>
    </row>
    <row r="1411" spans="2:16">
      <c r="B1411" s="63"/>
      <c r="C1411" s="63"/>
      <c r="D1411" s="63"/>
      <c r="E1411" s="63"/>
      <c r="F1411" s="63"/>
      <c r="G1411" s="63"/>
      <c r="H1411" s="25"/>
      <c r="P1411" s="25"/>
    </row>
    <row r="1412" spans="2:16">
      <c r="B1412" s="63"/>
      <c r="C1412" s="63"/>
      <c r="D1412" s="63"/>
      <c r="E1412" s="63"/>
      <c r="F1412" s="63"/>
      <c r="G1412" s="63"/>
      <c r="H1412" s="25"/>
      <c r="P1412" s="25"/>
    </row>
    <row r="1413" spans="2:16">
      <c r="B1413" s="63"/>
      <c r="C1413" s="63"/>
      <c r="D1413" s="63"/>
      <c r="E1413" s="63"/>
      <c r="F1413" s="63"/>
      <c r="G1413" s="63"/>
      <c r="H1413" s="25"/>
      <c r="P1413" s="25"/>
    </row>
    <row r="1414" spans="2:16">
      <c r="B1414" s="63"/>
      <c r="C1414" s="63"/>
      <c r="D1414" s="63"/>
      <c r="E1414" s="63"/>
      <c r="F1414" s="63"/>
      <c r="G1414" s="63"/>
      <c r="H1414" s="25"/>
      <c r="P1414" s="25"/>
    </row>
    <row r="1415" spans="2:16">
      <c r="B1415" s="63"/>
      <c r="C1415" s="63"/>
      <c r="D1415" s="63"/>
      <c r="E1415" s="63"/>
      <c r="F1415" s="63"/>
      <c r="G1415" s="63"/>
      <c r="H1415" s="25"/>
      <c r="P1415" s="25"/>
    </row>
    <row r="1416" spans="2:16">
      <c r="B1416" s="63"/>
      <c r="C1416" s="63"/>
      <c r="D1416" s="63"/>
      <c r="E1416" s="63"/>
      <c r="F1416" s="63"/>
      <c r="G1416" s="63"/>
      <c r="H1416" s="25"/>
      <c r="P1416" s="25"/>
    </row>
    <row r="1417" spans="2:16">
      <c r="B1417" s="63"/>
      <c r="C1417" s="63"/>
      <c r="D1417" s="63"/>
      <c r="E1417" s="63"/>
      <c r="F1417" s="63"/>
      <c r="G1417" s="63"/>
      <c r="H1417" s="25"/>
      <c r="P1417" s="25"/>
    </row>
    <row r="1418" spans="2:16">
      <c r="B1418" s="63"/>
      <c r="C1418" s="63"/>
      <c r="D1418" s="63"/>
      <c r="E1418" s="63"/>
      <c r="F1418" s="63"/>
      <c r="G1418" s="63"/>
      <c r="H1418" s="25"/>
      <c r="P1418" s="25"/>
    </row>
    <row r="1419" spans="2:16">
      <c r="B1419" s="63"/>
      <c r="C1419" s="63"/>
      <c r="D1419" s="63"/>
      <c r="E1419" s="63"/>
      <c r="F1419" s="63"/>
      <c r="G1419" s="63"/>
      <c r="H1419" s="25"/>
      <c r="P1419" s="25"/>
    </row>
    <row r="1420" spans="2:16">
      <c r="B1420" s="63"/>
      <c r="C1420" s="63"/>
      <c r="D1420" s="63"/>
      <c r="E1420" s="63"/>
      <c r="F1420" s="63"/>
      <c r="G1420" s="63"/>
      <c r="H1420" s="25"/>
      <c r="P1420" s="25"/>
    </row>
    <row r="1421" spans="2:16">
      <c r="B1421" s="63"/>
      <c r="C1421" s="63"/>
      <c r="D1421" s="63"/>
      <c r="E1421" s="63"/>
      <c r="F1421" s="63"/>
      <c r="G1421" s="63"/>
      <c r="H1421" s="25"/>
      <c r="P1421" s="25"/>
    </row>
    <row r="1422" spans="2:16">
      <c r="B1422" s="63"/>
      <c r="C1422" s="63"/>
      <c r="D1422" s="63"/>
      <c r="E1422" s="63"/>
      <c r="F1422" s="63"/>
      <c r="G1422" s="63"/>
      <c r="H1422" s="25"/>
      <c r="P1422" s="25"/>
    </row>
    <row r="1423" spans="2:16">
      <c r="B1423" s="63"/>
      <c r="C1423" s="63"/>
      <c r="D1423" s="63"/>
      <c r="E1423" s="63"/>
      <c r="F1423" s="63"/>
      <c r="G1423" s="63"/>
      <c r="H1423" s="25"/>
      <c r="P1423" s="25"/>
    </row>
    <row r="1424" spans="2:16">
      <c r="B1424" s="63"/>
      <c r="C1424" s="63"/>
      <c r="D1424" s="63"/>
      <c r="E1424" s="63"/>
      <c r="F1424" s="63"/>
      <c r="G1424" s="63"/>
      <c r="H1424" s="25"/>
      <c r="P1424" s="25"/>
    </row>
    <row r="1425" spans="2:16">
      <c r="B1425" s="63"/>
      <c r="C1425" s="63"/>
      <c r="D1425" s="63"/>
      <c r="E1425" s="63"/>
      <c r="F1425" s="63"/>
      <c r="G1425" s="63"/>
      <c r="H1425" s="25"/>
      <c r="P1425" s="25"/>
    </row>
    <row r="1426" spans="2:16">
      <c r="B1426" s="63"/>
      <c r="C1426" s="63"/>
      <c r="D1426" s="63"/>
      <c r="E1426" s="63"/>
      <c r="F1426" s="63"/>
      <c r="G1426" s="63"/>
      <c r="H1426" s="25"/>
      <c r="P1426" s="25"/>
    </row>
    <row r="1427" spans="2:16">
      <c r="B1427" s="63"/>
      <c r="C1427" s="63"/>
      <c r="D1427" s="63"/>
      <c r="E1427" s="63"/>
      <c r="F1427" s="63"/>
      <c r="G1427" s="63"/>
      <c r="H1427" s="25"/>
      <c r="P1427" s="25"/>
    </row>
    <row r="1428" spans="2:16">
      <c r="B1428" s="63"/>
      <c r="C1428" s="63"/>
      <c r="D1428" s="63"/>
      <c r="E1428" s="63"/>
      <c r="F1428" s="63"/>
      <c r="G1428" s="63"/>
      <c r="H1428" s="25"/>
      <c r="P1428" s="25"/>
    </row>
    <row r="1429" spans="2:16">
      <c r="B1429" s="63"/>
      <c r="C1429" s="63"/>
      <c r="D1429" s="63"/>
      <c r="E1429" s="63"/>
      <c r="F1429" s="63"/>
      <c r="G1429" s="63"/>
      <c r="H1429" s="25"/>
      <c r="P1429" s="25"/>
    </row>
    <row r="1430" spans="2:16">
      <c r="B1430" s="63"/>
      <c r="C1430" s="63"/>
      <c r="D1430" s="63"/>
      <c r="E1430" s="63"/>
      <c r="F1430" s="63"/>
      <c r="G1430" s="63"/>
      <c r="H1430" s="25"/>
      <c r="P1430" s="25"/>
    </row>
    <row r="1431" spans="2:16">
      <c r="B1431" s="63"/>
      <c r="C1431" s="63"/>
      <c r="D1431" s="63"/>
      <c r="E1431" s="63"/>
      <c r="F1431" s="63"/>
      <c r="G1431" s="63"/>
      <c r="H1431" s="25"/>
      <c r="P1431" s="25"/>
    </row>
    <row r="1432" spans="2:16">
      <c r="B1432" s="63"/>
      <c r="C1432" s="63"/>
      <c r="D1432" s="63"/>
      <c r="E1432" s="63"/>
      <c r="F1432" s="63"/>
      <c r="G1432" s="63"/>
      <c r="H1432" s="25"/>
      <c r="P1432" s="25"/>
    </row>
    <row r="1433" spans="2:16">
      <c r="B1433" s="63"/>
      <c r="C1433" s="63"/>
      <c r="D1433" s="63"/>
      <c r="E1433" s="63"/>
      <c r="F1433" s="63"/>
      <c r="G1433" s="63"/>
      <c r="H1433" s="25"/>
      <c r="P1433" s="25"/>
    </row>
    <row r="1434" spans="2:16">
      <c r="B1434" s="63"/>
      <c r="C1434" s="63"/>
      <c r="D1434" s="63"/>
      <c r="E1434" s="63"/>
      <c r="F1434" s="63"/>
      <c r="G1434" s="63"/>
      <c r="H1434" s="25"/>
      <c r="P1434" s="25"/>
    </row>
    <row r="1435" spans="2:16">
      <c r="B1435" s="63"/>
      <c r="C1435" s="63"/>
      <c r="D1435" s="63"/>
      <c r="E1435" s="63"/>
      <c r="F1435" s="63"/>
      <c r="G1435" s="63"/>
      <c r="H1435" s="25"/>
      <c r="P1435" s="25"/>
    </row>
    <row r="1436" spans="2:16">
      <c r="B1436" s="63"/>
      <c r="C1436" s="63"/>
      <c r="D1436" s="63"/>
      <c r="E1436" s="63"/>
      <c r="F1436" s="63"/>
      <c r="G1436" s="63"/>
      <c r="H1436" s="25"/>
      <c r="P1436" s="25"/>
    </row>
    <row r="1437" spans="2:16">
      <c r="B1437" s="63"/>
      <c r="C1437" s="63"/>
      <c r="D1437" s="63"/>
      <c r="E1437" s="63"/>
      <c r="F1437" s="63"/>
      <c r="G1437" s="63"/>
      <c r="H1437" s="25"/>
      <c r="P1437" s="25"/>
    </row>
    <row r="1438" spans="2:16">
      <c r="B1438" s="63"/>
      <c r="C1438" s="63"/>
      <c r="D1438" s="63"/>
      <c r="E1438" s="63"/>
      <c r="F1438" s="63"/>
      <c r="G1438" s="63"/>
      <c r="H1438" s="25"/>
      <c r="P1438" s="25"/>
    </row>
    <row r="1439" spans="2:16">
      <c r="B1439" s="63"/>
      <c r="C1439" s="63"/>
      <c r="D1439" s="63"/>
      <c r="E1439" s="63"/>
      <c r="F1439" s="63"/>
      <c r="G1439" s="63"/>
      <c r="H1439" s="25"/>
      <c r="P1439" s="25"/>
    </row>
    <row r="1440" spans="2:16">
      <c r="B1440" s="63"/>
      <c r="C1440" s="63"/>
      <c r="D1440" s="63"/>
      <c r="E1440" s="63"/>
      <c r="F1440" s="63"/>
      <c r="G1440" s="63"/>
      <c r="H1440" s="25"/>
      <c r="P1440" s="25"/>
    </row>
    <row r="1441" spans="2:16">
      <c r="B1441" s="63"/>
      <c r="C1441" s="63"/>
      <c r="D1441" s="63"/>
      <c r="E1441" s="63"/>
      <c r="F1441" s="63"/>
      <c r="G1441" s="63"/>
      <c r="H1441" s="25"/>
      <c r="P1441" s="25"/>
    </row>
    <row r="1442" spans="2:16">
      <c r="B1442" s="63"/>
      <c r="C1442" s="63"/>
      <c r="D1442" s="63"/>
      <c r="E1442" s="63"/>
      <c r="F1442" s="63"/>
      <c r="G1442" s="63"/>
      <c r="H1442" s="25"/>
      <c r="P1442" s="25"/>
    </row>
    <row r="1443" spans="2:16">
      <c r="B1443" s="63"/>
      <c r="C1443" s="63"/>
      <c r="D1443" s="63"/>
      <c r="E1443" s="63"/>
      <c r="F1443" s="63"/>
      <c r="G1443" s="63"/>
      <c r="H1443" s="25"/>
      <c r="P1443" s="25"/>
    </row>
    <row r="1444" spans="2:16">
      <c r="B1444" s="63"/>
      <c r="C1444" s="63"/>
      <c r="D1444" s="63"/>
      <c r="E1444" s="63"/>
      <c r="F1444" s="63"/>
      <c r="G1444" s="63"/>
      <c r="H1444" s="25"/>
      <c r="P1444" s="25"/>
    </row>
    <row r="1445" spans="2:16">
      <c r="B1445" s="63"/>
      <c r="C1445" s="63"/>
      <c r="D1445" s="63"/>
      <c r="E1445" s="63"/>
      <c r="F1445" s="63"/>
      <c r="G1445" s="63"/>
      <c r="H1445" s="25"/>
      <c r="P1445" s="25"/>
    </row>
    <row r="1446" spans="2:16">
      <c r="B1446" s="63"/>
      <c r="C1446" s="63"/>
      <c r="D1446" s="63"/>
      <c r="E1446" s="63"/>
      <c r="F1446" s="63"/>
      <c r="G1446" s="63"/>
      <c r="H1446" s="25"/>
      <c r="P1446" s="25"/>
    </row>
    <row r="1447" spans="2:16">
      <c r="B1447" s="63"/>
      <c r="C1447" s="63"/>
      <c r="D1447" s="63"/>
      <c r="E1447" s="63"/>
      <c r="F1447" s="63"/>
      <c r="G1447" s="63"/>
      <c r="H1447" s="25"/>
      <c r="P1447" s="25"/>
    </row>
    <row r="1448" spans="2:16">
      <c r="B1448" s="63"/>
      <c r="C1448" s="63"/>
      <c r="D1448" s="63"/>
      <c r="E1448" s="63"/>
      <c r="F1448" s="63"/>
      <c r="G1448" s="63"/>
      <c r="H1448" s="25"/>
      <c r="P1448" s="25"/>
    </row>
    <row r="1449" spans="2:16">
      <c r="B1449" s="63"/>
      <c r="C1449" s="63"/>
      <c r="D1449" s="63"/>
      <c r="E1449" s="63"/>
      <c r="F1449" s="63"/>
      <c r="G1449" s="63"/>
      <c r="H1449" s="25"/>
      <c r="P1449" s="25"/>
    </row>
    <row r="1450" spans="2:16">
      <c r="B1450" s="63"/>
      <c r="C1450" s="63"/>
      <c r="D1450" s="63"/>
      <c r="E1450" s="63"/>
      <c r="F1450" s="63"/>
      <c r="G1450" s="63"/>
      <c r="H1450" s="25"/>
      <c r="P1450" s="25"/>
    </row>
    <row r="1451" spans="2:16">
      <c r="B1451" s="63"/>
      <c r="C1451" s="63"/>
      <c r="D1451" s="63"/>
      <c r="E1451" s="63"/>
      <c r="F1451" s="63"/>
      <c r="G1451" s="63"/>
      <c r="H1451" s="25"/>
      <c r="P1451" s="25"/>
    </row>
    <row r="1452" spans="2:16">
      <c r="B1452" s="63"/>
      <c r="C1452" s="63"/>
      <c r="D1452" s="63"/>
      <c r="E1452" s="63"/>
      <c r="F1452" s="63"/>
      <c r="G1452" s="63"/>
      <c r="H1452" s="25"/>
      <c r="P1452" s="25"/>
    </row>
    <row r="1453" spans="2:16">
      <c r="B1453" s="63"/>
      <c r="C1453" s="63"/>
      <c r="D1453" s="63"/>
      <c r="E1453" s="63"/>
      <c r="F1453" s="63"/>
      <c r="G1453" s="63"/>
      <c r="H1453" s="25"/>
      <c r="P1453" s="25"/>
    </row>
    <row r="1454" spans="2:16">
      <c r="B1454" s="63"/>
      <c r="C1454" s="63"/>
      <c r="D1454" s="63"/>
      <c r="E1454" s="63"/>
      <c r="F1454" s="63"/>
      <c r="G1454" s="63"/>
      <c r="H1454" s="25"/>
      <c r="P1454" s="25"/>
    </row>
    <row r="1455" spans="2:16">
      <c r="B1455" s="63"/>
      <c r="C1455" s="63"/>
      <c r="D1455" s="63"/>
      <c r="E1455" s="63"/>
      <c r="F1455" s="63"/>
      <c r="G1455" s="63"/>
      <c r="H1455" s="25"/>
      <c r="P1455" s="25"/>
    </row>
    <row r="1456" spans="2:16">
      <c r="B1456" s="63"/>
      <c r="C1456" s="63"/>
      <c r="D1456" s="63"/>
      <c r="E1456" s="63"/>
      <c r="F1456" s="63"/>
      <c r="G1456" s="63"/>
      <c r="H1456" s="25"/>
      <c r="P1456" s="25"/>
    </row>
    <row r="1457" spans="2:16">
      <c r="B1457" s="63"/>
      <c r="C1457" s="63"/>
      <c r="D1457" s="63"/>
      <c r="E1457" s="63"/>
      <c r="F1457" s="63"/>
      <c r="G1457" s="63"/>
      <c r="H1457" s="25"/>
      <c r="P1457" s="25"/>
    </row>
    <row r="1458" spans="2:16">
      <c r="B1458" s="63"/>
      <c r="C1458" s="63"/>
      <c r="D1458" s="63"/>
      <c r="E1458" s="63"/>
      <c r="F1458" s="63"/>
      <c r="G1458" s="63"/>
      <c r="H1458" s="25"/>
      <c r="P1458" s="25"/>
    </row>
    <row r="1459" spans="2:16">
      <c r="B1459" s="63"/>
      <c r="C1459" s="63"/>
      <c r="D1459" s="63"/>
      <c r="E1459" s="63"/>
      <c r="F1459" s="63"/>
      <c r="G1459" s="63"/>
      <c r="H1459" s="25"/>
      <c r="P1459" s="25"/>
    </row>
    <row r="1460" spans="2:16">
      <c r="B1460" s="63"/>
      <c r="C1460" s="63"/>
      <c r="D1460" s="63"/>
      <c r="E1460" s="63"/>
      <c r="F1460" s="63"/>
      <c r="G1460" s="63"/>
      <c r="H1460" s="25"/>
      <c r="P1460" s="25"/>
    </row>
    <row r="1461" spans="2:16">
      <c r="B1461" s="63"/>
      <c r="C1461" s="63"/>
      <c r="D1461" s="63"/>
      <c r="E1461" s="63"/>
      <c r="F1461" s="63"/>
      <c r="G1461" s="63"/>
      <c r="H1461" s="25"/>
      <c r="P1461" s="25"/>
    </row>
    <row r="1462" spans="2:16">
      <c r="B1462" s="63"/>
      <c r="C1462" s="63"/>
      <c r="D1462" s="63"/>
      <c r="E1462" s="63"/>
      <c r="F1462" s="63"/>
      <c r="G1462" s="63"/>
      <c r="H1462" s="25"/>
      <c r="P1462" s="25"/>
    </row>
    <row r="1463" spans="2:16">
      <c r="B1463" s="63"/>
      <c r="C1463" s="63"/>
      <c r="D1463" s="63"/>
      <c r="E1463" s="63"/>
      <c r="F1463" s="63"/>
      <c r="G1463" s="63"/>
      <c r="H1463" s="25"/>
      <c r="P1463" s="25"/>
    </row>
    <row r="1464" spans="2:16">
      <c r="B1464" s="63"/>
      <c r="C1464" s="63"/>
      <c r="D1464" s="63"/>
      <c r="E1464" s="63"/>
      <c r="F1464" s="63"/>
      <c r="G1464" s="63"/>
      <c r="H1464" s="25"/>
      <c r="P1464" s="25"/>
    </row>
    <row r="1465" spans="2:16">
      <c r="B1465" s="63"/>
      <c r="C1465" s="63"/>
      <c r="D1465" s="63"/>
      <c r="E1465" s="63"/>
      <c r="F1465" s="63"/>
      <c r="G1465" s="63"/>
      <c r="H1465" s="25"/>
      <c r="P1465" s="25"/>
    </row>
    <row r="1466" spans="2:16">
      <c r="B1466" s="63"/>
      <c r="C1466" s="63"/>
      <c r="D1466" s="63"/>
      <c r="E1466" s="63"/>
      <c r="F1466" s="63"/>
      <c r="G1466" s="63"/>
      <c r="H1466" s="25"/>
      <c r="P1466" s="25"/>
    </row>
    <row r="1467" spans="2:16">
      <c r="B1467" s="63"/>
      <c r="C1467" s="63"/>
      <c r="D1467" s="63"/>
      <c r="E1467" s="63"/>
      <c r="F1467" s="63"/>
      <c r="G1467" s="63"/>
      <c r="H1467" s="25"/>
      <c r="P1467" s="25"/>
    </row>
    <row r="1468" spans="2:16">
      <c r="B1468" s="63"/>
      <c r="C1468" s="63"/>
      <c r="D1468" s="63"/>
      <c r="E1468" s="63"/>
      <c r="F1468" s="63"/>
      <c r="G1468" s="63"/>
      <c r="H1468" s="25"/>
      <c r="P1468" s="25"/>
    </row>
    <row r="1469" spans="2:16">
      <c r="B1469" s="63"/>
      <c r="C1469" s="63"/>
      <c r="D1469" s="63"/>
      <c r="E1469" s="63"/>
      <c r="F1469" s="63"/>
      <c r="G1469" s="63"/>
      <c r="H1469" s="25"/>
      <c r="P1469" s="25"/>
    </row>
    <row r="1470" spans="2:16">
      <c r="B1470" s="63"/>
      <c r="C1470" s="63"/>
      <c r="D1470" s="63"/>
      <c r="E1470" s="63"/>
      <c r="F1470" s="63"/>
      <c r="G1470" s="63"/>
      <c r="H1470" s="25"/>
      <c r="P1470" s="25"/>
    </row>
    <row r="1471" spans="2:16">
      <c r="B1471" s="63"/>
      <c r="C1471" s="63"/>
      <c r="D1471" s="63"/>
      <c r="E1471" s="63"/>
      <c r="F1471" s="63"/>
      <c r="G1471" s="63"/>
      <c r="H1471" s="25"/>
      <c r="P1471" s="25"/>
    </row>
    <row r="1472" spans="2:16">
      <c r="B1472" s="63"/>
      <c r="C1472" s="63"/>
      <c r="D1472" s="63"/>
      <c r="E1472" s="63"/>
      <c r="F1472" s="63"/>
      <c r="G1472" s="63"/>
      <c r="H1472" s="25"/>
      <c r="P1472" s="25"/>
    </row>
    <row r="1473" spans="2:16">
      <c r="B1473" s="63"/>
      <c r="C1473" s="63"/>
      <c r="D1473" s="63"/>
      <c r="E1473" s="63"/>
      <c r="F1473" s="63"/>
      <c r="G1473" s="63"/>
      <c r="H1473" s="25"/>
      <c r="P1473" s="25"/>
    </row>
    <row r="1474" spans="2:16">
      <c r="B1474" s="63"/>
      <c r="C1474" s="63"/>
      <c r="D1474" s="63"/>
      <c r="E1474" s="63"/>
      <c r="F1474" s="63"/>
      <c r="G1474" s="63"/>
      <c r="H1474" s="25"/>
      <c r="P1474" s="25"/>
    </row>
    <row r="1475" spans="2:16">
      <c r="B1475" s="63"/>
      <c r="C1475" s="63"/>
      <c r="D1475" s="63"/>
      <c r="E1475" s="63"/>
      <c r="F1475" s="63"/>
      <c r="G1475" s="63"/>
      <c r="H1475" s="25"/>
      <c r="P1475" s="25"/>
    </row>
    <row r="1476" spans="2:16">
      <c r="B1476" s="63"/>
      <c r="C1476" s="63"/>
      <c r="D1476" s="63"/>
      <c r="E1476" s="63"/>
      <c r="F1476" s="63"/>
      <c r="G1476" s="63"/>
      <c r="H1476" s="25"/>
      <c r="P1476" s="25"/>
    </row>
    <row r="1477" spans="2:16">
      <c r="B1477" s="63"/>
      <c r="C1477" s="63"/>
      <c r="D1477" s="63"/>
      <c r="E1477" s="63"/>
      <c r="F1477" s="63"/>
      <c r="G1477" s="63"/>
      <c r="H1477" s="25"/>
      <c r="P1477" s="25"/>
    </row>
    <row r="1478" spans="2:16">
      <c r="B1478" s="63"/>
      <c r="C1478" s="63"/>
      <c r="D1478" s="63"/>
      <c r="E1478" s="63"/>
      <c r="F1478" s="63"/>
      <c r="G1478" s="63"/>
      <c r="H1478" s="25"/>
      <c r="P1478" s="25"/>
    </row>
    <row r="1479" spans="2:16">
      <c r="B1479" s="63"/>
      <c r="C1479" s="63"/>
      <c r="D1479" s="63"/>
      <c r="E1479" s="63"/>
      <c r="F1479" s="63"/>
      <c r="G1479" s="63"/>
      <c r="H1479" s="25"/>
      <c r="P1479" s="25"/>
    </row>
    <row r="1480" spans="2:16">
      <c r="B1480" s="63"/>
      <c r="C1480" s="63"/>
      <c r="D1480" s="63"/>
      <c r="E1480" s="63"/>
      <c r="F1480" s="63"/>
      <c r="G1480" s="63"/>
      <c r="H1480" s="25"/>
      <c r="P1480" s="25"/>
    </row>
    <row r="1481" spans="2:16">
      <c r="B1481" s="63"/>
      <c r="C1481" s="63"/>
      <c r="D1481" s="63"/>
      <c r="E1481" s="63"/>
      <c r="F1481" s="63"/>
      <c r="G1481" s="63"/>
      <c r="H1481" s="25"/>
      <c r="P1481" s="25"/>
    </row>
    <row r="1482" spans="2:16">
      <c r="B1482" s="63"/>
      <c r="C1482" s="63"/>
      <c r="D1482" s="63"/>
      <c r="E1482" s="63"/>
      <c r="F1482" s="63"/>
      <c r="G1482" s="63"/>
      <c r="H1482" s="25"/>
      <c r="P1482" s="25"/>
    </row>
    <row r="1483" spans="2:16">
      <c r="B1483" s="63"/>
      <c r="C1483" s="63"/>
      <c r="D1483" s="63"/>
      <c r="E1483" s="63"/>
      <c r="F1483" s="63"/>
      <c r="G1483" s="63"/>
      <c r="H1483" s="25"/>
      <c r="P1483" s="25"/>
    </row>
    <row r="1484" spans="2:16">
      <c r="B1484" s="63"/>
      <c r="C1484" s="63"/>
      <c r="D1484" s="63"/>
      <c r="E1484" s="63"/>
      <c r="F1484" s="63"/>
      <c r="G1484" s="63"/>
      <c r="H1484" s="25"/>
      <c r="P1484" s="25"/>
    </row>
    <row r="1485" spans="2:16">
      <c r="B1485" s="63"/>
      <c r="C1485" s="63"/>
      <c r="D1485" s="63"/>
      <c r="E1485" s="63"/>
      <c r="F1485" s="63"/>
      <c r="G1485" s="63"/>
      <c r="H1485" s="25"/>
      <c r="P1485" s="25"/>
    </row>
    <row r="1486" spans="2:16">
      <c r="B1486" s="63"/>
      <c r="C1486" s="63"/>
      <c r="D1486" s="63"/>
      <c r="E1486" s="63"/>
      <c r="F1486" s="63"/>
      <c r="G1486" s="63"/>
      <c r="H1486" s="25"/>
      <c r="P1486" s="25"/>
    </row>
    <row r="1487" spans="2:16">
      <c r="B1487" s="63"/>
      <c r="C1487" s="63"/>
      <c r="D1487" s="63"/>
      <c r="E1487" s="63"/>
      <c r="F1487" s="63"/>
      <c r="G1487" s="63"/>
      <c r="H1487" s="25"/>
      <c r="P1487" s="25"/>
    </row>
    <row r="1488" spans="2:16">
      <c r="B1488" s="63"/>
      <c r="C1488" s="63"/>
      <c r="D1488" s="63"/>
      <c r="E1488" s="63"/>
      <c r="F1488" s="63"/>
      <c r="G1488" s="63"/>
      <c r="H1488" s="25"/>
      <c r="P1488" s="25"/>
    </row>
    <row r="1489" spans="2:16">
      <c r="B1489" s="63"/>
      <c r="C1489" s="63"/>
      <c r="D1489" s="63"/>
      <c r="E1489" s="63"/>
      <c r="F1489" s="63"/>
      <c r="G1489" s="63"/>
      <c r="H1489" s="25"/>
      <c r="P1489" s="25"/>
    </row>
    <row r="1490" spans="2:16">
      <c r="B1490" s="63"/>
      <c r="C1490" s="63"/>
      <c r="D1490" s="63"/>
      <c r="E1490" s="63"/>
      <c r="F1490" s="63"/>
      <c r="G1490" s="63"/>
      <c r="H1490" s="25"/>
      <c r="P1490" s="25"/>
    </row>
    <row r="1491" spans="2:16">
      <c r="B1491" s="63"/>
      <c r="C1491" s="63"/>
      <c r="D1491" s="63"/>
      <c r="E1491" s="63"/>
      <c r="F1491" s="63"/>
      <c r="G1491" s="63"/>
      <c r="H1491" s="25"/>
      <c r="P1491" s="25"/>
    </row>
    <row r="1492" spans="2:16">
      <c r="B1492" s="63"/>
      <c r="C1492" s="63"/>
      <c r="D1492" s="63"/>
      <c r="E1492" s="63"/>
      <c r="F1492" s="63"/>
      <c r="G1492" s="63"/>
      <c r="H1492" s="25"/>
      <c r="P1492" s="25"/>
    </row>
    <row r="1493" spans="2:16">
      <c r="B1493" s="63"/>
      <c r="C1493" s="63"/>
      <c r="D1493" s="63"/>
      <c r="E1493" s="63"/>
      <c r="F1493" s="63"/>
      <c r="G1493" s="63"/>
      <c r="H1493" s="25"/>
      <c r="P1493" s="25"/>
    </row>
    <row r="1494" spans="2:16">
      <c r="B1494" s="63"/>
      <c r="C1494" s="63"/>
      <c r="D1494" s="63"/>
      <c r="E1494" s="63"/>
      <c r="F1494" s="63"/>
      <c r="G1494" s="63"/>
      <c r="H1494" s="25"/>
      <c r="P1494" s="25"/>
    </row>
    <row r="1495" spans="2:16">
      <c r="B1495" s="63"/>
      <c r="C1495" s="63"/>
      <c r="D1495" s="63"/>
      <c r="E1495" s="63"/>
      <c r="F1495" s="63"/>
      <c r="G1495" s="63"/>
      <c r="H1495" s="25"/>
      <c r="P1495" s="25"/>
    </row>
    <row r="1496" spans="2:16">
      <c r="B1496" s="63"/>
      <c r="C1496" s="63"/>
      <c r="D1496" s="63"/>
      <c r="E1496" s="63"/>
      <c r="F1496" s="63"/>
      <c r="G1496" s="63"/>
      <c r="H1496" s="25"/>
      <c r="P1496" s="25"/>
    </row>
    <row r="1497" spans="2:16">
      <c r="B1497" s="63"/>
      <c r="C1497" s="63"/>
      <c r="D1497" s="63"/>
      <c r="E1497" s="63"/>
      <c r="F1497" s="63"/>
      <c r="G1497" s="63"/>
      <c r="H1497" s="25"/>
      <c r="P1497" s="25"/>
    </row>
    <row r="1498" spans="2:16">
      <c r="B1498" s="63"/>
      <c r="C1498" s="63"/>
      <c r="D1498" s="63"/>
      <c r="E1498" s="63"/>
      <c r="F1498" s="63"/>
      <c r="G1498" s="63"/>
      <c r="H1498" s="25"/>
      <c r="P1498" s="25"/>
    </row>
    <row r="1499" spans="2:16">
      <c r="B1499" s="63"/>
      <c r="C1499" s="63"/>
      <c r="D1499" s="63"/>
      <c r="E1499" s="63"/>
      <c r="F1499" s="63"/>
      <c r="G1499" s="63"/>
      <c r="H1499" s="25"/>
      <c r="P1499" s="25"/>
    </row>
    <row r="1500" spans="2:16">
      <c r="B1500" s="63"/>
      <c r="C1500" s="63"/>
      <c r="D1500" s="63"/>
      <c r="E1500" s="63"/>
      <c r="F1500" s="63"/>
      <c r="G1500" s="63"/>
      <c r="H1500" s="25"/>
      <c r="P1500" s="25"/>
    </row>
    <row r="1501" spans="2:16">
      <c r="B1501" s="63"/>
      <c r="C1501" s="63"/>
      <c r="D1501" s="63"/>
      <c r="E1501" s="63"/>
      <c r="F1501" s="63"/>
      <c r="G1501" s="63"/>
      <c r="H1501" s="25"/>
      <c r="P1501" s="25"/>
    </row>
    <row r="1502" spans="2:16">
      <c r="B1502" s="63"/>
      <c r="C1502" s="63"/>
      <c r="D1502" s="63"/>
      <c r="E1502" s="63"/>
      <c r="F1502" s="63"/>
      <c r="G1502" s="63"/>
      <c r="H1502" s="25"/>
      <c r="P1502" s="25"/>
    </row>
    <row r="1503" spans="2:16">
      <c r="B1503" s="63"/>
      <c r="C1503" s="63"/>
      <c r="D1503" s="63"/>
      <c r="E1503" s="63"/>
      <c r="F1503" s="63"/>
      <c r="G1503" s="63"/>
      <c r="H1503" s="25"/>
      <c r="P1503" s="25"/>
    </row>
    <row r="1504" spans="2:16">
      <c r="B1504" s="63"/>
      <c r="C1504" s="63"/>
      <c r="D1504" s="63"/>
      <c r="E1504" s="63"/>
      <c r="F1504" s="63"/>
      <c r="G1504" s="63"/>
      <c r="H1504" s="25"/>
      <c r="P1504" s="25"/>
    </row>
    <row r="1505" spans="2:16">
      <c r="B1505" s="63"/>
      <c r="C1505" s="63"/>
      <c r="D1505" s="63"/>
      <c r="E1505" s="63"/>
      <c r="F1505" s="63"/>
      <c r="G1505" s="63"/>
      <c r="H1505" s="25"/>
      <c r="P1505" s="25"/>
    </row>
    <row r="1506" spans="2:16">
      <c r="B1506" s="63"/>
      <c r="C1506" s="63"/>
      <c r="D1506" s="63"/>
      <c r="E1506" s="63"/>
      <c r="F1506" s="63"/>
      <c r="G1506" s="63"/>
      <c r="H1506" s="25"/>
      <c r="P1506" s="25"/>
    </row>
    <row r="1507" spans="2:16">
      <c r="B1507" s="63"/>
      <c r="C1507" s="63"/>
      <c r="D1507" s="63"/>
      <c r="E1507" s="63"/>
      <c r="F1507" s="63"/>
      <c r="G1507" s="63"/>
      <c r="H1507" s="25"/>
      <c r="P1507" s="25"/>
    </row>
    <row r="1508" spans="2:16">
      <c r="B1508" s="63"/>
      <c r="C1508" s="63"/>
      <c r="D1508" s="63"/>
      <c r="E1508" s="63"/>
      <c r="F1508" s="63"/>
      <c r="G1508" s="63"/>
      <c r="H1508" s="25"/>
      <c r="P1508" s="25"/>
    </row>
    <row r="1509" spans="2:16">
      <c r="B1509" s="63"/>
      <c r="C1509" s="63"/>
      <c r="D1509" s="63"/>
      <c r="E1509" s="63"/>
      <c r="F1509" s="63"/>
      <c r="G1509" s="63"/>
      <c r="H1509" s="25"/>
      <c r="P1509" s="25"/>
    </row>
    <row r="1510" spans="2:16">
      <c r="B1510" s="63"/>
      <c r="C1510" s="63"/>
      <c r="D1510" s="63"/>
      <c r="E1510" s="63"/>
      <c r="F1510" s="63"/>
      <c r="G1510" s="63"/>
      <c r="H1510" s="25"/>
      <c r="P1510" s="25"/>
    </row>
    <row r="1511" spans="2:16">
      <c r="B1511" s="63"/>
      <c r="C1511" s="63"/>
      <c r="D1511" s="63"/>
      <c r="E1511" s="63"/>
      <c r="F1511" s="63"/>
      <c r="G1511" s="63"/>
      <c r="H1511" s="25"/>
      <c r="P1511" s="25"/>
    </row>
    <row r="1512" spans="2:16">
      <c r="B1512" s="63"/>
      <c r="C1512" s="63"/>
      <c r="D1512" s="63"/>
      <c r="E1512" s="63"/>
      <c r="F1512" s="63"/>
      <c r="G1512" s="63"/>
      <c r="H1512" s="25"/>
      <c r="P1512" s="25"/>
    </row>
    <row r="1513" spans="2:16">
      <c r="B1513" s="63"/>
      <c r="C1513" s="63"/>
      <c r="D1513" s="63"/>
      <c r="E1513" s="63"/>
      <c r="F1513" s="63"/>
      <c r="G1513" s="63"/>
      <c r="H1513" s="25"/>
      <c r="P1513" s="25"/>
    </row>
    <row r="1514" spans="2:16">
      <c r="B1514" s="63"/>
      <c r="C1514" s="63"/>
      <c r="D1514" s="63"/>
      <c r="E1514" s="63"/>
      <c r="F1514" s="63"/>
      <c r="G1514" s="63"/>
      <c r="H1514" s="25"/>
      <c r="P1514" s="25"/>
    </row>
    <row r="1515" spans="2:16">
      <c r="B1515" s="63"/>
      <c r="C1515" s="63"/>
      <c r="D1515" s="63"/>
      <c r="E1515" s="63"/>
      <c r="F1515" s="63"/>
      <c r="G1515" s="63"/>
      <c r="H1515" s="25"/>
      <c r="P1515" s="25"/>
    </row>
    <row r="1516" spans="2:16">
      <c r="B1516" s="63"/>
      <c r="C1516" s="63"/>
      <c r="D1516" s="63"/>
      <c r="E1516" s="63"/>
      <c r="F1516" s="63"/>
      <c r="G1516" s="63"/>
      <c r="H1516" s="25"/>
      <c r="P1516" s="25"/>
    </row>
    <row r="1517" spans="2:16">
      <c r="B1517" s="63"/>
      <c r="C1517" s="63"/>
      <c r="D1517" s="63"/>
      <c r="E1517" s="63"/>
      <c r="F1517" s="63"/>
      <c r="G1517" s="63"/>
      <c r="H1517" s="25"/>
      <c r="P1517" s="25"/>
    </row>
    <row r="1518" spans="2:16">
      <c r="B1518" s="63"/>
      <c r="C1518" s="63"/>
      <c r="D1518" s="63"/>
      <c r="E1518" s="63"/>
      <c r="F1518" s="63"/>
      <c r="G1518" s="63"/>
      <c r="H1518" s="25"/>
      <c r="P1518" s="25"/>
    </row>
    <row r="1519" spans="2:16">
      <c r="B1519" s="63"/>
      <c r="C1519" s="63"/>
      <c r="D1519" s="63"/>
      <c r="E1519" s="63"/>
      <c r="F1519" s="63"/>
      <c r="G1519" s="63"/>
      <c r="H1519" s="25"/>
      <c r="P1519" s="25"/>
    </row>
    <row r="1520" spans="2:16">
      <c r="B1520" s="63"/>
      <c r="C1520" s="63"/>
      <c r="D1520" s="63"/>
      <c r="E1520" s="63"/>
      <c r="F1520" s="63"/>
      <c r="G1520" s="63"/>
      <c r="H1520" s="25"/>
      <c r="P1520" s="25"/>
    </row>
    <row r="1521" spans="2:16">
      <c r="B1521" s="63"/>
      <c r="C1521" s="63"/>
      <c r="D1521" s="63"/>
      <c r="E1521" s="63"/>
      <c r="F1521" s="63"/>
      <c r="G1521" s="63"/>
      <c r="H1521" s="25"/>
      <c r="P1521" s="25"/>
    </row>
    <row r="1522" spans="2:16">
      <c r="B1522" s="63"/>
      <c r="C1522" s="63"/>
      <c r="D1522" s="63"/>
      <c r="E1522" s="63"/>
      <c r="F1522" s="63"/>
      <c r="G1522" s="63"/>
      <c r="H1522" s="25"/>
      <c r="P1522" s="25"/>
    </row>
    <row r="1523" spans="2:16">
      <c r="B1523" s="63"/>
      <c r="C1523" s="63"/>
      <c r="D1523" s="63"/>
      <c r="E1523" s="63"/>
      <c r="F1523" s="63"/>
      <c r="G1523" s="63"/>
      <c r="H1523" s="25"/>
      <c r="P1523" s="25"/>
    </row>
    <row r="1524" spans="2:16">
      <c r="B1524" s="63"/>
      <c r="C1524" s="63"/>
      <c r="D1524" s="63"/>
      <c r="E1524" s="63"/>
      <c r="F1524" s="63"/>
      <c r="G1524" s="63"/>
      <c r="H1524" s="25"/>
      <c r="P1524" s="25"/>
    </row>
    <row r="1525" spans="2:16">
      <c r="B1525" s="63"/>
      <c r="C1525" s="63"/>
      <c r="D1525" s="63"/>
      <c r="E1525" s="63"/>
      <c r="F1525" s="63"/>
      <c r="G1525" s="63"/>
      <c r="H1525" s="25"/>
      <c r="P1525" s="25"/>
    </row>
    <row r="1526" spans="2:16">
      <c r="B1526" s="63"/>
      <c r="C1526" s="63"/>
      <c r="D1526" s="63"/>
      <c r="E1526" s="63"/>
      <c r="F1526" s="63"/>
      <c r="G1526" s="63"/>
      <c r="H1526" s="25"/>
      <c r="P1526" s="25"/>
    </row>
    <row r="1527" spans="2:16">
      <c r="B1527" s="63"/>
      <c r="C1527" s="63"/>
      <c r="D1527" s="63"/>
      <c r="E1527" s="63"/>
      <c r="F1527" s="63"/>
      <c r="G1527" s="63"/>
      <c r="H1527" s="25"/>
      <c r="P1527" s="25"/>
    </row>
    <row r="1528" spans="2:16">
      <c r="B1528" s="63"/>
      <c r="C1528" s="63"/>
      <c r="D1528" s="63"/>
      <c r="E1528" s="63"/>
      <c r="F1528" s="63"/>
      <c r="G1528" s="63"/>
      <c r="H1528" s="25"/>
      <c r="P1528" s="25"/>
    </row>
    <row r="1529" spans="2:16">
      <c r="B1529" s="63"/>
      <c r="C1529" s="63"/>
      <c r="D1529" s="63"/>
      <c r="E1529" s="63"/>
      <c r="F1529" s="63"/>
      <c r="G1529" s="63"/>
      <c r="H1529" s="25"/>
      <c r="P1529" s="25"/>
    </row>
    <row r="1530" spans="2:16">
      <c r="B1530" s="63"/>
      <c r="C1530" s="63"/>
      <c r="D1530" s="63"/>
      <c r="E1530" s="63"/>
      <c r="F1530" s="63"/>
      <c r="G1530" s="63"/>
      <c r="H1530" s="25"/>
      <c r="P1530" s="25"/>
    </row>
    <row r="1531" spans="2:16">
      <c r="B1531" s="63"/>
      <c r="C1531" s="63"/>
      <c r="D1531" s="63"/>
      <c r="E1531" s="63"/>
      <c r="F1531" s="63"/>
      <c r="G1531" s="63"/>
      <c r="H1531" s="25"/>
      <c r="P1531" s="25"/>
    </row>
    <row r="1532" spans="2:16">
      <c r="B1532" s="63"/>
      <c r="C1532" s="63"/>
      <c r="D1532" s="63"/>
      <c r="E1532" s="63"/>
      <c r="F1532" s="63"/>
      <c r="G1532" s="63"/>
      <c r="H1532" s="25"/>
      <c r="P1532" s="25"/>
    </row>
    <row r="1533" spans="2:16">
      <c r="B1533" s="63"/>
      <c r="C1533" s="63"/>
      <c r="D1533" s="63"/>
      <c r="E1533" s="63"/>
      <c r="F1533" s="63"/>
      <c r="G1533" s="63"/>
      <c r="H1533" s="25"/>
      <c r="P1533" s="25"/>
    </row>
    <row r="1534" spans="2:16">
      <c r="B1534" s="63"/>
      <c r="C1534" s="63"/>
      <c r="D1534" s="63"/>
      <c r="E1534" s="63"/>
      <c r="F1534" s="63"/>
      <c r="G1534" s="63"/>
      <c r="H1534" s="25"/>
      <c r="P1534" s="25"/>
    </row>
    <row r="1535" spans="2:16">
      <c r="B1535" s="63"/>
      <c r="C1535" s="63"/>
      <c r="D1535" s="63"/>
      <c r="E1535" s="63"/>
      <c r="F1535" s="63"/>
      <c r="G1535" s="63"/>
      <c r="H1535" s="25"/>
      <c r="P1535" s="25"/>
    </row>
    <row r="1536" spans="2:16">
      <c r="B1536" s="63"/>
      <c r="C1536" s="63"/>
      <c r="D1536" s="63"/>
      <c r="E1536" s="63"/>
      <c r="F1536" s="63"/>
      <c r="G1536" s="63"/>
      <c r="H1536" s="25"/>
      <c r="P1536" s="25"/>
    </row>
    <row r="1537" spans="2:16">
      <c r="B1537" s="63"/>
      <c r="C1537" s="63"/>
      <c r="D1537" s="63"/>
      <c r="E1537" s="63"/>
      <c r="F1537" s="63"/>
      <c r="G1537" s="63"/>
      <c r="H1537" s="25"/>
      <c r="P1537" s="25"/>
    </row>
    <row r="1538" spans="2:16">
      <c r="B1538" s="63"/>
      <c r="C1538" s="63"/>
      <c r="D1538" s="63"/>
      <c r="E1538" s="63"/>
      <c r="F1538" s="63"/>
      <c r="G1538" s="63"/>
      <c r="H1538" s="25"/>
      <c r="P1538" s="25"/>
    </row>
    <row r="1539" spans="2:16">
      <c r="B1539" s="63"/>
      <c r="C1539" s="63"/>
      <c r="D1539" s="63"/>
      <c r="E1539" s="63"/>
      <c r="F1539" s="63"/>
      <c r="G1539" s="63"/>
      <c r="H1539" s="25"/>
      <c r="P1539" s="25"/>
    </row>
    <row r="1540" spans="2:16">
      <c r="B1540" s="63"/>
      <c r="C1540" s="63"/>
      <c r="D1540" s="63"/>
      <c r="E1540" s="63"/>
      <c r="F1540" s="63"/>
      <c r="G1540" s="63"/>
      <c r="H1540" s="25"/>
      <c r="P1540" s="25"/>
    </row>
    <row r="1541" spans="2:16">
      <c r="B1541" s="63"/>
      <c r="C1541" s="63"/>
      <c r="D1541" s="63"/>
      <c r="E1541" s="63"/>
      <c r="F1541" s="63"/>
      <c r="G1541" s="63"/>
      <c r="H1541" s="25"/>
      <c r="P1541" s="25"/>
    </row>
    <row r="1542" spans="2:16">
      <c r="B1542" s="63"/>
      <c r="C1542" s="63"/>
      <c r="D1542" s="63"/>
      <c r="E1542" s="63"/>
      <c r="F1542" s="63"/>
      <c r="G1542" s="63"/>
      <c r="H1542" s="25"/>
      <c r="P1542" s="25"/>
    </row>
    <row r="1543" spans="2:16">
      <c r="B1543" s="63"/>
      <c r="C1543" s="63"/>
      <c r="D1543" s="63"/>
      <c r="E1543" s="63"/>
      <c r="F1543" s="63"/>
      <c r="G1543" s="63"/>
      <c r="H1543" s="25"/>
      <c r="P1543" s="25"/>
    </row>
    <row r="1544" spans="2:16">
      <c r="B1544" s="63"/>
      <c r="C1544" s="63"/>
      <c r="D1544" s="63"/>
      <c r="E1544" s="63"/>
      <c r="F1544" s="63"/>
      <c r="G1544" s="63"/>
      <c r="H1544" s="25"/>
      <c r="P1544" s="25"/>
    </row>
    <row r="1545" spans="2:16">
      <c r="B1545" s="63"/>
      <c r="C1545" s="63"/>
      <c r="D1545" s="63"/>
      <c r="E1545" s="63"/>
      <c r="F1545" s="63"/>
      <c r="G1545" s="63"/>
      <c r="H1545" s="25"/>
      <c r="P1545" s="25"/>
    </row>
    <row r="1546" spans="2:16">
      <c r="B1546" s="63"/>
      <c r="C1546" s="63"/>
      <c r="D1546" s="63"/>
      <c r="E1546" s="63"/>
      <c r="F1546" s="63"/>
      <c r="G1546" s="63"/>
      <c r="H1546" s="25"/>
      <c r="P1546" s="25"/>
    </row>
    <row r="1547" spans="2:16">
      <c r="B1547" s="63"/>
      <c r="C1547" s="63"/>
      <c r="D1547" s="63"/>
      <c r="E1547" s="63"/>
      <c r="F1547" s="63"/>
      <c r="G1547" s="63"/>
      <c r="H1547" s="25"/>
      <c r="P1547" s="25"/>
    </row>
    <row r="1548" spans="2:16">
      <c r="B1548" s="63"/>
      <c r="C1548" s="63"/>
      <c r="D1548" s="63"/>
      <c r="E1548" s="63"/>
      <c r="F1548" s="63"/>
      <c r="G1548" s="63"/>
      <c r="H1548" s="25"/>
      <c r="P1548" s="25"/>
    </row>
    <row r="1549" spans="2:16">
      <c r="B1549" s="63"/>
      <c r="C1549" s="63"/>
      <c r="D1549" s="63"/>
      <c r="E1549" s="63"/>
      <c r="F1549" s="63"/>
      <c r="G1549" s="63"/>
      <c r="H1549" s="25"/>
      <c r="P1549" s="25"/>
    </row>
    <row r="1550" spans="2:16">
      <c r="B1550" s="63"/>
      <c r="C1550" s="63"/>
      <c r="D1550" s="63"/>
      <c r="E1550" s="63"/>
      <c r="F1550" s="63"/>
      <c r="G1550" s="63"/>
      <c r="H1550" s="25"/>
      <c r="P1550" s="25"/>
    </row>
    <row r="1551" spans="2:16">
      <c r="B1551" s="63"/>
      <c r="C1551" s="63"/>
      <c r="D1551" s="63"/>
      <c r="E1551" s="63"/>
      <c r="F1551" s="63"/>
      <c r="G1551" s="63"/>
      <c r="H1551" s="25"/>
      <c r="P1551" s="25"/>
    </row>
    <row r="1552" spans="2:16">
      <c r="B1552" s="63"/>
      <c r="C1552" s="63"/>
      <c r="D1552" s="63"/>
      <c r="E1552" s="63"/>
      <c r="F1552" s="63"/>
      <c r="G1552" s="63"/>
      <c r="H1552" s="25"/>
      <c r="P1552" s="25"/>
    </row>
    <row r="1553" spans="2:16">
      <c r="B1553" s="63"/>
      <c r="C1553" s="63"/>
      <c r="D1553" s="63"/>
      <c r="E1553" s="63"/>
      <c r="F1553" s="63"/>
      <c r="G1553" s="63"/>
      <c r="H1553" s="25"/>
      <c r="P1553" s="25"/>
    </row>
    <row r="1554" spans="2:16">
      <c r="B1554" s="63"/>
      <c r="C1554" s="63"/>
      <c r="D1554" s="63"/>
      <c r="E1554" s="63"/>
      <c r="F1554" s="63"/>
      <c r="G1554" s="63"/>
      <c r="H1554" s="25"/>
      <c r="P1554" s="25"/>
    </row>
    <row r="1555" spans="2:16">
      <c r="B1555" s="63"/>
      <c r="C1555" s="63"/>
      <c r="D1555" s="63"/>
      <c r="E1555" s="63"/>
      <c r="F1555" s="63"/>
      <c r="G1555" s="63"/>
      <c r="H1555" s="25"/>
      <c r="P1555" s="25"/>
    </row>
    <row r="1556" spans="2:16">
      <c r="B1556" s="63"/>
      <c r="C1556" s="63"/>
      <c r="D1556" s="63"/>
      <c r="E1556" s="63"/>
      <c r="F1556" s="63"/>
      <c r="G1556" s="63"/>
      <c r="H1556" s="25"/>
      <c r="P1556" s="25"/>
    </row>
    <row r="1557" spans="2:16">
      <c r="B1557" s="63"/>
      <c r="C1557" s="63"/>
      <c r="D1557" s="63"/>
      <c r="E1557" s="63"/>
      <c r="F1557" s="63"/>
      <c r="G1557" s="63"/>
      <c r="H1557" s="25"/>
    </row>
    <row r="1558" spans="2:16">
      <c r="B1558" s="63"/>
      <c r="C1558" s="63"/>
      <c r="D1558" s="63"/>
      <c r="E1558" s="63"/>
      <c r="F1558" s="63"/>
      <c r="G1558" s="63"/>
      <c r="H1558" s="25"/>
    </row>
    <row r="1559" spans="2:16">
      <c r="B1559" s="63"/>
      <c r="C1559" s="63"/>
      <c r="D1559" s="63"/>
      <c r="E1559" s="63"/>
      <c r="F1559" s="63"/>
      <c r="G1559" s="63"/>
      <c r="H1559" s="25"/>
    </row>
    <row r="1560" spans="2:16">
      <c r="B1560" s="63"/>
      <c r="C1560" s="63"/>
      <c r="D1560" s="63"/>
      <c r="E1560" s="63"/>
      <c r="F1560" s="63"/>
      <c r="G1560" s="63"/>
      <c r="H1560" s="25"/>
    </row>
    <row r="1561" spans="2:16">
      <c r="B1561" s="63"/>
      <c r="C1561" s="63"/>
      <c r="D1561" s="63"/>
      <c r="E1561" s="63"/>
      <c r="F1561" s="63"/>
      <c r="G1561" s="63"/>
      <c r="H1561" s="25"/>
    </row>
    <row r="1562" spans="2:16">
      <c r="B1562" s="63"/>
      <c r="C1562" s="63"/>
      <c r="D1562" s="63"/>
      <c r="E1562" s="63"/>
      <c r="F1562" s="63"/>
      <c r="G1562" s="63"/>
      <c r="H1562" s="25"/>
    </row>
    <row r="1563" spans="2:16">
      <c r="B1563" s="63"/>
      <c r="C1563" s="63"/>
      <c r="D1563" s="63"/>
      <c r="E1563" s="63"/>
      <c r="F1563" s="63"/>
      <c r="G1563" s="63"/>
      <c r="H1563" s="25"/>
    </row>
    <row r="1564" spans="2:16">
      <c r="B1564" s="63"/>
      <c r="C1564" s="63"/>
      <c r="D1564" s="63"/>
      <c r="E1564" s="63"/>
      <c r="F1564" s="63"/>
      <c r="G1564" s="63"/>
      <c r="H1564" s="25"/>
    </row>
    <row r="1565" spans="2:16">
      <c r="B1565" s="63"/>
      <c r="C1565" s="63"/>
      <c r="D1565" s="63"/>
      <c r="E1565" s="63"/>
      <c r="F1565" s="63"/>
      <c r="G1565" s="63"/>
      <c r="H1565" s="25"/>
    </row>
    <row r="1566" spans="2:16">
      <c r="B1566" s="63"/>
      <c r="C1566" s="63"/>
      <c r="D1566" s="63"/>
      <c r="E1566" s="63"/>
      <c r="F1566" s="63"/>
      <c r="G1566" s="63"/>
      <c r="H1566" s="25"/>
    </row>
    <row r="1567" spans="2:16">
      <c r="B1567" s="63"/>
      <c r="C1567" s="63"/>
      <c r="D1567" s="63"/>
      <c r="E1567" s="63"/>
      <c r="F1567" s="63"/>
      <c r="G1567" s="63"/>
      <c r="H1567" s="25"/>
    </row>
    <row r="1568" spans="2:16">
      <c r="B1568" s="63"/>
      <c r="C1568" s="63"/>
      <c r="D1568" s="63"/>
      <c r="E1568" s="63"/>
      <c r="F1568" s="63"/>
      <c r="G1568" s="63"/>
      <c r="H1568" s="25"/>
    </row>
    <row r="1569" spans="2:8">
      <c r="B1569" s="63"/>
      <c r="C1569" s="63"/>
      <c r="D1569" s="63"/>
      <c r="E1569" s="63"/>
      <c r="F1569" s="63"/>
      <c r="G1569" s="63"/>
      <c r="H1569" s="25"/>
    </row>
    <row r="1570" spans="2:8">
      <c r="B1570" s="63"/>
      <c r="C1570" s="63"/>
      <c r="D1570" s="63"/>
      <c r="E1570" s="63"/>
      <c r="F1570" s="63"/>
      <c r="G1570" s="63"/>
      <c r="H1570" s="25"/>
    </row>
    <row r="1571" spans="2:8">
      <c r="B1571" s="63"/>
      <c r="C1571" s="63"/>
      <c r="D1571" s="63"/>
      <c r="E1571" s="63"/>
      <c r="F1571" s="63"/>
      <c r="G1571" s="63"/>
      <c r="H1571" s="25"/>
    </row>
    <row r="1572" spans="2:8">
      <c r="B1572" s="63"/>
      <c r="C1572" s="63"/>
      <c r="D1572" s="63"/>
      <c r="E1572" s="63"/>
      <c r="F1572" s="63"/>
      <c r="G1572" s="63"/>
      <c r="H1572" s="25"/>
    </row>
    <row r="1573" spans="2:8">
      <c r="B1573" s="63"/>
      <c r="C1573" s="63"/>
      <c r="D1573" s="63"/>
      <c r="E1573" s="63"/>
      <c r="F1573" s="63"/>
      <c r="G1573" s="63"/>
      <c r="H1573" s="25"/>
    </row>
    <row r="1574" spans="2:8">
      <c r="B1574" s="63"/>
      <c r="C1574" s="63"/>
      <c r="D1574" s="63"/>
      <c r="E1574" s="63"/>
      <c r="F1574" s="63"/>
      <c r="G1574" s="63"/>
      <c r="H1574" s="25"/>
    </row>
    <row r="1575" spans="2:8">
      <c r="B1575" s="63"/>
      <c r="C1575" s="63"/>
      <c r="D1575" s="63"/>
      <c r="E1575" s="63"/>
      <c r="F1575" s="63"/>
      <c r="G1575" s="63"/>
      <c r="H1575" s="25"/>
    </row>
    <row r="1576" spans="2:8">
      <c r="B1576" s="63"/>
      <c r="C1576" s="63"/>
      <c r="D1576" s="63"/>
      <c r="E1576" s="63"/>
      <c r="F1576" s="63"/>
      <c r="G1576" s="63"/>
      <c r="H1576" s="25"/>
    </row>
    <row r="1577" spans="2:8">
      <c r="B1577" s="63"/>
      <c r="C1577" s="63"/>
      <c r="D1577" s="63"/>
      <c r="E1577" s="63"/>
      <c r="F1577" s="63"/>
      <c r="G1577" s="63"/>
      <c r="H1577" s="25"/>
    </row>
    <row r="1578" spans="2:8">
      <c r="B1578" s="63"/>
      <c r="C1578" s="63"/>
      <c r="D1578" s="63"/>
      <c r="E1578" s="63"/>
      <c r="F1578" s="63"/>
      <c r="G1578" s="63"/>
      <c r="H1578" s="25"/>
    </row>
    <row r="1579" spans="2:8">
      <c r="B1579" s="63"/>
      <c r="C1579" s="63"/>
      <c r="D1579" s="63"/>
      <c r="E1579" s="63"/>
      <c r="F1579" s="63"/>
      <c r="G1579" s="63"/>
      <c r="H1579" s="25"/>
    </row>
    <row r="1580" spans="2:8">
      <c r="B1580" s="63"/>
      <c r="C1580" s="63"/>
      <c r="D1580" s="63"/>
      <c r="E1580" s="63"/>
      <c r="F1580" s="63"/>
      <c r="G1580" s="63"/>
      <c r="H1580" s="25"/>
    </row>
    <row r="1581" spans="2:8">
      <c r="B1581" s="63"/>
      <c r="C1581" s="63"/>
      <c r="D1581" s="63"/>
      <c r="E1581" s="63"/>
      <c r="F1581" s="63"/>
      <c r="G1581" s="63"/>
      <c r="H1581" s="25"/>
    </row>
    <row r="1582" spans="2:8">
      <c r="B1582" s="63"/>
      <c r="C1582" s="63"/>
      <c r="D1582" s="63"/>
      <c r="E1582" s="63"/>
      <c r="F1582" s="63"/>
      <c r="G1582" s="63"/>
      <c r="H1582" s="25"/>
    </row>
    <row r="1583" spans="2:8">
      <c r="B1583" s="63"/>
      <c r="C1583" s="63"/>
      <c r="D1583" s="63"/>
      <c r="E1583" s="63"/>
      <c r="F1583" s="63"/>
      <c r="G1583" s="63"/>
      <c r="H1583" s="25"/>
    </row>
    <row r="1584" spans="2:8">
      <c r="B1584" s="63"/>
      <c r="C1584" s="63"/>
      <c r="D1584" s="63"/>
      <c r="E1584" s="63"/>
      <c r="F1584" s="63"/>
      <c r="G1584" s="63"/>
      <c r="H1584" s="25"/>
    </row>
    <row r="1585" spans="2:8">
      <c r="B1585" s="63"/>
      <c r="C1585" s="63"/>
      <c r="D1585" s="63"/>
      <c r="E1585" s="63"/>
      <c r="F1585" s="63"/>
      <c r="G1585" s="63"/>
      <c r="H1585" s="25"/>
    </row>
    <row r="1586" spans="2:8">
      <c r="B1586" s="63"/>
      <c r="C1586" s="63"/>
      <c r="D1586" s="63"/>
      <c r="E1586" s="63"/>
      <c r="F1586" s="63"/>
      <c r="G1586" s="63"/>
      <c r="H1586" s="25"/>
    </row>
    <row r="1587" spans="2:8">
      <c r="B1587" s="63"/>
      <c r="C1587" s="63"/>
      <c r="D1587" s="63"/>
      <c r="E1587" s="63"/>
      <c r="F1587" s="63"/>
      <c r="G1587" s="63"/>
      <c r="H1587" s="25"/>
    </row>
    <row r="1588" spans="2:8">
      <c r="B1588" s="63"/>
      <c r="C1588" s="63"/>
      <c r="D1588" s="63"/>
      <c r="E1588" s="63"/>
      <c r="F1588" s="63"/>
      <c r="G1588" s="63"/>
      <c r="H1588" s="25"/>
    </row>
    <row r="1589" spans="2:8">
      <c r="B1589" s="63"/>
      <c r="C1589" s="63"/>
      <c r="D1589" s="63"/>
      <c r="E1589" s="63"/>
      <c r="F1589" s="63"/>
      <c r="G1589" s="63"/>
      <c r="H1589" s="25"/>
    </row>
    <row r="1590" spans="2:8">
      <c r="B1590" s="63"/>
      <c r="C1590" s="63"/>
      <c r="D1590" s="63"/>
      <c r="E1590" s="63"/>
      <c r="F1590" s="63"/>
      <c r="G1590" s="63"/>
      <c r="H1590" s="25"/>
    </row>
    <row r="1591" spans="2:8">
      <c r="B1591" s="63"/>
      <c r="C1591" s="63"/>
      <c r="D1591" s="63"/>
      <c r="E1591" s="63"/>
      <c r="F1591" s="63"/>
      <c r="G1591" s="63"/>
      <c r="H1591" s="25"/>
    </row>
    <row r="1592" spans="2:8">
      <c r="B1592" s="63"/>
      <c r="C1592" s="63"/>
      <c r="D1592" s="63"/>
      <c r="E1592" s="63"/>
      <c r="F1592" s="63"/>
      <c r="G1592" s="63"/>
      <c r="H1592" s="25"/>
    </row>
    <row r="1593" spans="2:8">
      <c r="B1593" s="63"/>
      <c r="C1593" s="63"/>
      <c r="D1593" s="63"/>
      <c r="E1593" s="63"/>
      <c r="F1593" s="63"/>
      <c r="G1593" s="63"/>
      <c r="H1593" s="25"/>
    </row>
    <row r="1594" spans="2:8">
      <c r="B1594" s="63"/>
      <c r="C1594" s="63"/>
      <c r="D1594" s="63"/>
      <c r="E1594" s="63"/>
      <c r="F1594" s="63"/>
      <c r="G1594" s="63"/>
      <c r="H1594" s="25"/>
    </row>
    <row r="1595" spans="2:8">
      <c r="B1595" s="63"/>
      <c r="C1595" s="63"/>
      <c r="D1595" s="63"/>
      <c r="E1595" s="63"/>
      <c r="F1595" s="63"/>
      <c r="G1595" s="63"/>
      <c r="H1595" s="25"/>
    </row>
    <row r="1596" spans="2:8">
      <c r="B1596" s="63"/>
      <c r="C1596" s="63"/>
      <c r="D1596" s="63"/>
      <c r="E1596" s="63"/>
      <c r="F1596" s="63"/>
      <c r="G1596" s="63"/>
      <c r="H1596" s="25"/>
    </row>
    <row r="1597" spans="2:8">
      <c r="B1597" s="63"/>
      <c r="C1597" s="63"/>
      <c r="D1597" s="63"/>
      <c r="E1597" s="63"/>
      <c r="F1597" s="63"/>
      <c r="G1597" s="63"/>
      <c r="H1597" s="25"/>
    </row>
    <row r="1598" spans="2:8">
      <c r="B1598" s="63"/>
      <c r="C1598" s="63"/>
      <c r="D1598" s="63"/>
      <c r="E1598" s="63"/>
      <c r="F1598" s="63"/>
      <c r="G1598" s="63"/>
      <c r="H1598" s="25"/>
    </row>
    <row r="1599" spans="2:8">
      <c r="B1599" s="63"/>
      <c r="C1599" s="63"/>
      <c r="D1599" s="63"/>
      <c r="E1599" s="63"/>
      <c r="F1599" s="63"/>
      <c r="G1599" s="63"/>
      <c r="H1599" s="25"/>
    </row>
    <row r="1600" spans="2:8">
      <c r="B1600" s="63"/>
      <c r="C1600" s="63"/>
      <c r="D1600" s="63"/>
      <c r="E1600" s="63"/>
      <c r="F1600" s="63"/>
      <c r="G1600" s="63"/>
      <c r="H1600" s="25"/>
    </row>
    <row r="1601" spans="2:8">
      <c r="B1601" s="63"/>
      <c r="C1601" s="63"/>
      <c r="D1601" s="63"/>
      <c r="E1601" s="63"/>
      <c r="F1601" s="63"/>
      <c r="G1601" s="63"/>
      <c r="H1601" s="25"/>
    </row>
    <row r="1602" spans="2:8">
      <c r="B1602" s="63"/>
      <c r="C1602" s="63"/>
      <c r="D1602" s="63"/>
      <c r="E1602" s="63"/>
      <c r="F1602" s="63"/>
      <c r="G1602" s="63"/>
      <c r="H1602" s="25"/>
    </row>
    <row r="1603" spans="2:8">
      <c r="B1603" s="63"/>
      <c r="C1603" s="63"/>
      <c r="D1603" s="63"/>
      <c r="E1603" s="63"/>
      <c r="F1603" s="63"/>
      <c r="G1603" s="63"/>
      <c r="H1603" s="25"/>
    </row>
    <row r="1604" spans="2:8">
      <c r="B1604" s="63"/>
      <c r="C1604" s="63"/>
      <c r="D1604" s="63"/>
      <c r="E1604" s="63"/>
      <c r="F1604" s="63"/>
      <c r="G1604" s="63"/>
      <c r="H1604" s="25"/>
    </row>
    <row r="1605" spans="2:8">
      <c r="B1605" s="63"/>
      <c r="C1605" s="63"/>
      <c r="D1605" s="63"/>
      <c r="E1605" s="63"/>
      <c r="F1605" s="63"/>
      <c r="G1605" s="63"/>
      <c r="H1605" s="25"/>
    </row>
    <row r="1606" spans="2:8">
      <c r="B1606" s="63"/>
      <c r="C1606" s="63"/>
      <c r="D1606" s="63"/>
      <c r="E1606" s="63"/>
      <c r="F1606" s="63"/>
      <c r="G1606" s="63"/>
      <c r="H1606" s="25"/>
    </row>
    <row r="1607" spans="2:8">
      <c r="B1607" s="63"/>
      <c r="C1607" s="63"/>
      <c r="D1607" s="63"/>
      <c r="E1607" s="63"/>
      <c r="F1607" s="63"/>
      <c r="G1607" s="63"/>
      <c r="H1607" s="25"/>
    </row>
    <row r="1608" spans="2:8">
      <c r="B1608" s="63"/>
      <c r="C1608" s="63"/>
      <c r="D1608" s="63"/>
      <c r="E1608" s="63"/>
      <c r="F1608" s="63"/>
      <c r="G1608" s="63"/>
      <c r="H1608" s="25"/>
    </row>
    <row r="1609" spans="2:8">
      <c r="B1609" s="63"/>
      <c r="C1609" s="63"/>
      <c r="D1609" s="63"/>
      <c r="E1609" s="63"/>
      <c r="F1609" s="63"/>
      <c r="G1609" s="63"/>
      <c r="H1609" s="25"/>
    </row>
    <row r="1610" spans="2:8">
      <c r="B1610" s="63"/>
      <c r="C1610" s="63"/>
      <c r="D1610" s="63"/>
      <c r="E1610" s="63"/>
      <c r="F1610" s="63"/>
      <c r="G1610" s="63"/>
      <c r="H1610" s="25"/>
    </row>
    <row r="1611" spans="2:8">
      <c r="B1611" s="63"/>
      <c r="C1611" s="63"/>
      <c r="D1611" s="63"/>
      <c r="E1611" s="63"/>
      <c r="F1611" s="63"/>
      <c r="G1611" s="63"/>
      <c r="H1611" s="25"/>
    </row>
    <row r="1612" spans="2:8">
      <c r="B1612" s="63"/>
      <c r="C1612" s="63"/>
      <c r="D1612" s="63"/>
      <c r="E1612" s="63"/>
      <c r="F1612" s="63"/>
      <c r="G1612" s="63"/>
      <c r="H1612" s="25"/>
    </row>
    <row r="1613" spans="2:8">
      <c r="B1613" s="63"/>
      <c r="C1613" s="63"/>
      <c r="D1613" s="63"/>
      <c r="E1613" s="63"/>
      <c r="F1613" s="63"/>
      <c r="G1613" s="63"/>
      <c r="H1613" s="25"/>
    </row>
    <row r="1614" spans="2:8">
      <c r="B1614" s="63"/>
      <c r="C1614" s="63"/>
      <c r="D1614" s="63"/>
      <c r="E1614" s="63"/>
      <c r="F1614" s="63"/>
      <c r="G1614" s="63"/>
      <c r="H1614" s="25"/>
    </row>
    <row r="1615" spans="2:8">
      <c r="B1615" s="63"/>
      <c r="C1615" s="63"/>
      <c r="D1615" s="63"/>
      <c r="E1615" s="63"/>
      <c r="F1615" s="63"/>
      <c r="G1615" s="63"/>
      <c r="H1615" s="25"/>
    </row>
    <row r="1616" spans="2:8">
      <c r="B1616" s="63"/>
      <c r="C1616" s="63"/>
      <c r="D1616" s="63"/>
      <c r="E1616" s="63"/>
      <c r="F1616" s="63"/>
      <c r="G1616" s="63"/>
      <c r="H1616" s="25"/>
    </row>
    <row r="1617" spans="2:8">
      <c r="B1617" s="63"/>
      <c r="C1617" s="63"/>
      <c r="D1617" s="63"/>
      <c r="E1617" s="63"/>
      <c r="F1617" s="63"/>
      <c r="G1617" s="63"/>
      <c r="H1617" s="25"/>
    </row>
    <row r="1618" spans="2:8">
      <c r="B1618" s="63"/>
      <c r="C1618" s="63"/>
      <c r="D1618" s="63"/>
      <c r="E1618" s="63"/>
      <c r="F1618" s="63"/>
      <c r="G1618" s="63"/>
      <c r="H1618" s="25"/>
    </row>
    <row r="1619" spans="2:8">
      <c r="B1619" s="63"/>
      <c r="C1619" s="63"/>
      <c r="D1619" s="63"/>
      <c r="E1619" s="63"/>
      <c r="F1619" s="63"/>
      <c r="G1619" s="63"/>
      <c r="H1619" s="25"/>
    </row>
    <row r="1620" spans="2:8">
      <c r="B1620" s="63"/>
      <c r="C1620" s="63"/>
      <c r="D1620" s="63"/>
      <c r="E1620" s="63"/>
      <c r="F1620" s="63"/>
      <c r="G1620" s="63"/>
      <c r="H1620" s="25"/>
    </row>
    <row r="1621" spans="2:8">
      <c r="B1621" s="63"/>
      <c r="C1621" s="63"/>
      <c r="D1621" s="63"/>
      <c r="E1621" s="63"/>
      <c r="F1621" s="63"/>
      <c r="G1621" s="63"/>
      <c r="H1621" s="25"/>
    </row>
    <row r="1622" spans="2:8">
      <c r="B1622" s="63"/>
      <c r="C1622" s="63"/>
      <c r="D1622" s="63"/>
      <c r="E1622" s="63"/>
      <c r="F1622" s="63"/>
      <c r="G1622" s="63"/>
      <c r="H1622" s="25"/>
    </row>
    <row r="1623" spans="2:8">
      <c r="B1623" s="63"/>
      <c r="C1623" s="63"/>
      <c r="D1623" s="63"/>
      <c r="E1623" s="63"/>
      <c r="F1623" s="63"/>
      <c r="G1623" s="63"/>
      <c r="H1623" s="25"/>
    </row>
    <row r="1624" spans="2:8">
      <c r="B1624" s="63"/>
      <c r="C1624" s="63"/>
      <c r="D1624" s="63"/>
      <c r="E1624" s="63"/>
      <c r="F1624" s="63"/>
      <c r="G1624" s="63"/>
      <c r="H1624" s="25"/>
    </row>
    <row r="1625" spans="2:8">
      <c r="B1625" s="63"/>
      <c r="C1625" s="63"/>
      <c r="D1625" s="63"/>
      <c r="E1625" s="63"/>
      <c r="F1625" s="63"/>
      <c r="G1625" s="63"/>
      <c r="H1625" s="25"/>
    </row>
    <row r="1626" spans="2:8">
      <c r="B1626" s="63"/>
      <c r="C1626" s="63"/>
      <c r="D1626" s="63"/>
      <c r="E1626" s="63"/>
      <c r="F1626" s="63"/>
      <c r="G1626" s="63"/>
      <c r="H1626" s="25"/>
    </row>
    <row r="1627" spans="2:8">
      <c r="B1627" s="63"/>
      <c r="C1627" s="63"/>
      <c r="D1627" s="63"/>
      <c r="E1627" s="63"/>
      <c r="F1627" s="63"/>
      <c r="G1627" s="63"/>
      <c r="H1627" s="25"/>
    </row>
    <row r="1628" spans="2:8">
      <c r="B1628" s="63"/>
      <c r="C1628" s="63"/>
      <c r="D1628" s="63"/>
      <c r="E1628" s="63"/>
      <c r="F1628" s="63"/>
      <c r="G1628" s="63"/>
      <c r="H1628" s="25"/>
    </row>
    <row r="1629" spans="2:8">
      <c r="B1629" s="63"/>
      <c r="C1629" s="63"/>
      <c r="D1629" s="63"/>
      <c r="E1629" s="63"/>
      <c r="F1629" s="63"/>
      <c r="G1629" s="63"/>
      <c r="H1629" s="25"/>
    </row>
    <row r="1630" spans="2:8">
      <c r="B1630" s="63"/>
      <c r="C1630" s="63"/>
      <c r="D1630" s="63"/>
      <c r="E1630" s="63"/>
      <c r="F1630" s="63"/>
      <c r="G1630" s="63"/>
      <c r="H1630" s="25"/>
    </row>
    <row r="1631" spans="2:8">
      <c r="B1631" s="63"/>
      <c r="C1631" s="63"/>
      <c r="D1631" s="63"/>
      <c r="E1631" s="63"/>
      <c r="F1631" s="63"/>
      <c r="G1631" s="63"/>
      <c r="H1631" s="25"/>
    </row>
    <row r="1632" spans="2:8">
      <c r="B1632" s="63"/>
      <c r="C1632" s="63"/>
      <c r="D1632" s="63"/>
      <c r="E1632" s="63"/>
      <c r="F1632" s="63"/>
      <c r="G1632" s="63"/>
      <c r="H1632" s="25"/>
    </row>
    <row r="1633" spans="2:8">
      <c r="B1633" s="63"/>
      <c r="C1633" s="63"/>
      <c r="D1633" s="63"/>
      <c r="E1633" s="63"/>
      <c r="F1633" s="63"/>
      <c r="G1633" s="63"/>
      <c r="H1633" s="25"/>
    </row>
    <row r="1634" spans="2:8">
      <c r="B1634" s="63"/>
      <c r="C1634" s="63"/>
      <c r="D1634" s="63"/>
      <c r="E1634" s="63"/>
      <c r="F1634" s="63"/>
      <c r="G1634" s="63"/>
      <c r="H1634" s="25"/>
    </row>
    <row r="1635" spans="2:8">
      <c r="B1635" s="63"/>
      <c r="C1635" s="63"/>
      <c r="D1635" s="63"/>
      <c r="E1635" s="63"/>
      <c r="F1635" s="63"/>
      <c r="G1635" s="63"/>
      <c r="H1635" s="25"/>
    </row>
    <row r="1636" spans="2:8">
      <c r="B1636" s="63"/>
      <c r="C1636" s="63"/>
      <c r="D1636" s="63"/>
      <c r="E1636" s="63"/>
      <c r="F1636" s="63"/>
      <c r="G1636" s="63"/>
      <c r="H1636" s="25"/>
    </row>
    <row r="1637" spans="2:8">
      <c r="B1637" s="63"/>
      <c r="C1637" s="63"/>
      <c r="D1637" s="63"/>
      <c r="E1637" s="63"/>
      <c r="F1637" s="63"/>
      <c r="G1637" s="63"/>
      <c r="H1637" s="25"/>
    </row>
    <row r="1638" spans="2:8">
      <c r="B1638" s="63"/>
      <c r="C1638" s="63"/>
      <c r="D1638" s="63"/>
      <c r="E1638" s="63"/>
      <c r="F1638" s="63"/>
      <c r="G1638" s="63"/>
      <c r="H1638" s="25"/>
    </row>
    <row r="1639" spans="2:8">
      <c r="B1639" s="63"/>
      <c r="C1639" s="63"/>
      <c r="D1639" s="63"/>
      <c r="E1639" s="63"/>
      <c r="F1639" s="63"/>
      <c r="G1639" s="63"/>
      <c r="H1639" s="25"/>
    </row>
    <row r="1640" spans="2:8">
      <c r="B1640" s="63"/>
      <c r="C1640" s="63"/>
      <c r="D1640" s="63"/>
      <c r="E1640" s="63"/>
      <c r="F1640" s="63"/>
      <c r="G1640" s="63"/>
      <c r="H1640" s="25"/>
    </row>
    <row r="1641" spans="2:8">
      <c r="B1641" s="63"/>
      <c r="C1641" s="63"/>
      <c r="D1641" s="63"/>
      <c r="E1641" s="63"/>
      <c r="F1641" s="63"/>
      <c r="G1641" s="63"/>
      <c r="H1641" s="25"/>
    </row>
    <row r="1642" spans="2:8">
      <c r="B1642" s="63"/>
      <c r="C1642" s="63"/>
      <c r="D1642" s="63"/>
      <c r="E1642" s="63"/>
      <c r="F1642" s="63"/>
      <c r="G1642" s="63"/>
      <c r="H1642" s="25"/>
    </row>
    <row r="1643" spans="2:8">
      <c r="B1643" s="63"/>
      <c r="C1643" s="63"/>
      <c r="D1643" s="63"/>
      <c r="E1643" s="63"/>
      <c r="F1643" s="63"/>
      <c r="G1643" s="63"/>
      <c r="H1643" s="25"/>
    </row>
    <row r="1644" spans="2:8">
      <c r="B1644" s="63"/>
      <c r="C1644" s="63"/>
      <c r="D1644" s="63"/>
      <c r="E1644" s="63"/>
      <c r="F1644" s="63"/>
      <c r="G1644" s="63"/>
      <c r="H1644" s="25"/>
    </row>
    <row r="1645" spans="2:8">
      <c r="B1645" s="63"/>
      <c r="C1645" s="63"/>
      <c r="D1645" s="63"/>
      <c r="E1645" s="63"/>
      <c r="F1645" s="63"/>
      <c r="G1645" s="63"/>
      <c r="H1645" s="25"/>
    </row>
    <row r="1646" spans="2:8">
      <c r="B1646" s="63"/>
      <c r="C1646" s="63"/>
      <c r="D1646" s="63"/>
      <c r="E1646" s="63"/>
      <c r="F1646" s="63"/>
      <c r="G1646" s="63"/>
      <c r="H1646" s="25"/>
    </row>
    <row r="1647" spans="2:8">
      <c r="B1647" s="63"/>
      <c r="C1647" s="63"/>
      <c r="D1647" s="63"/>
      <c r="E1647" s="63"/>
      <c r="F1647" s="63"/>
      <c r="G1647" s="63"/>
      <c r="H1647" s="25"/>
    </row>
    <row r="1648" spans="2:8">
      <c r="B1648" s="63"/>
      <c r="C1648" s="63"/>
      <c r="D1648" s="63"/>
      <c r="E1648" s="63"/>
      <c r="F1648" s="63"/>
      <c r="G1648" s="63"/>
      <c r="H1648" s="25"/>
    </row>
    <row r="1649" spans="2:8">
      <c r="B1649" s="63"/>
      <c r="C1649" s="63"/>
      <c r="D1649" s="63"/>
      <c r="E1649" s="63"/>
      <c r="F1649" s="63"/>
      <c r="G1649" s="63"/>
      <c r="H1649" s="25"/>
    </row>
    <row r="1650" spans="2:8">
      <c r="B1650" s="63"/>
      <c r="C1650" s="63"/>
      <c r="D1650" s="63"/>
      <c r="E1650" s="63"/>
      <c r="F1650" s="63"/>
      <c r="G1650" s="63"/>
      <c r="H1650" s="25"/>
    </row>
    <row r="1651" spans="2:8">
      <c r="B1651" s="63"/>
      <c r="C1651" s="63"/>
      <c r="D1651" s="63"/>
      <c r="E1651" s="63"/>
      <c r="F1651" s="63"/>
      <c r="G1651" s="63"/>
      <c r="H1651" s="25"/>
    </row>
    <row r="1652" spans="2:8">
      <c r="B1652" s="63"/>
      <c r="C1652" s="63"/>
      <c r="D1652" s="63"/>
      <c r="E1652" s="63"/>
      <c r="F1652" s="63"/>
      <c r="G1652" s="63"/>
      <c r="H1652" s="25"/>
    </row>
    <row r="1653" spans="2:8">
      <c r="B1653" s="63"/>
      <c r="C1653" s="63"/>
      <c r="D1653" s="63"/>
      <c r="E1653" s="63"/>
      <c r="F1653" s="63"/>
      <c r="G1653" s="63"/>
      <c r="H1653" s="25"/>
    </row>
    <row r="1654" spans="2:8">
      <c r="B1654" s="63"/>
      <c r="C1654" s="63"/>
      <c r="D1654" s="63"/>
      <c r="E1654" s="63"/>
      <c r="F1654" s="63"/>
      <c r="G1654" s="63"/>
      <c r="H1654" s="25"/>
    </row>
    <row r="1655" spans="2:8">
      <c r="B1655" s="63"/>
      <c r="C1655" s="63"/>
      <c r="D1655" s="63"/>
      <c r="E1655" s="63"/>
      <c r="F1655" s="63"/>
      <c r="G1655" s="63"/>
      <c r="H1655" s="25"/>
    </row>
    <row r="1656" spans="2:8">
      <c r="B1656" s="63"/>
      <c r="C1656" s="63"/>
      <c r="D1656" s="63"/>
      <c r="E1656" s="63"/>
      <c r="F1656" s="63"/>
      <c r="G1656" s="63"/>
      <c r="H1656" s="25"/>
    </row>
    <row r="1657" spans="2:8">
      <c r="B1657" s="63"/>
      <c r="C1657" s="63"/>
      <c r="D1657" s="63"/>
      <c r="E1657" s="63"/>
      <c r="F1657" s="63"/>
      <c r="G1657" s="63"/>
      <c r="H1657" s="25"/>
    </row>
    <row r="1658" spans="2:8">
      <c r="B1658" s="63"/>
      <c r="C1658" s="63"/>
      <c r="D1658" s="63"/>
      <c r="E1658" s="63"/>
      <c r="F1658" s="63"/>
      <c r="G1658" s="63"/>
      <c r="H1658" s="25"/>
    </row>
    <row r="1659" spans="2:8">
      <c r="B1659" s="63"/>
      <c r="C1659" s="63"/>
      <c r="D1659" s="63"/>
      <c r="E1659" s="63"/>
      <c r="F1659" s="63"/>
      <c r="G1659" s="63"/>
      <c r="H1659" s="25"/>
    </row>
    <row r="1660" spans="2:8">
      <c r="B1660" s="63"/>
      <c r="C1660" s="63"/>
      <c r="D1660" s="63"/>
      <c r="E1660" s="63"/>
      <c r="F1660" s="63"/>
      <c r="G1660" s="63"/>
      <c r="H1660" s="25"/>
    </row>
    <row r="1661" spans="2:8">
      <c r="B1661" s="63"/>
      <c r="C1661" s="63"/>
      <c r="D1661" s="63"/>
      <c r="E1661" s="63"/>
      <c r="F1661" s="63"/>
      <c r="G1661" s="63"/>
      <c r="H1661" s="25"/>
    </row>
    <row r="1662" spans="2:8">
      <c r="B1662" s="63"/>
      <c r="C1662" s="63"/>
      <c r="D1662" s="63"/>
      <c r="E1662" s="63"/>
      <c r="F1662" s="63"/>
      <c r="G1662" s="63"/>
      <c r="H1662" s="25"/>
    </row>
    <row r="1663" spans="2:8">
      <c r="B1663" s="63"/>
      <c r="C1663" s="63"/>
      <c r="D1663" s="63"/>
      <c r="E1663" s="63"/>
      <c r="F1663" s="63"/>
      <c r="G1663" s="63"/>
      <c r="H1663" s="25"/>
    </row>
    <row r="1664" spans="2:8">
      <c r="B1664" s="63"/>
      <c r="C1664" s="63"/>
      <c r="D1664" s="63"/>
      <c r="E1664" s="63"/>
      <c r="F1664" s="63"/>
      <c r="G1664" s="63"/>
      <c r="H1664" s="25"/>
    </row>
    <row r="1665" spans="2:8">
      <c r="B1665" s="63"/>
      <c r="C1665" s="63"/>
      <c r="D1665" s="63"/>
      <c r="E1665" s="63"/>
      <c r="F1665" s="63"/>
      <c r="G1665" s="63"/>
      <c r="H1665" s="25"/>
    </row>
    <row r="1666" spans="2:8">
      <c r="B1666" s="63"/>
      <c r="C1666" s="63"/>
      <c r="D1666" s="63"/>
      <c r="E1666" s="63"/>
      <c r="F1666" s="63"/>
      <c r="G1666" s="63"/>
      <c r="H1666" s="25"/>
    </row>
    <row r="1667" spans="2:8">
      <c r="B1667" s="63"/>
      <c r="C1667" s="63"/>
      <c r="D1667" s="63"/>
      <c r="E1667" s="63"/>
      <c r="F1667" s="63"/>
      <c r="G1667" s="63"/>
      <c r="H1667" s="25"/>
    </row>
    <row r="1668" spans="2:8">
      <c r="B1668" s="63"/>
      <c r="C1668" s="63"/>
      <c r="D1668" s="63"/>
      <c r="E1668" s="63"/>
      <c r="F1668" s="63"/>
      <c r="G1668" s="63"/>
      <c r="H1668" s="25"/>
    </row>
    <row r="1669" spans="2:8">
      <c r="B1669" s="63"/>
      <c r="C1669" s="63"/>
      <c r="D1669" s="63"/>
      <c r="E1669" s="63"/>
      <c r="F1669" s="63"/>
      <c r="G1669" s="63"/>
      <c r="H1669" s="25"/>
    </row>
    <row r="1670" spans="2:8">
      <c r="B1670" s="63"/>
      <c r="C1670" s="63"/>
      <c r="D1670" s="63"/>
      <c r="E1670" s="63"/>
      <c r="F1670" s="63"/>
      <c r="G1670" s="63"/>
      <c r="H1670" s="25"/>
    </row>
    <row r="1671" spans="2:8">
      <c r="B1671" s="63"/>
      <c r="C1671" s="63"/>
      <c r="D1671" s="63"/>
      <c r="E1671" s="63"/>
      <c r="F1671" s="63"/>
      <c r="G1671" s="63"/>
      <c r="H1671" s="25"/>
    </row>
    <row r="1672" spans="2:8">
      <c r="B1672" s="63"/>
      <c r="C1672" s="63"/>
      <c r="D1672" s="63"/>
      <c r="E1672" s="63"/>
      <c r="F1672" s="63"/>
      <c r="G1672" s="63"/>
      <c r="H1672" s="25"/>
    </row>
    <row r="1673" spans="2:8">
      <c r="B1673" s="63"/>
      <c r="C1673" s="63"/>
      <c r="D1673" s="63"/>
      <c r="E1673" s="63"/>
      <c r="F1673" s="63"/>
      <c r="G1673" s="63"/>
      <c r="H1673" s="25"/>
    </row>
    <row r="1674" spans="2:8">
      <c r="B1674" s="63"/>
      <c r="C1674" s="63"/>
      <c r="D1674" s="63"/>
      <c r="E1674" s="63"/>
      <c r="F1674" s="63"/>
      <c r="G1674" s="63"/>
      <c r="H1674" s="25"/>
    </row>
    <row r="1675" spans="2:8">
      <c r="B1675" s="63"/>
      <c r="C1675" s="63"/>
      <c r="D1675" s="63"/>
      <c r="E1675" s="63"/>
      <c r="F1675" s="63"/>
      <c r="G1675" s="63"/>
      <c r="H1675" s="25"/>
    </row>
    <row r="1676" spans="2:8">
      <c r="B1676" s="63"/>
      <c r="C1676" s="63"/>
      <c r="D1676" s="63"/>
      <c r="E1676" s="63"/>
      <c r="F1676" s="63"/>
      <c r="G1676" s="63"/>
      <c r="H1676" s="25"/>
    </row>
    <row r="1677" spans="2:8">
      <c r="B1677" s="63"/>
      <c r="C1677" s="63"/>
      <c r="D1677" s="63"/>
      <c r="E1677" s="63"/>
      <c r="F1677" s="63"/>
      <c r="G1677" s="63"/>
      <c r="H1677" s="25"/>
    </row>
    <row r="1678" spans="2:8">
      <c r="B1678" s="63"/>
      <c r="C1678" s="63"/>
      <c r="D1678" s="63"/>
      <c r="E1678" s="63"/>
      <c r="F1678" s="63"/>
      <c r="G1678" s="63"/>
      <c r="H1678" s="25"/>
    </row>
    <row r="1679" spans="2:8">
      <c r="B1679" s="63"/>
      <c r="C1679" s="63"/>
      <c r="D1679" s="63"/>
      <c r="E1679" s="63"/>
      <c r="F1679" s="63"/>
      <c r="G1679" s="63"/>
      <c r="H1679" s="25"/>
    </row>
    <row r="1680" spans="2:8">
      <c r="B1680" s="63"/>
      <c r="C1680" s="63"/>
      <c r="D1680" s="63"/>
      <c r="E1680" s="63"/>
      <c r="F1680" s="63"/>
      <c r="G1680" s="63"/>
      <c r="H1680" s="25"/>
    </row>
    <row r="1681" spans="2:8">
      <c r="B1681" s="63"/>
      <c r="C1681" s="63"/>
      <c r="D1681" s="63"/>
      <c r="E1681" s="63"/>
      <c r="F1681" s="63"/>
      <c r="G1681" s="63"/>
      <c r="H1681" s="25"/>
    </row>
    <row r="1682" spans="2:8">
      <c r="B1682" s="63"/>
      <c r="C1682" s="63"/>
      <c r="D1682" s="63"/>
      <c r="E1682" s="63"/>
      <c r="F1682" s="63"/>
      <c r="G1682" s="63"/>
      <c r="H1682" s="25"/>
    </row>
    <row r="1683" spans="2:8">
      <c r="B1683" s="63"/>
      <c r="C1683" s="63"/>
      <c r="D1683" s="63"/>
      <c r="E1683" s="63"/>
      <c r="F1683" s="63"/>
      <c r="G1683" s="63"/>
      <c r="H1683" s="25"/>
    </row>
    <row r="1684" spans="2:8">
      <c r="B1684" s="63"/>
      <c r="C1684" s="63"/>
      <c r="D1684" s="63"/>
      <c r="E1684" s="63"/>
      <c r="F1684" s="63"/>
      <c r="G1684" s="63"/>
      <c r="H1684" s="25"/>
    </row>
    <row r="1685" spans="2:8">
      <c r="B1685" s="63"/>
      <c r="C1685" s="63"/>
      <c r="D1685" s="63"/>
      <c r="E1685" s="63"/>
      <c r="F1685" s="63"/>
      <c r="G1685" s="63"/>
      <c r="H1685" s="25"/>
    </row>
    <row r="1686" spans="2:8">
      <c r="B1686" s="63"/>
      <c r="C1686" s="63"/>
      <c r="D1686" s="63"/>
      <c r="E1686" s="63"/>
      <c r="F1686" s="63"/>
      <c r="G1686" s="63"/>
      <c r="H1686" s="25"/>
    </row>
    <row r="1687" spans="2:8">
      <c r="B1687" s="63"/>
      <c r="C1687" s="63"/>
      <c r="D1687" s="63"/>
      <c r="E1687" s="63"/>
      <c r="F1687" s="63"/>
      <c r="G1687" s="63"/>
      <c r="H1687" s="25"/>
    </row>
    <row r="1688" spans="2:8">
      <c r="B1688" s="63"/>
      <c r="C1688" s="63"/>
      <c r="D1688" s="63"/>
      <c r="E1688" s="63"/>
      <c r="F1688" s="63"/>
      <c r="G1688" s="63"/>
      <c r="H1688" s="25"/>
    </row>
    <row r="1689" spans="2:8">
      <c r="B1689" s="63"/>
      <c r="C1689" s="63"/>
      <c r="D1689" s="63"/>
      <c r="E1689" s="63"/>
      <c r="F1689" s="63"/>
      <c r="G1689" s="63"/>
      <c r="H1689" s="25"/>
    </row>
    <row r="1690" spans="2:8">
      <c r="B1690" s="63"/>
      <c r="C1690" s="63"/>
      <c r="D1690" s="63"/>
      <c r="E1690" s="63"/>
      <c r="F1690" s="63"/>
      <c r="G1690" s="63"/>
      <c r="H1690" s="25"/>
    </row>
    <row r="1691" spans="2:8">
      <c r="B1691" s="63"/>
      <c r="C1691" s="63"/>
      <c r="D1691" s="63"/>
      <c r="E1691" s="63"/>
      <c r="F1691" s="63"/>
      <c r="G1691" s="63"/>
      <c r="H1691" s="25"/>
    </row>
    <row r="1692" spans="2:8">
      <c r="B1692" s="63"/>
      <c r="C1692" s="63"/>
      <c r="D1692" s="63"/>
      <c r="E1692" s="63"/>
      <c r="F1692" s="63"/>
      <c r="G1692" s="63"/>
      <c r="H1692" s="25"/>
    </row>
    <row r="1693" spans="2:8">
      <c r="B1693" s="63"/>
      <c r="C1693" s="63"/>
      <c r="D1693" s="63"/>
      <c r="E1693" s="63"/>
      <c r="F1693" s="63"/>
      <c r="G1693" s="63"/>
      <c r="H1693" s="25"/>
    </row>
    <row r="1694" spans="2:8">
      <c r="B1694" s="63"/>
      <c r="C1694" s="63"/>
      <c r="D1694" s="63"/>
      <c r="E1694" s="63"/>
      <c r="F1694" s="63"/>
      <c r="G1694" s="63"/>
      <c r="H1694" s="25"/>
    </row>
    <row r="1695" spans="2:8">
      <c r="B1695" s="63"/>
      <c r="C1695" s="63"/>
      <c r="D1695" s="63"/>
      <c r="E1695" s="63"/>
      <c r="F1695" s="63"/>
      <c r="G1695" s="63"/>
      <c r="H1695" s="25"/>
    </row>
    <row r="1696" spans="2:8">
      <c r="B1696" s="63"/>
      <c r="C1696" s="63"/>
      <c r="D1696" s="63"/>
      <c r="E1696" s="63"/>
      <c r="F1696" s="63"/>
      <c r="G1696" s="63"/>
      <c r="H1696" s="25"/>
    </row>
    <row r="1697" spans="2:8">
      <c r="B1697" s="63"/>
      <c r="C1697" s="63"/>
      <c r="D1697" s="63"/>
      <c r="E1697" s="63"/>
      <c r="F1697" s="63"/>
      <c r="G1697" s="63"/>
      <c r="H1697" s="25"/>
    </row>
    <row r="1698" spans="2:8">
      <c r="B1698" s="63"/>
      <c r="C1698" s="63"/>
      <c r="D1698" s="63"/>
      <c r="E1698" s="63"/>
      <c r="F1698" s="63"/>
      <c r="G1698" s="63"/>
      <c r="H1698" s="25"/>
    </row>
    <row r="1699" spans="2:8">
      <c r="B1699" s="63"/>
      <c r="C1699" s="63"/>
      <c r="D1699" s="63"/>
      <c r="E1699" s="63"/>
      <c r="F1699" s="63"/>
      <c r="G1699" s="63"/>
      <c r="H1699" s="25"/>
    </row>
    <row r="1700" spans="2:8">
      <c r="B1700" s="63"/>
      <c r="C1700" s="63"/>
      <c r="D1700" s="63"/>
      <c r="E1700" s="63"/>
      <c r="F1700" s="63"/>
      <c r="G1700" s="63"/>
      <c r="H1700" s="25"/>
    </row>
    <row r="1701" spans="2:8">
      <c r="B1701" s="63"/>
      <c r="C1701" s="63"/>
      <c r="D1701" s="63"/>
      <c r="E1701" s="63"/>
      <c r="F1701" s="63"/>
      <c r="G1701" s="63"/>
      <c r="H1701" s="25"/>
    </row>
    <row r="1702" spans="2:8">
      <c r="B1702" s="63"/>
      <c r="C1702" s="63"/>
      <c r="D1702" s="63"/>
      <c r="E1702" s="63"/>
      <c r="F1702" s="63"/>
      <c r="G1702" s="63"/>
      <c r="H1702" s="25"/>
    </row>
    <row r="1703" spans="2:8">
      <c r="B1703" s="63"/>
      <c r="C1703" s="63"/>
      <c r="D1703" s="63"/>
      <c r="E1703" s="63"/>
      <c r="F1703" s="63"/>
      <c r="G1703" s="63"/>
      <c r="H1703" s="25"/>
    </row>
    <row r="1704" spans="2:8">
      <c r="B1704" s="63"/>
      <c r="C1704" s="63"/>
      <c r="D1704" s="63"/>
      <c r="E1704" s="63"/>
      <c r="F1704" s="63"/>
      <c r="G1704" s="63"/>
      <c r="H1704" s="25"/>
    </row>
    <row r="1705" spans="2:8">
      <c r="B1705" s="63"/>
      <c r="C1705" s="63"/>
      <c r="D1705" s="63"/>
      <c r="E1705" s="63"/>
      <c r="F1705" s="63"/>
      <c r="G1705" s="63"/>
      <c r="H1705" s="25"/>
    </row>
    <row r="1706" spans="2:8">
      <c r="B1706" s="63"/>
      <c r="C1706" s="63"/>
      <c r="D1706" s="63"/>
      <c r="E1706" s="63"/>
      <c r="F1706" s="63"/>
      <c r="G1706" s="63"/>
      <c r="H1706" s="25"/>
    </row>
    <row r="1707" spans="2:8">
      <c r="B1707" s="63"/>
      <c r="C1707" s="63"/>
      <c r="D1707" s="63"/>
      <c r="E1707" s="63"/>
      <c r="F1707" s="63"/>
      <c r="G1707" s="63"/>
      <c r="H1707" s="25"/>
    </row>
    <row r="1708" spans="2:8">
      <c r="B1708" s="63"/>
      <c r="C1708" s="63"/>
      <c r="D1708" s="63"/>
      <c r="E1708" s="63"/>
      <c r="F1708" s="63"/>
      <c r="G1708" s="63"/>
      <c r="H1708" s="25"/>
    </row>
    <row r="1709" spans="2:8">
      <c r="B1709" s="63"/>
      <c r="C1709" s="63"/>
      <c r="D1709" s="63"/>
      <c r="E1709" s="63"/>
      <c r="F1709" s="63"/>
      <c r="G1709" s="63"/>
      <c r="H1709" s="25"/>
    </row>
    <row r="1710" spans="2:8">
      <c r="B1710" s="63"/>
      <c r="C1710" s="63"/>
      <c r="D1710" s="63"/>
      <c r="E1710" s="63"/>
      <c r="F1710" s="63"/>
      <c r="G1710" s="63"/>
      <c r="H1710" s="25"/>
    </row>
    <row r="1711" spans="2:8">
      <c r="B1711" s="63"/>
      <c r="C1711" s="63"/>
      <c r="D1711" s="63"/>
      <c r="E1711" s="63"/>
      <c r="F1711" s="63"/>
      <c r="G1711" s="63"/>
      <c r="H1711" s="25"/>
    </row>
    <row r="1712" spans="2:8">
      <c r="B1712" s="63"/>
      <c r="C1712" s="63"/>
      <c r="D1712" s="63"/>
      <c r="E1712" s="63"/>
      <c r="F1712" s="63"/>
      <c r="G1712" s="63"/>
      <c r="H1712" s="25"/>
    </row>
    <row r="1713" spans="2:8">
      <c r="B1713" s="63"/>
      <c r="C1713" s="63"/>
      <c r="D1713" s="63"/>
      <c r="E1713" s="63"/>
      <c r="F1713" s="63"/>
      <c r="G1713" s="63"/>
      <c r="H1713" s="25"/>
    </row>
    <row r="1714" spans="2:8">
      <c r="B1714" s="63"/>
      <c r="C1714" s="63"/>
      <c r="D1714" s="63"/>
      <c r="E1714" s="63"/>
      <c r="F1714" s="63"/>
      <c r="G1714" s="63"/>
      <c r="H1714" s="25"/>
    </row>
    <row r="1715" spans="2:8">
      <c r="B1715" s="63"/>
      <c r="C1715" s="63"/>
      <c r="D1715" s="63"/>
      <c r="E1715" s="63"/>
      <c r="F1715" s="63"/>
      <c r="G1715" s="63"/>
      <c r="H1715" s="25"/>
    </row>
    <row r="1716" spans="2:8">
      <c r="B1716" s="63"/>
      <c r="C1716" s="63"/>
      <c r="D1716" s="63"/>
      <c r="E1716" s="63"/>
      <c r="F1716" s="63"/>
      <c r="G1716" s="63"/>
      <c r="H1716" s="25"/>
    </row>
    <row r="1717" spans="2:8">
      <c r="B1717" s="63"/>
      <c r="C1717" s="63"/>
      <c r="D1717" s="63"/>
      <c r="E1717" s="63"/>
      <c r="F1717" s="63"/>
      <c r="G1717" s="63"/>
      <c r="H1717" s="25"/>
    </row>
    <row r="1718" spans="2:8">
      <c r="B1718" s="63"/>
      <c r="C1718" s="63"/>
      <c r="D1718" s="63"/>
      <c r="E1718" s="63"/>
      <c r="F1718" s="63"/>
      <c r="G1718" s="63"/>
      <c r="H1718" s="25"/>
    </row>
    <row r="1719" spans="2:8">
      <c r="B1719" s="63"/>
      <c r="C1719" s="63"/>
      <c r="D1719" s="63"/>
      <c r="E1719" s="63"/>
      <c r="F1719" s="63"/>
      <c r="G1719" s="63"/>
      <c r="H1719" s="25"/>
    </row>
    <row r="1720" spans="2:8">
      <c r="B1720" s="63"/>
      <c r="C1720" s="63"/>
      <c r="D1720" s="63"/>
      <c r="E1720" s="63"/>
      <c r="F1720" s="63"/>
      <c r="G1720" s="63"/>
      <c r="H1720" s="25"/>
    </row>
    <row r="1721" spans="2:8">
      <c r="B1721" s="63"/>
      <c r="C1721" s="63"/>
      <c r="D1721" s="63"/>
      <c r="E1721" s="63"/>
      <c r="F1721" s="63"/>
      <c r="G1721" s="63"/>
      <c r="H1721" s="25"/>
    </row>
    <row r="1722" spans="2:8">
      <c r="B1722" s="63"/>
      <c r="C1722" s="63"/>
      <c r="D1722" s="63"/>
      <c r="E1722" s="63"/>
      <c r="F1722" s="63"/>
      <c r="G1722" s="63"/>
      <c r="H1722" s="25"/>
    </row>
    <row r="1723" spans="2:8">
      <c r="B1723" s="63"/>
      <c r="C1723" s="63"/>
      <c r="D1723" s="63"/>
      <c r="E1723" s="63"/>
      <c r="F1723" s="63"/>
      <c r="G1723" s="63"/>
      <c r="H1723" s="25"/>
    </row>
    <row r="1724" spans="2:8">
      <c r="B1724" s="63"/>
      <c r="C1724" s="63"/>
      <c r="D1724" s="63"/>
      <c r="E1724" s="63"/>
      <c r="F1724" s="63"/>
      <c r="G1724" s="63"/>
      <c r="H1724" s="25"/>
    </row>
    <row r="1725" spans="2:8">
      <c r="B1725" s="63"/>
      <c r="C1725" s="63"/>
      <c r="D1725" s="63"/>
      <c r="E1725" s="63"/>
      <c r="F1725" s="63"/>
      <c r="G1725" s="63"/>
      <c r="H1725" s="25"/>
    </row>
    <row r="1726" spans="2:8">
      <c r="B1726" s="63"/>
      <c r="C1726" s="63"/>
      <c r="D1726" s="63"/>
      <c r="E1726" s="63"/>
      <c r="F1726" s="63"/>
      <c r="G1726" s="63"/>
      <c r="H1726" s="25"/>
    </row>
    <row r="1727" spans="2:8">
      <c r="B1727" s="63"/>
      <c r="C1727" s="63"/>
      <c r="D1727" s="63"/>
      <c r="E1727" s="63"/>
      <c r="F1727" s="63"/>
      <c r="G1727" s="63"/>
      <c r="H1727" s="25"/>
    </row>
    <row r="1728" spans="2:8">
      <c r="B1728" s="63"/>
      <c r="C1728" s="63"/>
      <c r="D1728" s="63"/>
      <c r="E1728" s="63"/>
      <c r="F1728" s="63"/>
      <c r="G1728" s="63"/>
      <c r="H1728" s="25"/>
    </row>
    <row r="1729" spans="2:8">
      <c r="B1729" s="63"/>
      <c r="C1729" s="63"/>
      <c r="D1729" s="63"/>
      <c r="E1729" s="63"/>
      <c r="F1729" s="63"/>
      <c r="G1729" s="63"/>
      <c r="H1729" s="25"/>
    </row>
    <row r="1730" spans="2:8">
      <c r="B1730" s="63"/>
      <c r="C1730" s="63"/>
      <c r="D1730" s="63"/>
      <c r="E1730" s="63"/>
      <c r="F1730" s="63"/>
      <c r="G1730" s="63"/>
      <c r="H1730" s="25"/>
    </row>
    <row r="1731" spans="2:8">
      <c r="B1731" s="63"/>
      <c r="C1731" s="63"/>
      <c r="D1731" s="63"/>
      <c r="E1731" s="63"/>
      <c r="F1731" s="63"/>
      <c r="G1731" s="63"/>
      <c r="H1731" s="25"/>
    </row>
    <row r="1732" spans="2:8">
      <c r="B1732" s="63"/>
      <c r="C1732" s="63"/>
      <c r="D1732" s="63"/>
      <c r="E1732" s="63"/>
      <c r="F1732" s="63"/>
      <c r="G1732" s="63"/>
      <c r="H1732" s="25"/>
    </row>
    <row r="1733" spans="2:8">
      <c r="B1733" s="63"/>
      <c r="C1733" s="63"/>
      <c r="D1733" s="63"/>
      <c r="E1733" s="63"/>
      <c r="F1733" s="63"/>
      <c r="G1733" s="63"/>
      <c r="H1733" s="25"/>
    </row>
    <row r="1734" spans="2:8">
      <c r="B1734" s="63"/>
      <c r="C1734" s="63"/>
      <c r="D1734" s="63"/>
      <c r="E1734" s="63"/>
      <c r="F1734" s="63"/>
      <c r="G1734" s="63"/>
      <c r="H1734" s="25"/>
    </row>
    <row r="1735" spans="2:8">
      <c r="B1735" s="63"/>
      <c r="C1735" s="63"/>
      <c r="D1735" s="63"/>
      <c r="E1735" s="63"/>
      <c r="F1735" s="63"/>
      <c r="G1735" s="63"/>
      <c r="H1735" s="25"/>
    </row>
    <row r="1736" spans="2:8">
      <c r="B1736" s="63"/>
      <c r="C1736" s="63"/>
      <c r="D1736" s="63"/>
      <c r="E1736" s="63"/>
      <c r="F1736" s="63"/>
      <c r="G1736" s="63"/>
      <c r="H1736" s="25"/>
    </row>
    <row r="1737" spans="2:8">
      <c r="B1737" s="63"/>
      <c r="C1737" s="63"/>
      <c r="D1737" s="63"/>
      <c r="E1737" s="63"/>
      <c r="F1737" s="63"/>
      <c r="G1737" s="63"/>
      <c r="H1737" s="25"/>
    </row>
    <row r="1738" spans="2:8">
      <c r="B1738" s="63"/>
      <c r="C1738" s="63"/>
      <c r="D1738" s="63"/>
      <c r="E1738" s="63"/>
      <c r="F1738" s="63"/>
      <c r="G1738" s="63"/>
      <c r="H1738" s="25"/>
    </row>
    <row r="1739" spans="2:8">
      <c r="B1739" s="63"/>
      <c r="C1739" s="63"/>
      <c r="D1739" s="63"/>
      <c r="E1739" s="63"/>
      <c r="F1739" s="63"/>
      <c r="G1739" s="63"/>
      <c r="H1739" s="25"/>
    </row>
    <row r="1740" spans="2:8">
      <c r="B1740" s="63"/>
      <c r="C1740" s="63"/>
      <c r="D1740" s="63"/>
      <c r="E1740" s="63"/>
      <c r="F1740" s="63"/>
      <c r="G1740" s="63"/>
      <c r="H1740" s="25"/>
    </row>
    <row r="1741" spans="2:8">
      <c r="B1741" s="63"/>
      <c r="C1741" s="63"/>
      <c r="D1741" s="63"/>
      <c r="E1741" s="63"/>
      <c r="F1741" s="63"/>
      <c r="G1741" s="63"/>
      <c r="H1741" s="25"/>
    </row>
    <row r="1742" spans="2:8">
      <c r="B1742" s="63"/>
      <c r="C1742" s="63"/>
      <c r="D1742" s="63"/>
      <c r="E1742" s="63"/>
      <c r="F1742" s="63"/>
      <c r="G1742" s="63"/>
      <c r="H1742" s="25"/>
    </row>
    <row r="1743" spans="2:8">
      <c r="B1743" s="63"/>
      <c r="C1743" s="63"/>
      <c r="D1743" s="63"/>
      <c r="E1743" s="63"/>
      <c r="F1743" s="63"/>
      <c r="G1743" s="63"/>
      <c r="H1743" s="25"/>
    </row>
    <row r="1744" spans="2:8">
      <c r="B1744" s="63"/>
      <c r="C1744" s="63"/>
      <c r="D1744" s="63"/>
      <c r="E1744" s="63"/>
      <c r="F1744" s="63"/>
      <c r="G1744" s="63"/>
      <c r="H1744" s="25"/>
    </row>
    <row r="1745" spans="2:8">
      <c r="B1745" s="63"/>
      <c r="C1745" s="63"/>
      <c r="D1745" s="63"/>
      <c r="E1745" s="63"/>
      <c r="F1745" s="63"/>
      <c r="G1745" s="63"/>
      <c r="H1745" s="25"/>
    </row>
    <row r="1746" spans="2:8">
      <c r="B1746" s="63"/>
      <c r="C1746" s="63"/>
      <c r="D1746" s="63"/>
      <c r="E1746" s="63"/>
      <c r="F1746" s="63"/>
      <c r="G1746" s="63"/>
      <c r="H1746" s="25"/>
    </row>
    <row r="1747" spans="2:8">
      <c r="B1747" s="63"/>
      <c r="C1747" s="63"/>
      <c r="D1747" s="63"/>
      <c r="E1747" s="63"/>
      <c r="F1747" s="63"/>
      <c r="G1747" s="63"/>
      <c r="H1747" s="25"/>
    </row>
    <row r="1748" spans="2:8">
      <c r="B1748" s="63"/>
      <c r="C1748" s="63"/>
      <c r="D1748" s="63"/>
      <c r="E1748" s="63"/>
      <c r="F1748" s="63"/>
      <c r="G1748" s="63"/>
      <c r="H1748" s="25"/>
    </row>
    <row r="1749" spans="2:8">
      <c r="B1749" s="63"/>
      <c r="C1749" s="63"/>
      <c r="D1749" s="63"/>
      <c r="E1749" s="63"/>
      <c r="F1749" s="63"/>
      <c r="G1749" s="63"/>
      <c r="H1749" s="25"/>
    </row>
    <row r="1750" spans="2:8">
      <c r="B1750" s="63"/>
      <c r="C1750" s="63"/>
      <c r="D1750" s="63"/>
      <c r="E1750" s="63"/>
      <c r="F1750" s="63"/>
      <c r="G1750" s="63"/>
      <c r="H1750" s="25"/>
    </row>
    <row r="1751" spans="2:8">
      <c r="B1751" s="63"/>
      <c r="C1751" s="63"/>
      <c r="D1751" s="63"/>
      <c r="E1751" s="63"/>
      <c r="F1751" s="63"/>
      <c r="G1751" s="63"/>
      <c r="H1751" s="25"/>
    </row>
    <row r="1752" spans="2:8">
      <c r="B1752" s="63"/>
      <c r="C1752" s="63"/>
      <c r="D1752" s="63"/>
      <c r="E1752" s="63"/>
      <c r="F1752" s="63"/>
      <c r="G1752" s="63"/>
      <c r="H1752" s="25"/>
    </row>
    <row r="1753" spans="2:8">
      <c r="B1753" s="63"/>
      <c r="C1753" s="63"/>
      <c r="D1753" s="63"/>
      <c r="E1753" s="63"/>
      <c r="F1753" s="63"/>
      <c r="G1753" s="63"/>
      <c r="H1753" s="25"/>
    </row>
    <row r="1754" spans="2:8">
      <c r="B1754" s="63"/>
      <c r="C1754" s="63"/>
      <c r="D1754" s="63"/>
      <c r="E1754" s="63"/>
      <c r="F1754" s="63"/>
      <c r="G1754" s="63"/>
      <c r="H1754" s="25"/>
    </row>
    <row r="1755" spans="2:8">
      <c r="B1755" s="63"/>
      <c r="C1755" s="63"/>
      <c r="D1755" s="63"/>
      <c r="E1755" s="63"/>
      <c r="F1755" s="63"/>
      <c r="G1755" s="63"/>
      <c r="H1755" s="25"/>
    </row>
    <row r="1756" spans="2:8">
      <c r="B1756" s="63"/>
      <c r="C1756" s="63"/>
      <c r="D1756" s="63"/>
      <c r="E1756" s="63"/>
      <c r="F1756" s="63"/>
      <c r="G1756" s="63"/>
      <c r="H1756" s="25"/>
    </row>
    <row r="1757" spans="2:8">
      <c r="B1757" s="63"/>
      <c r="C1757" s="63"/>
      <c r="D1757" s="63"/>
      <c r="E1757" s="63"/>
      <c r="F1757" s="63"/>
      <c r="G1757" s="63"/>
      <c r="H1757" s="25"/>
    </row>
    <row r="1758" spans="2:8">
      <c r="B1758" s="63"/>
      <c r="C1758" s="63"/>
      <c r="D1758" s="63"/>
      <c r="E1758" s="63"/>
      <c r="F1758" s="63"/>
      <c r="G1758" s="63"/>
      <c r="H1758" s="25"/>
    </row>
    <row r="1759" spans="2:8">
      <c r="B1759" s="63"/>
      <c r="C1759" s="63"/>
      <c r="D1759" s="63"/>
      <c r="E1759" s="63"/>
      <c r="F1759" s="63"/>
      <c r="G1759" s="63"/>
      <c r="H1759" s="25"/>
    </row>
    <row r="1760" spans="2:8">
      <c r="B1760" s="63"/>
      <c r="C1760" s="63"/>
      <c r="D1760" s="63"/>
      <c r="E1760" s="63"/>
      <c r="F1760" s="63"/>
      <c r="G1760" s="63"/>
      <c r="H1760" s="25"/>
    </row>
    <row r="1761" spans="2:8">
      <c r="B1761" s="63"/>
      <c r="C1761" s="63"/>
      <c r="D1761" s="63"/>
      <c r="E1761" s="63"/>
      <c r="F1761" s="63"/>
      <c r="G1761" s="63"/>
      <c r="H1761" s="25"/>
    </row>
    <row r="1762" spans="2:8">
      <c r="B1762" s="63"/>
      <c r="C1762" s="63"/>
      <c r="D1762" s="63"/>
      <c r="E1762" s="63"/>
      <c r="F1762" s="63"/>
      <c r="G1762" s="63"/>
      <c r="H1762" s="25"/>
    </row>
    <row r="1763" spans="2:8">
      <c r="B1763" s="63"/>
      <c r="C1763" s="63"/>
      <c r="D1763" s="63"/>
      <c r="E1763" s="63"/>
      <c r="F1763" s="63"/>
      <c r="G1763" s="63"/>
      <c r="H1763" s="25"/>
    </row>
    <row r="1764" spans="2:8">
      <c r="B1764" s="63"/>
      <c r="C1764" s="63"/>
      <c r="D1764" s="63"/>
      <c r="E1764" s="63"/>
      <c r="F1764" s="63"/>
      <c r="G1764" s="63"/>
      <c r="H1764" s="25"/>
    </row>
    <row r="1765" spans="2:8">
      <c r="B1765" s="63"/>
      <c r="C1765" s="63"/>
      <c r="D1765" s="63"/>
      <c r="E1765" s="63"/>
      <c r="F1765" s="63"/>
      <c r="G1765" s="63"/>
      <c r="H1765" s="25"/>
    </row>
    <row r="1766" spans="2:8">
      <c r="B1766" s="63"/>
      <c r="C1766" s="63"/>
      <c r="D1766" s="63"/>
      <c r="E1766" s="63"/>
      <c r="F1766" s="63"/>
      <c r="G1766" s="63"/>
      <c r="H1766" s="25"/>
    </row>
    <row r="1767" spans="2:8">
      <c r="B1767" s="63"/>
      <c r="C1767" s="63"/>
      <c r="D1767" s="63"/>
      <c r="E1767" s="63"/>
      <c r="F1767" s="63"/>
      <c r="G1767" s="63"/>
      <c r="H1767" s="25"/>
    </row>
    <row r="1768" spans="2:8">
      <c r="B1768" s="63"/>
      <c r="C1768" s="63"/>
      <c r="D1768" s="63"/>
      <c r="E1768" s="63"/>
      <c r="F1768" s="63"/>
      <c r="G1768" s="63"/>
      <c r="H1768" s="25"/>
    </row>
    <row r="1769" spans="2:8">
      <c r="B1769" s="63"/>
      <c r="C1769" s="63"/>
      <c r="D1769" s="63"/>
      <c r="E1769" s="63"/>
      <c r="F1769" s="63"/>
      <c r="G1769" s="63"/>
      <c r="H1769" s="25"/>
    </row>
    <row r="1770" spans="2:8">
      <c r="B1770" s="63"/>
      <c r="C1770" s="63"/>
      <c r="D1770" s="63"/>
      <c r="E1770" s="63"/>
      <c r="F1770" s="63"/>
      <c r="G1770" s="63"/>
      <c r="H1770" s="25"/>
    </row>
    <row r="1771" spans="2:8">
      <c r="B1771" s="63"/>
      <c r="C1771" s="63"/>
      <c r="D1771" s="63"/>
      <c r="E1771" s="63"/>
      <c r="F1771" s="63"/>
      <c r="G1771" s="63"/>
      <c r="H1771" s="25"/>
    </row>
    <row r="1772" spans="2:8">
      <c r="B1772" s="63"/>
      <c r="C1772" s="63"/>
      <c r="D1772" s="63"/>
      <c r="E1772" s="63"/>
      <c r="F1772" s="63"/>
      <c r="G1772" s="63"/>
      <c r="H1772" s="25"/>
    </row>
    <row r="1773" spans="2:8">
      <c r="B1773" s="63"/>
      <c r="C1773" s="63"/>
      <c r="D1773" s="63"/>
      <c r="E1773" s="63"/>
      <c r="F1773" s="63"/>
      <c r="G1773" s="63"/>
      <c r="H1773" s="25"/>
    </row>
    <row r="1774" spans="2:8">
      <c r="B1774" s="63"/>
      <c r="C1774" s="63"/>
      <c r="D1774" s="63"/>
      <c r="E1774" s="63"/>
      <c r="F1774" s="63"/>
      <c r="G1774" s="63"/>
      <c r="H1774" s="25"/>
    </row>
    <row r="1775" spans="2:8">
      <c r="B1775" s="63"/>
      <c r="C1775" s="63"/>
      <c r="D1775" s="63"/>
      <c r="E1775" s="63"/>
      <c r="F1775" s="63"/>
      <c r="G1775" s="63"/>
      <c r="H1775" s="25"/>
    </row>
    <row r="1776" spans="2:8">
      <c r="B1776" s="63"/>
      <c r="C1776" s="63"/>
      <c r="D1776" s="63"/>
      <c r="E1776" s="63"/>
      <c r="F1776" s="63"/>
      <c r="G1776" s="63"/>
      <c r="H1776" s="25"/>
    </row>
    <row r="1777" spans="2:8">
      <c r="B1777" s="63"/>
      <c r="C1777" s="63"/>
      <c r="D1777" s="63"/>
      <c r="E1777" s="63"/>
      <c r="F1777" s="63"/>
      <c r="G1777" s="63"/>
      <c r="H1777" s="25"/>
    </row>
    <row r="1778" spans="2:8">
      <c r="B1778" s="63"/>
      <c r="C1778" s="63"/>
      <c r="D1778" s="63"/>
      <c r="E1778" s="63"/>
      <c r="F1778" s="63"/>
      <c r="G1778" s="63"/>
      <c r="H1778" s="25"/>
    </row>
    <row r="1779" spans="2:8">
      <c r="B1779" s="63"/>
      <c r="C1779" s="63"/>
      <c r="D1779" s="63"/>
      <c r="E1779" s="63"/>
      <c r="F1779" s="63"/>
      <c r="G1779" s="63"/>
      <c r="H1779" s="25"/>
    </row>
    <row r="1780" spans="2:8">
      <c r="B1780" s="63"/>
      <c r="C1780" s="63"/>
      <c r="D1780" s="63"/>
      <c r="E1780" s="63"/>
      <c r="F1780" s="63"/>
      <c r="G1780" s="63"/>
      <c r="H1780" s="25"/>
    </row>
    <row r="1781" spans="2:8">
      <c r="B1781" s="63"/>
      <c r="C1781" s="63"/>
      <c r="D1781" s="63"/>
      <c r="E1781" s="63"/>
      <c r="F1781" s="63"/>
      <c r="G1781" s="63"/>
      <c r="H1781" s="25"/>
    </row>
    <row r="1782" spans="2:8">
      <c r="B1782" s="63"/>
      <c r="C1782" s="63"/>
      <c r="D1782" s="63"/>
      <c r="E1782" s="63"/>
      <c r="F1782" s="63"/>
      <c r="G1782" s="63"/>
      <c r="H1782" s="25"/>
    </row>
    <row r="1783" spans="2:8">
      <c r="B1783" s="63"/>
      <c r="C1783" s="63"/>
      <c r="D1783" s="63"/>
      <c r="E1783" s="63"/>
      <c r="F1783" s="63"/>
      <c r="G1783" s="63"/>
      <c r="H1783" s="25"/>
    </row>
    <row r="1784" spans="2:8">
      <c r="B1784" s="63"/>
      <c r="C1784" s="63"/>
      <c r="D1784" s="63"/>
      <c r="E1784" s="63"/>
      <c r="F1784" s="63"/>
      <c r="G1784" s="63"/>
      <c r="H1784" s="25"/>
    </row>
    <row r="1785" spans="2:8">
      <c r="B1785" s="63"/>
      <c r="C1785" s="63"/>
      <c r="D1785" s="63"/>
      <c r="E1785" s="63"/>
      <c r="F1785" s="63"/>
      <c r="G1785" s="63"/>
      <c r="H1785" s="25"/>
    </row>
    <row r="1786" spans="2:8">
      <c r="B1786" s="63"/>
      <c r="C1786" s="63"/>
      <c r="D1786" s="63"/>
      <c r="E1786" s="63"/>
      <c r="F1786" s="63"/>
      <c r="G1786" s="63"/>
      <c r="H1786" s="25"/>
    </row>
    <row r="1787" spans="2:8">
      <c r="B1787" s="63"/>
      <c r="C1787" s="63"/>
      <c r="D1787" s="63"/>
      <c r="E1787" s="63"/>
      <c r="F1787" s="63"/>
      <c r="G1787" s="63"/>
      <c r="H1787" s="25"/>
    </row>
    <row r="1788" spans="2:8">
      <c r="B1788" s="63"/>
      <c r="C1788" s="63"/>
      <c r="D1788" s="63"/>
      <c r="E1788" s="63"/>
      <c r="F1788" s="63"/>
      <c r="G1788" s="63"/>
      <c r="H1788" s="25"/>
    </row>
    <row r="1789" spans="2:8">
      <c r="B1789" s="63"/>
      <c r="C1789" s="63"/>
      <c r="D1789" s="63"/>
      <c r="E1789" s="63"/>
      <c r="F1789" s="63"/>
      <c r="G1789" s="63"/>
      <c r="H1789" s="25"/>
    </row>
    <row r="1790" spans="2:8">
      <c r="B1790" s="63"/>
      <c r="C1790" s="63"/>
      <c r="D1790" s="63"/>
      <c r="E1790" s="63"/>
      <c r="F1790" s="63"/>
      <c r="G1790" s="63"/>
      <c r="H1790" s="25"/>
    </row>
    <row r="1791" spans="2:8">
      <c r="B1791" s="63"/>
      <c r="C1791" s="63"/>
      <c r="D1791" s="63"/>
      <c r="E1791" s="63"/>
      <c r="F1791" s="63"/>
      <c r="G1791" s="63"/>
      <c r="H1791" s="25"/>
    </row>
    <row r="1792" spans="2:8">
      <c r="B1792" s="63"/>
      <c r="C1792" s="63"/>
      <c r="D1792" s="63"/>
      <c r="E1792" s="63"/>
      <c r="F1792" s="63"/>
      <c r="G1792" s="63"/>
      <c r="H1792" s="25"/>
    </row>
    <row r="1793" spans="2:8">
      <c r="B1793" s="63"/>
      <c r="C1793" s="63"/>
      <c r="D1793" s="63"/>
      <c r="E1793" s="63"/>
      <c r="F1793" s="63"/>
      <c r="G1793" s="63"/>
      <c r="H1793" s="25"/>
    </row>
    <row r="1794" spans="2:8">
      <c r="B1794" s="63"/>
      <c r="C1794" s="63"/>
      <c r="D1794" s="63"/>
      <c r="E1794" s="63"/>
      <c r="F1794" s="63"/>
      <c r="G1794" s="63"/>
      <c r="H1794" s="25"/>
    </row>
    <row r="1795" spans="2:8">
      <c r="B1795" s="63"/>
      <c r="C1795" s="63"/>
      <c r="D1795" s="63"/>
      <c r="E1795" s="63"/>
      <c r="F1795" s="63"/>
      <c r="G1795" s="63"/>
      <c r="H1795" s="25"/>
    </row>
    <row r="1796" spans="2:8">
      <c r="B1796" s="63"/>
      <c r="C1796" s="63"/>
      <c r="D1796" s="63"/>
      <c r="E1796" s="63"/>
      <c r="F1796" s="63"/>
      <c r="G1796" s="63"/>
      <c r="H1796" s="25"/>
    </row>
    <row r="1797" spans="2:8">
      <c r="B1797" s="63"/>
      <c r="C1797" s="63"/>
      <c r="D1797" s="63"/>
      <c r="E1797" s="63"/>
      <c r="F1797" s="63"/>
      <c r="G1797" s="63"/>
      <c r="H1797" s="25"/>
    </row>
    <row r="1798" spans="2:8">
      <c r="B1798" s="63"/>
      <c r="C1798" s="63"/>
      <c r="D1798" s="63"/>
      <c r="E1798" s="63"/>
      <c r="F1798" s="63"/>
      <c r="G1798" s="63"/>
      <c r="H1798" s="25"/>
    </row>
    <row r="1799" spans="2:8">
      <c r="B1799" s="63"/>
      <c r="C1799" s="63"/>
      <c r="D1799" s="63"/>
      <c r="E1799" s="63"/>
      <c r="F1799" s="63"/>
      <c r="G1799" s="63"/>
      <c r="H1799" s="25"/>
    </row>
    <row r="1800" spans="2:8">
      <c r="B1800" s="63"/>
      <c r="C1800" s="63"/>
      <c r="D1800" s="63"/>
      <c r="E1800" s="63"/>
      <c r="F1800" s="63"/>
      <c r="G1800" s="63"/>
      <c r="H1800" s="25"/>
    </row>
    <row r="1801" spans="2:8">
      <c r="B1801" s="63"/>
      <c r="C1801" s="63"/>
      <c r="D1801" s="63"/>
      <c r="E1801" s="63"/>
      <c r="F1801" s="63"/>
      <c r="G1801" s="63"/>
      <c r="H1801" s="25"/>
    </row>
    <row r="1802" spans="2:8">
      <c r="B1802" s="63"/>
      <c r="C1802" s="63"/>
      <c r="D1802" s="63"/>
      <c r="E1802" s="63"/>
      <c r="F1802" s="63"/>
      <c r="G1802" s="63"/>
      <c r="H1802" s="25"/>
    </row>
    <row r="1803" spans="2:8">
      <c r="B1803" s="63"/>
      <c r="C1803" s="63"/>
      <c r="D1803" s="63"/>
      <c r="E1803" s="63"/>
      <c r="F1803" s="63"/>
      <c r="G1803" s="63"/>
      <c r="H1803" s="25"/>
    </row>
    <row r="1804" spans="2:8">
      <c r="B1804" s="63"/>
      <c r="C1804" s="63"/>
      <c r="D1804" s="63"/>
      <c r="E1804" s="63"/>
      <c r="F1804" s="63"/>
      <c r="G1804" s="63"/>
      <c r="H1804" s="25"/>
    </row>
    <row r="1805" spans="2:8">
      <c r="B1805" s="63"/>
      <c r="C1805" s="63"/>
      <c r="D1805" s="63"/>
      <c r="E1805" s="63"/>
      <c r="F1805" s="63"/>
      <c r="G1805" s="63"/>
      <c r="H1805" s="25"/>
    </row>
    <row r="1806" spans="2:8">
      <c r="B1806" s="63"/>
      <c r="C1806" s="63"/>
      <c r="D1806" s="63"/>
      <c r="E1806" s="63"/>
      <c r="F1806" s="63"/>
      <c r="G1806" s="63"/>
      <c r="H1806" s="25"/>
    </row>
    <row r="1807" spans="2:8">
      <c r="B1807" s="63"/>
      <c r="C1807" s="63"/>
      <c r="D1807" s="63"/>
      <c r="E1807" s="63"/>
      <c r="F1807" s="63"/>
      <c r="G1807" s="63"/>
      <c r="H1807" s="25"/>
    </row>
    <row r="1808" spans="2:8">
      <c r="B1808" s="63"/>
      <c r="C1808" s="63"/>
      <c r="D1808" s="63"/>
      <c r="E1808" s="63"/>
      <c r="F1808" s="63"/>
      <c r="G1808" s="63"/>
      <c r="H1808" s="25"/>
    </row>
    <row r="1809" spans="2:8">
      <c r="B1809" s="63"/>
      <c r="C1809" s="63"/>
      <c r="D1809" s="63"/>
      <c r="E1809" s="63"/>
      <c r="F1809" s="63"/>
      <c r="G1809" s="63"/>
      <c r="H1809" s="25"/>
    </row>
    <row r="1810" spans="2:8">
      <c r="B1810" s="63"/>
      <c r="C1810" s="63"/>
      <c r="D1810" s="63"/>
      <c r="E1810" s="63"/>
      <c r="F1810" s="63"/>
      <c r="G1810" s="63"/>
      <c r="H1810" s="25"/>
    </row>
    <row r="1811" spans="2:8">
      <c r="B1811" s="63"/>
      <c r="C1811" s="63"/>
      <c r="D1811" s="63"/>
      <c r="E1811" s="63"/>
      <c r="F1811" s="63"/>
      <c r="G1811" s="63"/>
      <c r="H1811" s="25"/>
    </row>
    <row r="1812" spans="2:8">
      <c r="B1812" s="63"/>
      <c r="C1812" s="63"/>
      <c r="D1812" s="63"/>
      <c r="E1812" s="63"/>
      <c r="F1812" s="63"/>
      <c r="G1812" s="63"/>
      <c r="H1812" s="25"/>
    </row>
    <row r="1813" spans="2:8">
      <c r="B1813" s="63"/>
      <c r="C1813" s="63"/>
      <c r="D1813" s="63"/>
      <c r="E1813" s="63"/>
      <c r="F1813" s="63"/>
      <c r="G1813" s="63"/>
      <c r="H1813" s="25"/>
    </row>
    <row r="1814" spans="2:8">
      <c r="B1814" s="63"/>
      <c r="C1814" s="63"/>
      <c r="D1814" s="63"/>
      <c r="E1814" s="63"/>
      <c r="F1814" s="63"/>
      <c r="G1814" s="63"/>
      <c r="H1814" s="25"/>
    </row>
    <row r="1815" spans="2:8">
      <c r="B1815" s="63"/>
      <c r="C1815" s="63"/>
      <c r="D1815" s="63"/>
      <c r="E1815" s="63"/>
      <c r="F1815" s="63"/>
      <c r="G1815" s="63"/>
      <c r="H1815" s="25"/>
    </row>
    <row r="1816" spans="2:8">
      <c r="B1816" s="63"/>
      <c r="C1816" s="63"/>
      <c r="D1816" s="63"/>
      <c r="E1816" s="63"/>
      <c r="F1816" s="63"/>
      <c r="G1816" s="63"/>
      <c r="H1816" s="25"/>
    </row>
    <row r="1817" spans="2:8">
      <c r="B1817" s="63"/>
      <c r="C1817" s="63"/>
      <c r="D1817" s="63"/>
      <c r="E1817" s="63"/>
      <c r="F1817" s="63"/>
      <c r="G1817" s="63"/>
      <c r="H1817" s="25"/>
    </row>
    <row r="1818" spans="2:8">
      <c r="B1818" s="63"/>
      <c r="C1818" s="63"/>
      <c r="D1818" s="63"/>
      <c r="E1818" s="63"/>
      <c r="F1818" s="63"/>
      <c r="G1818" s="63"/>
      <c r="H1818" s="25"/>
    </row>
    <row r="1819" spans="2:8">
      <c r="B1819" s="63"/>
      <c r="C1819" s="63"/>
      <c r="D1819" s="63"/>
      <c r="E1819" s="63"/>
      <c r="F1819" s="63"/>
      <c r="G1819" s="63"/>
      <c r="H1819" s="25"/>
    </row>
    <row r="1820" spans="2:8">
      <c r="B1820" s="63"/>
      <c r="C1820" s="63"/>
      <c r="D1820" s="63"/>
      <c r="E1820" s="63"/>
      <c r="F1820" s="63"/>
      <c r="G1820" s="63"/>
      <c r="H1820" s="25"/>
    </row>
    <row r="1821" spans="2:8">
      <c r="B1821" s="63"/>
      <c r="C1821" s="63"/>
      <c r="D1821" s="63"/>
      <c r="E1821" s="63"/>
      <c r="F1821" s="63"/>
      <c r="G1821" s="63"/>
      <c r="H1821" s="25"/>
    </row>
    <row r="1822" spans="2:8">
      <c r="B1822" s="63"/>
      <c r="C1822" s="63"/>
      <c r="D1822" s="63"/>
      <c r="E1822" s="63"/>
      <c r="F1822" s="63"/>
      <c r="G1822" s="63"/>
      <c r="H1822" s="25"/>
    </row>
    <row r="1823" spans="2:8">
      <c r="B1823" s="63"/>
      <c r="C1823" s="63"/>
      <c r="D1823" s="63"/>
      <c r="E1823" s="63"/>
      <c r="F1823" s="63"/>
      <c r="G1823" s="63"/>
      <c r="H1823" s="25"/>
    </row>
    <row r="1824" spans="2:8">
      <c r="B1824" s="63"/>
      <c r="C1824" s="63"/>
      <c r="D1824" s="63"/>
      <c r="E1824" s="63"/>
      <c r="F1824" s="63"/>
      <c r="G1824" s="63"/>
      <c r="H1824" s="25"/>
    </row>
    <row r="1825" spans="2:8">
      <c r="B1825" s="63"/>
      <c r="C1825" s="63"/>
      <c r="D1825" s="63"/>
      <c r="E1825" s="63"/>
      <c r="F1825" s="63"/>
      <c r="G1825" s="63"/>
      <c r="H1825" s="25"/>
    </row>
    <row r="1826" spans="2:8">
      <c r="B1826" s="63"/>
      <c r="C1826" s="63"/>
      <c r="D1826" s="63"/>
      <c r="E1826" s="63"/>
      <c r="F1826" s="63"/>
      <c r="G1826" s="63"/>
      <c r="H1826" s="25"/>
    </row>
    <row r="1827" spans="2:8">
      <c r="B1827" s="63"/>
      <c r="C1827" s="63"/>
      <c r="D1827" s="63"/>
      <c r="E1827" s="63"/>
      <c r="F1827" s="63"/>
      <c r="G1827" s="63"/>
      <c r="H1827" s="25"/>
    </row>
    <row r="1828" spans="2:8">
      <c r="B1828" s="63"/>
      <c r="C1828" s="63"/>
      <c r="D1828" s="63"/>
      <c r="E1828" s="63"/>
      <c r="F1828" s="63"/>
      <c r="G1828" s="63"/>
      <c r="H1828" s="25"/>
    </row>
    <row r="1829" spans="2:8">
      <c r="B1829" s="63"/>
      <c r="C1829" s="63"/>
      <c r="D1829" s="63"/>
      <c r="E1829" s="63"/>
      <c r="F1829" s="63"/>
      <c r="G1829" s="63"/>
      <c r="H1829" s="25"/>
    </row>
    <row r="1830" spans="2:8">
      <c r="B1830" s="63"/>
      <c r="C1830" s="63"/>
      <c r="D1830" s="63"/>
      <c r="E1830" s="63"/>
      <c r="F1830" s="63"/>
      <c r="G1830" s="63"/>
      <c r="H1830" s="25"/>
    </row>
    <row r="1831" spans="2:8">
      <c r="B1831" s="63"/>
      <c r="C1831" s="63"/>
      <c r="D1831" s="63"/>
      <c r="E1831" s="63"/>
      <c r="F1831" s="63"/>
      <c r="G1831" s="63"/>
      <c r="H1831" s="25"/>
    </row>
    <row r="1832" spans="2:8">
      <c r="B1832" s="63"/>
      <c r="C1832" s="63"/>
      <c r="D1832" s="63"/>
      <c r="E1832" s="63"/>
      <c r="F1832" s="63"/>
      <c r="G1832" s="63"/>
      <c r="H1832" s="25"/>
    </row>
    <row r="1833" spans="2:8">
      <c r="B1833" s="63"/>
      <c r="C1833" s="63"/>
      <c r="D1833" s="63"/>
      <c r="E1833" s="63"/>
      <c r="F1833" s="63"/>
      <c r="G1833" s="63"/>
      <c r="H1833" s="25"/>
    </row>
    <row r="1834" spans="2:8">
      <c r="B1834" s="63"/>
      <c r="C1834" s="63"/>
      <c r="D1834" s="63"/>
      <c r="E1834" s="63"/>
      <c r="F1834" s="63"/>
      <c r="G1834" s="63"/>
      <c r="H1834" s="25"/>
    </row>
    <row r="1835" spans="2:8">
      <c r="B1835" s="63"/>
      <c r="C1835" s="63"/>
      <c r="D1835" s="63"/>
      <c r="E1835" s="63"/>
      <c r="F1835" s="63"/>
      <c r="G1835" s="63"/>
      <c r="H1835" s="25"/>
    </row>
    <row r="1836" spans="2:8">
      <c r="B1836" s="63"/>
      <c r="C1836" s="63"/>
      <c r="D1836" s="63"/>
      <c r="E1836" s="63"/>
      <c r="F1836" s="63"/>
      <c r="G1836" s="63"/>
      <c r="H1836" s="25"/>
    </row>
    <row r="1837" spans="2:8">
      <c r="B1837" s="63"/>
      <c r="C1837" s="63"/>
      <c r="D1837" s="63"/>
      <c r="E1837" s="63"/>
      <c r="F1837" s="63"/>
      <c r="G1837" s="63"/>
      <c r="H1837" s="25"/>
    </row>
    <row r="1838" spans="2:8">
      <c r="B1838" s="63"/>
      <c r="C1838" s="63"/>
      <c r="D1838" s="63"/>
      <c r="E1838" s="63"/>
      <c r="F1838" s="63"/>
      <c r="G1838" s="63"/>
      <c r="H1838" s="25"/>
    </row>
    <row r="1839" spans="2:8">
      <c r="B1839" s="63"/>
      <c r="C1839" s="63"/>
      <c r="D1839" s="63"/>
      <c r="E1839" s="63"/>
      <c r="F1839" s="63"/>
      <c r="G1839" s="63"/>
      <c r="H1839" s="25"/>
    </row>
    <row r="1840" spans="2:8">
      <c r="B1840" s="63"/>
      <c r="C1840" s="63"/>
      <c r="D1840" s="63"/>
      <c r="E1840" s="63"/>
      <c r="F1840" s="63"/>
      <c r="G1840" s="63"/>
      <c r="H1840" s="25"/>
    </row>
    <row r="1841" spans="2:8">
      <c r="B1841" s="63"/>
      <c r="C1841" s="63"/>
      <c r="D1841" s="63"/>
      <c r="E1841" s="63"/>
      <c r="F1841" s="63"/>
      <c r="G1841" s="63"/>
      <c r="H1841" s="25"/>
    </row>
    <row r="1842" spans="2:8">
      <c r="B1842" s="63"/>
      <c r="C1842" s="63"/>
      <c r="D1842" s="63"/>
      <c r="E1842" s="63"/>
      <c r="F1842" s="63"/>
      <c r="G1842" s="63"/>
      <c r="H1842" s="25"/>
    </row>
    <row r="1843" spans="2:8">
      <c r="B1843" s="63"/>
      <c r="C1843" s="63"/>
      <c r="D1843" s="63"/>
      <c r="E1843" s="63"/>
      <c r="F1843" s="63"/>
      <c r="G1843" s="63"/>
      <c r="H1843" s="25"/>
    </row>
    <row r="1844" spans="2:8">
      <c r="B1844" s="63"/>
      <c r="C1844" s="63"/>
      <c r="D1844" s="63"/>
      <c r="E1844" s="63"/>
      <c r="F1844" s="63"/>
      <c r="G1844" s="63"/>
      <c r="H1844" s="25"/>
    </row>
    <row r="1845" spans="2:8">
      <c r="B1845" s="63"/>
      <c r="C1845" s="63"/>
      <c r="D1845" s="63"/>
      <c r="E1845" s="63"/>
      <c r="F1845" s="63"/>
      <c r="G1845" s="63"/>
      <c r="H1845" s="25"/>
    </row>
    <row r="1846" spans="2:8">
      <c r="B1846" s="63"/>
      <c r="C1846" s="63"/>
      <c r="D1846" s="63"/>
      <c r="E1846" s="63"/>
      <c r="F1846" s="63"/>
      <c r="G1846" s="63"/>
      <c r="H1846" s="25"/>
    </row>
    <row r="1847" spans="2:8">
      <c r="B1847" s="63"/>
      <c r="C1847" s="63"/>
      <c r="D1847" s="63"/>
      <c r="E1847" s="63"/>
      <c r="F1847" s="63"/>
      <c r="G1847" s="63"/>
      <c r="H1847" s="25"/>
    </row>
    <row r="1848" spans="2:8">
      <c r="B1848" s="63"/>
      <c r="C1848" s="63"/>
      <c r="D1848" s="63"/>
      <c r="E1848" s="63"/>
      <c r="F1848" s="63"/>
      <c r="G1848" s="63"/>
      <c r="H1848" s="25"/>
    </row>
    <row r="1849" spans="2:8">
      <c r="B1849" s="63"/>
      <c r="C1849" s="63"/>
      <c r="D1849" s="63"/>
      <c r="E1849" s="63"/>
      <c r="F1849" s="63"/>
      <c r="G1849" s="63"/>
      <c r="H1849" s="25"/>
    </row>
    <row r="1850" spans="2:8">
      <c r="B1850" s="63"/>
      <c r="C1850" s="63"/>
      <c r="D1850" s="63"/>
      <c r="E1850" s="63"/>
      <c r="F1850" s="63"/>
      <c r="G1850" s="63"/>
      <c r="H1850" s="25"/>
    </row>
    <row r="1851" spans="2:8">
      <c r="B1851" s="63"/>
      <c r="C1851" s="63"/>
      <c r="D1851" s="63"/>
      <c r="E1851" s="63"/>
      <c r="F1851" s="63"/>
      <c r="G1851" s="63"/>
      <c r="H1851" s="25"/>
    </row>
    <row r="1852" spans="2:8">
      <c r="B1852" s="63"/>
      <c r="C1852" s="63"/>
      <c r="D1852" s="63"/>
      <c r="E1852" s="63"/>
      <c r="F1852" s="63"/>
      <c r="G1852" s="63"/>
      <c r="H1852" s="25"/>
    </row>
    <row r="1853" spans="2:8">
      <c r="B1853" s="63"/>
      <c r="C1853" s="63"/>
      <c r="D1853" s="63"/>
      <c r="E1853" s="63"/>
      <c r="F1853" s="63"/>
      <c r="G1853" s="63"/>
      <c r="H1853" s="25"/>
    </row>
    <row r="1854" spans="2:8">
      <c r="B1854" s="63"/>
      <c r="C1854" s="63"/>
      <c r="D1854" s="63"/>
      <c r="E1854" s="63"/>
      <c r="F1854" s="63"/>
      <c r="G1854" s="63"/>
      <c r="H1854" s="25"/>
    </row>
    <row r="1855" spans="2:8">
      <c r="B1855" s="63"/>
      <c r="C1855" s="63"/>
      <c r="D1855" s="63"/>
      <c r="E1855" s="63"/>
      <c r="F1855" s="63"/>
      <c r="G1855" s="63"/>
      <c r="H1855" s="25"/>
    </row>
    <row r="1856" spans="2:8">
      <c r="B1856" s="63"/>
      <c r="C1856" s="63"/>
      <c r="D1856" s="63"/>
      <c r="E1856" s="63"/>
      <c r="F1856" s="63"/>
      <c r="G1856" s="63"/>
      <c r="H1856" s="25"/>
    </row>
    <row r="1857" spans="2:8">
      <c r="B1857" s="63"/>
      <c r="C1857" s="63"/>
      <c r="D1857" s="63"/>
      <c r="E1857" s="63"/>
      <c r="F1857" s="63"/>
      <c r="G1857" s="63"/>
      <c r="H1857" s="25"/>
    </row>
    <row r="1858" spans="2:8">
      <c r="B1858" s="63"/>
      <c r="C1858" s="63"/>
      <c r="D1858" s="63"/>
      <c r="E1858" s="63"/>
      <c r="F1858" s="63"/>
      <c r="G1858" s="63"/>
      <c r="H1858" s="25"/>
    </row>
    <row r="1859" spans="2:8">
      <c r="B1859" s="63"/>
      <c r="C1859" s="63"/>
      <c r="D1859" s="63"/>
      <c r="E1859" s="63"/>
      <c r="F1859" s="63"/>
      <c r="G1859" s="63"/>
      <c r="H1859" s="25"/>
    </row>
    <row r="1860" spans="2:8">
      <c r="B1860" s="63"/>
      <c r="C1860" s="63"/>
      <c r="D1860" s="63"/>
      <c r="E1860" s="63"/>
      <c r="F1860" s="63"/>
      <c r="G1860" s="63"/>
      <c r="H1860" s="25"/>
    </row>
    <row r="1861" spans="2:8">
      <c r="B1861" s="63"/>
      <c r="C1861" s="63"/>
      <c r="D1861" s="63"/>
      <c r="E1861" s="63"/>
      <c r="F1861" s="63"/>
      <c r="G1861" s="63"/>
      <c r="H1861" s="25"/>
    </row>
    <row r="1862" spans="2:8">
      <c r="B1862" s="63"/>
      <c r="C1862" s="63"/>
      <c r="D1862" s="63"/>
      <c r="E1862" s="63"/>
      <c r="F1862" s="63"/>
      <c r="G1862" s="63"/>
      <c r="H1862" s="25"/>
    </row>
    <row r="1863" spans="2:8">
      <c r="B1863" s="63"/>
      <c r="C1863" s="63"/>
      <c r="D1863" s="63"/>
      <c r="E1863" s="63"/>
      <c r="F1863" s="63"/>
      <c r="G1863" s="63"/>
      <c r="H1863" s="25"/>
    </row>
    <row r="1864" spans="2:8">
      <c r="B1864" s="63"/>
      <c r="C1864" s="63"/>
      <c r="D1864" s="63"/>
      <c r="E1864" s="63"/>
      <c r="F1864" s="63"/>
      <c r="G1864" s="63"/>
      <c r="H1864" s="25"/>
    </row>
    <row r="1865" spans="2:8">
      <c r="B1865" s="63"/>
      <c r="C1865" s="63"/>
      <c r="D1865" s="63"/>
      <c r="E1865" s="63"/>
      <c r="F1865" s="63"/>
      <c r="G1865" s="63"/>
      <c r="H1865" s="25"/>
    </row>
    <row r="1866" spans="2:8">
      <c r="B1866" s="63"/>
      <c r="C1866" s="63"/>
      <c r="D1866" s="63"/>
      <c r="E1866" s="63"/>
      <c r="F1866" s="63"/>
      <c r="G1866" s="63"/>
      <c r="H1866" s="25"/>
    </row>
    <row r="1867" spans="2:8">
      <c r="B1867" s="63"/>
      <c r="C1867" s="63"/>
      <c r="D1867" s="63"/>
      <c r="E1867" s="63"/>
      <c r="F1867" s="63"/>
      <c r="G1867" s="63"/>
      <c r="H1867" s="25"/>
    </row>
    <row r="1868" spans="2:8">
      <c r="B1868" s="63"/>
      <c r="C1868" s="63"/>
      <c r="D1868" s="63"/>
      <c r="E1868" s="63"/>
      <c r="F1868" s="63"/>
      <c r="G1868" s="63"/>
      <c r="H1868" s="25"/>
    </row>
    <row r="1869" spans="2:8">
      <c r="B1869" s="63"/>
      <c r="C1869" s="63"/>
      <c r="D1869" s="63"/>
      <c r="E1869" s="63"/>
      <c r="F1869" s="63"/>
      <c r="G1869" s="63"/>
      <c r="H1869" s="25"/>
    </row>
    <row r="1870" spans="2:8">
      <c r="B1870" s="63"/>
      <c r="C1870" s="63"/>
      <c r="D1870" s="63"/>
      <c r="E1870" s="63"/>
      <c r="F1870" s="63"/>
      <c r="G1870" s="63"/>
      <c r="H1870" s="25"/>
    </row>
    <row r="1871" spans="2:8">
      <c r="B1871" s="63"/>
      <c r="C1871" s="63"/>
      <c r="D1871" s="63"/>
      <c r="E1871" s="63"/>
      <c r="F1871" s="63"/>
      <c r="G1871" s="63"/>
      <c r="H1871" s="25"/>
    </row>
    <row r="1872" spans="2:8">
      <c r="B1872" s="63"/>
      <c r="C1872" s="63"/>
      <c r="D1872" s="63"/>
      <c r="E1872" s="63"/>
      <c r="F1872" s="63"/>
      <c r="G1872" s="63"/>
      <c r="H1872" s="25"/>
    </row>
    <row r="1873" spans="2:8">
      <c r="B1873" s="63"/>
      <c r="C1873" s="63"/>
      <c r="D1873" s="63"/>
      <c r="E1873" s="63"/>
      <c r="F1873" s="63"/>
      <c r="G1873" s="63"/>
      <c r="H1873" s="25"/>
    </row>
    <row r="1874" spans="2:8">
      <c r="B1874" s="63"/>
      <c r="C1874" s="63"/>
      <c r="D1874" s="63"/>
      <c r="E1874" s="63"/>
      <c r="F1874" s="63"/>
      <c r="G1874" s="63"/>
      <c r="H1874" s="25"/>
    </row>
    <row r="1875" spans="2:8">
      <c r="B1875" s="63"/>
      <c r="C1875" s="63"/>
      <c r="D1875" s="63"/>
      <c r="E1875" s="63"/>
      <c r="F1875" s="63"/>
      <c r="G1875" s="63"/>
      <c r="H1875" s="25"/>
    </row>
    <row r="1876" spans="2:8">
      <c r="B1876" s="63"/>
      <c r="C1876" s="63"/>
      <c r="D1876" s="63"/>
      <c r="E1876" s="63"/>
      <c r="F1876" s="63"/>
      <c r="G1876" s="63"/>
      <c r="H1876" s="25"/>
    </row>
    <row r="1877" spans="2:8">
      <c r="B1877" s="63"/>
      <c r="C1877" s="63"/>
      <c r="D1877" s="63"/>
      <c r="E1877" s="63"/>
      <c r="F1877" s="63"/>
      <c r="G1877" s="63"/>
      <c r="H1877" s="25"/>
    </row>
    <row r="1878" spans="2:8">
      <c r="B1878" s="63"/>
      <c r="C1878" s="63"/>
      <c r="D1878" s="63"/>
      <c r="E1878" s="63"/>
      <c r="F1878" s="63"/>
      <c r="G1878" s="63"/>
      <c r="H1878" s="25"/>
    </row>
    <row r="1879" spans="2:8">
      <c r="B1879" s="63"/>
      <c r="C1879" s="63"/>
      <c r="D1879" s="63"/>
      <c r="E1879" s="63"/>
      <c r="F1879" s="63"/>
      <c r="G1879" s="63"/>
      <c r="H1879" s="25"/>
    </row>
    <row r="1880" spans="2:8">
      <c r="B1880" s="63"/>
      <c r="C1880" s="63"/>
      <c r="D1880" s="63"/>
      <c r="E1880" s="63"/>
      <c r="F1880" s="63"/>
      <c r="G1880" s="63"/>
      <c r="H1880" s="25"/>
    </row>
    <row r="1881" spans="2:8">
      <c r="B1881" s="63"/>
      <c r="C1881" s="63"/>
      <c r="D1881" s="63"/>
      <c r="E1881" s="63"/>
      <c r="F1881" s="63"/>
      <c r="G1881" s="63"/>
      <c r="H1881" s="25"/>
    </row>
    <row r="1882" spans="2:8">
      <c r="B1882" s="63"/>
      <c r="C1882" s="63"/>
      <c r="D1882" s="63"/>
      <c r="E1882" s="63"/>
      <c r="F1882" s="63"/>
      <c r="G1882" s="63"/>
      <c r="H1882" s="25"/>
    </row>
    <row r="1883" spans="2:8">
      <c r="B1883" s="63"/>
      <c r="C1883" s="63"/>
      <c r="D1883" s="63"/>
      <c r="E1883" s="63"/>
      <c r="F1883" s="63"/>
      <c r="G1883" s="63"/>
      <c r="H1883" s="25"/>
    </row>
    <row r="1884" spans="2:8">
      <c r="B1884" s="63"/>
      <c r="C1884" s="63"/>
      <c r="D1884" s="63"/>
      <c r="E1884" s="63"/>
      <c r="F1884" s="63"/>
      <c r="G1884" s="63"/>
      <c r="H1884" s="25"/>
    </row>
    <row r="1885" spans="2:8">
      <c r="B1885" s="63"/>
      <c r="C1885" s="63"/>
      <c r="D1885" s="63"/>
      <c r="E1885" s="63"/>
      <c r="F1885" s="63"/>
      <c r="G1885" s="63"/>
      <c r="H1885" s="25"/>
    </row>
    <row r="1886" spans="2:8">
      <c r="B1886" s="63"/>
      <c r="C1886" s="63"/>
      <c r="D1886" s="63"/>
      <c r="E1886" s="63"/>
      <c r="F1886" s="63"/>
      <c r="G1886" s="63"/>
      <c r="H1886" s="25"/>
    </row>
    <row r="1887" spans="2:8">
      <c r="B1887" s="63"/>
      <c r="C1887" s="63"/>
      <c r="D1887" s="63"/>
      <c r="E1887" s="63"/>
      <c r="F1887" s="63"/>
      <c r="G1887" s="63"/>
      <c r="H1887" s="25"/>
    </row>
    <row r="1888" spans="2:8">
      <c r="B1888" s="63"/>
      <c r="C1888" s="63"/>
      <c r="D1888" s="63"/>
      <c r="E1888" s="63"/>
      <c r="F1888" s="63"/>
      <c r="G1888" s="63"/>
      <c r="H1888" s="25"/>
    </row>
    <row r="1889" spans="2:8">
      <c r="B1889" s="63"/>
      <c r="C1889" s="63"/>
      <c r="D1889" s="63"/>
      <c r="E1889" s="63"/>
      <c r="F1889" s="63"/>
      <c r="G1889" s="63"/>
      <c r="H1889" s="25"/>
    </row>
    <row r="1890" spans="2:8">
      <c r="B1890" s="63"/>
      <c r="C1890" s="63"/>
      <c r="D1890" s="63"/>
      <c r="E1890" s="63"/>
      <c r="F1890" s="63"/>
      <c r="G1890" s="63"/>
      <c r="H1890" s="25"/>
    </row>
    <row r="1891" spans="2:8">
      <c r="B1891" s="63"/>
      <c r="C1891" s="63"/>
      <c r="D1891" s="63"/>
      <c r="E1891" s="63"/>
      <c r="F1891" s="63"/>
      <c r="G1891" s="63"/>
      <c r="H1891" s="25"/>
    </row>
    <row r="1892" spans="2:8">
      <c r="B1892" s="63"/>
      <c r="C1892" s="63"/>
      <c r="D1892" s="63"/>
      <c r="E1892" s="63"/>
      <c r="F1892" s="63"/>
      <c r="G1892" s="63"/>
      <c r="H1892" s="25"/>
    </row>
    <row r="1893" spans="2:8">
      <c r="B1893" s="63"/>
      <c r="C1893" s="63"/>
      <c r="D1893" s="63"/>
      <c r="E1893" s="63"/>
      <c r="F1893" s="63"/>
      <c r="G1893" s="63"/>
      <c r="H1893" s="25"/>
    </row>
    <row r="1894" spans="2:8">
      <c r="B1894" s="63"/>
      <c r="C1894" s="63"/>
      <c r="D1894" s="63"/>
      <c r="E1894" s="63"/>
      <c r="F1894" s="63"/>
      <c r="G1894" s="63"/>
      <c r="H1894" s="25"/>
    </row>
    <row r="1895" spans="2:8">
      <c r="B1895" s="63"/>
      <c r="C1895" s="63"/>
      <c r="D1895" s="63"/>
      <c r="E1895" s="63"/>
      <c r="F1895" s="63"/>
      <c r="G1895" s="63"/>
      <c r="H1895" s="25"/>
    </row>
    <row r="1896" spans="2:8">
      <c r="B1896" s="63"/>
      <c r="C1896" s="63"/>
      <c r="D1896" s="63"/>
      <c r="E1896" s="63"/>
      <c r="F1896" s="63"/>
      <c r="G1896" s="63"/>
      <c r="H1896" s="25"/>
    </row>
    <row r="1897" spans="2:8">
      <c r="B1897" s="63"/>
      <c r="C1897" s="63"/>
      <c r="D1897" s="63"/>
      <c r="E1897" s="63"/>
      <c r="F1897" s="63"/>
      <c r="G1897" s="63"/>
      <c r="H1897" s="25"/>
    </row>
    <row r="1898" spans="2:8">
      <c r="B1898" s="63"/>
      <c r="C1898" s="63"/>
      <c r="D1898" s="63"/>
      <c r="E1898" s="63"/>
      <c r="F1898" s="63"/>
      <c r="G1898" s="63"/>
      <c r="H1898" s="25"/>
    </row>
    <row r="1899" spans="2:8">
      <c r="B1899" s="63"/>
      <c r="C1899" s="63"/>
      <c r="D1899" s="63"/>
      <c r="E1899" s="63"/>
      <c r="F1899" s="63"/>
      <c r="G1899" s="63"/>
      <c r="H1899" s="25"/>
    </row>
    <row r="1900" spans="2:8">
      <c r="B1900" s="63"/>
      <c r="C1900" s="63"/>
      <c r="D1900" s="63"/>
      <c r="E1900" s="63"/>
      <c r="F1900" s="63"/>
      <c r="G1900" s="63"/>
      <c r="H1900" s="25"/>
    </row>
    <row r="1901" spans="2:8">
      <c r="B1901" s="63"/>
      <c r="C1901" s="63"/>
      <c r="D1901" s="63"/>
      <c r="E1901" s="63"/>
      <c r="F1901" s="63"/>
      <c r="G1901" s="63"/>
      <c r="H1901" s="25"/>
    </row>
    <row r="1902" spans="2:8">
      <c r="B1902" s="63"/>
      <c r="C1902" s="63"/>
      <c r="D1902" s="63"/>
      <c r="E1902" s="63"/>
      <c r="F1902" s="63"/>
      <c r="G1902" s="63"/>
      <c r="H1902" s="25"/>
    </row>
    <row r="1903" spans="2:8">
      <c r="B1903" s="63"/>
      <c r="C1903" s="63"/>
      <c r="D1903" s="63"/>
      <c r="E1903" s="63"/>
      <c r="F1903" s="63"/>
      <c r="G1903" s="63"/>
      <c r="H1903" s="25"/>
    </row>
    <row r="1904" spans="2:8">
      <c r="B1904" s="63"/>
      <c r="C1904" s="63"/>
      <c r="D1904" s="63"/>
      <c r="E1904" s="63"/>
      <c r="F1904" s="63"/>
      <c r="G1904" s="63"/>
      <c r="H1904" s="25"/>
    </row>
    <row r="1905" spans="2:8">
      <c r="B1905" s="63"/>
      <c r="C1905" s="63"/>
      <c r="D1905" s="63"/>
      <c r="E1905" s="63"/>
      <c r="F1905" s="63"/>
      <c r="G1905" s="63"/>
      <c r="H1905" s="25"/>
    </row>
    <row r="1906" spans="2:8">
      <c r="B1906" s="63"/>
      <c r="C1906" s="63"/>
      <c r="D1906" s="63"/>
      <c r="E1906" s="63"/>
      <c r="F1906" s="63"/>
      <c r="G1906" s="63"/>
      <c r="H1906" s="25"/>
    </row>
    <row r="1907" spans="2:8">
      <c r="B1907" s="63"/>
      <c r="C1907" s="63"/>
      <c r="D1907" s="63"/>
      <c r="E1907" s="63"/>
      <c r="F1907" s="63"/>
      <c r="G1907" s="63"/>
      <c r="H1907" s="25"/>
    </row>
    <row r="1908" spans="2:8">
      <c r="B1908" s="63"/>
      <c r="C1908" s="63"/>
      <c r="D1908" s="63"/>
      <c r="E1908" s="63"/>
      <c r="F1908" s="63"/>
      <c r="G1908" s="63"/>
      <c r="H1908" s="25"/>
    </row>
    <row r="1909" spans="2:8">
      <c r="B1909" s="63"/>
      <c r="C1909" s="63"/>
      <c r="D1909" s="63"/>
      <c r="E1909" s="63"/>
      <c r="F1909" s="63"/>
      <c r="G1909" s="63"/>
      <c r="H1909" s="25"/>
    </row>
    <row r="1910" spans="2:8">
      <c r="B1910" s="63"/>
      <c r="C1910" s="63"/>
      <c r="D1910" s="63"/>
      <c r="E1910" s="63"/>
      <c r="F1910" s="63"/>
      <c r="G1910" s="63"/>
      <c r="H1910" s="25"/>
    </row>
    <row r="1911" spans="2:8">
      <c r="B1911" s="63"/>
      <c r="C1911" s="63"/>
      <c r="D1911" s="63"/>
      <c r="E1911" s="63"/>
      <c r="F1911" s="63"/>
      <c r="G1911" s="63"/>
      <c r="H1911" s="25"/>
    </row>
    <row r="1912" spans="2:8">
      <c r="B1912" s="63"/>
      <c r="C1912" s="63"/>
      <c r="D1912" s="63"/>
      <c r="E1912" s="63"/>
      <c r="F1912" s="63"/>
      <c r="G1912" s="63"/>
      <c r="H1912" s="25"/>
    </row>
    <row r="1913" spans="2:8">
      <c r="B1913" s="63"/>
      <c r="C1913" s="63"/>
      <c r="D1913" s="63"/>
      <c r="E1913" s="63"/>
      <c r="F1913" s="63"/>
      <c r="G1913" s="63"/>
      <c r="H1913" s="25"/>
    </row>
    <row r="1914" spans="2:8">
      <c r="B1914" s="63"/>
      <c r="C1914" s="63"/>
      <c r="D1914" s="63"/>
      <c r="E1914" s="63"/>
      <c r="F1914" s="63"/>
      <c r="G1914" s="63"/>
      <c r="H1914" s="25"/>
    </row>
    <row r="1915" spans="2:8">
      <c r="B1915" s="63"/>
      <c r="C1915" s="63"/>
      <c r="D1915" s="63"/>
      <c r="E1915" s="63"/>
      <c r="F1915" s="63"/>
      <c r="G1915" s="63"/>
      <c r="H1915" s="25"/>
    </row>
    <row r="1916" spans="2:8">
      <c r="B1916" s="63"/>
      <c r="C1916" s="63"/>
      <c r="D1916" s="63"/>
      <c r="E1916" s="63"/>
      <c r="F1916" s="63"/>
      <c r="G1916" s="63"/>
      <c r="H1916" s="25"/>
    </row>
    <row r="1917" spans="2:8">
      <c r="B1917" s="63"/>
      <c r="C1917" s="63"/>
      <c r="D1917" s="63"/>
      <c r="E1917" s="63"/>
      <c r="F1917" s="63"/>
      <c r="G1917" s="63"/>
      <c r="H1917" s="25"/>
    </row>
    <row r="1918" spans="2:8">
      <c r="B1918" s="63"/>
      <c r="C1918" s="63"/>
      <c r="D1918" s="63"/>
      <c r="E1918" s="63"/>
      <c r="F1918" s="63"/>
      <c r="G1918" s="63"/>
      <c r="H1918" s="25"/>
    </row>
    <row r="1919" spans="2:8">
      <c r="B1919" s="63"/>
      <c r="C1919" s="63"/>
      <c r="D1919" s="63"/>
      <c r="E1919" s="63"/>
      <c r="F1919" s="63"/>
      <c r="G1919" s="63"/>
      <c r="H1919" s="25"/>
    </row>
    <row r="1920" spans="2:8">
      <c r="B1920" s="63"/>
      <c r="C1920" s="63"/>
      <c r="D1920" s="63"/>
      <c r="E1920" s="63"/>
      <c r="F1920" s="63"/>
      <c r="G1920" s="63"/>
      <c r="H1920" s="25"/>
    </row>
    <row r="1921" spans="2:8">
      <c r="B1921" s="63"/>
      <c r="C1921" s="63"/>
      <c r="D1921" s="63"/>
      <c r="E1921" s="63"/>
      <c r="F1921" s="63"/>
      <c r="G1921" s="63"/>
      <c r="H1921" s="25"/>
    </row>
    <row r="1922" spans="2:8">
      <c r="B1922" s="63"/>
      <c r="C1922" s="63"/>
      <c r="D1922" s="63"/>
      <c r="E1922" s="63"/>
      <c r="F1922" s="63"/>
      <c r="G1922" s="63"/>
      <c r="H1922" s="25"/>
    </row>
    <row r="1923" spans="2:8">
      <c r="B1923" s="63"/>
      <c r="C1923" s="63"/>
      <c r="D1923" s="63"/>
      <c r="E1923" s="63"/>
      <c r="F1923" s="63"/>
      <c r="G1923" s="63"/>
      <c r="H1923" s="25"/>
    </row>
    <row r="1924" spans="2:8">
      <c r="B1924" s="63"/>
      <c r="C1924" s="63"/>
      <c r="D1924" s="63"/>
      <c r="E1924" s="63"/>
      <c r="F1924" s="63"/>
      <c r="G1924" s="63"/>
      <c r="H1924" s="25"/>
    </row>
    <row r="1925" spans="2:8">
      <c r="B1925" s="63"/>
      <c r="C1925" s="63"/>
      <c r="D1925" s="63"/>
      <c r="E1925" s="63"/>
      <c r="F1925" s="63"/>
      <c r="G1925" s="63"/>
      <c r="H1925" s="25"/>
    </row>
    <row r="1926" spans="2:8">
      <c r="B1926" s="63"/>
      <c r="C1926" s="63"/>
      <c r="D1926" s="63"/>
      <c r="E1926" s="63"/>
      <c r="F1926" s="63"/>
      <c r="G1926" s="63"/>
      <c r="H1926" s="25"/>
    </row>
    <row r="1927" spans="2:8">
      <c r="B1927" s="63"/>
      <c r="C1927" s="63"/>
      <c r="D1927" s="63"/>
      <c r="E1927" s="63"/>
      <c r="F1927" s="63"/>
      <c r="G1927" s="63"/>
      <c r="H1927" s="25"/>
    </row>
    <row r="1928" spans="2:8">
      <c r="B1928" s="63"/>
      <c r="C1928" s="63"/>
      <c r="D1928" s="63"/>
      <c r="E1928" s="63"/>
      <c r="F1928" s="63"/>
      <c r="G1928" s="63"/>
      <c r="H1928" s="25"/>
    </row>
    <row r="1929" spans="2:8">
      <c r="B1929" s="63"/>
      <c r="C1929" s="63"/>
      <c r="D1929" s="63"/>
      <c r="E1929" s="63"/>
      <c r="F1929" s="63"/>
      <c r="G1929" s="63"/>
      <c r="H1929" s="25"/>
    </row>
    <row r="1930" spans="2:8">
      <c r="B1930" s="63"/>
      <c r="C1930" s="63"/>
      <c r="D1930" s="63"/>
      <c r="E1930" s="63"/>
      <c r="F1930" s="63"/>
      <c r="G1930" s="63"/>
      <c r="H1930" s="25"/>
    </row>
    <row r="1931" spans="2:8">
      <c r="B1931" s="63"/>
      <c r="C1931" s="63"/>
      <c r="D1931" s="63"/>
      <c r="E1931" s="63"/>
      <c r="F1931" s="63"/>
      <c r="G1931" s="63"/>
      <c r="H1931" s="25"/>
    </row>
    <row r="1932" spans="2:8">
      <c r="B1932" s="63"/>
      <c r="C1932" s="63"/>
      <c r="D1932" s="63"/>
      <c r="E1932" s="63"/>
      <c r="F1932" s="63"/>
      <c r="G1932" s="63"/>
      <c r="H1932" s="25"/>
    </row>
    <row r="1933" spans="2:8">
      <c r="B1933" s="63"/>
      <c r="C1933" s="63"/>
      <c r="D1933" s="63"/>
      <c r="E1933" s="63"/>
      <c r="F1933" s="63"/>
      <c r="G1933" s="63"/>
      <c r="H1933" s="25"/>
    </row>
    <row r="1934" spans="2:8">
      <c r="B1934" s="63"/>
      <c r="C1934" s="63"/>
      <c r="D1934" s="63"/>
      <c r="E1934" s="63"/>
      <c r="F1934" s="63"/>
      <c r="G1934" s="63"/>
      <c r="H1934" s="25"/>
    </row>
    <row r="1935" spans="2:8">
      <c r="B1935" s="63"/>
      <c r="C1935" s="63"/>
      <c r="D1935" s="63"/>
      <c r="E1935" s="63"/>
      <c r="F1935" s="63"/>
      <c r="G1935" s="63"/>
      <c r="H1935" s="25"/>
    </row>
    <row r="1936" spans="2:8">
      <c r="B1936" s="63"/>
      <c r="C1936" s="63"/>
      <c r="D1936" s="63"/>
      <c r="E1936" s="63"/>
      <c r="F1936" s="63"/>
      <c r="G1936" s="63"/>
      <c r="H1936" s="25"/>
    </row>
    <row r="1937" spans="2:8">
      <c r="B1937" s="63"/>
      <c r="C1937" s="63"/>
      <c r="D1937" s="63"/>
      <c r="E1937" s="63"/>
      <c r="F1937" s="63"/>
      <c r="G1937" s="63"/>
      <c r="H1937" s="25"/>
    </row>
    <row r="1938" spans="2:8">
      <c r="B1938" s="63"/>
      <c r="C1938" s="63"/>
      <c r="D1938" s="63"/>
      <c r="E1938" s="63"/>
      <c r="F1938" s="63"/>
      <c r="G1938" s="63"/>
      <c r="H1938" s="25"/>
    </row>
    <row r="1939" spans="2:8">
      <c r="B1939" s="63"/>
      <c r="C1939" s="63"/>
      <c r="D1939" s="63"/>
      <c r="E1939" s="63"/>
      <c r="F1939" s="63"/>
      <c r="G1939" s="63"/>
      <c r="H1939" s="25"/>
    </row>
    <row r="1940" spans="2:8">
      <c r="B1940" s="63"/>
      <c r="C1940" s="63"/>
      <c r="D1940" s="63"/>
      <c r="E1940" s="63"/>
      <c r="F1940" s="63"/>
      <c r="G1940" s="63"/>
      <c r="H1940" s="25"/>
    </row>
    <row r="1941" spans="2:8">
      <c r="B1941" s="63"/>
      <c r="C1941" s="63"/>
      <c r="D1941" s="63"/>
      <c r="E1941" s="63"/>
      <c r="F1941" s="63"/>
      <c r="G1941" s="63"/>
      <c r="H1941" s="25"/>
    </row>
    <row r="1942" spans="2:8">
      <c r="B1942" s="63"/>
      <c r="C1942" s="63"/>
      <c r="D1942" s="63"/>
      <c r="E1942" s="63"/>
      <c r="F1942" s="63"/>
      <c r="G1942" s="63"/>
      <c r="H1942" s="25"/>
    </row>
  </sheetData>
  <sortState xmlns:xlrd2="http://schemas.microsoft.com/office/spreadsheetml/2017/richdata2" ref="R210:R302">
    <sortCondition ref="R210"/>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J33" sqref="J33"/>
    </sheetView>
  </sheetViews>
  <sheetFormatPr defaultColWidth="9.140625"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2026-01-13T09:34:16Z</dcterms:modified>
</cp:coreProperties>
</file>