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Health Care\MedTech\"/>
    </mc:Choice>
  </mc:AlternateContent>
  <xr:revisionPtr revIDLastSave="0" documentId="13_ncr:1_{25AF87A0-CB46-4DDC-A67C-F7A320F6EBA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Management" sheetId="6" r:id="rId5"/>
    <sheet name="Table Formatting" sheetId="4" r:id="rId6"/>
  </sheets>
  <externalReferences>
    <externalReference r:id="rId7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CO96" i="2"/>
  <c r="CN96" i="2"/>
  <c r="CM96" i="2"/>
  <c r="CO94" i="2"/>
  <c r="CN94" i="2"/>
  <c r="CM94" i="2"/>
  <c r="CO93" i="2"/>
  <c r="CN93" i="2"/>
  <c r="CM93" i="2"/>
  <c r="CO92" i="2"/>
  <c r="CN92" i="2"/>
  <c r="CM92" i="2"/>
  <c r="CO91" i="2"/>
  <c r="CN91" i="2"/>
  <c r="CM91" i="2"/>
  <c r="CO90" i="2"/>
  <c r="CN90" i="2"/>
  <c r="CM90" i="2"/>
  <c r="CO89" i="2"/>
  <c r="CN89" i="2"/>
  <c r="CM89" i="2"/>
  <c r="CO88" i="2"/>
  <c r="CN88" i="2"/>
  <c r="CM88" i="2"/>
  <c r="CO87" i="2"/>
  <c r="CN87" i="2"/>
  <c r="CM87" i="2"/>
  <c r="CO86" i="2"/>
  <c r="CN86" i="2"/>
  <c r="CM86" i="2"/>
  <c r="CO83" i="2"/>
  <c r="CN83" i="2"/>
  <c r="CM83" i="2"/>
  <c r="CO82" i="2"/>
  <c r="CN82" i="2"/>
  <c r="CM82" i="2"/>
  <c r="CO81" i="2"/>
  <c r="CN81" i="2"/>
  <c r="CM81" i="2"/>
  <c r="CO80" i="2"/>
  <c r="CN80" i="2"/>
  <c r="CM80" i="2"/>
  <c r="CO79" i="2"/>
  <c r="CN79" i="2"/>
  <c r="CM79" i="2"/>
  <c r="CO78" i="2"/>
  <c r="CN78" i="2"/>
  <c r="CM78" i="2"/>
  <c r="CO77" i="2"/>
  <c r="CN77" i="2"/>
  <c r="CM77" i="2"/>
  <c r="CO76" i="2"/>
  <c r="CN76" i="2"/>
  <c r="CM76" i="2"/>
  <c r="CO75" i="2"/>
  <c r="CN75" i="2"/>
  <c r="CM75" i="2"/>
  <c r="CO74" i="2"/>
  <c r="CN74" i="2"/>
  <c r="CM74" i="2"/>
  <c r="CO73" i="2"/>
  <c r="CN73" i="2"/>
  <c r="CM73" i="2"/>
  <c r="CO72" i="2"/>
  <c r="CN72" i="2"/>
  <c r="CM72" i="2"/>
  <c r="CO71" i="2"/>
  <c r="CN71" i="2"/>
  <c r="CM71" i="2"/>
  <c r="CO70" i="2"/>
  <c r="CN70" i="2"/>
  <c r="CM70" i="2"/>
  <c r="CO69" i="2"/>
  <c r="CN69" i="2"/>
  <c r="CM69" i="2"/>
  <c r="CO58" i="2"/>
  <c r="CO111" i="2" s="1"/>
  <c r="CN58" i="2"/>
  <c r="CN111" i="2" s="1"/>
  <c r="CM58" i="2"/>
  <c r="CM111" i="2" s="1"/>
  <c r="CL58" i="2"/>
  <c r="CL111" i="2" s="1"/>
  <c r="CK58" i="2"/>
  <c r="CK111" i="2" s="1"/>
  <c r="CJ58" i="2"/>
  <c r="CJ111" i="2" s="1"/>
  <c r="CI58" i="2"/>
  <c r="CI111" i="2" s="1"/>
  <c r="CH58" i="2"/>
  <c r="CH111" i="2" s="1"/>
  <c r="CG58" i="2"/>
  <c r="CG111" i="2" s="1"/>
  <c r="CF58" i="2"/>
  <c r="CF111" i="2" s="1"/>
  <c r="CE58" i="2"/>
  <c r="CE111" i="2" s="1"/>
  <c r="CD58" i="2"/>
  <c r="CD111" i="2" s="1"/>
  <c r="CC58" i="2"/>
  <c r="CC111" i="2" s="1"/>
  <c r="CB58" i="2"/>
  <c r="CB111" i="2" s="1"/>
  <c r="CA58" i="2"/>
  <c r="CA111" i="2" s="1"/>
  <c r="CJ56" i="2"/>
  <c r="CI56" i="2"/>
  <c r="CH56" i="2"/>
  <c r="CG56" i="2"/>
  <c r="CF56" i="2"/>
  <c r="CE56" i="2"/>
  <c r="CD56" i="2"/>
  <c r="CC56" i="2"/>
  <c r="CB56" i="2"/>
  <c r="CA56" i="2"/>
  <c r="CJ54" i="2"/>
  <c r="CI54" i="2"/>
  <c r="CH54" i="2"/>
  <c r="CG54" i="2"/>
  <c r="CF54" i="2"/>
  <c r="CE54" i="2"/>
  <c r="CD54" i="2"/>
  <c r="CC54" i="2"/>
  <c r="CB54" i="2"/>
  <c r="CA54" i="2"/>
  <c r="CJ52" i="2"/>
  <c r="CI52" i="2"/>
  <c r="CH52" i="2"/>
  <c r="CG52" i="2"/>
  <c r="CF52" i="2"/>
  <c r="CE52" i="2"/>
  <c r="CD52" i="2"/>
  <c r="CC52" i="2"/>
  <c r="CB52" i="2"/>
  <c r="CA52" i="2"/>
  <c r="CL51" i="2"/>
  <c r="CJ51" i="2"/>
  <c r="CI51" i="2"/>
  <c r="CH51" i="2"/>
  <c r="CG51" i="2"/>
  <c r="CF51" i="2"/>
  <c r="CE51" i="2"/>
  <c r="CD51" i="2"/>
  <c r="CC51" i="2"/>
  <c r="CB51" i="2"/>
  <c r="CA51" i="2"/>
  <c r="CJ50" i="2"/>
  <c r="CI50" i="2"/>
  <c r="CH50" i="2"/>
  <c r="CG50" i="2"/>
  <c r="CF50" i="2"/>
  <c r="CE50" i="2"/>
  <c r="CD50" i="2"/>
  <c r="CC50" i="2"/>
  <c r="CB50" i="2"/>
  <c r="CA50" i="2"/>
  <c r="CJ48" i="2"/>
  <c r="CI48" i="2"/>
  <c r="CH48" i="2"/>
  <c r="CG48" i="2"/>
  <c r="CF48" i="2"/>
  <c r="CE48" i="2"/>
  <c r="CD48" i="2"/>
  <c r="CC48" i="2"/>
  <c r="CB48" i="2"/>
  <c r="CA48" i="2"/>
  <c r="CK47" i="2"/>
  <c r="CJ47" i="2"/>
  <c r="CI47" i="2"/>
  <c r="CH47" i="2"/>
  <c r="CG47" i="2"/>
  <c r="CF47" i="2"/>
  <c r="CE47" i="2"/>
  <c r="CD47" i="2"/>
  <c r="CC47" i="2"/>
  <c r="CB47" i="2"/>
  <c r="CA47" i="2"/>
  <c r="CO46" i="2"/>
  <c r="CK46" i="2"/>
  <c r="CJ46" i="2"/>
  <c r="CI46" i="2"/>
  <c r="CH46" i="2"/>
  <c r="CG46" i="2"/>
  <c r="CF46" i="2"/>
  <c r="CE46" i="2"/>
  <c r="CD46" i="2"/>
  <c r="CC46" i="2"/>
  <c r="CB46" i="2"/>
  <c r="CA46" i="2"/>
  <c r="CK45" i="2"/>
  <c r="CJ45" i="2"/>
  <c r="CI45" i="2"/>
  <c r="CH45" i="2"/>
  <c r="CG45" i="2"/>
  <c r="CF45" i="2"/>
  <c r="CE45" i="2"/>
  <c r="CD45" i="2"/>
  <c r="CC45" i="2"/>
  <c r="CB45" i="2"/>
  <c r="CA45" i="2"/>
  <c r="CO44" i="2"/>
  <c r="CJ44" i="2"/>
  <c r="CI44" i="2"/>
  <c r="CH44" i="2"/>
  <c r="CG44" i="2"/>
  <c r="CF44" i="2"/>
  <c r="CE44" i="2"/>
  <c r="CD44" i="2"/>
  <c r="CC44" i="2"/>
  <c r="CB44" i="2"/>
  <c r="CA44" i="2"/>
  <c r="CJ43" i="2"/>
  <c r="CI43" i="2"/>
  <c r="CH43" i="2"/>
  <c r="CG43" i="2"/>
  <c r="CF43" i="2"/>
  <c r="CE43" i="2"/>
  <c r="CD43" i="2"/>
  <c r="CC43" i="2"/>
  <c r="CB43" i="2"/>
  <c r="CA43" i="2"/>
  <c r="CJ42" i="2"/>
  <c r="CJ63" i="2" s="1"/>
  <c r="CI42" i="2"/>
  <c r="CI63" i="2" s="1"/>
  <c r="CH42" i="2"/>
  <c r="CH63" i="2" s="1"/>
  <c r="CG42" i="2"/>
  <c r="CG63" i="2" s="1"/>
  <c r="CF42" i="2"/>
  <c r="CF63" i="2" s="1"/>
  <c r="CE42" i="2"/>
  <c r="CE63" i="2" s="1"/>
  <c r="CD42" i="2"/>
  <c r="CD63" i="2" s="1"/>
  <c r="CC42" i="2"/>
  <c r="CC63" i="2" s="1"/>
  <c r="CB42" i="2"/>
  <c r="CB63" i="2" s="1"/>
  <c r="CA42" i="2"/>
  <c r="CA63" i="2" s="1"/>
  <c r="CJ41" i="2"/>
  <c r="CJ62" i="2" s="1"/>
  <c r="CI41" i="2"/>
  <c r="CI62" i="2" s="1"/>
  <c r="CH41" i="2"/>
  <c r="CH62" i="2" s="1"/>
  <c r="CG41" i="2"/>
  <c r="CG62" i="2" s="1"/>
  <c r="CF41" i="2"/>
  <c r="CF62" i="2" s="1"/>
  <c r="CE41" i="2"/>
  <c r="CE62" i="2" s="1"/>
  <c r="CD41" i="2"/>
  <c r="CD62" i="2" s="1"/>
  <c r="CC41" i="2"/>
  <c r="CC62" i="2" s="1"/>
  <c r="CB41" i="2"/>
  <c r="CB62" i="2" s="1"/>
  <c r="CA41" i="2"/>
  <c r="CA62" i="2" s="1"/>
  <c r="CJ39" i="2"/>
  <c r="CI39" i="2"/>
  <c r="CH39" i="2"/>
  <c r="CG39" i="2"/>
  <c r="CF39" i="2"/>
  <c r="CE39" i="2"/>
  <c r="CD39" i="2"/>
  <c r="CC39" i="2"/>
  <c r="CB39" i="2"/>
  <c r="CA39" i="2"/>
  <c r="BB24" i="2"/>
  <c r="BB23" i="2"/>
  <c r="BB22" i="2"/>
  <c r="CM22" i="2" s="1"/>
  <c r="BB21" i="2"/>
  <c r="CM21" i="2" s="1"/>
  <c r="AT56" i="2"/>
  <c r="CK56" i="2" s="1"/>
  <c r="AT54" i="2"/>
  <c r="CK54" i="2" s="1"/>
  <c r="AT52" i="2"/>
  <c r="CK52" i="2" s="1"/>
  <c r="AT51" i="2"/>
  <c r="CK51" i="2" s="1"/>
  <c r="AT50" i="2"/>
  <c r="CK50" i="2" s="1"/>
  <c r="AT44" i="2"/>
  <c r="CK44" i="2" s="1"/>
  <c r="AT43" i="2"/>
  <c r="CK43" i="2" s="1"/>
  <c r="AT42" i="2"/>
  <c r="CK42" i="2" s="1"/>
  <c r="AT41" i="2"/>
  <c r="CK41" i="2" s="1"/>
  <c r="AT39" i="2"/>
  <c r="CK39" i="2" s="1"/>
  <c r="AT24" i="2"/>
  <c r="CK24" i="2" s="1"/>
  <c r="AT23" i="2"/>
  <c r="CK23" i="2" s="1"/>
  <c r="AT22" i="2"/>
  <c r="AT21" i="2"/>
  <c r="CK21" i="2" s="1"/>
  <c r="AT7" i="2"/>
  <c r="CK7" i="2" s="1"/>
  <c r="AT6" i="2"/>
  <c r="AT5" i="2"/>
  <c r="AT4" i="2"/>
  <c r="CK4" i="2" s="1"/>
  <c r="AX24" i="2"/>
  <c r="AX23" i="2"/>
  <c r="AX22" i="2"/>
  <c r="AX21" i="2"/>
  <c r="AX7" i="2"/>
  <c r="AX6" i="2"/>
  <c r="CL6" i="2" s="1"/>
  <c r="AX5" i="2"/>
  <c r="AX4" i="2"/>
  <c r="AX56" i="2"/>
  <c r="CL56" i="2" s="1"/>
  <c r="AX54" i="2"/>
  <c r="CL54" i="2" s="1"/>
  <c r="AX52" i="2"/>
  <c r="CL52" i="2" s="1"/>
  <c r="AX50" i="2"/>
  <c r="CL50" i="2" s="1"/>
  <c r="BB50" i="2"/>
  <c r="CM50" i="2" s="1"/>
  <c r="BB51" i="2"/>
  <c r="CM51" i="2" s="1"/>
  <c r="BF50" i="2"/>
  <c r="CN50" i="2" s="1"/>
  <c r="BF51" i="2"/>
  <c r="CN51" i="2" s="1"/>
  <c r="BJ50" i="2"/>
  <c r="CO50" i="2" s="1"/>
  <c r="BJ51" i="2"/>
  <c r="CO51" i="2" s="1"/>
  <c r="AX47" i="2"/>
  <c r="CL47" i="2" s="1"/>
  <c r="AX46" i="2"/>
  <c r="CL46" i="2" s="1"/>
  <c r="AX45" i="2"/>
  <c r="CL45" i="2" s="1"/>
  <c r="AX44" i="2"/>
  <c r="CL44" i="2" s="1"/>
  <c r="AX43" i="2"/>
  <c r="CL43" i="2" s="1"/>
  <c r="AX42" i="2"/>
  <c r="CL42" i="2" s="1"/>
  <c r="AX41" i="2"/>
  <c r="CL41" i="2" s="1"/>
  <c r="AX39" i="2"/>
  <c r="CL39" i="2" s="1"/>
  <c r="BF56" i="2"/>
  <c r="CN56" i="2" s="1"/>
  <c r="BF54" i="2"/>
  <c r="CN54" i="2" s="1"/>
  <c r="BF52" i="2"/>
  <c r="CN52" i="2" s="1"/>
  <c r="BF47" i="2"/>
  <c r="CN47" i="2" s="1"/>
  <c r="BF42" i="2"/>
  <c r="CN42" i="2" s="1"/>
  <c r="BF41" i="2"/>
  <c r="CN41" i="2" s="1"/>
  <c r="BF39" i="2"/>
  <c r="CN39" i="2" s="1"/>
  <c r="BF7" i="2"/>
  <c r="BF6" i="2"/>
  <c r="BB7" i="2"/>
  <c r="BB6" i="2"/>
  <c r="BB5" i="2"/>
  <c r="BB4" i="2"/>
  <c r="CM7" i="2"/>
  <c r="BB56" i="2"/>
  <c r="CM56" i="2" s="1"/>
  <c r="BB54" i="2"/>
  <c r="CM54" i="2" s="1"/>
  <c r="BB52" i="2"/>
  <c r="CM52" i="2" s="1"/>
  <c r="BB47" i="2"/>
  <c r="CM47" i="2" s="1"/>
  <c r="BB45" i="2"/>
  <c r="CM45" i="2" s="1"/>
  <c r="BB43" i="2"/>
  <c r="CM43" i="2" s="1"/>
  <c r="BB42" i="2"/>
  <c r="CM42" i="2" s="1"/>
  <c r="BB41" i="2"/>
  <c r="CM41" i="2" s="1"/>
  <c r="BB39" i="2"/>
  <c r="CM39" i="2" s="1"/>
  <c r="BB46" i="2"/>
  <c r="CM46" i="2" s="1"/>
  <c r="BB44" i="2"/>
  <c r="CM44" i="2" s="1"/>
  <c r="BF45" i="2"/>
  <c r="CN45" i="2" s="1"/>
  <c r="BF44" i="2"/>
  <c r="CN44" i="2" s="1"/>
  <c r="BF43" i="2"/>
  <c r="CN43" i="2" s="1"/>
  <c r="BJ56" i="2"/>
  <c r="CO56" i="2" s="1"/>
  <c r="BJ54" i="2"/>
  <c r="CO54" i="2" s="1"/>
  <c r="BJ52" i="2"/>
  <c r="CO52" i="2" s="1"/>
  <c r="BJ47" i="2"/>
  <c r="CO47" i="2" s="1"/>
  <c r="BJ45" i="2"/>
  <c r="CO45" i="2" s="1"/>
  <c r="BJ43" i="2"/>
  <c r="CO43" i="2" s="1"/>
  <c r="BJ42" i="2"/>
  <c r="CO42" i="2" s="1"/>
  <c r="BJ41" i="2"/>
  <c r="CO41" i="2" s="1"/>
  <c r="BJ39" i="2"/>
  <c r="CO39" i="2" s="1"/>
  <c r="BF46" i="2"/>
  <c r="CN46" i="2" s="1"/>
  <c r="BF24" i="2"/>
  <c r="CN24" i="2" s="1"/>
  <c r="BF23" i="2"/>
  <c r="BF22" i="2"/>
  <c r="BF21" i="2"/>
  <c r="BJ24" i="2"/>
  <c r="BJ23" i="2"/>
  <c r="BJ22" i="2"/>
  <c r="BJ21" i="2"/>
  <c r="CO21" i="2" s="1"/>
  <c r="CN7" i="2"/>
  <c r="CN6" i="2"/>
  <c r="BF5" i="2"/>
  <c r="CN5" i="2" s="1"/>
  <c r="BF4" i="2"/>
  <c r="BJ6" i="2"/>
  <c r="BJ5" i="2"/>
  <c r="BJ4" i="2"/>
  <c r="CM23" i="2"/>
  <c r="CK5" i="2"/>
  <c r="CO5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N61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N49" i="2" s="1"/>
  <c r="M40" i="2"/>
  <c r="L40" i="2"/>
  <c r="K40" i="2"/>
  <c r="J40" i="2"/>
  <c r="I40" i="2"/>
  <c r="H40" i="2"/>
  <c r="G40" i="2"/>
  <c r="F40" i="2"/>
  <c r="E40" i="2"/>
  <c r="D40" i="2"/>
  <c r="C4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CK110" i="2" s="1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CD110" i="2" s="1"/>
  <c r="N110" i="2"/>
  <c r="M110" i="2"/>
  <c r="L110" i="2"/>
  <c r="K110" i="2"/>
  <c r="J110" i="2"/>
  <c r="I110" i="2"/>
  <c r="H110" i="2"/>
  <c r="G110" i="2"/>
  <c r="F110" i="2"/>
  <c r="E110" i="2"/>
  <c r="D110" i="2"/>
  <c r="C110" i="2"/>
  <c r="BM110" i="2"/>
  <c r="BL95" i="2"/>
  <c r="BL97" i="2" s="1"/>
  <c r="BK95" i="2"/>
  <c r="BK97" i="2" s="1"/>
  <c r="BJ95" i="2"/>
  <c r="BI95" i="2"/>
  <c r="BI97" i="2" s="1"/>
  <c r="BH95" i="2"/>
  <c r="BH97" i="2" s="1"/>
  <c r="BG95" i="2"/>
  <c r="BG97" i="2" s="1"/>
  <c r="BF95" i="2"/>
  <c r="BE95" i="2"/>
  <c r="BE97" i="2" s="1"/>
  <c r="BD95" i="2"/>
  <c r="BD97" i="2" s="1"/>
  <c r="BC95" i="2"/>
  <c r="BC97" i="2" s="1"/>
  <c r="BB95" i="2"/>
  <c r="BA95" i="2"/>
  <c r="BA97" i="2" s="1"/>
  <c r="AZ95" i="2"/>
  <c r="AZ97" i="2" s="1"/>
  <c r="AY95" i="2"/>
  <c r="AY97" i="2" s="1"/>
  <c r="BM95" i="2"/>
  <c r="BM97" i="2" s="1"/>
  <c r="BM84" i="2"/>
  <c r="BL84" i="2"/>
  <c r="BK84" i="2"/>
  <c r="BJ84" i="2"/>
  <c r="CO84" i="2" s="1"/>
  <c r="BI84" i="2"/>
  <c r="BH84" i="2"/>
  <c r="BG84" i="2"/>
  <c r="BF84" i="2"/>
  <c r="CN84" i="2" s="1"/>
  <c r="BE84" i="2"/>
  <c r="BD84" i="2"/>
  <c r="BC84" i="2"/>
  <c r="BB84" i="2"/>
  <c r="CM84" i="2" s="1"/>
  <c r="BA84" i="2"/>
  <c r="AZ84" i="2"/>
  <c r="AY84" i="2"/>
  <c r="BL48" i="2"/>
  <c r="BK48" i="2"/>
  <c r="BI48" i="2"/>
  <c r="BH48" i="2"/>
  <c r="BG48" i="2"/>
  <c r="BE48" i="2"/>
  <c r="BD48" i="2"/>
  <c r="BC48" i="2"/>
  <c r="BA48" i="2"/>
  <c r="AZ48" i="2"/>
  <c r="AY48" i="2"/>
  <c r="AW48" i="2"/>
  <c r="AV48" i="2"/>
  <c r="AU48" i="2"/>
  <c r="AS48" i="2"/>
  <c r="AR48" i="2"/>
  <c r="AQ48" i="2"/>
  <c r="BM48" i="2"/>
  <c r="BM111" i="2"/>
  <c r="BL111" i="2"/>
  <c r="BK111" i="2"/>
  <c r="BK112" i="2" s="1"/>
  <c r="BJ111" i="2"/>
  <c r="BJ112" i="2" s="1"/>
  <c r="BI111" i="2"/>
  <c r="BI112" i="2" s="1"/>
  <c r="BH111" i="2"/>
  <c r="BH112" i="2" s="1"/>
  <c r="BG111" i="2"/>
  <c r="BG112" i="2" s="1"/>
  <c r="BF111" i="2"/>
  <c r="BE111" i="2"/>
  <c r="BD111" i="2"/>
  <c r="BD112" i="2" s="1"/>
  <c r="BC111" i="2"/>
  <c r="BC112" i="2" s="1"/>
  <c r="BB111" i="2"/>
  <c r="BB112" i="2" s="1"/>
  <c r="BA111" i="2"/>
  <c r="BA112" i="2" s="1"/>
  <c r="AZ111" i="2"/>
  <c r="AZ112" i="2" s="1"/>
  <c r="AY111" i="2"/>
  <c r="AY112" i="2" s="1"/>
  <c r="AX111" i="2"/>
  <c r="AW111" i="2"/>
  <c r="AW112" i="2" s="1"/>
  <c r="AV111" i="2"/>
  <c r="AV112" i="2" s="1"/>
  <c r="AU111" i="2"/>
  <c r="AT111" i="2"/>
  <c r="AT112" i="2" s="1"/>
  <c r="AS111" i="2"/>
  <c r="AR111" i="2"/>
  <c r="AQ111" i="2"/>
  <c r="AQ112" i="2" s="1"/>
  <c r="AP111" i="2"/>
  <c r="AO111" i="2"/>
  <c r="AO112" i="2" s="1"/>
  <c r="AN111" i="2"/>
  <c r="AN112" i="2" s="1"/>
  <c r="AM111" i="2"/>
  <c r="AM112" i="2" s="1"/>
  <c r="AL111" i="2"/>
  <c r="AK111" i="2"/>
  <c r="AJ111" i="2"/>
  <c r="AJ112" i="2" s="1"/>
  <c r="AI111" i="2"/>
  <c r="AI112" i="2" s="1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M30" i="2"/>
  <c r="BM29" i="2"/>
  <c r="BM28" i="2"/>
  <c r="BM27" i="2"/>
  <c r="BM25" i="2"/>
  <c r="BM12" i="2"/>
  <c r="BM11" i="2"/>
  <c r="BM10" i="2"/>
  <c r="BM8" i="2"/>
  <c r="BL30" i="2"/>
  <c r="BL29" i="2"/>
  <c r="BL28" i="2"/>
  <c r="BL27" i="2"/>
  <c r="BL25" i="2"/>
  <c r="BL12" i="2"/>
  <c r="BL11" i="2"/>
  <c r="BL10" i="2"/>
  <c r="BL8" i="2"/>
  <c r="BI30" i="2"/>
  <c r="BH30" i="2"/>
  <c r="BG30" i="2"/>
  <c r="BE30" i="2"/>
  <c r="BD30" i="2"/>
  <c r="BC30" i="2"/>
  <c r="BA30" i="2"/>
  <c r="AZ30" i="2"/>
  <c r="AY30" i="2"/>
  <c r="AW30" i="2"/>
  <c r="AV30" i="2"/>
  <c r="AU30" i="2"/>
  <c r="BI29" i="2"/>
  <c r="BH29" i="2"/>
  <c r="BG29" i="2"/>
  <c r="BE29" i="2"/>
  <c r="BD29" i="2"/>
  <c r="BC29" i="2"/>
  <c r="BA29" i="2"/>
  <c r="AZ29" i="2"/>
  <c r="AY29" i="2"/>
  <c r="AW29" i="2"/>
  <c r="AV29" i="2"/>
  <c r="AU29" i="2"/>
  <c r="BI28" i="2"/>
  <c r="BH28" i="2"/>
  <c r="BG28" i="2"/>
  <c r="BE28" i="2"/>
  <c r="BD28" i="2"/>
  <c r="BC28" i="2"/>
  <c r="BA28" i="2"/>
  <c r="AZ28" i="2"/>
  <c r="AY28" i="2"/>
  <c r="AW28" i="2"/>
  <c r="AV28" i="2"/>
  <c r="AU28" i="2"/>
  <c r="BI27" i="2"/>
  <c r="BH27" i="2"/>
  <c r="BG27" i="2"/>
  <c r="BE27" i="2"/>
  <c r="BD27" i="2"/>
  <c r="BC27" i="2"/>
  <c r="BA27" i="2"/>
  <c r="AZ27" i="2"/>
  <c r="AY27" i="2"/>
  <c r="AW27" i="2"/>
  <c r="AV27" i="2"/>
  <c r="AU27" i="2"/>
  <c r="BK30" i="2"/>
  <c r="BK29" i="2"/>
  <c r="BK28" i="2"/>
  <c r="BK27" i="2"/>
  <c r="BG13" i="2"/>
  <c r="BE13" i="2"/>
  <c r="BD13" i="2"/>
  <c r="BC13" i="2"/>
  <c r="BA13" i="2"/>
  <c r="AZ13" i="2"/>
  <c r="AY13" i="2"/>
  <c r="AW13" i="2"/>
  <c r="AV13" i="2"/>
  <c r="AU13" i="2"/>
  <c r="BI12" i="2"/>
  <c r="BH12" i="2"/>
  <c r="BG12" i="2"/>
  <c r="BE12" i="2"/>
  <c r="BD12" i="2"/>
  <c r="BC12" i="2"/>
  <c r="BA12" i="2"/>
  <c r="AZ12" i="2"/>
  <c r="AY12" i="2"/>
  <c r="AW12" i="2"/>
  <c r="AV12" i="2"/>
  <c r="AU12" i="2"/>
  <c r="BI11" i="2"/>
  <c r="BH11" i="2"/>
  <c r="BG11" i="2"/>
  <c r="BE11" i="2"/>
  <c r="BD11" i="2"/>
  <c r="BC11" i="2"/>
  <c r="BA11" i="2"/>
  <c r="AZ11" i="2"/>
  <c r="AY11" i="2"/>
  <c r="AW11" i="2"/>
  <c r="AV11" i="2"/>
  <c r="AU11" i="2"/>
  <c r="BI10" i="2"/>
  <c r="BH10" i="2"/>
  <c r="BG10" i="2"/>
  <c r="BE10" i="2"/>
  <c r="BD10" i="2"/>
  <c r="BC10" i="2"/>
  <c r="BA10" i="2"/>
  <c r="AZ10" i="2"/>
  <c r="AY10" i="2"/>
  <c r="AW10" i="2"/>
  <c r="AV10" i="2"/>
  <c r="AU10" i="2"/>
  <c r="BK12" i="2"/>
  <c r="BK11" i="2"/>
  <c r="BK10" i="2"/>
  <c r="BI8" i="2"/>
  <c r="BH8" i="2"/>
  <c r="BG8" i="2"/>
  <c r="BE8" i="2"/>
  <c r="BD8" i="2"/>
  <c r="BC8" i="2"/>
  <c r="BA8" i="2"/>
  <c r="AZ8" i="2"/>
  <c r="AY8" i="2"/>
  <c r="AW8" i="2"/>
  <c r="AV8" i="2"/>
  <c r="AU8" i="2"/>
  <c r="AS8" i="2"/>
  <c r="AR8" i="2"/>
  <c r="AQ8" i="2"/>
  <c r="BK8" i="2"/>
  <c r="BI25" i="2"/>
  <c r="BH25" i="2"/>
  <c r="BG25" i="2"/>
  <c r="BE25" i="2"/>
  <c r="BD25" i="2"/>
  <c r="BC25" i="2"/>
  <c r="BA25" i="2"/>
  <c r="AZ25" i="2"/>
  <c r="AY25" i="2"/>
  <c r="AW25" i="2"/>
  <c r="AV25" i="2"/>
  <c r="AU25" i="2"/>
  <c r="AS25" i="2"/>
  <c r="AR25" i="2"/>
  <c r="AQ25" i="2"/>
  <c r="BK25" i="2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CY74" i="2"/>
  <c r="CY80" i="2"/>
  <c r="CY78" i="2"/>
  <c r="CY73" i="2"/>
  <c r="CQ72" i="2"/>
  <c r="CM68" i="2"/>
  <c r="CN68" i="2"/>
  <c r="CO68" i="2"/>
  <c r="CJ38" i="2"/>
  <c r="CI38" i="2"/>
  <c r="CH38" i="2"/>
  <c r="CG38" i="2"/>
  <c r="CF38" i="2"/>
  <c r="CE38" i="2"/>
  <c r="CD38" i="2"/>
  <c r="CC38" i="2"/>
  <c r="CB38" i="2"/>
  <c r="CA38" i="2"/>
  <c r="CB3" i="2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G190" i="3"/>
  <c r="C7" i="1"/>
  <c r="AP49" i="2" l="1"/>
  <c r="AP61" i="2"/>
  <c r="AO49" i="2"/>
  <c r="AO61" i="2"/>
  <c r="AN49" i="2"/>
  <c r="AN61" i="2"/>
  <c r="AM49" i="2"/>
  <c r="AM61" i="2"/>
  <c r="CJ40" i="2"/>
  <c r="CJ61" i="2" s="1"/>
  <c r="AL49" i="2"/>
  <c r="AL61" i="2"/>
  <c r="AK49" i="2"/>
  <c r="AK61" i="2"/>
  <c r="AJ49" i="2"/>
  <c r="AJ61" i="2"/>
  <c r="AI49" i="2"/>
  <c r="CI40" i="2"/>
  <c r="CI61" i="2" s="1"/>
  <c r="AI61" i="2"/>
  <c r="AH49" i="2"/>
  <c r="AH61" i="2"/>
  <c r="AG49" i="2"/>
  <c r="AG61" i="2"/>
  <c r="AF49" i="2"/>
  <c r="AF61" i="2"/>
  <c r="AE49" i="2"/>
  <c r="AE61" i="2"/>
  <c r="CH40" i="2"/>
  <c r="CH61" i="2" s="1"/>
  <c r="AD49" i="2"/>
  <c r="AD61" i="2"/>
  <c r="AC49" i="2"/>
  <c r="AC61" i="2"/>
  <c r="AB49" i="2"/>
  <c r="AB61" i="2"/>
  <c r="AA49" i="2"/>
  <c r="CG40" i="2"/>
  <c r="CG61" i="2" s="1"/>
  <c r="AA61" i="2"/>
  <c r="Z49" i="2"/>
  <c r="Z61" i="2"/>
  <c r="Y49" i="2"/>
  <c r="Y61" i="2"/>
  <c r="X49" i="2"/>
  <c r="X61" i="2"/>
  <c r="W49" i="2"/>
  <c r="CF40" i="2"/>
  <c r="CF61" i="2" s="1"/>
  <c r="W61" i="2"/>
  <c r="V49" i="2"/>
  <c r="V61" i="2"/>
  <c r="U49" i="2"/>
  <c r="U61" i="2"/>
  <c r="T49" i="2"/>
  <c r="T61" i="2"/>
  <c r="S49" i="2"/>
  <c r="S61" i="2"/>
  <c r="CE40" i="2"/>
  <c r="CE61" i="2" s="1"/>
  <c r="R49" i="2"/>
  <c r="R61" i="2"/>
  <c r="Q49" i="2"/>
  <c r="Q61" i="2"/>
  <c r="P49" i="2"/>
  <c r="P61" i="2"/>
  <c r="O49" i="2"/>
  <c r="O61" i="2"/>
  <c r="CD40" i="2"/>
  <c r="CD61" i="2" s="1"/>
  <c r="N53" i="2"/>
  <c r="N64" i="2"/>
  <c r="M49" i="2"/>
  <c r="M61" i="2"/>
  <c r="L49" i="2"/>
  <c r="L61" i="2"/>
  <c r="K49" i="2"/>
  <c r="CC40" i="2"/>
  <c r="CC61" i="2" s="1"/>
  <c r="K61" i="2"/>
  <c r="J49" i="2"/>
  <c r="J61" i="2"/>
  <c r="I49" i="2"/>
  <c r="I61" i="2"/>
  <c r="H49" i="2"/>
  <c r="H61" i="2"/>
  <c r="G49" i="2"/>
  <c r="G61" i="2"/>
  <c r="CB40" i="2"/>
  <c r="CB61" i="2" s="1"/>
  <c r="F49" i="2"/>
  <c r="F61" i="2"/>
  <c r="E49" i="2"/>
  <c r="E61" i="2"/>
  <c r="D49" i="2"/>
  <c r="D61" i="2"/>
  <c r="C49" i="2"/>
  <c r="CA40" i="2"/>
  <c r="CA61" i="2" s="1"/>
  <c r="C61" i="2"/>
  <c r="BJ97" i="2"/>
  <c r="CO97" i="2" s="1"/>
  <c r="CO95" i="2"/>
  <c r="BF97" i="2"/>
  <c r="CN97" i="2" s="1"/>
  <c r="CN95" i="2"/>
  <c r="BB97" i="2"/>
  <c r="CM97" i="2" s="1"/>
  <c r="CM95" i="2"/>
  <c r="CA110" i="2"/>
  <c r="CB110" i="2"/>
  <c r="CC110" i="2"/>
  <c r="CE110" i="2"/>
  <c r="CF110" i="2"/>
  <c r="CG110" i="2"/>
  <c r="CH110" i="2"/>
  <c r="CI110" i="2"/>
  <c r="CJ110" i="2"/>
  <c r="CL110" i="2"/>
  <c r="AX112" i="2"/>
  <c r="CM110" i="2"/>
  <c r="CM112" i="2"/>
  <c r="CN110" i="2"/>
  <c r="BF112" i="2"/>
  <c r="CN112" i="2" s="1"/>
  <c r="CO110" i="2"/>
  <c r="CO112" i="2"/>
  <c r="BL112" i="2"/>
  <c r="C10" i="1"/>
  <c r="K207" i="3"/>
  <c r="K208" i="3" s="1"/>
  <c r="CT72" i="2"/>
  <c r="CS72" i="2"/>
  <c r="CV72" i="2" s="1"/>
  <c r="CQ73" i="2" s="1"/>
  <c r="BB25" i="2"/>
  <c r="CM25" i="2" s="1"/>
  <c r="AX11" i="2"/>
  <c r="CL5" i="2"/>
  <c r="AT48" i="2"/>
  <c r="CK48" i="2" s="1"/>
  <c r="AT8" i="2"/>
  <c r="AX12" i="2"/>
  <c r="CK6" i="2"/>
  <c r="AT25" i="2"/>
  <c r="CK25" i="2" s="1"/>
  <c r="CK22" i="2"/>
  <c r="CK34" i="2" s="1"/>
  <c r="AX13" i="2"/>
  <c r="CL7" i="2"/>
  <c r="AX10" i="2"/>
  <c r="AX8" i="2"/>
  <c r="CL4" i="2"/>
  <c r="AX48" i="2"/>
  <c r="CL48" i="2" s="1"/>
  <c r="CM4" i="2"/>
  <c r="BB10" i="2"/>
  <c r="BJ11" i="2"/>
  <c r="CM6" i="2"/>
  <c r="BB12" i="2"/>
  <c r="CM5" i="2"/>
  <c r="BF11" i="2"/>
  <c r="BB11" i="2"/>
  <c r="BF10" i="2"/>
  <c r="CN4" i="2"/>
  <c r="BF13" i="2"/>
  <c r="BB13" i="2"/>
  <c r="BB8" i="2"/>
  <c r="BB48" i="2"/>
  <c r="CM48" i="2" s="1"/>
  <c r="BF48" i="2"/>
  <c r="CN48" i="2" s="1"/>
  <c r="BF12" i="2"/>
  <c r="BF8" i="2"/>
  <c r="BJ12" i="2"/>
  <c r="CO6" i="2"/>
  <c r="BF29" i="2"/>
  <c r="CN23" i="2"/>
  <c r="BF28" i="2"/>
  <c r="CN22" i="2"/>
  <c r="BF27" i="2"/>
  <c r="BF25" i="2"/>
  <c r="CN25" i="2" s="1"/>
  <c r="CN21" i="2"/>
  <c r="BF30" i="2"/>
  <c r="CM24" i="2"/>
  <c r="BB30" i="2"/>
  <c r="AX30" i="2"/>
  <c r="CL24" i="2"/>
  <c r="BB29" i="2"/>
  <c r="AX29" i="2"/>
  <c r="CL23" i="2"/>
  <c r="BB28" i="2"/>
  <c r="AX28" i="2"/>
  <c r="CL22" i="2"/>
  <c r="BB27" i="2"/>
  <c r="AX27" i="2"/>
  <c r="AX25" i="2"/>
  <c r="CL25" i="2" s="1"/>
  <c r="CL31" i="2" s="1"/>
  <c r="CL21" i="2"/>
  <c r="BJ48" i="2"/>
  <c r="CO48" i="2" s="1"/>
  <c r="BK31" i="2"/>
  <c r="BJ30" i="2"/>
  <c r="CO24" i="2"/>
  <c r="BJ29" i="2"/>
  <c r="CO23" i="2"/>
  <c r="BJ8" i="2"/>
  <c r="BJ16" i="2" s="1"/>
  <c r="BJ28" i="2"/>
  <c r="CO22" i="2"/>
  <c r="BJ27" i="2"/>
  <c r="BJ25" i="2"/>
  <c r="CO25" i="2" s="1"/>
  <c r="CO7" i="2"/>
  <c r="BJ10" i="2"/>
  <c r="CO4" i="2"/>
  <c r="BE112" i="2"/>
  <c r="AU112" i="2"/>
  <c r="AS112" i="2"/>
  <c r="AR112" i="2"/>
  <c r="AP112" i="2"/>
  <c r="CJ112" i="2" s="1"/>
  <c r="AL112" i="2"/>
  <c r="AK112" i="2"/>
  <c r="CI112" i="2" s="1"/>
  <c r="AH112" i="2"/>
  <c r="AG112" i="2"/>
  <c r="AF112" i="2"/>
  <c r="AE112" i="2"/>
  <c r="CH112" i="2" s="1"/>
  <c r="AD112" i="2"/>
  <c r="AC112" i="2"/>
  <c r="AB112" i="2"/>
  <c r="AA112" i="2"/>
  <c r="CG112" i="2" s="1"/>
  <c r="Z112" i="2"/>
  <c r="Y112" i="2"/>
  <c r="X112" i="2"/>
  <c r="W112" i="2"/>
  <c r="CF112" i="2" s="1"/>
  <c r="V112" i="2"/>
  <c r="U112" i="2"/>
  <c r="T112" i="2"/>
  <c r="S112" i="2"/>
  <c r="CE112" i="2" s="1"/>
  <c r="R112" i="2"/>
  <c r="Q112" i="2"/>
  <c r="P112" i="2"/>
  <c r="O112" i="2"/>
  <c r="CD112" i="2" s="1"/>
  <c r="N112" i="2"/>
  <c r="M112" i="2"/>
  <c r="L112" i="2"/>
  <c r="K112" i="2"/>
  <c r="CC112" i="2" s="1"/>
  <c r="J112" i="2"/>
  <c r="I112" i="2"/>
  <c r="H112" i="2"/>
  <c r="G112" i="2"/>
  <c r="CB112" i="2" s="1"/>
  <c r="F112" i="2"/>
  <c r="E112" i="2"/>
  <c r="D112" i="2"/>
  <c r="C112" i="2"/>
  <c r="CA112" i="2" s="1"/>
  <c r="BM112" i="2"/>
  <c r="AP59" i="2"/>
  <c r="AP107" i="2"/>
  <c r="AO107" i="2"/>
  <c r="AO59" i="2"/>
  <c r="AN59" i="2"/>
  <c r="AN107" i="2"/>
  <c r="AM59" i="2"/>
  <c r="AM107" i="2"/>
  <c r="AL59" i="2"/>
  <c r="AL107" i="2"/>
  <c r="AK59" i="2"/>
  <c r="AK107" i="2"/>
  <c r="AJ59" i="2"/>
  <c r="AJ107" i="2"/>
  <c r="AI107" i="2"/>
  <c r="AI59" i="2"/>
  <c r="AH59" i="2"/>
  <c r="AH107" i="2"/>
  <c r="AG59" i="2"/>
  <c r="AG107" i="2"/>
  <c r="AF107" i="2"/>
  <c r="AF59" i="2"/>
  <c r="AE59" i="2"/>
  <c r="AE107" i="2"/>
  <c r="AD59" i="2"/>
  <c r="AD107" i="2"/>
  <c r="AC107" i="2"/>
  <c r="AC59" i="2"/>
  <c r="AB59" i="2"/>
  <c r="AB107" i="2"/>
  <c r="AA107" i="2"/>
  <c r="AA59" i="2"/>
  <c r="Z59" i="2"/>
  <c r="Z107" i="2"/>
  <c r="Y59" i="2"/>
  <c r="Y107" i="2"/>
  <c r="X59" i="2"/>
  <c r="X107" i="2"/>
  <c r="W59" i="2"/>
  <c r="W107" i="2"/>
  <c r="V59" i="2"/>
  <c r="V107" i="2"/>
  <c r="U107" i="2"/>
  <c r="U59" i="2"/>
  <c r="T107" i="2"/>
  <c r="T59" i="2"/>
  <c r="S107" i="2"/>
  <c r="S59" i="2"/>
  <c r="R59" i="2"/>
  <c r="R107" i="2"/>
  <c r="Q107" i="2"/>
  <c r="Q59" i="2"/>
  <c r="P59" i="2"/>
  <c r="P107" i="2"/>
  <c r="O59" i="2"/>
  <c r="O107" i="2"/>
  <c r="N107" i="2"/>
  <c r="N59" i="2"/>
  <c r="M107" i="2"/>
  <c r="M59" i="2"/>
  <c r="L107" i="2"/>
  <c r="L59" i="2"/>
  <c r="K107" i="2"/>
  <c r="K59" i="2"/>
  <c r="J107" i="2"/>
  <c r="J59" i="2"/>
  <c r="I107" i="2"/>
  <c r="I59" i="2"/>
  <c r="H107" i="2"/>
  <c r="H59" i="2"/>
  <c r="G107" i="2"/>
  <c r="G59" i="2"/>
  <c r="F59" i="2"/>
  <c r="F107" i="2"/>
  <c r="E107" i="2"/>
  <c r="E59" i="2"/>
  <c r="D107" i="2"/>
  <c r="D59" i="2"/>
  <c r="C107" i="2"/>
  <c r="C59" i="2"/>
  <c r="CN13" i="2"/>
  <c r="BH34" i="2"/>
  <c r="BH35" i="2"/>
  <c r="BH31" i="2"/>
  <c r="BH36" i="2"/>
  <c r="BH33" i="2"/>
  <c r="BG36" i="2"/>
  <c r="BG33" i="2"/>
  <c r="BG31" i="2"/>
  <c r="BG34" i="2"/>
  <c r="BG35" i="2"/>
  <c r="BE36" i="2"/>
  <c r="BE31" i="2"/>
  <c r="BE33" i="2"/>
  <c r="BE34" i="2"/>
  <c r="BE35" i="2"/>
  <c r="BD31" i="2"/>
  <c r="BD34" i="2"/>
  <c r="BD36" i="2"/>
  <c r="BD35" i="2"/>
  <c r="BD33" i="2"/>
  <c r="BC36" i="2"/>
  <c r="BC33" i="2"/>
  <c r="BC34" i="2"/>
  <c r="BC31" i="2"/>
  <c r="BC35" i="2"/>
  <c r="BA36" i="2"/>
  <c r="BA34" i="2"/>
  <c r="BA35" i="2"/>
  <c r="BA33" i="2"/>
  <c r="BA31" i="2"/>
  <c r="AZ31" i="2"/>
  <c r="AZ35" i="2"/>
  <c r="AZ34" i="2"/>
  <c r="AZ36" i="2"/>
  <c r="AZ33" i="2"/>
  <c r="AY36" i="2"/>
  <c r="AY34" i="2"/>
  <c r="AY33" i="2"/>
  <c r="AY35" i="2"/>
  <c r="AY31" i="2"/>
  <c r="AW34" i="2"/>
  <c r="AW33" i="2"/>
  <c r="AW31" i="2"/>
  <c r="AW36" i="2"/>
  <c r="AW35" i="2"/>
  <c r="AV35" i="2"/>
  <c r="AV33" i="2"/>
  <c r="AV34" i="2"/>
  <c r="AV36" i="2"/>
  <c r="AV31" i="2"/>
  <c r="AU35" i="2"/>
  <c r="AU31" i="2"/>
  <c r="AU36" i="2"/>
  <c r="AU34" i="2"/>
  <c r="AU33" i="2"/>
  <c r="AS36" i="2"/>
  <c r="AS35" i="2"/>
  <c r="AS34" i="2"/>
  <c r="AS33" i="2"/>
  <c r="AR33" i="2"/>
  <c r="AR34" i="2"/>
  <c r="AR35" i="2"/>
  <c r="AR36" i="2"/>
  <c r="AQ34" i="2"/>
  <c r="AQ33" i="2"/>
  <c r="AQ35" i="2"/>
  <c r="AQ36" i="2"/>
  <c r="BI36" i="2"/>
  <c r="BI35" i="2"/>
  <c r="BI34" i="2"/>
  <c r="BI33" i="2"/>
  <c r="BI31" i="2"/>
  <c r="BM33" i="2"/>
  <c r="BM31" i="2"/>
  <c r="BM36" i="2"/>
  <c r="BM35" i="2"/>
  <c r="BM34" i="2"/>
  <c r="BM14" i="2"/>
  <c r="BM38" i="2"/>
  <c r="BM62" i="2" s="1"/>
  <c r="BM18" i="2"/>
  <c r="BM16" i="2"/>
  <c r="BM19" i="2"/>
  <c r="BM17" i="2"/>
  <c r="BL36" i="2"/>
  <c r="BL35" i="2"/>
  <c r="BL34" i="2"/>
  <c r="BL33" i="2"/>
  <c r="BL31" i="2"/>
  <c r="BL38" i="2"/>
  <c r="BL19" i="2"/>
  <c r="BL17" i="2"/>
  <c r="BL18" i="2"/>
  <c r="BL16" i="2"/>
  <c r="BL14" i="2"/>
  <c r="BI38" i="2"/>
  <c r="BI16" i="2"/>
  <c r="BI19" i="2"/>
  <c r="BI17" i="2"/>
  <c r="BI14" i="2"/>
  <c r="BI18" i="2"/>
  <c r="BH38" i="2"/>
  <c r="BH18" i="2"/>
  <c r="BH19" i="2"/>
  <c r="BH17" i="2"/>
  <c r="BH16" i="2"/>
  <c r="BH14" i="2"/>
  <c r="BG19" i="2"/>
  <c r="BG17" i="2"/>
  <c r="BG16" i="2"/>
  <c r="BG14" i="2"/>
  <c r="BG18" i="2"/>
  <c r="BE38" i="2"/>
  <c r="BE19" i="2"/>
  <c r="BE17" i="2"/>
  <c r="BE14" i="2"/>
  <c r="BE16" i="2"/>
  <c r="BE18" i="2"/>
  <c r="BD38" i="2"/>
  <c r="BD18" i="2"/>
  <c r="BD16" i="2"/>
  <c r="BD19" i="2"/>
  <c r="BD17" i="2"/>
  <c r="BD14" i="2"/>
  <c r="BC19" i="2"/>
  <c r="BC18" i="2"/>
  <c r="BC14" i="2"/>
  <c r="BC17" i="2"/>
  <c r="BC16" i="2"/>
  <c r="BA38" i="2"/>
  <c r="BA18" i="2"/>
  <c r="BA19" i="2"/>
  <c r="BA17" i="2"/>
  <c r="BA16" i="2"/>
  <c r="BA14" i="2"/>
  <c r="AZ38" i="2"/>
  <c r="AZ17" i="2"/>
  <c r="AZ19" i="2"/>
  <c r="AZ16" i="2"/>
  <c r="AZ18" i="2"/>
  <c r="AZ14" i="2"/>
  <c r="AY14" i="2"/>
  <c r="AY19" i="2"/>
  <c r="AY17" i="2"/>
  <c r="AY18" i="2"/>
  <c r="AY16" i="2"/>
  <c r="AW38" i="2"/>
  <c r="AW19" i="2"/>
  <c r="AW17" i="2"/>
  <c r="AW18" i="2"/>
  <c r="AW14" i="2"/>
  <c r="AW16" i="2"/>
  <c r="AV38" i="2"/>
  <c r="AV19" i="2"/>
  <c r="AV18" i="2"/>
  <c r="AV16" i="2"/>
  <c r="AV14" i="2"/>
  <c r="AV17" i="2"/>
  <c r="AU17" i="2"/>
  <c r="AU16" i="2"/>
  <c r="AU19" i="2"/>
  <c r="AU18" i="2"/>
  <c r="AU14" i="2"/>
  <c r="AS38" i="2"/>
  <c r="AS17" i="2"/>
  <c r="AS19" i="2"/>
  <c r="AS18" i="2"/>
  <c r="AS16" i="2"/>
  <c r="AR38" i="2"/>
  <c r="AR19" i="2"/>
  <c r="AR18" i="2"/>
  <c r="AR17" i="2"/>
  <c r="AR16" i="2"/>
  <c r="AQ19" i="2"/>
  <c r="AQ17" i="2"/>
  <c r="AQ16" i="2"/>
  <c r="AQ18" i="2"/>
  <c r="BK38" i="2"/>
  <c r="BK19" i="2"/>
  <c r="BK18" i="2"/>
  <c r="BK17" i="2"/>
  <c r="BK16" i="2"/>
  <c r="BK14" i="2"/>
  <c r="BK33" i="2"/>
  <c r="BK34" i="2"/>
  <c r="BK35" i="2"/>
  <c r="BK36" i="2"/>
  <c r="BG38" i="2"/>
  <c r="BC38" i="2"/>
  <c r="AY38" i="2"/>
  <c r="AU38" i="2"/>
  <c r="AQ38" i="2"/>
  <c r="CM13" i="2"/>
  <c r="CN11" i="2"/>
  <c r="CP5" i="2"/>
  <c r="CQ5" i="2" s="1"/>
  <c r="CR5" i="2" s="1"/>
  <c r="CS5" i="2" s="1"/>
  <c r="CT5" i="2" s="1"/>
  <c r="CU5" i="2" s="1"/>
  <c r="CV5" i="2" s="1"/>
  <c r="CW5" i="2" s="1"/>
  <c r="CX5" i="2" s="1"/>
  <c r="CY5" i="2" s="1"/>
  <c r="CO11" i="2"/>
  <c r="K203" i="3"/>
  <c r="K204" i="3"/>
  <c r="K205" i="3"/>
  <c r="K206" i="3"/>
  <c r="CY75" i="2"/>
  <c r="CY77" i="2" s="1"/>
  <c r="CY79" i="2" s="1"/>
  <c r="CY81" i="2" s="1"/>
  <c r="CZ81" i="2" s="1"/>
  <c r="CN10" i="2"/>
  <c r="AP64" i="2" l="1"/>
  <c r="AP53" i="2"/>
  <c r="AO64" i="2"/>
  <c r="AO53" i="2"/>
  <c r="AN64" i="2"/>
  <c r="AN53" i="2"/>
  <c r="AM64" i="2"/>
  <c r="CJ49" i="2"/>
  <c r="CJ64" i="2" s="1"/>
  <c r="AM53" i="2"/>
  <c r="AL64" i="2"/>
  <c r="AL53" i="2"/>
  <c r="AK64" i="2"/>
  <c r="AK53" i="2"/>
  <c r="AJ64" i="2"/>
  <c r="AJ53" i="2"/>
  <c r="AI64" i="2"/>
  <c r="CI49" i="2"/>
  <c r="CI64" i="2" s="1"/>
  <c r="AI53" i="2"/>
  <c r="AH64" i="2"/>
  <c r="AH53" i="2"/>
  <c r="AG64" i="2"/>
  <c r="AG53" i="2"/>
  <c r="AF64" i="2"/>
  <c r="AF53" i="2"/>
  <c r="AE64" i="2"/>
  <c r="CH49" i="2"/>
  <c r="CH64" i="2" s="1"/>
  <c r="AE53" i="2"/>
  <c r="AD64" i="2"/>
  <c r="AD53" i="2"/>
  <c r="AC64" i="2"/>
  <c r="AC53" i="2"/>
  <c r="AB64" i="2"/>
  <c r="AB53" i="2"/>
  <c r="CG49" i="2"/>
  <c r="CG64" i="2" s="1"/>
  <c r="AA64" i="2"/>
  <c r="AA53" i="2"/>
  <c r="Z64" i="2"/>
  <c r="Z53" i="2"/>
  <c r="Y64" i="2"/>
  <c r="Y53" i="2"/>
  <c r="X64" i="2"/>
  <c r="X53" i="2"/>
  <c r="W64" i="2"/>
  <c r="CF49" i="2"/>
  <c r="CF64" i="2" s="1"/>
  <c r="W53" i="2"/>
  <c r="V64" i="2"/>
  <c r="V53" i="2"/>
  <c r="U64" i="2"/>
  <c r="U53" i="2"/>
  <c r="T64" i="2"/>
  <c r="T53" i="2"/>
  <c r="S64" i="2"/>
  <c r="CE49" i="2"/>
  <c r="CE64" i="2" s="1"/>
  <c r="S53" i="2"/>
  <c r="R64" i="2"/>
  <c r="R53" i="2"/>
  <c r="Q64" i="2"/>
  <c r="Q53" i="2"/>
  <c r="P64" i="2"/>
  <c r="P53" i="2"/>
  <c r="O64" i="2"/>
  <c r="CD49" i="2"/>
  <c r="CD64" i="2" s="1"/>
  <c r="O53" i="2"/>
  <c r="N65" i="2"/>
  <c r="N55" i="2"/>
  <c r="N57" i="2" s="1"/>
  <c r="N66" i="2" s="1"/>
  <c r="M64" i="2"/>
  <c r="M53" i="2"/>
  <c r="L64" i="2"/>
  <c r="L53" i="2"/>
  <c r="K64" i="2"/>
  <c r="CC49" i="2"/>
  <c r="CC64" i="2" s="1"/>
  <c r="K53" i="2"/>
  <c r="J64" i="2"/>
  <c r="J53" i="2"/>
  <c r="I64" i="2"/>
  <c r="I53" i="2"/>
  <c r="H64" i="2"/>
  <c r="H53" i="2"/>
  <c r="G64" i="2"/>
  <c r="CB49" i="2"/>
  <c r="CB64" i="2" s="1"/>
  <c r="G53" i="2"/>
  <c r="F64" i="2"/>
  <c r="F53" i="2"/>
  <c r="E64" i="2"/>
  <c r="E53" i="2"/>
  <c r="D64" i="2"/>
  <c r="D53" i="2"/>
  <c r="C64" i="2"/>
  <c r="CA49" i="2"/>
  <c r="CA64" i="2" s="1"/>
  <c r="C53" i="2"/>
  <c r="CM35" i="2"/>
  <c r="CM33" i="2"/>
  <c r="CM34" i="2"/>
  <c r="CM31" i="2"/>
  <c r="CK36" i="2"/>
  <c r="CK33" i="2"/>
  <c r="CK35" i="2"/>
  <c r="CL13" i="2"/>
  <c r="CN29" i="2"/>
  <c r="CN35" i="2"/>
  <c r="CN28" i="2"/>
  <c r="CN34" i="2"/>
  <c r="CN36" i="2"/>
  <c r="CN31" i="2"/>
  <c r="CN27" i="2"/>
  <c r="CN33" i="2"/>
  <c r="CO27" i="2"/>
  <c r="CM30" i="2"/>
  <c r="CN30" i="2"/>
  <c r="CM36" i="2"/>
  <c r="CL30" i="2"/>
  <c r="CL36" i="2"/>
  <c r="CL29" i="2"/>
  <c r="CL35" i="2"/>
  <c r="CM29" i="2"/>
  <c r="CM28" i="2"/>
  <c r="CL28" i="2"/>
  <c r="CL34" i="2"/>
  <c r="CM27" i="2"/>
  <c r="CL33" i="2"/>
  <c r="CL27" i="2"/>
  <c r="CO36" i="2"/>
  <c r="CO30" i="2"/>
  <c r="CO35" i="2"/>
  <c r="CO29" i="2"/>
  <c r="CO28" i="2"/>
  <c r="CO34" i="2"/>
  <c r="CO33" i="2"/>
  <c r="CO31" i="2"/>
  <c r="CA59" i="2"/>
  <c r="CB59" i="2"/>
  <c r="CC59" i="2"/>
  <c r="CD59" i="2"/>
  <c r="CE59" i="2"/>
  <c r="CF59" i="2"/>
  <c r="CG59" i="2"/>
  <c r="CH59" i="2"/>
  <c r="CI59" i="2"/>
  <c r="CJ59" i="2"/>
  <c r="CK112" i="2"/>
  <c r="CL112" i="2"/>
  <c r="BB36" i="2"/>
  <c r="BB33" i="2"/>
  <c r="BB34" i="2"/>
  <c r="BB35" i="2"/>
  <c r="CL11" i="2"/>
  <c r="CM11" i="2"/>
  <c r="AT38" i="2"/>
  <c r="AT16" i="2"/>
  <c r="AT17" i="2"/>
  <c r="AT19" i="2"/>
  <c r="AT18" i="2"/>
  <c r="CK8" i="2"/>
  <c r="CL12" i="2"/>
  <c r="AT33" i="2"/>
  <c r="AT34" i="2"/>
  <c r="AT35" i="2"/>
  <c r="AT36" i="2"/>
  <c r="AX33" i="2"/>
  <c r="AX31" i="2"/>
  <c r="AX34" i="2"/>
  <c r="AX36" i="2"/>
  <c r="BB31" i="2"/>
  <c r="AX35" i="2"/>
  <c r="AX38" i="2"/>
  <c r="AX19" i="2"/>
  <c r="AX18" i="2"/>
  <c r="AX16" i="2"/>
  <c r="AX17" i="2"/>
  <c r="AX14" i="2"/>
  <c r="CL8" i="2"/>
  <c r="CM10" i="2"/>
  <c r="CL10" i="2"/>
  <c r="CN12" i="2"/>
  <c r="CM12" i="2"/>
  <c r="BB18" i="2"/>
  <c r="CM8" i="2"/>
  <c r="BB38" i="2"/>
  <c r="BB16" i="2"/>
  <c r="BB19" i="2"/>
  <c r="BB14" i="2"/>
  <c r="BB17" i="2"/>
  <c r="CN8" i="2"/>
  <c r="BF19" i="2"/>
  <c r="BF18" i="2"/>
  <c r="BF38" i="2"/>
  <c r="BF14" i="2"/>
  <c r="BF17" i="2"/>
  <c r="BF16" i="2"/>
  <c r="CO12" i="2"/>
  <c r="CP6" i="2"/>
  <c r="CQ6" i="2" s="1"/>
  <c r="CR6" i="2" s="1"/>
  <c r="CS6" i="2" s="1"/>
  <c r="CT6" i="2" s="1"/>
  <c r="CU6" i="2" s="1"/>
  <c r="CV6" i="2" s="1"/>
  <c r="CW6" i="2" s="1"/>
  <c r="CX6" i="2" s="1"/>
  <c r="CY6" i="2" s="1"/>
  <c r="BF33" i="2"/>
  <c r="BF34" i="2"/>
  <c r="BF35" i="2"/>
  <c r="BF31" i="2"/>
  <c r="BF36" i="2"/>
  <c r="BJ14" i="2"/>
  <c r="BJ38" i="2"/>
  <c r="CO38" i="2" s="1"/>
  <c r="BJ17" i="2"/>
  <c r="BJ19" i="2"/>
  <c r="BJ18" i="2"/>
  <c r="CO8" i="2"/>
  <c r="BJ36" i="2"/>
  <c r="BJ35" i="2"/>
  <c r="BJ34" i="2"/>
  <c r="BJ31" i="2"/>
  <c r="BJ33" i="2"/>
  <c r="CO13" i="2"/>
  <c r="CP7" i="2"/>
  <c r="CQ7" i="2" s="1"/>
  <c r="CP4" i="2"/>
  <c r="CO10" i="2"/>
  <c r="BL40" i="2"/>
  <c r="BL63" i="2"/>
  <c r="BL62" i="2"/>
  <c r="BJ40" i="2"/>
  <c r="BJ63" i="2"/>
  <c r="BJ62" i="2"/>
  <c r="BI63" i="2"/>
  <c r="BI62" i="2"/>
  <c r="BH40" i="2"/>
  <c r="BH63" i="2"/>
  <c r="BH62" i="2"/>
  <c r="BE40" i="2"/>
  <c r="BE63" i="2"/>
  <c r="BE62" i="2"/>
  <c r="BD40" i="2"/>
  <c r="BD62" i="2"/>
  <c r="BD63" i="2"/>
  <c r="BA40" i="2"/>
  <c r="BA62" i="2"/>
  <c r="BA63" i="2"/>
  <c r="AZ40" i="2"/>
  <c r="AZ62" i="2"/>
  <c r="AZ63" i="2"/>
  <c r="AW40" i="2"/>
  <c r="AW63" i="2"/>
  <c r="AW62" i="2"/>
  <c r="AV40" i="2"/>
  <c r="AV62" i="2"/>
  <c r="AV63" i="2"/>
  <c r="AS40" i="2"/>
  <c r="AS62" i="2"/>
  <c r="AS63" i="2"/>
  <c r="AR40" i="2"/>
  <c r="AR62" i="2"/>
  <c r="AR63" i="2"/>
  <c r="BK40" i="2"/>
  <c r="BK63" i="2"/>
  <c r="BK62" i="2"/>
  <c r="BG40" i="2"/>
  <c r="CO40" i="2" s="1"/>
  <c r="CO61" i="2" s="1"/>
  <c r="BG63" i="2"/>
  <c r="BG62" i="2"/>
  <c r="BC63" i="2"/>
  <c r="BC62" i="2"/>
  <c r="AY63" i="2"/>
  <c r="AY62" i="2"/>
  <c r="AU63" i="2"/>
  <c r="AU62" i="2"/>
  <c r="AQ63" i="2"/>
  <c r="AQ62" i="2"/>
  <c r="BM40" i="2"/>
  <c r="BM63" i="2"/>
  <c r="AU40" i="2"/>
  <c r="AQ40" i="2"/>
  <c r="BI40" i="2"/>
  <c r="BC40" i="2"/>
  <c r="AY40" i="2"/>
  <c r="M215" i="3"/>
  <c r="M223" i="3"/>
  <c r="M231" i="3"/>
  <c r="M239" i="3"/>
  <c r="M247" i="3"/>
  <c r="M214" i="3"/>
  <c r="M216" i="3"/>
  <c r="M224" i="3"/>
  <c r="M232" i="3"/>
  <c r="M240" i="3"/>
  <c r="M248" i="3"/>
  <c r="M217" i="3"/>
  <c r="M225" i="3"/>
  <c r="M233" i="3"/>
  <c r="M241" i="3"/>
  <c r="M249" i="3"/>
  <c r="M218" i="3"/>
  <c r="M226" i="3"/>
  <c r="M234" i="3"/>
  <c r="M242" i="3"/>
  <c r="M250" i="3"/>
  <c r="M219" i="3"/>
  <c r="M227" i="3"/>
  <c r="M235" i="3"/>
  <c r="M243" i="3"/>
  <c r="M251" i="3"/>
  <c r="M220" i="3"/>
  <c r="M228" i="3"/>
  <c r="M236" i="3"/>
  <c r="M244" i="3"/>
  <c r="M252" i="3"/>
  <c r="M221" i="3"/>
  <c r="M229" i="3"/>
  <c r="M237" i="3"/>
  <c r="M245" i="3"/>
  <c r="M253" i="3"/>
  <c r="M222" i="3"/>
  <c r="M230" i="3"/>
  <c r="M238" i="3"/>
  <c r="M246" i="3"/>
  <c r="M254" i="3"/>
  <c r="P225" i="3"/>
  <c r="CX82" i="2" a="1"/>
  <c r="CX82" i="2" s="1"/>
  <c r="P215" i="3"/>
  <c r="P214" i="3"/>
  <c r="P217" i="3"/>
  <c r="P224" i="3"/>
  <c r="P216" i="3"/>
  <c r="P227" i="3"/>
  <c r="P223" i="3"/>
  <c r="P219" i="3"/>
  <c r="P222" i="3"/>
  <c r="P226" i="3"/>
  <c r="P221" i="3"/>
  <c r="P218" i="3"/>
  <c r="P220" i="3"/>
  <c r="AP65" i="2" l="1"/>
  <c r="AP55" i="2"/>
  <c r="AP57" i="2" s="1"/>
  <c r="AP66" i="2" s="1"/>
  <c r="AO65" i="2"/>
  <c r="AO55" i="2"/>
  <c r="AO57" i="2" s="1"/>
  <c r="AO66" i="2" s="1"/>
  <c r="AN65" i="2"/>
  <c r="AN55" i="2"/>
  <c r="AN57" i="2" s="1"/>
  <c r="AN66" i="2" s="1"/>
  <c r="CJ53" i="2"/>
  <c r="CJ65" i="2" s="1"/>
  <c r="AM65" i="2"/>
  <c r="AM55" i="2"/>
  <c r="AL65" i="2"/>
  <c r="AL55" i="2"/>
  <c r="AL57" i="2" s="1"/>
  <c r="AL66" i="2" s="1"/>
  <c r="AK65" i="2"/>
  <c r="AK55" i="2"/>
  <c r="AK57" i="2" s="1"/>
  <c r="AK66" i="2" s="1"/>
  <c r="AJ65" i="2"/>
  <c r="AJ55" i="2"/>
  <c r="AJ57" i="2" s="1"/>
  <c r="AJ66" i="2" s="1"/>
  <c r="CI53" i="2"/>
  <c r="CI65" i="2" s="1"/>
  <c r="AI65" i="2"/>
  <c r="AI55" i="2"/>
  <c r="AH65" i="2"/>
  <c r="AH55" i="2"/>
  <c r="AH57" i="2" s="1"/>
  <c r="AH66" i="2" s="1"/>
  <c r="AG65" i="2"/>
  <c r="AG55" i="2"/>
  <c r="AG57" i="2" s="1"/>
  <c r="AG66" i="2" s="1"/>
  <c r="AF65" i="2"/>
  <c r="AF55" i="2"/>
  <c r="AF57" i="2" s="1"/>
  <c r="AF66" i="2" s="1"/>
  <c r="AE65" i="2"/>
  <c r="CH53" i="2"/>
  <c r="CH65" i="2" s="1"/>
  <c r="AE55" i="2"/>
  <c r="AD65" i="2"/>
  <c r="AD55" i="2"/>
  <c r="AD57" i="2" s="1"/>
  <c r="AD66" i="2" s="1"/>
  <c r="AC65" i="2"/>
  <c r="AC55" i="2"/>
  <c r="AC57" i="2" s="1"/>
  <c r="AC66" i="2" s="1"/>
  <c r="AB65" i="2"/>
  <c r="AB55" i="2"/>
  <c r="AB57" i="2" s="1"/>
  <c r="AB66" i="2" s="1"/>
  <c r="AA65" i="2"/>
  <c r="CG53" i="2"/>
  <c r="CG65" i="2" s="1"/>
  <c r="AA55" i="2"/>
  <c r="Z65" i="2"/>
  <c r="Z55" i="2"/>
  <c r="Z57" i="2" s="1"/>
  <c r="Z66" i="2" s="1"/>
  <c r="Y65" i="2"/>
  <c r="Y55" i="2"/>
  <c r="Y57" i="2" s="1"/>
  <c r="Y66" i="2" s="1"/>
  <c r="X65" i="2"/>
  <c r="X55" i="2"/>
  <c r="X57" i="2" s="1"/>
  <c r="X66" i="2" s="1"/>
  <c r="W65" i="2"/>
  <c r="CF53" i="2"/>
  <c r="CF65" i="2" s="1"/>
  <c r="W55" i="2"/>
  <c r="V65" i="2"/>
  <c r="V55" i="2"/>
  <c r="V57" i="2" s="1"/>
  <c r="V66" i="2" s="1"/>
  <c r="U65" i="2"/>
  <c r="U55" i="2"/>
  <c r="U57" i="2" s="1"/>
  <c r="U66" i="2" s="1"/>
  <c r="T65" i="2"/>
  <c r="T55" i="2"/>
  <c r="T57" i="2" s="1"/>
  <c r="T66" i="2" s="1"/>
  <c r="S65" i="2"/>
  <c r="CE53" i="2"/>
  <c r="CE65" i="2" s="1"/>
  <c r="S55" i="2"/>
  <c r="R65" i="2"/>
  <c r="R55" i="2"/>
  <c r="R57" i="2" s="1"/>
  <c r="R66" i="2" s="1"/>
  <c r="Q65" i="2"/>
  <c r="Q55" i="2"/>
  <c r="Q57" i="2" s="1"/>
  <c r="Q66" i="2" s="1"/>
  <c r="P65" i="2"/>
  <c r="P55" i="2"/>
  <c r="P57" i="2" s="1"/>
  <c r="P66" i="2" s="1"/>
  <c r="CD53" i="2"/>
  <c r="CD65" i="2" s="1"/>
  <c r="O65" i="2"/>
  <c r="O55" i="2"/>
  <c r="M65" i="2"/>
  <c r="M55" i="2"/>
  <c r="M57" i="2" s="1"/>
  <c r="M66" i="2" s="1"/>
  <c r="L65" i="2"/>
  <c r="L55" i="2"/>
  <c r="L57" i="2" s="1"/>
  <c r="L66" i="2" s="1"/>
  <c r="CC53" i="2"/>
  <c r="CC65" i="2" s="1"/>
  <c r="K65" i="2"/>
  <c r="K55" i="2"/>
  <c r="J65" i="2"/>
  <c r="J55" i="2"/>
  <c r="J57" i="2" s="1"/>
  <c r="J66" i="2" s="1"/>
  <c r="I65" i="2"/>
  <c r="I55" i="2"/>
  <c r="I57" i="2" s="1"/>
  <c r="I66" i="2" s="1"/>
  <c r="H65" i="2"/>
  <c r="H55" i="2"/>
  <c r="H57" i="2" s="1"/>
  <c r="H66" i="2" s="1"/>
  <c r="G65" i="2"/>
  <c r="CB53" i="2"/>
  <c r="CB65" i="2" s="1"/>
  <c r="G55" i="2"/>
  <c r="F65" i="2"/>
  <c r="F55" i="2"/>
  <c r="F57" i="2" s="1"/>
  <c r="F66" i="2" s="1"/>
  <c r="E65" i="2"/>
  <c r="E55" i="2"/>
  <c r="E57" i="2" s="1"/>
  <c r="E66" i="2" s="1"/>
  <c r="D65" i="2"/>
  <c r="D55" i="2"/>
  <c r="D57" i="2" s="1"/>
  <c r="D66" i="2" s="1"/>
  <c r="CA53" i="2"/>
  <c r="CA65" i="2" s="1"/>
  <c r="C65" i="2"/>
  <c r="C55" i="2"/>
  <c r="CK16" i="2"/>
  <c r="CK19" i="2"/>
  <c r="CK17" i="2"/>
  <c r="CK18" i="2"/>
  <c r="AX63" i="2"/>
  <c r="CL38" i="2"/>
  <c r="CL19" i="2"/>
  <c r="CL18" i="2"/>
  <c r="CL17" i="2"/>
  <c r="CL16" i="2"/>
  <c r="CM19" i="2"/>
  <c r="CM17" i="2"/>
  <c r="CM16" i="2"/>
  <c r="CM18" i="2"/>
  <c r="CN18" i="2"/>
  <c r="CN17" i="2"/>
  <c r="CN19" i="2"/>
  <c r="CN16" i="2"/>
  <c r="CO63" i="2"/>
  <c r="CO62" i="2"/>
  <c r="CO17" i="2"/>
  <c r="CO19" i="2"/>
  <c r="CO18" i="2"/>
  <c r="CO16" i="2"/>
  <c r="CK38" i="2"/>
  <c r="AT63" i="2"/>
  <c r="CL14" i="2"/>
  <c r="AT40" i="2"/>
  <c r="CK40" i="2" s="1"/>
  <c r="CK61" i="2" s="1"/>
  <c r="AT62" i="2"/>
  <c r="AX40" i="2"/>
  <c r="CL40" i="2" s="1"/>
  <c r="CL61" i="2" s="1"/>
  <c r="AX62" i="2"/>
  <c r="CM14" i="2"/>
  <c r="CN14" i="2"/>
  <c r="BB63" i="2"/>
  <c r="BB62" i="2"/>
  <c r="BF63" i="2"/>
  <c r="BF62" i="2"/>
  <c r="CM38" i="2"/>
  <c r="BB40" i="2"/>
  <c r="CM40" i="2" s="1"/>
  <c r="CM61" i="2" s="1"/>
  <c r="CN38" i="2"/>
  <c r="BF40" i="2"/>
  <c r="CN40" i="2" s="1"/>
  <c r="CN61" i="2" s="1"/>
  <c r="CR7" i="2"/>
  <c r="CO14" i="2"/>
  <c r="CQ4" i="2"/>
  <c r="CP8" i="2"/>
  <c r="BL61" i="2"/>
  <c r="BL49" i="2"/>
  <c r="BJ61" i="2"/>
  <c r="BJ49" i="2"/>
  <c r="BH61" i="2"/>
  <c r="BH49" i="2"/>
  <c r="BE61" i="2"/>
  <c r="BE49" i="2"/>
  <c r="BD61" i="2"/>
  <c r="BD49" i="2"/>
  <c r="BA61" i="2"/>
  <c r="BA49" i="2"/>
  <c r="AZ61" i="2"/>
  <c r="AZ49" i="2"/>
  <c r="AW61" i="2"/>
  <c r="AW49" i="2"/>
  <c r="AV61" i="2"/>
  <c r="AV49" i="2"/>
  <c r="AS61" i="2"/>
  <c r="AS49" i="2"/>
  <c r="AR61" i="2"/>
  <c r="AR49" i="2"/>
  <c r="BK61" i="2"/>
  <c r="BK49" i="2"/>
  <c r="BG61" i="2"/>
  <c r="BG49" i="2"/>
  <c r="CO49" i="2" s="1"/>
  <c r="CO64" i="2" s="1"/>
  <c r="BM49" i="2"/>
  <c r="BM61" i="2"/>
  <c r="AU49" i="2"/>
  <c r="AU61" i="2"/>
  <c r="AQ49" i="2"/>
  <c r="AQ61" i="2"/>
  <c r="BI49" i="2"/>
  <c r="BI61" i="2"/>
  <c r="BC49" i="2"/>
  <c r="BC61" i="2"/>
  <c r="AY49" i="2"/>
  <c r="AY61" i="2"/>
  <c r="CJ55" i="2" l="1"/>
  <c r="AM57" i="2"/>
  <c r="CI55" i="2"/>
  <c r="AI57" i="2"/>
  <c r="CH55" i="2"/>
  <c r="AE57" i="2"/>
  <c r="CG55" i="2"/>
  <c r="AA57" i="2"/>
  <c r="CF55" i="2"/>
  <c r="W57" i="2"/>
  <c r="CE55" i="2"/>
  <c r="S57" i="2"/>
  <c r="CD55" i="2"/>
  <c r="O57" i="2"/>
  <c r="CC55" i="2"/>
  <c r="K57" i="2"/>
  <c r="CB55" i="2"/>
  <c r="G57" i="2"/>
  <c r="CA55" i="2"/>
  <c r="C57" i="2"/>
  <c r="CL62" i="2"/>
  <c r="CL63" i="2"/>
  <c r="CK62" i="2"/>
  <c r="CK63" i="2"/>
  <c r="CM63" i="2"/>
  <c r="CM62" i="2"/>
  <c r="CN63" i="2"/>
  <c r="CN62" i="2"/>
  <c r="AX61" i="2"/>
  <c r="AX49" i="2"/>
  <c r="CL49" i="2" s="1"/>
  <c r="CL64" i="2" s="1"/>
  <c r="AT61" i="2"/>
  <c r="AT49" i="2"/>
  <c r="CK49" i="2" s="1"/>
  <c r="CK64" i="2" s="1"/>
  <c r="BB61" i="2"/>
  <c r="BB49" i="2"/>
  <c r="CM49" i="2" s="1"/>
  <c r="CM64" i="2" s="1"/>
  <c r="BF61" i="2"/>
  <c r="BF49" i="2"/>
  <c r="CN49" i="2" s="1"/>
  <c r="CN64" i="2" s="1"/>
  <c r="CR4" i="2"/>
  <c r="CS4" i="2" s="1"/>
  <c r="CT4" i="2" s="1"/>
  <c r="CU4" i="2" s="1"/>
  <c r="CQ8" i="2"/>
  <c r="CQ14" i="2" s="1"/>
  <c r="CR8" i="2"/>
  <c r="CS7" i="2"/>
  <c r="CP14" i="2"/>
  <c r="BL64" i="2"/>
  <c r="BL53" i="2"/>
  <c r="BJ64" i="2"/>
  <c r="BJ53" i="2"/>
  <c r="BH64" i="2"/>
  <c r="BH53" i="2"/>
  <c r="BE64" i="2"/>
  <c r="BE53" i="2"/>
  <c r="BD64" i="2"/>
  <c r="BD53" i="2"/>
  <c r="BA64" i="2"/>
  <c r="BA53" i="2"/>
  <c r="AZ64" i="2"/>
  <c r="AZ53" i="2"/>
  <c r="AW64" i="2"/>
  <c r="AW53" i="2"/>
  <c r="AV64" i="2"/>
  <c r="AV53" i="2"/>
  <c r="AS64" i="2"/>
  <c r="AS53" i="2"/>
  <c r="AR64" i="2"/>
  <c r="AR53" i="2"/>
  <c r="BK64" i="2"/>
  <c r="BK53" i="2"/>
  <c r="BG64" i="2"/>
  <c r="BG53" i="2"/>
  <c r="CO53" i="2" s="1"/>
  <c r="CO65" i="2" s="1"/>
  <c r="BM64" i="2"/>
  <c r="BM53" i="2"/>
  <c r="AU64" i="2"/>
  <c r="AU53" i="2"/>
  <c r="AQ64" i="2"/>
  <c r="AQ53" i="2"/>
  <c r="BI64" i="2"/>
  <c r="BI53" i="2"/>
  <c r="BC64" i="2"/>
  <c r="BC53" i="2"/>
  <c r="AY64" i="2"/>
  <c r="AY53" i="2"/>
  <c r="CJ57" i="2" l="1"/>
  <c r="AM66" i="2"/>
  <c r="CI57" i="2"/>
  <c r="AI66" i="2"/>
  <c r="CH57" i="2"/>
  <c r="AE66" i="2"/>
  <c r="CG57" i="2"/>
  <c r="AA66" i="2"/>
  <c r="W66" i="2"/>
  <c r="CF57" i="2"/>
  <c r="CE57" i="2"/>
  <c r="S66" i="2"/>
  <c r="CD57" i="2"/>
  <c r="O66" i="2"/>
  <c r="CC57" i="2"/>
  <c r="K66" i="2"/>
  <c r="CB57" i="2"/>
  <c r="G66" i="2"/>
  <c r="CA57" i="2"/>
  <c r="C66" i="2"/>
  <c r="AX64" i="2"/>
  <c r="AX53" i="2"/>
  <c r="CL53" i="2" s="1"/>
  <c r="CL65" i="2" s="1"/>
  <c r="AT53" i="2"/>
  <c r="CK53" i="2" s="1"/>
  <c r="CK65" i="2" s="1"/>
  <c r="AT64" i="2"/>
  <c r="BB64" i="2"/>
  <c r="BB53" i="2"/>
  <c r="CM53" i="2" s="1"/>
  <c r="CM65" i="2" s="1"/>
  <c r="BF64" i="2"/>
  <c r="BF53" i="2"/>
  <c r="CN53" i="2" s="1"/>
  <c r="CN65" i="2" s="1"/>
  <c r="CR14" i="2"/>
  <c r="CV4" i="2"/>
  <c r="CS8" i="2"/>
  <c r="CS14" i="2" s="1"/>
  <c r="CT7" i="2"/>
  <c r="BL65" i="2"/>
  <c r="BL55" i="2"/>
  <c r="BL57" i="2" s="1"/>
  <c r="BL107" i="2" s="1"/>
  <c r="BJ65" i="2"/>
  <c r="BJ55" i="2"/>
  <c r="BJ57" i="2" s="1"/>
  <c r="BJ107" i="2" s="1"/>
  <c r="BH65" i="2"/>
  <c r="BH55" i="2"/>
  <c r="BH57" i="2" s="1"/>
  <c r="BH107" i="2" s="1"/>
  <c r="BE65" i="2"/>
  <c r="BE55" i="2"/>
  <c r="BE57" i="2" s="1"/>
  <c r="BE107" i="2" s="1"/>
  <c r="BD65" i="2"/>
  <c r="BD55" i="2"/>
  <c r="BD57" i="2" s="1"/>
  <c r="BD107" i="2" s="1"/>
  <c r="BA65" i="2"/>
  <c r="BA55" i="2"/>
  <c r="BA57" i="2" s="1"/>
  <c r="BA107" i="2" s="1"/>
  <c r="AZ65" i="2"/>
  <c r="AZ55" i="2"/>
  <c r="AZ57" i="2" s="1"/>
  <c r="AZ107" i="2" s="1"/>
  <c r="AW65" i="2"/>
  <c r="AW55" i="2"/>
  <c r="AW57" i="2" s="1"/>
  <c r="AW107" i="2" s="1"/>
  <c r="AV65" i="2"/>
  <c r="AV55" i="2"/>
  <c r="AV57" i="2" s="1"/>
  <c r="AV107" i="2" s="1"/>
  <c r="AS65" i="2"/>
  <c r="AS55" i="2"/>
  <c r="AS57" i="2" s="1"/>
  <c r="AS107" i="2" s="1"/>
  <c r="AR65" i="2"/>
  <c r="AR55" i="2"/>
  <c r="AR57" i="2" s="1"/>
  <c r="AR107" i="2" s="1"/>
  <c r="BK65" i="2"/>
  <c r="BK55" i="2"/>
  <c r="BK57" i="2" s="1"/>
  <c r="BK107" i="2" s="1"/>
  <c r="BG65" i="2"/>
  <c r="BG55" i="2"/>
  <c r="BM65" i="2"/>
  <c r="BM55" i="2"/>
  <c r="BM57" i="2" s="1"/>
  <c r="AU65" i="2"/>
  <c r="AU55" i="2"/>
  <c r="AQ65" i="2"/>
  <c r="AQ55" i="2"/>
  <c r="BI65" i="2"/>
  <c r="BI55" i="2"/>
  <c r="BI57" i="2" s="1"/>
  <c r="BI107" i="2" s="1"/>
  <c r="BC65" i="2"/>
  <c r="BC55" i="2"/>
  <c r="AY65" i="2"/>
  <c r="AY55" i="2"/>
  <c r="CJ66" i="2" l="1"/>
  <c r="CJ107" i="2"/>
  <c r="CI66" i="2"/>
  <c r="CI107" i="2"/>
  <c r="CH107" i="2"/>
  <c r="CH66" i="2"/>
  <c r="CG66" i="2"/>
  <c r="CG107" i="2"/>
  <c r="CF66" i="2"/>
  <c r="CF107" i="2"/>
  <c r="CE107" i="2"/>
  <c r="CE66" i="2"/>
  <c r="CD107" i="2"/>
  <c r="CD66" i="2"/>
  <c r="CC66" i="2"/>
  <c r="CC107" i="2"/>
  <c r="CB66" i="2"/>
  <c r="CB107" i="2"/>
  <c r="CA66" i="2"/>
  <c r="CA107" i="2"/>
  <c r="CW4" i="2"/>
  <c r="CX4" i="2" s="1"/>
  <c r="CY4" i="2" s="1"/>
  <c r="BG57" i="2"/>
  <c r="CO55" i="2"/>
  <c r="AU57" i="2"/>
  <c r="AQ57" i="2"/>
  <c r="BC57" i="2"/>
  <c r="AY57" i="2"/>
  <c r="AX65" i="2"/>
  <c r="AX55" i="2"/>
  <c r="AT65" i="2"/>
  <c r="AT55" i="2"/>
  <c r="BB55" i="2"/>
  <c r="BB65" i="2"/>
  <c r="BF55" i="2"/>
  <c r="BF65" i="2"/>
  <c r="CT8" i="2"/>
  <c r="CU7" i="2"/>
  <c r="BL66" i="2"/>
  <c r="BL59" i="2"/>
  <c r="BJ66" i="2"/>
  <c r="BJ59" i="2"/>
  <c r="BH66" i="2"/>
  <c r="BH59" i="2"/>
  <c r="BE66" i="2"/>
  <c r="BE59" i="2"/>
  <c r="BD66" i="2"/>
  <c r="BD59" i="2"/>
  <c r="BA66" i="2"/>
  <c r="BA59" i="2"/>
  <c r="AZ66" i="2"/>
  <c r="AZ59" i="2"/>
  <c r="AW66" i="2"/>
  <c r="AW59" i="2"/>
  <c r="AV66" i="2"/>
  <c r="AV59" i="2"/>
  <c r="AS66" i="2"/>
  <c r="AS59" i="2"/>
  <c r="AR66" i="2"/>
  <c r="AR59" i="2"/>
  <c r="BK66" i="2"/>
  <c r="BK59" i="2"/>
  <c r="BG66" i="2"/>
  <c r="BG59" i="2"/>
  <c r="CO59" i="2" s="1"/>
  <c r="BM107" i="2"/>
  <c r="BM59" i="2"/>
  <c r="BM66" i="2"/>
  <c r="AU66" i="2"/>
  <c r="AU59" i="2"/>
  <c r="AQ66" i="2"/>
  <c r="AQ59" i="2"/>
  <c r="BI66" i="2"/>
  <c r="BI59" i="2"/>
  <c r="BC66" i="2"/>
  <c r="BC59" i="2"/>
  <c r="CN59" i="2" s="1"/>
  <c r="AY66" i="2"/>
  <c r="AY59" i="2"/>
  <c r="BG107" i="2" l="1"/>
  <c r="CO57" i="2"/>
  <c r="CL57" i="2"/>
  <c r="AU107" i="2"/>
  <c r="CK57" i="2"/>
  <c r="AQ107" i="2"/>
  <c r="CN57" i="2"/>
  <c r="BC107" i="2"/>
  <c r="CM57" i="2"/>
  <c r="AY107" i="2"/>
  <c r="AX57" i="2"/>
  <c r="CL55" i="2"/>
  <c r="AT57" i="2"/>
  <c r="CK55" i="2"/>
  <c r="BB57" i="2"/>
  <c r="CM55" i="2"/>
  <c r="BF57" i="2"/>
  <c r="BF59" i="2" s="1"/>
  <c r="CN55" i="2"/>
  <c r="CV7" i="2"/>
  <c r="CU8" i="2"/>
  <c r="AX107" i="2"/>
  <c r="AX66" i="2"/>
  <c r="AX59" i="2"/>
  <c r="CL59" i="2" s="1"/>
  <c r="AT107" i="2"/>
  <c r="AT66" i="2"/>
  <c r="AT59" i="2"/>
  <c r="CK59" i="2" s="1"/>
  <c r="BB107" i="2"/>
  <c r="BB66" i="2"/>
  <c r="BB59" i="2"/>
  <c r="CM59" i="2" s="1"/>
  <c r="BF107" i="2"/>
  <c r="BF66" i="2"/>
  <c r="CU14" i="2"/>
  <c r="CT14" i="2"/>
  <c r="CO107" i="2" l="1"/>
  <c r="CO66" i="2"/>
  <c r="CL107" i="2"/>
  <c r="CL66" i="2"/>
  <c r="CK66" i="2"/>
  <c r="CK107" i="2"/>
  <c r="CN107" i="2"/>
  <c r="CN66" i="2"/>
  <c r="CM107" i="2"/>
  <c r="CM66" i="2"/>
  <c r="CV8" i="2"/>
  <c r="CV14" i="2" s="1"/>
  <c r="CW7" i="2"/>
  <c r="CW8" i="2" l="1"/>
  <c r="CW14" i="2" s="1"/>
  <c r="CX7" i="2"/>
  <c r="CY7" i="2" l="1"/>
  <c r="CY8" i="2" s="1"/>
  <c r="CX8" i="2"/>
  <c r="CX14" i="2" s="1"/>
  <c r="CY14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<sst xmlns="http://schemas.openxmlformats.org/spreadsheetml/2006/main" count="1585" uniqueCount="1545">
  <si>
    <t>Master</t>
  </si>
  <si>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</si>
  <si>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</si>
  <si>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</si>
  <si>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</si>
  <si>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</si>
  <si>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</si>
  <si>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</si>
  <si>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</si>
  <si>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</si>
  <si>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</si>
  <si>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</si>
  <si>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</si>
  <si>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</si>
  <si>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</si>
  <si>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</si>
  <si>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</si>
  <si>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</si>
  <si>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</si>
  <si>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</si>
  <si>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</si>
  <si>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</si>
  <si>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</si>
  <si>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</si>
  <si>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</si>
  <si>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</si>
  <si>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</si>
  <si>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</si>
  <si>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</si>
  <si>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</si>
  <si>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</si>
  <si>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</si>
  <si>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</si>
  <si>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</si>
  <si>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</si>
  <si>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</si>
  <si>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</si>
  <si>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</si>
  <si>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</si>
  <si>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</si>
  <si>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</si>
  <si>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</si>
  <si>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</si>
  <si>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</si>
  <si>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</si>
  <si>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</si>
  <si>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</si>
  <si>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</si>
  <si>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</si>
  <si>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</si>
  <si>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</si>
  <si>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</si>
  <si>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</si>
  <si>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</si>
  <si>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</si>
  <si>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</si>
  <si>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</si>
  <si>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</si>
  <si>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</si>
  <si>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</si>
  <si>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</si>
  <si>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</si>
  <si>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</si>
  <si>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</si>
  <si>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</si>
  <si>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</si>
  <si>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</si>
  <si>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</si>
  <si>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</si>
  <si>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</si>
  <si>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</si>
  <si>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</si>
  <si>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</si>
  <si>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</si>
  <si>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</si>
  <si>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</si>
  <si>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</si>
  <si>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</si>
  <si>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</si>
  <si>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</si>
  <si>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</si>
  <si>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</si>
  <si>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</si>
  <si>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</si>
  <si>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</si>
  <si>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</si>
  <si>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</si>
  <si>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</si>
  <si>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</si>
  <si>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</si>
  <si>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</si>
  <si>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</si>
  <si>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</si>
  <si>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</si>
  <si>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</si>
  <si>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</si>
  <si>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</si>
  <si>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</si>
  <si>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</si>
  <si>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</si>
  <si>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</si>
  <si>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</si>
  <si>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</si>
  <si>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</si>
  <si>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</si>
  <si>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</si>
  <si>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</si>
  <si>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</si>
  <si>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</si>
  <si>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</si>
  <si>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</si>
  <si>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</si>
  <si>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[Use for Graphing]</t>
  </si>
  <si>
    <t>Quarterly</t>
  </si>
  <si>
    <t>Revenues</t>
  </si>
  <si>
    <t>Ttl Revenues</t>
  </si>
  <si>
    <t>U.S. Revenues</t>
  </si>
  <si>
    <t>U.S. % of Revenues</t>
  </si>
  <si>
    <t>[Region A] Revenues % of Revenues</t>
  </si>
  <si>
    <t>[Region B] Revenues % of Revenues</t>
  </si>
  <si>
    <t>[Region C] Revenues % of Revenues</t>
  </si>
  <si>
    <t>COGS</t>
  </si>
  <si>
    <t>GP</t>
  </si>
  <si>
    <t>Gross Profit Margin</t>
  </si>
  <si>
    <t>R&amp;D as % of Revenue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</si>
  <si>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</si>
  <si>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</si>
  <si>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</si>
  <si>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</si>
  <si>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</si>
  <si>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ST Investments</t>
  </si>
  <si>
    <t>Current Ratio</t>
  </si>
  <si>
    <t>Quick Ratio</t>
  </si>
  <si>
    <t>Cash Ratio</t>
  </si>
  <si>
    <t>Ttl Asset Turnover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</si>
  <si>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</si>
  <si>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</si>
  <si>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</si>
  <si>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</si>
  <si>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</si>
  <si>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</si>
  <si>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</si>
  <si>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</si>
  <si>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</si>
  <si>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Revenues:</t>
  </si>
  <si>
    <t>Earnings Scope:</t>
  </si>
  <si>
    <t>Balance Sheet Scope:</t>
  </si>
  <si>
    <t>[Equity Preformance Compared to Peers]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</si>
  <si>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</si>
  <si>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</si>
  <si>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</si>
  <si>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</si>
  <si>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</si>
  <si>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</si>
  <si>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</si>
  <si>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</si>
  <si>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</si>
  <si>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&lt;- Sharpe Ratio (Risk Adjusted Return)</t>
  </si>
  <si>
    <t>Earnings Calls</t>
  </si>
  <si>
    <t>Equity Analysis</t>
  </si>
  <si>
    <t>https://app.godelterminal.com/</t>
  </si>
  <si>
    <t>Investors Relation Department</t>
  </si>
  <si>
    <t>Business Segments and Geographical Info:</t>
  </si>
  <si>
    <t>Employee Scope:</t>
  </si>
  <si>
    <t>Resources:</t>
  </si>
  <si>
    <t>Capital Structure Snapshot:</t>
  </si>
  <si>
    <t>Y/y Total Revenues, Net Income, FCF</t>
  </si>
  <si>
    <t>Q/q Total Revenues, Net Income, FCF</t>
  </si>
  <si>
    <t>Company IR Page</t>
  </si>
  <si>
    <t>Company Homepage</t>
  </si>
  <si>
    <t>MacroTrends</t>
  </si>
  <si>
    <t>ROIC, WACC</t>
  </si>
  <si>
    <t>Ttl Revenue Growth Y/y</t>
  </si>
  <si>
    <t>Projected ROIC:</t>
  </si>
  <si>
    <t>Invested Capital</t>
  </si>
  <si>
    <t>AVG Invested Capital</t>
  </si>
  <si>
    <t>ROIC</t>
  </si>
  <si>
    <t>2023-2024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</si>
  <si>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</si>
  <si>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</si>
  <si>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</si>
  <si>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</si>
  <si>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</si>
  <si>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</si>
  <si>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Q2'25</t>
  </si>
  <si>
    <t>FV</t>
  </si>
  <si>
    <t>CP</t>
  </si>
  <si>
    <t>Change Δ</t>
  </si>
  <si>
    <t>Fri, 19 Sep 2025 00:00:00 GMT</t>
  </si>
  <si>
    <t>Thu, 18 Sep 2025 00:00:00 GMT</t>
  </si>
  <si>
    <t>Wed, 17 Sep 2025 00:00:00 GMT</t>
  </si>
  <si>
    <t>Tue, 16 Sep 2025 00:00:00 GMT</t>
  </si>
  <si>
    <t>Mon, 15 Sep 2025 00:00:00 GMT</t>
  </si>
  <si>
    <t>Fri, 12 Sep 2025 00:00:00 GMT</t>
  </si>
  <si>
    <t>Thu, 11 Sep 2025 00:00:00 GMT</t>
  </si>
  <si>
    <t>Wed, 10 Sep 2025 00:00:00 GMT</t>
  </si>
  <si>
    <t>Tue, 09 Sep 2025 00:00:00 GMT</t>
  </si>
  <si>
    <t>Mon, 08 Sep 2025 00:00:00 GMT</t>
  </si>
  <si>
    <t>Fri, 05 Sep 2025 00:00:00 GMT</t>
  </si>
  <si>
    <t>Thu, 04 Sep 2025 00:00:00 GMT</t>
  </si>
  <si>
    <t>Wed, 03 Sep 2025 00:00:00 GMT</t>
  </si>
  <si>
    <t>Tue, 02 Sep 2025 00:00:00 GMT</t>
  </si>
  <si>
    <t>Fri, 29 Aug 2025 00:00:00 GMT</t>
  </si>
  <si>
    <t>Thu, 28 Aug 2025 00:00:00 GMT</t>
  </si>
  <si>
    <t>Wed, 27 Aug 2025 00:00:00 GMT</t>
  </si>
  <si>
    <t>Tue, 26 Aug 2025 00:00:00 GMT</t>
  </si>
  <si>
    <t>Mon, 25 Aug 2025 00:00:00 GMT</t>
  </si>
  <si>
    <t>Fri, 22 Aug 2025 00:00:00 GMT</t>
  </si>
  <si>
    <t>Thu, 21 Aug 2025 00:00:00 GMT</t>
  </si>
  <si>
    <t>Wed, 20 Aug 2025 00:00:00 GMT</t>
  </si>
  <si>
    <t>Tue, 19 Aug 2025 00:00:00 GMT</t>
  </si>
  <si>
    <t>Mon, 18 Aug 2025 00:00:00 GMT</t>
  </si>
  <si>
    <t>Fri, 15 Aug 2025 00:00:00 GMT</t>
  </si>
  <si>
    <t>Thu, 14 Aug 2025 00:00:00 GMT</t>
  </si>
  <si>
    <t>Wed, 13 Aug 2025 00:00:00 GMT</t>
  </si>
  <si>
    <t>Tue, 12 Aug 2025 00:00:00 GMT</t>
  </si>
  <si>
    <t>Mon, 11 Aug 2025 00:00:00 GMT</t>
  </si>
  <si>
    <t>Fri, 08 Aug 2025 00:00:00 GMT</t>
  </si>
  <si>
    <t>Thu, 07 Aug 2025 00:00:00 GMT</t>
  </si>
  <si>
    <t>Wed, 06 Aug 2025 00:00:00 GMT</t>
  </si>
  <si>
    <t>Tue, 05 Aug 2025 00:00:00 GMT</t>
  </si>
  <si>
    <t>Mon, 04 Aug 2025 00:00:00 GMT</t>
  </si>
  <si>
    <t>Fri, 01 Aug 2025 00:00:00 GMT</t>
  </si>
  <si>
    <t>Thu, 31 Jul 2025 00:00:00 GMT</t>
  </si>
  <si>
    <t>Wed, 30 Jul 2025 00:00:00 GMT</t>
  </si>
  <si>
    <t>Tue, 29 Jul 2025 00:00:00 GMT</t>
  </si>
  <si>
    <t>Mon, 28 Jul 2025 00:00:00 GMT</t>
  </si>
  <si>
    <t>Fri, 25 Jul 2025 00:00:00 GMT</t>
  </si>
  <si>
    <t>Thu, 24 Jul 2025 00:00:00 GMT</t>
  </si>
  <si>
    <t>Wed, 23 Jul 2025 00:00:00 GMT</t>
  </si>
  <si>
    <t>Tue, 22 Jul 2025 00:00:00 GMT</t>
  </si>
  <si>
    <t>Mon, 21 Jul 2025 00:00:00 GMT</t>
  </si>
  <si>
    <t>Fri, 18 Jul 2025 00:00:00 GMT</t>
  </si>
  <si>
    <t>Thu, 17 Jul 2025 00:00:00 GMT</t>
  </si>
  <si>
    <t>Wed, 16 Jul 2025 00:00:00 GMT</t>
  </si>
  <si>
    <t>Tue, 15 Jul 2025 00:00:00 GMT</t>
  </si>
  <si>
    <t>Mon, 14 Jul 2025 00:00:00 GMT</t>
  </si>
  <si>
    <t>Fri, 11 Jul 2025 00:00:00 GMT</t>
  </si>
  <si>
    <t>Thu, 10 Jul 2025 00:00:00 GMT</t>
  </si>
  <si>
    <t>Wed, 09 Jul 2025 00:00:00 GMT</t>
  </si>
  <si>
    <t>Tue, 08 Jul 2025 00:00:00 GMT</t>
  </si>
  <si>
    <t>Mon, 07 Jul 2025 00:00:00 GMT</t>
  </si>
  <si>
    <t>Thu, 03 Jul 2025 00:00:00 GMT</t>
  </si>
  <si>
    <t>Wed, 02 Jul 2025 00:00:00 GMT</t>
  </si>
  <si>
    <t>Tue, 01 Jul 2025 00:00:00 GMT</t>
  </si>
  <si>
    <t>Mon, 30 Jun 2025 00:00:00 GMT</t>
  </si>
  <si>
    <t>Fri, 27 Jun 2025 00:00:00 GMT</t>
  </si>
  <si>
    <t>Thu, 26 Jun 2025 00:00:00 GMT</t>
  </si>
  <si>
    <t>Wed, 25 Jun 2025 00:00:00 GMT</t>
  </si>
  <si>
    <t>Tue, 24 Jun 2025 00:00:00 GMT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</si>
  <si>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</si>
  <si>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</si>
  <si>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</si>
  <si>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</si>
  <si>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</si>
  <si>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</si>
  <si>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</si>
  <si>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</si>
  <si>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</si>
  <si>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</si>
  <si>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</si>
  <si>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</si>
  <si>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</si>
  <si>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</si>
  <si>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</si>
  <si>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</si>
  <si>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</si>
  <si>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</si>
  <si>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</si>
  <si>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</si>
  <si>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</si>
  <si>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</si>
  <si>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</si>
  <si>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</si>
  <si>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</si>
  <si>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</si>
  <si>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</si>
  <si>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</si>
  <si>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</si>
  <si>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</si>
  <si>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</si>
  <si>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</si>
  <si>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</si>
  <si>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</si>
  <si>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</si>
  <si>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</si>
  <si>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</si>
  <si>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</si>
  <si>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</si>
  <si>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</si>
  <si>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</si>
  <si>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</si>
  <si>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</si>
  <si>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</si>
  <si>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</si>
  <si>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</si>
  <si>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</si>
  <si>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</si>
  <si>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</si>
  <si>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</si>
  <si>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</si>
  <si>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</si>
  <si>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</si>
  <si>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</si>
  <si>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</si>
  <si>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</si>
  <si>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</si>
  <si>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</si>
  <si>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</si>
  <si>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</si>
  <si>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</si>
  <si>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</si>
  <si>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</si>
  <si>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</si>
  <si>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</si>
  <si>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</si>
  <si>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</si>
  <si>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</si>
  <si>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</si>
  <si>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</si>
  <si>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</si>
  <si>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</si>
  <si>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</si>
  <si>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</si>
  <si>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</si>
  <si>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</si>
  <si>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</si>
  <si>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</si>
  <si>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</si>
  <si>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</si>
  <si>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</si>
  <si>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</si>
  <si>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</si>
  <si>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</si>
  <si>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</si>
  <si>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</si>
  <si>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</si>
  <si>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</si>
  <si>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</si>
  <si>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</si>
  <si>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</si>
  <si>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</si>
  <si>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</si>
  <si>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</si>
  <si>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</si>
  <si>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</si>
  <si>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</si>
  <si>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</si>
  <si>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</si>
  <si>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</si>
  <si>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</si>
  <si>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</si>
  <si>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</si>
  <si>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</si>
  <si>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</si>
  <si>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</si>
  <si>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</si>
  <si>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</si>
  <si>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</si>
  <si>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</si>
  <si>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</si>
  <si>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</si>
  <si>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</si>
  <si>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</si>
  <si>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</si>
  <si>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</si>
  <si>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</si>
  <si>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</si>
  <si>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</si>
  <si>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</si>
  <si>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</si>
  <si>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</si>
  <si>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</si>
  <si>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</si>
  <si>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</si>
  <si>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</si>
  <si>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</si>
  <si>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</si>
  <si>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</si>
  <si>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</si>
  <si>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</si>
  <si>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</si>
  <si>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</si>
  <si>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</si>
  <si>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</si>
  <si>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</si>
  <si>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</si>
  <si>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</si>
  <si>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</si>
  <si>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</si>
  <si>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</si>
  <si>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</si>
  <si>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</si>
  <si>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</si>
  <si>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</si>
  <si>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</si>
  <si>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</si>
  <si>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</si>
  <si>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</si>
  <si>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</si>
  <si>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</si>
  <si>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</si>
  <si>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</si>
  <si>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</si>
  <si>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</si>
  <si>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</si>
  <si>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</si>
  <si>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</si>
  <si>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</si>
  <si>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</si>
  <si>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</si>
  <si>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</si>
  <si>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</si>
  <si>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</si>
  <si>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</si>
  <si>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</si>
  <si>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</si>
  <si>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</si>
  <si>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</si>
  <si>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</si>
  <si>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</si>
  <si>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</si>
  <si>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</si>
  <si>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</si>
  <si>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</si>
  <si>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</si>
  <si>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</si>
  <si>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</si>
  <si>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</si>
  <si>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</si>
  <si>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</si>
  <si>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</si>
  <si>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</si>
  <si>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</si>
  <si>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</si>
  <si>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</si>
  <si>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</si>
  <si>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</si>
  <si>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</si>
  <si>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</si>
  <si>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</si>
  <si>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</si>
  <si>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</si>
  <si>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</si>
  <si>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</si>
  <si>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</si>
  <si>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</si>
  <si>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</si>
  <si>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</si>
  <si>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</si>
  <si>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</si>
  <si>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</si>
  <si>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</si>
  <si>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</si>
  <si>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</si>
  <si>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</si>
  <si>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</si>
  <si>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</si>
  <si>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</si>
  <si>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</si>
  <si>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</si>
  <si>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</si>
  <si>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</si>
  <si>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</si>
  <si>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</si>
  <si>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</si>
  <si>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</si>
  <si>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</si>
  <si>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</si>
  <si>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</si>
  <si>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</si>
  <si>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</si>
  <si>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</si>
  <si>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</si>
  <si>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</si>
  <si>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</si>
  <si>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</si>
  <si>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</si>
  <si>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</si>
  <si>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</si>
  <si>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</si>
  <si>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</si>
  <si>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</si>
  <si>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</si>
  <si>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</si>
  <si>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</si>
  <si>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</si>
  <si>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</si>
  <si>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</si>
  <si>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</si>
  <si>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</si>
  <si>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</si>
  <si>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</si>
  <si>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</si>
  <si>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</si>
  <si>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</si>
  <si>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</si>
  <si>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</si>
  <si>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</si>
  <si>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</si>
  <si>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</si>
  <si>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</si>
  <si>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</si>
  <si>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</si>
  <si>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</si>
  <si>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</si>
  <si>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</si>
  <si>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</si>
  <si>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</si>
  <si>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</si>
  <si>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</si>
  <si>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</si>
  <si>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</si>
  <si>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</si>
  <si>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</si>
  <si>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</si>
  <si>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</si>
  <si>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</si>
  <si>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</si>
  <si>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</si>
  <si>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</si>
  <si>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</si>
  <si>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</si>
  <si>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</si>
  <si>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</si>
  <si>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</si>
  <si>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</si>
  <si>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</si>
  <si>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</si>
  <si>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</si>
  <si>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</si>
  <si>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</si>
  <si>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</si>
  <si>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</si>
  <si>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</si>
  <si>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</si>
  <si>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</si>
  <si>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</si>
  <si>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</si>
  <si>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</si>
  <si>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</si>
  <si>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</si>
  <si>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</si>
  <si>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</si>
  <si>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</si>
  <si>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</si>
  <si>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</si>
  <si>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</si>
  <si>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</si>
  <si>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</si>
  <si>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</si>
  <si>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</si>
  <si>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</si>
  <si>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</si>
  <si>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</si>
  <si>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</si>
  <si>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</si>
  <si>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</si>
  <si>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</si>
  <si>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</si>
  <si>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</si>
  <si>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</si>
  <si>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</si>
  <si>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</si>
  <si>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t>Wed, 20 Mar 2024 00:00:00 GMT</t>
  </si>
  <si>
    <t>Tue, 19 Mar 2024 00:00:00 GMT</t>
  </si>
  <si>
    <t>Mon, 18 Mar 2024 00:00:00 GMT</t>
  </si>
  <si>
    <t>Fri, 15 Mar 2024 00:00:00 GMT</t>
  </si>
  <si>
    <t>Thu, 14 Mar 2024 00:00:00 GMT</t>
  </si>
  <si>
    <t>Wed, 13 Mar 2024 00:00:00 GMT</t>
  </si>
  <si>
    <t>Tue, 12 Mar 2024 00:00:00 GMT</t>
  </si>
  <si>
    <t>Mon, 11 Mar 2024 00:00:00 GMT</t>
  </si>
  <si>
    <t>Fri, 08 Mar 2024 00:00:00 GMT</t>
  </si>
  <si>
    <t>Thu, 07 Mar 2024 00:00:00 GMT</t>
  </si>
  <si>
    <t>Wed, 06 Mar 2024 00:00:00 GMT</t>
  </si>
  <si>
    <t>Tue, 05 Mar 2024 00:00:00 GMT</t>
  </si>
  <si>
    <t>Mon, 04 Mar 2024 00:00:00 GMT</t>
  </si>
  <si>
    <t>Fri, 01 Mar 2024 00:00:00 GMT</t>
  </si>
  <si>
    <t>Thu, 29 Feb 2024 00:00:00 GMT</t>
  </si>
  <si>
    <t>Wed, 28 Feb 2024 00:00:00 GMT</t>
  </si>
  <si>
    <t>Tue, 27 Feb 2024 00:00:00 GMT</t>
  </si>
  <si>
    <t>Mon, 26 Feb 2024 00:00:00 GMT</t>
  </si>
  <si>
    <t>Fri, 23 Feb 2024 00:00:00 GMT</t>
  </si>
  <si>
    <t>Thu, 22 Feb 2024 00:00:00 GMT</t>
  </si>
  <si>
    <t>Wed, 21 Feb 2024 00:00:00 GMT</t>
  </si>
  <si>
    <t>Tue, 20 Feb 2024 00:00:00 GMT</t>
  </si>
  <si>
    <t>Fri, 16 Feb 2024 00:00:00 GMT</t>
  </si>
  <si>
    <t>Thu, 15 Feb 2024 00:00:00 GMT</t>
  </si>
  <si>
    <t>Wed, 14 Feb 2024 00:00:00 GMT</t>
  </si>
  <si>
    <t>Tue, 13 Feb 2024 00:00:00 GMT</t>
  </si>
  <si>
    <t>Mon, 12 Feb 2024 00:00:00 GMT</t>
  </si>
  <si>
    <t>Fri, 09 Feb 2024 00:00:00 GMT</t>
  </si>
  <si>
    <t>Thu, 08 Feb 2024 00:00:00 GMT</t>
  </si>
  <si>
    <t>Wed, 07 Feb 2024 00:00:00 GMT</t>
  </si>
  <si>
    <t>Tue, 06 Feb 2024 00:00:00 GMT</t>
  </si>
  <si>
    <t>Mon, 05 Feb 2024 00:00:00 GMT</t>
  </si>
  <si>
    <t>Fri, 02 Feb 2024 00:00:00 GMT</t>
  </si>
  <si>
    <t>Thu, 01 Feb 2024 00:00:00 GMT</t>
  </si>
  <si>
    <t>Wed, 31 Jan 2024 00:00:00 GMT</t>
  </si>
  <si>
    <t>Tue, 30 Jan 2024 00:00:00 GMT</t>
  </si>
  <si>
    <t>Mon, 29 Jan 2024 00:00:00 GMT</t>
  </si>
  <si>
    <t>Fri, 26 Jan 2024 00:00:00 GMT</t>
  </si>
  <si>
    <t>Thu, 25 Jan 2024 00:00:00 GMT</t>
  </si>
  <si>
    <t>Wed, 24 Jan 2024 00:00:00 GMT</t>
  </si>
  <si>
    <t>Tue, 23 Jan 2024 00:00:00 GMT</t>
  </si>
  <si>
    <t>Mon, 22 Jan 2024 00:00:00 GMT</t>
  </si>
  <si>
    <t>Fri, 19 Jan 2024 00:00:00 GMT</t>
  </si>
  <si>
    <t>Thu, 18 Jan 2024 00:00:00 GMT</t>
  </si>
  <si>
    <t>Wed, 17 Jan 2024 00:00:00 GMT</t>
  </si>
  <si>
    <t>Tue, 16 Jan 2024 00:00:00 GMT</t>
  </si>
  <si>
    <t>Fri, 12 Jan 2024 00:00:00 GMT</t>
  </si>
  <si>
    <t>Thu, 11 Jan 2024 00:00:00 GMT</t>
  </si>
  <si>
    <t>Wed, 10 Jan 2024 00:00:00 GMT</t>
  </si>
  <si>
    <t>Tue, 09 Jan 2024 00:00:00 GMT</t>
  </si>
  <si>
    <t>Mon, 08 Jan 2024 00:00:00 GMT</t>
  </si>
  <si>
    <t>Fri, 05 Jan 2024 00:00:00 GMT</t>
  </si>
  <si>
    <t>Thu, 04 Jan 2024 00:00:00 GMT</t>
  </si>
  <si>
    <t>Wed, 03 Jan 2024 00:00:00 GMT</t>
  </si>
  <si>
    <t>Tue, 02 Jan 2024 00:00:00 GMT</t>
  </si>
  <si>
    <t>Fri, 29 Dec 2023 00:00:00 GMT</t>
  </si>
  <si>
    <t>Thu, 28 Dec 2023 00:00:00 GMT</t>
  </si>
  <si>
    <t>Wed, 27 Dec 2023 00:00:00 GMT</t>
  </si>
  <si>
    <t>Tue, 26 Dec 2023 00:00:00 GMT</t>
  </si>
  <si>
    <t>Fri, 22 Dec 2023 00:00:00 GMT</t>
  </si>
  <si>
    <t>Thu, 21 Dec 2023 00:00:00 GMT</t>
  </si>
  <si>
    <t>Wed, 20 Dec 2023 00:00:00 GMT</t>
  </si>
  <si>
    <t>Tue, 19 Dec 2023 00:00:00 GMT</t>
  </si>
  <si>
    <t>Mon, 18 Dec 2023 00:00:00 GMT</t>
  </si>
  <si>
    <t>Fri, 15 Dec 2023 00:00:00 GMT</t>
  </si>
  <si>
    <t>Thu, 14 Dec 2023 00:00:00 GMT</t>
  </si>
  <si>
    <t>Wed, 13 Dec 2023 00:00:00 GMT</t>
  </si>
  <si>
    <t>Tue, 12 Dec 2023 00:00:00 GMT</t>
  </si>
  <si>
    <t>Mon, 11 Dec 2023 00:00:00 GMT</t>
  </si>
  <si>
    <t>Fri, 08 Dec 2023 00:00:00 GMT</t>
  </si>
  <si>
    <t>Thu, 07 Dec 2023 00:00:00 GMT</t>
  </si>
  <si>
    <t>Wed, 06 Dec 2023 00:00:00 GMT</t>
  </si>
  <si>
    <t>Tue, 05 Dec 2023 00:00:00 GMT</t>
  </si>
  <si>
    <t>Mon, 04 Dec 2023 00:00:00 GMT</t>
  </si>
  <si>
    <t>Fri, 01 Dec 2023 00:00:00 GMT</t>
  </si>
  <si>
    <t>Thu, 30 Nov 2023 00:00:00 GMT</t>
  </si>
  <si>
    <t>Wed, 29 Nov 2023 00:00:00 GMT</t>
  </si>
  <si>
    <t>Tue, 28 Nov 2023 00:00:00 GMT</t>
  </si>
  <si>
    <t>Mon, 27 Nov 2023 00:00:00 GMT</t>
  </si>
  <si>
    <t>Fri, 24 Nov 2023 00:00:00 GMT</t>
  </si>
  <si>
    <t>Wed, 22 Nov 2023 00:00:00 GMT</t>
  </si>
  <si>
    <t>Tue, 21 Nov 2023 00:00:00 GMT</t>
  </si>
  <si>
    <t>Mon, 20 Nov 2023 00:00:00 GMT</t>
  </si>
  <si>
    <t>Fri, 17 Nov 2023 00:00:00 GMT</t>
  </si>
  <si>
    <t>Thu, 16 Nov 2023 00:00:00 GMT</t>
  </si>
  <si>
    <t>Wed, 15 Nov 2023 00:00:00 GMT</t>
  </si>
  <si>
    <t>Tue, 14 Nov 2023 00:00:00 GMT</t>
  </si>
  <si>
    <t>Mon, 13 Nov 2023 00:00:00 GMT</t>
  </si>
  <si>
    <t>Fri, 10 Nov 2023 00:00:00 GMT</t>
  </si>
  <si>
    <t>Thu, 09 Nov 2023 00:00:00 GMT</t>
  </si>
  <si>
    <t>Wed, 08 Nov 2023 00:00:00 GMT</t>
  </si>
  <si>
    <t>Tue, 07 Nov 2023 00:00:00 GMT</t>
  </si>
  <si>
    <t>Mon, 06 Nov 2023 00:00:00 GMT</t>
  </si>
  <si>
    <t>Fri, 03 Nov 2023 00:00:00 GMT</t>
  </si>
  <si>
    <t>Thu, 02 Nov 2023 00:00:00 GMT</t>
  </si>
  <si>
    <t>Wed, 01 Nov 2023 00:00:00 GMT</t>
  </si>
  <si>
    <t>Tue, 31 Oct 2023 00:00:00 GMT</t>
  </si>
  <si>
    <t>Mon, 30 Oct 2023 00:00:00 GMT</t>
  </si>
  <si>
    <t>Fri, 27 Oct 2023 00:00:00 GMT</t>
  </si>
  <si>
    <t>Thu, 26 Oct 2023 00:00:00 GMT</t>
  </si>
  <si>
    <t>Wed, 25 Oct 2023 00:00:00 GMT</t>
  </si>
  <si>
    <t>Tue, 24 Oct 2023 00:00:00 GMT</t>
  </si>
  <si>
    <t>Mon, 23 Oct 2023 00:00:00 GMT</t>
  </si>
  <si>
    <t>Fri, 20 Oct 2023 00:00:00 GMT</t>
  </si>
  <si>
    <t>Thu, 19 Oct 2023 00:00:00 GMT</t>
  </si>
  <si>
    <t>Wed, 18 Oct 2023 00:00:00 GMT</t>
  </si>
  <si>
    <t>Tue, 17 Oct 2023 00:00:00 GMT</t>
  </si>
  <si>
    <t>Mon, 16 Oct 2023 00:00:00 GMT</t>
  </si>
  <si>
    <t>Fri, 13 Oct 2023 00:00:00 GMT</t>
  </si>
  <si>
    <t>Thu, 12 Oct 2023 00:00:00 GMT</t>
  </si>
  <si>
    <t>Wed, 11 Oct 2023 00:00:00 GMT</t>
  </si>
  <si>
    <t>Tue, 10 Oct 2023 00:00:00 GMT</t>
  </si>
  <si>
    <t>Mon, 09 Oct 2023 00:00:00 GMT</t>
  </si>
  <si>
    <t>Fri, 06 Oct 2023 00:00:00 GMT</t>
  </si>
  <si>
    <t>Thu, 05 Oct 2023 00:00:00 GMT</t>
  </si>
  <si>
    <t>Wed, 04 Oct 2023 00:00:00 GMT</t>
  </si>
  <si>
    <t>Tue, 03 Oct 2023 00:00:00 GMT</t>
  </si>
  <si>
    <t>Mon, 02 Oct 2023 00:00:00 GMT</t>
  </si>
  <si>
    <t>Fri, 29 Sep 2023 00:00:00 GMT</t>
  </si>
  <si>
    <t>Thu, 28 Sep 2023 00:00:00 GMT</t>
  </si>
  <si>
    <t>Wed, 27 Sep 2023 00:00:00 GMT</t>
  </si>
  <si>
    <t>Tue, 26 Sep 2023 00:00:00 GMT</t>
  </si>
  <si>
    <t>Mon, 25 Sep 2023 00:00:00 GMT</t>
  </si>
  <si>
    <t>Fri, 22 Sep 2023 00:00:00 GMT</t>
  </si>
  <si>
    <t>Thu, 21 Sep 2023 00:00:00 GMT</t>
  </si>
  <si>
    <t>Wed, 20 Sep 2023 00:00:00 GMT</t>
  </si>
  <si>
    <t>Tue, 19 Sep 2023 00:00:00 GMT</t>
  </si>
  <si>
    <t>Mon, 18 Sep 2023 00:00:00 GMT</t>
  </si>
  <si>
    <t>Fri, 15 Sep 2023 00:00:00 GMT</t>
  </si>
  <si>
    <t>Thu, 14 Sep 2023 00:00:00 GMT</t>
  </si>
  <si>
    <t>Wed, 13 Sep 2023 00:00:00 GMT</t>
  </si>
  <si>
    <t>Tue, 12 Sep 2023 00:00:00 GMT</t>
  </si>
  <si>
    <t>Mon, 11 Sep 2023 00:00:00 GMT</t>
  </si>
  <si>
    <t>Fri, 08 Sep 2023 00:00:00 GMT</t>
  </si>
  <si>
    <t>Thu, 07 Sep 2023 00:00:00 GMT</t>
  </si>
  <si>
    <t>Wed, 06 Sep 2023 00:00:00 GMT</t>
  </si>
  <si>
    <t>Tue, 05 Sep 2023 00:00:00 GMT</t>
  </si>
  <si>
    <t>Fri, 01 Sep 2023 00:00:00 GMT</t>
  </si>
  <si>
    <t>Thu, 31 Aug 2023 00:00:00 GMT</t>
  </si>
  <si>
    <t>Wed, 30 Aug 2023 00:00:00 GMT</t>
  </si>
  <si>
    <t>Tue, 29 Aug 2023 00:00:00 GMT</t>
  </si>
  <si>
    <t>Mon, 28 Aug 2023 00:00:00 GMT</t>
  </si>
  <si>
    <t>Fri, 25 Aug 2023 00:00:00 GMT</t>
  </si>
  <si>
    <t>Thu, 24 Aug 2023 00:00:00 GMT</t>
  </si>
  <si>
    <t>Wed, 23 Aug 2023 00:00:00 GMT</t>
  </si>
  <si>
    <t>Tue, 22 Aug 2023 00:00:00 GMT</t>
  </si>
  <si>
    <t>Mon, 21 Aug 2023 00:00:00 GMT</t>
  </si>
  <si>
    <t>Fri, 18 Aug 2023 00:00:00 GMT</t>
  </si>
  <si>
    <t>Thu, 17 Aug 2023 00:00:00 GMT</t>
  </si>
  <si>
    <t>Wed, 16 Aug 2023 00:00:00 GMT</t>
  </si>
  <si>
    <t>Tue, 15 Aug 2023 00:00:00 GMT</t>
  </si>
  <si>
    <t>Mon, 14 Aug 2023 00:00:00 GMT</t>
  </si>
  <si>
    <t>Fri, 11 Aug 2023 00:00:00 GMT</t>
  </si>
  <si>
    <t>Thu, 10 Aug 2023 00:00:00 GMT</t>
  </si>
  <si>
    <t>Wed, 09 Aug 2023 00:00:00 GMT</t>
  </si>
  <si>
    <t>Tue, 08 Aug 2023 00:00:00 GMT</t>
  </si>
  <si>
    <t>Mon, 07 Aug 2023 00:00:00 GMT</t>
  </si>
  <si>
    <t>Fri, 04 Aug 2023 00:00:00 GMT</t>
  </si>
  <si>
    <t>Thu, 03 Aug 2023 00:00:00 GMT</t>
  </si>
  <si>
    <t>Wed, 02 Aug 2023 00:00:00 GMT</t>
  </si>
  <si>
    <t>Tue, 01 Aug 2023 00:00:00 GMT</t>
  </si>
  <si>
    <t>Mon, 31 Jul 2023 00:00:00 GMT</t>
  </si>
  <si>
    <t>Fri, 28 Jul 2023 00:00:00 GMT</t>
  </si>
  <si>
    <t>Thu, 27 Jul 2023 00:00:00 GMT</t>
  </si>
  <si>
    <t>Wed, 26 Jul 2023 00:00:00 GMT</t>
  </si>
  <si>
    <t>Tue, 25 Jul 2023 00:00:00 GMT</t>
  </si>
  <si>
    <t>Mon, 24 Jul 2023 00:00:00 GMT</t>
  </si>
  <si>
    <t>Fri, 21 Jul 2023 00:00:00 GMT</t>
  </si>
  <si>
    <t>Thu, 20 Jul 2023 00:00:00 GMT</t>
  </si>
  <si>
    <t>Wed, 19 Jul 2023 00:00:00 GMT</t>
  </si>
  <si>
    <t>Tue, 18 Jul 2023 00:00:00 GMT</t>
  </si>
  <si>
    <t>Mon, 17 Jul 2023 00:00:00 GMT</t>
  </si>
  <si>
    <t>Fri, 14 Jul 2023 00:00:00 GMT</t>
  </si>
  <si>
    <t>Thu, 13 Jul 2023 00:00:00 GMT</t>
  </si>
  <si>
    <t>Wed, 12 Jul 2023 00:00:00 GMT</t>
  </si>
  <si>
    <t>Tue, 11 Jul 2023 00:00:00 GMT</t>
  </si>
  <si>
    <t>Mon, 10 Jul 2023 00:00:00 GMT</t>
  </si>
  <si>
    <t>Fri, 07 Jul 2023 00:00:00 GMT</t>
  </si>
  <si>
    <t>Thu, 06 Jul 2023 00:00:00 GMT</t>
  </si>
  <si>
    <t>Wed, 05 Jul 2023 00:00:00 GMT</t>
  </si>
  <si>
    <t>Mon, 03 Jul 2023 00:00:00 GMT</t>
  </si>
  <si>
    <t>Fri, 30 Jun 2023 00:00:00 GMT</t>
  </si>
  <si>
    <t>Thu, 29 Jun 2023 00:00:00 GMT</t>
  </si>
  <si>
    <t>Wed, 28 Jun 2023 00:00:00 GMT</t>
  </si>
  <si>
    <t>Tue, 27 Jun 2023 00:00:00 GMT</t>
  </si>
  <si>
    <t>Mon, 26 Jun 2023 00:00:00 GMT</t>
  </si>
  <si>
    <t>Fri, 23 Jun 2023 00:00:00 GMT</t>
  </si>
  <si>
    <t>Thu, 22 Jun 2023 00:00:00 GMT</t>
  </si>
  <si>
    <t>Wed, 21 Jun 2023 00:00:00 GMT</t>
  </si>
  <si>
    <t>Tue, 20 Jun 2023 00:00:00 GMT</t>
  </si>
  <si>
    <t>Fri, 16 Jun 2023 00:00:00 GMT</t>
  </si>
  <si>
    <t>Thu, 15 Jun 2023 00:00:00 GMT</t>
  </si>
  <si>
    <t>Wed, 14 Jun 2023 00:00:00 GMT</t>
  </si>
  <si>
    <t>Tue, 13 Jun 2023 00:00:00 GMT</t>
  </si>
  <si>
    <t>Mon, 12 Jun 2023 00:00:00 GMT</t>
  </si>
  <si>
    <t>Fri, 09 Jun 2023 00:00:00 GMT</t>
  </si>
  <si>
    <t>Thu, 08 Jun 2023 00:00:00 GMT</t>
  </si>
  <si>
    <t>Wed, 07 Jun 2023 00:00:00 GMT</t>
  </si>
  <si>
    <t>Tue, 06 Jun 2023 00:00:00 GMT</t>
  </si>
  <si>
    <t>Mon, 05 Jun 2023 00:00:00 GMT</t>
  </si>
  <si>
    <t>Fri, 02 Jun 2023 00:00:00 GMT</t>
  </si>
  <si>
    <t>Thu, 01 Jun 2023 00:00:00 GMT</t>
  </si>
  <si>
    <t>Wed, 31 May 2023 00:00:00 GMT</t>
  </si>
  <si>
    <t>Tue, 30 May 2023 00:00:00 GMT</t>
  </si>
  <si>
    <t>Fri, 26 May 2023 00:00:00 GMT</t>
  </si>
  <si>
    <t>Thu, 25 May 2023 00:00:00 GMT</t>
  </si>
  <si>
    <t>Wed, 24 May 2023 00:00:00 GMT</t>
  </si>
  <si>
    <t>Tue, 23 May 2023 00:00:00 GMT</t>
  </si>
  <si>
    <t>Mon, 22 May 2023 00:00:00 GMT</t>
  </si>
  <si>
    <t>Fri, 19 May 2023 00:00:00 GMT</t>
  </si>
  <si>
    <t>Thu, 18 May 2023 00:00:00 GMT</t>
  </si>
  <si>
    <t>Wed, 17 May 2023 00:00:00 GMT</t>
  </si>
  <si>
    <t>Tue, 16 May 2023 00:00:00 GMT</t>
  </si>
  <si>
    <t>Mon, 15 May 2023 00:00:00 GMT</t>
  </si>
  <si>
    <t>Fri, 12 May 2023 00:00:00 GMT</t>
  </si>
  <si>
    <t>Thu, 11 May 2023 00:00:00 GMT</t>
  </si>
  <si>
    <t>Wed, 10 May 2023 00:00:00 GMT</t>
  </si>
  <si>
    <t>Tue, 09 May 2023 00:00:00 GMT</t>
  </si>
  <si>
    <t>Mon, 08 May 2023 00:00:00 GMT</t>
  </si>
  <si>
    <t>Fri, 05 May 2023 00:00:00 GMT</t>
  </si>
  <si>
    <t>Thu, 04 May 2023 00:00:00 GMT</t>
  </si>
  <si>
    <t>Wed, 03 May 2023 00:00:00 GMT</t>
  </si>
  <si>
    <t>Tue, 02 May 2023 00:00:00 GMT</t>
  </si>
  <si>
    <t>Mon, 01 May 2023 00:00:00 GMT</t>
  </si>
  <si>
    <t>Fri, 28 Apr 2023 00:00:00 GMT</t>
  </si>
  <si>
    <t>Thu, 27 Apr 2023 00:00:00 GMT</t>
  </si>
  <si>
    <t>Wed, 26 Apr 2023 00:00:00 GMT</t>
  </si>
  <si>
    <t>Tue, 25 Apr 2023 00:00:00 GMT</t>
  </si>
  <si>
    <t>Mon, 24 Apr 2023 00:00:00 GMT</t>
  </si>
  <si>
    <t>Fri, 21 Apr 2023 00:00:00 GMT</t>
  </si>
  <si>
    <t>Thu, 20 Apr 2023 00:00:00 GMT</t>
  </si>
  <si>
    <t>Wed, 19 Apr 2023 00:00:00 GMT</t>
  </si>
  <si>
    <t>Tue, 18 Apr 2023 00:00:00 GMT</t>
  </si>
  <si>
    <t>Mon, 17 Apr 2023 00:00:00 GMT</t>
  </si>
  <si>
    <t>Fri, 14 Apr 2023 00:00:00 GMT</t>
  </si>
  <si>
    <t>Thu, 13 Apr 2023 00:00:00 GMT</t>
  </si>
  <si>
    <t>Wed, 12 Apr 2023 00:00:00 GMT</t>
  </si>
  <si>
    <t>Tue, 11 Apr 2023 00:00:00 GMT</t>
  </si>
  <si>
    <t>Mon, 10 Apr 2023 00:00:00 GMT</t>
  </si>
  <si>
    <t>Thu, 06 Apr 2023 00:00:00 GMT</t>
  </si>
  <si>
    <t>Wed, 05 Apr 2023 00:00:00 GMT</t>
  </si>
  <si>
    <t>Tue, 04 Apr 2023 00:00:00 GMT</t>
  </si>
  <si>
    <t>Mon, 03 Apr 2023 00:00:00 GMT</t>
  </si>
  <si>
    <t>Fri, 31 Mar 2023 00:00:00 GMT</t>
  </si>
  <si>
    <t>Thu, 30 Mar 2023 00:00:00 GMT</t>
  </si>
  <si>
    <t>Wed, 29 Mar 2023 00:00:00 GMT</t>
  </si>
  <si>
    <t>Tue, 28 Mar 2023 00:00:00 GMT</t>
  </si>
  <si>
    <t>Mon, 27 Mar 2023 00:00:00 GMT</t>
  </si>
  <si>
    <t>Fri, 24 Mar 2023 00:00:00 GMT</t>
  </si>
  <si>
    <t>Thu, 23 Mar 2023 00:00:00 GMT</t>
  </si>
  <si>
    <t>Wed, 22 Mar 2023 00:00:00 GMT</t>
  </si>
  <si>
    <t>Tue, 21 Mar 2023 00:00:00 GMT</t>
  </si>
  <si>
    <t>Mon, 20 Mar 2023 00:00:00 GMT</t>
  </si>
  <si>
    <t>Fri, 17 Mar 2023 00:00:00 GMT</t>
  </si>
  <si>
    <t>Thu, 16 Mar 2023 00:00:00 GMT</t>
  </si>
  <si>
    <t>Wed, 15 Mar 2023 00:00:00 GMT</t>
  </si>
  <si>
    <t>Tue, 14 Mar 2023 00:00:00 GMT</t>
  </si>
  <si>
    <t>Mon, 13 Mar 2023 00:00:00 GMT</t>
  </si>
  <si>
    <t>Fri, 10 Mar 2023 00:00:00 GMT</t>
  </si>
  <si>
    <t>Thu, 09 Mar 2023 00:00:00 GMT</t>
  </si>
  <si>
    <t>Wed, 08 Mar 2023 00:00:00 GMT</t>
  </si>
  <si>
    <t>Tue, 07 Mar 2023 00:00:00 GMT</t>
  </si>
  <si>
    <t>Mon, 06 Mar 2023 00:00:00 GMT</t>
  </si>
  <si>
    <t>Fri, 03 Mar 2023 00:00:00 GMT</t>
  </si>
  <si>
    <t>Thu, 02 Mar 2023 00:00:00 GMT</t>
  </si>
  <si>
    <t>Wed, 01 Mar 2023 00:00:00 GMT</t>
  </si>
  <si>
    <t>Tue, 28 Feb 2023 00:00:00 GMT</t>
  </si>
  <si>
    <t>Mon, 27 Feb 2023 00:00:00 GMT</t>
  </si>
  <si>
    <t>Fri, 24 Feb 2023 00:00:00 GMT</t>
  </si>
  <si>
    <t>Thu, 23 Feb 2023 00:00:00 GMT</t>
  </si>
  <si>
    <t>Wed, 22 Feb 2023 00:00:00 GMT</t>
  </si>
  <si>
    <t>Tue, 21 Feb 2023 00:00:00 GMT</t>
  </si>
  <si>
    <t>Fri, 17 Feb 2023 00:00:00 GMT</t>
  </si>
  <si>
    <t>Thu, 16 Feb 2023 00:00:00 GMT</t>
  </si>
  <si>
    <t>Wed, 15 Feb 2023 00:00:00 GMT</t>
  </si>
  <si>
    <t>Tue, 14 Feb 2023 00:00:00 GMT</t>
  </si>
  <si>
    <t>Mon, 13 Feb 2023 00:00:00 GMT</t>
  </si>
  <si>
    <t>Fri, 10 Feb 2023 00:00:00 GMT</t>
  </si>
  <si>
    <t>Thu, 09 Feb 2023 00:00:00 GMT</t>
  </si>
  <si>
    <t>Wed, 08 Feb 2023 00:00:00 GMT</t>
  </si>
  <si>
    <t>Tue, 07 Feb 2023 00:00:00 GMT</t>
  </si>
  <si>
    <t>Mon, 06 Feb 2023 00:00:00 GMT</t>
  </si>
  <si>
    <t>Fri, 03 Feb 2023 00:00:00 GMT</t>
  </si>
  <si>
    <t>Thu, 02 Feb 2023 00:00:00 GMT</t>
  </si>
  <si>
    <t>Wed, 01 Feb 2023 00:00:00 GMT</t>
  </si>
  <si>
    <t>Tue, 31 Jan 2023 00:00:00 GMT</t>
  </si>
  <si>
    <t>Mon, 30 Jan 2023 00:00:00 GMT</t>
  </si>
  <si>
    <t>Fri, 27 Jan 2023 00:00:00 GMT</t>
  </si>
  <si>
    <t>Thu, 26 Jan 2023 00:00:00 GMT</t>
  </si>
  <si>
    <t>Wed, 25 Jan 2023 00:00:00 GMT</t>
  </si>
  <si>
    <t>Tue, 24 Jan 2023 00:00:00 GMT</t>
  </si>
  <si>
    <t>Mon, 23 Jan 2023 00:00:00 GMT</t>
  </si>
  <si>
    <t>Fri, 20 Jan 2023 00:00:00 GMT</t>
  </si>
  <si>
    <t>Thu, 19 Jan 2023 00:00:00 GMT</t>
  </si>
  <si>
    <t>Wed, 18 Jan 2023 00:00:00 GMT</t>
  </si>
  <si>
    <t>Tue, 17 Jan 2023 00:00:00 GMT</t>
  </si>
  <si>
    <t>Fri, 13 Jan 2023 00:00:00 GMT</t>
  </si>
  <si>
    <t>Thu, 12 Jan 2023 00:00:00 GMT</t>
  </si>
  <si>
    <t>Wed, 11 Jan 2023 00:00:00 GMT</t>
  </si>
  <si>
    <t>Tue, 10 Jan 2023 00:00:00 GMT</t>
  </si>
  <si>
    <t>Mon, 09 Jan 2023 00:00:00 GMT</t>
  </si>
  <si>
    <t>Fri, 06 Jan 2023 00:00:00 GMT</t>
  </si>
  <si>
    <t>Thu, 05 Jan 2023 00:00:00 GMT</t>
  </si>
  <si>
    <t>Wed, 04 Jan 2023 00:00:00 GMT</t>
  </si>
  <si>
    <t>Tue, 03 Jan 2023 00:00:00 GMT</t>
  </si>
  <si>
    <t>Fri, 30 Dec 2022 00:00:00 GMT</t>
  </si>
  <si>
    <t>Thu, 29 Dec 2022 00:00:00 GMT</t>
  </si>
  <si>
    <t>Wed, 28 Dec 2022 00:00:00 GMT</t>
  </si>
  <si>
    <t>Tue, 27 Dec 2022 00:00:00 GMT</t>
  </si>
  <si>
    <t>Fri, 23 Dec 2022 00:00:00 GMT</t>
  </si>
  <si>
    <t>Thu, 22 Dec 2022 00:00:00 GMT</t>
  </si>
  <si>
    <t>Wed, 21 Dec 2022 00:00:00 GMT</t>
  </si>
  <si>
    <t>Tue, 20 Dec 2022 00:00:00 GMT</t>
  </si>
  <si>
    <t>Mon, 19 Dec 2022 00:00:00 GMT</t>
  </si>
  <si>
    <t>Fri, 16 Dec 2022 00:00:00 GMT</t>
  </si>
  <si>
    <t>Thu, 15 Dec 2022 00:00:00 GMT</t>
  </si>
  <si>
    <t>Wed, 14 Dec 2022 00:00:00 GMT</t>
  </si>
  <si>
    <t>Tue, 13 Dec 2022 00:00:00 GMT</t>
  </si>
  <si>
    <t>Mon, 12 Dec 2022 00:00:00 GMT</t>
  </si>
  <si>
    <t>Fri, 09 Dec 2022 00:00:00 GMT</t>
  </si>
  <si>
    <t>Thu, 08 Dec 2022 00:00:00 GMT</t>
  </si>
  <si>
    <t>Wed, 07 Dec 2022 00:00:00 GMT</t>
  </si>
  <si>
    <t>Tue, 06 Dec 2022 00:00:00 GMT</t>
  </si>
  <si>
    <t>Mon, 05 Dec 2022 00:00:00 GMT</t>
  </si>
  <si>
    <t>Fri, 02 Dec 2022 00:00:00 GMT</t>
  </si>
  <si>
    <t>Thu, 01 Dec 2022 00:00:00 GMT</t>
  </si>
  <si>
    <t>Wed, 30 Nov 2022 00:00:00 GMT</t>
  </si>
  <si>
    <t>Tue, 29 Nov 2022 00:00:00 GMT</t>
  </si>
  <si>
    <t>Mon, 28 Nov 2022 00:00:00 GMT</t>
  </si>
  <si>
    <t>Fri, 25 Nov 2022 00:00:00 GMT</t>
  </si>
  <si>
    <t>Wed, 23 Nov 2022 00:00:00 GMT</t>
  </si>
  <si>
    <t>Tue, 22 Nov 2022 00:00:00 GMT</t>
  </si>
  <si>
    <t>Mon, 21 Nov 2022 00:00:00 GMT</t>
  </si>
  <si>
    <t>Fri, 18 Nov 2022 00:00:00 GMT</t>
  </si>
  <si>
    <t>Thu, 17 Nov 2022 00:00:00 GMT</t>
  </si>
  <si>
    <t>Wed, 16 Nov 2022 00:00:00 GMT</t>
  </si>
  <si>
    <t>Tue, 15 Nov 2022 00:00:00 GMT</t>
  </si>
  <si>
    <t>Mon, 14 Nov 2022 00:00:00 GMT</t>
  </si>
  <si>
    <t>Fri, 11 Nov 2022 00:00:00 GMT</t>
  </si>
  <si>
    <t>Thu, 10 Nov 2022 00:00:00 GMT</t>
  </si>
  <si>
    <t>Wed, 09 Nov 2022 00:00:00 GMT</t>
  </si>
  <si>
    <t>Tue, 08 Nov 2022 00:00:00 GMT</t>
  </si>
  <si>
    <t>Mon, 07 Nov 2022 00:00:00 GMT</t>
  </si>
  <si>
    <t>Fri, 04 Nov 2022 00:00:00 GMT</t>
  </si>
  <si>
    <t>Thu, 03 Nov 2022 00:00:00 GMT</t>
  </si>
  <si>
    <t>Wed, 02 Nov 2022 00:00:00 GMT</t>
  </si>
  <si>
    <t>Tue, 01 Nov 2022 00:00:00 GMT</t>
  </si>
  <si>
    <t>Mon, 31 Oct 2022 00:00:00 GMT</t>
  </si>
  <si>
    <t>Fri, 28 Oct 2022 00:00:00 GMT</t>
  </si>
  <si>
    <t>Thu, 27 Oct 2022 00:00:00 GMT</t>
  </si>
  <si>
    <t>Wed, 26 Oct 2022 00:00:00 GMT</t>
  </si>
  <si>
    <t>Tue, 25 Oct 2022 00:00:00 GMT</t>
  </si>
  <si>
    <t>Mon, 24 Oct 2022 00:00:00 GMT</t>
  </si>
  <si>
    <t>Fri, 21 Oct 2022 00:00:00 GMT</t>
  </si>
  <si>
    <t>Thu, 20 Oct 2022 00:00:00 GMT</t>
  </si>
  <si>
    <t>Wed, 19 Oct 2022 00:00:00 GMT</t>
  </si>
  <si>
    <t>Tue, 18 Oct 2022 00:00:00 GMT</t>
  </si>
  <si>
    <t>Mon, 17 Oct 2022 00:00:00 GMT</t>
  </si>
  <si>
    <t>Fri, 14 Oct 2022 00:00:00 GMT</t>
  </si>
  <si>
    <t>Thu, 13 Oct 2022 00:00:00 GMT</t>
  </si>
  <si>
    <t>Wed, 12 Oct 2022 00:00:00 GMT</t>
  </si>
  <si>
    <t>Tue, 11 Oct 2022 00:00:00 GMT</t>
  </si>
  <si>
    <t>Mon, 10 Oct 2022 00:00:00 GMT</t>
  </si>
  <si>
    <t>Fri, 07 Oct 2022 00:00:00 GMT</t>
  </si>
  <si>
    <t>Thu, 06 Oct 2022 00:00:00 GMT</t>
  </si>
  <si>
    <t>Wed, 05 Oct 2022 00:00:00 GMT</t>
  </si>
  <si>
    <t>Tue, 04 Oct 2022 00:00:00 GMT</t>
  </si>
  <si>
    <t>Mon, 03 Oct 2022 00:00:00 GMT</t>
  </si>
  <si>
    <t>Fri, 30 Sep 2022 00:00:00 GMT</t>
  </si>
  <si>
    <t>Thu, 29 Sep 2022 00:00:00 GMT</t>
  </si>
  <si>
    <t>Wed, 28 Sep 2022 00:00:00 GMT</t>
  </si>
  <si>
    <t>Tue, 27 Sep 2022 00:00:00 GMT</t>
  </si>
  <si>
    <t>Mon, 26 Sep 2022 00:00:00 GMT</t>
  </si>
  <si>
    <t>Fri, 23 Sep 2022 00:00:00 GMT</t>
  </si>
  <si>
    <t>Thu, 22 Sep 2022 00:00:00 GMT</t>
  </si>
  <si>
    <t>Wed, 21 Sep 2022 00:00:00 GMT</t>
  </si>
  <si>
    <t>Tue, 20 Sep 2022 00:00:00 GMT</t>
  </si>
  <si>
    <t>Mon, 19 Sep 2022 00:00:00 GMT</t>
  </si>
  <si>
    <t>Fri, 16 Sep 2022 00:00:00 GMT</t>
  </si>
  <si>
    <t>Thu, 15 Sep 2022 00:00:00 GMT</t>
  </si>
  <si>
    <t>Wed, 14 Sep 2022 00:00:00 GMT</t>
  </si>
  <si>
    <t>Tue, 13 Sep 2022 00:00:00 GMT</t>
  </si>
  <si>
    <t>Mon, 12 Sep 2022 00:00:00 GMT</t>
  </si>
  <si>
    <t>Fri, 09 Sep 2022 00:00:00 GMT</t>
  </si>
  <si>
    <t>Thu, 08 Sep 2022 00:00:00 GMT</t>
  </si>
  <si>
    <t>Wed, 07 Sep 2022 00:00:00 GMT</t>
  </si>
  <si>
    <t>Tue, 06 Sep 2022 00:00:00 GMT</t>
  </si>
  <si>
    <t>Fri, 02 Sep 2022 00:00:00 GMT</t>
  </si>
  <si>
    <t>Thu, 01 Sep 2022 00:00:00 GMT</t>
  </si>
  <si>
    <t>Wed, 31 Aug 2022 00:00:00 GMT</t>
  </si>
  <si>
    <t>Tue, 30 Aug 2022 00:00:00 GMT</t>
  </si>
  <si>
    <t>Mon, 29 Aug 2022 00:00:00 GMT</t>
  </si>
  <si>
    <t>Fri, 26 Aug 2022 00:00:00 GMT</t>
  </si>
  <si>
    <t>Thu, 25 Aug 2022 00:00:00 GMT</t>
  </si>
  <si>
    <t>Wed, 24 Aug 2022 00:00:00 GMT</t>
  </si>
  <si>
    <t>Tue, 23 Aug 2022 00:00:00 GMT</t>
  </si>
  <si>
    <t>Mon, 22 Aug 2022 00:00:00 GMT</t>
  </si>
  <si>
    <t>Fri, 19 Aug 2022 00:00:00 GMT</t>
  </si>
  <si>
    <t>Thu, 18 Aug 2022 00:00:00 GMT</t>
  </si>
  <si>
    <t>Wed, 17 Aug 2022 00:00:00 GMT</t>
  </si>
  <si>
    <t>Tue, 16 Aug 2022 00:00:00 GMT</t>
  </si>
  <si>
    <t>Mon, 15 Aug 2022 00:00:00 GMT</t>
  </si>
  <si>
    <t>Fri, 12 Aug 2022 00:00:00 GMT</t>
  </si>
  <si>
    <t>Thu, 11 Aug 2022 00:00:00 GMT</t>
  </si>
  <si>
    <t>Wed, 10 Aug 2022 00:00:00 GMT</t>
  </si>
  <si>
    <t>Tue, 09 Aug 2022 00:00:00 GMT</t>
  </si>
  <si>
    <t>Mon, 08 Aug 2022 00:00:00 GMT</t>
  </si>
  <si>
    <t>Fri, 05 Aug 2022 00:00:00 GMT</t>
  </si>
  <si>
    <t>Thu, 04 Aug 2022 00:00:00 GMT</t>
  </si>
  <si>
    <t>Wed, 03 Aug 2022 00:00:00 GMT</t>
  </si>
  <si>
    <t>Tue, 02 Aug 2022 00:00:00 GMT</t>
  </si>
  <si>
    <t>Mon, 01 Aug 2022 00:00:00 GMT</t>
  </si>
  <si>
    <t>Fri, 29 Jul 2022 00:00:00 GMT</t>
  </si>
  <si>
    <t>Thu, 28 Jul 2022 00:00:00 GMT</t>
  </si>
  <si>
    <t>Wed, 27 Jul 2022 00:00:00 GMT</t>
  </si>
  <si>
    <t>Tue, 26 Jul 2022 00:00:00 GMT</t>
  </si>
  <si>
    <t>Mon, 25 Jul 2022 00:00:00 GMT</t>
  </si>
  <si>
    <t>Fri, 22 Jul 2022 00:00:00 GMT</t>
  </si>
  <si>
    <t>Thu, 21 Jul 2022 00:00:00 GMT</t>
  </si>
  <si>
    <t>Wed, 20 Jul 2022 00:00:00 GMT</t>
  </si>
  <si>
    <t>Tue, 19 Jul 2022 00:00:00 GMT</t>
  </si>
  <si>
    <t>Mon, 18 Jul 2022 00:00:00 GMT</t>
  </si>
  <si>
    <t>Fri, 15 Jul 2022 00:00:00 GMT</t>
  </si>
  <si>
    <t>Thu, 14 Jul 2022 00:00:00 GMT</t>
  </si>
  <si>
    <t>Wed, 13 Jul 2022 00:00:00 GMT</t>
  </si>
  <si>
    <t>Tue, 12 Jul 2022 00:00:00 GMT</t>
  </si>
  <si>
    <t>Mon, 11 Jul 2022 00:00:00 GMT</t>
  </si>
  <si>
    <t>Fri, 08 Jul 2022 00:00:00 GMT</t>
  </si>
  <si>
    <t>Thu, 07 Jul 2022 00:00:00 GMT</t>
  </si>
  <si>
    <t>Wed, 06 Jul 2022 00:00:00 GMT</t>
  </si>
  <si>
    <t>Tue, 05 Jul 2022 00:00:00 GMT</t>
  </si>
  <si>
    <t>Fri, 01 Jul 2022 00:00:00 GMT</t>
  </si>
  <si>
    <t>Thu, 30 Jun 2022 00:00:00 GMT</t>
  </si>
  <si>
    <t>Wed, 29 Jun 2022 00:00:00 GMT</t>
  </si>
  <si>
    <t>Tue, 28 Jun 2022 00:00:00 GMT</t>
  </si>
  <si>
    <t>Mon, 27 Jun 2022 00:00:00 GMT</t>
  </si>
  <si>
    <t>Fri, 24 Jun 2022 00:00:00 GMT</t>
  </si>
  <si>
    <t>Thu, 23 Jun 2022 00:00:00 GMT</t>
  </si>
  <si>
    <t>Wed, 22 Jun 2022 00:00:00 GMT</t>
  </si>
  <si>
    <t>Tue, 21 Jun 2022 00:00:00 GMT</t>
  </si>
  <si>
    <t>Fri, 17 Jun 2022 00:00:00 GMT</t>
  </si>
  <si>
    <t>Thu, 16 Jun 2022 00:00:00 GMT</t>
  </si>
  <si>
    <t>Wed, 15 Jun 2022 00:00:00 GMT</t>
  </si>
  <si>
    <t>Tue, 14 Jun 2022 00:00:00 GMT</t>
  </si>
  <si>
    <t>Mon, 13 Jun 2022 00:00:00 GMT</t>
  </si>
  <si>
    <t>Fri, 10 Jun 2022 00:00:00 GMT</t>
  </si>
  <si>
    <t>Thu, 09 Jun 2022 00:00:00 GMT</t>
  </si>
  <si>
    <t>Wed, 08 Jun 2022 00:00:00 GMT</t>
  </si>
  <si>
    <t>Tue, 07 Jun 2022 00:00:00 GMT</t>
  </si>
  <si>
    <t>Mon, 06 Jun 2022 00:00:00 GMT</t>
  </si>
  <si>
    <t>Fri, 03 Jun 2022 00:00:00 GMT</t>
  </si>
  <si>
    <t>Thu, 02 Jun 2022 00:00:00 GMT</t>
  </si>
  <si>
    <t>Wed, 01 Jun 2022 00:00:00 GMT</t>
  </si>
  <si>
    <t>Tue, 31 May 2022 00:00:00 GMT</t>
  </si>
  <si>
    <t>Fri, 27 May 2022 00:00:00 GMT</t>
  </si>
  <si>
    <t>Thu, 26 May 2022 00:00:00 GMT</t>
  </si>
  <si>
    <t>Wed, 25 May 2022 00:00:00 GMT</t>
  </si>
  <si>
    <t>Tue, 24 May 2022 00:00:00 GMT</t>
  </si>
  <si>
    <t>Mon, 23 May 2022 00:00:00 GMT</t>
  </si>
  <si>
    <t>Fri, 20 May 2022 00:00:00 GMT</t>
  </si>
  <si>
    <t>Thu, 19 May 2022 00:00:00 GMT</t>
  </si>
  <si>
    <t>Wed, 18 May 2022 00:00:00 GMT</t>
  </si>
  <si>
    <t>Tue, 17 May 2022 00:00:00 GMT</t>
  </si>
  <si>
    <t>Mon, 16 May 2022 00:00:00 GMT</t>
  </si>
  <si>
    <t>Fri, 13 May 2022 00:00:00 GMT</t>
  </si>
  <si>
    <t>Thu, 12 May 2022 00:00:00 GMT</t>
  </si>
  <si>
    <t>Wed, 11 May 2022 00:00:00 GMT</t>
  </si>
  <si>
    <t>Tue, 10 May 2022 00:00:00 GMT</t>
  </si>
  <si>
    <t>Mon, 09 May 2022 00:00:00 GMT</t>
  </si>
  <si>
    <t>Fri, 06 May 2022 00:00:00 GMT</t>
  </si>
  <si>
    <t>Thu, 05 May 2022 00:00:00 GMT</t>
  </si>
  <si>
    <t>Wed, 04 May 2022 00:00:00 GMT</t>
  </si>
  <si>
    <t>Tue, 03 May 2022 00:00:00 GMT</t>
  </si>
  <si>
    <t>Mon, 02 May 2022 00:00:00 GMT</t>
  </si>
  <si>
    <t>Fri, 29 Apr 2022 00:00:00 GMT</t>
  </si>
  <si>
    <t>Thu, 28 Apr 2022 00:00:00 GMT</t>
  </si>
  <si>
    <t>Wed, 27 Apr 2022 00:00:00 GMT</t>
  </si>
  <si>
    <t>Tue, 26 Apr 2022 00:00:00 GMT</t>
  </si>
  <si>
    <t>Mon, 25 Apr 2022 00:00:00 GMT</t>
  </si>
  <si>
    <t>Fri, 22 Apr 2022 00:00:00 GMT</t>
  </si>
  <si>
    <t>Thu, 21 Apr 2022 00:00:00 GMT</t>
  </si>
  <si>
    <t>Wed, 20 Apr 2022 00:00:00 GMT</t>
  </si>
  <si>
    <t>Tue, 19 Apr 2022 00:00:00 GMT</t>
  </si>
  <si>
    <t>Mon, 18 Apr 2022 00:00:00 GMT</t>
  </si>
  <si>
    <t>Thu, 14 Apr 2022 00:00:00 GMT</t>
  </si>
  <si>
    <t>Wed, 13 Apr 2022 00:00:00 GMT</t>
  </si>
  <si>
    <t>Tue, 12 Apr 2022 00:00:00 GMT</t>
  </si>
  <si>
    <t>Mon, 11 Apr 2022 00:00:00 GMT</t>
  </si>
  <si>
    <t>Fri, 08 Apr 2022 00:00:00 GMT</t>
  </si>
  <si>
    <t>Thu, 07 Apr 2022 00:00:00 GMT</t>
  </si>
  <si>
    <t>Wed, 06 Apr 2022 00:00:00 GMT</t>
  </si>
  <si>
    <t>Tue, 05 Apr 2022 00:00:00 GMT</t>
  </si>
  <si>
    <t>Mon, 04 Apr 2022 00:00:00 GMT</t>
  </si>
  <si>
    <t>Fri, 01 Apr 2022 00:00:00 GMT</t>
  </si>
  <si>
    <t>Thu, 31 Mar 2022 00:00:00 GMT</t>
  </si>
  <si>
    <t>Wed, 30 Mar 2022 00:00:00 GMT</t>
  </si>
  <si>
    <t>Tue, 29 Mar 2022 00:00:00 GMT</t>
  </si>
  <si>
    <t>Mon, 28 Mar 2022 00:00:00 GMT</t>
  </si>
  <si>
    <t>Fri, 25 Mar 2022 00:00:00 GMT</t>
  </si>
  <si>
    <t>Thu, 24 Mar 2022 00:00:00 GMT</t>
  </si>
  <si>
    <t>Wed, 23 Mar 2022 00:00:00 GMT</t>
  </si>
  <si>
    <t>Tue, 22 Mar 2022 00:00:00 GMT</t>
  </si>
  <si>
    <t>Mon, 21 Mar 2022 00:00:00 GMT</t>
  </si>
  <si>
    <t>Fri, 18 Mar 2022 00:00:00 GMT</t>
  </si>
  <si>
    <t>Thu, 17 Mar 2022 00:00:00 GMT</t>
  </si>
  <si>
    <t>Wed, 16 Mar 2022 00:00:00 GMT</t>
  </si>
  <si>
    <t>Tue, 15 Mar 2022 00:00:00 GMT</t>
  </si>
  <si>
    <t>Mon, 14 Mar 2022 00:00:00 GMT</t>
  </si>
  <si>
    <t>Fri, 11 Mar 2022 00:00:00 GMT</t>
  </si>
  <si>
    <t>Thu, 10 Mar 2022 00:00:00 GMT</t>
  </si>
  <si>
    <t>Wed, 09 Mar 2022 00:00:00 GMT</t>
  </si>
  <si>
    <t>Tue, 08 Mar 2022 00:00:00 GMT</t>
  </si>
  <si>
    <t>Mon, 07 Mar 2022 00:00:00 GMT</t>
  </si>
  <si>
    <t>Fri, 04 Mar 2022 00:00:00 GMT</t>
  </si>
  <si>
    <t>Thu, 03 Mar 2022 00:00:00 GMT</t>
  </si>
  <si>
    <t>Wed, 02 Mar 2022 00:00:00 GMT</t>
  </si>
  <si>
    <t>Tue, 01 Mar 2022 00:00:00 GMT</t>
  </si>
  <si>
    <t>Mon, 28 Feb 2022 00:00:00 GMT</t>
  </si>
  <si>
    <t>Fri, 25 Feb 2022 00:00:00 GMT</t>
  </si>
  <si>
    <t>Thu, 24 Feb 2022 00:00:00 GMT</t>
  </si>
  <si>
    <t>Wed, 23 Feb 2022 00:00:00 GMT</t>
  </si>
  <si>
    <t>Tue, 22 Feb 2022 00:00:00 GMT</t>
  </si>
  <si>
    <t>Fri, 18 Feb 2022 00:00:00 GMT</t>
  </si>
  <si>
    <t>Thu, 17 Feb 2022 00:00:00 GMT</t>
  </si>
  <si>
    <t>Wed, 16 Feb 2022 00:00:00 GMT</t>
  </si>
  <si>
    <t>Tue, 15 Feb 2022 00:00:00 GMT</t>
  </si>
  <si>
    <t>Mon, 14 Feb 2022 00:00:00 GMT</t>
  </si>
  <si>
    <t>Fri, 11 Feb 2022 00:00:00 GMT</t>
  </si>
  <si>
    <t>Thu, 10 Feb 2022 00:00:00 GMT</t>
  </si>
  <si>
    <t>Wed, 09 Feb 2022 00:00:00 GMT</t>
  </si>
  <si>
    <t>Tue, 08 Feb 2022 00:00:00 GMT</t>
  </si>
  <si>
    <t>Mon, 07 Feb 2022 00:00:00 GMT</t>
  </si>
  <si>
    <t>Fri, 04 Feb 2022 00:00:00 GMT</t>
  </si>
  <si>
    <t>Thu, 03 Feb 2022 00:00:00 GMT</t>
  </si>
  <si>
    <t>Wed, 02 Feb 2022 00:00:00 GMT</t>
  </si>
  <si>
    <t>Tue, 01 Feb 2022 00:00:00 GMT</t>
  </si>
  <si>
    <t>Mon, 31 Jan 2022 00:00:00 GMT</t>
  </si>
  <si>
    <t>Fri, 28 Jan 2022 00:00:00 GMT</t>
  </si>
  <si>
    <t>Thu, 27 Jan 2022 00:00:00 GMT</t>
  </si>
  <si>
    <t>Wed, 26 Jan 2022 00:00:00 GMT</t>
  </si>
  <si>
    <t>Tue, 25 Jan 2022 00:00:00 GMT</t>
  </si>
  <si>
    <t>Mon, 24 Jan 2022 00:00:00 GMT</t>
  </si>
  <si>
    <t>Fri, 21 Jan 2022 00:00:00 GMT</t>
  </si>
  <si>
    <t>Thu, 20 Jan 2022 00:00:00 GMT</t>
  </si>
  <si>
    <t>Wed, 19 Jan 2022 00:00:00 GMT</t>
  </si>
  <si>
    <t>Tue, 18 Jan 2022 00:00:00 GMT</t>
  </si>
  <si>
    <t>Fri, 14 Jan 2022 00:00:00 GMT</t>
  </si>
  <si>
    <t>Thu, 13 Jan 2022 00:00:00 GMT</t>
  </si>
  <si>
    <t>Wed, 12 Jan 2022 00:00:00 GMT</t>
  </si>
  <si>
    <t>Tue, 11 Jan 2022 00:00:00 GMT</t>
  </si>
  <si>
    <t>Mon, 10 Jan 2022 00:00:00 GMT</t>
  </si>
  <si>
    <t>Fri, 07 Jan 2022 00:00:00 GMT</t>
  </si>
  <si>
    <t>Thu, 06 Jan 2022 00:00:00 GMT</t>
  </si>
  <si>
    <t>Wed, 05 Jan 2022 00:00:00 GMT</t>
  </si>
  <si>
    <t>Tue, 04 Jan 2022 00:00:00 GMT</t>
  </si>
  <si>
    <t>Mon, 03 Jan 2022 00:00:00 GMT</t>
  </si>
  <si>
    <t>Fri, 31 Dec 2021 00:00:00 GMT</t>
  </si>
  <si>
    <t>Thu, 30 Dec 2021 00:00:00 GMT</t>
  </si>
  <si>
    <t>Wed, 29 Dec 2021 00:00:00 GMT</t>
  </si>
  <si>
    <t>Tue, 28 Dec 2021 00:00:00 GMT</t>
  </si>
  <si>
    <t>Mon, 27 Dec 2021 00:00:00 GMT</t>
  </si>
  <si>
    <t>Thu, 23 Dec 2021 00:00:00 GMT</t>
  </si>
  <si>
    <t>Wed, 22 Dec 2021 00:00:00 GMT</t>
  </si>
  <si>
    <t>Tue, 21 Dec 2021 00:00:00 GMT</t>
  </si>
  <si>
    <t>Mon, 20 Dec 2021 00:00:00 GMT</t>
  </si>
  <si>
    <t>Fri, 17 Dec 2021 00:00:00 GMT</t>
  </si>
  <si>
    <t>Thu, 16 Dec 2021 00:00:00 GMT</t>
  </si>
  <si>
    <t>Wed, 15 Dec 2021 00:00:00 GMT</t>
  </si>
  <si>
    <t>Tue, 14 Dec 2021 00:00:00 GMT</t>
  </si>
  <si>
    <t>Mon, 13 Dec 2021 00:00:00 GMT</t>
  </si>
  <si>
    <t>Fri, 10 Dec 2021 00:00:00 GMT</t>
  </si>
  <si>
    <t>Thu, 09 Dec 2021 00:00:00 GMT</t>
  </si>
  <si>
    <t>Wed, 08 Dec 2021 00:00:00 GMT</t>
  </si>
  <si>
    <t>Tue, 07 Dec 2021 00:00:00 GMT</t>
  </si>
  <si>
    <t>Mon, 06 Dec 2021 00:00:00 GMT</t>
  </si>
  <si>
    <t>Fri, 03 Dec 2021 00:00:00 GMT</t>
  </si>
  <si>
    <t>Thu, 02 Dec 2021 00:00:00 GMT</t>
  </si>
  <si>
    <t>Wed, 01 Dec 2021 00:00:00 GMT</t>
  </si>
  <si>
    <t>Tue, 30 Nov 2021 00:00:00 GMT</t>
  </si>
  <si>
    <t>Mon, 29 Nov 2021 00:00:00 GMT</t>
  </si>
  <si>
    <t>Fri, 26 Nov 2021 00:00:00 GMT</t>
  </si>
  <si>
    <t>Wed, 24 Nov 2021 00:00:00 GMT</t>
  </si>
  <si>
    <t>Tue, 23 Nov 2021 00:00:00 GMT</t>
  </si>
  <si>
    <t>Mon, 22 Nov 2021 00:00:00 GMT</t>
  </si>
  <si>
    <t>Fri, 19 Nov 2021 00:00:00 GMT</t>
  </si>
  <si>
    <t>Thu, 18 Nov 2021 00:00:00 GMT</t>
  </si>
  <si>
    <t>Wed, 17 Nov 2021 00:00:00 GMT</t>
  </si>
  <si>
    <t>Tue, 16 Nov 2021 00:00:00 GMT</t>
  </si>
  <si>
    <t>Mon, 15 Nov 2021 00:00:00 GMT</t>
  </si>
  <si>
    <t>Fri, 12 Nov 2021 00:00:00 GMT</t>
  </si>
  <si>
    <t>Thu, 11 Nov 2021 00:00:00 GMT</t>
  </si>
  <si>
    <t>Wed, 10 Nov 2021 00:00:00 GMT</t>
  </si>
  <si>
    <t>Tue, 09 Nov 2021 00:00:00 GMT</t>
  </si>
  <si>
    <t>Mon, 08 Nov 2021 00:00:00 GMT</t>
  </si>
  <si>
    <t>Fri, 05 Nov 2021 00:00:00 GMT</t>
  </si>
  <si>
    <t>Thu, 04 Nov 2021 00:00:00 GMT</t>
  </si>
  <si>
    <t>Wed, 03 Nov 2021 00:00:00 GMT</t>
  </si>
  <si>
    <t>Tue, 02 Nov 2021 00:00:00 GMT</t>
  </si>
  <si>
    <t>Mon, 01 Nov 2021 00:00:00 GMT</t>
  </si>
  <si>
    <t>Fri, 29 Oct 2021 00:00:00 GMT</t>
  </si>
  <si>
    <t>Thu, 28 Oct 2021 00:00:00 GMT</t>
  </si>
  <si>
    <t>Wed, 27 Oct 2021 00:00:00 GMT</t>
  </si>
  <si>
    <t>Tue, 26 Oct 2021 00:00:00 GMT</t>
  </si>
  <si>
    <t>Mon, 25 Oct 2021 00:00:00 GMT</t>
  </si>
  <si>
    <t>Fri, 22 Oct 2021 00:00:00 GMT</t>
  </si>
  <si>
    <t>Thu, 21 Oct 2021 00:00:00 GMT</t>
  </si>
  <si>
    <t>Wed, 20 Oct 2021 00:00:00 GMT</t>
  </si>
  <si>
    <t>Tue, 19 Oct 2021 00:00:00 GMT</t>
  </si>
  <si>
    <t>Mon, 18 Oct 2021 00:00:00 GMT</t>
  </si>
  <si>
    <t>Fri, 15 Oct 2021 00:00:00 GMT</t>
  </si>
  <si>
    <t>Thu, 14 Oct 2021 00:00:00 GMT</t>
  </si>
  <si>
    <t>Wed, 13 Oct 2021 00:00:00 GMT</t>
  </si>
  <si>
    <t>Tue, 12 Oct 2021 00:00:00 GMT</t>
  </si>
  <si>
    <t>Mon, 11 Oct 2021 00:00:00 GMT</t>
  </si>
  <si>
    <t>Fri, 08 Oct 2021 00:00:00 GMT</t>
  </si>
  <si>
    <t>Thu, 07 Oct 2021 00:00:00 GMT</t>
  </si>
  <si>
    <t>Wed, 06 Oct 2021 00:00:00 GMT</t>
  </si>
  <si>
    <t>Tue, 05 Oct 2021 00:00:00 GMT</t>
  </si>
  <si>
    <t>Mon, 04 Oct 2021 00:00:00 GMT</t>
  </si>
  <si>
    <t>Fri, 01 Oct 2021 00:00:00 GMT</t>
  </si>
  <si>
    <t>Thu, 30 Sep 2021 00:00:00 GMT</t>
  </si>
  <si>
    <t>Wed, 29 Sep 2021 00:00:00 GMT</t>
  </si>
  <si>
    <t>Tue, 28 Sep 2021 00:00:00 GMT</t>
  </si>
  <si>
    <t>Mon, 27 Sep 2021 00:00:00 GMT</t>
  </si>
  <si>
    <t>Fri, 24 Sep 2021 00:00:00 GMT</t>
  </si>
  <si>
    <t>Thu, 23 Sep 2021 00:00:00 GMT</t>
  </si>
  <si>
    <t>Wed, 22 Sep 2021 00:00:00 GMT</t>
  </si>
  <si>
    <t>Tue, 21 Sep 2021 00:00:00 GMT</t>
  </si>
  <si>
    <t>Mon, 20 Sep 2021 00:00:00 GMT</t>
  </si>
  <si>
    <t>Fri, 17 Sep 2021 00:00:00 GMT</t>
  </si>
  <si>
    <t>Thu, 16 Sep 2021 00:00:00 GMT</t>
  </si>
  <si>
    <t>Wed, 15 Sep 2021 00:00:00 GMT</t>
  </si>
  <si>
    <t>Tue, 14 Sep 2021 00:00:00 GMT</t>
  </si>
  <si>
    <t>Mon, 13 Sep 2021 00:00:00 GMT</t>
  </si>
  <si>
    <t>Fri, 10 Sep 2021 00:00:00 GMT</t>
  </si>
  <si>
    <t>Thu, 09 Sep 2021 00:00:00 GMT</t>
  </si>
  <si>
    <t>Wed, 08 Sep 2021 00:00:00 GMT</t>
  </si>
  <si>
    <t>Tue, 07 Sep 2021 00:00:00 GMT</t>
  </si>
  <si>
    <t>Fri, 03 Sep 2021 00:00:00 GMT</t>
  </si>
  <si>
    <t>Thu, 02 Sep 2021 00:00:00 GMT</t>
  </si>
  <si>
    <t>Wed, 01 Sep 2021 00:00:00 GMT</t>
  </si>
  <si>
    <t>Tue, 31 Aug 2021 00:00:00 GMT</t>
  </si>
  <si>
    <t>Mon, 30 Aug 2021 00:00:00 GMT</t>
  </si>
  <si>
    <t>Fri, 27 Aug 2021 00:00:00 GMT</t>
  </si>
  <si>
    <t>Thu, 26 Aug 2021 00:00:00 GMT</t>
  </si>
  <si>
    <t>Wed, 25 Aug 2021 00:00:00 GMT</t>
  </si>
  <si>
    <t>Tue, 24 Aug 2021 00:00:00 GMT</t>
  </si>
  <si>
    <t>Mon, 23 Aug 2021 00:00:00 GMT</t>
  </si>
  <si>
    <t>Fri, 20 Aug 2021 00:00:00 GMT</t>
  </si>
  <si>
    <t>Thu, 19 Aug 2021 00:00:00 GMT</t>
  </si>
  <si>
    <t>Wed, 18 Aug 2021 00:00:00 GMT</t>
  </si>
  <si>
    <t>Tue, 17 Aug 2021 00:00:00 GMT</t>
  </si>
  <si>
    <t>Mon, 16 Aug 2021 00:00:00 GMT</t>
  </si>
  <si>
    <t>Fri, 13 Aug 2021 00:00:00 GMT</t>
  </si>
  <si>
    <t>Thu, 12 Aug 2021 00:00:00 GMT</t>
  </si>
  <si>
    <t>Wed, 11 Aug 2021 00:00:00 GMT</t>
  </si>
  <si>
    <t>Tue, 10 Aug 2021 00:00:00 GMT</t>
  </si>
  <si>
    <t>Mon, 09 Aug 2021 00:00:00 GMT</t>
  </si>
  <si>
    <t>Fri, 06 Aug 2021 00:00:00 GMT</t>
  </si>
  <si>
    <t>Thu, 05 Aug 2021 00:00:00 GMT</t>
  </si>
  <si>
    <t>Wed, 04 Aug 2021 00:00:00 GMT</t>
  </si>
  <si>
    <t>Tue, 03 Aug 2021 00:00:00 GMT</t>
  </si>
  <si>
    <t>Mon, 02 Aug 2021 00:00:00 GMT</t>
  </si>
  <si>
    <t>Fri, 30 Jul 2021 00:00:00 GMT</t>
  </si>
  <si>
    <t>Thu, 29 Jul 2021 00:00:00 GMT</t>
  </si>
  <si>
    <t>Wed, 28 Jul 2021 00:00:00 GMT</t>
  </si>
  <si>
    <t>Tue, 27 Jul 2021 00:00:00 GMT</t>
  </si>
  <si>
    <t>Mon, 26 Jul 2021 00:00:00 GMT</t>
  </si>
  <si>
    <t>Fri, 23 Jul 2021 00:00:00 GMT</t>
  </si>
  <si>
    <t>Thu, 22 Jul 2021 00:00:00 GMT</t>
  </si>
  <si>
    <t>Wed, 21 Jul 2021 00:00:00 GMT</t>
  </si>
  <si>
    <t>Tue, 20 Jul 2021 00:00:00 GMT</t>
  </si>
  <si>
    <t>Mon, 19 Jul 2021 00:00:00 GMT</t>
  </si>
  <si>
    <t>Fri, 16 Jul 2021 00:00:00 GMT</t>
  </si>
  <si>
    <t>Thu, 15 Jul 2021 00:00:00 GMT</t>
  </si>
  <si>
    <t>Wed, 14 Jul 2021 00:00:00 GMT</t>
  </si>
  <si>
    <t>Tue, 13 Jul 2021 00:00:00 GMT</t>
  </si>
  <si>
    <t>Mon, 12 Jul 2021 00:00:00 GMT</t>
  </si>
  <si>
    <t>Fri, 09 Jul 2021 00:00:00 GMT</t>
  </si>
  <si>
    <t>Thu, 08 Jul 2021 00:00:00 GMT</t>
  </si>
  <si>
    <t>Wed, 07 Jul 2021 00:00:00 GMT</t>
  </si>
  <si>
    <t>Tue, 06 Jul 2021 00:00:00 GMT</t>
  </si>
  <si>
    <t>Fri, 02 Jul 2021 00:00:00 GMT</t>
  </si>
  <si>
    <t>Thu, 01 Jul 2021 00:00:00 GMT</t>
  </si>
  <si>
    <t>Wed, 30 Jun 2021 00:00:00 GMT</t>
  </si>
  <si>
    <t>Tue, 29 Jun 2021 00:00:00 GMT</t>
  </si>
  <si>
    <t>Mon, 28 Jun 2021 00:00:00 GMT</t>
  </si>
  <si>
    <t>Fri, 25 Jun 2021 00:00:00 GMT</t>
  </si>
  <si>
    <t>Thu, 24 Jun 2021 00:00:00 GMT</t>
  </si>
  <si>
    <t>Wed, 23 Jun 2021 00:00:00 GMT</t>
  </si>
  <si>
    <t>Tue, 22 Jun 2021 00:00:00 GMT</t>
  </si>
  <si>
    <t>Mon, 21 Jun 2021 00:00:00 GMT</t>
  </si>
  <si>
    <t>Fri, 18 Jun 2021 00:00:00 GMT</t>
  </si>
  <si>
    <t>Thu, 17 Jun 2021 00:00:00 GMT</t>
  </si>
  <si>
    <t>Wed, 16 Jun 2021 00:00:00 GMT</t>
  </si>
  <si>
    <t>Tue, 15 Jun 2021 00:00:00 GMT</t>
  </si>
  <si>
    <t>Mon, 14 Jun 2021 00:00:00 GMT</t>
  </si>
  <si>
    <t>Fri, 11 Jun 2021 00:00:00 GMT</t>
  </si>
  <si>
    <t>Thu, 10 Jun 2021 00:00:00 GMT</t>
  </si>
  <si>
    <t>Wed, 09 Jun 2021 00:00:00 GMT</t>
  </si>
  <si>
    <t>Tue, 08 Jun 2021 00:00:00 GMT</t>
  </si>
  <si>
    <t>Mon, 07 Jun 2021 00:00:00 GMT</t>
  </si>
  <si>
    <t>Fri, 04 Jun 2021 00:00:00 GMT</t>
  </si>
  <si>
    <t>Thu, 03 Jun 2021 00:00:00 GMT</t>
  </si>
  <si>
    <t>Wed, 02 Jun 2021 00:00:00 GMT</t>
  </si>
  <si>
    <t>Tue, 01 Jun 2021 00:00:00 GMT</t>
  </si>
  <si>
    <t>Fri, 28 May 2021 00:00:00 GMT</t>
  </si>
  <si>
    <t>Thu, 27 May 2021 00:00:00 GMT</t>
  </si>
  <si>
    <t>Wed, 26 May 2021 00:00:00 GMT</t>
  </si>
  <si>
    <t>Tue, 25 May 2021 00:00:00 GMT</t>
  </si>
  <si>
    <t>Mon, 24 May 2021 00:00:00 GMT</t>
  </si>
  <si>
    <t>Fri, 21 May 2021 00:00:00 GMT</t>
  </si>
  <si>
    <t>Thu, 20 May 2021 00:00:00 GMT</t>
  </si>
  <si>
    <t>Wed, 19 May 2021 00:00:00 GMT</t>
  </si>
  <si>
    <t>Tue, 18 May 2021 00:00:00 GMT</t>
  </si>
  <si>
    <t>Mon, 17 May 2021 00:00:00 GMT</t>
  </si>
  <si>
    <t>Fri, 14 May 2021 00:00:00 GMT</t>
  </si>
  <si>
    <t>Thu, 13 May 2021 00:00:00 GMT</t>
  </si>
  <si>
    <t>Wed, 12 May 2021 00:00:00 GMT</t>
  </si>
  <si>
    <t>Tue, 11 May 2021 00:00:00 GMT</t>
  </si>
  <si>
    <t>Mon, 10 May 2021 00:00:00 GMT</t>
  </si>
  <si>
    <t>Fri, 07 May 2021 00:00:00 GMT</t>
  </si>
  <si>
    <t>Thu, 06 May 2021 00:00:00 GMT</t>
  </si>
  <si>
    <t>Wed, 05 May 2021 00:00:00 GMT</t>
  </si>
  <si>
    <t>Tue, 04 May 2021 00:00:00 GMT</t>
  </si>
  <si>
    <t>Mon, 03 May 2021 00:00:00 GMT</t>
  </si>
  <si>
    <t>Fri, 30 Apr 2021 00:00:00 GMT</t>
  </si>
  <si>
    <t>Thu, 29 Apr 2021 00:00:00 GMT</t>
  </si>
  <si>
    <t>Wed, 28 Apr 2021 00:00:00 GMT</t>
  </si>
  <si>
    <t>Tue, 27 Apr 2021 00:00:00 GMT</t>
  </si>
  <si>
    <t>Mon, 26 Apr 2021 00:00:00 GMT</t>
  </si>
  <si>
    <t>Fri, 23 Apr 2021 00:00:00 GMT</t>
  </si>
  <si>
    <t>Thu, 22 Apr 2021 00:00:00 GMT</t>
  </si>
  <si>
    <t>Wed, 21 Apr 2021 00:00:00 GMT</t>
  </si>
  <si>
    <t>Tue, 20 Apr 2021 00:00:00 GMT</t>
  </si>
  <si>
    <t>Mon, 19 Apr 2021 00:00:00 GMT</t>
  </si>
  <si>
    <t>Fri, 16 Apr 2021 00:00:00 GMT</t>
  </si>
  <si>
    <t>Thu, 15 Apr 2021 00:00:00 GMT</t>
  </si>
  <si>
    <t>Wed, 14 Apr 2021 00:00:00 GMT</t>
  </si>
  <si>
    <t>Tue, 13 Apr 2021 00:00:00 GMT</t>
  </si>
  <si>
    <t>Mon, 12 Apr 2021 00:00:00 GMT</t>
  </si>
  <si>
    <t>Fri, 09 Apr 2021 00:00:00 GMT</t>
  </si>
  <si>
    <t>Thu, 08 Apr 2021 00:00:00 GMT</t>
  </si>
  <si>
    <t>Wed, 07 Apr 2021 00:00:00 GMT</t>
  </si>
  <si>
    <t>Tue, 06 Apr 2021 00:00:00 GMT</t>
  </si>
  <si>
    <t>Mon, 05 Apr 2021 00:00:00 GMT</t>
  </si>
  <si>
    <t>Thu, 01 Apr 2021 00:00:00 GMT</t>
  </si>
  <si>
    <t>Wed, 31 Mar 2021 00:00:00 GMT</t>
  </si>
  <si>
    <t>Tue, 30 Mar 2021 00:00:00 GMT</t>
  </si>
  <si>
    <t>Mon, 29 Mar 2021 00:00:00 GMT</t>
  </si>
  <si>
    <t>Fri, 26 Mar 2021 00:00:00 GMT</t>
  </si>
  <si>
    <t>Thu, 25 Mar 2021 00:00:00 GMT</t>
  </si>
  <si>
    <t>Wed, 24 Mar 2021 00:00:00 GMT</t>
  </si>
  <si>
    <t>Tue, 23 Mar 2021 00:00:00 GMT</t>
  </si>
  <si>
    <t>Mon, 22 Mar 2021 00:00:00 GMT</t>
  </si>
  <si>
    <t>Fri, 19 Mar 2021 00:00:00 GMT</t>
  </si>
  <si>
    <t>Thu, 18 Mar 2021 00:00:00 GMT</t>
  </si>
  <si>
    <t>Wed, 17 Mar 2021 00:00:00 GMT</t>
  </si>
  <si>
    <t>Tue, 16 Mar 2021 00:00:00 GMT</t>
  </si>
  <si>
    <t>Mon, 15 Mar 2021 00:00:00 GMT</t>
  </si>
  <si>
    <t>Fri, 12 Mar 2021 00:00:00 GMT</t>
  </si>
  <si>
    <t>Thu, 11 Mar 2021 00:00:00 GMT</t>
  </si>
  <si>
    <t>Wed, 10 Mar 2021 00:00:00 GMT</t>
  </si>
  <si>
    <t>Tue, 09 Mar 2021 00:00:00 GMT</t>
  </si>
  <si>
    <t>Mon, 08 Mar 2021 00:00:00 GMT</t>
  </si>
  <si>
    <t>Fri, 05 Mar 2021 00:00:00 GMT</t>
  </si>
  <si>
    <t>Thu, 04 Mar 2021 00:00:00 GMT</t>
  </si>
  <si>
    <t>Wed, 03 Mar 2021 00:00:00 GMT</t>
  </si>
  <si>
    <t>Tue, 02 Mar 2021 00:00:00 GMT</t>
  </si>
  <si>
    <t>Mon, 01 Mar 2021 00:00:00 GMT</t>
  </si>
  <si>
    <t>Fri, 26 Feb 2021 00:00:00 GMT</t>
  </si>
  <si>
    <t>Thu, 25 Feb 2021 00:00:00 GMT</t>
  </si>
  <si>
    <t>Wed, 24 Feb 2021 00:00:00 GMT</t>
  </si>
  <si>
    <t>Tue, 23 Feb 2021 00:00:00 GMT</t>
  </si>
  <si>
    <t>Mon, 22 Feb 2021 00:00:00 GMT</t>
  </si>
  <si>
    <t>Fri, 19 Feb 2021 00:00:00 GMT</t>
  </si>
  <si>
    <t>Thu, 18 Feb 2021 00:00:00 GMT</t>
  </si>
  <si>
    <t>Wed, 17 Feb 2021 00:00:00 GMT</t>
  </si>
  <si>
    <t>Tue, 16 Feb 2021 00:00:00 GMT</t>
  </si>
  <si>
    <t>Fri, 12 Feb 2021 00:00:00 GMT</t>
  </si>
  <si>
    <t>Thu, 11 Feb 2021 00:00:00 GMT</t>
  </si>
  <si>
    <t>Wed, 10 Feb 2021 00:00:00 GMT</t>
  </si>
  <si>
    <t>Tue, 09 Feb 2021 00:00:00 GMT</t>
  </si>
  <si>
    <t>Mon, 08 Feb 2021 00:00:00 GMT</t>
  </si>
  <si>
    <t>Fri, 05 Feb 2021 00:00:00 GMT</t>
  </si>
  <si>
    <t>Thu, 04 Feb 2021 00:00:00 GMT</t>
  </si>
  <si>
    <t>Wed, 03 Feb 2021 00:00:00 GMT</t>
  </si>
  <si>
    <t>Tue, 02 Feb 2021 00:00:00 GMT</t>
  </si>
  <si>
    <t>Mon, 01 Feb 2021 00:00:00 GMT</t>
  </si>
  <si>
    <t>Fri, 29 Jan 2021 00:00:00 GMT</t>
  </si>
  <si>
    <t>Thu, 28 Jan 2021 00:00:00 GMT</t>
  </si>
  <si>
    <t>Wed, 27 Jan 2021 00:00:00 GMT</t>
  </si>
  <si>
    <t>Tue, 26 Jan 2021 00:00:00 GMT</t>
  </si>
  <si>
    <t>Mon, 25 Jan 2021 00:00:00 GMT</t>
  </si>
  <si>
    <t>Fri, 22 Jan 2021 00:00:00 GMT</t>
  </si>
  <si>
    <t>Thu, 21 Jan 2021 00:00:00 GMT</t>
  </si>
  <si>
    <t>Wed, 20 Jan 2021 00:00:00 GMT</t>
  </si>
  <si>
    <t>Tue, 19 Jan 2021 00:00:00 GMT</t>
  </si>
  <si>
    <t>Fri, 15 Jan 2021 00:00:00 GMT</t>
  </si>
  <si>
    <t>Thu, 14 Jan 2021 00:00:00 GMT</t>
  </si>
  <si>
    <t>Wed, 13 Jan 2021 00:00:00 GMT</t>
  </si>
  <si>
    <t>Tue, 12 Jan 2021 00:00:00 GMT</t>
  </si>
  <si>
    <t>Mon, 11 Jan 2021 00:00:00 GMT</t>
  </si>
  <si>
    <t>Fri, 08 Jan 2021 00:00:00 GMT</t>
  </si>
  <si>
    <t>Thu, 07 Jan 2021 00:00:00 GMT</t>
  </si>
  <si>
    <t>Wed, 06 Jan 2021 00:00:00 GMT</t>
  </si>
  <si>
    <t>Tue, 05 Jan 2021 00:00:00 GMT</t>
  </si>
  <si>
    <t>Mon, 04 Jan 2021 00:00:00 GMT</t>
  </si>
  <si>
    <t>Thu, 31 Dec 2020 00:00:00 GMT</t>
  </si>
  <si>
    <t>Wed, 30 Dec 2020 00:00:00 GMT</t>
  </si>
  <si>
    <t>Tue, 29 Dec 2020 00:00:00 GMT</t>
  </si>
  <si>
    <t>Mon, 28 Dec 2020 00:00:00 GMT</t>
  </si>
  <si>
    <t>Thu, 24 Dec 2020 00:00:00 GMT</t>
  </si>
  <si>
    <t>Wed, 23 Dec 2020 00:00:00 GMT</t>
  </si>
  <si>
    <t>Tue, 22 Dec 2020 00:00:00 GMT</t>
  </si>
  <si>
    <t>Mon, 21 Dec 2020 00:00:00 GMT</t>
  </si>
  <si>
    <t>Fri, 18 Dec 2020 00:00:00 GMT</t>
  </si>
  <si>
    <t>Thu, 17 Dec 2020 00:00:00 GMT</t>
  </si>
  <si>
    <t>Wed, 16 Dec 2020 00:00:00 GMT</t>
  </si>
  <si>
    <t>Tue, 15 Dec 2020 00:00:00 GMT</t>
  </si>
  <si>
    <t>Mon, 14 Dec 2020 00:00:00 GMT</t>
  </si>
  <si>
    <t>Fri, 11 Dec 2020 00:00:00 GMT</t>
  </si>
  <si>
    <t>Thu, 10 Dec 2020 00:00:00 GMT</t>
  </si>
  <si>
    <t>Wed, 09 Dec 2020 00:00:00 GMT</t>
  </si>
  <si>
    <t>Tue, 08 Dec 2020 00:00:00 GMT</t>
  </si>
  <si>
    <t>Mon, 07 Dec 2020 00:00:00 GMT</t>
  </si>
  <si>
    <t>Fri, 04 Dec 2020 00:00:00 GMT</t>
  </si>
  <si>
    <t>Thu, 03 Dec 2020 00:00:00 GMT</t>
  </si>
  <si>
    <t>Wed, 02 Dec 2020 00:00:00 GMT</t>
  </si>
  <si>
    <t>Tue, 01 Dec 2020 00:00:00 GMT</t>
  </si>
  <si>
    <t>Mon, 30 Nov 2020 00:00:00 GMT</t>
  </si>
  <si>
    <t>Fri, 27 Nov 2020 00:00:00 GMT</t>
  </si>
  <si>
    <t>Wed, 25 Nov 2020 00:00:00 GMT</t>
  </si>
  <si>
    <t>Tue, 24 Nov 2020 00:00:00 GMT</t>
  </si>
  <si>
    <t>Mon, 23 Nov 2020 00:00:00 GMT</t>
  </si>
  <si>
    <t>Fri, 20 Nov 2020 00:00:00 GMT</t>
  </si>
  <si>
    <t>Thu, 19 Nov 2020 00:00:00 GMT</t>
  </si>
  <si>
    <t>Wed, 18 Nov 2020 00:00:00 GMT</t>
  </si>
  <si>
    <t>Tue, 17 Nov 2020 00:00:00 GMT</t>
  </si>
  <si>
    <t>Mon, 16 Nov 2020 00:00:00 GMT</t>
  </si>
  <si>
    <t>Fri, 13 Nov 2020 00:00:00 GMT</t>
  </si>
  <si>
    <t>Thu, 12 Nov 2020 00:00:00 GMT</t>
  </si>
  <si>
    <t>Wed, 11 Nov 2020 00:00:00 GMT</t>
  </si>
  <si>
    <t>Tue, 10 Nov 2020 00:00:00 GMT</t>
  </si>
  <si>
    <t>Mon, 09 Nov 2020 00:00:00 GMT</t>
  </si>
  <si>
    <t>Fri, 06 Nov 2020 00:00:00 GMT</t>
  </si>
  <si>
    <t>Thu, 05 Nov 2020 00:00:00 GMT</t>
  </si>
  <si>
    <t>Wed, 04 Nov 2020 00:00:00 GMT</t>
  </si>
  <si>
    <t>Tue, 03 Nov 2020 00:00:00 GMT</t>
  </si>
  <si>
    <t>Mon, 02 Nov 2020 00:00:00 GMT</t>
  </si>
  <si>
    <t>Fri, 30 Oct 2020 00:00:00 GMT</t>
  </si>
  <si>
    <t>Thu, 29 Oct 2020 00:00:00 GMT</t>
  </si>
  <si>
    <t>Wed, 28 Oct 2020 00:00:00 GMT</t>
  </si>
  <si>
    <t>Tue, 27 Oct 2020 00:00:00 GMT</t>
  </si>
  <si>
    <t>Mon, 26 Oct 2020 00:00:00 GMT</t>
  </si>
  <si>
    <t>Fri, 23 Oct 2020 00:00:00 GMT</t>
  </si>
  <si>
    <t>Thu, 22 Oct 2020 00:00:00 GMT</t>
  </si>
  <si>
    <t>Wed, 21 Oct 2020 00:00:00 GMT</t>
  </si>
  <si>
    <t>Tue, 20 Oct 2020 00:00:00 GMT</t>
  </si>
  <si>
    <t>Mon, 19 Oct 2020 00:00:00 GMT</t>
  </si>
  <si>
    <t>Fri, 16 Oct 2020 00:00:00 GMT</t>
  </si>
  <si>
    <t>Thu, 15 Oct 2020 00:00:00 GMT</t>
  </si>
  <si>
    <t>Wed, 14 Oct 2020 00:00:00 GMT</t>
  </si>
  <si>
    <t>Tue, 13 Oct 2020 00:00:00 GMT</t>
  </si>
  <si>
    <t>Mon, 12 Oct 2020 00:00:00 GMT</t>
  </si>
  <si>
    <t>Fri, 09 Oct 2020 00:00:00 GMT</t>
  </si>
  <si>
    <t>Thu, 08 Oct 2020 00:00:00 GMT</t>
  </si>
  <si>
    <t>Wed, 07 Oct 2020 00:00:00 GMT</t>
  </si>
  <si>
    <t>Tue, 06 Oct 2020 00:00:00 GMT</t>
  </si>
  <si>
    <t>Mon, 05 Oct 2020 00:00:00 GMT</t>
  </si>
  <si>
    <t>Fri, 02 Oct 2020 00:00:00 GMT</t>
  </si>
  <si>
    <t>Thu, 01 Oct 2020 00:00:00 GMT</t>
  </si>
  <si>
    <t>Wed, 30 Sep 2020 00:00:00 GMT</t>
  </si>
  <si>
    <t>Tue, 29 Sep 2020 00:00:00 GMT</t>
  </si>
  <si>
    <t>Mon, 28 Sep 2020 00:00:00 GMT</t>
  </si>
  <si>
    <t>Fri, 25 Sep 2020 00:00:00 GMT</t>
  </si>
  <si>
    <t>Thu, 24 Sep 2020 00:00:00 GMT</t>
  </si>
  <si>
    <t>Wed, 23 Sep 2020 00:00:00 GMT</t>
  </si>
  <si>
    <t>Tue, 22 Sep 2020 00:00:00 GMT</t>
  </si>
  <si>
    <t>Mon, 21 Sep 2020 00:00:00 GMT</t>
  </si>
  <si>
    <t>1256 Trading Days? (From: 9/20/20 - 9/20/25)</t>
  </si>
  <si>
    <t>More</t>
  </si>
  <si>
    <t>EW</t>
  </si>
  <si>
    <t>Edwards Lifesciences Corporation (EW)</t>
  </si>
  <si>
    <t>Founder(s): Albert Starr</t>
  </si>
  <si>
    <t>Founded: 1958</t>
  </si>
  <si>
    <t>IPO: April 1, 2000 -- Did not have a traditional IPO instead being spun out by Baxter</t>
  </si>
  <si>
    <t>Fiscal Year: [January - December]</t>
  </si>
  <si>
    <t>Current CEO: Bernard Zovighian</t>
  </si>
  <si>
    <t>Headquarters: Irvine, CA</t>
  </si>
  <si>
    <t>Employees: 15,800</t>
  </si>
  <si>
    <t>Industry: Medical Devices</t>
  </si>
  <si>
    <t>Sector: Healthcare</t>
  </si>
  <si>
    <t>Registered Exchange: NYSE</t>
  </si>
  <si>
    <t>Address: One Edwards Way, Irvine, CA 92614 U.S.</t>
  </si>
  <si>
    <t>(949) 250 - 2500</t>
  </si>
  <si>
    <t>https://www.edwards.com/</t>
  </si>
  <si>
    <t>https://ir.edwards.com/overview/default.aspx?_gl=1*1fidh4f*_gcl_au*NTkzODU3MDk4LjE3NTgzNjMxODM.</t>
  </si>
  <si>
    <t>https://www.sec.gov/edgar/browse/?CIK=1099800&amp;owner=exclude</t>
  </si>
  <si>
    <t>https://seekingalpha.com/symbol/EW/earnings/transcripts</t>
  </si>
  <si>
    <t>https://stockanalysis.com/stocks/ew/company/</t>
  </si>
  <si>
    <t>https://www.macrotrends.net/stocks/charts/EW/edwards-lifesciences/income-statement?freq=A</t>
  </si>
  <si>
    <t>https://www.gurufocus.com/term/wacc/EW</t>
  </si>
  <si>
    <t>and transcatheter heart valve repair and replacement products to treat mitral and tricuspid valve diseases under the PASCAL PRECISION and Cardioband brands</t>
  </si>
  <si>
    <t>It also provides surgical structural heart solutions, such as aortic surgical valve under the INSPIRIS brand name; INSPIRIS RESILIA aortic valve, which offers RESILIA tissue and VFit technology; KONECT RESILIA, a pre-assembled tissue valve conduit for complex combined procedures; and MITRIS RESILIA valve</t>
  </si>
  <si>
    <t>The Company distributes its products through a direct sales force and independent distributors</t>
  </si>
  <si>
    <t xml:space="preserve">The Company offers transcatheter heart valve replacement products for minimally invasive replacement of aortic heart valves under the Edwards SAPIEN family of valves system; </t>
  </si>
  <si>
    <t>Founded in 1958 and headquartered in Irvine, California, Edwards Lifesciences is a leading global medical technology company focused on innovative products for structural heart disease, critical care, and surgical monitoring</t>
  </si>
  <si>
    <t>The Company is widely recognized for its leadership in transcatheter heart valve replacement (TAVR) and repair technologies</t>
  </si>
  <si>
    <t>Experienced management team driving innovation and global market expansion</t>
  </si>
  <si>
    <t>Expanding product portfolio addressing multiple structural heart conditions beyond aortic stenosis</t>
  </si>
  <si>
    <t>Broadening addressable market through innovations in mitral and tricuspid valve therapies</t>
  </si>
  <si>
    <t xml:space="preserve">Revenue Breakdown by Segment </t>
  </si>
  <si>
    <t xml:space="preserve">Financial Stmts. Notes/Observations </t>
  </si>
  <si>
    <t xml:space="preserve">General Notes/Observations </t>
  </si>
  <si>
    <t>Transcath. Aortic Valve Replacement</t>
  </si>
  <si>
    <t>Transcath. Mitral &amp; Tricuspid Therapies</t>
  </si>
  <si>
    <t>Surgical Structural Heart</t>
  </si>
  <si>
    <t>Critical Care</t>
  </si>
  <si>
    <t>Transcath. Aortic Valve Replacement Growth Y/y</t>
  </si>
  <si>
    <t>Transcath. Mitral &amp; Tricuspid Therapies Growth Y/y</t>
  </si>
  <si>
    <t>Surgical Structural Heart Growth Y/y</t>
  </si>
  <si>
    <t>Critical Care Growth Y/y</t>
  </si>
  <si>
    <t>Transcath. Aortic Valve Replacement % of Ttl Revenues</t>
  </si>
  <si>
    <t>Transcath. Mitral &amp; Tricuspid Therapies % of Ttl Revenues</t>
  </si>
  <si>
    <t>Surgical Structural Heart % of Ttl Revenues</t>
  </si>
  <si>
    <t>Critical Care % of Ttl Revenues</t>
  </si>
  <si>
    <t>Euro Revenues</t>
  </si>
  <si>
    <t>Japan Revenues</t>
  </si>
  <si>
    <t>Rest of World Revenues</t>
  </si>
  <si>
    <t>U.S. Growth Y/y</t>
  </si>
  <si>
    <t>Euro Growth Y/y</t>
  </si>
  <si>
    <t>Japan Growth Y/y</t>
  </si>
  <si>
    <t>Rest of World Growth Y/y</t>
  </si>
  <si>
    <t>SG&amp;A</t>
  </si>
  <si>
    <t>R&amp;D</t>
  </si>
  <si>
    <t>Litigation Expenses</t>
  </si>
  <si>
    <t>Contingent Consideration</t>
  </si>
  <si>
    <t>Restructuring Charges</t>
  </si>
  <si>
    <t>Operating Income</t>
  </si>
  <si>
    <t>Interest Income</t>
  </si>
  <si>
    <t>Loss on Impairment</t>
  </si>
  <si>
    <t>Other Income</t>
  </si>
  <si>
    <t>Taxes</t>
  </si>
  <si>
    <t>Pretax Income from Continued Operations</t>
  </si>
  <si>
    <t>Net Income from Continued Operations</t>
  </si>
  <si>
    <t>(Loss) Income from Discontinued Operations</t>
  </si>
  <si>
    <t>EPS</t>
  </si>
  <si>
    <t>A/R</t>
  </si>
  <si>
    <t>Other Recievables</t>
  </si>
  <si>
    <t>Inventories</t>
  </si>
  <si>
    <t>Other ST Expenses</t>
  </si>
  <si>
    <t>Prepaid ST Expenses</t>
  </si>
  <si>
    <t>LT Investments</t>
  </si>
  <si>
    <t>PP&amp;E</t>
  </si>
  <si>
    <t>LT Operating Lease Assets</t>
  </si>
  <si>
    <t>Goodwill</t>
  </si>
  <si>
    <t>Other LT Intangibles</t>
  </si>
  <si>
    <t>Deffered LT Income Taxes</t>
  </si>
  <si>
    <t>Other LT Assets</t>
  </si>
  <si>
    <t>ST Assets of Discontinued Operations</t>
  </si>
  <si>
    <t>LT Assets of Discontinued Operations</t>
  </si>
  <si>
    <t>A/P</t>
  </si>
  <si>
    <t>ST Liabilities</t>
  </si>
  <si>
    <t>ST Operating Lease Liabilities</t>
  </si>
  <si>
    <t>LT Debt</t>
  </si>
  <si>
    <t>LT Operating Lease Liabilities</t>
  </si>
  <si>
    <t>Uncertain LT Tax Liabilities</t>
  </si>
  <si>
    <t>Other LT Liabilities</t>
  </si>
  <si>
    <t>LT Liabilities of Discontinued Operations</t>
  </si>
  <si>
    <t>ST Liabilities of Discontinued Operations</t>
  </si>
  <si>
    <t>Ttl Operating Expenses</t>
  </si>
  <si>
    <t>Intangible Asset Impairment</t>
  </si>
  <si>
    <t>Ttl Assets</t>
  </si>
  <si>
    <t>Ttl Liabilities</t>
  </si>
  <si>
    <t>Ttl SE</t>
  </si>
  <si>
    <t>Ttl L + SE</t>
  </si>
  <si>
    <t>Other Expenses (Income)</t>
  </si>
  <si>
    <t>Institutional Ownership Snapshot Q3'25</t>
  </si>
  <si>
    <t>1/14/2026</t>
  </si>
  <si>
    <t>Q3'25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</si>
</sst>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  <numFmt numFmtId="166" formatCode="0.0%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1"/>
      <color theme="4" tint="-0.249977111117893"/>
      <name val="Calibre"/>
    </font>
    <font>
      <sz val="10"/>
      <name val="Arial"/>
      <family val="2"/>
    </font>
    <font>
      <u/>
      <sz val="11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0" fontId="14" fillId="0" borderId="0" xfId="0" applyFont="1" applyAlignment="1">
      <alignment horizontal="left"/>
    </xf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44" fontId="2" fillId="0" borderId="0" xfId="0" applyNumberFormat="1" applyFont="1" applyAlignment="1">
      <alignment horizontal="right" indent="1"/>
    </xf>
    <xf numFmtId="1" fontId="2" fillId="0" borderId="0" xfId="0" applyNumberFormat="1" applyFont="1" applyAlignment="1">
      <alignment horizontal="left" indent="5"/>
    </xf>
    <xf numFmtId="164" fontId="2" fillId="0" borderId="0" xfId="2" applyNumberFormat="1" applyFont="1" applyAlignment="1">
      <alignment horizontal="right" indent="1"/>
    </xf>
    <xf numFmtId="164" fontId="2" fillId="0" borderId="0" xfId="0" applyNumberFormat="1" applyFont="1" applyAlignment="1">
      <alignment horizontal="right" indent="1"/>
    </xf>
    <xf numFmtId="0" fontId="16" fillId="0" borderId="0" xfId="3" applyFont="1"/>
    <xf numFmtId="9" fontId="13" fillId="0" borderId="0" xfId="0" applyNumberFormat="1" applyFont="1"/>
    <xf numFmtId="9" fontId="12" fillId="0" borderId="0" xfId="0" applyNumberFormat="1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5" fontId="13" fillId="0" borderId="0" xfId="0" applyNumberFormat="1" applyFont="1" applyAlignment="1">
      <alignment vertical="top"/>
    </xf>
    <xf numFmtId="166" fontId="13" fillId="0" borderId="0" xfId="1" applyNumberFormat="1" applyFont="1" applyAlignment="1">
      <alignment vertical="top"/>
    </xf>
    <xf numFmtId="0" fontId="12" fillId="0" borderId="0" xfId="0" applyFont="1" applyAlignment="1">
      <alignment vertical="top"/>
    </xf>
    <xf numFmtId="14" fontId="13" fillId="0" borderId="0" xfId="0" applyNumberFormat="1" applyFont="1" applyAlignment="1">
      <alignment horizontal="left" vertical="top"/>
    </xf>
    <xf numFmtId="2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/>
    </xf>
    <xf numFmtId="0" fontId="18" fillId="0" borderId="0" xfId="0" applyFont="1"/>
    <xf numFmtId="10" fontId="0" fillId="0" borderId="0" xfId="0" applyNumberFormat="1"/>
    <xf numFmtId="0" fontId="0" fillId="0" borderId="18" xfId="0" applyBorder="1"/>
    <xf numFmtId="0" fontId="9" fillId="0" borderId="17" xfId="0" applyFont="1" applyBorder="1" applyAlignment="1">
      <alignment horizontal="center"/>
    </xf>
    <xf numFmtId="0" fontId="19" fillId="0" borderId="0" xfId="3" applyFont="1"/>
    <xf numFmtId="10" fontId="2" fillId="0" borderId="0" xfId="1" applyNumberFormat="1" applyFont="1"/>
    <xf numFmtId="165" fontId="2" fillId="0" borderId="0" xfId="0" applyNumberFormat="1" applyFont="1"/>
    <xf numFmtId="165" fontId="3" fillId="0" borderId="0" xfId="0" applyNumberFormat="1" applyFont="1"/>
    <xf numFmtId="166" fontId="2" fillId="0" borderId="0" xfId="1" applyNumberFormat="1" applyFont="1"/>
    <xf numFmtId="166" fontId="3" fillId="0" borderId="0" xfId="1" applyNumberFormat="1" applyFont="1"/>
    <xf numFmtId="0" fontId="17" fillId="0" borderId="0" xfId="0" applyFont="1" applyAlignment="1">
      <alignment horizont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(EW)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6"/>
          <c:order val="0"/>
          <c:tx>
            <c:strRef>
              <c:f>Model!$B$4</c:f>
              <c:strCache>
                <c:ptCount val="1"/>
                <c:pt idx="0">
                  <c:v>Transcath. Aortic Valve Replacement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Model!$AQ$1:$BM$1</c:f>
              <c:strCache>
                <c:ptCount val="21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</c:strCache>
            </c:strRef>
          </c:cat>
          <c:val>
            <c:numRef>
              <c:f>Model!$AQ$4:$BM$4</c:f>
              <c:numCache>
                <c:formatCode>0.0</c:formatCode>
                <c:ptCount val="23"/>
                <c:pt idx="0">
                  <c:v>742.2</c:v>
                </c:pt>
                <c:pt idx="1">
                  <c:v>594.29999999999995</c:v>
                </c:pt>
                <c:pt idx="2">
                  <c:v>744.6</c:v>
                </c:pt>
                <c:pt idx="3">
                  <c:v>776.20000000000027</c:v>
                </c:pt>
                <c:pt idx="4">
                  <c:v>791.7</c:v>
                </c:pt>
                <c:pt idx="5">
                  <c:v>901.5</c:v>
                </c:pt>
                <c:pt idx="6">
                  <c:v>857.8</c:v>
                </c:pt>
                <c:pt idx="7">
                  <c:v>871.5</c:v>
                </c:pt>
                <c:pt idx="8">
                  <c:v>881.3</c:v>
                </c:pt>
                <c:pt idx="9">
                  <c:v>906.9</c:v>
                </c:pt>
                <c:pt idx="10">
                  <c:v>862.3</c:v>
                </c:pt>
                <c:pt idx="11">
                  <c:v>867.69999999999982</c:v>
                </c:pt>
                <c:pt idx="12">
                  <c:v>947.9</c:v>
                </c:pt>
                <c:pt idx="13">
                  <c:v>991.6</c:v>
                </c:pt>
                <c:pt idx="14">
                  <c:v>960.9</c:v>
                </c:pt>
                <c:pt idx="15">
                  <c:v>979.40000000000009</c:v>
                </c:pt>
                <c:pt idx="16">
                  <c:v>1007.9</c:v>
                </c:pt>
                <c:pt idx="17">
                  <c:v>1038.5999999999999</c:v>
                </c:pt>
                <c:pt idx="18">
                  <c:v>1023.3</c:v>
                </c:pt>
                <c:pt idx="19">
                  <c:v>1036.3000000000002</c:v>
                </c:pt>
                <c:pt idx="20">
                  <c:v>1046.5999999999999</c:v>
                </c:pt>
                <c:pt idx="21" formatCode="General">
                  <c:v>1130.9000000000001</c:v>
                </c:pt>
                <c:pt idx="22">
                  <c:v>1149.9000000000001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3E-43B3-B662-D76C6E829219}"/>
            </c:ext>
          </c:extLst>
        </c:ser>
        <c:ser>
          <c:idx val="7"/>
          <c:order val="1"/>
          <c:tx>
            <c:strRef>
              <c:f>Model!$B$5</c:f>
              <c:strCache>
                <c:ptCount val="1"/>
                <c:pt idx="0">
                  <c:v>Transcath. Mitral &amp; Tricuspid Therapies</c:v>
                </c:pt>
              </c:strCache>
            </c:strRef>
          </c:tx>
          <c:spPr>
            <a:solidFill>
              <a:srgbClr val="5881CC"/>
            </a:solidFill>
            <a:ln>
              <a:noFill/>
            </a:ln>
            <a:effectLst/>
          </c:spPr>
          <c:invertIfNegative val="0"/>
          <c:cat>
            <c:strRef>
              <c:f>Model!$AQ$1:$BM$1</c:f>
              <c:strCache>
                <c:ptCount val="21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</c:strCache>
            </c:strRef>
          </c:cat>
          <c:val>
            <c:numRef>
              <c:f>Model!$AQ$5:$BM$5</c:f>
              <c:numCache>
                <c:formatCode>0.0</c:formatCode>
                <c:ptCount val="23"/>
                <c:pt idx="0">
                  <c:v>10.5</c:v>
                </c:pt>
                <c:pt idx="1">
                  <c:v>6.1</c:v>
                </c:pt>
                <c:pt idx="2">
                  <c:v>12.1</c:v>
                </c:pt>
                <c:pt idx="3">
                  <c:v>13.099999999999994</c:v>
                </c:pt>
                <c:pt idx="4">
                  <c:v>16.3</c:v>
                </c:pt>
                <c:pt idx="5">
                  <c:v>22.1</c:v>
                </c:pt>
                <c:pt idx="6">
                  <c:v>22.3</c:v>
                </c:pt>
                <c:pt idx="7">
                  <c:v>25.299999999999997</c:v>
                </c:pt>
                <c:pt idx="8">
                  <c:v>27</c:v>
                </c:pt>
                <c:pt idx="9">
                  <c:v>27.9</c:v>
                </c:pt>
                <c:pt idx="10">
                  <c:v>29.7</c:v>
                </c:pt>
                <c:pt idx="11">
                  <c:v>31.5</c:v>
                </c:pt>
                <c:pt idx="12">
                  <c:v>41.6</c:v>
                </c:pt>
                <c:pt idx="13">
                  <c:v>47.6</c:v>
                </c:pt>
                <c:pt idx="14">
                  <c:v>52.4</c:v>
                </c:pt>
                <c:pt idx="15">
                  <c:v>56</c:v>
                </c:pt>
                <c:pt idx="16">
                  <c:v>72.900000000000006</c:v>
                </c:pt>
                <c:pt idx="17">
                  <c:v>83</c:v>
                </c:pt>
                <c:pt idx="18">
                  <c:v>91.1</c:v>
                </c:pt>
                <c:pt idx="19">
                  <c:v>105.10000000000002</c:v>
                </c:pt>
                <c:pt idx="20">
                  <c:v>115.2</c:v>
                </c:pt>
                <c:pt idx="21" formatCode="General">
                  <c:v>134.5</c:v>
                </c:pt>
                <c:pt idx="22">
                  <c:v>145.19999999999999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3E-43B3-B662-D76C6E829219}"/>
            </c:ext>
          </c:extLst>
        </c:ser>
        <c:ser>
          <c:idx val="8"/>
          <c:order val="2"/>
          <c:tx>
            <c:strRef>
              <c:f>Model!$B$6</c:f>
              <c:strCache>
                <c:ptCount val="1"/>
                <c:pt idx="0">
                  <c:v>Surgical Structural Heart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Model!$AQ$1:$BM$1</c:f>
              <c:strCache>
                <c:ptCount val="21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</c:strCache>
            </c:strRef>
          </c:cat>
          <c:val>
            <c:numRef>
              <c:f>Model!$AQ$6:$BM$6</c:f>
              <c:numCache>
                <c:formatCode>0.0</c:formatCode>
                <c:ptCount val="23"/>
                <c:pt idx="0">
                  <c:v>193.4</c:v>
                </c:pt>
                <c:pt idx="1">
                  <c:v>160.9</c:v>
                </c:pt>
                <c:pt idx="2">
                  <c:v>203.3</c:v>
                </c:pt>
                <c:pt idx="3">
                  <c:v>204.19999999999993</c:v>
                </c:pt>
                <c:pt idx="4">
                  <c:v>213</c:v>
                </c:pt>
                <c:pt idx="5">
                  <c:v>237.4</c:v>
                </c:pt>
                <c:pt idx="6">
                  <c:v>217.4</c:v>
                </c:pt>
                <c:pt idx="7">
                  <c:v>221.30000000000007</c:v>
                </c:pt>
                <c:pt idx="8">
                  <c:v>220.8</c:v>
                </c:pt>
                <c:pt idx="9">
                  <c:v>228.5</c:v>
                </c:pt>
                <c:pt idx="10">
                  <c:v>219.7</c:v>
                </c:pt>
                <c:pt idx="11">
                  <c:v>224.10000000000002</c:v>
                </c:pt>
                <c:pt idx="12">
                  <c:v>248.2</c:v>
                </c:pt>
                <c:pt idx="13">
                  <c:v>256.3</c:v>
                </c:pt>
                <c:pt idx="14">
                  <c:v>246.6</c:v>
                </c:pt>
                <c:pt idx="15">
                  <c:v>248.19999999999993</c:v>
                </c:pt>
                <c:pt idx="16">
                  <c:v>249.1</c:v>
                </c:pt>
                <c:pt idx="17">
                  <c:v>247.8</c:v>
                </c:pt>
                <c:pt idx="18">
                  <c:v>240</c:v>
                </c:pt>
                <c:pt idx="19">
                  <c:v>244.39999999999998</c:v>
                </c:pt>
                <c:pt idx="20">
                  <c:v>250.9</c:v>
                </c:pt>
                <c:pt idx="21" formatCode="General">
                  <c:v>266.8</c:v>
                </c:pt>
                <c:pt idx="22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9"/>
          <c:order val="3"/>
          <c:tx>
            <c:strRef>
              <c:f>Model!$B$7</c:f>
              <c:strCache>
                <c:ptCount val="1"/>
                <c:pt idx="0">
                  <c:v>Critical Care</c:v>
                </c:pt>
              </c:strCache>
            </c:strRef>
          </c:tx>
          <c:spPr>
            <a:solidFill>
              <a:srgbClr val="CF73AA"/>
            </a:solidFill>
            <a:ln>
              <a:noFill/>
            </a:ln>
            <a:effectLst/>
          </c:spPr>
          <c:invertIfNegative val="0"/>
          <c:cat>
            <c:strRef>
              <c:f>Model!$AQ$1:$BM$1</c:f>
              <c:strCache>
                <c:ptCount val="21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</c:strCache>
            </c:strRef>
          </c:cat>
          <c:val>
            <c:numRef>
              <c:f>Model!$AQ$7:$BM$7</c:f>
              <c:numCache>
                <c:formatCode>0.0</c:formatCode>
                <c:ptCount val="23"/>
                <c:pt idx="0">
                  <c:v>182.6</c:v>
                </c:pt>
                <c:pt idx="1">
                  <c:v>163.69999999999999</c:v>
                </c:pt>
                <c:pt idx="2">
                  <c:v>180.9</c:v>
                </c:pt>
                <c:pt idx="3">
                  <c:v>198.20000000000005</c:v>
                </c:pt>
                <c:pt idx="4">
                  <c:v>195.6</c:v>
                </c:pt>
                <c:pt idx="5">
                  <c:v>215</c:v>
                </c:pt>
                <c:pt idx="6">
                  <c:v>212.7</c:v>
                </c:pt>
                <c:pt idx="7">
                  <c:v>211.60000000000002</c:v>
                </c:pt>
                <c:pt idx="8">
                  <c:v>212.1</c:v>
                </c:pt>
                <c:pt idx="9">
                  <c:v>210.6</c:v>
                </c:pt>
                <c:pt idx="10">
                  <c:v>207.3</c:v>
                </c:pt>
                <c:pt idx="11">
                  <c:v>225</c:v>
                </c:pt>
                <c:pt idx="12">
                  <c:v>221.9</c:v>
                </c:pt>
                <c:pt idx="13">
                  <c:v>234.7</c:v>
                </c:pt>
                <c:pt idx="14">
                  <c:v>221</c:v>
                </c:pt>
                <c:pt idx="15">
                  <c:v>250.5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(EW)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Model!$AQ$55:$BM$55</c:f>
              <c:numCache>
                <c:formatCode>0.0</c:formatCode>
                <c:ptCount val="23"/>
                <c:pt idx="0">
                  <c:v>310.59999999999997</c:v>
                </c:pt>
                <c:pt idx="1">
                  <c:v>-121.90000000000005</c:v>
                </c:pt>
                <c:pt idx="2">
                  <c:v>325.2000000000001</c:v>
                </c:pt>
                <c:pt idx="3">
                  <c:v>309.50000000000023</c:v>
                </c:pt>
                <c:pt idx="4">
                  <c:v>338.2</c:v>
                </c:pt>
                <c:pt idx="5">
                  <c:v>489.50000000000011</c:v>
                </c:pt>
                <c:pt idx="6">
                  <c:v>340.09999999999997</c:v>
                </c:pt>
                <c:pt idx="7">
                  <c:v>335.39999999999964</c:v>
                </c:pt>
                <c:pt idx="8">
                  <c:v>373.59999999999985</c:v>
                </c:pt>
                <c:pt idx="9">
                  <c:v>406.4</c:v>
                </c:pt>
                <c:pt idx="10">
                  <c:v>343.50000000000006</c:v>
                </c:pt>
                <c:pt idx="11">
                  <c:v>398.39999999999964</c:v>
                </c:pt>
                <c:pt idx="12">
                  <c:v>340.50000000000006</c:v>
                </c:pt>
                <c:pt idx="13">
                  <c:v>305.50000000000006</c:v>
                </c:pt>
                <c:pt idx="14">
                  <c:v>383.69999999999982</c:v>
                </c:pt>
                <c:pt idx="15">
                  <c:v>369.69999999999982</c:v>
                </c:pt>
                <c:pt idx="16">
                  <c:v>324.90000000000009</c:v>
                </c:pt>
                <c:pt idx="17">
                  <c:v>363.99999999999989</c:v>
                </c:pt>
                <c:pt idx="18">
                  <c:v>362.10000000000014</c:v>
                </c:pt>
                <c:pt idx="19">
                  <c:v>345</c:v>
                </c:pt>
                <c:pt idx="20">
                  <c:v>363.59999999999997</c:v>
                </c:pt>
                <c:pt idx="21">
                  <c:v>335.90000000000003</c:v>
                </c:pt>
                <c:pt idx="22">
                  <c:v>292.30000000000013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Model!$AQ$110:$BM$110</c:f>
              <c:numCache>
                <c:formatCode>General</c:formatCode>
                <c:ptCount val="23"/>
                <c:pt idx="0">
                  <c:v>124.89999999999999</c:v>
                </c:pt>
                <c:pt idx="1">
                  <c:v>123.00000000000001</c:v>
                </c:pt>
                <c:pt idx="2">
                  <c:v>112.8</c:v>
                </c:pt>
                <c:pt idx="3">
                  <c:v>286.60000000000002</c:v>
                </c:pt>
                <c:pt idx="4">
                  <c:v>194.5</c:v>
                </c:pt>
                <c:pt idx="5">
                  <c:v>456.8</c:v>
                </c:pt>
                <c:pt idx="6">
                  <c:v>471.2</c:v>
                </c:pt>
                <c:pt idx="7">
                  <c:v>283.8</c:v>
                </c:pt>
                <c:pt idx="8">
                  <c:v>220.60000000000002</c:v>
                </c:pt>
                <c:pt idx="9">
                  <c:v>289.09999999999997</c:v>
                </c:pt>
                <c:pt idx="10">
                  <c:v>249.99999999999997</c:v>
                </c:pt>
                <c:pt idx="11">
                  <c:v>213.9</c:v>
                </c:pt>
                <c:pt idx="12">
                  <c:v>252.60000000000002</c:v>
                </c:pt>
                <c:pt idx="13">
                  <c:v>-14.299999999999997</c:v>
                </c:pt>
                <c:pt idx="14">
                  <c:v>356.2</c:v>
                </c:pt>
                <c:pt idx="15">
                  <c:v>48.3</c:v>
                </c:pt>
                <c:pt idx="16">
                  <c:v>-118.8</c:v>
                </c:pt>
                <c:pt idx="17">
                  <c:v>286.10000000000002</c:v>
                </c:pt>
                <c:pt idx="18">
                  <c:v>299.90000000000003</c:v>
                </c:pt>
                <c:pt idx="19">
                  <c:v>-177.3</c:v>
                </c:pt>
                <c:pt idx="20">
                  <c:v>224.39999999999998</c:v>
                </c:pt>
                <c:pt idx="21">
                  <c:v>240.89999999999998</c:v>
                </c:pt>
                <c:pt idx="22">
                  <c:v>516.20000000000005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cat>
            <c:strRef>
              <c:f>Model!$AQ$1:$BM$1</c:f>
              <c:strCache>
                <c:ptCount val="21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</c:strCache>
            </c:strRef>
          </c:cat>
          <c:val>
            <c:numRef>
              <c:f>Model!$AQ$38:$BM$38</c:f>
              <c:numCache>
                <c:formatCode>0.0</c:formatCode>
                <c:ptCount val="23"/>
                <c:pt idx="0">
                  <c:v>1128.7</c:v>
                </c:pt>
                <c:pt idx="1">
                  <c:v>925</c:v>
                </c:pt>
                <c:pt idx="2">
                  <c:v>1140.9000000000001</c:v>
                </c:pt>
                <c:pt idx="3">
                  <c:v>1191.7000000000003</c:v>
                </c:pt>
                <c:pt idx="4">
                  <c:v>1216.5999999999999</c:v>
                </c:pt>
                <c:pt idx="5">
                  <c:v>1376</c:v>
                </c:pt>
                <c:pt idx="6">
                  <c:v>1310.2</c:v>
                </c:pt>
                <c:pt idx="7">
                  <c:v>1329.6999999999998</c:v>
                </c:pt>
                <c:pt idx="8">
                  <c:v>1341.1999999999998</c:v>
                </c:pt>
                <c:pt idx="9">
                  <c:v>1373.8999999999999</c:v>
                </c:pt>
                <c:pt idx="10">
                  <c:v>1319</c:v>
                </c:pt>
                <c:pt idx="11">
                  <c:v>1348.2999999999997</c:v>
                </c:pt>
                <c:pt idx="12">
                  <c:v>1459.6000000000001</c:v>
                </c:pt>
                <c:pt idx="13">
                  <c:v>1530.2</c:v>
                </c:pt>
                <c:pt idx="14">
                  <c:v>1480.8999999999999</c:v>
                </c:pt>
                <c:pt idx="15">
                  <c:v>1534.1</c:v>
                </c:pt>
                <c:pt idx="16">
                  <c:v>1329.8999999999999</c:v>
                </c:pt>
                <c:pt idx="17">
                  <c:v>1369.3999999999999</c:v>
                </c:pt>
                <c:pt idx="18">
                  <c:v>1354.3999999999999</c:v>
                </c:pt>
                <c:pt idx="19">
                  <c:v>1385.8000000000002</c:v>
                </c:pt>
                <c:pt idx="20">
                  <c:v>1412.7</c:v>
                </c:pt>
                <c:pt idx="21">
                  <c:v>1532.2</c:v>
                </c:pt>
                <c:pt idx="22">
                  <c:v>1553.1000000000001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(EW) Historical Return Histogram + Normal Distribution Overlay</a:t>
            </a:r>
          </a:p>
        </c:rich>
      </c:tx>
      <c:layout>
        <c:manualLayout>
          <c:xMode val="edge"/>
          <c:yMode val="edge"/>
          <c:x val="0.26993827160493827"/>
          <c:y val="9.084836817195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4362787984838E-2"/>
          <c:y val="6.1527057344455703E-2"/>
          <c:w val="0.93313376105764534"/>
          <c:h val="0.872157568268167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Analysis'!$I$212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2286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Analysis'!$I$214:$I$252</c:f>
              <c:numCache>
                <c:formatCode>0.00%</c:formatCode>
                <c:ptCount val="39"/>
                <c:pt idx="0">
                  <c:v>-4.7500000000000001E-2</c:v>
                </c:pt>
                <c:pt idx="1">
                  <c:v>-4.4999999999999998E-2</c:v>
                </c:pt>
                <c:pt idx="2">
                  <c:v>-4.2500000000000003E-2</c:v>
                </c:pt>
                <c:pt idx="3">
                  <c:v>-0.04</c:v>
                </c:pt>
                <c:pt idx="4">
                  <c:v>-3.7499999999999999E-2</c:v>
                </c:pt>
                <c:pt idx="5">
                  <c:v>-3.5000000000000003E-2</c:v>
                </c:pt>
                <c:pt idx="6">
                  <c:v>-3.2500000000000001E-2</c:v>
                </c:pt>
                <c:pt idx="7">
                  <c:v>-0.03</c:v>
                </c:pt>
                <c:pt idx="8">
                  <c:v>-2.75E-2</c:v>
                </c:pt>
                <c:pt idx="9">
                  <c:v>-2.5000000000000001E-2</c:v>
                </c:pt>
                <c:pt idx="10">
                  <c:v>-2.2499999999999999E-2</c:v>
                </c:pt>
                <c:pt idx="11">
                  <c:v>-0.02</c:v>
                </c:pt>
                <c:pt idx="12">
                  <c:v>-1.7500000000000002E-2</c:v>
                </c:pt>
                <c:pt idx="13">
                  <c:v>-1.4999999999999999E-2</c:v>
                </c:pt>
                <c:pt idx="14">
                  <c:v>-1.2500000000000001E-2</c:v>
                </c:pt>
                <c:pt idx="15">
                  <c:v>-0.01</c:v>
                </c:pt>
                <c:pt idx="16">
                  <c:v>-7.4999999999999997E-3</c:v>
                </c:pt>
                <c:pt idx="17">
                  <c:v>-5.0000000000000001E-3</c:v>
                </c:pt>
                <c:pt idx="18">
                  <c:v>-2.5000000000000001E-3</c:v>
                </c:pt>
                <c:pt idx="19">
                  <c:v>0</c:v>
                </c:pt>
                <c:pt idx="20">
                  <c:v>2.5000000000000001E-3</c:v>
                </c:pt>
                <c:pt idx="21">
                  <c:v>5.0000000000000001E-3</c:v>
                </c:pt>
                <c:pt idx="22">
                  <c:v>7.4999999999999997E-3</c:v>
                </c:pt>
                <c:pt idx="23">
                  <c:v>0.01</c:v>
                </c:pt>
                <c:pt idx="24">
                  <c:v>1.2500000000000001E-2</c:v>
                </c:pt>
                <c:pt idx="25">
                  <c:v>1.4999999999999999E-2</c:v>
                </c:pt>
                <c:pt idx="26">
                  <c:v>1.7500000000000002E-2</c:v>
                </c:pt>
                <c:pt idx="27">
                  <c:v>0.02</c:v>
                </c:pt>
                <c:pt idx="28">
                  <c:v>2.2499999999999999E-2</c:v>
                </c:pt>
                <c:pt idx="29">
                  <c:v>2.5000000000000001E-2</c:v>
                </c:pt>
                <c:pt idx="30">
                  <c:v>2.75E-2</c:v>
                </c:pt>
                <c:pt idx="31">
                  <c:v>0.03</c:v>
                </c:pt>
                <c:pt idx="32">
                  <c:v>3.2500000000000001E-2</c:v>
                </c:pt>
                <c:pt idx="33">
                  <c:v>3.5000000000000003E-2</c:v>
                </c:pt>
                <c:pt idx="34">
                  <c:v>3.7499999999999999E-2</c:v>
                </c:pt>
                <c:pt idx="35">
                  <c:v>0.04</c:v>
                </c:pt>
                <c:pt idx="36">
                  <c:v>4.2500000000000003E-2</c:v>
                </c:pt>
                <c:pt idx="37">
                  <c:v>4.4999999999999998E-2</c:v>
                </c:pt>
                <c:pt idx="38">
                  <c:v>4.7500000000000001E-2</c:v>
                </c:pt>
              </c:numCache>
            </c:numRef>
          </c:xVal>
          <c:yVal>
            <c:numRef>
              <c:f>'Notes | Quant Analysis'!$J$214:$J$252</c:f>
              <c:numCache>
                <c:formatCode>General</c:formatCode>
                <c:ptCount val="39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7</c:v>
                </c:pt>
                <c:pt idx="8">
                  <c:v>18</c:v>
                </c:pt>
                <c:pt idx="9">
                  <c:v>13</c:v>
                </c:pt>
                <c:pt idx="10">
                  <c:v>22</c:v>
                </c:pt>
                <c:pt idx="11">
                  <c:v>24</c:v>
                </c:pt>
                <c:pt idx="12">
                  <c:v>28</c:v>
                </c:pt>
                <c:pt idx="13">
                  <c:v>35</c:v>
                </c:pt>
                <c:pt idx="14">
                  <c:v>56</c:v>
                </c:pt>
                <c:pt idx="15">
                  <c:v>64</c:v>
                </c:pt>
                <c:pt idx="16">
                  <c:v>71</c:v>
                </c:pt>
                <c:pt idx="17">
                  <c:v>81</c:v>
                </c:pt>
                <c:pt idx="18">
                  <c:v>88</c:v>
                </c:pt>
                <c:pt idx="19">
                  <c:v>92</c:v>
                </c:pt>
                <c:pt idx="20">
                  <c:v>77</c:v>
                </c:pt>
                <c:pt idx="21">
                  <c:v>103</c:v>
                </c:pt>
                <c:pt idx="22">
                  <c:v>73</c:v>
                </c:pt>
                <c:pt idx="23">
                  <c:v>82</c:v>
                </c:pt>
                <c:pt idx="24">
                  <c:v>66</c:v>
                </c:pt>
                <c:pt idx="25">
                  <c:v>49</c:v>
                </c:pt>
                <c:pt idx="26">
                  <c:v>40</c:v>
                </c:pt>
                <c:pt idx="27">
                  <c:v>32</c:v>
                </c:pt>
                <c:pt idx="28">
                  <c:v>34</c:v>
                </c:pt>
                <c:pt idx="29">
                  <c:v>19</c:v>
                </c:pt>
                <c:pt idx="30">
                  <c:v>16</c:v>
                </c:pt>
                <c:pt idx="31">
                  <c:v>14</c:v>
                </c:pt>
                <c:pt idx="32">
                  <c:v>7</c:v>
                </c:pt>
                <c:pt idx="33">
                  <c:v>6</c:v>
                </c:pt>
                <c:pt idx="34">
                  <c:v>1</c:v>
                </c:pt>
                <c:pt idx="35">
                  <c:v>3</c:v>
                </c:pt>
                <c:pt idx="36">
                  <c:v>1</c:v>
                </c:pt>
                <c:pt idx="37">
                  <c:v>5</c:v>
                </c:pt>
                <c:pt idx="3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7-4862-86E9-AF862A5BA0AD}"/>
            </c:ext>
          </c:extLst>
        </c:ser>
        <c:ser>
          <c:idx val="1"/>
          <c:order val="1"/>
          <c:tx>
            <c:strRef>
              <c:f>'Notes | Quant Analysis'!$L$212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Analysis'!$L$214:$L$254</c:f>
              <c:numCache>
                <c:formatCode>0.00%</c:formatCode>
                <c:ptCount val="41"/>
                <c:pt idx="0">
                  <c:v>-0.05</c:v>
                </c:pt>
                <c:pt idx="1">
                  <c:v>-4.7500000000000001E-2</c:v>
                </c:pt>
                <c:pt idx="2">
                  <c:v>-4.4999999999999998E-2</c:v>
                </c:pt>
                <c:pt idx="3">
                  <c:v>-4.2500000000000003E-2</c:v>
                </c:pt>
                <c:pt idx="4">
                  <c:v>-0.04</c:v>
                </c:pt>
                <c:pt idx="5">
                  <c:v>-3.7499999999999999E-2</c:v>
                </c:pt>
                <c:pt idx="6">
                  <c:v>-3.5000000000000003E-2</c:v>
                </c:pt>
                <c:pt idx="7">
                  <c:v>-3.2500000000000001E-2</c:v>
                </c:pt>
                <c:pt idx="8">
                  <c:v>-0.03</c:v>
                </c:pt>
                <c:pt idx="9">
                  <c:v>-2.75E-2</c:v>
                </c:pt>
                <c:pt idx="10">
                  <c:v>-2.5000000000000001E-2</c:v>
                </c:pt>
                <c:pt idx="11">
                  <c:v>-2.2499999999999999E-2</c:v>
                </c:pt>
                <c:pt idx="12">
                  <c:v>-0.02</c:v>
                </c:pt>
                <c:pt idx="13">
                  <c:v>-1.7500000000000002E-2</c:v>
                </c:pt>
                <c:pt idx="14">
                  <c:v>-1.4999999999999999E-2</c:v>
                </c:pt>
                <c:pt idx="15">
                  <c:v>-1.2500000000000001E-2</c:v>
                </c:pt>
                <c:pt idx="16">
                  <c:v>-0.01</c:v>
                </c:pt>
                <c:pt idx="17">
                  <c:v>-7.4999999999999997E-3</c:v>
                </c:pt>
                <c:pt idx="18">
                  <c:v>-5.0000000000000001E-3</c:v>
                </c:pt>
                <c:pt idx="19">
                  <c:v>-2.5000000000000001E-3</c:v>
                </c:pt>
                <c:pt idx="20">
                  <c:v>0</c:v>
                </c:pt>
                <c:pt idx="21">
                  <c:v>2.5000000000000001E-3</c:v>
                </c:pt>
                <c:pt idx="22">
                  <c:v>5.0000000000000001E-3</c:v>
                </c:pt>
                <c:pt idx="23">
                  <c:v>7.4999999999999997E-3</c:v>
                </c:pt>
                <c:pt idx="24">
                  <c:v>0.01</c:v>
                </c:pt>
                <c:pt idx="25">
                  <c:v>1.2500000000000001E-2</c:v>
                </c:pt>
                <c:pt idx="26">
                  <c:v>1.4999999999999999E-2</c:v>
                </c:pt>
                <c:pt idx="27">
                  <c:v>1.7500000000000002E-2</c:v>
                </c:pt>
                <c:pt idx="28">
                  <c:v>0.02</c:v>
                </c:pt>
                <c:pt idx="29">
                  <c:v>2.2499999999999999E-2</c:v>
                </c:pt>
                <c:pt idx="30">
                  <c:v>2.5000000000000001E-2</c:v>
                </c:pt>
                <c:pt idx="31">
                  <c:v>2.75E-2</c:v>
                </c:pt>
                <c:pt idx="32">
                  <c:v>0.03</c:v>
                </c:pt>
                <c:pt idx="33">
                  <c:v>3.2500000000000001E-2</c:v>
                </c:pt>
                <c:pt idx="34">
                  <c:v>3.5000000000000003E-2</c:v>
                </c:pt>
                <c:pt idx="35">
                  <c:v>3.7499999999999999E-2</c:v>
                </c:pt>
                <c:pt idx="36">
                  <c:v>0.04</c:v>
                </c:pt>
                <c:pt idx="37">
                  <c:v>4.2500000000000003E-2</c:v>
                </c:pt>
                <c:pt idx="38">
                  <c:v>4.4999999999999998E-2</c:v>
                </c:pt>
                <c:pt idx="39">
                  <c:v>4.7500000000000001E-2</c:v>
                </c:pt>
                <c:pt idx="40">
                  <c:v>0.05</c:v>
                </c:pt>
              </c:numCache>
            </c:numRef>
          </c:xVal>
          <c:yVal>
            <c:numRef>
              <c:f>'Notes | Quant Analysis'!$M$214:$M$254</c:f>
              <c:numCache>
                <c:formatCode>General</c:formatCode>
                <c:ptCount val="41"/>
                <c:pt idx="0">
                  <c:v>0.12091709758752546</c:v>
                </c:pt>
                <c:pt idx="1">
                  <c:v>0.20350745795496969</c:v>
                </c:pt>
                <c:pt idx="2">
                  <c:v>0.33354084740578577</c:v>
                </c:pt>
                <c:pt idx="3">
                  <c:v>0.53234577193054944</c:v>
                </c:pt>
                <c:pt idx="4">
                  <c:v>0.82739839358786682</c:v>
                </c:pt>
                <c:pt idx="5">
                  <c:v>1.2523093427166656</c:v>
                </c:pt>
                <c:pt idx="6">
                  <c:v>1.8458000388851896</c:v>
                </c:pt>
                <c:pt idx="7">
                  <c:v>2.6493160100187918</c:v>
                </c:pt>
                <c:pt idx="8">
                  <c:v>3.7030447476628825</c:v>
                </c:pt>
                <c:pt idx="9">
                  <c:v>5.0403447132000787</c:v>
                </c:pt>
                <c:pt idx="10">
                  <c:v>6.6809404585486689</c:v>
                </c:pt>
                <c:pt idx="11">
                  <c:v>8.6236484992663147</c:v>
                </c:pt>
                <c:pt idx="12">
                  <c:v>10.839782653403358</c:v>
                </c:pt>
                <c:pt idx="13">
                  <c:v>13.268633100576757</c:v>
                </c:pt>
                <c:pt idx="14">
                  <c:v>15.816408718776922</c:v>
                </c:pt>
                <c:pt idx="15">
                  <c:v>18.359703198702395</c:v>
                </c:pt>
                <c:pt idx="16">
                  <c:v>20.753890262084507</c:v>
                </c:pt>
                <c:pt idx="17">
                  <c:v>22.845962462497859</c:v>
                </c:pt>
                <c:pt idx="18">
                  <c:v>24.49037779393641</c:v>
                </c:pt>
                <c:pt idx="19">
                  <c:v>25.565694412554969</c:v>
                </c:pt>
                <c:pt idx="20">
                  <c:v>25.989371986609481</c:v>
                </c:pt>
                <c:pt idx="21">
                  <c:v>25.728238912750889</c:v>
                </c:pt>
                <c:pt idx="22">
                  <c:v>24.802783228436152</c:v>
                </c:pt>
                <c:pt idx="23">
                  <c:v>23.284496877044944</c:v>
                </c:pt>
                <c:pt idx="24">
                  <c:v>21.286751090715182</c:v>
                </c:pt>
                <c:pt idx="25">
                  <c:v>18.950819210992371</c:v>
                </c:pt>
                <c:pt idx="26">
                  <c:v>16.429436874149609</c:v>
                </c:pt>
                <c:pt idx="27">
                  <c:v>13.870542602374115</c:v>
                </c:pt>
                <c:pt idx="28">
                  <c:v>11.403556169918335</c:v>
                </c:pt>
                <c:pt idx="29">
                  <c:v>9.1298416383888394</c:v>
                </c:pt>
                <c:pt idx="30">
                  <c:v>7.1180701865497609</c:v>
                </c:pt>
                <c:pt idx="31">
                  <c:v>5.404274130304545</c:v>
                </c:pt>
                <c:pt idx="32">
                  <c:v>3.9956602920456645</c:v>
                </c:pt>
                <c:pt idx="33">
                  <c:v>2.8768407915038936</c:v>
                </c:pt>
                <c:pt idx="34">
                  <c:v>2.0170616921338169</c:v>
                </c:pt>
                <c:pt idx="35">
                  <c:v>1.3772050852647613</c:v>
                </c:pt>
                <c:pt idx="36">
                  <c:v>0.91570194549064809</c:v>
                </c:pt>
                <c:pt idx="37">
                  <c:v>0.59290585503643323</c:v>
                </c:pt>
                <c:pt idx="38">
                  <c:v>0.37384659054440417</c:v>
                </c:pt>
                <c:pt idx="39">
                  <c:v>0.22954994466203918</c:v>
                </c:pt>
                <c:pt idx="40">
                  <c:v>0.13725780312197255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7-4862-86E9-AF862A5BA0AD}"/>
            </c:ext>
          </c:extLst>
        </c:ser>
        <c:ser>
          <c:idx val="2"/>
          <c:order val="2"/>
          <c:tx>
            <c:strRef>
              <c:f>'Notes | Quant Analysis'!$O$214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C7-4862-86E9-AF862A5BA0AD}"/>
                </c:ext>
              </c:extLst>
            </c:dLbl>
            <c:dLbl>
              <c:idx val="1"/>
              <c:layout>
                <c:manualLayout>
                  <c:x val="-6.2152739015260097E-2"/>
                  <c:y val="-2.579370030383004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32914542327936"/>
                      <c:h val="8.006737757653960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Analysis'!$P$214:$P$215</c:f>
              <c:numCache>
                <c:formatCode>0.00%</c:formatCode>
                <c:ptCount val="2"/>
                <c:pt idx="0">
                  <c:v>2.9856020984032303E-4</c:v>
                </c:pt>
                <c:pt idx="1">
                  <c:v>2.9856020984032303E-4</c:v>
                </c:pt>
              </c:numCache>
            </c:numRef>
          </c:xVal>
          <c:yVal>
            <c:numRef>
              <c:f>'Notes | Quant Analysis'!$Q$214:$Q$215</c:f>
              <c:numCache>
                <c:formatCode>General</c:formatCode>
                <c:ptCount val="2"/>
                <c:pt idx="0">
                  <c:v>0</c:v>
                </c:pt>
                <c:pt idx="1">
                  <c:v>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7-4862-86E9-AF862A5BA0AD}"/>
            </c:ext>
          </c:extLst>
        </c:ser>
        <c:ser>
          <c:idx val="3"/>
          <c:order val="3"/>
          <c:tx>
            <c:strRef>
              <c:f>'Notes | Quant Analysis'!$O$216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C7-4862-86E9-AF862A5BA0AD}"/>
                </c:ext>
              </c:extLst>
            </c:dLbl>
            <c:dLbl>
              <c:idx val="1"/>
              <c:layout>
                <c:manualLayout>
                  <c:x val="-4.0876832439786646E-2"/>
                  <c:y val="-4.50911315131022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Analysis'!$P$216:$P$217</c:f>
              <c:numCache>
                <c:formatCode>0.00%</c:formatCode>
                <c:ptCount val="2"/>
                <c:pt idx="0">
                  <c:v>-4.5743352549996535E-2</c:v>
                </c:pt>
                <c:pt idx="1">
                  <c:v>-4.5743352549996535E-2</c:v>
                </c:pt>
              </c:numCache>
            </c:numRef>
          </c:xVal>
          <c:yVal>
            <c:numRef>
              <c:f>'Notes | Quant Analysis'!$Q$216:$Q$217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7-4862-86E9-AF862A5BA0AD}"/>
            </c:ext>
          </c:extLst>
        </c:ser>
        <c:ser>
          <c:idx val="4"/>
          <c:order val="4"/>
          <c:tx>
            <c:strRef>
              <c:f>'Notes | Quant Analysis'!$O$218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C7-4862-86E9-AF862A5BA0AD}"/>
                </c:ext>
              </c:extLst>
            </c:dLbl>
            <c:dLbl>
              <c:idx val="1"/>
              <c:layout>
                <c:manualLayout>
                  <c:x val="-3.7398297082779509E-2"/>
                  <c:y val="-3.472774588061978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Analysis'!$P$218:$P$219</c:f>
              <c:numCache>
                <c:formatCode>0.00%</c:formatCode>
                <c:ptCount val="2"/>
                <c:pt idx="0">
                  <c:v>-3.0396048296717583E-2</c:v>
                </c:pt>
                <c:pt idx="1">
                  <c:v>-3.0396048296717583E-2</c:v>
                </c:pt>
              </c:numCache>
            </c:numRef>
          </c:xVal>
          <c:yVal>
            <c:numRef>
              <c:f>'Notes | Quant Analysis'!$Q$218:$Q$219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C7-4862-86E9-AF862A5BA0AD}"/>
            </c:ext>
          </c:extLst>
        </c:ser>
        <c:ser>
          <c:idx val="5"/>
          <c:order val="5"/>
          <c:tx>
            <c:strRef>
              <c:f>'Notes | Quant Analysis'!$O$220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C7-4862-86E9-AF862A5BA0AD}"/>
                </c:ext>
              </c:extLst>
            </c:dLbl>
            <c:dLbl>
              <c:idx val="1"/>
              <c:layout>
                <c:manualLayout>
                  <c:x val="-4.8110558889884046E-2"/>
                  <c:y val="-4.00554356840314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Analysis'!$P$220:$P$221</c:f>
              <c:numCache>
                <c:formatCode>0.00%</c:formatCode>
                <c:ptCount val="2"/>
                <c:pt idx="0">
                  <c:v>-1.5048744043438629E-2</c:v>
                </c:pt>
                <c:pt idx="1">
                  <c:v>-1.5048744043438629E-2</c:v>
                </c:pt>
              </c:numCache>
            </c:numRef>
          </c:xVal>
          <c:yVal>
            <c:numRef>
              <c:f>'Notes | Quant Analysis'!$Q$220:$Q$221</c:f>
              <c:numCache>
                <c:formatCode>General</c:formatCode>
                <c:ptCount val="2"/>
                <c:pt idx="0">
                  <c:v>0</c:v>
                </c:pt>
                <c:pt idx="1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8C7-4862-86E9-AF862A5BA0AD}"/>
            </c:ext>
          </c:extLst>
        </c:ser>
        <c:ser>
          <c:idx val="6"/>
          <c:order val="6"/>
          <c:tx>
            <c:strRef>
              <c:f>'Notes | Quant Analysis'!$O$222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C7-4862-86E9-AF862A5BA0AD}"/>
                </c:ext>
              </c:extLst>
            </c:dLbl>
            <c:dLbl>
              <c:idx val="1"/>
              <c:layout>
                <c:manualLayout>
                  <c:x val="-4.2560802582794495E-2"/>
                  <c:y val="-4.0055435684031443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2D-40A7-A22D-BAD8FA8D6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Analysis'!$P$222:$P$223</c:f>
              <c:numCache>
                <c:formatCode>0.00%</c:formatCode>
                <c:ptCount val="2"/>
                <c:pt idx="0">
                  <c:v>1.5645864463119274E-2</c:v>
                </c:pt>
                <c:pt idx="1">
                  <c:v>1.5645864463119274E-2</c:v>
                </c:pt>
              </c:numCache>
            </c:numRef>
          </c:xVal>
          <c:yVal>
            <c:numRef>
              <c:f>'Notes | Quant Analysis'!$Q$222:$Q$223</c:f>
              <c:numCache>
                <c:formatCode>General</c:formatCode>
                <c:ptCount val="2"/>
                <c:pt idx="0">
                  <c:v>0</c:v>
                </c:pt>
                <c:pt idx="1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8C7-4862-86E9-AF862A5BA0AD}"/>
            </c:ext>
          </c:extLst>
        </c:ser>
        <c:ser>
          <c:idx val="7"/>
          <c:order val="7"/>
          <c:tx>
            <c:strRef>
              <c:f>'Notes | Quant Analysis'!$O$224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8C7-4862-86E9-AF862A5BA0AD}"/>
                </c:ext>
              </c:extLst>
            </c:dLbl>
            <c:dLbl>
              <c:idx val="1"/>
              <c:layout>
                <c:manualLayout>
                  <c:x val="-3.3828033187253352E-2"/>
                  <c:y val="-3.7493831318075807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Analysis'!$P$224:$P$225</c:f>
              <c:numCache>
                <c:formatCode>0.00%</c:formatCode>
                <c:ptCount val="2"/>
                <c:pt idx="0">
                  <c:v>3.0993168716398227E-2</c:v>
                </c:pt>
                <c:pt idx="1">
                  <c:v>3.0993168716398227E-2</c:v>
                </c:pt>
              </c:numCache>
            </c:numRef>
          </c:xVal>
          <c:yVal>
            <c:numRef>
              <c:f>'Notes | Quant Analysis'!$Q$224:$Q$225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8C7-4862-86E9-AF862A5BA0AD}"/>
            </c:ext>
          </c:extLst>
        </c:ser>
        <c:ser>
          <c:idx val="8"/>
          <c:order val="8"/>
          <c:tx>
            <c:strRef>
              <c:f>'Notes | Quant Analysis'!$O$226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8C7-4862-86E9-AF862A5BA0AD}"/>
                </c:ext>
              </c:extLst>
            </c:dLbl>
            <c:dLbl>
              <c:idx val="1"/>
              <c:layout>
                <c:manualLayout>
                  <c:x val="-3.1662513768904679E-2"/>
                  <c:y val="-5.2848255477160565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Analysis'!$P$226:$P$227</c:f>
              <c:numCache>
                <c:formatCode>0.00%</c:formatCode>
                <c:ptCount val="2"/>
                <c:pt idx="0">
                  <c:v>4.6340472969677179E-2</c:v>
                </c:pt>
                <c:pt idx="1">
                  <c:v>4.6340472969677179E-2</c:v>
                </c:pt>
              </c:numCache>
            </c:numRef>
          </c:xVal>
          <c:yVal>
            <c:numRef>
              <c:f>'Notes | Quant Analysis'!$Q$226:$Q$227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8C7-4862-86E9-AF862A5BA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98191"/>
        <c:axId val="1274092911"/>
      </c:scatterChart>
      <c:valAx>
        <c:axId val="1274098191"/>
        <c:scaling>
          <c:orientation val="minMax"/>
          <c:max val="5.000000000000001E-2"/>
          <c:min val="-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2911"/>
        <c:crossesAt val="0"/>
        <c:crossBetween val="midCat"/>
        <c:majorUnit val="1.0000000000000002E-2"/>
      </c:valAx>
      <c:valAx>
        <c:axId val="12740929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8191"/>
        <c:crossesAt val="-1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(EW)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Model!$CA$55:$CO$55</c:f>
              <c:numCache>
                <c:formatCode>0.0</c:formatCode>
                <c:ptCount val="15"/>
                <c:pt idx="0">
                  <c:v>220.99999999999994</c:v>
                </c:pt>
                <c:pt idx="1">
                  <c:v>236.1</c:v>
                </c:pt>
                <c:pt idx="2">
                  <c:v>319.5</c:v>
                </c:pt>
                <c:pt idx="3">
                  <c:v>251.90000000000003</c:v>
                </c:pt>
                <c:pt idx="4">
                  <c:v>848.09999999999991</c:v>
                </c:pt>
                <c:pt idx="5">
                  <c:v>521.49999999999989</c:v>
                </c:pt>
                <c:pt idx="6">
                  <c:v>596.09999999999991</c:v>
                </c:pt>
                <c:pt idx="7">
                  <c:v>692.59999999999991</c:v>
                </c:pt>
                <c:pt idx="8">
                  <c:v>695.8</c:v>
                </c:pt>
                <c:pt idx="9">
                  <c:v>1007.5</c:v>
                </c:pt>
                <c:pt idx="10">
                  <c:v>823.40000000000032</c:v>
                </c:pt>
                <c:pt idx="11">
                  <c:v>1503.1999999999996</c:v>
                </c:pt>
                <c:pt idx="12">
                  <c:v>1521.8999999999994</c:v>
                </c:pt>
                <c:pt idx="13">
                  <c:v>1399.3999999999996</c:v>
                </c:pt>
                <c:pt idx="14">
                  <c:v>1396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Model!$CA$110:$CO$110</c:f>
              <c:numCache>
                <c:formatCode>0.0</c:formatCode>
                <c:ptCount val="15"/>
                <c:pt idx="0">
                  <c:v>196.8</c:v>
                </c:pt>
                <c:pt idx="1">
                  <c:v>235.50000000000003</c:v>
                </c:pt>
                <c:pt idx="2">
                  <c:v>256.10000000000002</c:v>
                </c:pt>
                <c:pt idx="3">
                  <c:v>366</c:v>
                </c:pt>
                <c:pt idx="4">
                  <c:v>942.5</c:v>
                </c:pt>
                <c:pt idx="5">
                  <c:v>447</c:v>
                </c:pt>
                <c:pt idx="6">
                  <c:v>528.29999999999995</c:v>
                </c:pt>
                <c:pt idx="7">
                  <c:v>832.6</c:v>
                </c:pt>
                <c:pt idx="8">
                  <c:v>688</c:v>
                </c:pt>
                <c:pt idx="9">
                  <c:v>928.50000000000011</c:v>
                </c:pt>
                <c:pt idx="10">
                  <c:v>647.29999999999995</c:v>
                </c:pt>
                <c:pt idx="11">
                  <c:v>1406.3</c:v>
                </c:pt>
                <c:pt idx="12">
                  <c:v>973.59999999999991</c:v>
                </c:pt>
                <c:pt idx="13">
                  <c:v>642.79999999999995</c:v>
                </c:pt>
                <c:pt idx="14">
                  <c:v>289.90000000000003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Model!$CA$3:$CO$3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Model!$CA$38:$CO$38</c:f>
              <c:numCache>
                <c:formatCode>0.0</c:formatCode>
                <c:ptCount val="15"/>
                <c:pt idx="0">
                  <c:v>1447</c:v>
                </c:pt>
                <c:pt idx="1">
                  <c:v>1678.6000000000001</c:v>
                </c:pt>
                <c:pt idx="2">
                  <c:v>1899.6</c:v>
                </c:pt>
                <c:pt idx="3">
                  <c:v>2045.5</c:v>
                </c:pt>
                <c:pt idx="4">
                  <c:v>2322.9</c:v>
                </c:pt>
                <c:pt idx="5">
                  <c:v>2493.6999999999998</c:v>
                </c:pt>
                <c:pt idx="6">
                  <c:v>2963.7</c:v>
                </c:pt>
                <c:pt idx="7">
                  <c:v>3435.3</c:v>
                </c:pt>
                <c:pt idx="8">
                  <c:v>3722.8</c:v>
                </c:pt>
                <c:pt idx="9">
                  <c:v>4348</c:v>
                </c:pt>
                <c:pt idx="10">
                  <c:v>4386.3</c:v>
                </c:pt>
                <c:pt idx="11">
                  <c:v>5232.5</c:v>
                </c:pt>
                <c:pt idx="12">
                  <c:v>5382.4</c:v>
                </c:pt>
                <c:pt idx="13">
                  <c:v>6004.7999999999993</c:v>
                </c:pt>
                <c:pt idx="14">
                  <c:v>5439.5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9524</xdr:colOff>
      <xdr:row>4</xdr:row>
      <xdr:rowOff>9525</xdr:rowOff>
    </xdr:from>
    <xdr:to>
      <xdr:col>8</xdr:col>
      <xdr:colOff>4481</xdr:colOff>
      <xdr:row>10</xdr:row>
      <xdr:rowOff>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5568C6-8352-CE67-4D9F-C69DC9964A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6" r="3897"/>
        <a:stretch>
          <a:fillRect/>
        </a:stretch>
      </xdr:blipFill>
      <xdr:spPr>
        <a:xfrm>
          <a:off x="3162299" y="762000"/>
          <a:ext cx="1819275" cy="1076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0</xdr:colOff>
      <xdr:row>0</xdr:row>
      <xdr:rowOff>0</xdr:rowOff>
    </xdr:from>
    <xdr:to>
      <xdr:col>65</xdr:col>
      <xdr:colOff>0</xdr:colOff>
      <xdr:row>120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45607941" y="0"/>
          <a:ext cx="0" cy="219254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0</xdr:colOff>
      <xdr:row>0</xdr:row>
      <xdr:rowOff>0</xdr:rowOff>
    </xdr:from>
    <xdr:to>
      <xdr:col>93</xdr:col>
      <xdr:colOff>0</xdr:colOff>
      <xdr:row>119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4208025" y="0"/>
          <a:ext cx="0" cy="23517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71</xdr:row>
      <xdr:rowOff>190499</xdr:rowOff>
    </xdr:from>
    <xdr:to>
      <xdr:col>23</xdr:col>
      <xdr:colOff>0</xdr:colOff>
      <xdr:row>102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108</xdr:row>
      <xdr:rowOff>0</xdr:rowOff>
    </xdr:from>
    <xdr:to>
      <xdr:col>23</xdr:col>
      <xdr:colOff>0</xdr:colOff>
      <xdr:row>136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173</xdr:row>
      <xdr:rowOff>0</xdr:rowOff>
    </xdr:from>
    <xdr:to>
      <xdr:col>23</xdr:col>
      <xdr:colOff>0</xdr:colOff>
      <xdr:row>201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141</xdr:row>
      <xdr:rowOff>0</xdr:rowOff>
    </xdr:from>
    <xdr:to>
      <xdr:col>23</xdr:col>
      <xdr:colOff>0</xdr:colOff>
      <xdr:row>169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2</xdr:row>
      <xdr:rowOff>17318</xdr:rowOff>
    </xdr:from>
    <xdr:to>
      <xdr:col>18</xdr:col>
      <xdr:colOff>17318</xdr:colOff>
      <xdr:row>31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FBDAE9E-CAAF-0290-043A-844E80082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7818" y="381000"/>
          <a:ext cx="6078682" cy="5004955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17318</xdr:rowOff>
    </xdr:from>
    <xdr:to>
      <xdr:col>29</xdr:col>
      <xdr:colOff>0</xdr:colOff>
      <xdr:row>31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E8E674-598B-DE1A-93D7-33D71A1EA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69182" y="381000"/>
          <a:ext cx="6667500" cy="500495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17</xdr:col>
      <xdr:colOff>0</xdr:colOff>
      <xdr:row>67</xdr:row>
      <xdr:rowOff>17319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4440DCB-70FE-5F56-0987-1C7C6629C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7818" y="6286500"/>
          <a:ext cx="5455227" cy="5385955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36</xdr:row>
      <xdr:rowOff>0</xdr:rowOff>
    </xdr:from>
    <xdr:to>
      <xdr:col>41</xdr:col>
      <xdr:colOff>0</xdr:colOff>
      <xdr:row>66</xdr:row>
      <xdr:rowOff>168363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56EC621-EE31-41D8-BE09-D5FD3C3DF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127182" y="6286500"/>
          <a:ext cx="6667500" cy="53638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dwards.com/" TargetMode="External"/><Relationship Id="rId2" Type="http://schemas.openxmlformats.org/officeDocument/2006/relationships/hyperlink" Target="EW_Model.xlsx" TargetMode="External"/><Relationship Id="rId1" Type="http://schemas.openxmlformats.org/officeDocument/2006/relationships/hyperlink" Target="https://app.godelterminal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zoomScale="85" zoomScaleNormal="85" workbookViewId="0">
      <selection activeCell="C10" sqref="C10"/>
    </sheetView>
  </sheetViews>
  <sheetFormatPr defaultColWidth="9.140625" defaultRowHeight="14.25"/>
  <cols>
    <col min="1" max="1" width="3.42578125" style="1" customWidth="1"/>
    <col min="2" max="4" width="11.5703125" style="1" customWidth="1"/>
    <col min="5" max="16384" width="9.140625" style="1"/>
  </cols>
  <sheetData>
    <row r="1" spans="1:16" ht="15">
      <c r="A1" s="68" t="s">
        <v>0</v>
      </c>
    </row>
    <row r="2" spans="1:16" ht="15">
      <c r="A2" s="2" t="s">
        <v>165</v>
      </c>
    </row>
    <row r="4" spans="1:16" ht="15">
      <c r="B4" s="2" t="s">
        <v>1446</v>
      </c>
    </row>
    <row r="5" spans="1:16">
      <c r="B5" s="1" t="s">
        <v>1</v>
      </c>
      <c r="C5" s="44">
        <v>86.1</v>
      </c>
      <c r="D5" s="43" t="s">
        <v>1543</v>
      </c>
    </row>
    <row r="6" spans="1:16">
      <c r="B6" s="1" t="s">
        <v>2</v>
      </c>
      <c r="C6" s="45">
        <v>580.29999999999995</v>
      </c>
      <c r="D6" s="1" t="s">
        <v>1544</v>
      </c>
    </row>
    <row r="7" spans="1:16">
      <c r="B7" s="1" t="s">
        <v>3</v>
      </c>
      <c r="C7" s="46">
        <f>C5*C6</f>
        <v>49963.829999999994</v>
      </c>
    </row>
    <row r="8" spans="1:16">
      <c r="B8" s="1" t="s">
        <v>4</v>
      </c>
      <c r="C8" s="47">
        <f>2685.6+1156.4</f>
        <v>3842</v>
      </c>
      <c r="D8" s="1" t="s">
        <v>1544</v>
      </c>
    </row>
    <row r="9" spans="1:16">
      <c r="B9" s="1" t="s">
        <v>5</v>
      </c>
      <c r="C9" s="47">
        <v>598.20000000000005</v>
      </c>
      <c r="D9" s="1" t="s">
        <v>1544</v>
      </c>
    </row>
    <row r="10" spans="1:16">
      <c r="B10" s="1" t="s">
        <v>6</v>
      </c>
      <c r="C10" s="47">
        <f>C7-C8+C9</f>
        <v>46720.029999999992</v>
      </c>
    </row>
    <row r="12" spans="1:16" ht="15">
      <c r="B12" s="2" t="s">
        <v>1447</v>
      </c>
    </row>
    <row r="14" spans="1:16" ht="15">
      <c r="B14" s="1" t="s">
        <v>1448</v>
      </c>
      <c r="F14" s="1" t="s">
        <v>1457</v>
      </c>
      <c r="L14" s="1" t="s">
        <v>164</v>
      </c>
      <c r="O14" s="2"/>
    </row>
    <row r="15" spans="1:16">
      <c r="B15" s="1" t="s">
        <v>1449</v>
      </c>
      <c r="F15" s="1" t="s">
        <v>1458</v>
      </c>
      <c r="L15" s="1" t="s">
        <v>8</v>
      </c>
      <c r="O15" s="48" t="s">
        <v>1462</v>
      </c>
      <c r="P15" s="48"/>
    </row>
    <row r="16" spans="1:16">
      <c r="B16" s="1" t="s">
        <v>1453</v>
      </c>
      <c r="F16" s="1" t="s">
        <v>7</v>
      </c>
      <c r="L16" s="1" t="s">
        <v>169</v>
      </c>
      <c r="O16" s="48" t="s">
        <v>1460</v>
      </c>
      <c r="P16" s="48"/>
    </row>
    <row r="17" spans="1:16">
      <c r="B17" s="1" t="s">
        <v>1452</v>
      </c>
      <c r="F17" s="1" t="s">
        <v>161</v>
      </c>
      <c r="M17" s="1" t="s">
        <v>168</v>
      </c>
      <c r="O17" s="48"/>
      <c r="P17" s="48" t="s">
        <v>1461</v>
      </c>
    </row>
    <row r="18" spans="1:16">
      <c r="B18" s="1" t="s">
        <v>1454</v>
      </c>
      <c r="F18" s="1" t="s">
        <v>155</v>
      </c>
      <c r="G18" s="1" t="s">
        <v>1459</v>
      </c>
      <c r="I18" s="1" t="s">
        <v>156</v>
      </c>
      <c r="L18" s="1" t="s">
        <v>158</v>
      </c>
      <c r="O18" s="48" t="s">
        <v>1463</v>
      </c>
      <c r="P18" s="48"/>
    </row>
    <row r="19" spans="1:16">
      <c r="B19" s="1" t="s">
        <v>1455</v>
      </c>
      <c r="L19" s="1" t="s">
        <v>159</v>
      </c>
      <c r="O19" s="48" t="s">
        <v>1464</v>
      </c>
      <c r="P19" s="48"/>
    </row>
    <row r="20" spans="1:16">
      <c r="B20" s="1" t="s">
        <v>1456</v>
      </c>
      <c r="L20" s="1" t="s">
        <v>170</v>
      </c>
      <c r="O20" s="48" t="s">
        <v>1465</v>
      </c>
      <c r="P20" s="48"/>
    </row>
    <row r="21" spans="1:16">
      <c r="B21" s="1" t="s">
        <v>1450</v>
      </c>
      <c r="L21" s="1" t="s">
        <v>171</v>
      </c>
      <c r="O21" s="48" t="s">
        <v>1466</v>
      </c>
      <c r="P21" s="48"/>
    </row>
    <row r="22" spans="1:16">
      <c r="B22" s="1" t="s">
        <v>1451</v>
      </c>
      <c r="L22" s="1" t="s">
        <v>9</v>
      </c>
      <c r="O22" s="48" t="s">
        <v>160</v>
      </c>
    </row>
    <row r="24" spans="1:16" ht="15">
      <c r="A24" s="2" t="s">
        <v>10</v>
      </c>
    </row>
    <row r="25" spans="1:16">
      <c r="B25" s="1" t="s">
        <v>1471</v>
      </c>
    </row>
    <row r="26" spans="1:16">
      <c r="C26" s="1" t="s">
        <v>1473</v>
      </c>
    </row>
    <row r="27" spans="1:16">
      <c r="C27" s="1" t="s">
        <v>1469</v>
      </c>
    </row>
    <row r="28" spans="1:16">
      <c r="B28" s="1" t="s">
        <v>1470</v>
      </c>
    </row>
    <row r="29" spans="1:16">
      <c r="C29" s="1" t="s">
        <v>1467</v>
      </c>
    </row>
    <row r="30" spans="1:16">
      <c r="B30" s="1" t="s">
        <v>1468</v>
      </c>
    </row>
    <row r="31" spans="1:16">
      <c r="B31" s="1" t="s">
        <v>1472</v>
      </c>
    </row>
    <row r="32" spans="1:16">
      <c r="B32" s="1" t="s">
        <v>1474</v>
      </c>
    </row>
    <row r="33" spans="1:2">
      <c r="B33" s="1" t="s">
        <v>1475</v>
      </c>
    </row>
    <row r="35" spans="1:2" ht="15">
      <c r="A35" s="2" t="s">
        <v>162</v>
      </c>
    </row>
  </sheetData>
  <hyperlinks>
    <hyperlink ref="O22" r:id="rId1" xr:uid="{14375537-5C3D-4253-9650-337AB6789785}"/>
    <hyperlink ref="A1" r:id="rId2" xr:uid="{A60C4E25-8B3D-4DB3-A7CE-CCAABA8214EB}"/>
    <hyperlink ref="O16" r:id="rId3" xr:uid="{D2F8BFB3-31E6-4625-95BF-CF4C66ACE935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EZ112"/>
  <sheetViews>
    <sheetView tabSelected="1" zoomScale="85" zoomScaleNormal="85" workbookViewId="0">
      <pane xSplit="2" ySplit="3" topLeftCell="AZ47" activePane="bottomRight" state="frozen"/>
      <selection pane="topRight" activeCell="C1" sqref="C1"/>
      <selection pane="bottomLeft" activeCell="A4" sqref="A4"/>
      <selection pane="bottomRight" activeCell="A67" sqref="A67:XFD67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65" width="9.140625" style="1"/>
    <col min="66" max="70" width="9.140625" style="35"/>
    <col min="71" max="93" width="9.140625" style="1"/>
    <col min="94" max="155" width="9.140625" style="35"/>
    <col min="156" max="16384" width="9.140625" style="1"/>
  </cols>
  <sheetData>
    <row r="1" spans="2:156" ht="15">
      <c r="B1" s="1" t="s">
        <v>112</v>
      </c>
      <c r="AQ1" s="33" t="s">
        <v>84</v>
      </c>
      <c r="AU1" s="33" t="s">
        <v>88</v>
      </c>
      <c r="AY1" s="33" t="s">
        <v>92</v>
      </c>
      <c r="BC1" s="33" t="s">
        <v>96</v>
      </c>
      <c r="BG1" s="33" t="s">
        <v>100</v>
      </c>
      <c r="BK1" s="33" t="s">
        <v>104</v>
      </c>
    </row>
    <row r="2" spans="2:156">
      <c r="B2" s="1" t="s">
        <v>113</v>
      </c>
    </row>
    <row r="3" spans="2:156" ht="15">
      <c r="B3" s="2" t="s">
        <v>114</v>
      </c>
      <c r="C3" s="33" t="s">
        <v>44</v>
      </c>
      <c r="D3" s="33" t="s">
        <v>45</v>
      </c>
      <c r="E3" s="33" t="s">
        <v>46</v>
      </c>
      <c r="F3" s="33" t="s">
        <v>47</v>
      </c>
      <c r="G3" s="33" t="s">
        <v>48</v>
      </c>
      <c r="H3" s="33" t="s">
        <v>49</v>
      </c>
      <c r="I3" s="33" t="s">
        <v>50</v>
      </c>
      <c r="J3" s="33" t="s">
        <v>51</v>
      </c>
      <c r="K3" s="33" t="s">
        <v>52</v>
      </c>
      <c r="L3" s="33" t="s">
        <v>53</v>
      </c>
      <c r="M3" s="33" t="s">
        <v>54</v>
      </c>
      <c r="N3" s="33" t="s">
        <v>55</v>
      </c>
      <c r="O3" s="33" t="s">
        <v>56</v>
      </c>
      <c r="P3" s="33" t="s">
        <v>57</v>
      </c>
      <c r="Q3" s="33" t="s">
        <v>58</v>
      </c>
      <c r="R3" s="33" t="s">
        <v>59</v>
      </c>
      <c r="S3" s="33" t="s">
        <v>60</v>
      </c>
      <c r="T3" s="33" t="s">
        <v>61</v>
      </c>
      <c r="U3" s="33" t="s">
        <v>62</v>
      </c>
      <c r="V3" s="33" t="s">
        <v>63</v>
      </c>
      <c r="W3" s="33" t="s">
        <v>64</v>
      </c>
      <c r="X3" s="33" t="s">
        <v>65</v>
      </c>
      <c r="Y3" s="33" t="s">
        <v>66</v>
      </c>
      <c r="Z3" s="33" t="s">
        <v>67</v>
      </c>
      <c r="AA3" s="33" t="s">
        <v>68</v>
      </c>
      <c r="AB3" s="33" t="s">
        <v>69</v>
      </c>
      <c r="AC3" s="33" t="s">
        <v>70</v>
      </c>
      <c r="AD3" s="33" t="s">
        <v>71</v>
      </c>
      <c r="AE3" s="33" t="s">
        <v>72</v>
      </c>
      <c r="AF3" s="33" t="s">
        <v>73</v>
      </c>
      <c r="AG3" s="33" t="s">
        <v>74</v>
      </c>
      <c r="AH3" s="33" t="s">
        <v>75</v>
      </c>
      <c r="AI3" s="33" t="s">
        <v>76</v>
      </c>
      <c r="AJ3" s="33" t="s">
        <v>77</v>
      </c>
      <c r="AK3" s="33" t="s">
        <v>78</v>
      </c>
      <c r="AL3" s="33" t="s">
        <v>79</v>
      </c>
      <c r="AM3" s="33" t="s">
        <v>80</v>
      </c>
      <c r="AN3" s="33" t="s">
        <v>81</v>
      </c>
      <c r="AO3" s="33" t="s">
        <v>82</v>
      </c>
      <c r="AP3" s="33" t="s">
        <v>83</v>
      </c>
      <c r="AQ3" s="33" t="s">
        <v>84</v>
      </c>
      <c r="AR3" s="33" t="s">
        <v>85</v>
      </c>
      <c r="AS3" s="33" t="s">
        <v>86</v>
      </c>
      <c r="AT3" s="33" t="s">
        <v>87</v>
      </c>
      <c r="AU3" s="33" t="s">
        <v>88</v>
      </c>
      <c r="AV3" s="33" t="s">
        <v>89</v>
      </c>
      <c r="AW3" s="33" t="s">
        <v>90</v>
      </c>
      <c r="AX3" s="33" t="s">
        <v>91</v>
      </c>
      <c r="AY3" s="33" t="s">
        <v>92</v>
      </c>
      <c r="AZ3" s="33" t="s">
        <v>93</v>
      </c>
      <c r="BA3" s="33" t="s">
        <v>94</v>
      </c>
      <c r="BB3" s="33" t="s">
        <v>95</v>
      </c>
      <c r="BC3" s="33" t="s">
        <v>96</v>
      </c>
      <c r="BD3" s="33" t="s">
        <v>97</v>
      </c>
      <c r="BE3" s="33" t="s">
        <v>98</v>
      </c>
      <c r="BF3" s="33" t="s">
        <v>99</v>
      </c>
      <c r="BG3" s="33" t="s">
        <v>100</v>
      </c>
      <c r="BH3" s="33" t="s">
        <v>101</v>
      </c>
      <c r="BI3" s="33" t="s">
        <v>102</v>
      </c>
      <c r="BJ3" s="33" t="s">
        <v>103</v>
      </c>
      <c r="BK3" s="33" t="s">
        <v>104</v>
      </c>
      <c r="BL3" s="2" t="s">
        <v>105</v>
      </c>
      <c r="BM3" s="2" t="s">
        <v>106</v>
      </c>
      <c r="BN3" s="34" t="s">
        <v>107</v>
      </c>
      <c r="BO3" s="34" t="s">
        <v>108</v>
      </c>
      <c r="BP3" s="34" t="s">
        <v>109</v>
      </c>
      <c r="BQ3" s="34" t="s">
        <v>110</v>
      </c>
      <c r="BR3" s="34" t="s">
        <v>111</v>
      </c>
      <c r="CA3" s="2">
        <v>2010</v>
      </c>
      <c r="CB3" s="2">
        <f t="shared" ref="CB3:EL3" si="0">CA3+1</f>
        <v>2011</v>
      </c>
      <c r="CC3" s="2">
        <f t="shared" si="0"/>
        <v>2012</v>
      </c>
      <c r="CD3" s="2">
        <f t="shared" si="0"/>
        <v>2013</v>
      </c>
      <c r="CE3" s="2">
        <f t="shared" si="0"/>
        <v>2014</v>
      </c>
      <c r="CF3" s="2">
        <f t="shared" si="0"/>
        <v>2015</v>
      </c>
      <c r="CG3" s="2">
        <f t="shared" si="0"/>
        <v>2016</v>
      </c>
      <c r="CH3" s="2">
        <f t="shared" si="0"/>
        <v>2017</v>
      </c>
      <c r="CI3" s="2">
        <f t="shared" si="0"/>
        <v>2018</v>
      </c>
      <c r="CJ3" s="2">
        <f t="shared" si="0"/>
        <v>2019</v>
      </c>
      <c r="CK3" s="2">
        <f t="shared" si="0"/>
        <v>2020</v>
      </c>
      <c r="CL3" s="2">
        <f t="shared" si="0"/>
        <v>2021</v>
      </c>
      <c r="CM3" s="2">
        <f t="shared" si="0"/>
        <v>2022</v>
      </c>
      <c r="CN3" s="2">
        <f t="shared" si="0"/>
        <v>2023</v>
      </c>
      <c r="CO3" s="2">
        <f t="shared" si="0"/>
        <v>2024</v>
      </c>
      <c r="CP3" s="34">
        <f t="shared" si="0"/>
        <v>2025</v>
      </c>
      <c r="CQ3" s="34">
        <f t="shared" si="0"/>
        <v>2026</v>
      </c>
      <c r="CR3" s="34">
        <f t="shared" si="0"/>
        <v>2027</v>
      </c>
      <c r="CS3" s="34">
        <f t="shared" si="0"/>
        <v>2028</v>
      </c>
      <c r="CT3" s="34">
        <f t="shared" si="0"/>
        <v>2029</v>
      </c>
      <c r="CU3" s="34">
        <f t="shared" si="0"/>
        <v>2030</v>
      </c>
      <c r="CV3" s="34">
        <f t="shared" si="0"/>
        <v>2031</v>
      </c>
      <c r="CW3" s="34">
        <f t="shared" si="0"/>
        <v>2032</v>
      </c>
      <c r="CX3" s="34">
        <f t="shared" si="0"/>
        <v>2033</v>
      </c>
      <c r="CY3" s="34">
        <f t="shared" si="0"/>
        <v>2034</v>
      </c>
      <c r="CZ3" s="34">
        <f t="shared" si="0"/>
        <v>2035</v>
      </c>
      <c r="DA3" s="34">
        <f t="shared" si="0"/>
        <v>2036</v>
      </c>
      <c r="DB3" s="34">
        <f t="shared" si="0"/>
        <v>2037</v>
      </c>
      <c r="DC3" s="34">
        <f t="shared" si="0"/>
        <v>2038</v>
      </c>
      <c r="DD3" s="34">
        <f t="shared" si="0"/>
        <v>2039</v>
      </c>
      <c r="DE3" s="34">
        <f t="shared" si="0"/>
        <v>2040</v>
      </c>
      <c r="DF3" s="34">
        <f t="shared" si="0"/>
        <v>2041</v>
      </c>
      <c r="DG3" s="34">
        <f t="shared" si="0"/>
        <v>2042</v>
      </c>
      <c r="DH3" s="34">
        <f t="shared" si="0"/>
        <v>2043</v>
      </c>
      <c r="DI3" s="34">
        <f t="shared" si="0"/>
        <v>2044</v>
      </c>
      <c r="DJ3" s="34">
        <f t="shared" si="0"/>
        <v>2045</v>
      </c>
      <c r="DK3" s="34">
        <f t="shared" si="0"/>
        <v>2046</v>
      </c>
      <c r="DL3" s="34">
        <f t="shared" si="0"/>
        <v>2047</v>
      </c>
      <c r="DM3" s="34">
        <f t="shared" si="0"/>
        <v>2048</v>
      </c>
      <c r="DN3" s="34">
        <f t="shared" si="0"/>
        <v>2049</v>
      </c>
      <c r="DO3" s="34">
        <f t="shared" si="0"/>
        <v>2050</v>
      </c>
      <c r="DP3" s="34">
        <f t="shared" si="0"/>
        <v>2051</v>
      </c>
      <c r="DQ3" s="34">
        <f t="shared" si="0"/>
        <v>2052</v>
      </c>
      <c r="DR3" s="34">
        <f t="shared" si="0"/>
        <v>2053</v>
      </c>
      <c r="DS3" s="34">
        <f t="shared" si="0"/>
        <v>2054</v>
      </c>
      <c r="DT3" s="34">
        <f t="shared" si="0"/>
        <v>2055</v>
      </c>
      <c r="DU3" s="34">
        <f t="shared" si="0"/>
        <v>2056</v>
      </c>
      <c r="DV3" s="34">
        <f t="shared" si="0"/>
        <v>2057</v>
      </c>
      <c r="DW3" s="34">
        <f t="shared" si="0"/>
        <v>2058</v>
      </c>
      <c r="DX3" s="34">
        <f t="shared" si="0"/>
        <v>2059</v>
      </c>
      <c r="DY3" s="34">
        <f t="shared" si="0"/>
        <v>2060</v>
      </c>
      <c r="DZ3" s="34">
        <f t="shared" si="0"/>
        <v>2061</v>
      </c>
      <c r="EA3" s="34">
        <f t="shared" si="0"/>
        <v>2062</v>
      </c>
      <c r="EB3" s="34">
        <f t="shared" si="0"/>
        <v>2063</v>
      </c>
      <c r="EC3" s="34">
        <f t="shared" si="0"/>
        <v>2064</v>
      </c>
      <c r="ED3" s="34">
        <f t="shared" si="0"/>
        <v>2065</v>
      </c>
      <c r="EE3" s="34">
        <f t="shared" si="0"/>
        <v>2066</v>
      </c>
      <c r="EF3" s="34">
        <f t="shared" si="0"/>
        <v>2067</v>
      </c>
      <c r="EG3" s="34">
        <f t="shared" si="0"/>
        <v>2068</v>
      </c>
      <c r="EH3" s="34">
        <f t="shared" si="0"/>
        <v>2069</v>
      </c>
      <c r="EI3" s="34">
        <f t="shared" si="0"/>
        <v>2070</v>
      </c>
      <c r="EJ3" s="34">
        <f t="shared" si="0"/>
        <v>2071</v>
      </c>
      <c r="EK3" s="34">
        <f t="shared" si="0"/>
        <v>2072</v>
      </c>
      <c r="EL3" s="34">
        <f t="shared" si="0"/>
        <v>2073</v>
      </c>
      <c r="EM3" s="34">
        <f t="shared" ref="EM3:EW3" si="1">EL3+1</f>
        <v>2074</v>
      </c>
      <c r="EN3" s="34">
        <f t="shared" si="1"/>
        <v>2075</v>
      </c>
      <c r="EO3" s="34">
        <f t="shared" si="1"/>
        <v>2076</v>
      </c>
      <c r="EP3" s="34">
        <f t="shared" si="1"/>
        <v>2077</v>
      </c>
      <c r="EQ3" s="34">
        <f t="shared" si="1"/>
        <v>2078</v>
      </c>
      <c r="ER3" s="34">
        <f t="shared" si="1"/>
        <v>2079</v>
      </c>
      <c r="ES3" s="34">
        <f t="shared" si="1"/>
        <v>2080</v>
      </c>
      <c r="ET3" s="34">
        <f t="shared" si="1"/>
        <v>2081</v>
      </c>
      <c r="EU3" s="34">
        <f t="shared" si="1"/>
        <v>2082</v>
      </c>
      <c r="EV3" s="34">
        <f t="shared" si="1"/>
        <v>2083</v>
      </c>
      <c r="EW3" s="34">
        <f t="shared" si="1"/>
        <v>2084</v>
      </c>
      <c r="EX3" s="34"/>
      <c r="EY3" s="34"/>
      <c r="EZ3" s="2"/>
    </row>
    <row r="4" spans="2:156">
      <c r="B4" s="36" t="s">
        <v>1479</v>
      </c>
      <c r="AQ4" s="70">
        <v>742.2</v>
      </c>
      <c r="AR4" s="70">
        <v>594.29999999999995</v>
      </c>
      <c r="AS4" s="70">
        <v>744.6</v>
      </c>
      <c r="AT4" s="70">
        <f>2857.3-SUM(AQ4:AS4)</f>
        <v>776.20000000000027</v>
      </c>
      <c r="AU4" s="70">
        <v>791.7</v>
      </c>
      <c r="AV4" s="70">
        <v>901.5</v>
      </c>
      <c r="AW4" s="70">
        <v>857.8</v>
      </c>
      <c r="AX4" s="70">
        <f>3422.5-SUM(AU4:AW4)</f>
        <v>871.5</v>
      </c>
      <c r="AY4" s="70">
        <v>881.3</v>
      </c>
      <c r="AZ4" s="70">
        <v>906.9</v>
      </c>
      <c r="BA4" s="70">
        <v>862.3</v>
      </c>
      <c r="BB4" s="70">
        <f>3518.2-SUM(AY4:BA4)</f>
        <v>867.69999999999982</v>
      </c>
      <c r="BC4" s="70">
        <v>947.9</v>
      </c>
      <c r="BD4" s="70">
        <v>991.6</v>
      </c>
      <c r="BE4" s="70">
        <v>960.9</v>
      </c>
      <c r="BF4" s="70">
        <f>3879.8-SUM(BC4:BE4)</f>
        <v>979.40000000000009</v>
      </c>
      <c r="BG4" s="70">
        <v>1007.9</v>
      </c>
      <c r="BH4" s="70">
        <v>1038.5999999999999</v>
      </c>
      <c r="BI4" s="70">
        <v>1023.3</v>
      </c>
      <c r="BJ4" s="70">
        <f>4106.1-SUM(BG4:BI4)</f>
        <v>1036.3000000000002</v>
      </c>
      <c r="BK4" s="70">
        <v>1046.5999999999999</v>
      </c>
      <c r="BL4" s="1">
        <v>1130.9000000000001</v>
      </c>
      <c r="BM4" s="70">
        <v>1149.9000000000001</v>
      </c>
      <c r="CK4" s="1">
        <f>SUM(AQ4:AT4)</f>
        <v>2857.3</v>
      </c>
      <c r="CL4" s="1">
        <f>SUM(AU4:AX4)</f>
        <v>3422.5</v>
      </c>
      <c r="CM4" s="1">
        <f>SUM(AY4:BB4)</f>
        <v>3518.2</v>
      </c>
      <c r="CN4" s="1">
        <f>SUM(BC4:BF4)</f>
        <v>3879.8</v>
      </c>
      <c r="CO4" s="1">
        <f>SUM(BG4:BJ4)</f>
        <v>4106.1000000000004</v>
      </c>
      <c r="CP4" s="35">
        <f t="shared" ref="CP4:CY4" si="2">CO4*(1+CP10)</f>
        <v>4516.7100000000009</v>
      </c>
      <c r="CQ4" s="35">
        <f t="shared" si="2"/>
        <v>4968.3810000000012</v>
      </c>
      <c r="CR4" s="35">
        <f t="shared" si="2"/>
        <v>5465.2191000000021</v>
      </c>
      <c r="CS4" s="35">
        <f t="shared" si="2"/>
        <v>6011.7410100000025</v>
      </c>
      <c r="CT4" s="35">
        <f t="shared" si="2"/>
        <v>6612.915111000003</v>
      </c>
      <c r="CU4" s="35">
        <f t="shared" si="2"/>
        <v>7274.2066221000041</v>
      </c>
      <c r="CV4" s="35">
        <f t="shared" si="2"/>
        <v>8001.6272843100051</v>
      </c>
      <c r="CW4" s="35">
        <f t="shared" si="2"/>
        <v>8801.7900127410066</v>
      </c>
      <c r="CX4" s="35">
        <f t="shared" si="2"/>
        <v>9681.9690140151088</v>
      </c>
      <c r="CY4" s="35">
        <f t="shared" si="2"/>
        <v>10650.165915416621</v>
      </c>
    </row>
    <row r="5" spans="2:156">
      <c r="B5" s="36" t="s">
        <v>1480</v>
      </c>
      <c r="AQ5" s="70">
        <v>10.5</v>
      </c>
      <c r="AR5" s="70">
        <v>6.1</v>
      </c>
      <c r="AS5" s="70">
        <v>12.1</v>
      </c>
      <c r="AT5" s="70">
        <f>41.8-SUM(AQ5:AS5)</f>
        <v>13.099999999999994</v>
      </c>
      <c r="AU5" s="70">
        <v>16.3</v>
      </c>
      <c r="AV5" s="70">
        <v>22.1</v>
      </c>
      <c r="AW5" s="70">
        <v>22.3</v>
      </c>
      <c r="AX5" s="70">
        <f>86-SUM(AU5:AW5)</f>
        <v>25.299999999999997</v>
      </c>
      <c r="AY5" s="70">
        <v>27</v>
      </c>
      <c r="AZ5" s="70">
        <v>27.9</v>
      </c>
      <c r="BA5" s="70">
        <v>29.7</v>
      </c>
      <c r="BB5" s="70">
        <f>116.1-SUM(AY5:BA5)</f>
        <v>31.5</v>
      </c>
      <c r="BC5" s="70">
        <v>41.6</v>
      </c>
      <c r="BD5" s="70">
        <v>47.6</v>
      </c>
      <c r="BE5" s="70">
        <v>52.4</v>
      </c>
      <c r="BF5" s="70">
        <f>197.6-SUM(BC5:BE5)</f>
        <v>56</v>
      </c>
      <c r="BG5" s="70">
        <v>72.900000000000006</v>
      </c>
      <c r="BH5" s="70">
        <v>83</v>
      </c>
      <c r="BI5" s="70">
        <v>91.1</v>
      </c>
      <c r="BJ5" s="70">
        <f>352.1-SUM(BG5:BI5)</f>
        <v>105.10000000000002</v>
      </c>
      <c r="BK5" s="70">
        <v>115.2</v>
      </c>
      <c r="BL5" s="1">
        <v>134.5</v>
      </c>
      <c r="BM5" s="70">
        <v>145.19999999999999</v>
      </c>
      <c r="CK5" s="1">
        <f t="shared" ref="CK5:CK8" si="3">SUM(AQ5:AT5)</f>
        <v>41.8</v>
      </c>
      <c r="CL5" s="1">
        <f t="shared" ref="CL5:CL8" si="4">SUM(AU5:AX5)</f>
        <v>86</v>
      </c>
      <c r="CM5" s="1">
        <f t="shared" ref="CM5:CM8" si="5">SUM(AY5:BB5)</f>
        <v>116.1</v>
      </c>
      <c r="CN5" s="1">
        <f t="shared" ref="CN5:CN8" si="6">SUM(BC5:BF5)</f>
        <v>197.6</v>
      </c>
      <c r="CO5" s="1">
        <f t="shared" ref="CO5:CO8" si="7">SUM(BG5:BJ5)</f>
        <v>352.1</v>
      </c>
      <c r="CP5" s="35">
        <f t="shared" ref="CP5:CY5" si="8">CO5*(1+CP11)</f>
        <v>387.31000000000006</v>
      </c>
      <c r="CQ5" s="35">
        <f t="shared" si="8"/>
        <v>426.04100000000011</v>
      </c>
      <c r="CR5" s="35">
        <f t="shared" si="8"/>
        <v>468.64510000000018</v>
      </c>
      <c r="CS5" s="35">
        <f t="shared" si="8"/>
        <v>515.50961000000029</v>
      </c>
      <c r="CT5" s="35">
        <f t="shared" si="8"/>
        <v>567.06057100000032</v>
      </c>
      <c r="CU5" s="35">
        <f t="shared" si="8"/>
        <v>623.76662810000039</v>
      </c>
      <c r="CV5" s="35">
        <f t="shared" si="8"/>
        <v>686.14329091000047</v>
      </c>
      <c r="CW5" s="35">
        <f t="shared" si="8"/>
        <v>754.75762000100053</v>
      </c>
      <c r="CX5" s="35">
        <f t="shared" si="8"/>
        <v>830.23338200110061</v>
      </c>
      <c r="CY5" s="35">
        <f t="shared" si="8"/>
        <v>913.25672020121078</v>
      </c>
    </row>
    <row r="6" spans="2:156">
      <c r="B6" s="36" t="s">
        <v>1481</v>
      </c>
      <c r="AQ6" s="70">
        <v>193.4</v>
      </c>
      <c r="AR6" s="70">
        <v>160.9</v>
      </c>
      <c r="AS6" s="70">
        <v>203.3</v>
      </c>
      <c r="AT6" s="70">
        <f>761.8-SUM(AQ6:AS6)</f>
        <v>204.19999999999993</v>
      </c>
      <c r="AU6" s="70">
        <v>213</v>
      </c>
      <c r="AV6" s="70">
        <v>237.4</v>
      </c>
      <c r="AW6" s="70">
        <v>217.4</v>
      </c>
      <c r="AX6" s="70">
        <f>889.1-SUM(AU6:AW6)</f>
        <v>221.30000000000007</v>
      </c>
      <c r="AY6" s="70">
        <v>220.8</v>
      </c>
      <c r="AZ6" s="70">
        <v>228.5</v>
      </c>
      <c r="BA6" s="70">
        <v>219.7</v>
      </c>
      <c r="BB6" s="70">
        <f>893.1-SUM(AY6:BA6)</f>
        <v>224.10000000000002</v>
      </c>
      <c r="BC6" s="70">
        <v>248.2</v>
      </c>
      <c r="BD6" s="70">
        <v>256.3</v>
      </c>
      <c r="BE6" s="70">
        <v>246.6</v>
      </c>
      <c r="BF6" s="70">
        <f>999.3-SUM(BC6:BE6)</f>
        <v>248.19999999999993</v>
      </c>
      <c r="BG6" s="70">
        <v>249.1</v>
      </c>
      <c r="BH6" s="70">
        <v>247.8</v>
      </c>
      <c r="BI6" s="70">
        <v>240</v>
      </c>
      <c r="BJ6" s="70">
        <f>981.3-SUM(BG6:BI6)</f>
        <v>244.39999999999998</v>
      </c>
      <c r="BK6" s="70">
        <v>250.9</v>
      </c>
      <c r="BL6" s="1">
        <v>266.8</v>
      </c>
      <c r="BM6" s="70">
        <v>258</v>
      </c>
      <c r="CK6" s="1">
        <f t="shared" si="3"/>
        <v>761.8</v>
      </c>
      <c r="CL6" s="1">
        <f t="shared" si="4"/>
        <v>889.1</v>
      </c>
      <c r="CM6" s="1">
        <f t="shared" si="5"/>
        <v>893.1</v>
      </c>
      <c r="CN6" s="1">
        <f t="shared" si="6"/>
        <v>999.3</v>
      </c>
      <c r="CO6" s="1">
        <f t="shared" si="7"/>
        <v>981.3</v>
      </c>
      <c r="CP6" s="35">
        <f t="shared" ref="CP6:CY6" si="9">CO6*(1+CP12)</f>
        <v>1079.43</v>
      </c>
      <c r="CQ6" s="35">
        <f t="shared" si="9"/>
        <v>1187.3730000000003</v>
      </c>
      <c r="CR6" s="35">
        <f t="shared" si="9"/>
        <v>1306.1103000000005</v>
      </c>
      <c r="CS6" s="35">
        <f t="shared" si="9"/>
        <v>1436.7213300000008</v>
      </c>
      <c r="CT6" s="35">
        <f t="shared" si="9"/>
        <v>1580.393463000001</v>
      </c>
      <c r="CU6" s="35">
        <f t="shared" si="9"/>
        <v>1738.4328093000013</v>
      </c>
      <c r="CV6" s="35">
        <f t="shared" si="9"/>
        <v>1912.2760902300015</v>
      </c>
      <c r="CW6" s="35">
        <f t="shared" si="9"/>
        <v>2103.5036992530017</v>
      </c>
      <c r="CX6" s="35">
        <f t="shared" si="9"/>
        <v>2313.8540691783023</v>
      </c>
      <c r="CY6" s="35">
        <f t="shared" si="9"/>
        <v>2545.2394760961329</v>
      </c>
    </row>
    <row r="7" spans="2:156">
      <c r="B7" s="36" t="s">
        <v>1482</v>
      </c>
      <c r="AQ7" s="70">
        <v>182.6</v>
      </c>
      <c r="AR7" s="70">
        <v>163.69999999999999</v>
      </c>
      <c r="AS7" s="70">
        <v>180.9</v>
      </c>
      <c r="AT7" s="70">
        <f>725.4-SUM(AQ7:AS7)</f>
        <v>198.20000000000005</v>
      </c>
      <c r="AU7" s="70">
        <v>195.6</v>
      </c>
      <c r="AV7" s="70">
        <v>215</v>
      </c>
      <c r="AW7" s="70">
        <v>212.7</v>
      </c>
      <c r="AX7" s="70">
        <f>834.9-SUM(AU7:AW7)</f>
        <v>211.60000000000002</v>
      </c>
      <c r="AY7" s="70">
        <v>212.1</v>
      </c>
      <c r="AZ7" s="70">
        <v>210.6</v>
      </c>
      <c r="BA7" s="70">
        <v>207.3</v>
      </c>
      <c r="BB7" s="70">
        <f>855-SUM(AY7:BA7)</f>
        <v>225</v>
      </c>
      <c r="BC7" s="70">
        <v>221.9</v>
      </c>
      <c r="BD7" s="70">
        <v>234.7</v>
      </c>
      <c r="BE7" s="70">
        <v>221</v>
      </c>
      <c r="BF7" s="70">
        <f>928.1-SUM(BC7:BE7)</f>
        <v>250.5</v>
      </c>
      <c r="BG7" s="70">
        <v>0</v>
      </c>
      <c r="BH7" s="70">
        <v>0</v>
      </c>
      <c r="BI7" s="70">
        <v>0</v>
      </c>
      <c r="BJ7" s="70">
        <v>0</v>
      </c>
      <c r="BK7" s="70">
        <v>0</v>
      </c>
      <c r="BL7" s="70">
        <v>0</v>
      </c>
      <c r="BM7" s="70">
        <v>0</v>
      </c>
      <c r="CK7" s="1">
        <f t="shared" si="3"/>
        <v>725.4</v>
      </c>
      <c r="CL7" s="1">
        <f t="shared" si="4"/>
        <v>834.9</v>
      </c>
      <c r="CM7" s="1">
        <f t="shared" si="5"/>
        <v>855</v>
      </c>
      <c r="CN7" s="1">
        <f t="shared" si="6"/>
        <v>928.1</v>
      </c>
      <c r="CO7" s="1">
        <f t="shared" si="7"/>
        <v>0</v>
      </c>
      <c r="CP7" s="35">
        <f t="shared" ref="CP7:CY7" si="10">CO7*(1+CP13)</f>
        <v>0</v>
      </c>
      <c r="CQ7" s="35">
        <f t="shared" si="10"/>
        <v>0</v>
      </c>
      <c r="CR7" s="35">
        <f t="shared" si="10"/>
        <v>0</v>
      </c>
      <c r="CS7" s="35">
        <f t="shared" si="10"/>
        <v>0</v>
      </c>
      <c r="CT7" s="35">
        <f t="shared" si="10"/>
        <v>0</v>
      </c>
      <c r="CU7" s="35">
        <f t="shared" si="10"/>
        <v>0</v>
      </c>
      <c r="CV7" s="35">
        <f t="shared" si="10"/>
        <v>0</v>
      </c>
      <c r="CW7" s="35">
        <f t="shared" si="10"/>
        <v>0</v>
      </c>
      <c r="CX7" s="35">
        <f t="shared" si="10"/>
        <v>0</v>
      </c>
      <c r="CY7" s="35">
        <f t="shared" si="10"/>
        <v>0</v>
      </c>
    </row>
    <row r="8" spans="2:156" s="2" customFormat="1" ht="15">
      <c r="B8" s="33" t="s">
        <v>115</v>
      </c>
      <c r="AQ8" s="71">
        <f t="shared" ref="AQ8:BJ8" si="11">SUM(AQ4:AQ7)</f>
        <v>1128.7</v>
      </c>
      <c r="AR8" s="71">
        <f t="shared" si="11"/>
        <v>925</v>
      </c>
      <c r="AS8" s="71">
        <f t="shared" si="11"/>
        <v>1140.9000000000001</v>
      </c>
      <c r="AT8" s="71">
        <f t="shared" si="11"/>
        <v>1191.7000000000003</v>
      </c>
      <c r="AU8" s="71">
        <f t="shared" si="11"/>
        <v>1216.5999999999999</v>
      </c>
      <c r="AV8" s="71">
        <f t="shared" si="11"/>
        <v>1376</v>
      </c>
      <c r="AW8" s="71">
        <f t="shared" si="11"/>
        <v>1310.2</v>
      </c>
      <c r="AX8" s="71">
        <f t="shared" si="11"/>
        <v>1329.6999999999998</v>
      </c>
      <c r="AY8" s="71">
        <f t="shared" si="11"/>
        <v>1341.1999999999998</v>
      </c>
      <c r="AZ8" s="71">
        <f t="shared" si="11"/>
        <v>1373.8999999999999</v>
      </c>
      <c r="BA8" s="71">
        <f t="shared" si="11"/>
        <v>1319</v>
      </c>
      <c r="BB8" s="71">
        <f t="shared" si="11"/>
        <v>1348.2999999999997</v>
      </c>
      <c r="BC8" s="71">
        <f t="shared" si="11"/>
        <v>1459.6000000000001</v>
      </c>
      <c r="BD8" s="71">
        <f t="shared" si="11"/>
        <v>1530.2</v>
      </c>
      <c r="BE8" s="71">
        <f t="shared" si="11"/>
        <v>1480.8999999999999</v>
      </c>
      <c r="BF8" s="71">
        <f t="shared" si="11"/>
        <v>1534.1</v>
      </c>
      <c r="BG8" s="71">
        <f t="shared" si="11"/>
        <v>1329.8999999999999</v>
      </c>
      <c r="BH8" s="71">
        <f t="shared" si="11"/>
        <v>1369.3999999999999</v>
      </c>
      <c r="BI8" s="71">
        <f t="shared" si="11"/>
        <v>1354.3999999999999</v>
      </c>
      <c r="BJ8" s="71">
        <f t="shared" si="11"/>
        <v>1385.8000000000002</v>
      </c>
      <c r="BK8" s="71">
        <f>SUM(BK4:BK7)</f>
        <v>1412.7</v>
      </c>
      <c r="BL8" s="71">
        <f>SUM(BL4:BL7)</f>
        <v>1532.2</v>
      </c>
      <c r="BM8" s="71">
        <f>SUM(BM4:BM7)</f>
        <v>1553.1000000000001</v>
      </c>
      <c r="BN8" s="34"/>
      <c r="BO8" s="34"/>
      <c r="BP8" s="34"/>
      <c r="BQ8" s="34"/>
      <c r="BR8" s="34"/>
      <c r="CK8" s="2">
        <f t="shared" si="3"/>
        <v>4386.3</v>
      </c>
      <c r="CL8" s="2">
        <f t="shared" si="4"/>
        <v>5232.5</v>
      </c>
      <c r="CM8" s="2">
        <f t="shared" si="5"/>
        <v>5382.4</v>
      </c>
      <c r="CN8" s="2">
        <f t="shared" si="6"/>
        <v>6004.7999999999993</v>
      </c>
      <c r="CO8" s="2">
        <f t="shared" si="7"/>
        <v>5439.5</v>
      </c>
      <c r="CP8" s="34">
        <f t="shared" ref="CP8:CY8" si="12">SUM(CP4:CP7)</f>
        <v>5983.4500000000016</v>
      </c>
      <c r="CQ8" s="34">
        <f t="shared" si="12"/>
        <v>6581.7950000000019</v>
      </c>
      <c r="CR8" s="34">
        <f t="shared" si="12"/>
        <v>7239.9745000000021</v>
      </c>
      <c r="CS8" s="34">
        <f t="shared" si="12"/>
        <v>7963.9719500000028</v>
      </c>
      <c r="CT8" s="34">
        <f t="shared" si="12"/>
        <v>8760.3691450000042</v>
      </c>
      <c r="CU8" s="34">
        <f t="shared" si="12"/>
        <v>9636.4060595000046</v>
      </c>
      <c r="CV8" s="34">
        <f t="shared" si="12"/>
        <v>10600.046665450007</v>
      </c>
      <c r="CW8" s="34">
        <f t="shared" si="12"/>
        <v>11660.05133199501</v>
      </c>
      <c r="CX8" s="34">
        <f t="shared" si="12"/>
        <v>12826.056465194511</v>
      </c>
      <c r="CY8" s="34">
        <f t="shared" si="12"/>
        <v>14108.662111713964</v>
      </c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</row>
    <row r="9" spans="2:156">
      <c r="B9" s="36"/>
    </row>
    <row r="10" spans="2:156">
      <c r="B10" s="36" t="s">
        <v>1483</v>
      </c>
      <c r="AQ10" s="72"/>
      <c r="AR10" s="72"/>
      <c r="AS10" s="72"/>
      <c r="AT10" s="72"/>
      <c r="AU10" s="72">
        <f t="shared" ref="AU10:BJ10" si="13">AU4/AQ4-1</f>
        <v>6.6693613581245037E-2</v>
      </c>
      <c r="AV10" s="72">
        <f t="shared" si="13"/>
        <v>0.51691065118626978</v>
      </c>
      <c r="AW10" s="72">
        <f t="shared" si="13"/>
        <v>0.15202793446145568</v>
      </c>
      <c r="AX10" s="72">
        <f t="shared" si="13"/>
        <v>0.1227776346302496</v>
      </c>
      <c r="AY10" s="72">
        <f t="shared" si="13"/>
        <v>0.11317418213969921</v>
      </c>
      <c r="AZ10" s="72">
        <f t="shared" si="13"/>
        <v>5.9900166389350584E-3</v>
      </c>
      <c r="BA10" s="72">
        <f t="shared" si="13"/>
        <v>5.2459780834692715E-3</v>
      </c>
      <c r="BB10" s="72">
        <f t="shared" si="13"/>
        <v>-4.3602983362021064E-3</v>
      </c>
      <c r="BC10" s="72">
        <f t="shared" si="13"/>
        <v>7.5570180415295507E-2</v>
      </c>
      <c r="BD10" s="72">
        <f t="shared" si="13"/>
        <v>9.339508214797676E-2</v>
      </c>
      <c r="BE10" s="72">
        <f t="shared" si="13"/>
        <v>0.11434535544474089</v>
      </c>
      <c r="BF10" s="72">
        <f t="shared" si="13"/>
        <v>0.12873112827013977</v>
      </c>
      <c r="BG10" s="72">
        <f t="shared" si="13"/>
        <v>6.3297816225340142E-2</v>
      </c>
      <c r="BH10" s="72">
        <f t="shared" si="13"/>
        <v>4.7398144413069776E-2</v>
      </c>
      <c r="BI10" s="72">
        <f t="shared" si="13"/>
        <v>6.4939119575398108E-2</v>
      </c>
      <c r="BJ10" s="72">
        <f t="shared" si="13"/>
        <v>5.8096793955483061E-2</v>
      </c>
      <c r="BK10" s="72">
        <f t="shared" ref="BK10:BM12" si="14">BK4/BG4-1</f>
        <v>3.839666633594585E-2</v>
      </c>
      <c r="BL10" s="72">
        <f t="shared" si="14"/>
        <v>8.8869632197188686E-2</v>
      </c>
      <c r="BM10" s="72">
        <f t="shared" si="14"/>
        <v>0.12371738493110529</v>
      </c>
      <c r="CK10" s="72"/>
      <c r="CL10" s="72">
        <f t="shared" ref="CL10:CO14" si="15">CL4/CK4-1</f>
        <v>0.19780912049837251</v>
      </c>
      <c r="CM10" s="72">
        <f t="shared" si="15"/>
        <v>2.7962016070124163E-2</v>
      </c>
      <c r="CN10" s="72">
        <f t="shared" si="15"/>
        <v>0.1027798305951908</v>
      </c>
      <c r="CO10" s="72">
        <f t="shared" si="15"/>
        <v>5.8327748853033601E-2</v>
      </c>
      <c r="CP10" s="49">
        <v>0.1</v>
      </c>
      <c r="CQ10" s="49">
        <v>0.1</v>
      </c>
      <c r="CR10" s="49">
        <v>0.1</v>
      </c>
      <c r="CS10" s="49">
        <v>0.1</v>
      </c>
      <c r="CT10" s="49">
        <v>0.1</v>
      </c>
      <c r="CU10" s="49">
        <v>0.1</v>
      </c>
      <c r="CV10" s="49">
        <v>0.1</v>
      </c>
      <c r="CW10" s="49">
        <v>0.1</v>
      </c>
      <c r="CX10" s="49">
        <v>0.1</v>
      </c>
      <c r="CY10" s="49">
        <v>0.1</v>
      </c>
    </row>
    <row r="11" spans="2:156">
      <c r="B11" s="36" t="s">
        <v>1484</v>
      </c>
      <c r="AQ11" s="72"/>
      <c r="AR11" s="72"/>
      <c r="AS11" s="72"/>
      <c r="AT11" s="72"/>
      <c r="AU11" s="72">
        <f t="shared" ref="AU11:BJ11" si="16">AU5/AQ5-1</f>
        <v>0.55238095238095242</v>
      </c>
      <c r="AV11" s="72">
        <f t="shared" si="16"/>
        <v>2.6229508196721314</v>
      </c>
      <c r="AW11" s="72">
        <f t="shared" si="16"/>
        <v>0.84297520661157033</v>
      </c>
      <c r="AX11" s="72">
        <f t="shared" si="16"/>
        <v>0.93129770992366478</v>
      </c>
      <c r="AY11" s="72">
        <f t="shared" si="16"/>
        <v>0.65644171779141103</v>
      </c>
      <c r="AZ11" s="72">
        <f t="shared" si="16"/>
        <v>0.26244343891402711</v>
      </c>
      <c r="BA11" s="72">
        <f t="shared" si="16"/>
        <v>0.33183856502242137</v>
      </c>
      <c r="BB11" s="72">
        <f t="shared" si="16"/>
        <v>0.24505928853754955</v>
      </c>
      <c r="BC11" s="72">
        <f t="shared" si="16"/>
        <v>0.54074074074074074</v>
      </c>
      <c r="BD11" s="72">
        <f t="shared" si="16"/>
        <v>0.70609318996415782</v>
      </c>
      <c r="BE11" s="72">
        <f t="shared" si="16"/>
        <v>0.76430976430976427</v>
      </c>
      <c r="BF11" s="72">
        <f t="shared" si="16"/>
        <v>0.77777777777777768</v>
      </c>
      <c r="BG11" s="72">
        <f t="shared" si="16"/>
        <v>0.75240384615384626</v>
      </c>
      <c r="BH11" s="72">
        <f t="shared" si="16"/>
        <v>0.74369747899159666</v>
      </c>
      <c r="BI11" s="72">
        <f t="shared" si="16"/>
        <v>0.73854961832061061</v>
      </c>
      <c r="BJ11" s="72">
        <f t="shared" si="16"/>
        <v>0.87678571428571472</v>
      </c>
      <c r="BK11" s="72">
        <f t="shared" si="14"/>
        <v>0.58024691358024683</v>
      </c>
      <c r="BL11" s="72">
        <f t="shared" si="14"/>
        <v>0.62048192771084332</v>
      </c>
      <c r="BM11" s="72">
        <f t="shared" si="14"/>
        <v>0.59385290889132825</v>
      </c>
      <c r="CK11" s="72"/>
      <c r="CL11" s="72">
        <f t="shared" si="15"/>
        <v>1.057416267942584</v>
      </c>
      <c r="CM11" s="72">
        <f t="shared" si="15"/>
        <v>0.34999999999999987</v>
      </c>
      <c r="CN11" s="72">
        <f t="shared" si="15"/>
        <v>0.70198105081826023</v>
      </c>
      <c r="CO11" s="72">
        <f t="shared" si="15"/>
        <v>0.78188259109311753</v>
      </c>
      <c r="CP11" s="49">
        <v>0.1</v>
      </c>
      <c r="CQ11" s="49">
        <v>0.1</v>
      </c>
      <c r="CR11" s="49">
        <v>0.1</v>
      </c>
      <c r="CS11" s="49">
        <v>0.1</v>
      </c>
      <c r="CT11" s="49">
        <v>0.1</v>
      </c>
      <c r="CU11" s="49">
        <v>0.1</v>
      </c>
      <c r="CV11" s="49">
        <v>0.1</v>
      </c>
      <c r="CW11" s="49">
        <v>0.1</v>
      </c>
      <c r="CX11" s="49">
        <v>0.1</v>
      </c>
      <c r="CY11" s="49">
        <v>0.1</v>
      </c>
    </row>
    <row r="12" spans="2:156">
      <c r="B12" s="36" t="s">
        <v>1485</v>
      </c>
      <c r="AQ12" s="72"/>
      <c r="AR12" s="72"/>
      <c r="AS12" s="72"/>
      <c r="AT12" s="72"/>
      <c r="AU12" s="72">
        <f t="shared" ref="AU12:BJ12" si="17">AU6/AQ6-1</f>
        <v>0.10134436401240943</v>
      </c>
      <c r="AV12" s="72">
        <f t="shared" si="17"/>
        <v>0.47545059042883775</v>
      </c>
      <c r="AW12" s="72">
        <f t="shared" si="17"/>
        <v>6.9355632070831286E-2</v>
      </c>
      <c r="AX12" s="72">
        <f t="shared" si="17"/>
        <v>8.3741429970617842E-2</v>
      </c>
      <c r="AY12" s="72">
        <f t="shared" si="17"/>
        <v>3.6619718309859106E-2</v>
      </c>
      <c r="AZ12" s="72">
        <f t="shared" si="17"/>
        <v>-3.7489469250210683E-2</v>
      </c>
      <c r="BA12" s="72">
        <f t="shared" si="17"/>
        <v>1.0579576816927228E-2</v>
      </c>
      <c r="BB12" s="72">
        <f t="shared" si="17"/>
        <v>1.2652507907817245E-2</v>
      </c>
      <c r="BC12" s="72">
        <f t="shared" si="17"/>
        <v>0.12409420289855055</v>
      </c>
      <c r="BD12" s="72">
        <f t="shared" si="17"/>
        <v>0.12166301969365434</v>
      </c>
      <c r="BE12" s="72">
        <f t="shared" si="17"/>
        <v>0.12243969048702774</v>
      </c>
      <c r="BF12" s="72">
        <f t="shared" si="17"/>
        <v>0.10754127621597465</v>
      </c>
      <c r="BG12" s="72">
        <f t="shared" si="17"/>
        <v>3.6261079774375649E-3</v>
      </c>
      <c r="BH12" s="72">
        <f t="shared" si="17"/>
        <v>-3.3164260632071785E-2</v>
      </c>
      <c r="BI12" s="72">
        <f t="shared" si="17"/>
        <v>-2.676399026763987E-2</v>
      </c>
      <c r="BJ12" s="72">
        <f t="shared" si="17"/>
        <v>-1.5310233682513941E-2</v>
      </c>
      <c r="BK12" s="72">
        <f t="shared" si="14"/>
        <v>7.2260136491368865E-3</v>
      </c>
      <c r="BL12" s="72">
        <f t="shared" si="14"/>
        <v>7.6674737691686756E-2</v>
      </c>
      <c r="BM12" s="72">
        <f t="shared" si="14"/>
        <v>7.4999999999999956E-2</v>
      </c>
      <c r="CK12" s="72"/>
      <c r="CL12" s="72">
        <f t="shared" si="15"/>
        <v>0.16710422683118931</v>
      </c>
      <c r="CM12" s="72">
        <f t="shared" si="15"/>
        <v>4.4989315037677891E-3</v>
      </c>
      <c r="CN12" s="72">
        <f t="shared" si="15"/>
        <v>0.11891165602955978</v>
      </c>
      <c r="CO12" s="72">
        <f t="shared" si="15"/>
        <v>-1.8012608826178278E-2</v>
      </c>
      <c r="CP12" s="49">
        <v>0.1</v>
      </c>
      <c r="CQ12" s="49">
        <v>0.1</v>
      </c>
      <c r="CR12" s="49">
        <v>0.1</v>
      </c>
      <c r="CS12" s="49">
        <v>0.1</v>
      </c>
      <c r="CT12" s="49">
        <v>0.1</v>
      </c>
      <c r="CU12" s="49">
        <v>0.1</v>
      </c>
      <c r="CV12" s="49">
        <v>0.1</v>
      </c>
      <c r="CW12" s="49">
        <v>0.1</v>
      </c>
      <c r="CX12" s="49">
        <v>0.1</v>
      </c>
      <c r="CY12" s="49">
        <v>0.1</v>
      </c>
    </row>
    <row r="13" spans="2:156">
      <c r="B13" s="36" t="s">
        <v>1486</v>
      </c>
      <c r="AQ13" s="72"/>
      <c r="AR13" s="72"/>
      <c r="AS13" s="72"/>
      <c r="AT13" s="72"/>
      <c r="AU13" s="72">
        <f t="shared" ref="AU13:BG13" si="18">AU7/AQ7-1</f>
        <v>7.1193866374589243E-2</v>
      </c>
      <c r="AV13" s="72">
        <f t="shared" si="18"/>
        <v>0.31337813072693965</v>
      </c>
      <c r="AW13" s="72">
        <f t="shared" si="18"/>
        <v>0.17578772802653386</v>
      </c>
      <c r="AX13" s="72">
        <f t="shared" si="18"/>
        <v>6.7608476286579178E-2</v>
      </c>
      <c r="AY13" s="72">
        <f t="shared" si="18"/>
        <v>8.4355828220858964E-2</v>
      </c>
      <c r="AZ13" s="72">
        <f t="shared" si="18"/>
        <v>-2.0465116279069773E-2</v>
      </c>
      <c r="BA13" s="72">
        <f t="shared" si="18"/>
        <v>-2.538787023977418E-2</v>
      </c>
      <c r="BB13" s="72">
        <f t="shared" si="18"/>
        <v>6.3327032136105688E-2</v>
      </c>
      <c r="BC13" s="72">
        <f t="shared" si="18"/>
        <v>4.620462046204632E-2</v>
      </c>
      <c r="BD13" s="72">
        <f t="shared" si="18"/>
        <v>0.11443494776828111</v>
      </c>
      <c r="BE13" s="72">
        <f t="shared" si="18"/>
        <v>6.6087795465508803E-2</v>
      </c>
      <c r="BF13" s="72">
        <f t="shared" si="18"/>
        <v>0.11333333333333329</v>
      </c>
      <c r="BG13" s="72">
        <f t="shared" si="18"/>
        <v>-1</v>
      </c>
      <c r="BH13" s="72">
        <v>0</v>
      </c>
      <c r="BI13" s="72">
        <v>0</v>
      </c>
      <c r="BJ13" s="72">
        <v>0</v>
      </c>
      <c r="BK13" s="72">
        <v>0</v>
      </c>
      <c r="BL13" s="72">
        <v>0</v>
      </c>
      <c r="BM13" s="72">
        <v>0</v>
      </c>
      <c r="CK13" s="72"/>
      <c r="CL13" s="72">
        <f t="shared" si="15"/>
        <v>0.15095119933829615</v>
      </c>
      <c r="CM13" s="72">
        <f t="shared" si="15"/>
        <v>2.4074739489759356E-2</v>
      </c>
      <c r="CN13" s="72">
        <f t="shared" si="15"/>
        <v>8.5497076023391738E-2</v>
      </c>
      <c r="CO13" s="72">
        <f t="shared" si="15"/>
        <v>-1</v>
      </c>
      <c r="CP13" s="49">
        <v>0.1</v>
      </c>
      <c r="CQ13" s="49">
        <v>0.1</v>
      </c>
      <c r="CR13" s="49">
        <v>0.1</v>
      </c>
      <c r="CS13" s="49">
        <v>0.1</v>
      </c>
      <c r="CT13" s="49">
        <v>0.1</v>
      </c>
      <c r="CU13" s="49">
        <v>0.1</v>
      </c>
      <c r="CV13" s="49">
        <v>0.1</v>
      </c>
      <c r="CW13" s="49">
        <v>0.1</v>
      </c>
      <c r="CX13" s="49">
        <v>0.1</v>
      </c>
      <c r="CY13" s="49">
        <v>0.1</v>
      </c>
    </row>
    <row r="14" spans="2:156" s="2" customFormat="1" ht="15">
      <c r="B14" s="33" t="s">
        <v>172</v>
      </c>
      <c r="AQ14" s="73"/>
      <c r="AR14" s="73"/>
      <c r="AS14" s="73"/>
      <c r="AT14" s="73"/>
      <c r="AU14" s="73">
        <f t="shared" ref="AU14:BJ14" si="19">AU8/AQ8-1</f>
        <v>7.7877203862851019E-2</v>
      </c>
      <c r="AV14" s="73">
        <f t="shared" si="19"/>
        <v>0.48756756756756747</v>
      </c>
      <c r="AW14" s="73">
        <f t="shared" si="19"/>
        <v>0.14839162065036371</v>
      </c>
      <c r="AX14" s="73">
        <f t="shared" si="19"/>
        <v>0.11580095661659784</v>
      </c>
      <c r="AY14" s="73">
        <f t="shared" si="19"/>
        <v>0.10241657077100119</v>
      </c>
      <c r="AZ14" s="73">
        <f t="shared" si="19"/>
        <v>-1.5261627906977271E-3</v>
      </c>
      <c r="BA14" s="73">
        <f t="shared" si="19"/>
        <v>6.7165318272019991E-3</v>
      </c>
      <c r="BB14" s="73">
        <f t="shared" si="19"/>
        <v>1.3988117620515883E-2</v>
      </c>
      <c r="BC14" s="73">
        <f t="shared" si="19"/>
        <v>8.8279152997316146E-2</v>
      </c>
      <c r="BD14" s="73">
        <f t="shared" si="19"/>
        <v>0.11376373826333808</v>
      </c>
      <c r="BE14" s="73">
        <f t="shared" si="19"/>
        <v>0.12274450341167542</v>
      </c>
      <c r="BF14" s="73">
        <f t="shared" si="19"/>
        <v>0.13780315953422839</v>
      </c>
      <c r="BG14" s="73">
        <f t="shared" si="19"/>
        <v>-8.8859961633324325E-2</v>
      </c>
      <c r="BH14" s="73">
        <f t="shared" si="19"/>
        <v>-0.10508430270552882</v>
      </c>
      <c r="BI14" s="73">
        <f t="shared" si="19"/>
        <v>-8.5421027753393219E-2</v>
      </c>
      <c r="BJ14" s="73">
        <f t="shared" si="19"/>
        <v>-9.6669056775959716E-2</v>
      </c>
      <c r="BK14" s="73">
        <f>BK8/BG8-1</f>
        <v>6.2260320324836638E-2</v>
      </c>
      <c r="BL14" s="73">
        <f>BL8/BH8-1</f>
        <v>0.11888418285380475</v>
      </c>
      <c r="BM14" s="73">
        <f>BM8/BI8-1</f>
        <v>0.14670702894270549</v>
      </c>
      <c r="BN14" s="34"/>
      <c r="BO14" s="34"/>
      <c r="BP14" s="34"/>
      <c r="BQ14" s="34"/>
      <c r="BR14" s="34"/>
      <c r="CK14" s="73"/>
      <c r="CL14" s="73">
        <f t="shared" si="15"/>
        <v>0.19291886099901956</v>
      </c>
      <c r="CM14" s="73">
        <f t="shared" si="15"/>
        <v>2.8647873865265128E-2</v>
      </c>
      <c r="CN14" s="73">
        <f t="shared" si="15"/>
        <v>0.11563614744351947</v>
      </c>
      <c r="CO14" s="73">
        <f t="shared" si="15"/>
        <v>-9.4141353583799492E-2</v>
      </c>
      <c r="CP14" s="50">
        <f t="shared" ref="CP14:CY14" si="20">CP8/CO8-1</f>
        <v>0.10000000000000031</v>
      </c>
      <c r="CQ14" s="50">
        <f t="shared" si="20"/>
        <v>0.10000000000000009</v>
      </c>
      <c r="CR14" s="50">
        <f t="shared" si="20"/>
        <v>0.10000000000000009</v>
      </c>
      <c r="CS14" s="50">
        <f t="shared" si="20"/>
        <v>0.10000000000000009</v>
      </c>
      <c r="CT14" s="50">
        <f t="shared" si="20"/>
        <v>0.10000000000000009</v>
      </c>
      <c r="CU14" s="50">
        <f t="shared" si="20"/>
        <v>0.10000000000000009</v>
      </c>
      <c r="CV14" s="50">
        <f t="shared" si="20"/>
        <v>0.10000000000000009</v>
      </c>
      <c r="CW14" s="50">
        <f t="shared" si="20"/>
        <v>0.10000000000000009</v>
      </c>
      <c r="CX14" s="50">
        <f t="shared" si="20"/>
        <v>0.10000000000000009</v>
      </c>
      <c r="CY14" s="50">
        <f t="shared" si="20"/>
        <v>0.10000000000000009</v>
      </c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</row>
    <row r="15" spans="2:156"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CK15" s="72"/>
      <c r="CL15" s="72"/>
      <c r="CM15" s="72"/>
      <c r="CN15" s="72"/>
      <c r="CO15" s="72"/>
    </row>
    <row r="16" spans="2:156">
      <c r="B16" s="36" t="s">
        <v>1487</v>
      </c>
      <c r="AQ16" s="72">
        <f t="shared" ref="AQ16:BJ16" si="21">AQ4/AQ8</f>
        <v>0.65757065650748647</v>
      </c>
      <c r="AR16" s="72">
        <f t="shared" si="21"/>
        <v>0.64248648648648643</v>
      </c>
      <c r="AS16" s="72">
        <f t="shared" si="21"/>
        <v>0.65264265053904813</v>
      </c>
      <c r="AT16" s="72">
        <f t="shared" si="21"/>
        <v>0.65133842410002529</v>
      </c>
      <c r="AU16" s="72">
        <f t="shared" si="21"/>
        <v>0.65074798619102425</v>
      </c>
      <c r="AV16" s="72">
        <f t="shared" si="21"/>
        <v>0.65515988372093026</v>
      </c>
      <c r="AW16" s="72">
        <f t="shared" si="21"/>
        <v>0.65470920470157223</v>
      </c>
      <c r="AX16" s="72">
        <f t="shared" si="21"/>
        <v>0.65541099496126953</v>
      </c>
      <c r="AY16" s="72">
        <f t="shared" si="21"/>
        <v>0.65709812108559507</v>
      </c>
      <c r="AZ16" s="72">
        <f t="shared" si="21"/>
        <v>0.66009170973142151</v>
      </c>
      <c r="BA16" s="72">
        <f t="shared" si="21"/>
        <v>0.65375284306292647</v>
      </c>
      <c r="BB16" s="72">
        <f t="shared" si="21"/>
        <v>0.64355113847066681</v>
      </c>
      <c r="BC16" s="72">
        <f t="shared" si="21"/>
        <v>0.64942449986297612</v>
      </c>
      <c r="BD16" s="72">
        <f t="shared" si="21"/>
        <v>0.64801986668409362</v>
      </c>
      <c r="BE16" s="72">
        <f t="shared" si="21"/>
        <v>0.64886217840502403</v>
      </c>
      <c r="BF16" s="72">
        <f t="shared" si="21"/>
        <v>0.63841992047454543</v>
      </c>
      <c r="BG16" s="72">
        <f t="shared" si="21"/>
        <v>0.75787653207008054</v>
      </c>
      <c r="BH16" s="72">
        <f t="shared" si="21"/>
        <v>0.75843435081057398</v>
      </c>
      <c r="BI16" s="72">
        <f t="shared" si="21"/>
        <v>0.75553750738334324</v>
      </c>
      <c r="BJ16" s="72">
        <f t="shared" si="21"/>
        <v>0.74779910520998705</v>
      </c>
      <c r="BK16" s="72">
        <f>BK4/BK8</f>
        <v>0.74085085297656961</v>
      </c>
      <c r="BL16" s="72">
        <f>BL4/BL8</f>
        <v>0.73808902232084583</v>
      </c>
      <c r="BM16" s="72">
        <f>BM4/BM8</f>
        <v>0.74039018736720108</v>
      </c>
      <c r="CK16" s="72">
        <f t="shared" ref="CK16:CN16" si="22">CK4/CK8</f>
        <v>0.65141463192212112</v>
      </c>
      <c r="CL16" s="72">
        <f t="shared" si="22"/>
        <v>0.65408504538939316</v>
      </c>
      <c r="CM16" s="72">
        <f t="shared" si="22"/>
        <v>0.65364892984542211</v>
      </c>
      <c r="CN16" s="72">
        <f t="shared" si="22"/>
        <v>0.64611644018118852</v>
      </c>
      <c r="CO16" s="72">
        <f>CO4/CO8</f>
        <v>0.75486717529184677</v>
      </c>
    </row>
    <row r="17" spans="2:155">
      <c r="B17" s="36" t="s">
        <v>1488</v>
      </c>
      <c r="AQ17" s="72">
        <f t="shared" ref="AQ17:BJ17" si="23">AQ5/AQ8</f>
        <v>9.3027376627979087E-3</v>
      </c>
      <c r="AR17" s="72">
        <f t="shared" si="23"/>
        <v>6.5945945945945945E-3</v>
      </c>
      <c r="AS17" s="72">
        <f t="shared" si="23"/>
        <v>1.0605662196511524E-2</v>
      </c>
      <c r="AT17" s="72">
        <f t="shared" si="23"/>
        <v>1.0992699504908946E-2</v>
      </c>
      <c r="AU17" s="72">
        <f t="shared" si="23"/>
        <v>1.339799441065264E-2</v>
      </c>
      <c r="AV17" s="72">
        <f t="shared" si="23"/>
        <v>1.6061046511627909E-2</v>
      </c>
      <c r="AW17" s="72">
        <f t="shared" si="23"/>
        <v>1.7020302243932223E-2</v>
      </c>
      <c r="AX17" s="72">
        <f t="shared" si="23"/>
        <v>1.9026848161239378E-2</v>
      </c>
      <c r="AY17" s="72">
        <f t="shared" si="23"/>
        <v>2.0131225767968986E-2</v>
      </c>
      <c r="AZ17" s="72">
        <f t="shared" si="23"/>
        <v>2.0307154814760902E-2</v>
      </c>
      <c r="BA17" s="72">
        <f t="shared" si="23"/>
        <v>2.2517058377558755E-2</v>
      </c>
      <c r="BB17" s="72">
        <f t="shared" si="23"/>
        <v>2.3362753096491884E-2</v>
      </c>
      <c r="BC17" s="72">
        <f t="shared" si="23"/>
        <v>2.8500959166895039E-2</v>
      </c>
      <c r="BD17" s="72">
        <f t="shared" si="23"/>
        <v>3.110704483074108E-2</v>
      </c>
      <c r="BE17" s="72">
        <f t="shared" si="23"/>
        <v>3.5383888176109123E-2</v>
      </c>
      <c r="BF17" s="72">
        <f t="shared" si="23"/>
        <v>3.6503487386741411E-2</v>
      </c>
      <c r="BG17" s="72">
        <f t="shared" si="23"/>
        <v>5.4816151590345148E-2</v>
      </c>
      <c r="BH17" s="72">
        <f t="shared" si="23"/>
        <v>6.0610486344384408E-2</v>
      </c>
      <c r="BI17" s="72">
        <f t="shared" si="23"/>
        <v>6.7262256349675129E-2</v>
      </c>
      <c r="BJ17" s="72">
        <f t="shared" si="23"/>
        <v>7.5840669649300044E-2</v>
      </c>
      <c r="BK17" s="72">
        <f>BK5/BK8</f>
        <v>8.1545975791038436E-2</v>
      </c>
      <c r="BL17" s="72">
        <f>BL5/BL8</f>
        <v>8.7782273854588172E-2</v>
      </c>
      <c r="BM17" s="72">
        <f>BM5/BM8</f>
        <v>9.3490438477882923E-2</v>
      </c>
      <c r="CK17" s="72">
        <f t="shared" ref="CK17:CN17" si="24">CK5/CK8</f>
        <v>9.5296719330643133E-3</v>
      </c>
      <c r="CL17" s="72">
        <f t="shared" si="24"/>
        <v>1.6435738174868611E-2</v>
      </c>
      <c r="CM17" s="72">
        <f t="shared" si="24"/>
        <v>2.1570303210463736E-2</v>
      </c>
      <c r="CN17" s="72">
        <f t="shared" si="24"/>
        <v>3.2907007727151612E-2</v>
      </c>
      <c r="CO17" s="72">
        <f>CO5/CO8</f>
        <v>6.4730214174096884E-2</v>
      </c>
    </row>
    <row r="18" spans="2:155">
      <c r="B18" s="36" t="s">
        <v>1489</v>
      </c>
      <c r="AQ18" s="72">
        <f t="shared" ref="AQ18:BJ18" si="25">AQ6/AQ8</f>
        <v>0.17134756799858245</v>
      </c>
      <c r="AR18" s="72">
        <f t="shared" si="25"/>
        <v>0.17394594594594595</v>
      </c>
      <c r="AS18" s="72">
        <f t="shared" si="25"/>
        <v>0.17819265492155315</v>
      </c>
      <c r="AT18" s="72">
        <f t="shared" si="25"/>
        <v>0.17135185029789368</v>
      </c>
      <c r="AU18" s="72">
        <f t="shared" si="25"/>
        <v>0.17507808647049156</v>
      </c>
      <c r="AV18" s="72">
        <f t="shared" si="25"/>
        <v>0.17252906976744187</v>
      </c>
      <c r="AW18" s="72">
        <f t="shared" si="25"/>
        <v>0.16592886582201191</v>
      </c>
      <c r="AX18" s="72">
        <f t="shared" si="25"/>
        <v>0.16642851771076189</v>
      </c>
      <c r="AY18" s="72">
        <f t="shared" si="25"/>
        <v>0.16462869072472416</v>
      </c>
      <c r="AZ18" s="72">
        <f t="shared" si="25"/>
        <v>0.16631487007788051</v>
      </c>
      <c r="BA18" s="72">
        <f t="shared" si="25"/>
        <v>0.16656557998483698</v>
      </c>
      <c r="BB18" s="72">
        <f t="shared" si="25"/>
        <v>0.16620930060075656</v>
      </c>
      <c r="BC18" s="72">
        <f t="shared" si="25"/>
        <v>0.17004658810633047</v>
      </c>
      <c r="BD18" s="72">
        <f t="shared" si="25"/>
        <v>0.16749444517056594</v>
      </c>
      <c r="BE18" s="72">
        <f t="shared" si="25"/>
        <v>0.16652035924100211</v>
      </c>
      <c r="BF18" s="72">
        <f t="shared" si="25"/>
        <v>0.16178867088195029</v>
      </c>
      <c r="BG18" s="72">
        <f t="shared" si="25"/>
        <v>0.18730731633957443</v>
      </c>
      <c r="BH18" s="72">
        <f t="shared" si="25"/>
        <v>0.18095516284504165</v>
      </c>
      <c r="BI18" s="72">
        <f t="shared" si="25"/>
        <v>0.1772002362669817</v>
      </c>
      <c r="BJ18" s="72">
        <f t="shared" si="25"/>
        <v>0.1763602251407129</v>
      </c>
      <c r="BK18" s="72">
        <f>BK6/BK8</f>
        <v>0.17760317123239186</v>
      </c>
      <c r="BL18" s="72">
        <f>BL6/BL8</f>
        <v>0.17412870382456599</v>
      </c>
      <c r="BM18" s="72">
        <f>BM6/BM8</f>
        <v>0.16611937415491596</v>
      </c>
      <c r="CK18" s="72">
        <f t="shared" ref="CK18:CN18" si="26">CK6/CK8</f>
        <v>0.17367713106718646</v>
      </c>
      <c r="CL18" s="72">
        <f t="shared" si="26"/>
        <v>0.1699187768752986</v>
      </c>
      <c r="CM18" s="72">
        <f t="shared" si="26"/>
        <v>0.16592969678953629</v>
      </c>
      <c r="CN18" s="72">
        <f t="shared" si="26"/>
        <v>0.16641686650679458</v>
      </c>
      <c r="CO18" s="72">
        <f>CO6/CO8</f>
        <v>0.18040261053405643</v>
      </c>
    </row>
    <row r="19" spans="2:155">
      <c r="B19" s="36" t="s">
        <v>1490</v>
      </c>
      <c r="AQ19" s="72">
        <f t="shared" ref="AQ19:BJ19" si="27">AQ7/AQ8</f>
        <v>0.16177903783113315</v>
      </c>
      <c r="AR19" s="72">
        <f t="shared" si="27"/>
        <v>0.17697297297297296</v>
      </c>
      <c r="AS19" s="72">
        <f t="shared" si="27"/>
        <v>0.15855903234288718</v>
      </c>
      <c r="AT19" s="72">
        <f t="shared" si="27"/>
        <v>0.16631702609717211</v>
      </c>
      <c r="AU19" s="72">
        <f t="shared" si="27"/>
        <v>0.16077593292783168</v>
      </c>
      <c r="AV19" s="72">
        <f t="shared" si="27"/>
        <v>0.15625</v>
      </c>
      <c r="AW19" s="72">
        <f t="shared" si="27"/>
        <v>0.16234162723248358</v>
      </c>
      <c r="AX19" s="72">
        <f t="shared" si="27"/>
        <v>0.15913363916672937</v>
      </c>
      <c r="AY19" s="72">
        <f t="shared" si="27"/>
        <v>0.15814196242171191</v>
      </c>
      <c r="AZ19" s="72">
        <f t="shared" si="27"/>
        <v>0.15328626537593712</v>
      </c>
      <c r="BA19" s="72">
        <f t="shared" si="27"/>
        <v>0.15716451857467781</v>
      </c>
      <c r="BB19" s="72">
        <f t="shared" si="27"/>
        <v>0.16687680783208489</v>
      </c>
      <c r="BC19" s="72">
        <f t="shared" si="27"/>
        <v>0.15202795286379828</v>
      </c>
      <c r="BD19" s="72">
        <f t="shared" si="27"/>
        <v>0.15337864331459938</v>
      </c>
      <c r="BE19" s="72">
        <f t="shared" si="27"/>
        <v>0.14923357417786481</v>
      </c>
      <c r="BF19" s="72">
        <f t="shared" si="27"/>
        <v>0.16328792125676292</v>
      </c>
      <c r="BG19" s="72">
        <f t="shared" si="27"/>
        <v>0</v>
      </c>
      <c r="BH19" s="72">
        <f t="shared" si="27"/>
        <v>0</v>
      </c>
      <c r="BI19" s="72">
        <f t="shared" si="27"/>
        <v>0</v>
      </c>
      <c r="BJ19" s="72">
        <f t="shared" si="27"/>
        <v>0</v>
      </c>
      <c r="BK19" s="72">
        <f>BK7/BK8</f>
        <v>0</v>
      </c>
      <c r="BL19" s="72">
        <f>BL7/BL8</f>
        <v>0</v>
      </c>
      <c r="BM19" s="72">
        <f>BM7/BM8</f>
        <v>0</v>
      </c>
      <c r="CK19" s="72">
        <f t="shared" ref="CK19:CN19" si="28">CK7/CK8</f>
        <v>0.16537856507762805</v>
      </c>
      <c r="CL19" s="72">
        <f t="shared" si="28"/>
        <v>0.15956043956043955</v>
      </c>
      <c r="CM19" s="72">
        <f t="shared" si="28"/>
        <v>0.15885107015457789</v>
      </c>
      <c r="CN19" s="72">
        <f t="shared" si="28"/>
        <v>0.15455968558486546</v>
      </c>
      <c r="CO19" s="72">
        <f>CO7/CO8</f>
        <v>0</v>
      </c>
    </row>
    <row r="21" spans="2:155">
      <c r="B21" s="1" t="s">
        <v>116</v>
      </c>
      <c r="AQ21" s="70">
        <v>667.4</v>
      </c>
      <c r="AR21" s="70">
        <v>516.20000000000005</v>
      </c>
      <c r="AS21" s="70">
        <v>662</v>
      </c>
      <c r="AT21" s="70">
        <f>2516.8-SUM(AQ21:AS21)</f>
        <v>671.20000000000027</v>
      </c>
      <c r="AU21" s="70">
        <v>674.7</v>
      </c>
      <c r="AV21" s="70">
        <v>795.7</v>
      </c>
      <c r="AW21" s="70">
        <v>753.2</v>
      </c>
      <c r="AX21" s="70">
        <f>2963.1-SUM(AU21:AW21)</f>
        <v>739.49999999999955</v>
      </c>
      <c r="AY21" s="70">
        <v>749.5</v>
      </c>
      <c r="AZ21" s="70">
        <v>800.8</v>
      </c>
      <c r="BA21" s="70">
        <v>786.8</v>
      </c>
      <c r="BB21" s="70">
        <f>3132.6-SUM(AY21:BA21)</f>
        <v>795.5</v>
      </c>
      <c r="BC21" s="70">
        <v>849.1</v>
      </c>
      <c r="BD21" s="70">
        <v>895.3</v>
      </c>
      <c r="BE21" s="70">
        <v>869.9</v>
      </c>
      <c r="BF21" s="70">
        <f>2947.9-SUM(BC21:BE21)</f>
        <v>333.59999999999991</v>
      </c>
      <c r="BG21" s="70">
        <v>782.1</v>
      </c>
      <c r="BH21" s="70">
        <v>806.4</v>
      </c>
      <c r="BI21" s="70">
        <v>804.6</v>
      </c>
      <c r="BJ21" s="70">
        <f>3206-SUM(BG21:BI21)</f>
        <v>812.90000000000009</v>
      </c>
      <c r="BK21" s="70">
        <v>838.9</v>
      </c>
      <c r="BL21" s="70">
        <v>889.7</v>
      </c>
      <c r="BM21" s="70">
        <v>907.5</v>
      </c>
      <c r="CK21" s="1">
        <f t="shared" ref="CK21:CK24" si="29">SUM(AQ21:AT21)</f>
        <v>2516.8000000000002</v>
      </c>
      <c r="CL21" s="1">
        <f t="shared" ref="CL21:CL24" si="30">SUM(AU21:AX21)</f>
        <v>2963.1</v>
      </c>
      <c r="CM21" s="1">
        <f t="shared" ref="CM21:CM24" si="31">SUM(AY21:BB21)</f>
        <v>3132.6</v>
      </c>
      <c r="CN21" s="1">
        <f t="shared" ref="CN21:CN24" si="32">SUM(BC21:BF21)</f>
        <v>2947.9</v>
      </c>
      <c r="CO21" s="1">
        <f t="shared" ref="CO21:CO24" si="33">SUM(BG21:BJ21)</f>
        <v>3206</v>
      </c>
    </row>
    <row r="22" spans="2:155">
      <c r="B22" s="1" t="s">
        <v>1491</v>
      </c>
      <c r="AQ22" s="70">
        <v>249.3</v>
      </c>
      <c r="AR22" s="70">
        <v>204.7</v>
      </c>
      <c r="AS22" s="70">
        <v>253.8</v>
      </c>
      <c r="AT22" s="70">
        <f>973.6-SUM(AQ22:AS22)</f>
        <v>265.80000000000007</v>
      </c>
      <c r="AU22" s="70">
        <v>280</v>
      </c>
      <c r="AV22" s="70">
        <v>309.8</v>
      </c>
      <c r="AW22" s="70">
        <v>291.10000000000002</v>
      </c>
      <c r="AX22" s="70">
        <f>1190.3-SUM(AU22:AW22)</f>
        <v>309.39999999999998</v>
      </c>
      <c r="AY22" s="70">
        <v>311.10000000000002</v>
      </c>
      <c r="AZ22" s="70">
        <v>302.8</v>
      </c>
      <c r="BA22" s="70">
        <v>270.10000000000002</v>
      </c>
      <c r="BB22" s="70">
        <f>1174.8-SUM(AY22:BA22)</f>
        <v>290.79999999999984</v>
      </c>
      <c r="BC22" s="70">
        <v>331.1</v>
      </c>
      <c r="BD22" s="70">
        <v>336.2</v>
      </c>
      <c r="BE22" s="70">
        <v>322.3</v>
      </c>
      <c r="BF22" s="70">
        <f>1180.2-SUM(BC22:BE22)</f>
        <v>190.60000000000014</v>
      </c>
      <c r="BG22" s="70">
        <v>326</v>
      </c>
      <c r="BH22" s="70">
        <v>332.2</v>
      </c>
      <c r="BI22" s="70">
        <v>319.8</v>
      </c>
      <c r="BJ22" s="70">
        <f>1321.7-SUM(BG22:BI22)</f>
        <v>343.70000000000005</v>
      </c>
      <c r="BK22" s="70">
        <v>341.8</v>
      </c>
      <c r="BL22" s="70">
        <v>378.2</v>
      </c>
      <c r="BM22" s="70">
        <v>387.9</v>
      </c>
      <c r="CK22" s="1">
        <f t="shared" si="29"/>
        <v>973.6</v>
      </c>
      <c r="CL22" s="1">
        <f t="shared" si="30"/>
        <v>1190.3</v>
      </c>
      <c r="CM22" s="1">
        <f t="shared" si="31"/>
        <v>1174.8</v>
      </c>
      <c r="CN22" s="1">
        <f t="shared" si="32"/>
        <v>1180.2</v>
      </c>
      <c r="CO22" s="1">
        <f t="shared" si="33"/>
        <v>1321.7</v>
      </c>
    </row>
    <row r="23" spans="2:155">
      <c r="B23" s="1" t="s">
        <v>1492</v>
      </c>
      <c r="AQ23" s="70">
        <v>110</v>
      </c>
      <c r="AR23" s="70">
        <v>106.8</v>
      </c>
      <c r="AS23" s="70">
        <v>113.9</v>
      </c>
      <c r="AT23" s="70">
        <f>460.1-SUM(AQ23:AS23)</f>
        <v>129.39999999999998</v>
      </c>
      <c r="AU23" s="70">
        <v>132.30000000000001</v>
      </c>
      <c r="AV23" s="70">
        <v>131.80000000000001</v>
      </c>
      <c r="AW23" s="70">
        <v>125.9</v>
      </c>
      <c r="AX23" s="70">
        <f>528.9-SUM(AU23:AW23)</f>
        <v>138.89999999999998</v>
      </c>
      <c r="AY23" s="70">
        <v>135.5</v>
      </c>
      <c r="AZ23" s="70">
        <v>122.9</v>
      </c>
      <c r="BA23" s="70">
        <v>104.1</v>
      </c>
      <c r="BB23" s="70">
        <f>473.6-SUM(AY23:BA23)</f>
        <v>111.10000000000002</v>
      </c>
      <c r="BC23" s="70">
        <v>114.1</v>
      </c>
      <c r="BD23" s="70">
        <v>117.9</v>
      </c>
      <c r="BE23" s="70">
        <v>108.4</v>
      </c>
      <c r="BF23" s="70">
        <f>350.8-SUM(BC23:BE23)</f>
        <v>10.400000000000034</v>
      </c>
      <c r="BG23" s="70">
        <v>86</v>
      </c>
      <c r="BH23" s="70">
        <v>86.5</v>
      </c>
      <c r="BI23" s="70">
        <v>81.400000000000006</v>
      </c>
      <c r="BJ23" s="70">
        <f>339.8-SUM(BG23:BI23)</f>
        <v>85.9</v>
      </c>
      <c r="BK23" s="70">
        <v>81.8</v>
      </c>
      <c r="BL23" s="70">
        <v>95.3</v>
      </c>
      <c r="BM23" s="70">
        <v>90.1</v>
      </c>
      <c r="CK23" s="1">
        <f t="shared" si="29"/>
        <v>460.1</v>
      </c>
      <c r="CL23" s="1">
        <f t="shared" si="30"/>
        <v>528.9</v>
      </c>
      <c r="CM23" s="1">
        <f t="shared" si="31"/>
        <v>473.6</v>
      </c>
      <c r="CN23" s="1">
        <f t="shared" si="32"/>
        <v>350.8</v>
      </c>
      <c r="CO23" s="1">
        <f t="shared" si="33"/>
        <v>339.8</v>
      </c>
    </row>
    <row r="24" spans="2:155">
      <c r="B24" s="1" t="s">
        <v>1493</v>
      </c>
      <c r="AQ24" s="70">
        <v>102</v>
      </c>
      <c r="AR24" s="70">
        <v>97.3</v>
      </c>
      <c r="AS24" s="70">
        <v>111.2</v>
      </c>
      <c r="AT24" s="70">
        <f>435.8-SUM(AQ24:AS24)</f>
        <v>125.30000000000001</v>
      </c>
      <c r="AU24" s="70">
        <v>129.6</v>
      </c>
      <c r="AV24" s="70">
        <v>138.69999999999999</v>
      </c>
      <c r="AW24" s="70">
        <v>140</v>
      </c>
      <c r="AX24" s="70">
        <f>550.2-SUM(AU24:AW24)</f>
        <v>141.90000000000009</v>
      </c>
      <c r="AY24" s="70">
        <v>145.1</v>
      </c>
      <c r="AZ24" s="70">
        <v>147.4</v>
      </c>
      <c r="BA24" s="70">
        <v>158</v>
      </c>
      <c r="BB24" s="70">
        <f>601.4-SUM(AY24:BA24)</f>
        <v>150.89999999999998</v>
      </c>
      <c r="BC24" s="70">
        <v>165.3</v>
      </c>
      <c r="BD24" s="70">
        <v>180.8</v>
      </c>
      <c r="BE24" s="70">
        <v>180.3</v>
      </c>
      <c r="BF24" s="70">
        <f>531.1-SUM(BC24:BE24)</f>
        <v>4.6999999999999318</v>
      </c>
      <c r="BG24" s="70">
        <v>135.80000000000001</v>
      </c>
      <c r="BH24" s="70">
        <v>144.30000000000001</v>
      </c>
      <c r="BI24" s="70">
        <v>148.6</v>
      </c>
      <c r="BJ24" s="70">
        <f>572-SUM(BG24:BI24)</f>
        <v>143.29999999999995</v>
      </c>
      <c r="BK24" s="70">
        <v>150.19999999999999</v>
      </c>
      <c r="BL24" s="70">
        <v>169</v>
      </c>
      <c r="BM24" s="70">
        <v>167.6</v>
      </c>
      <c r="CK24" s="1">
        <f t="shared" si="29"/>
        <v>435.8</v>
      </c>
      <c r="CL24" s="1">
        <f t="shared" si="30"/>
        <v>550.20000000000005</v>
      </c>
      <c r="CM24" s="1">
        <f t="shared" si="31"/>
        <v>601.4</v>
      </c>
      <c r="CN24" s="1">
        <f t="shared" si="32"/>
        <v>531.1</v>
      </c>
      <c r="CO24" s="1">
        <f t="shared" si="33"/>
        <v>572</v>
      </c>
    </row>
    <row r="25" spans="2:155" s="2" customFormat="1" ht="15">
      <c r="B25" s="2" t="s">
        <v>115</v>
      </c>
      <c r="AQ25" s="71">
        <f t="shared" ref="AQ25:BJ25" si="34">SUM(AQ21:AQ24)</f>
        <v>1128.7</v>
      </c>
      <c r="AR25" s="71">
        <f t="shared" si="34"/>
        <v>925</v>
      </c>
      <c r="AS25" s="71">
        <f t="shared" si="34"/>
        <v>1140.9000000000001</v>
      </c>
      <c r="AT25" s="71">
        <f t="shared" si="34"/>
        <v>1191.7000000000003</v>
      </c>
      <c r="AU25" s="71">
        <f t="shared" si="34"/>
        <v>1216.5999999999999</v>
      </c>
      <c r="AV25" s="71">
        <f t="shared" si="34"/>
        <v>1376</v>
      </c>
      <c r="AW25" s="71">
        <f t="shared" si="34"/>
        <v>1310.2000000000003</v>
      </c>
      <c r="AX25" s="71">
        <f t="shared" si="34"/>
        <v>1329.6999999999998</v>
      </c>
      <c r="AY25" s="71">
        <f t="shared" si="34"/>
        <v>1341.1999999999998</v>
      </c>
      <c r="AZ25" s="71">
        <f t="shared" si="34"/>
        <v>1373.9</v>
      </c>
      <c r="BA25" s="71">
        <f t="shared" si="34"/>
        <v>1319</v>
      </c>
      <c r="BB25" s="71">
        <f t="shared" si="34"/>
        <v>1348.2999999999997</v>
      </c>
      <c r="BC25" s="71">
        <f t="shared" si="34"/>
        <v>1459.6</v>
      </c>
      <c r="BD25" s="71">
        <f t="shared" si="34"/>
        <v>1530.2</v>
      </c>
      <c r="BE25" s="71">
        <f t="shared" si="34"/>
        <v>1480.9</v>
      </c>
      <c r="BF25" s="71">
        <f t="shared" si="34"/>
        <v>539.30000000000007</v>
      </c>
      <c r="BG25" s="71">
        <f t="shared" si="34"/>
        <v>1329.8999999999999</v>
      </c>
      <c r="BH25" s="71">
        <f t="shared" si="34"/>
        <v>1369.3999999999999</v>
      </c>
      <c r="BI25" s="71">
        <f t="shared" si="34"/>
        <v>1354.4</v>
      </c>
      <c r="BJ25" s="71">
        <f t="shared" si="34"/>
        <v>1385.8000000000002</v>
      </c>
      <c r="BK25" s="71">
        <f>SUM(BK21:BK24)</f>
        <v>1412.7</v>
      </c>
      <c r="BL25" s="71">
        <f>SUM(BL21:BL24)</f>
        <v>1532.2</v>
      </c>
      <c r="BM25" s="71">
        <f>SUM(BM21:BM24)</f>
        <v>1553.1</v>
      </c>
      <c r="BN25" s="34"/>
      <c r="BO25" s="34"/>
      <c r="BP25" s="34"/>
      <c r="BQ25" s="34"/>
      <c r="BR25" s="34"/>
      <c r="CK25" s="2">
        <f t="shared" ref="CK25" si="35">SUM(AQ25:AT25)</f>
        <v>4386.3</v>
      </c>
      <c r="CL25" s="2">
        <f t="shared" ref="CL25" si="36">SUM(AU25:AX25)</f>
        <v>5232.5</v>
      </c>
      <c r="CM25" s="2">
        <f t="shared" ref="CM25" si="37">SUM(AY25:BB25)</f>
        <v>5382.4</v>
      </c>
      <c r="CN25" s="2">
        <f t="shared" ref="CN25" si="38">SUM(BC25:BF25)</f>
        <v>5010.0000000000009</v>
      </c>
      <c r="CO25" s="2">
        <f t="shared" ref="CO25" si="39">SUM(BG25:BJ25)</f>
        <v>5439.5</v>
      </c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</row>
    <row r="27" spans="2:155">
      <c r="B27" s="1" t="s">
        <v>1494</v>
      </c>
      <c r="AQ27" s="72"/>
      <c r="AR27" s="72"/>
      <c r="AS27" s="72"/>
      <c r="AT27" s="72"/>
      <c r="AU27" s="72">
        <f t="shared" ref="AU27:BJ27" si="40">AU21/AQ21-1</f>
        <v>1.0937968234941753E-2</v>
      </c>
      <c r="AV27" s="72">
        <f t="shared" si="40"/>
        <v>0.54145679969004257</v>
      </c>
      <c r="AW27" s="72">
        <f t="shared" si="40"/>
        <v>0.13776435045317226</v>
      </c>
      <c r="AX27" s="72">
        <f t="shared" si="40"/>
        <v>0.10175804529201327</v>
      </c>
      <c r="AY27" s="72">
        <f t="shared" si="40"/>
        <v>0.11086408774270029</v>
      </c>
      <c r="AZ27" s="72">
        <f t="shared" si="40"/>
        <v>6.4094507980394511E-3</v>
      </c>
      <c r="BA27" s="72">
        <f t="shared" si="40"/>
        <v>4.4609665427509215E-2</v>
      </c>
      <c r="BB27" s="72">
        <f t="shared" si="40"/>
        <v>7.5726842461123045E-2</v>
      </c>
      <c r="BC27" s="72">
        <f t="shared" si="40"/>
        <v>0.13288859239492989</v>
      </c>
      <c r="BD27" s="72">
        <f t="shared" si="40"/>
        <v>0.11800699300699291</v>
      </c>
      <c r="BE27" s="72">
        <f t="shared" si="40"/>
        <v>0.10561769191662429</v>
      </c>
      <c r="BF27" s="72">
        <f t="shared" si="40"/>
        <v>-0.58064110622250165</v>
      </c>
      <c r="BG27" s="72">
        <f t="shared" si="40"/>
        <v>-7.8907078082675719E-2</v>
      </c>
      <c r="BH27" s="72">
        <f t="shared" si="40"/>
        <v>-9.92963252541047E-2</v>
      </c>
      <c r="BI27" s="72">
        <f t="shared" si="40"/>
        <v>-7.5066099551672538E-2</v>
      </c>
      <c r="BJ27" s="72">
        <f t="shared" si="40"/>
        <v>1.4367505995203844</v>
      </c>
      <c r="BK27" s="72">
        <f t="shared" ref="BK27:BM31" si="41">BK21/BG21-1</f>
        <v>7.2624984017388927E-2</v>
      </c>
      <c r="BL27" s="72">
        <f t="shared" si="41"/>
        <v>0.10329861111111116</v>
      </c>
      <c r="BM27" s="72">
        <f t="shared" si="41"/>
        <v>0.12788963460104386</v>
      </c>
      <c r="CK27" s="72"/>
      <c r="CL27" s="72">
        <f t="shared" ref="CL27:CN27" si="42">CL21/CK21-1</f>
        <v>0.17732835346471698</v>
      </c>
      <c r="CM27" s="72">
        <f t="shared" si="42"/>
        <v>5.7203604333299518E-2</v>
      </c>
      <c r="CN27" s="72">
        <f t="shared" si="42"/>
        <v>-5.8960607801825882E-2</v>
      </c>
      <c r="CO27" s="72">
        <f>CO21/CN21-1</f>
        <v>8.7553851894568879E-2</v>
      </c>
    </row>
    <row r="28" spans="2:155">
      <c r="B28" s="1" t="s">
        <v>1495</v>
      </c>
      <c r="AQ28" s="72"/>
      <c r="AR28" s="72"/>
      <c r="AS28" s="72"/>
      <c r="AT28" s="72"/>
      <c r="AU28" s="72">
        <f t="shared" ref="AU28:BJ28" si="43">AU22/AQ22-1</f>
        <v>0.12314480545527462</v>
      </c>
      <c r="AV28" s="72">
        <f t="shared" si="43"/>
        <v>0.51343429408891073</v>
      </c>
      <c r="AW28" s="72">
        <f t="shared" si="43"/>
        <v>0.14696611505122137</v>
      </c>
      <c r="AX28" s="72">
        <f t="shared" si="43"/>
        <v>0.16403310759969858</v>
      </c>
      <c r="AY28" s="72">
        <f t="shared" si="43"/>
        <v>0.11107142857142871</v>
      </c>
      <c r="AZ28" s="72">
        <f t="shared" si="43"/>
        <v>-2.2595222724338226E-2</v>
      </c>
      <c r="BA28" s="72">
        <f t="shared" si="43"/>
        <v>-7.2140158021298473E-2</v>
      </c>
      <c r="BB28" s="72">
        <f t="shared" si="43"/>
        <v>-6.0116354234001745E-2</v>
      </c>
      <c r="BC28" s="72">
        <f t="shared" si="43"/>
        <v>6.4288010286081665E-2</v>
      </c>
      <c r="BD28" s="72">
        <f t="shared" si="43"/>
        <v>0.11030383091149276</v>
      </c>
      <c r="BE28" s="72">
        <f t="shared" si="43"/>
        <v>0.19326175490559039</v>
      </c>
      <c r="BF28" s="72">
        <f t="shared" si="43"/>
        <v>-0.34456671251719317</v>
      </c>
      <c r="BG28" s="72">
        <f t="shared" si="43"/>
        <v>-1.5403201449713189E-2</v>
      </c>
      <c r="BH28" s="72">
        <f t="shared" si="43"/>
        <v>-1.1897679952409312E-2</v>
      </c>
      <c r="BI28" s="72">
        <f t="shared" si="43"/>
        <v>-7.7567483710828666E-3</v>
      </c>
      <c r="BJ28" s="72">
        <f t="shared" si="43"/>
        <v>0.80325288562434305</v>
      </c>
      <c r="BK28" s="72">
        <f t="shared" si="41"/>
        <v>4.8466257668711599E-2</v>
      </c>
      <c r="BL28" s="72">
        <f t="shared" si="41"/>
        <v>0.13847080072245643</v>
      </c>
      <c r="BM28" s="72">
        <f t="shared" si="41"/>
        <v>0.21294559099437138</v>
      </c>
      <c r="CK28" s="72"/>
      <c r="CL28" s="72">
        <f t="shared" ref="CL28:CN28" si="44">CL22/CK22-1</f>
        <v>0.22257600657354137</v>
      </c>
      <c r="CM28" s="72">
        <f t="shared" si="44"/>
        <v>-1.3021927245232323E-2</v>
      </c>
      <c r="CN28" s="72">
        <f t="shared" si="44"/>
        <v>4.5965270684371617E-3</v>
      </c>
      <c r="CO28" s="72">
        <f>CO22/CN22-1</f>
        <v>0.11989493306219279</v>
      </c>
    </row>
    <row r="29" spans="2:155">
      <c r="B29" s="1" t="s">
        <v>1496</v>
      </c>
      <c r="AQ29" s="72"/>
      <c r="AR29" s="72"/>
      <c r="AS29" s="72"/>
      <c r="AT29" s="72"/>
      <c r="AU29" s="72">
        <f t="shared" ref="AU29:BJ29" si="45">AU23/AQ23-1</f>
        <v>0.20272727272727287</v>
      </c>
      <c r="AV29" s="72">
        <f t="shared" si="45"/>
        <v>0.23408239700374556</v>
      </c>
      <c r="AW29" s="72">
        <f t="shared" si="45"/>
        <v>0.10535557506584725</v>
      </c>
      <c r="AX29" s="72">
        <f t="shared" si="45"/>
        <v>7.3415765069551719E-2</v>
      </c>
      <c r="AY29" s="72">
        <f t="shared" si="45"/>
        <v>2.4187452758881234E-2</v>
      </c>
      <c r="AZ29" s="72">
        <f t="shared" si="45"/>
        <v>-6.752655538694996E-2</v>
      </c>
      <c r="BA29" s="72">
        <f t="shared" si="45"/>
        <v>-0.17315329626687859</v>
      </c>
      <c r="BB29" s="72">
        <f t="shared" si="45"/>
        <v>-0.20014398848092119</v>
      </c>
      <c r="BC29" s="72">
        <f t="shared" si="45"/>
        <v>-0.15793357933579344</v>
      </c>
      <c r="BD29" s="72">
        <f t="shared" si="45"/>
        <v>-4.0683482506102542E-2</v>
      </c>
      <c r="BE29" s="72">
        <f t="shared" si="45"/>
        <v>4.1306436119116441E-2</v>
      </c>
      <c r="BF29" s="72">
        <f t="shared" si="45"/>
        <v>-0.90639063906390605</v>
      </c>
      <c r="BG29" s="72">
        <f t="shared" si="45"/>
        <v>-0.24627519719544255</v>
      </c>
      <c r="BH29" s="72">
        <f t="shared" si="45"/>
        <v>-0.26632739609838851</v>
      </c>
      <c r="BI29" s="72">
        <f t="shared" si="45"/>
        <v>-0.24907749077490771</v>
      </c>
      <c r="BJ29" s="72">
        <f t="shared" si="45"/>
        <v>7.2596153846153584</v>
      </c>
      <c r="BK29" s="72">
        <f t="shared" si="41"/>
        <v>-4.8837209302325602E-2</v>
      </c>
      <c r="BL29" s="72">
        <f t="shared" si="41"/>
        <v>0.10173410404624272</v>
      </c>
      <c r="BM29" s="72">
        <f t="shared" si="41"/>
        <v>0.10687960687960674</v>
      </c>
      <c r="CK29" s="72"/>
      <c r="CL29" s="72">
        <f t="shared" ref="CL29:CN29" si="46">CL23/CK23-1</f>
        <v>0.14953271028037363</v>
      </c>
      <c r="CM29" s="72">
        <f t="shared" si="46"/>
        <v>-0.10455662696161838</v>
      </c>
      <c r="CN29" s="72">
        <f t="shared" si="46"/>
        <v>-0.25929054054054057</v>
      </c>
      <c r="CO29" s="72">
        <f>CO23/CN23-1</f>
        <v>-3.135689851767387E-2</v>
      </c>
    </row>
    <row r="30" spans="2:155">
      <c r="B30" s="1" t="s">
        <v>1497</v>
      </c>
      <c r="AQ30" s="72"/>
      <c r="AR30" s="72"/>
      <c r="AS30" s="72"/>
      <c r="AT30" s="72"/>
      <c r="AU30" s="72">
        <f t="shared" ref="AU30:BJ30" si="47">AU24/AQ24-1</f>
        <v>0.27058823529411757</v>
      </c>
      <c r="AV30" s="72">
        <f t="shared" si="47"/>
        <v>0.4254881808838642</v>
      </c>
      <c r="AW30" s="72">
        <f t="shared" si="47"/>
        <v>0.25899280575539563</v>
      </c>
      <c r="AX30" s="72">
        <f t="shared" si="47"/>
        <v>0.13248204309656897</v>
      </c>
      <c r="AY30" s="72">
        <f t="shared" si="47"/>
        <v>0.11959876543209869</v>
      </c>
      <c r="AZ30" s="72">
        <f t="shared" si="47"/>
        <v>6.27253064167268E-2</v>
      </c>
      <c r="BA30" s="72">
        <f t="shared" si="47"/>
        <v>0.12857142857142856</v>
      </c>
      <c r="BB30" s="72">
        <f t="shared" si="47"/>
        <v>6.3424947145876542E-2</v>
      </c>
      <c r="BC30" s="72">
        <f t="shared" si="47"/>
        <v>0.13921433494141988</v>
      </c>
      <c r="BD30" s="72">
        <f t="shared" si="47"/>
        <v>0.22659430122116686</v>
      </c>
      <c r="BE30" s="72">
        <f t="shared" si="47"/>
        <v>0.1411392405063292</v>
      </c>
      <c r="BF30" s="72">
        <f t="shared" si="47"/>
        <v>-0.96885354539430135</v>
      </c>
      <c r="BG30" s="72">
        <f t="shared" si="47"/>
        <v>-0.17846339987900783</v>
      </c>
      <c r="BH30" s="72">
        <f t="shared" si="47"/>
        <v>-0.20188053097345127</v>
      </c>
      <c r="BI30" s="72">
        <f t="shared" si="47"/>
        <v>-0.17581808097615093</v>
      </c>
      <c r="BJ30" s="72">
        <f t="shared" si="47"/>
        <v>29.489361702128093</v>
      </c>
      <c r="BK30" s="72">
        <f t="shared" si="41"/>
        <v>0.10603829160530176</v>
      </c>
      <c r="BL30" s="72">
        <f t="shared" si="41"/>
        <v>0.17117117117117098</v>
      </c>
      <c r="BM30" s="72">
        <f t="shared" si="41"/>
        <v>0.12786002691790044</v>
      </c>
      <c r="CK30" s="72"/>
      <c r="CL30" s="72">
        <f t="shared" ref="CL30:CN30" si="48">CL24/CK24-1</f>
        <v>0.26250573657641119</v>
      </c>
      <c r="CM30" s="72">
        <f t="shared" si="48"/>
        <v>9.3057070156306709E-2</v>
      </c>
      <c r="CN30" s="72">
        <f t="shared" si="48"/>
        <v>-0.11689391420019946</v>
      </c>
      <c r="CO30" s="72">
        <f>CO24/CN24-1</f>
        <v>7.7009979288269692E-2</v>
      </c>
    </row>
    <row r="31" spans="2:155" s="2" customFormat="1" ht="15">
      <c r="B31" s="2" t="s">
        <v>172</v>
      </c>
      <c r="AQ31" s="73"/>
      <c r="AR31" s="73"/>
      <c r="AS31" s="73"/>
      <c r="AT31" s="73"/>
      <c r="AU31" s="73">
        <f t="shared" ref="AU31:BJ31" si="49">AU25/AQ25-1</f>
        <v>7.7877203862851019E-2</v>
      </c>
      <c r="AV31" s="73">
        <f t="shared" si="49"/>
        <v>0.48756756756756747</v>
      </c>
      <c r="AW31" s="73">
        <f t="shared" si="49"/>
        <v>0.14839162065036393</v>
      </c>
      <c r="AX31" s="73">
        <f t="shared" si="49"/>
        <v>0.11580095661659784</v>
      </c>
      <c r="AY31" s="73">
        <f t="shared" si="49"/>
        <v>0.10241657077100119</v>
      </c>
      <c r="AZ31" s="73">
        <f t="shared" si="49"/>
        <v>-1.5261627906976161E-3</v>
      </c>
      <c r="BA31" s="73">
        <f t="shared" si="49"/>
        <v>6.7165318272017771E-3</v>
      </c>
      <c r="BB31" s="73">
        <f t="shared" si="49"/>
        <v>1.3988117620515883E-2</v>
      </c>
      <c r="BC31" s="73">
        <f t="shared" si="49"/>
        <v>8.8279152997315924E-2</v>
      </c>
      <c r="BD31" s="73">
        <f t="shared" si="49"/>
        <v>0.11376373826333785</v>
      </c>
      <c r="BE31" s="73">
        <f t="shared" si="49"/>
        <v>0.12274450341167564</v>
      </c>
      <c r="BF31" s="73">
        <f t="shared" si="49"/>
        <v>-0.6000148334940294</v>
      </c>
      <c r="BG31" s="73">
        <f t="shared" si="49"/>
        <v>-8.8859961633324214E-2</v>
      </c>
      <c r="BH31" s="73">
        <f t="shared" si="49"/>
        <v>-0.10508430270552882</v>
      </c>
      <c r="BI31" s="73">
        <f t="shared" si="49"/>
        <v>-8.5421027753393219E-2</v>
      </c>
      <c r="BJ31" s="73">
        <f t="shared" si="49"/>
        <v>1.5696272946412018</v>
      </c>
      <c r="BK31" s="73">
        <f t="shared" si="41"/>
        <v>6.2260320324836638E-2</v>
      </c>
      <c r="BL31" s="73">
        <f t="shared" si="41"/>
        <v>0.11888418285380475</v>
      </c>
      <c r="BM31" s="73">
        <f t="shared" si="41"/>
        <v>0.14670702894270504</v>
      </c>
      <c r="BN31" s="34"/>
      <c r="BO31" s="34"/>
      <c r="BP31" s="34"/>
      <c r="BQ31" s="34"/>
      <c r="BR31" s="34"/>
      <c r="CK31" s="73"/>
      <c r="CL31" s="73">
        <f t="shared" ref="CL31:CN31" si="50">CL25/CK25-1</f>
        <v>0.19291886099901956</v>
      </c>
      <c r="CM31" s="73">
        <f t="shared" si="50"/>
        <v>2.8647873865265128E-2</v>
      </c>
      <c r="CN31" s="73">
        <f t="shared" si="50"/>
        <v>-6.9188466111771429E-2</v>
      </c>
      <c r="CO31" s="73">
        <f>CO25/CN25-1</f>
        <v>8.5728542914171424E-2</v>
      </c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  <c r="EM31" s="34"/>
      <c r="EN31" s="34"/>
      <c r="EO31" s="34"/>
      <c r="EP31" s="34"/>
      <c r="EQ31" s="34"/>
      <c r="ER31" s="34"/>
      <c r="ES31" s="34"/>
      <c r="ET31" s="34"/>
      <c r="EU31" s="34"/>
      <c r="EV31" s="34"/>
      <c r="EW31" s="34"/>
      <c r="EX31" s="34"/>
      <c r="EY31" s="34"/>
    </row>
    <row r="32" spans="2:155" ht="15"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CK32" s="72"/>
      <c r="CL32" s="72"/>
      <c r="CM32" s="72"/>
      <c r="CN32" s="72"/>
      <c r="CO32" s="72"/>
    </row>
    <row r="33" spans="2:155">
      <c r="B33" s="38" t="s">
        <v>117</v>
      </c>
      <c r="AQ33" s="72">
        <f t="shared" ref="AQ33:BJ33" si="51">AQ21/AQ25</f>
        <v>0.59129972534774511</v>
      </c>
      <c r="AR33" s="72">
        <f t="shared" si="51"/>
        <v>0.55805405405405406</v>
      </c>
      <c r="AS33" s="72">
        <f t="shared" si="51"/>
        <v>0.58024366728021737</v>
      </c>
      <c r="AT33" s="72">
        <f t="shared" si="51"/>
        <v>0.56322900058739622</v>
      </c>
      <c r="AU33" s="72">
        <f t="shared" si="51"/>
        <v>0.55457833305934578</v>
      </c>
      <c r="AV33" s="72">
        <f t="shared" si="51"/>
        <v>0.57827034883720929</v>
      </c>
      <c r="AW33" s="72">
        <f t="shared" si="51"/>
        <v>0.5748740650282399</v>
      </c>
      <c r="AX33" s="72">
        <f t="shared" si="51"/>
        <v>0.55614048281567241</v>
      </c>
      <c r="AY33" s="72">
        <f t="shared" si="51"/>
        <v>0.55882791529973164</v>
      </c>
      <c r="AZ33" s="72">
        <f t="shared" si="51"/>
        <v>0.5828662930344275</v>
      </c>
      <c r="BA33" s="72">
        <f t="shared" si="51"/>
        <v>0.5965125094768764</v>
      </c>
      <c r="BB33" s="72">
        <f t="shared" si="51"/>
        <v>0.5900022250241046</v>
      </c>
      <c r="BC33" s="72">
        <f t="shared" si="51"/>
        <v>0.58173472184160047</v>
      </c>
      <c r="BD33" s="72">
        <f t="shared" si="51"/>
        <v>0.58508691674290936</v>
      </c>
      <c r="BE33" s="72">
        <f t="shared" si="51"/>
        <v>0.58741305962590307</v>
      </c>
      <c r="BF33" s="72">
        <f t="shared" si="51"/>
        <v>0.61857964027442958</v>
      </c>
      <c r="BG33" s="72">
        <f t="shared" si="51"/>
        <v>0.58808933002481401</v>
      </c>
      <c r="BH33" s="72">
        <f t="shared" si="51"/>
        <v>0.58887103841098298</v>
      </c>
      <c r="BI33" s="72">
        <f t="shared" si="51"/>
        <v>0.59406379208505611</v>
      </c>
      <c r="BJ33" s="72">
        <f t="shared" si="51"/>
        <v>0.58659258190215036</v>
      </c>
      <c r="BK33" s="72">
        <f>BK21/BK25</f>
        <v>0.59382742266581723</v>
      </c>
      <c r="BL33" s="72">
        <f>BL21/BL25</f>
        <v>0.58066832006265501</v>
      </c>
      <c r="BM33" s="72">
        <f>BM21/BM25</f>
        <v>0.58431524048676842</v>
      </c>
      <c r="CK33" s="72">
        <f t="shared" ref="CK33:CN33" si="52">CK21/CK25</f>
        <v>0.57378656270660922</v>
      </c>
      <c r="CL33" s="72">
        <f t="shared" si="52"/>
        <v>0.56628762541806021</v>
      </c>
      <c r="CM33" s="72">
        <f t="shared" si="52"/>
        <v>0.58200802615933411</v>
      </c>
      <c r="CN33" s="72">
        <f t="shared" si="52"/>
        <v>0.58840319361277438</v>
      </c>
      <c r="CO33" s="72">
        <f>CO21/CO25</f>
        <v>0.58939240739038512</v>
      </c>
    </row>
    <row r="34" spans="2:155">
      <c r="B34" s="1" t="s">
        <v>118</v>
      </c>
      <c r="AQ34" s="72">
        <f t="shared" ref="AQ34:BJ34" si="53">AQ22/AQ25</f>
        <v>0.22087357136528751</v>
      </c>
      <c r="AR34" s="72">
        <f t="shared" si="53"/>
        <v>0.22129729729729727</v>
      </c>
      <c r="AS34" s="72">
        <f t="shared" si="53"/>
        <v>0.22245595582434918</v>
      </c>
      <c r="AT34" s="72">
        <f t="shared" si="53"/>
        <v>0.22304271209196946</v>
      </c>
      <c r="AU34" s="72">
        <f t="shared" si="53"/>
        <v>0.23014959723820486</v>
      </c>
      <c r="AV34" s="72">
        <f t="shared" si="53"/>
        <v>0.2251453488372093</v>
      </c>
      <c r="AW34" s="72">
        <f t="shared" si="53"/>
        <v>0.22217981987482824</v>
      </c>
      <c r="AX34" s="72">
        <f t="shared" si="53"/>
        <v>0.23268406407460332</v>
      </c>
      <c r="AY34" s="72">
        <f t="shared" si="53"/>
        <v>0.23195645690426489</v>
      </c>
      <c r="AZ34" s="72">
        <f t="shared" si="53"/>
        <v>0.22039449741611469</v>
      </c>
      <c r="BA34" s="72">
        <f t="shared" si="53"/>
        <v>0.20477634571645187</v>
      </c>
      <c r="BB34" s="72">
        <f t="shared" si="53"/>
        <v>0.21567900318920114</v>
      </c>
      <c r="BC34" s="72">
        <f t="shared" si="53"/>
        <v>0.22684297067689782</v>
      </c>
      <c r="BD34" s="72">
        <f t="shared" si="53"/>
        <v>0.21970984185073844</v>
      </c>
      <c r="BE34" s="72">
        <f t="shared" si="53"/>
        <v>0.21763792288473224</v>
      </c>
      <c r="BF34" s="72">
        <f t="shared" si="53"/>
        <v>0.35342110142777694</v>
      </c>
      <c r="BG34" s="72">
        <f t="shared" si="53"/>
        <v>0.24513121287314837</v>
      </c>
      <c r="BH34" s="72">
        <f t="shared" si="53"/>
        <v>0.2425879947422229</v>
      </c>
      <c r="BI34" s="72">
        <f t="shared" si="53"/>
        <v>0.2361193148257531</v>
      </c>
      <c r="BJ34" s="72">
        <f t="shared" si="53"/>
        <v>0.24801558666474238</v>
      </c>
      <c r="BK34" s="72">
        <f>BK22/BK25</f>
        <v>0.24194804275500814</v>
      </c>
      <c r="BL34" s="72">
        <f>BL22/BL25</f>
        <v>0.24683461689074532</v>
      </c>
      <c r="BM34" s="72">
        <f>BM22/BM25</f>
        <v>0.24975854742128645</v>
      </c>
      <c r="CK34" s="72">
        <f t="shared" ref="CK34:CN34" si="54">CK22/CK25</f>
        <v>0.22196384196247407</v>
      </c>
      <c r="CL34" s="72">
        <f t="shared" si="54"/>
        <v>0.22748208313425705</v>
      </c>
      <c r="CM34" s="72">
        <f t="shared" si="54"/>
        <v>0.21826694411414982</v>
      </c>
      <c r="CN34" s="72">
        <f t="shared" si="54"/>
        <v>0.23556886227544907</v>
      </c>
      <c r="CO34" s="72">
        <f>CO22/CO25</f>
        <v>0.24298189171798878</v>
      </c>
    </row>
    <row r="35" spans="2:155">
      <c r="B35" s="1" t="s">
        <v>119</v>
      </c>
      <c r="AQ35" s="72">
        <f t="shared" ref="AQ35:BJ35" si="55">AQ23/AQ25</f>
        <v>9.7457251705501902E-2</v>
      </c>
      <c r="AR35" s="72">
        <f t="shared" si="55"/>
        <v>0.11545945945945946</v>
      </c>
      <c r="AS35" s="72">
        <f t="shared" si="55"/>
        <v>9.9833464808484526E-2</v>
      </c>
      <c r="AT35" s="72">
        <f t="shared" si="55"/>
        <v>0.10858437526223039</v>
      </c>
      <c r="AU35" s="72">
        <f t="shared" si="55"/>
        <v>0.1087456846950518</v>
      </c>
      <c r="AV35" s="72">
        <f t="shared" si="55"/>
        <v>9.5784883720930247E-2</v>
      </c>
      <c r="AW35" s="72">
        <f t="shared" si="55"/>
        <v>9.6092199664173386E-2</v>
      </c>
      <c r="AX35" s="72">
        <f t="shared" si="55"/>
        <v>0.10445965255320749</v>
      </c>
      <c r="AY35" s="72">
        <f t="shared" si="55"/>
        <v>0.10102892931702954</v>
      </c>
      <c r="AZ35" s="72">
        <f t="shared" si="55"/>
        <v>8.9453380886527406E-2</v>
      </c>
      <c r="BA35" s="72">
        <f t="shared" si="55"/>
        <v>7.8923426838514027E-2</v>
      </c>
      <c r="BB35" s="72">
        <f t="shared" si="55"/>
        <v>8.240005933397615E-2</v>
      </c>
      <c r="BC35" s="72">
        <f t="shared" si="55"/>
        <v>7.8172101945738565E-2</v>
      </c>
      <c r="BD35" s="72">
        <f t="shared" si="55"/>
        <v>7.7048751797150705E-2</v>
      </c>
      <c r="BE35" s="72">
        <f t="shared" si="55"/>
        <v>7.3198730501721931E-2</v>
      </c>
      <c r="BF35" s="72">
        <f t="shared" si="55"/>
        <v>1.928425737066574E-2</v>
      </c>
      <c r="BG35" s="72">
        <f t="shared" si="55"/>
        <v>6.4666516279419509E-2</v>
      </c>
      <c r="BH35" s="72">
        <f t="shared" si="55"/>
        <v>6.3166350226376525E-2</v>
      </c>
      <c r="BI35" s="72">
        <f t="shared" si="55"/>
        <v>6.0100413467217957E-2</v>
      </c>
      <c r="BJ35" s="72">
        <f t="shared" si="55"/>
        <v>6.1985856544955975E-2</v>
      </c>
      <c r="BK35" s="72">
        <f>BK23/BK25</f>
        <v>5.7903305726622778E-2</v>
      </c>
      <c r="BL35" s="72">
        <f>BL23/BL25</f>
        <v>6.2198146456076228E-2</v>
      </c>
      <c r="BM35" s="72">
        <f>BM23/BM25</f>
        <v>5.8013006245573366E-2</v>
      </c>
      <c r="CK35" s="72">
        <f t="shared" ref="CK35:CN35" si="56">CK23/CK25</f>
        <v>0.10489478603834668</v>
      </c>
      <c r="CL35" s="72">
        <f t="shared" si="56"/>
        <v>0.10107978977544195</v>
      </c>
      <c r="CM35" s="72">
        <f t="shared" si="56"/>
        <v>8.7990487514863269E-2</v>
      </c>
      <c r="CN35" s="72">
        <f t="shared" si="56"/>
        <v>7.0019960079840307E-2</v>
      </c>
      <c r="CO35" s="72">
        <f>CO23/CO25</f>
        <v>6.2468976928026478E-2</v>
      </c>
    </row>
    <row r="36" spans="2:155">
      <c r="B36" s="1" t="s">
        <v>120</v>
      </c>
      <c r="AQ36" s="72">
        <f>AQ24/AQ25</f>
        <v>9.0369451581465393E-2</v>
      </c>
      <c r="AR36" s="72">
        <f t="shared" ref="AR36:BJ36" si="57">AR24/AR25</f>
        <v>0.10518918918918918</v>
      </c>
      <c r="AS36" s="72">
        <f t="shared" si="57"/>
        <v>9.7466912086948895E-2</v>
      </c>
      <c r="AT36" s="72">
        <f t="shared" si="57"/>
        <v>0.10514391205840394</v>
      </c>
      <c r="AU36" s="72">
        <f t="shared" si="57"/>
        <v>0.10652638500739767</v>
      </c>
      <c r="AV36" s="72">
        <f t="shared" si="57"/>
        <v>0.10079941860465115</v>
      </c>
      <c r="AW36" s="72">
        <f t="shared" si="57"/>
        <v>0.10685391543275834</v>
      </c>
      <c r="AX36" s="72">
        <f t="shared" si="57"/>
        <v>0.1067158005565166</v>
      </c>
      <c r="AY36" s="72">
        <f t="shared" si="57"/>
        <v>0.10818669847897407</v>
      </c>
      <c r="AZ36" s="72">
        <f t="shared" si="57"/>
        <v>0.10728582866293034</v>
      </c>
      <c r="BA36" s="72">
        <f t="shared" si="57"/>
        <v>0.11978771796815769</v>
      </c>
      <c r="BB36" s="72">
        <f t="shared" si="57"/>
        <v>0.11191871245271824</v>
      </c>
      <c r="BC36" s="72">
        <f t="shared" si="57"/>
        <v>0.11325020553576323</v>
      </c>
      <c r="BD36" s="72">
        <f t="shared" si="57"/>
        <v>0.11815448960920141</v>
      </c>
      <c r="BE36" s="72">
        <f t="shared" si="57"/>
        <v>0.12175028698764265</v>
      </c>
      <c r="BF36" s="72">
        <f t="shared" si="57"/>
        <v>8.7150009271276304E-3</v>
      </c>
      <c r="BG36" s="72">
        <f t="shared" si="57"/>
        <v>0.10211294082261826</v>
      </c>
      <c r="BH36" s="72">
        <f t="shared" si="57"/>
        <v>0.10537461662041772</v>
      </c>
      <c r="BI36" s="72">
        <f t="shared" si="57"/>
        <v>0.10971647962197281</v>
      </c>
      <c r="BJ36" s="72">
        <f t="shared" si="57"/>
        <v>0.1034059748881512</v>
      </c>
      <c r="BK36" s="72">
        <f>BK24/BK25</f>
        <v>0.10632122885255184</v>
      </c>
      <c r="BL36" s="72">
        <f>BL24/BL25</f>
        <v>0.11029891659052343</v>
      </c>
      <c r="BM36" s="72">
        <f>BM24/BM25</f>
        <v>0.10791320584637178</v>
      </c>
      <c r="CK36" s="72">
        <f t="shared" ref="CK36:CN36" si="58">CK24/CK25</f>
        <v>9.935480929257004E-2</v>
      </c>
      <c r="CL36" s="72">
        <f t="shared" si="58"/>
        <v>0.10515050167224081</v>
      </c>
      <c r="CM36" s="72">
        <f t="shared" si="58"/>
        <v>0.1117345422116528</v>
      </c>
      <c r="CN36" s="72">
        <f t="shared" si="58"/>
        <v>0.10600798403193612</v>
      </c>
      <c r="CO36" s="72">
        <f>CO24/CO25</f>
        <v>0.1051567239635996</v>
      </c>
    </row>
    <row r="38" spans="2:155" s="2" customFormat="1" ht="15">
      <c r="B38" s="2" t="s">
        <v>114</v>
      </c>
      <c r="C38" s="71">
        <v>340.5</v>
      </c>
      <c r="D38" s="71">
        <v>365.2</v>
      </c>
      <c r="E38" s="71">
        <v>348.9</v>
      </c>
      <c r="F38" s="71">
        <v>392.4</v>
      </c>
      <c r="G38" s="71">
        <v>404.5</v>
      </c>
      <c r="H38" s="71">
        <v>431.2</v>
      </c>
      <c r="I38" s="71">
        <v>412.7</v>
      </c>
      <c r="J38" s="71">
        <v>430.2</v>
      </c>
      <c r="K38" s="71">
        <v>459.2</v>
      </c>
      <c r="L38" s="71">
        <v>482</v>
      </c>
      <c r="M38" s="71">
        <v>447.9</v>
      </c>
      <c r="N38" s="71">
        <v>510.5</v>
      </c>
      <c r="O38" s="71">
        <v>496.7</v>
      </c>
      <c r="P38" s="71">
        <v>517.20000000000005</v>
      </c>
      <c r="Q38" s="71">
        <v>495.6</v>
      </c>
      <c r="R38" s="71">
        <v>536</v>
      </c>
      <c r="S38" s="71">
        <v>522.4</v>
      </c>
      <c r="T38" s="71">
        <v>575.1</v>
      </c>
      <c r="U38" s="71">
        <v>607.4</v>
      </c>
      <c r="V38" s="71">
        <v>618</v>
      </c>
      <c r="W38" s="71">
        <v>590.29999999999995</v>
      </c>
      <c r="X38" s="71">
        <v>616.79999999999995</v>
      </c>
      <c r="Y38" s="71">
        <v>615.5</v>
      </c>
      <c r="Z38" s="71">
        <v>671.1</v>
      </c>
      <c r="AA38" s="71">
        <v>697.3</v>
      </c>
      <c r="AB38" s="71">
        <v>759.3</v>
      </c>
      <c r="AC38" s="71">
        <v>739.4</v>
      </c>
      <c r="AD38" s="71">
        <v>767.7</v>
      </c>
      <c r="AE38" s="71">
        <v>883.5</v>
      </c>
      <c r="AF38" s="71">
        <v>841.8</v>
      </c>
      <c r="AG38" s="71">
        <v>821.5</v>
      </c>
      <c r="AH38" s="71">
        <v>888.5</v>
      </c>
      <c r="AI38" s="71">
        <v>894.8</v>
      </c>
      <c r="AJ38" s="71">
        <v>943.7</v>
      </c>
      <c r="AK38" s="71">
        <v>906.6</v>
      </c>
      <c r="AL38" s="71">
        <v>977.7</v>
      </c>
      <c r="AM38" s="71">
        <v>993</v>
      </c>
      <c r="AN38" s="71">
        <v>1086.9000000000001</v>
      </c>
      <c r="AO38" s="71">
        <v>1094</v>
      </c>
      <c r="AP38" s="71">
        <v>1174.0999999999999</v>
      </c>
      <c r="AQ38" s="71">
        <f t="shared" ref="AQ38:BM38" si="59">AQ8</f>
        <v>1128.7</v>
      </c>
      <c r="AR38" s="71">
        <f t="shared" si="59"/>
        <v>925</v>
      </c>
      <c r="AS38" s="71">
        <f t="shared" si="59"/>
        <v>1140.9000000000001</v>
      </c>
      <c r="AT38" s="71">
        <f t="shared" si="59"/>
        <v>1191.7000000000003</v>
      </c>
      <c r="AU38" s="71">
        <f t="shared" si="59"/>
        <v>1216.5999999999999</v>
      </c>
      <c r="AV38" s="71">
        <f t="shared" si="59"/>
        <v>1376</v>
      </c>
      <c r="AW38" s="71">
        <f t="shared" si="59"/>
        <v>1310.2</v>
      </c>
      <c r="AX38" s="71">
        <f t="shared" si="59"/>
        <v>1329.6999999999998</v>
      </c>
      <c r="AY38" s="71">
        <f t="shared" si="59"/>
        <v>1341.1999999999998</v>
      </c>
      <c r="AZ38" s="71">
        <f t="shared" si="59"/>
        <v>1373.8999999999999</v>
      </c>
      <c r="BA38" s="71">
        <f t="shared" si="59"/>
        <v>1319</v>
      </c>
      <c r="BB38" s="71">
        <f t="shared" si="59"/>
        <v>1348.2999999999997</v>
      </c>
      <c r="BC38" s="71">
        <f t="shared" si="59"/>
        <v>1459.6000000000001</v>
      </c>
      <c r="BD38" s="71">
        <f t="shared" si="59"/>
        <v>1530.2</v>
      </c>
      <c r="BE38" s="71">
        <f t="shared" si="59"/>
        <v>1480.8999999999999</v>
      </c>
      <c r="BF38" s="71">
        <f t="shared" si="59"/>
        <v>1534.1</v>
      </c>
      <c r="BG38" s="71">
        <f t="shared" si="59"/>
        <v>1329.8999999999999</v>
      </c>
      <c r="BH38" s="71">
        <f t="shared" si="59"/>
        <v>1369.3999999999999</v>
      </c>
      <c r="BI38" s="71">
        <f t="shared" si="59"/>
        <v>1354.3999999999999</v>
      </c>
      <c r="BJ38" s="71">
        <f t="shared" si="59"/>
        <v>1385.8000000000002</v>
      </c>
      <c r="BK38" s="71">
        <f t="shared" si="59"/>
        <v>1412.7</v>
      </c>
      <c r="BL38" s="71">
        <f t="shared" si="59"/>
        <v>1532.2</v>
      </c>
      <c r="BM38" s="71">
        <f t="shared" si="59"/>
        <v>1553.1000000000001</v>
      </c>
      <c r="BN38" s="34"/>
      <c r="BO38" s="34"/>
      <c r="BP38" s="34"/>
      <c r="BQ38" s="34"/>
      <c r="BR38" s="34"/>
      <c r="CA38" s="71">
        <f>SUM(C38:F38)</f>
        <v>1447</v>
      </c>
      <c r="CB38" s="71">
        <f>SUM(G38:J38)</f>
        <v>1678.6000000000001</v>
      </c>
      <c r="CC38" s="71">
        <f>SUM(K38:N38)</f>
        <v>1899.6</v>
      </c>
      <c r="CD38" s="71">
        <f>SUM(O38:R38)</f>
        <v>2045.5</v>
      </c>
      <c r="CE38" s="71">
        <f>SUM(S38:V38)</f>
        <v>2322.9</v>
      </c>
      <c r="CF38" s="71">
        <f>SUM(W38:Z38)</f>
        <v>2493.6999999999998</v>
      </c>
      <c r="CG38" s="71">
        <f>SUM(AA38:AD38)</f>
        <v>2963.7</v>
      </c>
      <c r="CH38" s="71">
        <f>SUM(AE38:AH38)</f>
        <v>3435.3</v>
      </c>
      <c r="CI38" s="71">
        <f>SUM(AI38:AL38)</f>
        <v>3722.8</v>
      </c>
      <c r="CJ38" s="71">
        <f>SUM(AM38:AP38)</f>
        <v>4348</v>
      </c>
      <c r="CK38" s="71">
        <f>SUM(AQ38:AT38)</f>
        <v>4386.3</v>
      </c>
      <c r="CL38" s="71">
        <f>SUM(AU38:AX38)</f>
        <v>5232.5</v>
      </c>
      <c r="CM38" s="71">
        <f>SUM(AY38:BB38)</f>
        <v>5382.4</v>
      </c>
      <c r="CN38" s="71">
        <f>SUM(BC38:BF38)</f>
        <v>6004.7999999999993</v>
      </c>
      <c r="CO38" s="71">
        <f>SUM(BG38:BJ38)</f>
        <v>5439.5</v>
      </c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  <c r="EY38" s="34"/>
    </row>
    <row r="39" spans="2:155">
      <c r="B39" s="1" t="s">
        <v>121</v>
      </c>
      <c r="C39" s="70">
        <v>98.6</v>
      </c>
      <c r="D39" s="70">
        <v>100.4</v>
      </c>
      <c r="E39" s="70">
        <v>95.8</v>
      </c>
      <c r="F39" s="70">
        <v>113.5</v>
      </c>
      <c r="G39" s="70">
        <v>116.8</v>
      </c>
      <c r="H39" s="70">
        <v>127.8</v>
      </c>
      <c r="I39" s="70">
        <v>125.6</v>
      </c>
      <c r="J39" s="70">
        <v>119.6</v>
      </c>
      <c r="K39" s="70">
        <v>127.3</v>
      </c>
      <c r="L39" s="70">
        <v>129.80000000000001</v>
      </c>
      <c r="M39" s="70">
        <v>111.7</v>
      </c>
      <c r="N39" s="70">
        <v>122.2</v>
      </c>
      <c r="O39" s="70">
        <v>121</v>
      </c>
      <c r="P39" s="70">
        <v>123.6</v>
      </c>
      <c r="Q39" s="70">
        <v>128.19999999999999</v>
      </c>
      <c r="R39" s="70">
        <v>143.80000000000001</v>
      </c>
      <c r="S39" s="70">
        <v>145.9</v>
      </c>
      <c r="T39" s="70">
        <v>151.19999999999999</v>
      </c>
      <c r="U39" s="70">
        <v>168.1</v>
      </c>
      <c r="V39" s="70">
        <v>160.4</v>
      </c>
      <c r="W39" s="70">
        <v>136</v>
      </c>
      <c r="X39" s="70">
        <v>158.6</v>
      </c>
      <c r="Y39" s="70">
        <v>146.69999999999999</v>
      </c>
      <c r="Z39" s="70">
        <v>175.9</v>
      </c>
      <c r="AA39" s="70">
        <v>180.3</v>
      </c>
      <c r="AB39" s="70">
        <v>202.5</v>
      </c>
      <c r="AC39" s="70">
        <v>201.4</v>
      </c>
      <c r="AD39" s="70">
        <v>213.2</v>
      </c>
      <c r="AE39" s="70">
        <v>215.6</v>
      </c>
      <c r="AF39" s="70">
        <v>211.1</v>
      </c>
      <c r="AG39" s="70">
        <v>213.3</v>
      </c>
      <c r="AH39" s="70">
        <v>235.3</v>
      </c>
      <c r="AI39" s="70">
        <v>233.6</v>
      </c>
      <c r="AJ39" s="70">
        <v>246.2</v>
      </c>
      <c r="AK39" s="70">
        <v>224.9</v>
      </c>
      <c r="AL39" s="70">
        <v>234.7</v>
      </c>
      <c r="AM39" s="70">
        <v>231.8</v>
      </c>
      <c r="AN39" s="70">
        <v>304</v>
      </c>
      <c r="AO39" s="70">
        <v>292.39999999999998</v>
      </c>
      <c r="AP39" s="70">
        <v>286.2</v>
      </c>
      <c r="AQ39" s="70">
        <v>265.10000000000002</v>
      </c>
      <c r="AR39" s="70">
        <v>238.2</v>
      </c>
      <c r="AS39" s="70">
        <v>281</v>
      </c>
      <c r="AT39" s="70">
        <f>1080.6-SUM(AQ39:AS39)</f>
        <v>296.29999999999995</v>
      </c>
      <c r="AU39" s="70">
        <v>293.39999999999998</v>
      </c>
      <c r="AV39" s="70">
        <v>334.3</v>
      </c>
      <c r="AW39" s="70">
        <v>311.7</v>
      </c>
      <c r="AX39" s="70">
        <f>1248.9-SUM(AU39:AW39)</f>
        <v>309.5</v>
      </c>
      <c r="AY39" s="70">
        <v>299.3</v>
      </c>
      <c r="AZ39" s="70">
        <v>269.39999999999998</v>
      </c>
      <c r="BA39" s="70">
        <v>253.8</v>
      </c>
      <c r="BB39" s="70">
        <f>1080.4-SUM(AY39:BA39)</f>
        <v>257.90000000000009</v>
      </c>
      <c r="BC39" s="70">
        <v>329.5</v>
      </c>
      <c r="BD39" s="70">
        <v>343</v>
      </c>
      <c r="BE39" s="70">
        <v>350.4</v>
      </c>
      <c r="BF39" s="70">
        <f>1379.8-SUM(BC39:BE39)</f>
        <v>356.9</v>
      </c>
      <c r="BG39" s="70">
        <v>286.89999999999998</v>
      </c>
      <c r="BH39" s="70">
        <v>275.5</v>
      </c>
      <c r="BI39" s="70">
        <v>262.89999999999998</v>
      </c>
      <c r="BJ39" s="70">
        <f>1117.5-SUM(BG39:BI39)</f>
        <v>292.20000000000005</v>
      </c>
      <c r="BK39" s="70">
        <v>301.60000000000002</v>
      </c>
      <c r="BL39" s="70">
        <v>344.4</v>
      </c>
      <c r="BM39" s="70">
        <v>345.2</v>
      </c>
      <c r="CA39" s="70">
        <f t="shared" ref="CA39:CA59" si="60">SUM(C39:F39)</f>
        <v>408.3</v>
      </c>
      <c r="CB39" s="70">
        <f t="shared" ref="CB39:CB59" si="61">SUM(G39:J39)</f>
        <v>489.79999999999995</v>
      </c>
      <c r="CC39" s="70">
        <f t="shared" ref="CC39:CC59" si="62">SUM(K39:N39)</f>
        <v>491</v>
      </c>
      <c r="CD39" s="70">
        <f t="shared" ref="CD39:CD59" si="63">SUM(O39:R39)</f>
        <v>516.59999999999991</v>
      </c>
      <c r="CE39" s="70">
        <f t="shared" ref="CE39:CE59" si="64">SUM(S39:V39)</f>
        <v>625.6</v>
      </c>
      <c r="CF39" s="70">
        <f t="shared" ref="CF39:CF59" si="65">SUM(W39:Z39)</f>
        <v>617.20000000000005</v>
      </c>
      <c r="CG39" s="70">
        <f t="shared" ref="CG39:CG59" si="66">SUM(AA39:AD39)</f>
        <v>797.40000000000009</v>
      </c>
      <c r="CH39" s="70">
        <f t="shared" ref="CH39:CH59" si="67">SUM(AE39:AH39)</f>
        <v>875.3</v>
      </c>
      <c r="CI39" s="70">
        <f t="shared" ref="CI39:CI59" si="68">SUM(AI39:AL39)</f>
        <v>939.39999999999986</v>
      </c>
      <c r="CJ39" s="70">
        <f t="shared" ref="CJ39:CJ59" si="69">SUM(AM39:AP39)</f>
        <v>1114.3999999999999</v>
      </c>
      <c r="CK39" s="70">
        <f t="shared" ref="CK39:CK59" si="70">SUM(AQ39:AT39)</f>
        <v>1080.5999999999999</v>
      </c>
      <c r="CL39" s="70">
        <f t="shared" ref="CL39:CL59" si="71">SUM(AU39:AX39)</f>
        <v>1248.9000000000001</v>
      </c>
      <c r="CM39" s="70">
        <f t="shared" ref="CM39:CM59" si="72">SUM(AY39:BB39)</f>
        <v>1080.4000000000001</v>
      </c>
      <c r="CN39" s="70">
        <f t="shared" ref="CN39:CN59" si="73">SUM(BC39:BF39)</f>
        <v>1379.8</v>
      </c>
      <c r="CO39" s="70">
        <f t="shared" ref="CO39:CO59" si="74">SUM(BG39:BJ39)</f>
        <v>1117.5</v>
      </c>
    </row>
    <row r="40" spans="2:155">
      <c r="B40" s="1" t="s">
        <v>122</v>
      </c>
      <c r="C40" s="70">
        <f t="shared" ref="C40:AP40" si="75">C38-C39</f>
        <v>241.9</v>
      </c>
      <c r="D40" s="70">
        <f t="shared" si="75"/>
        <v>264.79999999999995</v>
      </c>
      <c r="E40" s="70">
        <f t="shared" si="75"/>
        <v>253.09999999999997</v>
      </c>
      <c r="F40" s="70">
        <f t="shared" si="75"/>
        <v>278.89999999999998</v>
      </c>
      <c r="G40" s="70">
        <f t="shared" si="75"/>
        <v>287.7</v>
      </c>
      <c r="H40" s="70">
        <f t="shared" si="75"/>
        <v>303.39999999999998</v>
      </c>
      <c r="I40" s="70">
        <f t="shared" si="75"/>
        <v>287.10000000000002</v>
      </c>
      <c r="J40" s="70">
        <f t="shared" si="75"/>
        <v>310.60000000000002</v>
      </c>
      <c r="K40" s="70">
        <f t="shared" si="75"/>
        <v>331.9</v>
      </c>
      <c r="L40" s="70">
        <f t="shared" si="75"/>
        <v>352.2</v>
      </c>
      <c r="M40" s="70">
        <f t="shared" si="75"/>
        <v>336.2</v>
      </c>
      <c r="N40" s="70">
        <f t="shared" si="75"/>
        <v>388.3</v>
      </c>
      <c r="O40" s="70">
        <f t="shared" si="75"/>
        <v>375.7</v>
      </c>
      <c r="P40" s="70">
        <f t="shared" si="75"/>
        <v>393.6</v>
      </c>
      <c r="Q40" s="70">
        <f t="shared" si="75"/>
        <v>367.40000000000003</v>
      </c>
      <c r="R40" s="70">
        <f t="shared" si="75"/>
        <v>392.2</v>
      </c>
      <c r="S40" s="70">
        <f t="shared" si="75"/>
        <v>376.5</v>
      </c>
      <c r="T40" s="70">
        <f t="shared" si="75"/>
        <v>423.90000000000003</v>
      </c>
      <c r="U40" s="70">
        <f t="shared" si="75"/>
        <v>439.29999999999995</v>
      </c>
      <c r="V40" s="70">
        <f t="shared" si="75"/>
        <v>457.6</v>
      </c>
      <c r="W40" s="70">
        <f t="shared" si="75"/>
        <v>454.29999999999995</v>
      </c>
      <c r="X40" s="70">
        <f t="shared" si="75"/>
        <v>458.19999999999993</v>
      </c>
      <c r="Y40" s="70">
        <f t="shared" si="75"/>
        <v>468.8</v>
      </c>
      <c r="Z40" s="70">
        <f t="shared" si="75"/>
        <v>495.20000000000005</v>
      </c>
      <c r="AA40" s="70">
        <f t="shared" si="75"/>
        <v>517</v>
      </c>
      <c r="AB40" s="70">
        <f t="shared" si="75"/>
        <v>556.79999999999995</v>
      </c>
      <c r="AC40" s="70">
        <f t="shared" si="75"/>
        <v>538</v>
      </c>
      <c r="AD40" s="70">
        <f t="shared" si="75"/>
        <v>554.5</v>
      </c>
      <c r="AE40" s="70">
        <f t="shared" si="75"/>
        <v>667.9</v>
      </c>
      <c r="AF40" s="70">
        <f t="shared" si="75"/>
        <v>630.69999999999993</v>
      </c>
      <c r="AG40" s="70">
        <f t="shared" si="75"/>
        <v>608.20000000000005</v>
      </c>
      <c r="AH40" s="70">
        <f t="shared" si="75"/>
        <v>653.20000000000005</v>
      </c>
      <c r="AI40" s="70">
        <f t="shared" si="75"/>
        <v>661.19999999999993</v>
      </c>
      <c r="AJ40" s="70">
        <f t="shared" si="75"/>
        <v>697.5</v>
      </c>
      <c r="AK40" s="70">
        <f t="shared" si="75"/>
        <v>681.7</v>
      </c>
      <c r="AL40" s="70">
        <f t="shared" si="75"/>
        <v>743</v>
      </c>
      <c r="AM40" s="70">
        <f t="shared" si="75"/>
        <v>761.2</v>
      </c>
      <c r="AN40" s="70">
        <f t="shared" si="75"/>
        <v>782.90000000000009</v>
      </c>
      <c r="AO40" s="70">
        <f t="shared" si="75"/>
        <v>801.6</v>
      </c>
      <c r="AP40" s="70">
        <f t="shared" si="75"/>
        <v>887.89999999999986</v>
      </c>
      <c r="AQ40" s="70">
        <f t="shared" ref="AQ40:BJ40" si="76">AQ38-AQ39</f>
        <v>863.6</v>
      </c>
      <c r="AR40" s="70">
        <f t="shared" si="76"/>
        <v>686.8</v>
      </c>
      <c r="AS40" s="70">
        <f t="shared" si="76"/>
        <v>859.90000000000009</v>
      </c>
      <c r="AT40" s="70">
        <f t="shared" si="76"/>
        <v>895.40000000000032</v>
      </c>
      <c r="AU40" s="70">
        <f t="shared" si="76"/>
        <v>923.19999999999993</v>
      </c>
      <c r="AV40" s="70">
        <f t="shared" si="76"/>
        <v>1041.7</v>
      </c>
      <c r="AW40" s="70">
        <f t="shared" si="76"/>
        <v>998.5</v>
      </c>
      <c r="AX40" s="70">
        <f t="shared" si="76"/>
        <v>1020.1999999999998</v>
      </c>
      <c r="AY40" s="70">
        <f t="shared" si="76"/>
        <v>1041.8999999999999</v>
      </c>
      <c r="AZ40" s="70">
        <f t="shared" si="76"/>
        <v>1104.5</v>
      </c>
      <c r="BA40" s="70">
        <f t="shared" si="76"/>
        <v>1065.2</v>
      </c>
      <c r="BB40" s="70">
        <f t="shared" si="76"/>
        <v>1090.3999999999996</v>
      </c>
      <c r="BC40" s="70">
        <f t="shared" si="76"/>
        <v>1130.1000000000001</v>
      </c>
      <c r="BD40" s="70">
        <f t="shared" si="76"/>
        <v>1187.2</v>
      </c>
      <c r="BE40" s="70">
        <f t="shared" si="76"/>
        <v>1130.5</v>
      </c>
      <c r="BF40" s="70">
        <f t="shared" si="76"/>
        <v>1177.1999999999998</v>
      </c>
      <c r="BG40" s="70">
        <f t="shared" si="76"/>
        <v>1043</v>
      </c>
      <c r="BH40" s="70">
        <f t="shared" si="76"/>
        <v>1093.8999999999999</v>
      </c>
      <c r="BI40" s="70">
        <f t="shared" si="76"/>
        <v>1091.5</v>
      </c>
      <c r="BJ40" s="70">
        <f t="shared" si="76"/>
        <v>1093.6000000000001</v>
      </c>
      <c r="BK40" s="70">
        <f>BK38-BK39</f>
        <v>1111.0999999999999</v>
      </c>
      <c r="BL40" s="70">
        <f>BL38-BL39</f>
        <v>1187.8000000000002</v>
      </c>
      <c r="BM40" s="70">
        <f>BM38-BM39</f>
        <v>1207.9000000000001</v>
      </c>
      <c r="CA40" s="70">
        <f t="shared" si="60"/>
        <v>1038.6999999999998</v>
      </c>
      <c r="CB40" s="70">
        <f t="shared" si="61"/>
        <v>1188.8</v>
      </c>
      <c r="CC40" s="70">
        <f t="shared" si="62"/>
        <v>1408.6</v>
      </c>
      <c r="CD40" s="70">
        <f t="shared" si="63"/>
        <v>1528.9</v>
      </c>
      <c r="CE40" s="70">
        <f t="shared" si="64"/>
        <v>1697.3000000000002</v>
      </c>
      <c r="CF40" s="70">
        <f t="shared" si="65"/>
        <v>1876.5</v>
      </c>
      <c r="CG40" s="70">
        <f t="shared" si="66"/>
        <v>2166.3000000000002</v>
      </c>
      <c r="CH40" s="70">
        <f t="shared" si="67"/>
        <v>2560</v>
      </c>
      <c r="CI40" s="70">
        <f t="shared" si="68"/>
        <v>2783.3999999999996</v>
      </c>
      <c r="CJ40" s="70">
        <f t="shared" si="69"/>
        <v>3233.6000000000004</v>
      </c>
      <c r="CK40" s="70">
        <f t="shared" si="70"/>
        <v>3305.7000000000007</v>
      </c>
      <c r="CL40" s="70">
        <f t="shared" si="71"/>
        <v>3983.6</v>
      </c>
      <c r="CM40" s="70">
        <f t="shared" si="72"/>
        <v>4301.9999999999991</v>
      </c>
      <c r="CN40" s="70">
        <f t="shared" si="73"/>
        <v>4625</v>
      </c>
      <c r="CO40" s="70">
        <f t="shared" si="74"/>
        <v>4322</v>
      </c>
    </row>
    <row r="41" spans="2:155">
      <c r="B41" s="1" t="s">
        <v>1498</v>
      </c>
      <c r="C41" s="70">
        <v>0</v>
      </c>
      <c r="D41" s="70">
        <v>0</v>
      </c>
      <c r="E41" s="70">
        <v>0</v>
      </c>
      <c r="F41" s="70">
        <v>0</v>
      </c>
      <c r="G41" s="70">
        <v>0</v>
      </c>
      <c r="H41" s="70">
        <v>0</v>
      </c>
      <c r="I41" s="70">
        <v>0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O41" s="70">
        <v>0</v>
      </c>
      <c r="P41" s="70">
        <v>0</v>
      </c>
      <c r="Q41" s="70">
        <v>0</v>
      </c>
      <c r="R41" s="70">
        <v>0</v>
      </c>
      <c r="S41" s="70">
        <v>0</v>
      </c>
      <c r="T41" s="70">
        <v>0</v>
      </c>
      <c r="U41" s="70">
        <v>0</v>
      </c>
      <c r="V41" s="70">
        <v>0</v>
      </c>
      <c r="W41" s="70">
        <v>0</v>
      </c>
      <c r="X41" s="70">
        <v>0</v>
      </c>
      <c r="Y41" s="70">
        <v>0</v>
      </c>
      <c r="Z41" s="70">
        <v>0</v>
      </c>
      <c r="AA41" s="70">
        <v>0</v>
      </c>
      <c r="AB41" s="70">
        <v>0</v>
      </c>
      <c r="AC41" s="70">
        <v>0</v>
      </c>
      <c r="AD41" s="70">
        <v>0</v>
      </c>
      <c r="AE41" s="70">
        <v>0</v>
      </c>
      <c r="AF41" s="70">
        <v>0</v>
      </c>
      <c r="AG41" s="70">
        <v>0</v>
      </c>
      <c r="AH41" s="70">
        <v>0</v>
      </c>
      <c r="AI41" s="70">
        <v>0</v>
      </c>
      <c r="AJ41" s="70">
        <v>0</v>
      </c>
      <c r="AK41" s="70">
        <v>0</v>
      </c>
      <c r="AL41" s="70">
        <v>0</v>
      </c>
      <c r="AM41" s="70">
        <v>0</v>
      </c>
      <c r="AN41" s="70">
        <v>0</v>
      </c>
      <c r="AO41" s="70">
        <v>0</v>
      </c>
      <c r="AP41" s="70">
        <v>0</v>
      </c>
      <c r="AQ41" s="70">
        <v>307.8</v>
      </c>
      <c r="AR41" s="70">
        <v>274.89999999999998</v>
      </c>
      <c r="AS41" s="70">
        <v>307.2</v>
      </c>
      <c r="AT41" s="70">
        <f>1228.4-SUM(AQ41:AS41)</f>
        <v>338.5</v>
      </c>
      <c r="AU41" s="70">
        <v>330.8</v>
      </c>
      <c r="AV41" s="70">
        <v>374.5</v>
      </c>
      <c r="AW41" s="70">
        <v>364.4</v>
      </c>
      <c r="AX41" s="70">
        <f>1493.6-SUM(AU41:AW41)</f>
        <v>423.90000000000009</v>
      </c>
      <c r="AY41" s="70">
        <v>370.3</v>
      </c>
      <c r="AZ41" s="70">
        <v>409</v>
      </c>
      <c r="BA41" s="70">
        <v>377.3</v>
      </c>
      <c r="BB41" s="70">
        <f>1567.6-SUM(AY41:BA41)</f>
        <v>411</v>
      </c>
      <c r="BC41" s="70">
        <v>436.3</v>
      </c>
      <c r="BD41" s="70">
        <v>468.7</v>
      </c>
      <c r="BE41" s="70">
        <v>439.6</v>
      </c>
      <c r="BF41" s="70">
        <f>1824.6-SUM(BC41:BE41)</f>
        <v>480</v>
      </c>
      <c r="BG41" s="70">
        <v>428.4</v>
      </c>
      <c r="BH41" s="70">
        <v>447.5</v>
      </c>
      <c r="BI41" s="70">
        <v>421.4</v>
      </c>
      <c r="BJ41" s="70">
        <f>1789.2-SUM(BG41:BI41)</f>
        <v>491.90000000000009</v>
      </c>
      <c r="BK41" s="70">
        <v>465.7</v>
      </c>
      <c r="BL41" s="70">
        <v>502</v>
      </c>
      <c r="BM41" s="70">
        <v>514.6</v>
      </c>
      <c r="CA41" s="70">
        <f t="shared" si="60"/>
        <v>0</v>
      </c>
      <c r="CB41" s="70">
        <f t="shared" si="61"/>
        <v>0</v>
      </c>
      <c r="CC41" s="70">
        <f t="shared" si="62"/>
        <v>0</v>
      </c>
      <c r="CD41" s="70">
        <f t="shared" si="63"/>
        <v>0</v>
      </c>
      <c r="CE41" s="70">
        <f t="shared" si="64"/>
        <v>0</v>
      </c>
      <c r="CF41" s="70">
        <f t="shared" si="65"/>
        <v>0</v>
      </c>
      <c r="CG41" s="70">
        <f t="shared" si="66"/>
        <v>0</v>
      </c>
      <c r="CH41" s="70">
        <f t="shared" si="67"/>
        <v>0</v>
      </c>
      <c r="CI41" s="70">
        <f t="shared" si="68"/>
        <v>0</v>
      </c>
      <c r="CJ41" s="70">
        <f t="shared" si="69"/>
        <v>0</v>
      </c>
      <c r="CK41" s="70">
        <f t="shared" si="70"/>
        <v>1228.4000000000001</v>
      </c>
      <c r="CL41" s="70">
        <f t="shared" si="71"/>
        <v>1493.6</v>
      </c>
      <c r="CM41" s="70">
        <f t="shared" si="72"/>
        <v>1567.6</v>
      </c>
      <c r="CN41" s="70">
        <f t="shared" si="73"/>
        <v>1824.6</v>
      </c>
      <c r="CO41" s="70">
        <f t="shared" si="74"/>
        <v>1789.2</v>
      </c>
    </row>
    <row r="42" spans="2:155">
      <c r="B42" s="1" t="s">
        <v>1499</v>
      </c>
      <c r="C42" s="70">
        <v>0</v>
      </c>
      <c r="D42" s="70">
        <v>0</v>
      </c>
      <c r="E42" s="70">
        <v>0</v>
      </c>
      <c r="F42" s="70">
        <v>0</v>
      </c>
      <c r="G42" s="70">
        <v>0</v>
      </c>
      <c r="H42" s="70">
        <v>0</v>
      </c>
      <c r="I42" s="70">
        <v>0</v>
      </c>
      <c r="J42" s="70">
        <v>0</v>
      </c>
      <c r="K42" s="70">
        <v>0</v>
      </c>
      <c r="L42" s="70">
        <v>0</v>
      </c>
      <c r="M42" s="70">
        <v>0</v>
      </c>
      <c r="N42" s="70">
        <v>0</v>
      </c>
      <c r="O42" s="70">
        <v>0</v>
      </c>
      <c r="P42" s="70">
        <v>0</v>
      </c>
      <c r="Q42" s="70">
        <v>0</v>
      </c>
      <c r="R42" s="70">
        <v>0</v>
      </c>
      <c r="S42" s="70">
        <v>0</v>
      </c>
      <c r="T42" s="70">
        <v>0</v>
      </c>
      <c r="U42" s="70">
        <v>0</v>
      </c>
      <c r="V42" s="70">
        <v>0</v>
      </c>
      <c r="W42" s="70">
        <v>0</v>
      </c>
      <c r="X42" s="70">
        <v>0</v>
      </c>
      <c r="Y42" s="70">
        <v>0</v>
      </c>
      <c r="Z42" s="70">
        <v>0</v>
      </c>
      <c r="AA42" s="70">
        <v>0</v>
      </c>
      <c r="AB42" s="70">
        <v>0</v>
      </c>
      <c r="AC42" s="70">
        <v>0</v>
      </c>
      <c r="AD42" s="70">
        <v>0</v>
      </c>
      <c r="AE42" s="70">
        <v>0</v>
      </c>
      <c r="AF42" s="70">
        <v>0</v>
      </c>
      <c r="AG42" s="70">
        <v>0</v>
      </c>
      <c r="AH42" s="70">
        <v>0</v>
      </c>
      <c r="AI42" s="70">
        <v>0</v>
      </c>
      <c r="AJ42" s="70">
        <v>0</v>
      </c>
      <c r="AK42" s="70">
        <v>0</v>
      </c>
      <c r="AL42" s="70">
        <v>0</v>
      </c>
      <c r="AM42" s="70">
        <v>0</v>
      </c>
      <c r="AN42" s="70">
        <v>0</v>
      </c>
      <c r="AO42" s="70">
        <v>0</v>
      </c>
      <c r="AP42" s="70">
        <v>0</v>
      </c>
      <c r="AQ42" s="70">
        <v>187.4</v>
      </c>
      <c r="AR42" s="70">
        <v>182.1</v>
      </c>
      <c r="AS42" s="70">
        <v>195.5</v>
      </c>
      <c r="AT42" s="70">
        <f>760.7-SUM(AQ42:AS42)</f>
        <v>195.70000000000005</v>
      </c>
      <c r="AU42" s="70">
        <v>207</v>
      </c>
      <c r="AV42" s="70">
        <v>225.3</v>
      </c>
      <c r="AW42" s="70">
        <v>238</v>
      </c>
      <c r="AX42" s="70">
        <f>903.1-SUM(AU42:AW42)</f>
        <v>232.80000000000007</v>
      </c>
      <c r="AY42" s="70">
        <v>228.6</v>
      </c>
      <c r="AZ42" s="70">
        <v>250.8</v>
      </c>
      <c r="BA42" s="70">
        <v>233.6</v>
      </c>
      <c r="BB42" s="70">
        <f>945.2-SUM(AY42:BA42)</f>
        <v>232.20000000000005</v>
      </c>
      <c r="BC42" s="70">
        <v>261.2</v>
      </c>
      <c r="BD42" s="70">
        <v>270.3</v>
      </c>
      <c r="BE42" s="70">
        <v>270.3</v>
      </c>
      <c r="BF42" s="70">
        <f>1071.8-SUM(BC42:BE42)</f>
        <v>270</v>
      </c>
      <c r="BG42" s="70">
        <v>256.7</v>
      </c>
      <c r="BH42" s="70">
        <v>271.8</v>
      </c>
      <c r="BI42" s="70">
        <v>253.4</v>
      </c>
      <c r="BJ42" s="70">
        <f>1053-SUM(BG42:BI42)</f>
        <v>271.10000000000002</v>
      </c>
      <c r="BK42" s="70">
        <v>254.6</v>
      </c>
      <c r="BL42" s="70">
        <v>276.2</v>
      </c>
      <c r="BM42" s="70">
        <v>280.7</v>
      </c>
      <c r="CA42" s="70">
        <f t="shared" si="60"/>
        <v>0</v>
      </c>
      <c r="CB42" s="70">
        <f t="shared" si="61"/>
        <v>0</v>
      </c>
      <c r="CC42" s="70">
        <f t="shared" si="62"/>
        <v>0</v>
      </c>
      <c r="CD42" s="70">
        <f t="shared" si="63"/>
        <v>0</v>
      </c>
      <c r="CE42" s="70">
        <f t="shared" si="64"/>
        <v>0</v>
      </c>
      <c r="CF42" s="70">
        <f t="shared" si="65"/>
        <v>0</v>
      </c>
      <c r="CG42" s="70">
        <f t="shared" si="66"/>
        <v>0</v>
      </c>
      <c r="CH42" s="70">
        <f t="shared" si="67"/>
        <v>0</v>
      </c>
      <c r="CI42" s="70">
        <f t="shared" si="68"/>
        <v>0</v>
      </c>
      <c r="CJ42" s="70">
        <f t="shared" si="69"/>
        <v>0</v>
      </c>
      <c r="CK42" s="70">
        <f t="shared" si="70"/>
        <v>760.7</v>
      </c>
      <c r="CL42" s="70">
        <f t="shared" si="71"/>
        <v>903.1</v>
      </c>
      <c r="CM42" s="70">
        <f t="shared" si="72"/>
        <v>945.2</v>
      </c>
      <c r="CN42" s="70">
        <f t="shared" si="73"/>
        <v>1071.8</v>
      </c>
      <c r="CO42" s="70">
        <f t="shared" si="74"/>
        <v>1053</v>
      </c>
    </row>
    <row r="43" spans="2:155">
      <c r="B43" s="1" t="s">
        <v>1500</v>
      </c>
      <c r="C43" s="70">
        <v>0</v>
      </c>
      <c r="D43" s="70">
        <v>0</v>
      </c>
      <c r="E43" s="70">
        <v>0</v>
      </c>
      <c r="F43" s="70">
        <v>0</v>
      </c>
      <c r="G43" s="70">
        <v>0</v>
      </c>
      <c r="H43" s="70">
        <v>0</v>
      </c>
      <c r="I43" s="70">
        <v>0</v>
      </c>
      <c r="J43" s="70">
        <v>0</v>
      </c>
      <c r="K43" s="70">
        <v>0</v>
      </c>
      <c r="L43" s="70">
        <v>0</v>
      </c>
      <c r="M43" s="70">
        <v>0</v>
      </c>
      <c r="N43" s="70">
        <v>0</v>
      </c>
      <c r="O43" s="70">
        <v>0</v>
      </c>
      <c r="P43" s="70">
        <v>0</v>
      </c>
      <c r="Q43" s="70">
        <v>0</v>
      </c>
      <c r="R43" s="70">
        <v>0</v>
      </c>
      <c r="S43" s="70">
        <v>0</v>
      </c>
      <c r="T43" s="70">
        <v>0</v>
      </c>
      <c r="U43" s="70">
        <v>0</v>
      </c>
      <c r="V43" s="70">
        <v>0</v>
      </c>
      <c r="W43" s="70">
        <v>0</v>
      </c>
      <c r="X43" s="70">
        <v>0</v>
      </c>
      <c r="Y43" s="70">
        <v>0</v>
      </c>
      <c r="Z43" s="70">
        <v>0</v>
      </c>
      <c r="AA43" s="70">
        <v>0</v>
      </c>
      <c r="AB43" s="70">
        <v>0</v>
      </c>
      <c r="AC43" s="70">
        <v>0</v>
      </c>
      <c r="AD43" s="70">
        <v>0</v>
      </c>
      <c r="AE43" s="70">
        <v>0</v>
      </c>
      <c r="AF43" s="70">
        <v>0</v>
      </c>
      <c r="AG43" s="70">
        <v>0</v>
      </c>
      <c r="AH43" s="70">
        <v>0</v>
      </c>
      <c r="AI43" s="70">
        <v>0</v>
      </c>
      <c r="AJ43" s="70">
        <v>0</v>
      </c>
      <c r="AK43" s="70">
        <v>0</v>
      </c>
      <c r="AL43" s="70">
        <v>0</v>
      </c>
      <c r="AM43" s="70">
        <v>0</v>
      </c>
      <c r="AN43" s="70">
        <v>0</v>
      </c>
      <c r="AO43" s="70">
        <v>0</v>
      </c>
      <c r="AP43" s="70">
        <v>0</v>
      </c>
      <c r="AQ43" s="70">
        <v>12.5</v>
      </c>
      <c r="AR43" s="70">
        <v>379.9</v>
      </c>
      <c r="AS43" s="70">
        <v>8.4</v>
      </c>
      <c r="AT43" s="70">
        <f>405.4-SUM(AQ43:AS43)</f>
        <v>4.6000000000000227</v>
      </c>
      <c r="AU43" s="70">
        <v>6.4</v>
      </c>
      <c r="AV43" s="70">
        <v>2.4</v>
      </c>
      <c r="AW43" s="70">
        <v>4.7</v>
      </c>
      <c r="AX43" s="70">
        <f>20.6-SUM(AU43:AW43)</f>
        <v>7.1000000000000014</v>
      </c>
      <c r="AY43" s="70">
        <v>7.1</v>
      </c>
      <c r="AZ43" s="70">
        <v>6.1</v>
      </c>
      <c r="BA43" s="70">
        <v>-2.4</v>
      </c>
      <c r="BB43" s="70">
        <f>15.8-SUM(AY43:BA43)</f>
        <v>5.0000000000000018</v>
      </c>
      <c r="BC43" s="70">
        <v>43.5</v>
      </c>
      <c r="BD43" s="70">
        <v>147.9</v>
      </c>
      <c r="BE43" s="70">
        <v>2.2000000000000002</v>
      </c>
      <c r="BF43" s="70">
        <f>203.5-SUM(BC43:BE43)</f>
        <v>9.9000000000000057</v>
      </c>
      <c r="BG43" s="70">
        <v>8.9</v>
      </c>
      <c r="BH43" s="70">
        <v>8.1</v>
      </c>
      <c r="BI43" s="70">
        <v>10.8</v>
      </c>
      <c r="BJ43" s="70">
        <f>40.4-SUM(BG43:BI43)</f>
        <v>12.599999999999998</v>
      </c>
      <c r="BK43" s="70">
        <v>10.9</v>
      </c>
      <c r="BL43" s="70">
        <v>15.5</v>
      </c>
      <c r="BM43" s="70">
        <v>90.4</v>
      </c>
      <c r="CA43" s="70">
        <f t="shared" si="60"/>
        <v>0</v>
      </c>
      <c r="CB43" s="70">
        <f t="shared" si="61"/>
        <v>0</v>
      </c>
      <c r="CC43" s="70">
        <f t="shared" si="62"/>
        <v>0</v>
      </c>
      <c r="CD43" s="70">
        <f t="shared" si="63"/>
        <v>0</v>
      </c>
      <c r="CE43" s="70">
        <f t="shared" si="64"/>
        <v>0</v>
      </c>
      <c r="CF43" s="70">
        <f t="shared" si="65"/>
        <v>0</v>
      </c>
      <c r="CG43" s="70">
        <f t="shared" si="66"/>
        <v>0</v>
      </c>
      <c r="CH43" s="70">
        <f t="shared" si="67"/>
        <v>0</v>
      </c>
      <c r="CI43" s="70">
        <f t="shared" si="68"/>
        <v>0</v>
      </c>
      <c r="CJ43" s="70">
        <f t="shared" si="69"/>
        <v>0</v>
      </c>
      <c r="CK43" s="70">
        <f t="shared" si="70"/>
        <v>405.4</v>
      </c>
      <c r="CL43" s="70">
        <f t="shared" si="71"/>
        <v>20.6</v>
      </c>
      <c r="CM43" s="70">
        <f t="shared" si="72"/>
        <v>15.8</v>
      </c>
      <c r="CN43" s="70">
        <f t="shared" si="73"/>
        <v>203.5</v>
      </c>
      <c r="CO43" s="70">
        <f t="shared" si="74"/>
        <v>40.4</v>
      </c>
    </row>
    <row r="44" spans="2:155">
      <c r="B44" s="1" t="s">
        <v>1501</v>
      </c>
      <c r="C44" s="70">
        <v>0</v>
      </c>
      <c r="D44" s="70">
        <v>0</v>
      </c>
      <c r="E44" s="70">
        <v>0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O44" s="70">
        <v>0</v>
      </c>
      <c r="P44" s="70">
        <v>0</v>
      </c>
      <c r="Q44" s="70">
        <v>0</v>
      </c>
      <c r="R44" s="70">
        <v>0</v>
      </c>
      <c r="S44" s="70">
        <v>0</v>
      </c>
      <c r="T44" s="70">
        <v>0</v>
      </c>
      <c r="U44" s="70">
        <v>0</v>
      </c>
      <c r="V44" s="70">
        <v>0</v>
      </c>
      <c r="W44" s="70">
        <v>0</v>
      </c>
      <c r="X44" s="70">
        <v>0</v>
      </c>
      <c r="Y44" s="70">
        <v>0</v>
      </c>
      <c r="Z44" s="70">
        <v>0</v>
      </c>
      <c r="AA44" s="70">
        <v>0</v>
      </c>
      <c r="AB44" s="70">
        <v>0</v>
      </c>
      <c r="AC44" s="70">
        <v>0</v>
      </c>
      <c r="AD44" s="70">
        <v>0</v>
      </c>
      <c r="AE44" s="70">
        <v>0</v>
      </c>
      <c r="AF44" s="70">
        <v>0</v>
      </c>
      <c r="AG44" s="70">
        <v>0</v>
      </c>
      <c r="AH44" s="70">
        <v>0</v>
      </c>
      <c r="AI44" s="70">
        <v>0</v>
      </c>
      <c r="AJ44" s="70">
        <v>0</v>
      </c>
      <c r="AK44" s="70">
        <v>0</v>
      </c>
      <c r="AL44" s="70">
        <v>0</v>
      </c>
      <c r="AM44" s="70">
        <v>0</v>
      </c>
      <c r="AN44" s="70">
        <v>0</v>
      </c>
      <c r="AO44" s="70">
        <v>0</v>
      </c>
      <c r="AP44" s="70">
        <v>0</v>
      </c>
      <c r="AQ44" s="70">
        <v>-2.2000000000000002</v>
      </c>
      <c r="AR44" s="70">
        <v>19.600000000000001</v>
      </c>
      <c r="AS44" s="70">
        <v>-9</v>
      </c>
      <c r="AT44" s="70">
        <f>13.6-SUM(AQ44:AS44)</f>
        <v>5.1999999999999975</v>
      </c>
      <c r="AU44" s="70">
        <v>-4.5</v>
      </c>
      <c r="AV44" s="70">
        <v>-102.6</v>
      </c>
      <c r="AW44" s="70">
        <v>1.1000000000000001</v>
      </c>
      <c r="AX44" s="70">
        <f>-124.1-SUM(AU44:AW44)</f>
        <v>-18.099999999999994</v>
      </c>
      <c r="AY44" s="70">
        <v>-2.9</v>
      </c>
      <c r="AZ44" s="70">
        <v>-20.9</v>
      </c>
      <c r="BA44" s="70">
        <v>-12.5</v>
      </c>
      <c r="BB44" s="70">
        <f>-35.8-SUM(AY44:BA44)</f>
        <v>0.5</v>
      </c>
      <c r="BC44" s="70">
        <v>0.7</v>
      </c>
      <c r="BD44" s="70">
        <v>-26.9</v>
      </c>
      <c r="BE44" s="70">
        <v>0</v>
      </c>
      <c r="BF44" s="70">
        <f>-26.2-SUM(BC44:BE44)</f>
        <v>0</v>
      </c>
      <c r="BG44" s="70">
        <v>0</v>
      </c>
      <c r="BH44" s="70">
        <v>0</v>
      </c>
      <c r="BI44" s="70">
        <v>0</v>
      </c>
      <c r="BJ44" s="70">
        <v>0</v>
      </c>
      <c r="BK44" s="70">
        <v>0</v>
      </c>
      <c r="BL44" s="70">
        <v>0</v>
      </c>
      <c r="BM44" s="70">
        <v>-12.5</v>
      </c>
      <c r="CA44" s="70">
        <f t="shared" si="60"/>
        <v>0</v>
      </c>
      <c r="CB44" s="70">
        <f t="shared" si="61"/>
        <v>0</v>
      </c>
      <c r="CC44" s="70">
        <f t="shared" si="62"/>
        <v>0</v>
      </c>
      <c r="CD44" s="70">
        <f t="shared" si="63"/>
        <v>0</v>
      </c>
      <c r="CE44" s="70">
        <f t="shared" si="64"/>
        <v>0</v>
      </c>
      <c r="CF44" s="70">
        <f t="shared" si="65"/>
        <v>0</v>
      </c>
      <c r="CG44" s="70">
        <f t="shared" si="66"/>
        <v>0</v>
      </c>
      <c r="CH44" s="70">
        <f t="shared" si="67"/>
        <v>0</v>
      </c>
      <c r="CI44" s="70">
        <f t="shared" si="68"/>
        <v>0</v>
      </c>
      <c r="CJ44" s="70">
        <f t="shared" si="69"/>
        <v>0</v>
      </c>
      <c r="CK44" s="70">
        <f t="shared" si="70"/>
        <v>13.6</v>
      </c>
      <c r="CL44" s="70">
        <f t="shared" si="71"/>
        <v>-124.1</v>
      </c>
      <c r="CM44" s="70">
        <f t="shared" si="72"/>
        <v>-35.799999999999997</v>
      </c>
      <c r="CN44" s="70">
        <f t="shared" si="73"/>
        <v>-26.2</v>
      </c>
      <c r="CO44" s="70">
        <f t="shared" si="74"/>
        <v>0</v>
      </c>
    </row>
    <row r="45" spans="2:155">
      <c r="B45" s="1" t="s">
        <v>1502</v>
      </c>
      <c r="C45" s="70">
        <v>0</v>
      </c>
      <c r="D45" s="70">
        <v>0</v>
      </c>
      <c r="E45" s="70">
        <v>0</v>
      </c>
      <c r="F45" s="70">
        <v>0</v>
      </c>
      <c r="G45" s="70">
        <v>0</v>
      </c>
      <c r="H45" s="70">
        <v>0</v>
      </c>
      <c r="I45" s="70">
        <v>0</v>
      </c>
      <c r="J45" s="70">
        <v>0</v>
      </c>
      <c r="K45" s="70">
        <v>0</v>
      </c>
      <c r="L45" s="70">
        <v>0</v>
      </c>
      <c r="M45" s="70">
        <v>0</v>
      </c>
      <c r="N45" s="70">
        <v>0</v>
      </c>
      <c r="O45" s="70">
        <v>0</v>
      </c>
      <c r="P45" s="70">
        <v>0</v>
      </c>
      <c r="Q45" s="70">
        <v>0</v>
      </c>
      <c r="R45" s="70">
        <v>0</v>
      </c>
      <c r="S45" s="70">
        <v>0</v>
      </c>
      <c r="T45" s="70">
        <v>0</v>
      </c>
      <c r="U45" s="70">
        <v>0</v>
      </c>
      <c r="V45" s="70">
        <v>0</v>
      </c>
      <c r="W45" s="70">
        <v>0</v>
      </c>
      <c r="X45" s="70">
        <v>0</v>
      </c>
      <c r="Y45" s="70">
        <v>0</v>
      </c>
      <c r="Z45" s="70">
        <v>0</v>
      </c>
      <c r="AA45" s="70">
        <v>0</v>
      </c>
      <c r="AB45" s="70">
        <v>0</v>
      </c>
      <c r="AC45" s="70">
        <v>0</v>
      </c>
      <c r="AD45" s="70">
        <v>0</v>
      </c>
      <c r="AE45" s="70">
        <v>0</v>
      </c>
      <c r="AF45" s="70">
        <v>0</v>
      </c>
      <c r="AG45" s="70">
        <v>0</v>
      </c>
      <c r="AH45" s="70">
        <v>0</v>
      </c>
      <c r="AI45" s="70">
        <v>0</v>
      </c>
      <c r="AJ45" s="70">
        <v>0</v>
      </c>
      <c r="AK45" s="70">
        <v>0</v>
      </c>
      <c r="AL45" s="70">
        <v>0</v>
      </c>
      <c r="AM45" s="70">
        <v>0</v>
      </c>
      <c r="AN45" s="70">
        <v>0</v>
      </c>
      <c r="AO45" s="70">
        <v>0</v>
      </c>
      <c r="AP45" s="70">
        <v>0</v>
      </c>
      <c r="AQ45" s="70">
        <v>0</v>
      </c>
      <c r="AR45" s="70">
        <v>0</v>
      </c>
      <c r="AS45" s="70">
        <v>0</v>
      </c>
      <c r="AT45" s="70">
        <v>0</v>
      </c>
      <c r="AU45" s="70">
        <v>0</v>
      </c>
      <c r="AV45" s="70">
        <v>0</v>
      </c>
      <c r="AW45" s="70">
        <v>0</v>
      </c>
      <c r="AX45" s="70">
        <f>0-SUM(AU45:AW45)</f>
        <v>0</v>
      </c>
      <c r="AY45" s="70">
        <v>0</v>
      </c>
      <c r="AZ45" s="70">
        <v>0</v>
      </c>
      <c r="BA45" s="70">
        <v>0</v>
      </c>
      <c r="BB45" s="70">
        <f>0-SUM(AY45:BA45)</f>
        <v>0</v>
      </c>
      <c r="BC45" s="70">
        <v>0</v>
      </c>
      <c r="BD45" s="70">
        <v>0</v>
      </c>
      <c r="BE45" s="70">
        <v>0</v>
      </c>
      <c r="BF45" s="70">
        <f>0-SUM(BC45:BE45)</f>
        <v>0</v>
      </c>
      <c r="BG45" s="70">
        <v>0</v>
      </c>
      <c r="BH45" s="70">
        <v>0</v>
      </c>
      <c r="BI45" s="70">
        <v>32.9</v>
      </c>
      <c r="BJ45" s="70">
        <f>61-SUM(BG45:BI45)</f>
        <v>28.1</v>
      </c>
      <c r="BK45" s="70">
        <v>4.2</v>
      </c>
      <c r="BL45" s="70">
        <v>4.2</v>
      </c>
      <c r="BM45" s="70">
        <v>0.1</v>
      </c>
      <c r="CA45" s="70">
        <f t="shared" si="60"/>
        <v>0</v>
      </c>
      <c r="CB45" s="70">
        <f t="shared" si="61"/>
        <v>0</v>
      </c>
      <c r="CC45" s="70">
        <f t="shared" si="62"/>
        <v>0</v>
      </c>
      <c r="CD45" s="70">
        <f t="shared" si="63"/>
        <v>0</v>
      </c>
      <c r="CE45" s="70">
        <f t="shared" si="64"/>
        <v>0</v>
      </c>
      <c r="CF45" s="70">
        <f t="shared" si="65"/>
        <v>0</v>
      </c>
      <c r="CG45" s="70">
        <f t="shared" si="66"/>
        <v>0</v>
      </c>
      <c r="CH45" s="70">
        <f t="shared" si="67"/>
        <v>0</v>
      </c>
      <c r="CI45" s="70">
        <f t="shared" si="68"/>
        <v>0</v>
      </c>
      <c r="CJ45" s="70">
        <f t="shared" si="69"/>
        <v>0</v>
      </c>
      <c r="CK45" s="70">
        <f t="shared" si="70"/>
        <v>0</v>
      </c>
      <c r="CL45" s="70">
        <f t="shared" si="71"/>
        <v>0</v>
      </c>
      <c r="CM45" s="70">
        <f t="shared" si="72"/>
        <v>0</v>
      </c>
      <c r="CN45" s="70">
        <f t="shared" si="73"/>
        <v>0</v>
      </c>
      <c r="CO45" s="70">
        <f t="shared" si="74"/>
        <v>61</v>
      </c>
    </row>
    <row r="46" spans="2:155">
      <c r="B46" s="1" t="s">
        <v>1536</v>
      </c>
      <c r="C46" s="70">
        <v>0</v>
      </c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0">
        <v>0</v>
      </c>
      <c r="J46" s="70">
        <v>0</v>
      </c>
      <c r="K46" s="70">
        <v>0</v>
      </c>
      <c r="L46" s="70">
        <v>0</v>
      </c>
      <c r="M46" s="70">
        <v>0</v>
      </c>
      <c r="N46" s="70">
        <v>0</v>
      </c>
      <c r="O46" s="70">
        <v>0</v>
      </c>
      <c r="P46" s="70">
        <v>0</v>
      </c>
      <c r="Q46" s="70">
        <v>0</v>
      </c>
      <c r="R46" s="70">
        <v>0</v>
      </c>
      <c r="S46" s="70">
        <v>0</v>
      </c>
      <c r="T46" s="70">
        <v>0</v>
      </c>
      <c r="U46" s="70">
        <v>0</v>
      </c>
      <c r="V46" s="70">
        <v>0</v>
      </c>
      <c r="W46" s="70">
        <v>0</v>
      </c>
      <c r="X46" s="70">
        <v>0</v>
      </c>
      <c r="Y46" s="70">
        <v>0</v>
      </c>
      <c r="Z46" s="70">
        <v>0</v>
      </c>
      <c r="AA46" s="70">
        <v>0</v>
      </c>
      <c r="AB46" s="70">
        <v>0</v>
      </c>
      <c r="AC46" s="70">
        <v>0</v>
      </c>
      <c r="AD46" s="70">
        <v>0</v>
      </c>
      <c r="AE46" s="70">
        <v>0</v>
      </c>
      <c r="AF46" s="70">
        <v>0</v>
      </c>
      <c r="AG46" s="70">
        <v>0</v>
      </c>
      <c r="AH46" s="70">
        <v>0</v>
      </c>
      <c r="AI46" s="70">
        <v>0</v>
      </c>
      <c r="AJ46" s="70">
        <v>0</v>
      </c>
      <c r="AK46" s="70">
        <v>0</v>
      </c>
      <c r="AL46" s="70">
        <v>0</v>
      </c>
      <c r="AM46" s="70">
        <v>0</v>
      </c>
      <c r="AN46" s="70">
        <v>0</v>
      </c>
      <c r="AO46" s="70">
        <v>0</v>
      </c>
      <c r="AP46" s="70">
        <v>0</v>
      </c>
      <c r="AQ46" s="70">
        <v>0</v>
      </c>
      <c r="AR46" s="70">
        <v>0</v>
      </c>
      <c r="AS46" s="70">
        <v>0</v>
      </c>
      <c r="AT46" s="70">
        <v>0</v>
      </c>
      <c r="AU46" s="70">
        <v>0</v>
      </c>
      <c r="AV46" s="70">
        <v>0</v>
      </c>
      <c r="AW46" s="70">
        <v>0</v>
      </c>
      <c r="AX46" s="70">
        <f>0-SUM(AU46:AW46)</f>
        <v>0</v>
      </c>
      <c r="AY46" s="70">
        <v>0</v>
      </c>
      <c r="AZ46" s="70">
        <v>0</v>
      </c>
      <c r="BA46" s="70">
        <v>0</v>
      </c>
      <c r="BB46" s="70">
        <f>0-SUM(AY46:BA46)</f>
        <v>0</v>
      </c>
      <c r="BC46" s="70">
        <v>0</v>
      </c>
      <c r="BD46" s="70">
        <v>0</v>
      </c>
      <c r="BE46" s="70">
        <v>0</v>
      </c>
      <c r="BF46" s="70">
        <f>0-SUM(BC46:BE46)</f>
        <v>0</v>
      </c>
      <c r="BG46" s="70">
        <v>0</v>
      </c>
      <c r="BH46" s="70">
        <v>0</v>
      </c>
      <c r="BI46" s="70">
        <v>0</v>
      </c>
      <c r="BJ46" s="70">
        <v>0</v>
      </c>
      <c r="BK46" s="70">
        <v>0</v>
      </c>
      <c r="BL46" s="70">
        <v>0</v>
      </c>
      <c r="BM46" s="70">
        <v>40</v>
      </c>
      <c r="CA46" s="70">
        <f t="shared" si="60"/>
        <v>0</v>
      </c>
      <c r="CB46" s="70">
        <f t="shared" si="61"/>
        <v>0</v>
      </c>
      <c r="CC46" s="70">
        <f t="shared" si="62"/>
        <v>0</v>
      </c>
      <c r="CD46" s="70">
        <f t="shared" si="63"/>
        <v>0</v>
      </c>
      <c r="CE46" s="70">
        <f t="shared" si="64"/>
        <v>0</v>
      </c>
      <c r="CF46" s="70">
        <f t="shared" si="65"/>
        <v>0</v>
      </c>
      <c r="CG46" s="70">
        <f t="shared" si="66"/>
        <v>0</v>
      </c>
      <c r="CH46" s="70">
        <f t="shared" si="67"/>
        <v>0</v>
      </c>
      <c r="CI46" s="70">
        <f t="shared" si="68"/>
        <v>0</v>
      </c>
      <c r="CJ46" s="70">
        <f t="shared" si="69"/>
        <v>0</v>
      </c>
      <c r="CK46" s="70">
        <f t="shared" si="70"/>
        <v>0</v>
      </c>
      <c r="CL46" s="70">
        <f t="shared" si="71"/>
        <v>0</v>
      </c>
      <c r="CM46" s="70">
        <f t="shared" si="72"/>
        <v>0</v>
      </c>
      <c r="CN46" s="70">
        <f t="shared" si="73"/>
        <v>0</v>
      </c>
      <c r="CO46" s="70">
        <f t="shared" si="74"/>
        <v>0</v>
      </c>
    </row>
    <row r="47" spans="2:155">
      <c r="B47" s="1" t="s">
        <v>1541</v>
      </c>
      <c r="C47" s="70">
        <v>0</v>
      </c>
      <c r="D47" s="70">
        <v>0</v>
      </c>
      <c r="E47" s="70">
        <v>0</v>
      </c>
      <c r="F47" s="70">
        <v>0</v>
      </c>
      <c r="G47" s="70">
        <v>0</v>
      </c>
      <c r="H47" s="70">
        <v>0</v>
      </c>
      <c r="I47" s="70">
        <v>0</v>
      </c>
      <c r="J47" s="70">
        <v>0</v>
      </c>
      <c r="K47" s="70">
        <v>0</v>
      </c>
      <c r="L47" s="70">
        <v>0</v>
      </c>
      <c r="M47" s="70">
        <v>0</v>
      </c>
      <c r="N47" s="70">
        <v>0</v>
      </c>
      <c r="O47" s="70">
        <v>0</v>
      </c>
      <c r="P47" s="70">
        <v>0</v>
      </c>
      <c r="Q47" s="70">
        <v>0</v>
      </c>
      <c r="R47" s="70">
        <v>0</v>
      </c>
      <c r="S47" s="70">
        <v>0</v>
      </c>
      <c r="T47" s="70">
        <v>0</v>
      </c>
      <c r="U47" s="70">
        <v>0</v>
      </c>
      <c r="V47" s="70">
        <v>0</v>
      </c>
      <c r="W47" s="70">
        <v>0</v>
      </c>
      <c r="X47" s="70">
        <v>0</v>
      </c>
      <c r="Y47" s="70">
        <v>0</v>
      </c>
      <c r="Z47" s="70">
        <v>0</v>
      </c>
      <c r="AA47" s="70">
        <v>0</v>
      </c>
      <c r="AB47" s="70">
        <v>0</v>
      </c>
      <c r="AC47" s="70">
        <v>0</v>
      </c>
      <c r="AD47" s="70">
        <v>0</v>
      </c>
      <c r="AE47" s="70">
        <v>0</v>
      </c>
      <c r="AF47" s="70">
        <v>0</v>
      </c>
      <c r="AG47" s="70">
        <v>0</v>
      </c>
      <c r="AH47" s="70">
        <v>0</v>
      </c>
      <c r="AI47" s="70">
        <v>0</v>
      </c>
      <c r="AJ47" s="70">
        <v>0</v>
      </c>
      <c r="AK47" s="70">
        <v>0</v>
      </c>
      <c r="AL47" s="70">
        <v>0</v>
      </c>
      <c r="AM47" s="70">
        <v>0</v>
      </c>
      <c r="AN47" s="70">
        <v>0</v>
      </c>
      <c r="AO47" s="70">
        <v>0</v>
      </c>
      <c r="AP47" s="70">
        <v>0</v>
      </c>
      <c r="AQ47" s="70">
        <v>0</v>
      </c>
      <c r="AR47" s="70">
        <v>0</v>
      </c>
      <c r="AS47" s="70">
        <v>0</v>
      </c>
      <c r="AT47" s="70">
        <v>0</v>
      </c>
      <c r="AU47" s="70">
        <v>0</v>
      </c>
      <c r="AV47" s="70">
        <v>0</v>
      </c>
      <c r="AW47" s="70">
        <v>0</v>
      </c>
      <c r="AX47" s="70">
        <f>0-SUM(AU47:AW47)</f>
        <v>0</v>
      </c>
      <c r="AY47" s="70">
        <v>0</v>
      </c>
      <c r="AZ47" s="70">
        <v>0</v>
      </c>
      <c r="BA47" s="70">
        <v>66.8</v>
      </c>
      <c r="BB47" s="70">
        <f>60.7-SUM(AY47:BA47)</f>
        <v>-6.0999999999999943</v>
      </c>
      <c r="BC47" s="70">
        <v>0</v>
      </c>
      <c r="BD47" s="70">
        <v>0</v>
      </c>
      <c r="BE47" s="70">
        <v>0</v>
      </c>
      <c r="BF47" s="70">
        <f>17.2-SUM(BC47:BE47)</f>
        <v>17.2</v>
      </c>
      <c r="BG47" s="70">
        <v>0</v>
      </c>
      <c r="BH47" s="70">
        <v>0</v>
      </c>
      <c r="BI47" s="70">
        <v>22.4</v>
      </c>
      <c r="BJ47" s="70">
        <f>-0.3-SUM(BG47:BI47)</f>
        <v>-22.7</v>
      </c>
      <c r="BK47" s="70">
        <v>-19.100000000000001</v>
      </c>
      <c r="BL47" s="70">
        <v>-21.3</v>
      </c>
      <c r="BM47" s="70">
        <v>-12.5</v>
      </c>
      <c r="CA47" s="70">
        <f t="shared" si="60"/>
        <v>0</v>
      </c>
      <c r="CB47" s="70">
        <f t="shared" si="61"/>
        <v>0</v>
      </c>
      <c r="CC47" s="70">
        <f t="shared" si="62"/>
        <v>0</v>
      </c>
      <c r="CD47" s="70">
        <f t="shared" si="63"/>
        <v>0</v>
      </c>
      <c r="CE47" s="70">
        <f t="shared" si="64"/>
        <v>0</v>
      </c>
      <c r="CF47" s="70">
        <f t="shared" si="65"/>
        <v>0</v>
      </c>
      <c r="CG47" s="70">
        <f t="shared" si="66"/>
        <v>0</v>
      </c>
      <c r="CH47" s="70">
        <f t="shared" si="67"/>
        <v>0</v>
      </c>
      <c r="CI47" s="70">
        <f t="shared" si="68"/>
        <v>0</v>
      </c>
      <c r="CJ47" s="70">
        <f t="shared" si="69"/>
        <v>0</v>
      </c>
      <c r="CK47" s="70">
        <f t="shared" si="70"/>
        <v>0</v>
      </c>
      <c r="CL47" s="70">
        <f t="shared" si="71"/>
        <v>0</v>
      </c>
      <c r="CM47" s="70">
        <f t="shared" si="72"/>
        <v>60.7</v>
      </c>
      <c r="CN47" s="70">
        <f t="shared" si="73"/>
        <v>17.2</v>
      </c>
      <c r="CO47" s="70">
        <f t="shared" si="74"/>
        <v>-0.30000000000000071</v>
      </c>
    </row>
    <row r="48" spans="2:155">
      <c r="B48" s="70" t="s">
        <v>1535</v>
      </c>
      <c r="C48" s="70">
        <v>179.2</v>
      </c>
      <c r="D48" s="70">
        <v>199.5</v>
      </c>
      <c r="E48" s="70">
        <v>189.6</v>
      </c>
      <c r="F48" s="70">
        <v>200.7</v>
      </c>
      <c r="G48" s="70">
        <v>209.3</v>
      </c>
      <c r="H48" s="70">
        <v>232.1</v>
      </c>
      <c r="I48" s="70">
        <v>227.2</v>
      </c>
      <c r="J48" s="70">
        <v>236.9</v>
      </c>
      <c r="K48" s="70">
        <v>245.8</v>
      </c>
      <c r="L48" s="70">
        <v>263.39999999999998</v>
      </c>
      <c r="M48" s="70">
        <v>243.1</v>
      </c>
      <c r="N48" s="70">
        <v>254.1</v>
      </c>
      <c r="O48" s="70">
        <v>263.39999999999998</v>
      </c>
      <c r="P48" s="70">
        <v>267.10000000000002</v>
      </c>
      <c r="Q48" s="70">
        <v>262.3</v>
      </c>
      <c r="R48" s="70">
        <v>293.5</v>
      </c>
      <c r="S48" s="70">
        <v>290.2</v>
      </c>
      <c r="T48" s="70">
        <v>355</v>
      </c>
      <c r="U48" s="70">
        <v>316.2</v>
      </c>
      <c r="V48" s="70">
        <v>-426.6</v>
      </c>
      <c r="W48" s="70">
        <v>289.10000000000002</v>
      </c>
      <c r="X48" s="70">
        <v>313.2</v>
      </c>
      <c r="Y48" s="70">
        <v>313</v>
      </c>
      <c r="Z48" s="70">
        <v>325.5</v>
      </c>
      <c r="AA48" s="70">
        <v>327.3</v>
      </c>
      <c r="AB48" s="70">
        <v>385.3</v>
      </c>
      <c r="AC48" s="70">
        <v>349.1</v>
      </c>
      <c r="AD48" s="70">
        <v>353.4</v>
      </c>
      <c r="AE48" s="70">
        <v>369.6</v>
      </c>
      <c r="AF48" s="70">
        <v>420.9</v>
      </c>
      <c r="AG48" s="70">
        <v>394.7</v>
      </c>
      <c r="AH48" s="70">
        <v>285.39999999999998</v>
      </c>
      <c r="AI48" s="70">
        <v>408.7</v>
      </c>
      <c r="AJ48" s="70">
        <v>445.4</v>
      </c>
      <c r="AK48" s="70">
        <v>432.8</v>
      </c>
      <c r="AL48" s="70">
        <v>748.3</v>
      </c>
      <c r="AM48" s="70">
        <v>487</v>
      </c>
      <c r="AN48" s="70">
        <v>515.4</v>
      </c>
      <c r="AO48" s="70">
        <v>507.3</v>
      </c>
      <c r="AP48" s="70">
        <v>577.1</v>
      </c>
      <c r="AQ48" s="70">
        <f t="shared" ref="AQ48:BL48" si="77">SUM(AQ41:AQ47)</f>
        <v>505.50000000000006</v>
      </c>
      <c r="AR48" s="70">
        <f t="shared" si="77"/>
        <v>856.5</v>
      </c>
      <c r="AS48" s="70">
        <f t="shared" si="77"/>
        <v>502.09999999999997</v>
      </c>
      <c r="AT48" s="70">
        <f t="shared" si="77"/>
        <v>544.00000000000011</v>
      </c>
      <c r="AU48" s="70">
        <f t="shared" si="77"/>
        <v>539.69999999999993</v>
      </c>
      <c r="AV48" s="70">
        <f t="shared" si="77"/>
        <v>499.59999999999991</v>
      </c>
      <c r="AW48" s="70">
        <f t="shared" si="77"/>
        <v>608.20000000000005</v>
      </c>
      <c r="AX48" s="70">
        <f t="shared" si="77"/>
        <v>645.70000000000016</v>
      </c>
      <c r="AY48" s="70">
        <f t="shared" si="77"/>
        <v>603.1</v>
      </c>
      <c r="AZ48" s="70">
        <f t="shared" si="77"/>
        <v>645</v>
      </c>
      <c r="BA48" s="70">
        <f t="shared" si="77"/>
        <v>662.8</v>
      </c>
      <c r="BB48" s="70">
        <f t="shared" si="77"/>
        <v>642.6</v>
      </c>
      <c r="BC48" s="70">
        <f t="shared" si="77"/>
        <v>741.7</v>
      </c>
      <c r="BD48" s="70">
        <f t="shared" si="77"/>
        <v>860</v>
      </c>
      <c r="BE48" s="70">
        <f t="shared" si="77"/>
        <v>712.10000000000014</v>
      </c>
      <c r="BF48" s="70">
        <f t="shared" si="77"/>
        <v>777.1</v>
      </c>
      <c r="BG48" s="70">
        <f t="shared" si="77"/>
        <v>693.99999999999989</v>
      </c>
      <c r="BH48" s="70">
        <f t="shared" si="77"/>
        <v>727.4</v>
      </c>
      <c r="BI48" s="70">
        <f t="shared" si="77"/>
        <v>740.89999999999986</v>
      </c>
      <c r="BJ48" s="70">
        <f t="shared" si="77"/>
        <v>781.00000000000011</v>
      </c>
      <c r="BK48" s="70">
        <f t="shared" si="77"/>
        <v>716.3</v>
      </c>
      <c r="BL48" s="70">
        <f t="shared" si="77"/>
        <v>776.60000000000014</v>
      </c>
      <c r="BM48" s="70">
        <f>SUM(BM41:BM47)</f>
        <v>900.8</v>
      </c>
      <c r="CA48" s="70">
        <f t="shared" si="60"/>
        <v>769</v>
      </c>
      <c r="CB48" s="70">
        <f t="shared" si="61"/>
        <v>905.49999999999989</v>
      </c>
      <c r="CC48" s="70">
        <f t="shared" si="62"/>
        <v>1006.4</v>
      </c>
      <c r="CD48" s="70">
        <f t="shared" si="63"/>
        <v>1086.3</v>
      </c>
      <c r="CE48" s="70">
        <f t="shared" si="64"/>
        <v>534.80000000000007</v>
      </c>
      <c r="CF48" s="70">
        <f t="shared" si="65"/>
        <v>1240.8</v>
      </c>
      <c r="CG48" s="70">
        <f t="shared" si="66"/>
        <v>1415.1</v>
      </c>
      <c r="CH48" s="70">
        <f t="shared" si="67"/>
        <v>1470.6</v>
      </c>
      <c r="CI48" s="70">
        <f t="shared" si="68"/>
        <v>2035.1999999999998</v>
      </c>
      <c r="CJ48" s="70">
        <f t="shared" si="69"/>
        <v>2086.8000000000002</v>
      </c>
      <c r="CK48" s="70">
        <f t="shared" si="70"/>
        <v>2408.1</v>
      </c>
      <c r="CL48" s="70">
        <f t="shared" si="71"/>
        <v>2293.1999999999998</v>
      </c>
      <c r="CM48" s="70">
        <f t="shared" si="72"/>
        <v>2553.5</v>
      </c>
      <c r="CN48" s="70">
        <f t="shared" si="73"/>
        <v>3090.9</v>
      </c>
      <c r="CO48" s="70">
        <f t="shared" si="74"/>
        <v>2943.2999999999997</v>
      </c>
    </row>
    <row r="49" spans="2:155">
      <c r="B49" s="1" t="s">
        <v>1503</v>
      </c>
      <c r="C49" s="70">
        <f t="shared" ref="C49" si="78">C40-C48</f>
        <v>62.700000000000017</v>
      </c>
      <c r="D49" s="70">
        <f t="shared" ref="D49" si="79">D40-D48</f>
        <v>65.299999999999955</v>
      </c>
      <c r="E49" s="70">
        <f t="shared" ref="E49" si="80">E40-E48</f>
        <v>63.499999999999972</v>
      </c>
      <c r="F49" s="70">
        <f t="shared" ref="F49" si="81">F40-F48</f>
        <v>78.199999999999989</v>
      </c>
      <c r="G49" s="70">
        <f t="shared" ref="G49" si="82">G40-G48</f>
        <v>78.399999999999977</v>
      </c>
      <c r="H49" s="70">
        <f t="shared" ref="H49" si="83">H40-H48</f>
        <v>71.299999999999983</v>
      </c>
      <c r="I49" s="70">
        <f t="shared" ref="I49" si="84">I40-I48</f>
        <v>59.900000000000034</v>
      </c>
      <c r="J49" s="70">
        <f t="shared" ref="J49" si="85">J40-J48</f>
        <v>73.700000000000017</v>
      </c>
      <c r="K49" s="70">
        <f t="shared" ref="K49" si="86">K40-K48</f>
        <v>86.099999999999966</v>
      </c>
      <c r="L49" s="70">
        <f t="shared" ref="L49" si="87">L40-L48</f>
        <v>88.800000000000011</v>
      </c>
      <c r="M49" s="70">
        <f t="shared" ref="M49" si="88">M40-M48</f>
        <v>93.1</v>
      </c>
      <c r="N49" s="70">
        <f t="shared" ref="N49" si="89">N40-N48</f>
        <v>134.20000000000002</v>
      </c>
      <c r="O49" s="70">
        <f t="shared" ref="O49" si="90">O40-O48</f>
        <v>112.30000000000001</v>
      </c>
      <c r="P49" s="70">
        <f t="shared" ref="P49" si="91">P40-P48</f>
        <v>126.5</v>
      </c>
      <c r="Q49" s="70">
        <f t="shared" ref="Q49" si="92">Q40-Q48</f>
        <v>105.10000000000002</v>
      </c>
      <c r="R49" s="70">
        <f t="shared" ref="R49" si="93">R40-R48</f>
        <v>98.699999999999989</v>
      </c>
      <c r="S49" s="70">
        <f t="shared" ref="S49" si="94">S40-S48</f>
        <v>86.300000000000011</v>
      </c>
      <c r="T49" s="70">
        <f t="shared" ref="T49" si="95">T40-T48</f>
        <v>68.900000000000034</v>
      </c>
      <c r="U49" s="70">
        <f t="shared" ref="U49" si="96">U40-U48</f>
        <v>123.09999999999997</v>
      </c>
      <c r="V49" s="70">
        <f t="shared" ref="V49" si="97">V40-V48</f>
        <v>884.2</v>
      </c>
      <c r="W49" s="70">
        <f t="shared" ref="W49" si="98">W40-W48</f>
        <v>165.19999999999993</v>
      </c>
      <c r="X49" s="70">
        <f t="shared" ref="X49" si="99">X40-X48</f>
        <v>144.99999999999994</v>
      </c>
      <c r="Y49" s="70">
        <f t="shared" ref="Y49" si="100">Y40-Y48</f>
        <v>155.80000000000001</v>
      </c>
      <c r="Z49" s="70">
        <f t="shared" ref="Z49" si="101">Z40-Z48</f>
        <v>169.70000000000005</v>
      </c>
      <c r="AA49" s="70">
        <f t="shared" ref="AA49" si="102">AA40-AA48</f>
        <v>189.7</v>
      </c>
      <c r="AB49" s="70">
        <f t="shared" ref="AB49" si="103">AB40-AB48</f>
        <v>171.49999999999994</v>
      </c>
      <c r="AC49" s="70">
        <f t="shared" ref="AC49" si="104">AC40-AC48</f>
        <v>188.89999999999998</v>
      </c>
      <c r="AD49" s="70">
        <f t="shared" ref="AD49" si="105">AD40-AD48</f>
        <v>201.10000000000002</v>
      </c>
      <c r="AE49" s="70">
        <f t="shared" ref="AE49" si="106">AE40-AE48</f>
        <v>298.29999999999995</v>
      </c>
      <c r="AF49" s="70">
        <f t="shared" ref="AF49" si="107">AF40-AF48</f>
        <v>209.79999999999995</v>
      </c>
      <c r="AG49" s="70">
        <f t="shared" ref="AG49" si="108">AG40-AG48</f>
        <v>213.50000000000006</v>
      </c>
      <c r="AH49" s="70">
        <f t="shared" ref="AH49" si="109">AH40-AH48</f>
        <v>367.80000000000007</v>
      </c>
      <c r="AI49" s="70">
        <f t="shared" ref="AI49" si="110">AI40-AI48</f>
        <v>252.49999999999994</v>
      </c>
      <c r="AJ49" s="70">
        <f t="shared" ref="AJ49" si="111">AJ40-AJ48</f>
        <v>252.10000000000002</v>
      </c>
      <c r="AK49" s="70">
        <f t="shared" ref="AK49" si="112">AK40-AK48</f>
        <v>248.90000000000003</v>
      </c>
      <c r="AL49" s="70">
        <f t="shared" ref="AL49" si="113">AL40-AL48</f>
        <v>-5.2999999999999545</v>
      </c>
      <c r="AM49" s="70">
        <f t="shared" ref="AM49" si="114">AM40-AM48</f>
        <v>274.20000000000005</v>
      </c>
      <c r="AN49" s="70">
        <f t="shared" ref="AN49" si="115">AN40-AN48</f>
        <v>267.50000000000011</v>
      </c>
      <c r="AO49" s="70">
        <f t="shared" ref="AO49" si="116">AO40-AO48</f>
        <v>294.3</v>
      </c>
      <c r="AP49" s="70">
        <f t="shared" ref="AP49" si="117">AP40-AP48</f>
        <v>310.79999999999984</v>
      </c>
      <c r="AQ49" s="70">
        <f t="shared" ref="AQ49:BL49" si="118">AQ40-AQ48</f>
        <v>358.09999999999997</v>
      </c>
      <c r="AR49" s="70">
        <f t="shared" si="118"/>
        <v>-169.70000000000005</v>
      </c>
      <c r="AS49" s="70">
        <f t="shared" si="118"/>
        <v>357.80000000000013</v>
      </c>
      <c r="AT49" s="70">
        <f t="shared" si="118"/>
        <v>351.4000000000002</v>
      </c>
      <c r="AU49" s="70">
        <f t="shared" si="118"/>
        <v>383.5</v>
      </c>
      <c r="AV49" s="70">
        <f t="shared" si="118"/>
        <v>542.10000000000014</v>
      </c>
      <c r="AW49" s="70">
        <f t="shared" si="118"/>
        <v>390.29999999999995</v>
      </c>
      <c r="AX49" s="70">
        <f t="shared" si="118"/>
        <v>374.49999999999966</v>
      </c>
      <c r="AY49" s="70">
        <f t="shared" si="118"/>
        <v>438.79999999999984</v>
      </c>
      <c r="AZ49" s="70">
        <f t="shared" si="118"/>
        <v>459.5</v>
      </c>
      <c r="BA49" s="70">
        <f t="shared" si="118"/>
        <v>402.40000000000009</v>
      </c>
      <c r="BB49" s="70">
        <f t="shared" si="118"/>
        <v>447.79999999999961</v>
      </c>
      <c r="BC49" s="70">
        <f t="shared" si="118"/>
        <v>388.40000000000009</v>
      </c>
      <c r="BD49" s="70">
        <f t="shared" si="118"/>
        <v>327.20000000000005</v>
      </c>
      <c r="BE49" s="70">
        <f t="shared" si="118"/>
        <v>418.39999999999986</v>
      </c>
      <c r="BF49" s="70">
        <f t="shared" si="118"/>
        <v>400.0999999999998</v>
      </c>
      <c r="BG49" s="70">
        <f t="shared" si="118"/>
        <v>349.00000000000011</v>
      </c>
      <c r="BH49" s="70">
        <f t="shared" si="118"/>
        <v>366.49999999999989</v>
      </c>
      <c r="BI49" s="70">
        <f t="shared" si="118"/>
        <v>350.60000000000014</v>
      </c>
      <c r="BJ49" s="70">
        <f t="shared" si="118"/>
        <v>312.60000000000002</v>
      </c>
      <c r="BK49" s="70">
        <f t="shared" si="118"/>
        <v>394.79999999999995</v>
      </c>
      <c r="BL49" s="70">
        <f t="shared" si="118"/>
        <v>411.20000000000005</v>
      </c>
      <c r="BM49" s="70">
        <f>BM40-BM48</f>
        <v>307.10000000000014</v>
      </c>
      <c r="CA49" s="70">
        <f t="shared" si="60"/>
        <v>269.69999999999993</v>
      </c>
      <c r="CB49" s="70">
        <f t="shared" si="61"/>
        <v>283.3</v>
      </c>
      <c r="CC49" s="70">
        <f t="shared" si="62"/>
        <v>402.20000000000005</v>
      </c>
      <c r="CD49" s="70">
        <f t="shared" si="63"/>
        <v>442.6</v>
      </c>
      <c r="CE49" s="70">
        <f t="shared" si="64"/>
        <v>1162.5</v>
      </c>
      <c r="CF49" s="70">
        <f t="shared" si="65"/>
        <v>635.69999999999993</v>
      </c>
      <c r="CG49" s="70">
        <f t="shared" si="66"/>
        <v>751.19999999999993</v>
      </c>
      <c r="CH49" s="70">
        <f t="shared" si="67"/>
        <v>1089.4000000000001</v>
      </c>
      <c r="CI49" s="70">
        <f t="shared" si="68"/>
        <v>748.2</v>
      </c>
      <c r="CJ49" s="70">
        <f t="shared" si="69"/>
        <v>1146.8000000000002</v>
      </c>
      <c r="CK49" s="70">
        <f t="shared" si="70"/>
        <v>897.60000000000025</v>
      </c>
      <c r="CL49" s="70">
        <f t="shared" si="71"/>
        <v>1690.3999999999996</v>
      </c>
      <c r="CM49" s="70">
        <f t="shared" si="72"/>
        <v>1748.4999999999995</v>
      </c>
      <c r="CN49" s="70">
        <f t="shared" si="73"/>
        <v>1534.1</v>
      </c>
      <c r="CO49" s="70">
        <f t="shared" si="74"/>
        <v>1378.7000000000003</v>
      </c>
    </row>
    <row r="50" spans="2:155">
      <c r="B50" s="1" t="s">
        <v>1504</v>
      </c>
      <c r="C50" s="70">
        <v>0</v>
      </c>
      <c r="D50" s="70">
        <v>0</v>
      </c>
      <c r="E50" s="70">
        <v>0</v>
      </c>
      <c r="F50" s="70">
        <v>0</v>
      </c>
      <c r="G50" s="70">
        <v>0</v>
      </c>
      <c r="H50" s="70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  <c r="N50" s="70">
        <v>0</v>
      </c>
      <c r="O50" s="70">
        <v>0</v>
      </c>
      <c r="P50" s="70">
        <v>0</v>
      </c>
      <c r="Q50" s="70">
        <v>0</v>
      </c>
      <c r="R50" s="70">
        <v>0</v>
      </c>
      <c r="S50" s="70">
        <v>0</v>
      </c>
      <c r="T50" s="70">
        <v>0</v>
      </c>
      <c r="U50" s="70">
        <v>0</v>
      </c>
      <c r="V50" s="70">
        <v>0</v>
      </c>
      <c r="W50" s="70">
        <v>0</v>
      </c>
      <c r="X50" s="70">
        <v>0</v>
      </c>
      <c r="Y50" s="70">
        <v>0</v>
      </c>
      <c r="Z50" s="70">
        <v>0</v>
      </c>
      <c r="AA50" s="70">
        <v>0</v>
      </c>
      <c r="AB50" s="70">
        <v>0</v>
      </c>
      <c r="AC50" s="70">
        <v>0</v>
      </c>
      <c r="AD50" s="70">
        <v>0</v>
      </c>
      <c r="AE50" s="70">
        <v>0</v>
      </c>
      <c r="AF50" s="70">
        <v>0</v>
      </c>
      <c r="AG50" s="70">
        <v>0</v>
      </c>
      <c r="AH50" s="70">
        <v>0</v>
      </c>
      <c r="AI50" s="70">
        <v>0</v>
      </c>
      <c r="AJ50" s="70">
        <v>0</v>
      </c>
      <c r="AK50" s="70">
        <v>0</v>
      </c>
      <c r="AL50" s="70">
        <v>0</v>
      </c>
      <c r="AM50" s="70">
        <v>0</v>
      </c>
      <c r="AN50" s="70">
        <v>0</v>
      </c>
      <c r="AO50" s="70">
        <v>0</v>
      </c>
      <c r="AP50" s="70">
        <v>0</v>
      </c>
      <c r="AQ50" s="70">
        <v>-4.5</v>
      </c>
      <c r="AR50" s="70">
        <v>-1.8</v>
      </c>
      <c r="AS50" s="70">
        <v>-0.8</v>
      </c>
      <c r="AT50" s="70">
        <f>15.8-23.4-SUM(AQ50:AS50)</f>
        <v>-0.49999999999999822</v>
      </c>
      <c r="AU50" s="70">
        <v>-0.3</v>
      </c>
      <c r="AV50" s="70">
        <v>1</v>
      </c>
      <c r="AW50" s="70">
        <v>0.8</v>
      </c>
      <c r="AX50" s="70">
        <f>18.4-17.4-SUM(AU50:AW50)</f>
        <v>-0.5</v>
      </c>
      <c r="AY50" s="70">
        <v>-0.6</v>
      </c>
      <c r="AZ50" s="70">
        <v>-0.9</v>
      </c>
      <c r="BA50" s="70">
        <v>-6.9</v>
      </c>
      <c r="BB50" s="70">
        <f>19.2-SUM(AY50:BA50)</f>
        <v>27.6</v>
      </c>
      <c r="BC50" s="70">
        <v>-8.6</v>
      </c>
      <c r="BD50" s="70">
        <v>-9.1</v>
      </c>
      <c r="BE50" s="70">
        <v>-15.1</v>
      </c>
      <c r="BF50" s="70">
        <f>17.6-SUM(BC50:BE50)</f>
        <v>50.4</v>
      </c>
      <c r="BG50" s="70">
        <v>-16.5</v>
      </c>
      <c r="BH50" s="70">
        <v>-15.5</v>
      </c>
      <c r="BI50" s="70">
        <v>-24.3</v>
      </c>
      <c r="BJ50" s="70">
        <f>19.8-SUM(BG50:BI50)</f>
        <v>76.099999999999994</v>
      </c>
      <c r="BK50" s="70">
        <v>-36.5</v>
      </c>
      <c r="BL50" s="70">
        <v>-37.4</v>
      </c>
      <c r="BM50" s="70">
        <v>-38.6</v>
      </c>
      <c r="CA50" s="70">
        <f t="shared" si="60"/>
        <v>0</v>
      </c>
      <c r="CB50" s="70">
        <f t="shared" si="61"/>
        <v>0</v>
      </c>
      <c r="CC50" s="70">
        <f t="shared" si="62"/>
        <v>0</v>
      </c>
      <c r="CD50" s="70">
        <f t="shared" si="63"/>
        <v>0</v>
      </c>
      <c r="CE50" s="70">
        <f t="shared" si="64"/>
        <v>0</v>
      </c>
      <c r="CF50" s="70">
        <f t="shared" si="65"/>
        <v>0</v>
      </c>
      <c r="CG50" s="70">
        <f t="shared" si="66"/>
        <v>0</v>
      </c>
      <c r="CH50" s="70">
        <f t="shared" si="67"/>
        <v>0</v>
      </c>
      <c r="CI50" s="70">
        <f t="shared" si="68"/>
        <v>0</v>
      </c>
      <c r="CJ50" s="70">
        <f t="shared" si="69"/>
        <v>0</v>
      </c>
      <c r="CK50" s="70">
        <f t="shared" si="70"/>
        <v>-7.5999999999999979</v>
      </c>
      <c r="CL50" s="70">
        <f t="shared" si="71"/>
        <v>1</v>
      </c>
      <c r="CM50" s="70">
        <f t="shared" si="72"/>
        <v>19.200000000000003</v>
      </c>
      <c r="CN50" s="70">
        <f t="shared" si="73"/>
        <v>17.600000000000001</v>
      </c>
      <c r="CO50" s="70">
        <f t="shared" si="74"/>
        <v>19.799999999999997</v>
      </c>
    </row>
    <row r="51" spans="2:155">
      <c r="B51" s="1" t="s">
        <v>1505</v>
      </c>
      <c r="C51" s="70">
        <v>0</v>
      </c>
      <c r="D51" s="70">
        <v>0</v>
      </c>
      <c r="E51" s="70">
        <v>0</v>
      </c>
      <c r="F51" s="70">
        <v>0</v>
      </c>
      <c r="G51" s="70">
        <v>0</v>
      </c>
      <c r="H51" s="70">
        <v>0</v>
      </c>
      <c r="I51" s="70">
        <v>0</v>
      </c>
      <c r="J51" s="70">
        <v>0</v>
      </c>
      <c r="K51" s="70">
        <v>0</v>
      </c>
      <c r="L51" s="70">
        <v>0</v>
      </c>
      <c r="M51" s="70">
        <v>0</v>
      </c>
      <c r="N51" s="70">
        <v>0</v>
      </c>
      <c r="O51" s="70">
        <v>0</v>
      </c>
      <c r="P51" s="70">
        <v>0</v>
      </c>
      <c r="Q51" s="70">
        <v>0</v>
      </c>
      <c r="R51" s="70">
        <v>0</v>
      </c>
      <c r="S51" s="70">
        <v>0</v>
      </c>
      <c r="T51" s="70">
        <v>0</v>
      </c>
      <c r="U51" s="70">
        <v>0</v>
      </c>
      <c r="V51" s="70">
        <v>0</v>
      </c>
      <c r="W51" s="70">
        <v>0</v>
      </c>
      <c r="X51" s="70">
        <v>0</v>
      </c>
      <c r="Y51" s="70">
        <v>0</v>
      </c>
      <c r="Z51" s="70">
        <v>0</v>
      </c>
      <c r="AA51" s="70">
        <v>0</v>
      </c>
      <c r="AB51" s="70">
        <v>0</v>
      </c>
      <c r="AC51" s="70">
        <v>0</v>
      </c>
      <c r="AD51" s="70">
        <v>0</v>
      </c>
      <c r="AE51" s="70">
        <v>0</v>
      </c>
      <c r="AF51" s="70">
        <v>0</v>
      </c>
      <c r="AG51" s="70">
        <v>0</v>
      </c>
      <c r="AH51" s="70">
        <v>0</v>
      </c>
      <c r="AI51" s="70">
        <v>0</v>
      </c>
      <c r="AJ51" s="70">
        <v>0</v>
      </c>
      <c r="AK51" s="70">
        <v>0</v>
      </c>
      <c r="AL51" s="70">
        <v>0</v>
      </c>
      <c r="AM51" s="70">
        <v>0</v>
      </c>
      <c r="AN51" s="70">
        <v>0</v>
      </c>
      <c r="AO51" s="70">
        <v>0</v>
      </c>
      <c r="AP51" s="70">
        <v>0</v>
      </c>
      <c r="AQ51" s="70">
        <v>0</v>
      </c>
      <c r="AR51" s="70">
        <v>0</v>
      </c>
      <c r="AS51" s="70">
        <v>0</v>
      </c>
      <c r="AT51" s="70">
        <f>0-SUM(AQ51:AS51)</f>
        <v>0</v>
      </c>
      <c r="AU51" s="70">
        <v>0</v>
      </c>
      <c r="AV51" s="70">
        <v>0</v>
      </c>
      <c r="AW51" s="70">
        <v>0</v>
      </c>
      <c r="AX51" s="70">
        <v>0</v>
      </c>
      <c r="AY51" s="70">
        <v>0</v>
      </c>
      <c r="AZ51" s="70">
        <v>0</v>
      </c>
      <c r="BA51" s="70">
        <v>0</v>
      </c>
      <c r="BB51" s="70">
        <f>-35.5-SUM(AY51:BA51)</f>
        <v>-35.5</v>
      </c>
      <c r="BC51" s="70">
        <v>0</v>
      </c>
      <c r="BD51" s="70">
        <v>0</v>
      </c>
      <c r="BE51" s="70">
        <v>0</v>
      </c>
      <c r="BF51" s="70">
        <f>-67.2-SUM(BC51:BE51)</f>
        <v>-67.2</v>
      </c>
      <c r="BG51" s="70">
        <v>0</v>
      </c>
      <c r="BH51" s="70">
        <v>0</v>
      </c>
      <c r="BI51" s="70">
        <v>0</v>
      </c>
      <c r="BJ51" s="70">
        <f>-120.3-SUM(BG51:BI51)</f>
        <v>-120.3</v>
      </c>
      <c r="BK51" s="70">
        <v>0</v>
      </c>
      <c r="BL51" s="70">
        <v>47.1</v>
      </c>
      <c r="BM51" s="70">
        <v>0</v>
      </c>
      <c r="CA51" s="70">
        <f t="shared" si="60"/>
        <v>0</v>
      </c>
      <c r="CB51" s="70">
        <f t="shared" si="61"/>
        <v>0</v>
      </c>
      <c r="CC51" s="70">
        <f t="shared" si="62"/>
        <v>0</v>
      </c>
      <c r="CD51" s="70">
        <f t="shared" si="63"/>
        <v>0</v>
      </c>
      <c r="CE51" s="70">
        <f t="shared" si="64"/>
        <v>0</v>
      </c>
      <c r="CF51" s="70">
        <f t="shared" si="65"/>
        <v>0</v>
      </c>
      <c r="CG51" s="70">
        <f t="shared" si="66"/>
        <v>0</v>
      </c>
      <c r="CH51" s="70">
        <f t="shared" si="67"/>
        <v>0</v>
      </c>
      <c r="CI51" s="70">
        <f t="shared" si="68"/>
        <v>0</v>
      </c>
      <c r="CJ51" s="70">
        <f t="shared" si="69"/>
        <v>0</v>
      </c>
      <c r="CK51" s="70">
        <f t="shared" si="70"/>
        <v>0</v>
      </c>
      <c r="CL51" s="70">
        <f t="shared" si="71"/>
        <v>0</v>
      </c>
      <c r="CM51" s="70">
        <f t="shared" si="72"/>
        <v>-35.5</v>
      </c>
      <c r="CN51" s="70">
        <f t="shared" si="73"/>
        <v>-67.2</v>
      </c>
      <c r="CO51" s="70">
        <f t="shared" si="74"/>
        <v>-120.3</v>
      </c>
    </row>
    <row r="52" spans="2:155">
      <c r="B52" s="1" t="s">
        <v>1506</v>
      </c>
      <c r="C52" s="70">
        <v>2.8</v>
      </c>
      <c r="D52" s="70">
        <v>1.1000000000000001</v>
      </c>
      <c r="E52" s="70">
        <v>2.7</v>
      </c>
      <c r="F52" s="70">
        <v>-8.1</v>
      </c>
      <c r="G52" s="70">
        <v>6.2</v>
      </c>
      <c r="H52" s="70">
        <v>1.5</v>
      </c>
      <c r="I52" s="70">
        <v>-2.2999999999999998</v>
      </c>
      <c r="J52" s="70">
        <v>-5.0999999999999996</v>
      </c>
      <c r="K52" s="70">
        <v>-0.5</v>
      </c>
      <c r="L52" s="70">
        <v>1.1000000000000001</v>
      </c>
      <c r="M52" s="70">
        <v>0.3</v>
      </c>
      <c r="N52" s="70">
        <v>-14.9</v>
      </c>
      <c r="O52" s="70">
        <v>78.3</v>
      </c>
      <c r="P52" s="70">
        <v>-6</v>
      </c>
      <c r="Q52" s="70">
        <v>-5.3</v>
      </c>
      <c r="R52" s="70">
        <v>1.6</v>
      </c>
      <c r="S52" s="70">
        <v>-9</v>
      </c>
      <c r="T52" s="70">
        <v>744.3</v>
      </c>
      <c r="U52" s="70">
        <v>-2.5</v>
      </c>
      <c r="V52" s="70">
        <v>-751.3</v>
      </c>
      <c r="W52" s="70">
        <v>-2.7</v>
      </c>
      <c r="X52" s="70">
        <v>-2.8</v>
      </c>
      <c r="Y52" s="70">
        <v>-5.0999999999999996</v>
      </c>
      <c r="Z52" s="70">
        <v>-2.7</v>
      </c>
      <c r="AA52" s="70">
        <v>-6.4</v>
      </c>
      <c r="AB52" s="70">
        <v>-2.5</v>
      </c>
      <c r="AC52" s="70">
        <v>-3.7</v>
      </c>
      <c r="AD52" s="70">
        <v>-0.7</v>
      </c>
      <c r="AE52" s="70">
        <v>-4.7</v>
      </c>
      <c r="AF52" s="70">
        <v>-4.2</v>
      </c>
      <c r="AG52" s="70">
        <v>-1.7</v>
      </c>
      <c r="AH52" s="70">
        <v>-43.9</v>
      </c>
      <c r="AI52" s="70">
        <v>11</v>
      </c>
      <c r="AJ52" s="70">
        <v>-1.1000000000000001</v>
      </c>
      <c r="AK52" s="70">
        <v>-0.2</v>
      </c>
      <c r="AL52" s="70">
        <v>3.5</v>
      </c>
      <c r="AM52" s="70">
        <v>3.8</v>
      </c>
      <c r="AN52" s="70">
        <v>3.8</v>
      </c>
      <c r="AO52" s="70">
        <v>7.4</v>
      </c>
      <c r="AP52" s="70">
        <v>4.7</v>
      </c>
      <c r="AQ52" s="70">
        <v>-1.9</v>
      </c>
      <c r="AR52" s="70">
        <v>0.3</v>
      </c>
      <c r="AS52" s="70">
        <v>-5.7</v>
      </c>
      <c r="AT52" s="70">
        <f>-11.5-SUM(AQ52:AS52)</f>
        <v>-4.2</v>
      </c>
      <c r="AU52" s="70">
        <v>-5.5</v>
      </c>
      <c r="AV52" s="70">
        <v>-4.4000000000000004</v>
      </c>
      <c r="AW52" s="70">
        <v>-1.4</v>
      </c>
      <c r="AX52" s="70">
        <f>-12.7-SUM(AU52:AW52)</f>
        <v>-1.3999999999999986</v>
      </c>
      <c r="AY52" s="70">
        <v>3.3</v>
      </c>
      <c r="AZ52" s="70">
        <v>-4.3</v>
      </c>
      <c r="BA52" s="70">
        <v>2</v>
      </c>
      <c r="BB52" s="70">
        <f>-2.6-SUM(AY52:BA52)</f>
        <v>-3.6</v>
      </c>
      <c r="BC52" s="70">
        <v>-1.6</v>
      </c>
      <c r="BD52" s="70">
        <v>-2.2000000000000002</v>
      </c>
      <c r="BE52" s="70">
        <v>-5.8</v>
      </c>
      <c r="BF52" s="70">
        <f>-14.4-SUM(BC52:BE52)</f>
        <v>-4.8000000000000007</v>
      </c>
      <c r="BG52" s="70">
        <v>-5.7</v>
      </c>
      <c r="BH52" s="70">
        <v>-2</v>
      </c>
      <c r="BI52" s="70">
        <v>-27.9</v>
      </c>
      <c r="BJ52" s="70">
        <f>-68.9-SUM(BG52:BI52)</f>
        <v>-33.300000000000004</v>
      </c>
      <c r="BK52" s="70">
        <v>-2.6</v>
      </c>
      <c r="BL52" s="70">
        <v>1.3</v>
      </c>
      <c r="BM52" s="70">
        <v>-2.7</v>
      </c>
      <c r="CA52" s="70">
        <f t="shared" si="60"/>
        <v>-1.5</v>
      </c>
      <c r="CB52" s="70">
        <f t="shared" si="61"/>
        <v>0.30000000000000071</v>
      </c>
      <c r="CC52" s="70">
        <f t="shared" si="62"/>
        <v>-14</v>
      </c>
      <c r="CD52" s="70">
        <f t="shared" si="63"/>
        <v>68.599999999999994</v>
      </c>
      <c r="CE52" s="70">
        <f t="shared" si="64"/>
        <v>-18.5</v>
      </c>
      <c r="CF52" s="70">
        <f t="shared" si="65"/>
        <v>-13.3</v>
      </c>
      <c r="CG52" s="70">
        <f t="shared" si="66"/>
        <v>-13.3</v>
      </c>
      <c r="CH52" s="70">
        <f t="shared" si="67"/>
        <v>-54.5</v>
      </c>
      <c r="CI52" s="70">
        <f t="shared" si="68"/>
        <v>13.200000000000001</v>
      </c>
      <c r="CJ52" s="70">
        <f t="shared" si="69"/>
        <v>19.7</v>
      </c>
      <c r="CK52" s="70">
        <f t="shared" si="70"/>
        <v>-11.5</v>
      </c>
      <c r="CL52" s="70">
        <f t="shared" si="71"/>
        <v>-12.7</v>
      </c>
      <c r="CM52" s="70">
        <f t="shared" si="72"/>
        <v>-2.6</v>
      </c>
      <c r="CN52" s="70">
        <f t="shared" si="73"/>
        <v>-14.4</v>
      </c>
      <c r="CO52" s="70">
        <f t="shared" si="74"/>
        <v>-68.900000000000006</v>
      </c>
    </row>
    <row r="53" spans="2:155">
      <c r="B53" s="1" t="s">
        <v>1508</v>
      </c>
      <c r="C53" s="70">
        <f t="shared" ref="C53" si="119">C49-SUM(C50:C52)</f>
        <v>59.90000000000002</v>
      </c>
      <c r="D53" s="70">
        <f t="shared" ref="D53" si="120">D49-SUM(D50:D52)</f>
        <v>64.19999999999996</v>
      </c>
      <c r="E53" s="70">
        <f t="shared" ref="E53" si="121">E49-SUM(E50:E52)</f>
        <v>60.799999999999969</v>
      </c>
      <c r="F53" s="70">
        <f t="shared" ref="F53" si="122">F49-SUM(F50:F52)</f>
        <v>86.299999999999983</v>
      </c>
      <c r="G53" s="70">
        <f t="shared" ref="G53" si="123">G49-SUM(G50:G52)</f>
        <v>72.199999999999974</v>
      </c>
      <c r="H53" s="70">
        <f t="shared" ref="H53" si="124">H49-SUM(H50:H52)</f>
        <v>69.799999999999983</v>
      </c>
      <c r="I53" s="70">
        <f t="shared" ref="I53" si="125">I49-SUM(I50:I52)</f>
        <v>62.200000000000031</v>
      </c>
      <c r="J53" s="70">
        <f t="shared" ref="J53" si="126">J49-SUM(J50:J52)</f>
        <v>78.800000000000011</v>
      </c>
      <c r="K53" s="70">
        <f t="shared" ref="K53" si="127">K49-SUM(K50:K52)</f>
        <v>86.599999999999966</v>
      </c>
      <c r="L53" s="70">
        <f t="shared" ref="L53" si="128">L49-SUM(L50:L52)</f>
        <v>87.700000000000017</v>
      </c>
      <c r="M53" s="70">
        <f t="shared" ref="M53" si="129">M49-SUM(M50:M52)</f>
        <v>92.8</v>
      </c>
      <c r="N53" s="70">
        <f t="shared" ref="N53" si="130">N49-SUM(N50:N52)</f>
        <v>149.10000000000002</v>
      </c>
      <c r="O53" s="70">
        <f t="shared" ref="O53" si="131">O49-SUM(O50:O52)</f>
        <v>34.000000000000014</v>
      </c>
      <c r="P53" s="70">
        <f t="shared" ref="P53" si="132">P49-SUM(P50:P52)</f>
        <v>132.5</v>
      </c>
      <c r="Q53" s="70">
        <f t="shared" ref="Q53" si="133">Q49-SUM(Q50:Q52)</f>
        <v>110.40000000000002</v>
      </c>
      <c r="R53" s="70">
        <f t="shared" ref="R53" si="134">R49-SUM(R50:R52)</f>
        <v>97.1</v>
      </c>
      <c r="S53" s="70">
        <f t="shared" ref="S53" si="135">S49-SUM(S50:S52)</f>
        <v>95.300000000000011</v>
      </c>
      <c r="T53" s="70">
        <f t="shared" ref="T53" si="136">T49-SUM(T50:T52)</f>
        <v>-675.39999999999986</v>
      </c>
      <c r="U53" s="70">
        <f t="shared" ref="U53" si="137">U49-SUM(U50:U52)</f>
        <v>125.59999999999997</v>
      </c>
      <c r="V53" s="70">
        <f t="shared" ref="V53" si="138">V49-SUM(V50:V52)</f>
        <v>1635.5</v>
      </c>
      <c r="W53" s="70">
        <f t="shared" ref="W53" si="139">W49-SUM(W50:W52)</f>
        <v>167.89999999999992</v>
      </c>
      <c r="X53" s="70">
        <f t="shared" ref="X53" si="140">X49-SUM(X50:X52)</f>
        <v>147.79999999999995</v>
      </c>
      <c r="Y53" s="70">
        <f t="shared" ref="Y53" si="141">Y49-SUM(Y50:Y52)</f>
        <v>160.9</v>
      </c>
      <c r="Z53" s="70">
        <f t="shared" ref="Z53" si="142">Z49-SUM(Z50:Z52)</f>
        <v>172.40000000000003</v>
      </c>
      <c r="AA53" s="70">
        <f t="shared" ref="AA53" si="143">AA49-SUM(AA50:AA52)</f>
        <v>196.1</v>
      </c>
      <c r="AB53" s="70">
        <f t="shared" ref="AB53" si="144">AB49-SUM(AB50:AB52)</f>
        <v>173.99999999999994</v>
      </c>
      <c r="AC53" s="70">
        <f t="shared" ref="AC53" si="145">AC49-SUM(AC50:AC52)</f>
        <v>192.59999999999997</v>
      </c>
      <c r="AD53" s="70">
        <f t="shared" ref="AD53" si="146">AD49-SUM(AD50:AD52)</f>
        <v>201.8</v>
      </c>
      <c r="AE53" s="70">
        <f t="shared" ref="AE53" si="147">AE49-SUM(AE50:AE52)</f>
        <v>302.99999999999994</v>
      </c>
      <c r="AF53" s="70">
        <f t="shared" ref="AF53" si="148">AF49-SUM(AF50:AF52)</f>
        <v>213.99999999999994</v>
      </c>
      <c r="AG53" s="70">
        <f t="shared" ref="AG53" si="149">AG49-SUM(AG50:AG52)</f>
        <v>215.20000000000005</v>
      </c>
      <c r="AH53" s="70">
        <f t="shared" ref="AH53" si="150">AH49-SUM(AH50:AH52)</f>
        <v>411.70000000000005</v>
      </c>
      <c r="AI53" s="70">
        <f t="shared" ref="AI53" si="151">AI49-SUM(AI50:AI52)</f>
        <v>241.49999999999994</v>
      </c>
      <c r="AJ53" s="70">
        <f t="shared" ref="AJ53" si="152">AJ49-SUM(AJ50:AJ52)</f>
        <v>253.20000000000002</v>
      </c>
      <c r="AK53" s="70">
        <f t="shared" ref="AK53" si="153">AK49-SUM(AK50:AK52)</f>
        <v>249.10000000000002</v>
      </c>
      <c r="AL53" s="70">
        <f t="shared" ref="AL53" si="154">AL49-SUM(AL50:AL52)</f>
        <v>-8.7999999999999545</v>
      </c>
      <c r="AM53" s="70">
        <f t="shared" ref="AM53" si="155">AM49-SUM(AM50:AM52)</f>
        <v>270.40000000000003</v>
      </c>
      <c r="AN53" s="70">
        <f t="shared" ref="AN53" si="156">AN49-SUM(AN50:AN52)</f>
        <v>263.7000000000001</v>
      </c>
      <c r="AO53" s="70">
        <f t="shared" ref="AO53" si="157">AO49-SUM(AO50:AO52)</f>
        <v>286.90000000000003</v>
      </c>
      <c r="AP53" s="70">
        <f t="shared" ref="AP53" si="158">AP49-SUM(AP50:AP52)</f>
        <v>306.09999999999985</v>
      </c>
      <c r="AQ53" s="70">
        <f t="shared" ref="AQ53:BL53" si="159">AQ49-SUM(AQ50:AQ52)</f>
        <v>364.49999999999994</v>
      </c>
      <c r="AR53" s="70">
        <f t="shared" si="159"/>
        <v>-168.20000000000005</v>
      </c>
      <c r="AS53" s="70">
        <f t="shared" si="159"/>
        <v>364.30000000000013</v>
      </c>
      <c r="AT53" s="70">
        <f t="shared" si="159"/>
        <v>356.10000000000019</v>
      </c>
      <c r="AU53" s="70">
        <f t="shared" si="159"/>
        <v>389.3</v>
      </c>
      <c r="AV53" s="70">
        <f t="shared" si="159"/>
        <v>545.50000000000011</v>
      </c>
      <c r="AW53" s="70">
        <f t="shared" si="159"/>
        <v>390.9</v>
      </c>
      <c r="AX53" s="70">
        <f t="shared" si="159"/>
        <v>376.39999999999964</v>
      </c>
      <c r="AY53" s="70">
        <f t="shared" si="159"/>
        <v>436.09999999999985</v>
      </c>
      <c r="AZ53" s="70">
        <f t="shared" si="159"/>
        <v>464.7</v>
      </c>
      <c r="BA53" s="70">
        <f t="shared" si="159"/>
        <v>407.30000000000007</v>
      </c>
      <c r="BB53" s="70">
        <f t="shared" si="159"/>
        <v>459.29999999999961</v>
      </c>
      <c r="BC53" s="70">
        <f t="shared" si="159"/>
        <v>398.60000000000008</v>
      </c>
      <c r="BD53" s="70">
        <f t="shared" si="159"/>
        <v>338.50000000000006</v>
      </c>
      <c r="BE53" s="70">
        <f t="shared" si="159"/>
        <v>439.29999999999984</v>
      </c>
      <c r="BF53" s="70">
        <f t="shared" si="159"/>
        <v>421.69999999999982</v>
      </c>
      <c r="BG53" s="70">
        <f t="shared" si="159"/>
        <v>371.2000000000001</v>
      </c>
      <c r="BH53" s="70">
        <f t="shared" si="159"/>
        <v>383.99999999999989</v>
      </c>
      <c r="BI53" s="70">
        <f t="shared" si="159"/>
        <v>402.80000000000013</v>
      </c>
      <c r="BJ53" s="70">
        <f t="shared" si="159"/>
        <v>390.1</v>
      </c>
      <c r="BK53" s="70">
        <f t="shared" si="159"/>
        <v>433.9</v>
      </c>
      <c r="BL53" s="70">
        <f t="shared" si="159"/>
        <v>400.20000000000005</v>
      </c>
      <c r="BM53" s="70">
        <f>BM49-SUM(BM50:BM52)</f>
        <v>348.40000000000015</v>
      </c>
      <c r="CA53" s="70">
        <f t="shared" si="60"/>
        <v>271.19999999999993</v>
      </c>
      <c r="CB53" s="70">
        <f t="shared" si="61"/>
        <v>283</v>
      </c>
      <c r="CC53" s="70">
        <f t="shared" si="62"/>
        <v>416.2</v>
      </c>
      <c r="CD53" s="70">
        <f t="shared" si="63"/>
        <v>374</v>
      </c>
      <c r="CE53" s="70">
        <f t="shared" si="64"/>
        <v>1181</v>
      </c>
      <c r="CF53" s="70">
        <f t="shared" si="65"/>
        <v>649</v>
      </c>
      <c r="CG53" s="70">
        <f t="shared" si="66"/>
        <v>764.49999999999977</v>
      </c>
      <c r="CH53" s="70">
        <f t="shared" si="67"/>
        <v>1143.9000000000001</v>
      </c>
      <c r="CI53" s="70">
        <f t="shared" si="68"/>
        <v>735</v>
      </c>
      <c r="CJ53" s="70">
        <f t="shared" si="69"/>
        <v>1127.1000000000001</v>
      </c>
      <c r="CK53" s="70">
        <f t="shared" si="70"/>
        <v>916.70000000000027</v>
      </c>
      <c r="CL53" s="70">
        <f t="shared" si="71"/>
        <v>1702.1</v>
      </c>
      <c r="CM53" s="70">
        <f t="shared" si="72"/>
        <v>1767.3999999999996</v>
      </c>
      <c r="CN53" s="70">
        <f t="shared" si="73"/>
        <v>1598.1</v>
      </c>
      <c r="CO53" s="70">
        <f t="shared" si="74"/>
        <v>1548.1000000000004</v>
      </c>
    </row>
    <row r="54" spans="2:155">
      <c r="B54" s="1" t="s">
        <v>1507</v>
      </c>
      <c r="C54" s="70">
        <v>17.8</v>
      </c>
      <c r="D54" s="70">
        <v>8.9</v>
      </c>
      <c r="E54" s="70">
        <v>18.2</v>
      </c>
      <c r="F54" s="70">
        <v>5.3</v>
      </c>
      <c r="G54" s="70">
        <v>20.7</v>
      </c>
      <c r="H54" s="70">
        <v>14.7</v>
      </c>
      <c r="I54" s="70">
        <v>6</v>
      </c>
      <c r="J54" s="70">
        <v>5.5</v>
      </c>
      <c r="K54" s="70">
        <v>20.5</v>
      </c>
      <c r="L54" s="70">
        <v>22.1</v>
      </c>
      <c r="M54" s="70">
        <v>24.2</v>
      </c>
      <c r="N54" s="70">
        <v>29.9</v>
      </c>
      <c r="O54" s="70">
        <v>46.7</v>
      </c>
      <c r="P54" s="70">
        <v>27.2</v>
      </c>
      <c r="Q54" s="70">
        <v>23</v>
      </c>
      <c r="R54" s="70">
        <v>25.2</v>
      </c>
      <c r="S54" s="70">
        <v>17</v>
      </c>
      <c r="T54" s="70">
        <v>266.2</v>
      </c>
      <c r="U54" s="70">
        <v>26</v>
      </c>
      <c r="V54" s="70">
        <v>23.7</v>
      </c>
      <c r="W54" s="70">
        <v>39.1</v>
      </c>
      <c r="X54" s="70">
        <v>29.5</v>
      </c>
      <c r="Y54" s="70">
        <v>32.6</v>
      </c>
      <c r="Z54" s="70">
        <v>26.3</v>
      </c>
      <c r="AA54" s="70">
        <v>40.299999999999997</v>
      </c>
      <c r="AB54" s="70">
        <v>42.4</v>
      </c>
      <c r="AC54" s="70">
        <v>43.8</v>
      </c>
      <c r="AD54" s="70">
        <v>41.9</v>
      </c>
      <c r="AE54" s="70">
        <v>63.4</v>
      </c>
      <c r="AF54" s="70">
        <v>19.5</v>
      </c>
      <c r="AG54" s="70">
        <v>41.7</v>
      </c>
      <c r="AH54" s="70">
        <v>326.7</v>
      </c>
      <c r="AI54" s="70">
        <v>56.9</v>
      </c>
      <c r="AJ54" s="70">
        <v>-31.7</v>
      </c>
      <c r="AK54" s="70">
        <v>22.8</v>
      </c>
      <c r="AL54" s="70">
        <v>-8.8000000000000007</v>
      </c>
      <c r="AM54" s="70">
        <v>28.3</v>
      </c>
      <c r="AN54" s="70">
        <v>29</v>
      </c>
      <c r="AO54" s="70">
        <v>27</v>
      </c>
      <c r="AP54" s="70">
        <v>35.299999999999997</v>
      </c>
      <c r="AQ54" s="70">
        <v>53.9</v>
      </c>
      <c r="AR54" s="70">
        <v>-46.3</v>
      </c>
      <c r="AS54" s="70">
        <v>39.1</v>
      </c>
      <c r="AT54" s="70">
        <f>93.3-SUM(AQ54:AS54)</f>
        <v>46.599999999999994</v>
      </c>
      <c r="AU54" s="70">
        <v>51.1</v>
      </c>
      <c r="AV54" s="70">
        <v>56</v>
      </c>
      <c r="AW54" s="70">
        <v>50.8</v>
      </c>
      <c r="AX54" s="70">
        <f>198.9-SUM(AU54:AW54)</f>
        <v>41.000000000000028</v>
      </c>
      <c r="AY54" s="70">
        <v>62.5</v>
      </c>
      <c r="AZ54" s="70">
        <v>58.3</v>
      </c>
      <c r="BA54" s="70">
        <v>63.8</v>
      </c>
      <c r="BB54" s="70">
        <f>245.5-SUM(AY54:BA54)</f>
        <v>60.900000000000006</v>
      </c>
      <c r="BC54" s="70">
        <v>58.1</v>
      </c>
      <c r="BD54" s="70">
        <v>33</v>
      </c>
      <c r="BE54" s="70">
        <v>55.6</v>
      </c>
      <c r="BF54" s="70">
        <f>198.7-SUM(BC54:BE54)</f>
        <v>52</v>
      </c>
      <c r="BG54" s="70">
        <v>46.3</v>
      </c>
      <c r="BH54" s="70">
        <v>20</v>
      </c>
      <c r="BI54" s="70">
        <v>40.700000000000003</v>
      </c>
      <c r="BJ54" s="70">
        <f>152.1-SUM(BG54:BI54)</f>
        <v>45.099999999999994</v>
      </c>
      <c r="BK54" s="70">
        <v>70.3</v>
      </c>
      <c r="BL54" s="70">
        <v>64.3</v>
      </c>
      <c r="BM54" s="70">
        <v>56.1</v>
      </c>
      <c r="CA54" s="70">
        <f t="shared" si="60"/>
        <v>50.2</v>
      </c>
      <c r="CB54" s="70">
        <f t="shared" si="61"/>
        <v>46.9</v>
      </c>
      <c r="CC54" s="70">
        <f t="shared" si="62"/>
        <v>96.699999999999989</v>
      </c>
      <c r="CD54" s="70">
        <f t="shared" si="63"/>
        <v>122.10000000000001</v>
      </c>
      <c r="CE54" s="70">
        <f t="shared" si="64"/>
        <v>332.9</v>
      </c>
      <c r="CF54" s="70">
        <f t="shared" si="65"/>
        <v>127.49999999999999</v>
      </c>
      <c r="CG54" s="70">
        <f t="shared" si="66"/>
        <v>168.39999999999998</v>
      </c>
      <c r="CH54" s="70">
        <f t="shared" si="67"/>
        <v>451.3</v>
      </c>
      <c r="CI54" s="70">
        <f t="shared" si="68"/>
        <v>39.200000000000003</v>
      </c>
      <c r="CJ54" s="70">
        <f t="shared" si="69"/>
        <v>119.6</v>
      </c>
      <c r="CK54" s="70">
        <f t="shared" si="70"/>
        <v>93.3</v>
      </c>
      <c r="CL54" s="70">
        <f t="shared" si="71"/>
        <v>198.9</v>
      </c>
      <c r="CM54" s="70">
        <f t="shared" si="72"/>
        <v>245.5</v>
      </c>
      <c r="CN54" s="70">
        <f t="shared" si="73"/>
        <v>198.7</v>
      </c>
      <c r="CO54" s="70">
        <f t="shared" si="74"/>
        <v>152.1</v>
      </c>
    </row>
    <row r="55" spans="2:155">
      <c r="B55" s="1" t="s">
        <v>1509</v>
      </c>
      <c r="C55" s="70">
        <f t="shared" ref="C55" si="160">C53-C54</f>
        <v>42.100000000000023</v>
      </c>
      <c r="D55" s="70">
        <f t="shared" ref="D55" si="161">D53-D54</f>
        <v>55.299999999999962</v>
      </c>
      <c r="E55" s="70">
        <f t="shared" ref="E55" si="162">E53-E54</f>
        <v>42.599999999999966</v>
      </c>
      <c r="F55" s="70">
        <f t="shared" ref="F55" si="163">F53-F54</f>
        <v>80.999999999999986</v>
      </c>
      <c r="G55" s="70">
        <f t="shared" ref="G55" si="164">G53-G54</f>
        <v>51.499999999999972</v>
      </c>
      <c r="H55" s="70">
        <f t="shared" ref="H55" si="165">H53-H54</f>
        <v>55.09999999999998</v>
      </c>
      <c r="I55" s="70">
        <f t="shared" ref="I55" si="166">I53-I54</f>
        <v>56.200000000000031</v>
      </c>
      <c r="J55" s="70">
        <f t="shared" ref="J55" si="167">J53-J54</f>
        <v>73.300000000000011</v>
      </c>
      <c r="K55" s="70">
        <f t="shared" ref="K55" si="168">K53-K54</f>
        <v>66.099999999999966</v>
      </c>
      <c r="L55" s="70">
        <f t="shared" ref="L55" si="169">L53-L54</f>
        <v>65.600000000000023</v>
      </c>
      <c r="M55" s="70">
        <f t="shared" ref="M55" si="170">M53-M54</f>
        <v>68.599999999999994</v>
      </c>
      <c r="N55" s="70">
        <f t="shared" ref="N55" si="171">N53-N54</f>
        <v>119.20000000000002</v>
      </c>
      <c r="O55" s="70">
        <f t="shared" ref="O55" si="172">O53-O54</f>
        <v>-12.699999999999989</v>
      </c>
      <c r="P55" s="70">
        <f t="shared" ref="P55" si="173">P53-P54</f>
        <v>105.3</v>
      </c>
      <c r="Q55" s="70">
        <f t="shared" ref="Q55" si="174">Q53-Q54</f>
        <v>87.40000000000002</v>
      </c>
      <c r="R55" s="70">
        <f t="shared" ref="R55" si="175">R53-R54</f>
        <v>71.899999999999991</v>
      </c>
      <c r="S55" s="70">
        <f t="shared" ref="S55" si="176">S53-S54</f>
        <v>78.300000000000011</v>
      </c>
      <c r="T55" s="70">
        <f t="shared" ref="T55" si="177">T53-T54</f>
        <v>-941.59999999999991</v>
      </c>
      <c r="U55" s="70">
        <f t="shared" ref="U55" si="178">U53-U54</f>
        <v>99.599999999999966</v>
      </c>
      <c r="V55" s="70">
        <f t="shared" ref="V55" si="179">V53-V54</f>
        <v>1611.8</v>
      </c>
      <c r="W55" s="70">
        <f t="shared" ref="W55" si="180">W53-W54</f>
        <v>128.79999999999993</v>
      </c>
      <c r="X55" s="70">
        <f t="shared" ref="X55" si="181">X53-X54</f>
        <v>118.29999999999995</v>
      </c>
      <c r="Y55" s="70">
        <f t="shared" ref="Y55" si="182">Y53-Y54</f>
        <v>128.30000000000001</v>
      </c>
      <c r="Z55" s="70">
        <f t="shared" ref="Z55" si="183">Z53-Z54</f>
        <v>146.10000000000002</v>
      </c>
      <c r="AA55" s="70">
        <f t="shared" ref="AA55" si="184">AA53-AA54</f>
        <v>155.80000000000001</v>
      </c>
      <c r="AB55" s="70">
        <f t="shared" ref="AB55" si="185">AB53-AB54</f>
        <v>131.59999999999994</v>
      </c>
      <c r="AC55" s="70">
        <f t="shared" ref="AC55" si="186">AC53-AC54</f>
        <v>148.79999999999995</v>
      </c>
      <c r="AD55" s="70">
        <f t="shared" ref="AD55" si="187">AD53-AD54</f>
        <v>159.9</v>
      </c>
      <c r="AE55" s="70">
        <f t="shared" ref="AE55" si="188">AE53-AE54</f>
        <v>239.59999999999994</v>
      </c>
      <c r="AF55" s="70">
        <f t="shared" ref="AF55" si="189">AF53-AF54</f>
        <v>194.49999999999994</v>
      </c>
      <c r="AG55" s="70">
        <f t="shared" ref="AG55" si="190">AG53-AG54</f>
        <v>173.50000000000006</v>
      </c>
      <c r="AH55" s="70">
        <f t="shared" ref="AH55" si="191">AH53-AH54</f>
        <v>85.000000000000057</v>
      </c>
      <c r="AI55" s="70">
        <f t="shared" ref="AI55" si="192">AI53-AI54</f>
        <v>184.59999999999994</v>
      </c>
      <c r="AJ55" s="70">
        <f t="shared" ref="AJ55" si="193">AJ53-AJ54</f>
        <v>284.90000000000003</v>
      </c>
      <c r="AK55" s="70">
        <f t="shared" ref="AK55" si="194">AK53-AK54</f>
        <v>226.3</v>
      </c>
      <c r="AL55" s="70">
        <f t="shared" ref="AL55" si="195">AL53-AL54</f>
        <v>4.6185277824406512E-14</v>
      </c>
      <c r="AM55" s="70">
        <f t="shared" ref="AM55" si="196">AM53-AM54</f>
        <v>242.10000000000002</v>
      </c>
      <c r="AN55" s="70">
        <f t="shared" ref="AN55" si="197">AN53-AN54</f>
        <v>234.7000000000001</v>
      </c>
      <c r="AO55" s="70">
        <f t="shared" ref="AO55" si="198">AO53-AO54</f>
        <v>259.90000000000003</v>
      </c>
      <c r="AP55" s="70">
        <f t="shared" ref="AP55" si="199">AP53-AP54</f>
        <v>270.79999999999984</v>
      </c>
      <c r="AQ55" s="70">
        <f t="shared" ref="AQ55:BL55" si="200">AQ53-AQ54</f>
        <v>310.59999999999997</v>
      </c>
      <c r="AR55" s="70">
        <f t="shared" si="200"/>
        <v>-121.90000000000005</v>
      </c>
      <c r="AS55" s="70">
        <f t="shared" si="200"/>
        <v>325.2000000000001</v>
      </c>
      <c r="AT55" s="70">
        <f t="shared" si="200"/>
        <v>309.50000000000023</v>
      </c>
      <c r="AU55" s="70">
        <f t="shared" si="200"/>
        <v>338.2</v>
      </c>
      <c r="AV55" s="70">
        <f t="shared" si="200"/>
        <v>489.50000000000011</v>
      </c>
      <c r="AW55" s="70">
        <f t="shared" si="200"/>
        <v>340.09999999999997</v>
      </c>
      <c r="AX55" s="70">
        <f t="shared" si="200"/>
        <v>335.39999999999964</v>
      </c>
      <c r="AY55" s="70">
        <f t="shared" si="200"/>
        <v>373.59999999999985</v>
      </c>
      <c r="AZ55" s="70">
        <f t="shared" si="200"/>
        <v>406.4</v>
      </c>
      <c r="BA55" s="70">
        <f t="shared" si="200"/>
        <v>343.50000000000006</v>
      </c>
      <c r="BB55" s="70">
        <f t="shared" si="200"/>
        <v>398.39999999999964</v>
      </c>
      <c r="BC55" s="70">
        <f t="shared" si="200"/>
        <v>340.50000000000006</v>
      </c>
      <c r="BD55" s="70">
        <f t="shared" si="200"/>
        <v>305.50000000000006</v>
      </c>
      <c r="BE55" s="70">
        <f t="shared" si="200"/>
        <v>383.69999999999982</v>
      </c>
      <c r="BF55" s="70">
        <f t="shared" si="200"/>
        <v>369.69999999999982</v>
      </c>
      <c r="BG55" s="70">
        <f t="shared" si="200"/>
        <v>324.90000000000009</v>
      </c>
      <c r="BH55" s="70">
        <f t="shared" si="200"/>
        <v>363.99999999999989</v>
      </c>
      <c r="BI55" s="70">
        <f t="shared" si="200"/>
        <v>362.10000000000014</v>
      </c>
      <c r="BJ55" s="70">
        <f t="shared" si="200"/>
        <v>345</v>
      </c>
      <c r="BK55" s="70">
        <f t="shared" si="200"/>
        <v>363.59999999999997</v>
      </c>
      <c r="BL55" s="70">
        <f t="shared" si="200"/>
        <v>335.90000000000003</v>
      </c>
      <c r="BM55" s="70">
        <f>BM53-BM54</f>
        <v>292.30000000000013</v>
      </c>
      <c r="CA55" s="70">
        <f t="shared" si="60"/>
        <v>220.99999999999994</v>
      </c>
      <c r="CB55" s="70">
        <f t="shared" si="61"/>
        <v>236.1</v>
      </c>
      <c r="CC55" s="70">
        <f t="shared" si="62"/>
        <v>319.5</v>
      </c>
      <c r="CD55" s="70">
        <f t="shared" si="63"/>
        <v>251.90000000000003</v>
      </c>
      <c r="CE55" s="70">
        <f t="shared" si="64"/>
        <v>848.09999999999991</v>
      </c>
      <c r="CF55" s="70">
        <f t="shared" si="65"/>
        <v>521.49999999999989</v>
      </c>
      <c r="CG55" s="70">
        <f t="shared" si="66"/>
        <v>596.09999999999991</v>
      </c>
      <c r="CH55" s="70">
        <f t="shared" si="67"/>
        <v>692.59999999999991</v>
      </c>
      <c r="CI55" s="70">
        <f t="shared" si="68"/>
        <v>695.8</v>
      </c>
      <c r="CJ55" s="70">
        <f t="shared" si="69"/>
        <v>1007.5</v>
      </c>
      <c r="CK55" s="70">
        <f t="shared" si="70"/>
        <v>823.40000000000032</v>
      </c>
      <c r="CL55" s="70">
        <f t="shared" si="71"/>
        <v>1503.1999999999996</v>
      </c>
      <c r="CM55" s="70">
        <f t="shared" si="72"/>
        <v>1521.8999999999994</v>
      </c>
      <c r="CN55" s="70">
        <f t="shared" si="73"/>
        <v>1399.3999999999996</v>
      </c>
      <c r="CO55" s="70">
        <f t="shared" si="74"/>
        <v>1396</v>
      </c>
    </row>
    <row r="56" spans="2:155">
      <c r="B56" s="1" t="s">
        <v>1510</v>
      </c>
      <c r="C56" s="70">
        <v>0</v>
      </c>
      <c r="D56" s="70">
        <v>0</v>
      </c>
      <c r="E56" s="70">
        <v>0</v>
      </c>
      <c r="F56" s="70">
        <v>0</v>
      </c>
      <c r="G56" s="70">
        <v>0</v>
      </c>
      <c r="H56" s="70">
        <v>0</v>
      </c>
      <c r="I56" s="70">
        <v>0</v>
      </c>
      <c r="J56" s="70">
        <v>0</v>
      </c>
      <c r="K56" s="70">
        <v>0</v>
      </c>
      <c r="L56" s="70">
        <v>0</v>
      </c>
      <c r="M56" s="70">
        <v>0</v>
      </c>
      <c r="N56" s="70">
        <v>0</v>
      </c>
      <c r="O56" s="70">
        <v>0</v>
      </c>
      <c r="P56" s="70">
        <v>0</v>
      </c>
      <c r="Q56" s="70">
        <v>0</v>
      </c>
      <c r="R56" s="70">
        <v>0</v>
      </c>
      <c r="S56" s="70">
        <v>0</v>
      </c>
      <c r="T56" s="70">
        <v>0</v>
      </c>
      <c r="U56" s="70">
        <v>0</v>
      </c>
      <c r="V56" s="70">
        <v>0</v>
      </c>
      <c r="W56" s="70">
        <v>0</v>
      </c>
      <c r="X56" s="70">
        <v>0</v>
      </c>
      <c r="Y56" s="70">
        <v>0</v>
      </c>
      <c r="Z56" s="70">
        <v>0</v>
      </c>
      <c r="AA56" s="70">
        <v>0</v>
      </c>
      <c r="AB56" s="70">
        <v>0</v>
      </c>
      <c r="AC56" s="70">
        <v>0</v>
      </c>
      <c r="AD56" s="70">
        <v>0</v>
      </c>
      <c r="AE56" s="70">
        <v>0</v>
      </c>
      <c r="AF56" s="70">
        <v>0</v>
      </c>
      <c r="AG56" s="70">
        <v>0</v>
      </c>
      <c r="AH56" s="70">
        <v>0</v>
      </c>
      <c r="AI56" s="70">
        <v>0</v>
      </c>
      <c r="AJ56" s="70">
        <v>0</v>
      </c>
      <c r="AK56" s="70">
        <v>0</v>
      </c>
      <c r="AL56" s="70">
        <v>0</v>
      </c>
      <c r="AM56" s="70">
        <v>0</v>
      </c>
      <c r="AN56" s="70">
        <v>0</v>
      </c>
      <c r="AO56" s="70">
        <v>0</v>
      </c>
      <c r="AP56" s="70">
        <v>0</v>
      </c>
      <c r="AQ56" s="70">
        <v>0</v>
      </c>
      <c r="AR56" s="70">
        <v>0</v>
      </c>
      <c r="AS56" s="70">
        <v>0</v>
      </c>
      <c r="AT56" s="70">
        <f>0-SUM(AQ56:AS56)</f>
        <v>0</v>
      </c>
      <c r="AU56" s="70">
        <v>0</v>
      </c>
      <c r="AV56" s="70">
        <v>0</v>
      </c>
      <c r="AW56" s="70">
        <v>0</v>
      </c>
      <c r="AX56" s="70">
        <f>0-SUM(AU56:AW56)</f>
        <v>0</v>
      </c>
      <c r="AY56" s="70">
        <v>0</v>
      </c>
      <c r="AZ56" s="70">
        <v>0</v>
      </c>
      <c r="BA56" s="70">
        <v>0</v>
      </c>
      <c r="BB56" s="70">
        <f>0-SUM(AY56:BA56)</f>
        <v>0</v>
      </c>
      <c r="BC56" s="70">
        <v>0</v>
      </c>
      <c r="BD56" s="70">
        <v>1.6</v>
      </c>
      <c r="BE56" s="70">
        <v>1.2</v>
      </c>
      <c r="BF56" s="70">
        <f>-3-SUM(BC56:BE56)</f>
        <v>-5.8</v>
      </c>
      <c r="BG56" s="70">
        <v>26.1</v>
      </c>
      <c r="BH56" s="70">
        <v>1</v>
      </c>
      <c r="BI56" s="70">
        <v>2707.3</v>
      </c>
      <c r="BJ56" s="70">
        <f>2773.7-SUM(BG56:BI56)</f>
        <v>39.299999999999727</v>
      </c>
      <c r="BK56" s="70">
        <v>-7.2</v>
      </c>
      <c r="BL56" s="70">
        <v>-4.4000000000000004</v>
      </c>
      <c r="BM56" s="70">
        <v>-2</v>
      </c>
      <c r="CA56" s="70">
        <f t="shared" si="60"/>
        <v>0</v>
      </c>
      <c r="CB56" s="70">
        <f t="shared" si="61"/>
        <v>0</v>
      </c>
      <c r="CC56" s="70">
        <f t="shared" si="62"/>
        <v>0</v>
      </c>
      <c r="CD56" s="70">
        <f t="shared" si="63"/>
        <v>0</v>
      </c>
      <c r="CE56" s="70">
        <f t="shared" si="64"/>
        <v>0</v>
      </c>
      <c r="CF56" s="70">
        <f t="shared" si="65"/>
        <v>0</v>
      </c>
      <c r="CG56" s="70">
        <f t="shared" si="66"/>
        <v>0</v>
      </c>
      <c r="CH56" s="70">
        <f t="shared" si="67"/>
        <v>0</v>
      </c>
      <c r="CI56" s="70">
        <f t="shared" si="68"/>
        <v>0</v>
      </c>
      <c r="CJ56" s="70">
        <f t="shared" si="69"/>
        <v>0</v>
      </c>
      <c r="CK56" s="70">
        <f t="shared" si="70"/>
        <v>0</v>
      </c>
      <c r="CL56" s="70">
        <f t="shared" si="71"/>
        <v>0</v>
      </c>
      <c r="CM56" s="70">
        <f t="shared" si="72"/>
        <v>0</v>
      </c>
      <c r="CN56" s="70">
        <f t="shared" si="73"/>
        <v>-3</v>
      </c>
      <c r="CO56" s="70">
        <f t="shared" si="74"/>
        <v>2773.7</v>
      </c>
    </row>
    <row r="57" spans="2:155" s="2" customFormat="1" ht="15">
      <c r="B57" s="2" t="s">
        <v>138</v>
      </c>
      <c r="C57" s="71">
        <f t="shared" ref="C57" si="201">C55+C56</f>
        <v>42.100000000000023</v>
      </c>
      <c r="D57" s="71">
        <f t="shared" ref="D57" si="202">D55+D56</f>
        <v>55.299999999999962</v>
      </c>
      <c r="E57" s="71">
        <f t="shared" ref="E57" si="203">E55+E56</f>
        <v>42.599999999999966</v>
      </c>
      <c r="F57" s="71">
        <f t="shared" ref="F57" si="204">F55+F56</f>
        <v>80.999999999999986</v>
      </c>
      <c r="G57" s="71">
        <f t="shared" ref="G57" si="205">G55+G56</f>
        <v>51.499999999999972</v>
      </c>
      <c r="H57" s="71">
        <f t="shared" ref="H57" si="206">H55+H56</f>
        <v>55.09999999999998</v>
      </c>
      <c r="I57" s="71">
        <f t="shared" ref="I57" si="207">I55+I56</f>
        <v>56.200000000000031</v>
      </c>
      <c r="J57" s="71">
        <f t="shared" ref="J57" si="208">J55+J56</f>
        <v>73.300000000000011</v>
      </c>
      <c r="K57" s="71">
        <f t="shared" ref="K57" si="209">K55+K56</f>
        <v>66.099999999999966</v>
      </c>
      <c r="L57" s="71">
        <f t="shared" ref="L57" si="210">L55+L56</f>
        <v>65.600000000000023</v>
      </c>
      <c r="M57" s="71">
        <f t="shared" ref="M57" si="211">M55+M56</f>
        <v>68.599999999999994</v>
      </c>
      <c r="N57" s="71">
        <f t="shared" ref="N57" si="212">N55+N56</f>
        <v>119.20000000000002</v>
      </c>
      <c r="O57" s="71">
        <f t="shared" ref="O57" si="213">O55+O56</f>
        <v>-12.699999999999989</v>
      </c>
      <c r="P57" s="71">
        <f t="shared" ref="P57" si="214">P55+P56</f>
        <v>105.3</v>
      </c>
      <c r="Q57" s="71">
        <f t="shared" ref="Q57" si="215">Q55+Q56</f>
        <v>87.40000000000002</v>
      </c>
      <c r="R57" s="71">
        <f t="shared" ref="R57" si="216">R55+R56</f>
        <v>71.899999999999991</v>
      </c>
      <c r="S57" s="71">
        <f t="shared" ref="S57" si="217">S55+S56</f>
        <v>78.300000000000011</v>
      </c>
      <c r="T57" s="71">
        <f t="shared" ref="T57" si="218">T55+T56</f>
        <v>-941.59999999999991</v>
      </c>
      <c r="U57" s="71">
        <f t="shared" ref="U57" si="219">U55+U56</f>
        <v>99.599999999999966</v>
      </c>
      <c r="V57" s="71">
        <f t="shared" ref="V57" si="220">V55+V56</f>
        <v>1611.8</v>
      </c>
      <c r="W57" s="71">
        <f t="shared" ref="W57" si="221">W55+W56</f>
        <v>128.79999999999993</v>
      </c>
      <c r="X57" s="71">
        <f t="shared" ref="X57" si="222">X55+X56</f>
        <v>118.29999999999995</v>
      </c>
      <c r="Y57" s="71">
        <f t="shared" ref="Y57" si="223">Y55+Y56</f>
        <v>128.30000000000001</v>
      </c>
      <c r="Z57" s="71">
        <f t="shared" ref="Z57" si="224">Z55+Z56</f>
        <v>146.10000000000002</v>
      </c>
      <c r="AA57" s="71">
        <f t="shared" ref="AA57" si="225">AA55+AA56</f>
        <v>155.80000000000001</v>
      </c>
      <c r="AB57" s="71">
        <f t="shared" ref="AB57" si="226">AB55+AB56</f>
        <v>131.59999999999994</v>
      </c>
      <c r="AC57" s="71">
        <f t="shared" ref="AC57" si="227">AC55+AC56</f>
        <v>148.79999999999995</v>
      </c>
      <c r="AD57" s="71">
        <f t="shared" ref="AD57" si="228">AD55+AD56</f>
        <v>159.9</v>
      </c>
      <c r="AE57" s="71">
        <f t="shared" ref="AE57" si="229">AE55+AE56</f>
        <v>239.59999999999994</v>
      </c>
      <c r="AF57" s="71">
        <f t="shared" ref="AF57" si="230">AF55+AF56</f>
        <v>194.49999999999994</v>
      </c>
      <c r="AG57" s="71">
        <f t="shared" ref="AG57" si="231">AG55+AG56</f>
        <v>173.50000000000006</v>
      </c>
      <c r="AH57" s="71">
        <f t="shared" ref="AH57" si="232">AH55+AH56</f>
        <v>85.000000000000057</v>
      </c>
      <c r="AI57" s="71">
        <f t="shared" ref="AI57" si="233">AI55+AI56</f>
        <v>184.59999999999994</v>
      </c>
      <c r="AJ57" s="71">
        <f t="shared" ref="AJ57" si="234">AJ55+AJ56</f>
        <v>284.90000000000003</v>
      </c>
      <c r="AK57" s="71">
        <f t="shared" ref="AK57" si="235">AK55+AK56</f>
        <v>226.3</v>
      </c>
      <c r="AL57" s="71">
        <f t="shared" ref="AL57" si="236">AL55+AL56</f>
        <v>4.6185277824406512E-14</v>
      </c>
      <c r="AM57" s="71">
        <f t="shared" ref="AM57" si="237">AM55+AM56</f>
        <v>242.10000000000002</v>
      </c>
      <c r="AN57" s="71">
        <f t="shared" ref="AN57" si="238">AN55+AN56</f>
        <v>234.7000000000001</v>
      </c>
      <c r="AO57" s="71">
        <f t="shared" ref="AO57" si="239">AO55+AO56</f>
        <v>259.90000000000003</v>
      </c>
      <c r="AP57" s="71">
        <f t="shared" ref="AP57" si="240">AP55+AP56</f>
        <v>270.79999999999984</v>
      </c>
      <c r="AQ57" s="71">
        <f t="shared" ref="AQ57:BJ57" si="241">AQ55+AQ56</f>
        <v>310.59999999999997</v>
      </c>
      <c r="AR57" s="71">
        <f t="shared" si="241"/>
        <v>-121.90000000000005</v>
      </c>
      <c r="AS57" s="71">
        <f t="shared" si="241"/>
        <v>325.2000000000001</v>
      </c>
      <c r="AT57" s="71">
        <f t="shared" si="241"/>
        <v>309.50000000000023</v>
      </c>
      <c r="AU57" s="71">
        <f t="shared" si="241"/>
        <v>338.2</v>
      </c>
      <c r="AV57" s="71">
        <f t="shared" si="241"/>
        <v>489.50000000000011</v>
      </c>
      <c r="AW57" s="71">
        <f t="shared" si="241"/>
        <v>340.09999999999997</v>
      </c>
      <c r="AX57" s="71">
        <f t="shared" si="241"/>
        <v>335.39999999999964</v>
      </c>
      <c r="AY57" s="71">
        <f t="shared" si="241"/>
        <v>373.59999999999985</v>
      </c>
      <c r="AZ57" s="71">
        <f t="shared" si="241"/>
        <v>406.4</v>
      </c>
      <c r="BA57" s="71">
        <f t="shared" si="241"/>
        <v>343.50000000000006</v>
      </c>
      <c r="BB57" s="71">
        <f t="shared" si="241"/>
        <v>398.39999999999964</v>
      </c>
      <c r="BC57" s="71">
        <f t="shared" si="241"/>
        <v>340.50000000000006</v>
      </c>
      <c r="BD57" s="71">
        <f t="shared" si="241"/>
        <v>307.10000000000008</v>
      </c>
      <c r="BE57" s="71">
        <f t="shared" si="241"/>
        <v>384.89999999999981</v>
      </c>
      <c r="BF57" s="71">
        <f>BF55+BF56+3</f>
        <v>366.89999999999981</v>
      </c>
      <c r="BG57" s="71">
        <f>BG55+BG56+0.9</f>
        <v>351.90000000000009</v>
      </c>
      <c r="BH57" s="71">
        <f>BH55+BH56+1.3</f>
        <v>366.2999999999999</v>
      </c>
      <c r="BI57" s="71">
        <f t="shared" si="241"/>
        <v>3069.4000000000005</v>
      </c>
      <c r="BJ57" s="71">
        <f t="shared" si="241"/>
        <v>384.29999999999973</v>
      </c>
      <c r="BK57" s="71">
        <f>BK55+BK56+1.6</f>
        <v>358</v>
      </c>
      <c r="BL57" s="71">
        <f>BL55+BL56+1.7</f>
        <v>333.20000000000005</v>
      </c>
      <c r="BM57" s="71">
        <f>BM55+BM56</f>
        <v>290.30000000000013</v>
      </c>
      <c r="BN57" s="34"/>
      <c r="BO57" s="34"/>
      <c r="BP57" s="34"/>
      <c r="BQ57" s="34"/>
      <c r="BR57" s="34"/>
      <c r="CA57" s="71">
        <f t="shared" si="60"/>
        <v>220.99999999999994</v>
      </c>
      <c r="CB57" s="71">
        <f t="shared" si="61"/>
        <v>236.1</v>
      </c>
      <c r="CC57" s="71">
        <f t="shared" si="62"/>
        <v>319.5</v>
      </c>
      <c r="CD57" s="71">
        <f t="shared" si="63"/>
        <v>251.90000000000003</v>
      </c>
      <c r="CE57" s="71">
        <f t="shared" si="64"/>
        <v>848.09999999999991</v>
      </c>
      <c r="CF57" s="71">
        <f t="shared" si="65"/>
        <v>521.49999999999989</v>
      </c>
      <c r="CG57" s="71">
        <f t="shared" si="66"/>
        <v>596.09999999999991</v>
      </c>
      <c r="CH57" s="71">
        <f t="shared" si="67"/>
        <v>692.59999999999991</v>
      </c>
      <c r="CI57" s="71">
        <f t="shared" si="68"/>
        <v>695.8</v>
      </c>
      <c r="CJ57" s="71">
        <f t="shared" si="69"/>
        <v>1007.5</v>
      </c>
      <c r="CK57" s="71">
        <f t="shared" si="70"/>
        <v>823.40000000000032</v>
      </c>
      <c r="CL57" s="71">
        <f t="shared" si="71"/>
        <v>1503.1999999999996</v>
      </c>
      <c r="CM57" s="71">
        <f t="shared" si="72"/>
        <v>1521.8999999999994</v>
      </c>
      <c r="CN57" s="71">
        <f t="shared" si="73"/>
        <v>1399.3999999999999</v>
      </c>
      <c r="CO57" s="71">
        <f t="shared" si="74"/>
        <v>4171.8999999999996</v>
      </c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  <c r="DM57" s="34"/>
      <c r="DN57" s="34"/>
      <c r="DO57" s="34"/>
      <c r="DP57" s="34"/>
      <c r="DQ57" s="34"/>
      <c r="DR57" s="34"/>
      <c r="DS57" s="34"/>
      <c r="DT57" s="34"/>
      <c r="DU57" s="34"/>
      <c r="DV57" s="34"/>
      <c r="DW57" s="34"/>
      <c r="DX57" s="34"/>
      <c r="DY57" s="34"/>
      <c r="DZ57" s="34"/>
      <c r="EA57" s="34"/>
      <c r="EB57" s="34"/>
      <c r="EC57" s="34"/>
      <c r="ED57" s="34"/>
      <c r="EE57" s="34"/>
      <c r="EF57" s="34"/>
      <c r="EG57" s="34"/>
      <c r="EH57" s="34"/>
      <c r="EI57" s="34"/>
      <c r="EJ57" s="34"/>
      <c r="EK57" s="34"/>
      <c r="EL57" s="34"/>
      <c r="EM57" s="34"/>
      <c r="EN57" s="34"/>
      <c r="EO57" s="34"/>
      <c r="EP57" s="34"/>
      <c r="EQ57" s="34"/>
      <c r="ER57" s="34"/>
      <c r="ES57" s="34"/>
      <c r="ET57" s="34"/>
      <c r="EU57" s="34"/>
      <c r="EV57" s="34"/>
      <c r="EW57" s="34"/>
      <c r="EX57" s="34"/>
      <c r="EY57" s="34"/>
    </row>
    <row r="58" spans="2:155">
      <c r="B58" s="1" t="s">
        <v>142</v>
      </c>
      <c r="C58" s="70">
        <v>691</v>
      </c>
      <c r="D58" s="70">
        <v>691</v>
      </c>
      <c r="E58" s="70">
        <v>690</v>
      </c>
      <c r="F58" s="70">
        <v>689</v>
      </c>
      <c r="G58" s="70">
        <v>689</v>
      </c>
      <c r="H58" s="70">
        <v>689</v>
      </c>
      <c r="I58" s="70">
        <v>688</v>
      </c>
      <c r="J58" s="70">
        <v>688</v>
      </c>
      <c r="K58" s="70">
        <v>684</v>
      </c>
      <c r="L58" s="70">
        <v>689</v>
      </c>
      <c r="M58" s="70">
        <v>694</v>
      </c>
      <c r="N58" s="70">
        <v>689</v>
      </c>
      <c r="O58" s="70">
        <v>683</v>
      </c>
      <c r="P58" s="70">
        <v>676</v>
      </c>
      <c r="Q58" s="70">
        <v>666</v>
      </c>
      <c r="R58" s="70">
        <v>670</v>
      </c>
      <c r="S58" s="70">
        <v>640</v>
      </c>
      <c r="T58" s="70">
        <v>634</v>
      </c>
      <c r="U58" s="70">
        <v>638</v>
      </c>
      <c r="V58" s="70">
        <v>639</v>
      </c>
      <c r="W58" s="70">
        <v>647</v>
      </c>
      <c r="X58" s="70">
        <v>646</v>
      </c>
      <c r="Y58" s="70">
        <v>646</v>
      </c>
      <c r="Z58" s="70">
        <v>647</v>
      </c>
      <c r="AA58" s="70">
        <v>639</v>
      </c>
      <c r="AB58" s="70">
        <v>637</v>
      </c>
      <c r="AC58" s="70">
        <v>640</v>
      </c>
      <c r="AD58" s="70">
        <v>639</v>
      </c>
      <c r="AE58" s="70">
        <v>634</v>
      </c>
      <c r="AF58" s="70">
        <v>632</v>
      </c>
      <c r="AG58" s="70">
        <v>634</v>
      </c>
      <c r="AH58" s="70">
        <v>633</v>
      </c>
      <c r="AI58" s="70">
        <v>631</v>
      </c>
      <c r="AJ58" s="70">
        <v>629</v>
      </c>
      <c r="AK58" s="70">
        <v>627</v>
      </c>
      <c r="AL58" s="70">
        <v>628</v>
      </c>
      <c r="AM58" s="70">
        <v>624</v>
      </c>
      <c r="AN58" s="70">
        <v>624</v>
      </c>
      <c r="AO58" s="70">
        <v>625</v>
      </c>
      <c r="AP58" s="70">
        <v>625</v>
      </c>
      <c r="AQ58" s="70">
        <v>624.6</v>
      </c>
      <c r="AR58" s="70">
        <v>620.29999999999995</v>
      </c>
      <c r="AS58" s="70">
        <v>622.1</v>
      </c>
      <c r="AT58" s="70">
        <v>622.6</v>
      </c>
      <c r="AU58" s="70">
        <v>623.20000000000005</v>
      </c>
      <c r="AV58" s="70">
        <v>622.29999999999995</v>
      </c>
      <c r="AW58" s="70">
        <v>623.6</v>
      </c>
      <c r="AX58" s="70">
        <v>623.29999999999995</v>
      </c>
      <c r="AY58" s="70">
        <v>622.1</v>
      </c>
      <c r="AZ58" s="70">
        <v>620.9</v>
      </c>
      <c r="BA58" s="70">
        <v>619.79999999999995</v>
      </c>
      <c r="BB58" s="70">
        <v>619</v>
      </c>
      <c r="BC58" s="70">
        <v>607.5</v>
      </c>
      <c r="BD58" s="70">
        <v>606.9</v>
      </c>
      <c r="BE58" s="70">
        <v>607</v>
      </c>
      <c r="BF58" s="70">
        <v>606.70000000000005</v>
      </c>
      <c r="BG58" s="70">
        <v>601.6</v>
      </c>
      <c r="BH58" s="70">
        <v>602.1</v>
      </c>
      <c r="BI58" s="70">
        <v>597.20000000000005</v>
      </c>
      <c r="BJ58" s="70">
        <v>597.70000000000005</v>
      </c>
      <c r="BK58" s="70">
        <v>586.9</v>
      </c>
      <c r="BL58" s="70">
        <v>587</v>
      </c>
      <c r="BM58" s="70">
        <v>584.70000000000005</v>
      </c>
      <c r="CA58" s="70">
        <f>AVERAGE(C58:F58)</f>
        <v>690.25</v>
      </c>
      <c r="CB58" s="70">
        <f>AVERAGE(G58:J58)</f>
        <v>688.5</v>
      </c>
      <c r="CC58" s="70">
        <f>AVERAGE(K58:N58)</f>
        <v>689</v>
      </c>
      <c r="CD58" s="70">
        <f>AVERAGE(O58:R58)</f>
        <v>673.75</v>
      </c>
      <c r="CE58" s="70">
        <f>AVERAGE(S58:V58)</f>
        <v>637.75</v>
      </c>
      <c r="CF58" s="70">
        <f>AVERAGE(W58:Z58)</f>
        <v>646.5</v>
      </c>
      <c r="CG58" s="70">
        <f>AVERAGE(AA58:AD58)</f>
        <v>638.75</v>
      </c>
      <c r="CH58" s="70">
        <f>AVERAGE(AE58:AH58)</f>
        <v>633.25</v>
      </c>
      <c r="CI58" s="70">
        <f>AVERAGE(AI58:AL58)</f>
        <v>628.75</v>
      </c>
      <c r="CJ58" s="70">
        <f>AVERAGE(AM58:AP58)</f>
        <v>624.5</v>
      </c>
      <c r="CK58" s="70">
        <f>AVERAGE(AQ58:AT58)</f>
        <v>622.4</v>
      </c>
      <c r="CL58" s="70">
        <f>AVERAGE(AU58:AX58)</f>
        <v>623.09999999999991</v>
      </c>
      <c r="CM58" s="70">
        <f>AVERAGE(AY58:BB58)</f>
        <v>620.45000000000005</v>
      </c>
      <c r="CN58" s="70">
        <f>AVERAGE(BC58:BF58)</f>
        <v>607.02500000000009</v>
      </c>
      <c r="CO58" s="70">
        <f>AVERAGE(BG58:BJ58)</f>
        <v>599.65000000000009</v>
      </c>
    </row>
    <row r="59" spans="2:155">
      <c r="B59" s="1" t="s">
        <v>1511</v>
      </c>
      <c r="C59" s="40">
        <f t="shared" ref="C59" si="242">C57/C58</f>
        <v>6.0926193921852417E-2</v>
      </c>
      <c r="D59" s="40">
        <f t="shared" ref="D59" si="243">D57/D58</f>
        <v>8.0028943560057825E-2</v>
      </c>
      <c r="E59" s="40">
        <f t="shared" ref="E59" si="244">E57/E58</f>
        <v>6.173913043478256E-2</v>
      </c>
      <c r="F59" s="40">
        <f t="shared" ref="F59" si="245">F57/F58</f>
        <v>0.11756168359941943</v>
      </c>
      <c r="G59" s="40">
        <f t="shared" ref="G59" si="246">G57/G58</f>
        <v>7.4746008708272818E-2</v>
      </c>
      <c r="H59" s="40">
        <f t="shared" ref="H59" si="247">H57/H58</f>
        <v>7.9970972423802578E-2</v>
      </c>
      <c r="I59" s="40">
        <f t="shared" ref="I59" si="248">I57/I58</f>
        <v>8.1686046511627947E-2</v>
      </c>
      <c r="J59" s="40">
        <f t="shared" ref="J59" si="249">J57/J58</f>
        <v>0.10654069767441862</v>
      </c>
      <c r="K59" s="40">
        <f t="shared" ref="K59" si="250">K57/K58</f>
        <v>9.6637426900584744E-2</v>
      </c>
      <c r="L59" s="40">
        <f t="shared" ref="L59" si="251">L57/L58</f>
        <v>9.5210449927431093E-2</v>
      </c>
      <c r="M59" s="40">
        <f t="shared" ref="M59" si="252">M57/M58</f>
        <v>9.8847262247838602E-2</v>
      </c>
      <c r="N59" s="40">
        <f t="shared" ref="N59" si="253">N57/N58</f>
        <v>0.17300435413642964</v>
      </c>
      <c r="O59" s="40">
        <f t="shared" ref="O59" si="254">O57/O58</f>
        <v>-1.8594436310395299E-2</v>
      </c>
      <c r="P59" s="40">
        <f t="shared" ref="P59" si="255">P57/P58</f>
        <v>0.15576923076923077</v>
      </c>
      <c r="Q59" s="40">
        <f t="shared" ref="Q59" si="256">Q57/Q58</f>
        <v>0.13123123123123126</v>
      </c>
      <c r="R59" s="40">
        <f t="shared" ref="R59" si="257">R57/R58</f>
        <v>0.10731343283582088</v>
      </c>
      <c r="S59" s="40">
        <f t="shared" ref="S59" si="258">S57/S58</f>
        <v>0.12234375000000001</v>
      </c>
      <c r="T59" s="40">
        <f t="shared" ref="T59" si="259">T57/T58</f>
        <v>-1.4851735015772869</v>
      </c>
      <c r="U59" s="40">
        <f t="shared" ref="U59" si="260">U57/U58</f>
        <v>0.15611285266457675</v>
      </c>
      <c r="V59" s="40">
        <f t="shared" ref="V59" si="261">V57/V58</f>
        <v>2.5223787167449139</v>
      </c>
      <c r="W59" s="40">
        <f t="shared" ref="W59" si="262">W57/W58</f>
        <v>0.1990726429675424</v>
      </c>
      <c r="X59" s="40">
        <f t="shared" ref="X59" si="263">X57/X58</f>
        <v>0.18312693498452004</v>
      </c>
      <c r="Y59" s="40">
        <f t="shared" ref="Y59" si="264">Y57/Y58</f>
        <v>0.19860681114551085</v>
      </c>
      <c r="Z59" s="40">
        <f t="shared" ref="Z59" si="265">Z57/Z58</f>
        <v>0.22581143740340034</v>
      </c>
      <c r="AA59" s="40">
        <f t="shared" ref="AA59" si="266">AA57/AA58</f>
        <v>0.24381846635367763</v>
      </c>
      <c r="AB59" s="40">
        <f t="shared" ref="AB59" si="267">AB57/AB58</f>
        <v>0.2065934065934065</v>
      </c>
      <c r="AC59" s="40">
        <f t="shared" ref="AC59" si="268">AC57/AC58</f>
        <v>0.23249999999999993</v>
      </c>
      <c r="AD59" s="40">
        <f t="shared" ref="AD59" si="269">AD57/AD58</f>
        <v>0.25023474178403754</v>
      </c>
      <c r="AE59" s="40">
        <f t="shared" ref="AE59" si="270">AE57/AE58</f>
        <v>0.37791798107255509</v>
      </c>
      <c r="AF59" s="40">
        <f t="shared" ref="AF59" si="271">AF57/AF58</f>
        <v>0.30775316455696194</v>
      </c>
      <c r="AG59" s="40">
        <f t="shared" ref="AG59" si="272">AG57/AG58</f>
        <v>0.27365930599369093</v>
      </c>
      <c r="AH59" s="40">
        <f t="shared" ref="AH59" si="273">AH57/AH58</f>
        <v>0.13428120063191162</v>
      </c>
      <c r="AI59" s="40">
        <f t="shared" ref="AI59" si="274">AI57/AI58</f>
        <v>0.29255150554675108</v>
      </c>
      <c r="AJ59" s="40">
        <f t="shared" ref="AJ59" si="275">AJ57/AJ58</f>
        <v>0.45294117647058829</v>
      </c>
      <c r="AK59" s="40">
        <f t="shared" ref="AK59" si="276">AK57/AK58</f>
        <v>0.36092503987240832</v>
      </c>
      <c r="AL59" s="40">
        <f t="shared" ref="AL59" si="277">AL57/AL58</f>
        <v>7.3543436026125015E-17</v>
      </c>
      <c r="AM59" s="40">
        <f t="shared" ref="AM59" si="278">AM57/AM58</f>
        <v>0.38798076923076924</v>
      </c>
      <c r="AN59" s="40">
        <f t="shared" ref="AN59" si="279">AN57/AN58</f>
        <v>0.37612179487179503</v>
      </c>
      <c r="AO59" s="40">
        <f t="shared" ref="AO59" si="280">AO57/AO58</f>
        <v>0.41584000000000004</v>
      </c>
      <c r="AP59" s="40">
        <f t="shared" ref="AP59" si="281">AP57/AP58</f>
        <v>0.43327999999999972</v>
      </c>
      <c r="AQ59" s="40">
        <f t="shared" ref="AQ59:BL59" si="282">AQ57/AQ58</f>
        <v>0.49727825808517445</v>
      </c>
      <c r="AR59" s="40">
        <f t="shared" si="282"/>
        <v>-0.19651781396098672</v>
      </c>
      <c r="AS59" s="40">
        <f t="shared" si="282"/>
        <v>0.52274553930236312</v>
      </c>
      <c r="AT59" s="40">
        <f t="shared" si="282"/>
        <v>0.49710889816896919</v>
      </c>
      <c r="AU59" s="40">
        <f t="shared" si="282"/>
        <v>0.54268292682926822</v>
      </c>
      <c r="AV59" s="40">
        <f t="shared" si="282"/>
        <v>0.78659810380845274</v>
      </c>
      <c r="AW59" s="40">
        <f t="shared" si="282"/>
        <v>0.54538165490699164</v>
      </c>
      <c r="AX59" s="40">
        <f t="shared" si="282"/>
        <v>0.5381036419059837</v>
      </c>
      <c r="AY59" s="40">
        <f t="shared" si="282"/>
        <v>0.6005465359266996</v>
      </c>
      <c r="AZ59" s="40">
        <f t="shared" si="282"/>
        <v>0.65453374134321141</v>
      </c>
      <c r="BA59" s="40">
        <f t="shared" si="282"/>
        <v>0.5542110358180059</v>
      </c>
      <c r="BB59" s="40">
        <f t="shared" si="282"/>
        <v>0.64361873990306884</v>
      </c>
      <c r="BC59" s="40">
        <f t="shared" si="282"/>
        <v>0.5604938271604939</v>
      </c>
      <c r="BD59" s="40">
        <f t="shared" si="282"/>
        <v>0.50601417037403207</v>
      </c>
      <c r="BE59" s="40">
        <f t="shared" si="282"/>
        <v>0.63410214168039503</v>
      </c>
      <c r="BF59" s="40">
        <f t="shared" si="282"/>
        <v>0.60474699192352033</v>
      </c>
      <c r="BG59" s="40">
        <f t="shared" si="282"/>
        <v>0.58494015957446821</v>
      </c>
      <c r="BH59" s="40">
        <f t="shared" si="282"/>
        <v>0.60837070254110592</v>
      </c>
      <c r="BI59" s="40">
        <f t="shared" si="282"/>
        <v>5.1396517079705299</v>
      </c>
      <c r="BJ59" s="40">
        <f t="shared" si="282"/>
        <v>0.64296469800903411</v>
      </c>
      <c r="BK59" s="40">
        <f t="shared" si="282"/>
        <v>0.60998466518998129</v>
      </c>
      <c r="BL59" s="40">
        <f t="shared" si="282"/>
        <v>0.56763202725724027</v>
      </c>
      <c r="BM59" s="40">
        <f>BM57/BM58</f>
        <v>0.49649392851034735</v>
      </c>
      <c r="CA59" s="40">
        <f t="shared" si="60"/>
        <v>0.32025595151611225</v>
      </c>
      <c r="CB59" s="40">
        <f t="shared" si="61"/>
        <v>0.34294372531812195</v>
      </c>
      <c r="CC59" s="40">
        <f t="shared" si="62"/>
        <v>0.4636994932122841</v>
      </c>
      <c r="CD59" s="40">
        <f t="shared" si="63"/>
        <v>0.37571945852588762</v>
      </c>
      <c r="CE59" s="40">
        <f t="shared" si="64"/>
        <v>1.3156618178322037</v>
      </c>
      <c r="CF59" s="40">
        <f t="shared" si="65"/>
        <v>0.80661782650097369</v>
      </c>
      <c r="CG59" s="40">
        <f t="shared" si="66"/>
        <v>0.93314661473112159</v>
      </c>
      <c r="CH59" s="40">
        <f t="shared" si="67"/>
        <v>1.0936116522551196</v>
      </c>
      <c r="CI59" s="40">
        <f t="shared" si="68"/>
        <v>1.1064177218897475</v>
      </c>
      <c r="CJ59" s="40">
        <f t="shared" si="69"/>
        <v>1.6132225641025639</v>
      </c>
      <c r="CK59" s="40">
        <f t="shared" si="70"/>
        <v>1.3206148815955201</v>
      </c>
      <c r="CL59" s="40">
        <f t="shared" si="71"/>
        <v>2.4127663274506963</v>
      </c>
      <c r="CM59" s="40">
        <f t="shared" si="72"/>
        <v>2.452910052990986</v>
      </c>
      <c r="CN59" s="40">
        <f t="shared" si="73"/>
        <v>2.3053571311384413</v>
      </c>
      <c r="CO59" s="40">
        <f t="shared" si="74"/>
        <v>6.9759272680951376</v>
      </c>
    </row>
    <row r="61" spans="2:155">
      <c r="B61" s="37" t="s">
        <v>123</v>
      </c>
      <c r="C61" s="72">
        <f t="shared" ref="C61:AP61" si="283">C40/C38</f>
        <v>0.71042584434654921</v>
      </c>
      <c r="D61" s="72">
        <f t="shared" si="283"/>
        <v>0.72508214676889371</v>
      </c>
      <c r="E61" s="72">
        <f t="shared" si="283"/>
        <v>0.72542275723703065</v>
      </c>
      <c r="F61" s="72">
        <f t="shared" si="283"/>
        <v>0.71075433231396534</v>
      </c>
      <c r="G61" s="72">
        <f t="shared" si="283"/>
        <v>0.71124845488257105</v>
      </c>
      <c r="H61" s="72">
        <f t="shared" si="283"/>
        <v>0.70361781076066787</v>
      </c>
      <c r="I61" s="72">
        <f t="shared" si="283"/>
        <v>0.69566270898958094</v>
      </c>
      <c r="J61" s="72">
        <f t="shared" si="283"/>
        <v>0.72198977219897731</v>
      </c>
      <c r="K61" s="72">
        <f t="shared" si="283"/>
        <v>0.72277874564459932</v>
      </c>
      <c r="L61" s="72">
        <f t="shared" si="283"/>
        <v>0.73070539419087133</v>
      </c>
      <c r="M61" s="72">
        <f t="shared" si="283"/>
        <v>0.75061397633400317</v>
      </c>
      <c r="N61" s="72">
        <f t="shared" si="283"/>
        <v>0.76062683643486784</v>
      </c>
      <c r="O61" s="72">
        <f t="shared" si="283"/>
        <v>0.75639218844372857</v>
      </c>
      <c r="P61" s="72">
        <f t="shared" si="283"/>
        <v>0.76102088167053361</v>
      </c>
      <c r="Q61" s="72">
        <f t="shared" si="283"/>
        <v>0.7413236481033092</v>
      </c>
      <c r="R61" s="72">
        <f t="shared" si="283"/>
        <v>0.73171641791044773</v>
      </c>
      <c r="S61" s="72">
        <f t="shared" si="283"/>
        <v>0.72071209800918834</v>
      </c>
      <c r="T61" s="72">
        <f t="shared" si="283"/>
        <v>0.73708920187793425</v>
      </c>
      <c r="U61" s="72">
        <f t="shared" si="283"/>
        <v>0.72324662495884096</v>
      </c>
      <c r="V61" s="72">
        <f t="shared" si="283"/>
        <v>0.74045307443365704</v>
      </c>
      <c r="W61" s="72">
        <f t="shared" si="283"/>
        <v>0.76960867355581908</v>
      </c>
      <c r="X61" s="72">
        <f t="shared" si="283"/>
        <v>0.74286640726329434</v>
      </c>
      <c r="Y61" s="72">
        <f t="shared" si="283"/>
        <v>0.76165718927701054</v>
      </c>
      <c r="Z61" s="72">
        <f t="shared" si="283"/>
        <v>0.7378930114736999</v>
      </c>
      <c r="AA61" s="72">
        <f t="shared" si="283"/>
        <v>0.74143123476265604</v>
      </c>
      <c r="AB61" s="72">
        <f t="shared" si="283"/>
        <v>0.73330699328328719</v>
      </c>
      <c r="AC61" s="72">
        <f t="shared" si="283"/>
        <v>0.72761698674601027</v>
      </c>
      <c r="AD61" s="72">
        <f t="shared" si="283"/>
        <v>0.72228735183014192</v>
      </c>
      <c r="AE61" s="72">
        <f t="shared" si="283"/>
        <v>0.75597057159026593</v>
      </c>
      <c r="AF61" s="72">
        <f t="shared" si="283"/>
        <v>0.74922784509384643</v>
      </c>
      <c r="AG61" s="72">
        <f t="shared" si="283"/>
        <v>0.74035301278149734</v>
      </c>
      <c r="AH61" s="72">
        <f t="shared" si="283"/>
        <v>0.73517163759144633</v>
      </c>
      <c r="AI61" s="72">
        <f t="shared" si="283"/>
        <v>0.73893607510058112</v>
      </c>
      <c r="AJ61" s="72">
        <f t="shared" si="283"/>
        <v>0.73911200593408921</v>
      </c>
      <c r="AK61" s="72">
        <f t="shared" si="283"/>
        <v>0.75193028899183767</v>
      </c>
      <c r="AL61" s="72">
        <f t="shared" si="283"/>
        <v>0.75994681395110975</v>
      </c>
      <c r="AM61" s="72">
        <f t="shared" si="283"/>
        <v>0.76656596173212488</v>
      </c>
      <c r="AN61" s="72">
        <f t="shared" si="283"/>
        <v>0.72030545588370598</v>
      </c>
      <c r="AO61" s="72">
        <f t="shared" si="283"/>
        <v>0.73272394881170022</v>
      </c>
      <c r="AP61" s="72">
        <f t="shared" si="283"/>
        <v>0.75623882122476782</v>
      </c>
      <c r="AQ61" s="72">
        <f t="shared" ref="AQ61:BL61" si="284">AQ40/AQ38</f>
        <v>0.7651280233897404</v>
      </c>
      <c r="AR61" s="72">
        <f t="shared" si="284"/>
        <v>0.74248648648648641</v>
      </c>
      <c r="AS61" s="72">
        <f t="shared" si="284"/>
        <v>0.75370321675869933</v>
      </c>
      <c r="AT61" s="72">
        <f t="shared" si="284"/>
        <v>0.75136359822102883</v>
      </c>
      <c r="AU61" s="72">
        <f t="shared" si="284"/>
        <v>0.75883610060825246</v>
      </c>
      <c r="AV61" s="72">
        <f t="shared" si="284"/>
        <v>0.75704941860465125</v>
      </c>
      <c r="AW61" s="72">
        <f t="shared" si="284"/>
        <v>0.76209738971149443</v>
      </c>
      <c r="AX61" s="72">
        <f t="shared" si="284"/>
        <v>0.767240730991953</v>
      </c>
      <c r="AY61" s="72">
        <f t="shared" si="284"/>
        <v>0.77684163435729203</v>
      </c>
      <c r="AZ61" s="72">
        <f t="shared" si="284"/>
        <v>0.80391585996069592</v>
      </c>
      <c r="BA61" s="72">
        <f t="shared" si="284"/>
        <v>0.80758150113722516</v>
      </c>
      <c r="BB61" s="72">
        <f t="shared" si="284"/>
        <v>0.80872209448935684</v>
      </c>
      <c r="BC61" s="72">
        <f t="shared" si="284"/>
        <v>0.77425322006029051</v>
      </c>
      <c r="BD61" s="72">
        <f t="shared" si="284"/>
        <v>0.77584629460201282</v>
      </c>
      <c r="BE61" s="72">
        <f t="shared" si="284"/>
        <v>0.76338712944830855</v>
      </c>
      <c r="BF61" s="72">
        <f t="shared" si="284"/>
        <v>0.76735545270842831</v>
      </c>
      <c r="BG61" s="72">
        <f t="shared" si="284"/>
        <v>0.78426949394691337</v>
      </c>
      <c r="BH61" s="72">
        <f t="shared" si="284"/>
        <v>0.79881700014604939</v>
      </c>
      <c r="BI61" s="72">
        <f t="shared" si="284"/>
        <v>0.80589190785587728</v>
      </c>
      <c r="BJ61" s="72">
        <f t="shared" si="284"/>
        <v>0.78914706306826377</v>
      </c>
      <c r="BK61" s="72">
        <f t="shared" si="284"/>
        <v>0.78650810504707291</v>
      </c>
      <c r="BL61" s="72">
        <f t="shared" si="284"/>
        <v>0.7752251664273595</v>
      </c>
      <c r="BM61" s="72">
        <f>BM40/BM38</f>
        <v>0.77773485287489541</v>
      </c>
      <c r="CA61" s="72">
        <f t="shared" ref="CA61:CO61" si="285">CA40/CA38</f>
        <v>0.71782999308914985</v>
      </c>
      <c r="CB61" s="72">
        <f t="shared" si="285"/>
        <v>0.70820922197068981</v>
      </c>
      <c r="CC61" s="72">
        <f t="shared" si="285"/>
        <v>0.74152453148031161</v>
      </c>
      <c r="CD61" s="72">
        <f t="shared" si="285"/>
        <v>0.74744561231972628</v>
      </c>
      <c r="CE61" s="72">
        <f t="shared" si="285"/>
        <v>0.73068147574153008</v>
      </c>
      <c r="CF61" s="72">
        <f t="shared" si="285"/>
        <v>0.75249629065244417</v>
      </c>
      <c r="CG61" s="72">
        <f t="shared" si="285"/>
        <v>0.7309444275736412</v>
      </c>
      <c r="CH61" s="72">
        <f t="shared" si="285"/>
        <v>0.74520420341745985</v>
      </c>
      <c r="CI61" s="72">
        <f t="shared" si="285"/>
        <v>0.74766304931771776</v>
      </c>
      <c r="CJ61" s="72">
        <f t="shared" si="285"/>
        <v>0.74369825206991724</v>
      </c>
      <c r="CK61" s="72">
        <f t="shared" si="285"/>
        <v>0.75364202174953843</v>
      </c>
      <c r="CL61" s="72">
        <f t="shared" si="285"/>
        <v>0.7613186813186813</v>
      </c>
      <c r="CM61" s="72">
        <f t="shared" si="285"/>
        <v>0.79927170035671813</v>
      </c>
      <c r="CN61" s="72">
        <f t="shared" si="285"/>
        <v>0.77021715960564896</v>
      </c>
      <c r="CO61" s="72">
        <f t="shared" si="285"/>
        <v>0.79455832337531018</v>
      </c>
    </row>
    <row r="62" spans="2:155">
      <c r="B62" s="37" t="s">
        <v>125</v>
      </c>
      <c r="C62" s="72">
        <f t="shared" ref="C62:AP62" si="286">C41/C38</f>
        <v>0</v>
      </c>
      <c r="D62" s="72">
        <f t="shared" si="286"/>
        <v>0</v>
      </c>
      <c r="E62" s="72">
        <f t="shared" si="286"/>
        <v>0</v>
      </c>
      <c r="F62" s="72">
        <f t="shared" si="286"/>
        <v>0</v>
      </c>
      <c r="G62" s="72">
        <f t="shared" si="286"/>
        <v>0</v>
      </c>
      <c r="H62" s="72">
        <f t="shared" si="286"/>
        <v>0</v>
      </c>
      <c r="I62" s="72">
        <f t="shared" si="286"/>
        <v>0</v>
      </c>
      <c r="J62" s="72">
        <f t="shared" si="286"/>
        <v>0</v>
      </c>
      <c r="K62" s="72">
        <f t="shared" si="286"/>
        <v>0</v>
      </c>
      <c r="L62" s="72">
        <f t="shared" si="286"/>
        <v>0</v>
      </c>
      <c r="M62" s="72">
        <f t="shared" si="286"/>
        <v>0</v>
      </c>
      <c r="N62" s="72">
        <f t="shared" si="286"/>
        <v>0</v>
      </c>
      <c r="O62" s="72">
        <f t="shared" si="286"/>
        <v>0</v>
      </c>
      <c r="P62" s="72">
        <f t="shared" si="286"/>
        <v>0</v>
      </c>
      <c r="Q62" s="72">
        <f t="shared" si="286"/>
        <v>0</v>
      </c>
      <c r="R62" s="72">
        <f t="shared" si="286"/>
        <v>0</v>
      </c>
      <c r="S62" s="72">
        <f t="shared" si="286"/>
        <v>0</v>
      </c>
      <c r="T62" s="72">
        <f t="shared" si="286"/>
        <v>0</v>
      </c>
      <c r="U62" s="72">
        <f t="shared" si="286"/>
        <v>0</v>
      </c>
      <c r="V62" s="72">
        <f t="shared" si="286"/>
        <v>0</v>
      </c>
      <c r="W62" s="72">
        <f t="shared" si="286"/>
        <v>0</v>
      </c>
      <c r="X62" s="72">
        <f t="shared" si="286"/>
        <v>0</v>
      </c>
      <c r="Y62" s="72">
        <f t="shared" si="286"/>
        <v>0</v>
      </c>
      <c r="Z62" s="72">
        <f t="shared" si="286"/>
        <v>0</v>
      </c>
      <c r="AA62" s="72">
        <f t="shared" si="286"/>
        <v>0</v>
      </c>
      <c r="AB62" s="72">
        <f t="shared" si="286"/>
        <v>0</v>
      </c>
      <c r="AC62" s="72">
        <f t="shared" si="286"/>
        <v>0</v>
      </c>
      <c r="AD62" s="72">
        <f t="shared" si="286"/>
        <v>0</v>
      </c>
      <c r="AE62" s="72">
        <f t="shared" si="286"/>
        <v>0</v>
      </c>
      <c r="AF62" s="72">
        <f t="shared" si="286"/>
        <v>0</v>
      </c>
      <c r="AG62" s="72">
        <f t="shared" si="286"/>
        <v>0</v>
      </c>
      <c r="AH62" s="72">
        <f t="shared" si="286"/>
        <v>0</v>
      </c>
      <c r="AI62" s="72">
        <f t="shared" si="286"/>
        <v>0</v>
      </c>
      <c r="AJ62" s="72">
        <f t="shared" si="286"/>
        <v>0</v>
      </c>
      <c r="AK62" s="72">
        <f t="shared" si="286"/>
        <v>0</v>
      </c>
      <c r="AL62" s="72">
        <f t="shared" si="286"/>
        <v>0</v>
      </c>
      <c r="AM62" s="72">
        <f t="shared" si="286"/>
        <v>0</v>
      </c>
      <c r="AN62" s="72">
        <f t="shared" si="286"/>
        <v>0</v>
      </c>
      <c r="AO62" s="72">
        <f t="shared" si="286"/>
        <v>0</v>
      </c>
      <c r="AP62" s="72">
        <f t="shared" si="286"/>
        <v>0</v>
      </c>
      <c r="AQ62" s="72">
        <f t="shared" ref="AQ62:BL62" si="287">AQ41/AQ38</f>
        <v>0.27270310977230444</v>
      </c>
      <c r="AR62" s="72">
        <f t="shared" si="287"/>
        <v>0.29718918918918918</v>
      </c>
      <c r="AS62" s="72">
        <f t="shared" si="287"/>
        <v>0.26926110965027605</v>
      </c>
      <c r="AT62" s="72">
        <f t="shared" si="287"/>
        <v>0.28404799865738017</v>
      </c>
      <c r="AU62" s="72">
        <f t="shared" si="287"/>
        <v>0.27190530987999345</v>
      </c>
      <c r="AV62" s="72">
        <f t="shared" si="287"/>
        <v>0.27216569767441862</v>
      </c>
      <c r="AW62" s="72">
        <f t="shared" si="287"/>
        <v>0.27812547702640816</v>
      </c>
      <c r="AX62" s="72">
        <f t="shared" si="287"/>
        <v>0.31879371286756425</v>
      </c>
      <c r="AY62" s="72">
        <f t="shared" si="287"/>
        <v>0.27609603340292282</v>
      </c>
      <c r="AZ62" s="72">
        <f t="shared" si="287"/>
        <v>0.29769269961423689</v>
      </c>
      <c r="BA62" s="72">
        <f t="shared" si="287"/>
        <v>0.28605003790750572</v>
      </c>
      <c r="BB62" s="72">
        <f t="shared" si="287"/>
        <v>0.3048283023066084</v>
      </c>
      <c r="BC62" s="72">
        <f t="shared" si="287"/>
        <v>0.29891751164702657</v>
      </c>
      <c r="BD62" s="72">
        <f t="shared" si="287"/>
        <v>0.30629983008757022</v>
      </c>
      <c r="BE62" s="72">
        <f t="shared" si="287"/>
        <v>0.29684651225606057</v>
      </c>
      <c r="BF62" s="72">
        <f t="shared" si="287"/>
        <v>0.31288703474349783</v>
      </c>
      <c r="BG62" s="72">
        <f t="shared" si="287"/>
        <v>0.32212948341980602</v>
      </c>
      <c r="BH62" s="72">
        <f t="shared" si="287"/>
        <v>0.32678545348327737</v>
      </c>
      <c r="BI62" s="72">
        <f t="shared" si="287"/>
        <v>0.3111340815121087</v>
      </c>
      <c r="BJ62" s="72">
        <f t="shared" si="287"/>
        <v>0.35495742531389812</v>
      </c>
      <c r="BK62" s="72">
        <f t="shared" si="287"/>
        <v>0.32965243859276561</v>
      </c>
      <c r="BL62" s="72">
        <f t="shared" si="287"/>
        <v>0.32763346821563766</v>
      </c>
      <c r="BM62" s="72">
        <f>BM41/BM38</f>
        <v>0.33133732534930138</v>
      </c>
      <c r="CA62" s="72">
        <f t="shared" ref="CA62:CO62" si="288">CA41/CA38</f>
        <v>0</v>
      </c>
      <c r="CB62" s="72">
        <f t="shared" si="288"/>
        <v>0</v>
      </c>
      <c r="CC62" s="72">
        <f t="shared" si="288"/>
        <v>0</v>
      </c>
      <c r="CD62" s="72">
        <f t="shared" si="288"/>
        <v>0</v>
      </c>
      <c r="CE62" s="72">
        <f t="shared" si="288"/>
        <v>0</v>
      </c>
      <c r="CF62" s="72">
        <f t="shared" si="288"/>
        <v>0</v>
      </c>
      <c r="CG62" s="72">
        <f t="shared" si="288"/>
        <v>0</v>
      </c>
      <c r="CH62" s="72">
        <f t="shared" si="288"/>
        <v>0</v>
      </c>
      <c r="CI62" s="72">
        <f t="shared" si="288"/>
        <v>0</v>
      </c>
      <c r="CJ62" s="72">
        <f t="shared" si="288"/>
        <v>0</v>
      </c>
      <c r="CK62" s="72">
        <f t="shared" si="288"/>
        <v>0.28005380388938284</v>
      </c>
      <c r="CL62" s="72">
        <f t="shared" si="288"/>
        <v>0.28544672718585762</v>
      </c>
      <c r="CM62" s="72">
        <f t="shared" si="288"/>
        <v>0.29124554102259215</v>
      </c>
      <c r="CN62" s="72">
        <f t="shared" si="288"/>
        <v>0.30385691446842528</v>
      </c>
      <c r="CO62" s="72">
        <f t="shared" si="288"/>
        <v>0.32892729111131541</v>
      </c>
    </row>
    <row r="63" spans="2:155">
      <c r="B63" s="37" t="s">
        <v>124</v>
      </c>
      <c r="C63" s="72">
        <f t="shared" ref="C63:AP63" si="289">C42/C38</f>
        <v>0</v>
      </c>
      <c r="D63" s="72">
        <f t="shared" si="289"/>
        <v>0</v>
      </c>
      <c r="E63" s="72">
        <f t="shared" si="289"/>
        <v>0</v>
      </c>
      <c r="F63" s="72">
        <f t="shared" si="289"/>
        <v>0</v>
      </c>
      <c r="G63" s="72">
        <f t="shared" si="289"/>
        <v>0</v>
      </c>
      <c r="H63" s="72">
        <f t="shared" si="289"/>
        <v>0</v>
      </c>
      <c r="I63" s="72">
        <f t="shared" si="289"/>
        <v>0</v>
      </c>
      <c r="J63" s="72">
        <f t="shared" si="289"/>
        <v>0</v>
      </c>
      <c r="K63" s="72">
        <f t="shared" si="289"/>
        <v>0</v>
      </c>
      <c r="L63" s="72">
        <f t="shared" si="289"/>
        <v>0</v>
      </c>
      <c r="M63" s="72">
        <f t="shared" si="289"/>
        <v>0</v>
      </c>
      <c r="N63" s="72">
        <f t="shared" si="289"/>
        <v>0</v>
      </c>
      <c r="O63" s="72">
        <f t="shared" si="289"/>
        <v>0</v>
      </c>
      <c r="P63" s="72">
        <f t="shared" si="289"/>
        <v>0</v>
      </c>
      <c r="Q63" s="72">
        <f t="shared" si="289"/>
        <v>0</v>
      </c>
      <c r="R63" s="72">
        <f t="shared" si="289"/>
        <v>0</v>
      </c>
      <c r="S63" s="72">
        <f t="shared" si="289"/>
        <v>0</v>
      </c>
      <c r="T63" s="72">
        <f t="shared" si="289"/>
        <v>0</v>
      </c>
      <c r="U63" s="72">
        <f t="shared" si="289"/>
        <v>0</v>
      </c>
      <c r="V63" s="72">
        <f t="shared" si="289"/>
        <v>0</v>
      </c>
      <c r="W63" s="72">
        <f t="shared" si="289"/>
        <v>0</v>
      </c>
      <c r="X63" s="72">
        <f t="shared" si="289"/>
        <v>0</v>
      </c>
      <c r="Y63" s="72">
        <f t="shared" si="289"/>
        <v>0</v>
      </c>
      <c r="Z63" s="72">
        <f t="shared" si="289"/>
        <v>0</v>
      </c>
      <c r="AA63" s="72">
        <f t="shared" si="289"/>
        <v>0</v>
      </c>
      <c r="AB63" s="72">
        <f t="shared" si="289"/>
        <v>0</v>
      </c>
      <c r="AC63" s="72">
        <f t="shared" si="289"/>
        <v>0</v>
      </c>
      <c r="AD63" s="72">
        <f t="shared" si="289"/>
        <v>0</v>
      </c>
      <c r="AE63" s="72">
        <f t="shared" si="289"/>
        <v>0</v>
      </c>
      <c r="AF63" s="72">
        <f t="shared" si="289"/>
        <v>0</v>
      </c>
      <c r="AG63" s="72">
        <f t="shared" si="289"/>
        <v>0</v>
      </c>
      <c r="AH63" s="72">
        <f t="shared" si="289"/>
        <v>0</v>
      </c>
      <c r="AI63" s="72">
        <f t="shared" si="289"/>
        <v>0</v>
      </c>
      <c r="AJ63" s="72">
        <f t="shared" si="289"/>
        <v>0</v>
      </c>
      <c r="AK63" s="72">
        <f t="shared" si="289"/>
        <v>0</v>
      </c>
      <c r="AL63" s="72">
        <f t="shared" si="289"/>
        <v>0</v>
      </c>
      <c r="AM63" s="72">
        <f t="shared" si="289"/>
        <v>0</v>
      </c>
      <c r="AN63" s="72">
        <f t="shared" si="289"/>
        <v>0</v>
      </c>
      <c r="AO63" s="72">
        <f t="shared" si="289"/>
        <v>0</v>
      </c>
      <c r="AP63" s="72">
        <f t="shared" si="289"/>
        <v>0</v>
      </c>
      <c r="AQ63" s="72">
        <f t="shared" ref="AQ63:BL63" si="290">AQ42/AQ38</f>
        <v>0.16603171790555507</v>
      </c>
      <c r="AR63" s="72">
        <f t="shared" si="290"/>
        <v>0.19686486486486485</v>
      </c>
      <c r="AS63" s="72">
        <f t="shared" si="290"/>
        <v>0.1713559470593391</v>
      </c>
      <c r="AT63" s="72">
        <f t="shared" si="290"/>
        <v>0.16421918268020474</v>
      </c>
      <c r="AU63" s="72">
        <f t="shared" si="290"/>
        <v>0.17014630938681574</v>
      </c>
      <c r="AV63" s="72">
        <f t="shared" si="290"/>
        <v>0.16373546511627907</v>
      </c>
      <c r="AW63" s="72">
        <f t="shared" si="290"/>
        <v>0.18165165623568921</v>
      </c>
      <c r="AX63" s="72">
        <f t="shared" si="290"/>
        <v>0.1750770850567798</v>
      </c>
      <c r="AY63" s="72">
        <f t="shared" si="290"/>
        <v>0.17044437816880406</v>
      </c>
      <c r="AZ63" s="72">
        <f t="shared" si="290"/>
        <v>0.1825460368294636</v>
      </c>
      <c r="BA63" s="72">
        <f t="shared" si="290"/>
        <v>0.17710386656557997</v>
      </c>
      <c r="BB63" s="72">
        <f t="shared" si="290"/>
        <v>0.17221686568271163</v>
      </c>
      <c r="BC63" s="72">
        <f t="shared" si="290"/>
        <v>0.17895313784598518</v>
      </c>
      <c r="BD63" s="72">
        <f t="shared" si="290"/>
        <v>0.17664357600313685</v>
      </c>
      <c r="BE63" s="72">
        <f t="shared" si="290"/>
        <v>0.18252414072523468</v>
      </c>
      <c r="BF63" s="72">
        <f t="shared" si="290"/>
        <v>0.17599895704321752</v>
      </c>
      <c r="BG63" s="72">
        <f t="shared" si="290"/>
        <v>0.19302203173170918</v>
      </c>
      <c r="BH63" s="72">
        <f t="shared" si="290"/>
        <v>0.19848108660727329</v>
      </c>
      <c r="BI63" s="72">
        <f t="shared" si="290"/>
        <v>0.18709391612522153</v>
      </c>
      <c r="BJ63" s="72">
        <f t="shared" si="290"/>
        <v>0.19562707461394141</v>
      </c>
      <c r="BK63" s="72">
        <f t="shared" si="290"/>
        <v>0.18022226941318042</v>
      </c>
      <c r="BL63" s="72">
        <f t="shared" si="290"/>
        <v>0.18026367314971933</v>
      </c>
      <c r="BM63" s="72">
        <f>BM42/BM38</f>
        <v>0.1807353035863756</v>
      </c>
      <c r="CA63" s="72">
        <f t="shared" ref="CA63:CO63" si="291">CA42/CA38</f>
        <v>0</v>
      </c>
      <c r="CB63" s="72">
        <f t="shared" si="291"/>
        <v>0</v>
      </c>
      <c r="CC63" s="72">
        <f t="shared" si="291"/>
        <v>0</v>
      </c>
      <c r="CD63" s="72">
        <f t="shared" si="291"/>
        <v>0</v>
      </c>
      <c r="CE63" s="72">
        <f t="shared" si="291"/>
        <v>0</v>
      </c>
      <c r="CF63" s="72">
        <f t="shared" si="291"/>
        <v>0</v>
      </c>
      <c r="CG63" s="72">
        <f t="shared" si="291"/>
        <v>0</v>
      </c>
      <c r="CH63" s="72">
        <f t="shared" si="291"/>
        <v>0</v>
      </c>
      <c r="CI63" s="72">
        <f t="shared" si="291"/>
        <v>0</v>
      </c>
      <c r="CJ63" s="72">
        <f t="shared" si="291"/>
        <v>0</v>
      </c>
      <c r="CK63" s="72">
        <f t="shared" si="291"/>
        <v>0.17342635022684266</v>
      </c>
      <c r="CL63" s="72">
        <f t="shared" si="291"/>
        <v>0.17259436215957955</v>
      </c>
      <c r="CM63" s="72">
        <f t="shared" si="291"/>
        <v>0.17560939357907254</v>
      </c>
      <c r="CN63" s="72">
        <f t="shared" si="291"/>
        <v>0.17849054090061287</v>
      </c>
      <c r="CO63" s="72">
        <f t="shared" si="291"/>
        <v>0.19358396911480835</v>
      </c>
    </row>
    <row r="64" spans="2:155">
      <c r="B64" s="37" t="s">
        <v>126</v>
      </c>
      <c r="C64" s="72">
        <f t="shared" ref="C64:AP64" si="292">C49/C38</f>
        <v>0.18414096916299563</v>
      </c>
      <c r="D64" s="72">
        <f t="shared" si="292"/>
        <v>0.17880613362541062</v>
      </c>
      <c r="E64" s="72">
        <f t="shared" si="292"/>
        <v>0.18200057323015184</v>
      </c>
      <c r="F64" s="72">
        <f t="shared" si="292"/>
        <v>0.19928644240570845</v>
      </c>
      <c r="G64" s="72">
        <f t="shared" si="292"/>
        <v>0.19381953028430154</v>
      </c>
      <c r="H64" s="72">
        <f t="shared" si="292"/>
        <v>0.16535250463821888</v>
      </c>
      <c r="I64" s="72">
        <f t="shared" si="292"/>
        <v>0.14514174945480987</v>
      </c>
      <c r="J64" s="72">
        <f t="shared" si="292"/>
        <v>0.17131566713156676</v>
      </c>
      <c r="K64" s="72">
        <f t="shared" si="292"/>
        <v>0.18749999999999992</v>
      </c>
      <c r="L64" s="72">
        <f t="shared" si="292"/>
        <v>0.18423236514522823</v>
      </c>
      <c r="M64" s="72">
        <f t="shared" si="292"/>
        <v>0.20785889707524</v>
      </c>
      <c r="N64" s="72">
        <f t="shared" si="292"/>
        <v>0.26287952987267388</v>
      </c>
      <c r="O64" s="72">
        <f t="shared" si="292"/>
        <v>0.22609220857660561</v>
      </c>
      <c r="P64" s="72">
        <f t="shared" si="292"/>
        <v>0.24458623356535186</v>
      </c>
      <c r="Q64" s="72">
        <f t="shared" si="292"/>
        <v>0.2120661824051655</v>
      </c>
      <c r="R64" s="72">
        <f t="shared" si="292"/>
        <v>0.1841417910447761</v>
      </c>
      <c r="S64" s="72">
        <f t="shared" si="292"/>
        <v>0.16519908116385915</v>
      </c>
      <c r="T64" s="72">
        <f t="shared" si="292"/>
        <v>0.11980525126065038</v>
      </c>
      <c r="U64" s="72">
        <f t="shared" si="292"/>
        <v>0.20266710569641089</v>
      </c>
      <c r="V64" s="72">
        <f t="shared" si="292"/>
        <v>1.4307443365695793</v>
      </c>
      <c r="W64" s="72">
        <f t="shared" si="292"/>
        <v>0.27985769947484318</v>
      </c>
      <c r="X64" s="72">
        <f t="shared" si="292"/>
        <v>0.23508430609597916</v>
      </c>
      <c r="Y64" s="72">
        <f t="shared" si="292"/>
        <v>0.25312753858651504</v>
      </c>
      <c r="Z64" s="72">
        <f t="shared" si="292"/>
        <v>0.25286842497392348</v>
      </c>
      <c r="AA64" s="72">
        <f t="shared" si="292"/>
        <v>0.2720493331421196</v>
      </c>
      <c r="AB64" s="72">
        <f t="shared" si="292"/>
        <v>0.22586592914526532</v>
      </c>
      <c r="AC64" s="72">
        <f t="shared" si="292"/>
        <v>0.25547741411955638</v>
      </c>
      <c r="AD64" s="72">
        <f t="shared" si="292"/>
        <v>0.26195128305327603</v>
      </c>
      <c r="AE64" s="72">
        <f t="shared" si="292"/>
        <v>0.33763440860215049</v>
      </c>
      <c r="AF64" s="72">
        <f t="shared" si="292"/>
        <v>0.24922784509384649</v>
      </c>
      <c r="AG64" s="72">
        <f t="shared" si="292"/>
        <v>0.25989044430919056</v>
      </c>
      <c r="AH64" s="72">
        <f t="shared" si="292"/>
        <v>0.41395610579628594</v>
      </c>
      <c r="AI64" s="72">
        <f t="shared" si="292"/>
        <v>0.28218596334376395</v>
      </c>
      <c r="AJ64" s="72">
        <f t="shared" si="292"/>
        <v>0.26713998092614177</v>
      </c>
      <c r="AK64" s="72">
        <f t="shared" si="292"/>
        <v>0.27454224575336422</v>
      </c>
      <c r="AL64" s="72">
        <f t="shared" si="292"/>
        <v>-5.4208857522757021E-3</v>
      </c>
      <c r="AM64" s="72">
        <f t="shared" si="292"/>
        <v>0.27613293051359522</v>
      </c>
      <c r="AN64" s="72">
        <f t="shared" si="292"/>
        <v>0.24611279786548909</v>
      </c>
      <c r="AO64" s="72">
        <f t="shared" si="292"/>
        <v>0.26901279707495429</v>
      </c>
      <c r="AP64" s="72">
        <f t="shared" si="292"/>
        <v>0.26471339749595424</v>
      </c>
      <c r="AQ64" s="72">
        <f t="shared" ref="AQ64:BL64" si="293">AQ49/AQ38</f>
        <v>0.31726765305218391</v>
      </c>
      <c r="AR64" s="72">
        <f t="shared" si="293"/>
        <v>-0.18345945945945952</v>
      </c>
      <c r="AS64" s="72">
        <f t="shared" si="293"/>
        <v>0.31361206065386982</v>
      </c>
      <c r="AT64" s="72">
        <f t="shared" si="293"/>
        <v>0.29487287068893187</v>
      </c>
      <c r="AU64" s="72">
        <f t="shared" si="293"/>
        <v>0.3152227519316127</v>
      </c>
      <c r="AV64" s="72">
        <f t="shared" si="293"/>
        <v>0.39396802325581404</v>
      </c>
      <c r="AW64" s="72">
        <f t="shared" si="293"/>
        <v>0.29789345138146844</v>
      </c>
      <c r="AX64" s="72">
        <f t="shared" si="293"/>
        <v>0.28164247574640877</v>
      </c>
      <c r="AY64" s="72">
        <f t="shared" si="293"/>
        <v>0.32716969877721436</v>
      </c>
      <c r="AZ64" s="72">
        <f t="shared" si="293"/>
        <v>0.33444937768396538</v>
      </c>
      <c r="BA64" s="72">
        <f t="shared" si="293"/>
        <v>0.30507960576194093</v>
      </c>
      <c r="BB64" s="72">
        <f t="shared" si="293"/>
        <v>0.33212193132092244</v>
      </c>
      <c r="BC64" s="72">
        <f t="shared" si="293"/>
        <v>0.26610030145245278</v>
      </c>
      <c r="BD64" s="72">
        <f t="shared" si="293"/>
        <v>0.21382825774408576</v>
      </c>
      <c r="BE64" s="72">
        <f t="shared" si="293"/>
        <v>0.28253089337564985</v>
      </c>
      <c r="BF64" s="72">
        <f t="shared" si="293"/>
        <v>0.2608043804184863</v>
      </c>
      <c r="BG64" s="72">
        <f t="shared" si="293"/>
        <v>0.26242574629671417</v>
      </c>
      <c r="BH64" s="72">
        <f t="shared" si="293"/>
        <v>0.26763546078574552</v>
      </c>
      <c r="BI64" s="72">
        <f t="shared" si="293"/>
        <v>0.25886001181334922</v>
      </c>
      <c r="BJ64" s="72">
        <f t="shared" si="293"/>
        <v>0.22557367585510174</v>
      </c>
      <c r="BK64" s="72">
        <f t="shared" si="293"/>
        <v>0.27946485453387127</v>
      </c>
      <c r="BL64" s="72">
        <f t="shared" si="293"/>
        <v>0.26837227515990081</v>
      </c>
      <c r="BM64" s="72">
        <f>BM49/BM38</f>
        <v>0.19773356512780896</v>
      </c>
      <c r="CA64" s="72">
        <f t="shared" ref="CA64:CO64" si="294">CA49/CA38</f>
        <v>0.18638562543192808</v>
      </c>
      <c r="CB64" s="72">
        <f t="shared" si="294"/>
        <v>0.16877159537709996</v>
      </c>
      <c r="CC64" s="72">
        <f t="shared" si="294"/>
        <v>0.21172878500737</v>
      </c>
      <c r="CD64" s="72">
        <f t="shared" si="294"/>
        <v>0.21637741383524811</v>
      </c>
      <c r="CE64" s="72">
        <f t="shared" si="294"/>
        <v>0.50045202118042098</v>
      </c>
      <c r="CF64" s="72">
        <f t="shared" si="294"/>
        <v>0.25492240445923725</v>
      </c>
      <c r="CG64" s="72">
        <f t="shared" si="294"/>
        <v>0.25346695009616355</v>
      </c>
      <c r="CH64" s="72">
        <f t="shared" si="294"/>
        <v>0.31711932000116438</v>
      </c>
      <c r="CI64" s="72">
        <f t="shared" si="294"/>
        <v>0.20097775867626519</v>
      </c>
      <c r="CJ64" s="72">
        <f t="shared" si="294"/>
        <v>0.26375344986200555</v>
      </c>
      <c r="CK64" s="72">
        <f t="shared" si="294"/>
        <v>0.204637165720539</v>
      </c>
      <c r="CL64" s="72">
        <f t="shared" si="294"/>
        <v>0.32305781175346387</v>
      </c>
      <c r="CM64" s="72">
        <f t="shared" si="294"/>
        <v>0.32485508323424489</v>
      </c>
      <c r="CN64" s="72">
        <f t="shared" si="294"/>
        <v>0.25547895017319477</v>
      </c>
      <c r="CO64" s="72">
        <f t="shared" si="294"/>
        <v>0.25346079602904686</v>
      </c>
    </row>
    <row r="65" spans="2:104">
      <c r="B65" s="37" t="s">
        <v>127</v>
      </c>
      <c r="C65" s="72">
        <f t="shared" ref="C65:AP65" si="295">C54/C53</f>
        <v>0.29716193656093481</v>
      </c>
      <c r="D65" s="72">
        <f t="shared" si="295"/>
        <v>0.13862928348909667</v>
      </c>
      <c r="E65" s="72">
        <f t="shared" si="295"/>
        <v>0.29934210526315802</v>
      </c>
      <c r="F65" s="72">
        <f t="shared" si="295"/>
        <v>6.1413673232908472E-2</v>
      </c>
      <c r="G65" s="72">
        <f t="shared" si="295"/>
        <v>0.28670360110803333</v>
      </c>
      <c r="H65" s="72">
        <f t="shared" si="295"/>
        <v>0.21060171919770779</v>
      </c>
      <c r="I65" s="72">
        <f t="shared" si="295"/>
        <v>9.6463022508038537E-2</v>
      </c>
      <c r="J65" s="72">
        <f t="shared" si="295"/>
        <v>6.9796954314720799E-2</v>
      </c>
      <c r="K65" s="72">
        <f t="shared" si="295"/>
        <v>0.23672055427251742</v>
      </c>
      <c r="L65" s="72">
        <f t="shared" si="295"/>
        <v>0.25199543899657922</v>
      </c>
      <c r="M65" s="72">
        <f t="shared" si="295"/>
        <v>0.26077586206896552</v>
      </c>
      <c r="N65" s="72">
        <f t="shared" si="295"/>
        <v>0.20053655264922868</v>
      </c>
      <c r="O65" s="72">
        <f t="shared" si="295"/>
        <v>1.3735294117647054</v>
      </c>
      <c r="P65" s="72">
        <f t="shared" si="295"/>
        <v>0.20528301886792452</v>
      </c>
      <c r="Q65" s="72">
        <f t="shared" si="295"/>
        <v>0.20833333333333329</v>
      </c>
      <c r="R65" s="72">
        <f t="shared" si="295"/>
        <v>0.25952626158599384</v>
      </c>
      <c r="S65" s="72">
        <f t="shared" si="295"/>
        <v>0.17838405036726127</v>
      </c>
      <c r="T65" s="72">
        <f t="shared" si="295"/>
        <v>-0.39413680781758964</v>
      </c>
      <c r="U65" s="72">
        <f t="shared" si="295"/>
        <v>0.20700636942675166</v>
      </c>
      <c r="V65" s="72">
        <f t="shared" si="295"/>
        <v>1.4490981351268724E-2</v>
      </c>
      <c r="W65" s="72">
        <f t="shared" si="295"/>
        <v>0.23287671232876725</v>
      </c>
      <c r="X65" s="72">
        <f t="shared" si="295"/>
        <v>0.19959404600811914</v>
      </c>
      <c r="Y65" s="72">
        <f t="shared" si="295"/>
        <v>0.20261031696706028</v>
      </c>
      <c r="Z65" s="72">
        <f t="shared" si="295"/>
        <v>0.15255220417633408</v>
      </c>
      <c r="AA65" s="72">
        <f t="shared" si="295"/>
        <v>0.20550739418663946</v>
      </c>
      <c r="AB65" s="72">
        <f t="shared" si="295"/>
        <v>0.24367816091954031</v>
      </c>
      <c r="AC65" s="72">
        <f t="shared" si="295"/>
        <v>0.22741433021806856</v>
      </c>
      <c r="AD65" s="72">
        <f t="shared" si="295"/>
        <v>0.20763131813676905</v>
      </c>
      <c r="AE65" s="72">
        <f t="shared" si="295"/>
        <v>0.20924092409240927</v>
      </c>
      <c r="AF65" s="72">
        <f t="shared" si="295"/>
        <v>9.1121495327102828E-2</v>
      </c>
      <c r="AG65" s="72">
        <f t="shared" si="295"/>
        <v>0.19377323420074347</v>
      </c>
      <c r="AH65" s="72">
        <f t="shared" si="295"/>
        <v>0.79353898469759521</v>
      </c>
      <c r="AI65" s="72">
        <f t="shared" si="295"/>
        <v>0.2356107660455487</v>
      </c>
      <c r="AJ65" s="72">
        <f t="shared" si="295"/>
        <v>-0.12519747235387044</v>
      </c>
      <c r="AK65" s="72">
        <f t="shared" si="295"/>
        <v>9.1529506222400636E-2</v>
      </c>
      <c r="AL65" s="72">
        <f t="shared" si="295"/>
        <v>1.0000000000000053</v>
      </c>
      <c r="AM65" s="72">
        <f t="shared" si="295"/>
        <v>0.10465976331360946</v>
      </c>
      <c r="AN65" s="72">
        <f t="shared" si="295"/>
        <v>0.10997345468335225</v>
      </c>
      <c r="AO65" s="72">
        <f t="shared" si="295"/>
        <v>9.4109445799930275E-2</v>
      </c>
      <c r="AP65" s="72">
        <f t="shared" si="295"/>
        <v>0.11532179026461946</v>
      </c>
      <c r="AQ65" s="72">
        <f t="shared" ref="AQ65:BL65" si="296">AQ54/AQ53</f>
        <v>0.14787379972565159</v>
      </c>
      <c r="AR65" s="72">
        <f t="shared" si="296"/>
        <v>0.27526753864447079</v>
      </c>
      <c r="AS65" s="72">
        <f t="shared" si="296"/>
        <v>0.10732912434806476</v>
      </c>
      <c r="AT65" s="72">
        <f t="shared" si="296"/>
        <v>0.13086211738275758</v>
      </c>
      <c r="AU65" s="72">
        <f t="shared" si="296"/>
        <v>0.13126123811970203</v>
      </c>
      <c r="AV65" s="72">
        <f t="shared" si="296"/>
        <v>0.10265811182401464</v>
      </c>
      <c r="AW65" s="72">
        <f t="shared" si="296"/>
        <v>0.12995651061652597</v>
      </c>
      <c r="AX65" s="72">
        <f t="shared" si="296"/>
        <v>0.10892667375132856</v>
      </c>
      <c r="AY65" s="72">
        <f t="shared" si="296"/>
        <v>0.14331575326759921</v>
      </c>
      <c r="AZ65" s="72">
        <f t="shared" si="296"/>
        <v>0.12545728426942113</v>
      </c>
      <c r="BA65" s="72">
        <f t="shared" si="296"/>
        <v>0.1566412963417628</v>
      </c>
      <c r="BB65" s="72">
        <f t="shared" si="296"/>
        <v>0.13259307642064022</v>
      </c>
      <c r="BC65" s="72">
        <f t="shared" si="296"/>
        <v>0.14576016056196686</v>
      </c>
      <c r="BD65" s="72">
        <f t="shared" si="296"/>
        <v>9.7488921713441631E-2</v>
      </c>
      <c r="BE65" s="72">
        <f t="shared" si="296"/>
        <v>0.12656498975643074</v>
      </c>
      <c r="BF65" s="72">
        <f t="shared" si="296"/>
        <v>0.12331041024424952</v>
      </c>
      <c r="BG65" s="72">
        <f t="shared" si="296"/>
        <v>0.12473060344827581</v>
      </c>
      <c r="BH65" s="72">
        <f t="shared" si="296"/>
        <v>5.208333333333335E-2</v>
      </c>
      <c r="BI65" s="72">
        <f t="shared" si="296"/>
        <v>0.1010427010923535</v>
      </c>
      <c r="BJ65" s="72">
        <f t="shared" si="296"/>
        <v>0.11561138169700075</v>
      </c>
      <c r="BK65" s="72">
        <f t="shared" si="296"/>
        <v>0.16201889836367828</v>
      </c>
      <c r="BL65" s="72">
        <f t="shared" si="296"/>
        <v>0.16066966516741626</v>
      </c>
      <c r="BM65" s="72">
        <f>BM54/BM53</f>
        <v>0.16102181400688856</v>
      </c>
      <c r="CA65" s="72">
        <f t="shared" ref="CA65:CO65" si="297">CA54/CA53</f>
        <v>0.18510324483775817</v>
      </c>
      <c r="CB65" s="72">
        <f t="shared" si="297"/>
        <v>0.1657243816254417</v>
      </c>
      <c r="CC65" s="72">
        <f t="shared" si="297"/>
        <v>0.23234022104757326</v>
      </c>
      <c r="CD65" s="72">
        <f t="shared" si="297"/>
        <v>0.32647058823529412</v>
      </c>
      <c r="CE65" s="72">
        <f t="shared" si="297"/>
        <v>0.28187976291278577</v>
      </c>
      <c r="CF65" s="72">
        <f t="shared" si="297"/>
        <v>0.19645608628659475</v>
      </c>
      <c r="CG65" s="72">
        <f t="shared" si="297"/>
        <v>0.22027468933943758</v>
      </c>
      <c r="CH65" s="72">
        <f t="shared" si="297"/>
        <v>0.39452749366203338</v>
      </c>
      <c r="CI65" s="72">
        <f t="shared" si="297"/>
        <v>5.3333333333333337E-2</v>
      </c>
      <c r="CJ65" s="72">
        <f t="shared" si="297"/>
        <v>0.10611303344867357</v>
      </c>
      <c r="CK65" s="72">
        <f t="shared" si="297"/>
        <v>0.10177811715937599</v>
      </c>
      <c r="CL65" s="72">
        <f t="shared" si="297"/>
        <v>0.1168556489042947</v>
      </c>
      <c r="CM65" s="72">
        <f t="shared" si="297"/>
        <v>0.13890460563539667</v>
      </c>
      <c r="CN65" s="72">
        <f t="shared" si="297"/>
        <v>0.12433514798823603</v>
      </c>
      <c r="CO65" s="72">
        <f t="shared" si="297"/>
        <v>9.8249467088689341E-2</v>
      </c>
    </row>
    <row r="66" spans="2:104">
      <c r="B66" s="37" t="s">
        <v>128</v>
      </c>
      <c r="C66" s="72">
        <f t="shared" ref="C66:AP66" si="298">C57/C38</f>
        <v>0.12364170337738627</v>
      </c>
      <c r="D66" s="72">
        <f t="shared" si="298"/>
        <v>0.15142387732749168</v>
      </c>
      <c r="E66" s="72">
        <f t="shared" si="298"/>
        <v>0.12209802235597583</v>
      </c>
      <c r="F66" s="72">
        <f t="shared" si="298"/>
        <v>0.20642201834862384</v>
      </c>
      <c r="G66" s="72">
        <f t="shared" si="298"/>
        <v>0.12731767614338682</v>
      </c>
      <c r="H66" s="72">
        <f t="shared" si="298"/>
        <v>0.12778293135435989</v>
      </c>
      <c r="I66" s="72">
        <f t="shared" si="298"/>
        <v>0.13617639932154116</v>
      </c>
      <c r="J66" s="72">
        <f t="shared" si="298"/>
        <v>0.17038586703858674</v>
      </c>
      <c r="K66" s="72">
        <f t="shared" si="298"/>
        <v>0.14394599303135883</v>
      </c>
      <c r="L66" s="72">
        <f t="shared" si="298"/>
        <v>0.13609958506224071</v>
      </c>
      <c r="M66" s="72">
        <f t="shared" si="298"/>
        <v>0.1531591873185979</v>
      </c>
      <c r="N66" s="72">
        <f t="shared" si="298"/>
        <v>0.23349657198824686</v>
      </c>
      <c r="O66" s="72">
        <f t="shared" si="298"/>
        <v>-2.5568753774914414E-2</v>
      </c>
      <c r="P66" s="72">
        <f t="shared" si="298"/>
        <v>0.20359628770301622</v>
      </c>
      <c r="Q66" s="72">
        <f t="shared" si="298"/>
        <v>0.17635189669087978</v>
      </c>
      <c r="R66" s="72">
        <f t="shared" si="298"/>
        <v>0.13414179104477611</v>
      </c>
      <c r="S66" s="72">
        <f t="shared" si="298"/>
        <v>0.14988514548238902</v>
      </c>
      <c r="T66" s="72">
        <f t="shared" si="298"/>
        <v>-1.6372804729612238</v>
      </c>
      <c r="U66" s="72">
        <f t="shared" si="298"/>
        <v>0.16397760948304244</v>
      </c>
      <c r="V66" s="72">
        <f t="shared" si="298"/>
        <v>2.6080906148867311</v>
      </c>
      <c r="W66" s="72">
        <f t="shared" si="298"/>
        <v>0.21819413857360653</v>
      </c>
      <c r="X66" s="72">
        <f t="shared" si="298"/>
        <v>0.19179636835278852</v>
      </c>
      <c r="Y66" s="72">
        <f t="shared" si="298"/>
        <v>0.20844841592201463</v>
      </c>
      <c r="Z66" s="72">
        <f t="shared" si="298"/>
        <v>0.2177022798390702</v>
      </c>
      <c r="AA66" s="72">
        <f t="shared" si="298"/>
        <v>0.22343324250681201</v>
      </c>
      <c r="AB66" s="72">
        <f t="shared" si="298"/>
        <v>0.1733175293033056</v>
      </c>
      <c r="AC66" s="72">
        <f t="shared" si="298"/>
        <v>0.20124425209629423</v>
      </c>
      <c r="AD66" s="72">
        <f t="shared" si="298"/>
        <v>0.2082844861273935</v>
      </c>
      <c r="AE66" s="72">
        <f t="shared" si="298"/>
        <v>0.27119411431805313</v>
      </c>
      <c r="AF66" s="72">
        <f t="shared" si="298"/>
        <v>0.23105250653361839</v>
      </c>
      <c r="AG66" s="72">
        <f t="shared" si="298"/>
        <v>0.21119902617163733</v>
      </c>
      <c r="AH66" s="72">
        <f t="shared" si="298"/>
        <v>9.566685424873389E-2</v>
      </c>
      <c r="AI66" s="72">
        <f t="shared" si="298"/>
        <v>0.20630308448815371</v>
      </c>
      <c r="AJ66" s="72">
        <f t="shared" si="298"/>
        <v>0.3018967892338667</v>
      </c>
      <c r="AK66" s="72">
        <f t="shared" si="298"/>
        <v>0.24961394220163247</v>
      </c>
      <c r="AL66" s="72">
        <f t="shared" si="298"/>
        <v>4.7238700853438179E-17</v>
      </c>
      <c r="AM66" s="72">
        <f t="shared" si="298"/>
        <v>0.24380664652567979</v>
      </c>
      <c r="AN66" s="72">
        <f t="shared" si="298"/>
        <v>0.21593522863188894</v>
      </c>
      <c r="AO66" s="72">
        <f t="shared" si="298"/>
        <v>0.23756855575868377</v>
      </c>
      <c r="AP66" s="72">
        <f t="shared" si="298"/>
        <v>0.23064474916957659</v>
      </c>
      <c r="AQ66" s="72">
        <f t="shared" ref="AQ66:BL66" si="299">AQ57/AQ38</f>
        <v>0.27518383981571715</v>
      </c>
      <c r="AR66" s="72">
        <f t="shared" si="299"/>
        <v>-0.13178378378378383</v>
      </c>
      <c r="AS66" s="72">
        <f t="shared" si="299"/>
        <v>0.28503812779384702</v>
      </c>
      <c r="AT66" s="72">
        <f t="shared" si="299"/>
        <v>0.25971301502055899</v>
      </c>
      <c r="AU66" s="72">
        <f t="shared" si="299"/>
        <v>0.27798783494986029</v>
      </c>
      <c r="AV66" s="72">
        <f t="shared" si="299"/>
        <v>0.35574127906976755</v>
      </c>
      <c r="AW66" s="72">
        <f t="shared" si="299"/>
        <v>0.25957869027629366</v>
      </c>
      <c r="AX66" s="72">
        <f t="shared" si="299"/>
        <v>0.25223734676994786</v>
      </c>
      <c r="AY66" s="72">
        <f t="shared" si="299"/>
        <v>0.27855651655234109</v>
      </c>
      <c r="AZ66" s="72">
        <f t="shared" si="299"/>
        <v>0.29580027658490432</v>
      </c>
      <c r="BA66" s="72">
        <f t="shared" si="299"/>
        <v>0.26042456406368464</v>
      </c>
      <c r="BB66" s="72">
        <f t="shared" si="299"/>
        <v>0.29548320106801135</v>
      </c>
      <c r="BC66" s="72">
        <f t="shared" si="299"/>
        <v>0.23328309125787888</v>
      </c>
      <c r="BD66" s="72">
        <f t="shared" si="299"/>
        <v>0.20069271990589471</v>
      </c>
      <c r="BE66" s="72">
        <f t="shared" si="299"/>
        <v>0.25990951448443506</v>
      </c>
      <c r="BF66" s="72">
        <f t="shared" si="299"/>
        <v>0.23916302718206103</v>
      </c>
      <c r="BG66" s="72">
        <f t="shared" si="299"/>
        <v>0.26460636138055504</v>
      </c>
      <c r="BH66" s="72">
        <f t="shared" si="299"/>
        <v>0.26748941142106025</v>
      </c>
      <c r="BI66" s="72">
        <f t="shared" si="299"/>
        <v>2.2662433549911407</v>
      </c>
      <c r="BJ66" s="72">
        <f t="shared" si="299"/>
        <v>0.27731274354163638</v>
      </c>
      <c r="BK66" s="72">
        <f t="shared" si="299"/>
        <v>0.2534154456006229</v>
      </c>
      <c r="BL66" s="72">
        <f t="shared" si="299"/>
        <v>0.21746508288735156</v>
      </c>
      <c r="BM66" s="72">
        <f>BM57/BM38</f>
        <v>0.18691648960144233</v>
      </c>
      <c r="CA66" s="72">
        <f t="shared" ref="CA66:CO66" si="300">CA57/CA38</f>
        <v>0.1527297857636489</v>
      </c>
      <c r="CB66" s="72">
        <f t="shared" si="300"/>
        <v>0.14065292505659477</v>
      </c>
      <c r="CC66" s="72">
        <f t="shared" si="300"/>
        <v>0.16819330385344283</v>
      </c>
      <c r="CD66" s="72">
        <f t="shared" si="300"/>
        <v>0.12314837448056712</v>
      </c>
      <c r="CE66" s="72">
        <f t="shared" si="300"/>
        <v>0.36510396487149677</v>
      </c>
      <c r="CF66" s="72">
        <f t="shared" si="300"/>
        <v>0.20912700004010101</v>
      </c>
      <c r="CG66" s="72">
        <f t="shared" si="300"/>
        <v>0.20113371798765056</v>
      </c>
      <c r="CH66" s="72">
        <f t="shared" si="300"/>
        <v>0.20161266847145806</v>
      </c>
      <c r="CI66" s="72">
        <f t="shared" si="300"/>
        <v>0.18690233157838185</v>
      </c>
      <c r="CJ66" s="72">
        <f t="shared" si="300"/>
        <v>0.23171573137074516</v>
      </c>
      <c r="CK66" s="72">
        <f t="shared" si="300"/>
        <v>0.18772085812643921</v>
      </c>
      <c r="CL66" s="72">
        <f t="shared" si="300"/>
        <v>0.28728141423793591</v>
      </c>
      <c r="CM66" s="72">
        <f t="shared" si="300"/>
        <v>0.28275490487514854</v>
      </c>
      <c r="CN66" s="72">
        <f t="shared" si="300"/>
        <v>0.23304689581668001</v>
      </c>
      <c r="CO66" s="72">
        <f t="shared" si="300"/>
        <v>0.76696387535619071</v>
      </c>
    </row>
    <row r="68" spans="2:104">
      <c r="B68" s="1" t="s">
        <v>129</v>
      </c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>
        <v>3045.2</v>
      </c>
      <c r="BK68" s="70"/>
      <c r="BL68" s="70">
        <v>3272.8</v>
      </c>
      <c r="BM68" s="70">
        <v>2685.6</v>
      </c>
      <c r="CM68" s="1">
        <f>BB68</f>
        <v>0</v>
      </c>
      <c r="CN68" s="1">
        <f>BF68</f>
        <v>0</v>
      </c>
      <c r="CO68" s="1">
        <f>BJ68</f>
        <v>3045.2</v>
      </c>
    </row>
    <row r="69" spans="2:104">
      <c r="B69" s="1" t="s">
        <v>130</v>
      </c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>
        <v>930.7</v>
      </c>
      <c r="BK69" s="70"/>
      <c r="BL69" s="70">
        <v>789.4</v>
      </c>
      <c r="BM69" s="70">
        <v>1156.4000000000001</v>
      </c>
      <c r="CM69" s="1">
        <f t="shared" ref="CM69:CM84" si="301">BB69</f>
        <v>0</v>
      </c>
      <c r="CN69" s="1">
        <f t="shared" ref="CN69:CN84" si="302">BF69</f>
        <v>0</v>
      </c>
      <c r="CO69" s="1">
        <f t="shared" ref="CO69:CO84" si="303">BJ69</f>
        <v>930.7</v>
      </c>
    </row>
    <row r="70" spans="2:104">
      <c r="B70" s="1" t="s">
        <v>1512</v>
      </c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>
        <v>609.1</v>
      </c>
      <c r="BK70" s="70"/>
      <c r="BL70" s="70">
        <v>697</v>
      </c>
      <c r="BM70" s="70">
        <v>693.3</v>
      </c>
      <c r="CM70" s="1">
        <f t="shared" si="301"/>
        <v>0</v>
      </c>
      <c r="CN70" s="1">
        <f t="shared" si="302"/>
        <v>0</v>
      </c>
      <c r="CO70" s="1">
        <f t="shared" si="303"/>
        <v>609.1</v>
      </c>
      <c r="CQ70" s="51" t="s">
        <v>173</v>
      </c>
      <c r="CR70" s="52"/>
      <c r="CS70" s="52"/>
      <c r="CT70" s="51" t="s">
        <v>174</v>
      </c>
      <c r="CU70" s="52"/>
      <c r="CV70" s="53" t="s">
        <v>175</v>
      </c>
      <c r="CW70" s="52"/>
      <c r="CX70" s="54" t="s">
        <v>176</v>
      </c>
      <c r="CY70" s="55">
        <v>0.06</v>
      </c>
      <c r="CZ70" s="52"/>
    </row>
    <row r="71" spans="2:104" ht="13.5" customHeight="1">
      <c r="B71" s="1" t="s">
        <v>1513</v>
      </c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>
        <v>118.3</v>
      </c>
      <c r="BK71" s="70"/>
      <c r="BL71" s="70">
        <v>205.6</v>
      </c>
      <c r="BM71" s="70">
        <v>199.5</v>
      </c>
      <c r="CM71" s="1">
        <f t="shared" si="301"/>
        <v>0</v>
      </c>
      <c r="CN71" s="1">
        <f t="shared" si="302"/>
        <v>0</v>
      </c>
      <c r="CO71" s="1">
        <f t="shared" si="303"/>
        <v>118.3</v>
      </c>
      <c r="CQ71" s="52">
        <v>2025</v>
      </c>
      <c r="CR71" s="52"/>
      <c r="CS71" s="52">
        <v>2023</v>
      </c>
      <c r="CT71" s="52">
        <v>2024</v>
      </c>
      <c r="CU71" s="52"/>
      <c r="CV71" s="53" t="s">
        <v>177</v>
      </c>
      <c r="CW71" s="52"/>
      <c r="CX71" s="54" t="s">
        <v>178</v>
      </c>
      <c r="CY71" s="55">
        <v>2.5000000000000001E-2</v>
      </c>
      <c r="CZ71" s="52"/>
    </row>
    <row r="72" spans="2:104" ht="13.5" customHeight="1">
      <c r="B72" s="1" t="s">
        <v>1514</v>
      </c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>
        <v>1086.7</v>
      </c>
      <c r="BK72" s="70"/>
      <c r="BL72" s="70">
        <v>1141.7</v>
      </c>
      <c r="BM72" s="70">
        <v>1140.9000000000001</v>
      </c>
      <c r="CM72" s="1">
        <f t="shared" si="301"/>
        <v>0</v>
      </c>
      <c r="CN72" s="1">
        <f t="shared" si="302"/>
        <v>0</v>
      </c>
      <c r="CO72" s="1">
        <f t="shared" si="303"/>
        <v>1086.7</v>
      </c>
      <c r="CQ72" s="56" t="e">
        <f>AVERAGE(CP50)*(1-CP65)</f>
        <v>#DIV/0!</v>
      </c>
      <c r="CR72" s="52"/>
      <c r="CS72" s="57">
        <f>SUM(CN67:CN72)-CN83+CN73+CN76+CN75</f>
        <v>0</v>
      </c>
      <c r="CT72" s="57">
        <f>SUM(CO67:CO72)-CO83+CO73+CO76+CO75</f>
        <v>6234.9</v>
      </c>
      <c r="CU72" s="52"/>
      <c r="CV72" s="57">
        <f>AVERAGE(CS72:CT72)</f>
        <v>3117.45</v>
      </c>
      <c r="CW72" s="52"/>
      <c r="CX72" s="54" t="s">
        <v>179</v>
      </c>
      <c r="CY72" s="55">
        <v>4.3400000000000001E-2</v>
      </c>
      <c r="CZ72" s="52"/>
    </row>
    <row r="73" spans="2:104" ht="13.5" customHeight="1">
      <c r="B73" s="1" t="s">
        <v>1516</v>
      </c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>
        <v>121</v>
      </c>
      <c r="BK73" s="70"/>
      <c r="BL73" s="70">
        <v>110</v>
      </c>
      <c r="BM73" s="70">
        <v>125.2</v>
      </c>
      <c r="CM73" s="1">
        <f t="shared" si="301"/>
        <v>0</v>
      </c>
      <c r="CN73" s="1">
        <f t="shared" si="302"/>
        <v>0</v>
      </c>
      <c r="CO73" s="1">
        <f t="shared" si="303"/>
        <v>121</v>
      </c>
      <c r="CQ73" s="58" t="e">
        <f>CQ72/CV72</f>
        <v>#DIV/0!</v>
      </c>
      <c r="CR73" s="52"/>
      <c r="CS73" s="52"/>
      <c r="CT73" s="52"/>
      <c r="CU73" s="52"/>
      <c r="CV73" s="52"/>
      <c r="CW73" s="52"/>
      <c r="CX73" s="54" t="s">
        <v>180</v>
      </c>
      <c r="CY73" s="55">
        <f>13.4%-CY72</f>
        <v>9.0600000000000014E-2</v>
      </c>
      <c r="CZ73" s="52"/>
    </row>
    <row r="74" spans="2:104" ht="13.5" customHeight="1">
      <c r="B74" s="1" t="s">
        <v>1515</v>
      </c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>
        <v>347.6</v>
      </c>
      <c r="BK74" s="70"/>
      <c r="BL74" s="70">
        <v>314.39999999999998</v>
      </c>
      <c r="BM74" s="70">
        <v>323.39999999999998</v>
      </c>
      <c r="CM74" s="1">
        <f t="shared" si="301"/>
        <v>0</v>
      </c>
      <c r="CN74" s="1">
        <f t="shared" si="302"/>
        <v>0</v>
      </c>
      <c r="CO74" s="1">
        <f t="shared" si="303"/>
        <v>347.6</v>
      </c>
      <c r="CQ74" s="52"/>
      <c r="CR74" s="52"/>
      <c r="CS74" s="52"/>
      <c r="CT74" s="52"/>
      <c r="CU74" s="52"/>
      <c r="CV74" s="52"/>
      <c r="CW74" s="52"/>
      <c r="CX74" s="54" t="s">
        <v>181</v>
      </c>
      <c r="CY74" s="52">
        <f>'Notes | Quant Analysis'!K209</f>
        <v>1.07</v>
      </c>
      <c r="CZ74" s="52"/>
    </row>
    <row r="75" spans="2:104" ht="13.5" customHeight="1">
      <c r="B75" s="1" t="s">
        <v>1524</v>
      </c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/>
      <c r="BJ75" s="70">
        <v>26.8</v>
      </c>
      <c r="BK75" s="70"/>
      <c r="BL75" s="70">
        <v>46.3</v>
      </c>
      <c r="BM75" s="70">
        <v>34.6</v>
      </c>
      <c r="CM75" s="1">
        <f t="shared" si="301"/>
        <v>0</v>
      </c>
      <c r="CN75" s="1">
        <f t="shared" si="302"/>
        <v>0</v>
      </c>
      <c r="CO75" s="1">
        <f t="shared" si="303"/>
        <v>26.8</v>
      </c>
      <c r="CQ75" s="52"/>
      <c r="CR75" s="52"/>
      <c r="CS75" s="52"/>
      <c r="CT75" s="52"/>
      <c r="CU75" s="52"/>
      <c r="CV75" s="52"/>
      <c r="CW75" s="52"/>
      <c r="CX75" s="54" t="s">
        <v>182</v>
      </c>
      <c r="CY75" s="55">
        <f>+CY72+(CY73*CY74)</f>
        <v>0.14034200000000002</v>
      </c>
      <c r="CZ75" s="59"/>
    </row>
    <row r="76" spans="2:104" ht="13.5" customHeight="1">
      <c r="B76" s="1" t="s">
        <v>1517</v>
      </c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>
        <v>307.89999999999998</v>
      </c>
      <c r="BK76" s="70"/>
      <c r="BL76" s="70">
        <v>298.5</v>
      </c>
      <c r="BM76" s="70">
        <v>274.7</v>
      </c>
      <c r="CM76" s="1">
        <f t="shared" si="301"/>
        <v>0</v>
      </c>
      <c r="CN76" s="1">
        <f t="shared" si="302"/>
        <v>0</v>
      </c>
      <c r="CO76" s="1">
        <f t="shared" si="303"/>
        <v>307.89999999999998</v>
      </c>
      <c r="CQ76" s="59"/>
      <c r="CR76" s="59"/>
      <c r="CS76" s="59"/>
      <c r="CT76" s="59"/>
      <c r="CU76" s="59"/>
      <c r="CV76" s="59"/>
      <c r="CW76" s="59"/>
      <c r="CX76" s="54"/>
      <c r="CY76" s="52"/>
      <c r="CZ76" s="52"/>
    </row>
    <row r="77" spans="2:104" ht="13.5" customHeight="1">
      <c r="B77" s="1" t="s">
        <v>1518</v>
      </c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>
        <v>1686</v>
      </c>
      <c r="BK77" s="70"/>
      <c r="BL77" s="70">
        <v>1726.6</v>
      </c>
      <c r="BM77" s="70">
        <v>1743.3</v>
      </c>
      <c r="CM77" s="1">
        <f t="shared" si="301"/>
        <v>0</v>
      </c>
      <c r="CN77" s="1">
        <f t="shared" si="302"/>
        <v>0</v>
      </c>
      <c r="CO77" s="1">
        <f t="shared" si="303"/>
        <v>1686</v>
      </c>
      <c r="CQ77" s="52"/>
      <c r="CR77" s="52"/>
      <c r="CS77" s="52"/>
      <c r="CT77" s="52"/>
      <c r="CU77" s="52"/>
      <c r="CV77" s="52"/>
      <c r="CW77" s="52"/>
      <c r="CX77" s="54" t="s">
        <v>183</v>
      </c>
      <c r="CY77" s="57">
        <f>NPV(CY75,CP56:EM56)</f>
        <v>0</v>
      </c>
      <c r="CZ77" s="52"/>
    </row>
    <row r="78" spans="2:104" ht="13.5" customHeight="1">
      <c r="B78" s="1" t="s">
        <v>1519</v>
      </c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>
        <v>98.2</v>
      </c>
      <c r="BK78" s="70"/>
      <c r="BL78" s="70">
        <v>99</v>
      </c>
      <c r="BM78" s="70">
        <v>96.5</v>
      </c>
      <c r="CM78" s="1">
        <f t="shared" si="301"/>
        <v>0</v>
      </c>
      <c r="CN78" s="1">
        <f t="shared" si="302"/>
        <v>0</v>
      </c>
      <c r="CO78" s="1">
        <f t="shared" si="303"/>
        <v>98.2</v>
      </c>
      <c r="CQ78" s="52"/>
      <c r="CR78" s="52"/>
      <c r="CS78" s="52"/>
      <c r="CT78" s="52"/>
      <c r="CU78" s="52"/>
      <c r="CV78" s="52"/>
      <c r="CW78" s="52"/>
      <c r="CX78" s="54" t="s">
        <v>142</v>
      </c>
      <c r="CY78" s="57">
        <f>Main!C6</f>
        <v>580.29999999999995</v>
      </c>
      <c r="CZ78" s="60" t="s">
        <v>184</v>
      </c>
    </row>
    <row r="79" spans="2:104" ht="13.5" customHeight="1">
      <c r="B79" s="1" t="s">
        <v>1520</v>
      </c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0">
        <v>1776.7</v>
      </c>
      <c r="BK79" s="70"/>
      <c r="BL79" s="70">
        <v>1776.7</v>
      </c>
      <c r="BM79" s="70">
        <v>1768.5</v>
      </c>
      <c r="CM79" s="1">
        <f t="shared" si="301"/>
        <v>0</v>
      </c>
      <c r="CN79" s="1">
        <f t="shared" si="302"/>
        <v>0</v>
      </c>
      <c r="CO79" s="1">
        <f t="shared" si="303"/>
        <v>1776.7</v>
      </c>
      <c r="CQ79" s="52"/>
      <c r="CR79" s="52"/>
      <c r="CS79" s="52"/>
      <c r="CT79" s="52"/>
      <c r="CU79" s="52"/>
      <c r="CV79" s="52"/>
      <c r="CW79" s="52"/>
      <c r="CX79" s="54" t="s">
        <v>185</v>
      </c>
      <c r="CY79" s="61">
        <f>CY77/CY78</f>
        <v>0</v>
      </c>
      <c r="CZ79" s="51"/>
    </row>
    <row r="80" spans="2:104" ht="13.5" customHeight="1">
      <c r="B80" s="1" t="s">
        <v>1521</v>
      </c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/>
      <c r="BJ80" s="70">
        <v>1176.5999999999999</v>
      </c>
      <c r="BK80" s="70"/>
      <c r="BL80" s="70">
        <v>117.8</v>
      </c>
      <c r="BM80" s="70">
        <v>1130.8</v>
      </c>
      <c r="CM80" s="1">
        <f t="shared" si="301"/>
        <v>0</v>
      </c>
      <c r="CN80" s="1">
        <f t="shared" si="302"/>
        <v>0</v>
      </c>
      <c r="CO80" s="1">
        <f t="shared" si="303"/>
        <v>1176.5999999999999</v>
      </c>
      <c r="CQ80" s="52"/>
      <c r="CR80" s="52"/>
      <c r="CS80" s="52"/>
      <c r="CT80" s="52"/>
      <c r="CU80" s="52"/>
      <c r="CV80" s="52"/>
      <c r="CW80" s="52"/>
      <c r="CX80" s="54" t="s">
        <v>186</v>
      </c>
      <c r="CY80" s="61">
        <f>Main!C5</f>
        <v>86.1</v>
      </c>
      <c r="CZ80" s="62"/>
    </row>
    <row r="81" spans="2:155" ht="13.5" customHeight="1">
      <c r="B81" s="1" t="s">
        <v>1522</v>
      </c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>
        <v>992</v>
      </c>
      <c r="BK81" s="70"/>
      <c r="BL81" s="70">
        <v>1082.0999999999999</v>
      </c>
      <c r="BM81" s="70">
        <v>1099.9000000000001</v>
      </c>
      <c r="CM81" s="1">
        <f t="shared" si="301"/>
        <v>0</v>
      </c>
      <c r="CN81" s="1">
        <f t="shared" si="302"/>
        <v>0</v>
      </c>
      <c r="CO81" s="1">
        <f t="shared" si="303"/>
        <v>992</v>
      </c>
      <c r="CQ81" s="59"/>
      <c r="CR81" s="59"/>
      <c r="CS81" s="59"/>
      <c r="CT81" s="59"/>
      <c r="CU81" s="59"/>
      <c r="CV81" s="59"/>
      <c r="CW81" s="59"/>
      <c r="CX81" s="54" t="s">
        <v>187</v>
      </c>
      <c r="CY81" s="55">
        <f>CY79/CY80-1</f>
        <v>-1</v>
      </c>
      <c r="CZ81" s="63" t="str">
        <f>IF(CY81&gt;0,"Upside","Downside")</f>
        <v>Downside</v>
      </c>
    </row>
    <row r="82" spans="2:155" ht="13.5" customHeight="1">
      <c r="B82" s="1" t="s">
        <v>1523</v>
      </c>
      <c r="AY82" s="70"/>
      <c r="AZ82" s="70"/>
      <c r="BA82" s="70"/>
      <c r="BB82" s="70"/>
      <c r="BC82" s="70"/>
      <c r="BD82" s="70"/>
      <c r="BE82" s="70"/>
      <c r="BF82" s="70"/>
      <c r="BG82" s="70"/>
      <c r="BH82" s="70"/>
      <c r="BI82" s="70"/>
      <c r="BJ82" s="70">
        <v>721.6</v>
      </c>
      <c r="BK82" s="70"/>
      <c r="BL82" s="70">
        <v>743</v>
      </c>
      <c r="BM82" s="70">
        <v>784.8</v>
      </c>
      <c r="CM82" s="1">
        <f t="shared" si="301"/>
        <v>0</v>
      </c>
      <c r="CN82" s="1">
        <f t="shared" si="302"/>
        <v>0</v>
      </c>
      <c r="CO82" s="1">
        <f t="shared" si="303"/>
        <v>721.6</v>
      </c>
      <c r="CX82" s="74" t="str" cm="1">
        <f t="array" ref="CX82">_xlfn.IFS(CY81&gt;=25%,"Strong Buy",CY81&gt;=10.00001%,"Buy",AND(CY81&lt;=10%,CY81&gt;=-4.9999%),"Hold",AND(CY81&lt;=-5%,CY81&gt;=-14.999999%),"Sell",CY81&lt;=-15%,"Strong Sell")</f>
        <v>Strong Sell</v>
      </c>
      <c r="CY82" s="74"/>
    </row>
    <row r="83" spans="2:155" ht="13.5" customHeight="1">
      <c r="B83" s="1" t="s">
        <v>1525</v>
      </c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>
        <v>10.8</v>
      </c>
      <c r="BK83" s="70"/>
      <c r="BL83" s="70">
        <v>12.8</v>
      </c>
      <c r="BM83" s="70">
        <v>14.8</v>
      </c>
      <c r="CM83" s="1">
        <f t="shared" si="301"/>
        <v>0</v>
      </c>
      <c r="CN83" s="1">
        <f t="shared" si="302"/>
        <v>0</v>
      </c>
      <c r="CO83" s="1">
        <f t="shared" si="303"/>
        <v>10.8</v>
      </c>
    </row>
    <row r="84" spans="2:155" s="2" customFormat="1" ht="13.5" customHeight="1">
      <c r="B84" s="2" t="s">
        <v>1537</v>
      </c>
      <c r="AY84" s="71">
        <f>SUM(AY68:AY83)</f>
        <v>0</v>
      </c>
      <c r="AZ84" s="71">
        <f t="shared" ref="AZ84:BM84" si="304">SUM(AZ68:AZ83)</f>
        <v>0</v>
      </c>
      <c r="BA84" s="71">
        <f t="shared" si="304"/>
        <v>0</v>
      </c>
      <c r="BB84" s="71">
        <f t="shared" si="304"/>
        <v>0</v>
      </c>
      <c r="BC84" s="71">
        <f t="shared" si="304"/>
        <v>0</v>
      </c>
      <c r="BD84" s="71">
        <f t="shared" si="304"/>
        <v>0</v>
      </c>
      <c r="BE84" s="71">
        <f t="shared" si="304"/>
        <v>0</v>
      </c>
      <c r="BF84" s="71">
        <f t="shared" si="304"/>
        <v>0</v>
      </c>
      <c r="BG84" s="71">
        <f t="shared" si="304"/>
        <v>0</v>
      </c>
      <c r="BH84" s="71">
        <f t="shared" si="304"/>
        <v>0</v>
      </c>
      <c r="BI84" s="71">
        <f t="shared" si="304"/>
        <v>0</v>
      </c>
      <c r="BJ84" s="71">
        <f t="shared" si="304"/>
        <v>13055.2</v>
      </c>
      <c r="BK84" s="71">
        <f t="shared" si="304"/>
        <v>0</v>
      </c>
      <c r="BL84" s="71">
        <f t="shared" si="304"/>
        <v>12433.7</v>
      </c>
      <c r="BM84" s="71">
        <f t="shared" si="304"/>
        <v>13272.199999999997</v>
      </c>
      <c r="BN84" s="34"/>
      <c r="BO84" s="34"/>
      <c r="BP84" s="34"/>
      <c r="BQ84" s="34"/>
      <c r="BR84" s="34"/>
      <c r="CM84" s="2">
        <f t="shared" si="301"/>
        <v>0</v>
      </c>
      <c r="CN84" s="2">
        <f t="shared" si="302"/>
        <v>0</v>
      </c>
      <c r="CO84" s="2">
        <f t="shared" si="303"/>
        <v>13055.2</v>
      </c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  <c r="EJ84" s="34"/>
      <c r="EK84" s="34"/>
      <c r="EL84" s="34"/>
      <c r="EM84" s="34"/>
      <c r="EN84" s="34"/>
      <c r="EO84" s="34"/>
      <c r="EP84" s="34"/>
      <c r="EQ84" s="34"/>
      <c r="ER84" s="34"/>
      <c r="ES84" s="34"/>
      <c r="ET84" s="34"/>
      <c r="EU84" s="34"/>
      <c r="EV84" s="34"/>
      <c r="EW84" s="34"/>
      <c r="EX84" s="34"/>
      <c r="EY84" s="34"/>
    </row>
    <row r="85" spans="2:155" ht="13.5" customHeight="1">
      <c r="AY85" s="70"/>
      <c r="AZ85" s="70"/>
      <c r="BA85" s="70"/>
      <c r="BB85" s="70"/>
      <c r="BC85" s="70"/>
      <c r="BD85" s="70"/>
      <c r="BE85" s="70"/>
      <c r="BF85" s="70"/>
      <c r="BG85" s="70"/>
      <c r="BH85" s="70"/>
      <c r="BI85" s="70"/>
      <c r="BJ85" s="70"/>
      <c r="BK85" s="70"/>
      <c r="BL85" s="70"/>
      <c r="BM85" s="70"/>
    </row>
    <row r="86" spans="2:155" ht="13.5" customHeight="1">
      <c r="B86" s="1" t="s">
        <v>1526</v>
      </c>
      <c r="AY86" s="70"/>
      <c r="AZ86" s="70"/>
      <c r="BA86" s="70"/>
      <c r="BB86" s="70"/>
      <c r="BC86" s="70"/>
      <c r="BD86" s="70"/>
      <c r="BE86" s="70"/>
      <c r="BF86" s="70"/>
      <c r="BG86" s="70"/>
      <c r="BH86" s="70"/>
      <c r="BI86" s="70"/>
      <c r="BJ86" s="70">
        <v>197.4</v>
      </c>
      <c r="BK86" s="70"/>
      <c r="BL86" s="70">
        <v>162.1</v>
      </c>
      <c r="BM86" s="70">
        <v>165</v>
      </c>
      <c r="CM86" s="1">
        <f t="shared" ref="CM86:CM97" si="305">BB86</f>
        <v>0</v>
      </c>
      <c r="CN86" s="1">
        <f t="shared" ref="CN86:CN97" si="306">BF86</f>
        <v>0</v>
      </c>
      <c r="CO86" s="1">
        <f t="shared" ref="CO86:CO97" si="307">BJ86</f>
        <v>197.4</v>
      </c>
    </row>
    <row r="87" spans="2:155" ht="13.5" customHeight="1">
      <c r="B87" s="1" t="s">
        <v>1527</v>
      </c>
      <c r="AY87" s="70"/>
      <c r="AZ87" s="70"/>
      <c r="BA87" s="70"/>
      <c r="BB87" s="70"/>
      <c r="BC87" s="70"/>
      <c r="BD87" s="70"/>
      <c r="BE87" s="70"/>
      <c r="BF87" s="70"/>
      <c r="BG87" s="70"/>
      <c r="BH87" s="70"/>
      <c r="BI87" s="70"/>
      <c r="BJ87" s="70">
        <v>1282.4000000000001</v>
      </c>
      <c r="BK87" s="70"/>
      <c r="BL87" s="70">
        <v>1214.4000000000001</v>
      </c>
      <c r="BM87" s="70">
        <v>1393.9</v>
      </c>
      <c r="CM87" s="1">
        <f t="shared" si="305"/>
        <v>0</v>
      </c>
      <c r="CN87" s="1">
        <f t="shared" si="306"/>
        <v>0</v>
      </c>
      <c r="CO87" s="1">
        <f t="shared" si="307"/>
        <v>1282.4000000000001</v>
      </c>
    </row>
    <row r="88" spans="2:155" ht="13.5" customHeight="1">
      <c r="B88" s="1" t="s">
        <v>1528</v>
      </c>
      <c r="AY88" s="70"/>
      <c r="AZ88" s="70"/>
      <c r="BA88" s="70"/>
      <c r="BB88" s="70"/>
      <c r="BC88" s="70"/>
      <c r="BD88" s="70"/>
      <c r="BE88" s="70"/>
      <c r="BF88" s="70"/>
      <c r="BG88" s="70"/>
      <c r="BH88" s="70"/>
      <c r="BI88" s="70"/>
      <c r="BJ88" s="70">
        <v>23.4</v>
      </c>
      <c r="BK88" s="70"/>
      <c r="BL88" s="70">
        <v>25.9</v>
      </c>
      <c r="BM88" s="70">
        <v>26.8</v>
      </c>
      <c r="CM88" s="1">
        <f t="shared" si="305"/>
        <v>0</v>
      </c>
      <c r="CN88" s="1">
        <f t="shared" si="306"/>
        <v>0</v>
      </c>
      <c r="CO88" s="1">
        <f t="shared" si="307"/>
        <v>23.4</v>
      </c>
    </row>
    <row r="89" spans="2:155">
      <c r="B89" s="1" t="s">
        <v>1534</v>
      </c>
      <c r="AY89" s="70"/>
      <c r="AZ89" s="70"/>
      <c r="BA89" s="70"/>
      <c r="BB89" s="70"/>
      <c r="BC89" s="70"/>
      <c r="BD89" s="70"/>
      <c r="BE89" s="70"/>
      <c r="BF89" s="70"/>
      <c r="BG89" s="70"/>
      <c r="BH89" s="70"/>
      <c r="BI89" s="70"/>
      <c r="BJ89" s="70">
        <v>2</v>
      </c>
      <c r="BK89" s="70"/>
      <c r="BL89" s="70">
        <v>2.2999999999999998</v>
      </c>
      <c r="BM89" s="70">
        <v>2.2999999999999998</v>
      </c>
      <c r="CM89" s="1">
        <f t="shared" si="305"/>
        <v>0</v>
      </c>
      <c r="CN89" s="1">
        <f t="shared" si="306"/>
        <v>0</v>
      </c>
      <c r="CO89" s="1">
        <f t="shared" si="307"/>
        <v>2</v>
      </c>
    </row>
    <row r="90" spans="2:155">
      <c r="B90" s="1" t="s">
        <v>1529</v>
      </c>
      <c r="AY90" s="70"/>
      <c r="AZ90" s="70"/>
      <c r="BA90" s="70"/>
      <c r="BB90" s="70"/>
      <c r="BC90" s="70"/>
      <c r="BD90" s="70"/>
      <c r="BE90" s="70"/>
      <c r="BF90" s="70"/>
      <c r="BG90" s="70"/>
      <c r="BH90" s="70"/>
      <c r="BI90" s="70"/>
      <c r="BJ90" s="70">
        <v>597.70000000000005</v>
      </c>
      <c r="BK90" s="70"/>
      <c r="BL90" s="70">
        <v>598</v>
      </c>
      <c r="BM90" s="70">
        <v>598.20000000000005</v>
      </c>
      <c r="CM90" s="1">
        <f t="shared" si="305"/>
        <v>0</v>
      </c>
      <c r="CN90" s="1">
        <f t="shared" si="306"/>
        <v>0</v>
      </c>
      <c r="CO90" s="1">
        <f t="shared" si="307"/>
        <v>597.70000000000005</v>
      </c>
    </row>
    <row r="91" spans="2:155">
      <c r="B91" s="1" t="s">
        <v>1530</v>
      </c>
      <c r="AY91" s="70"/>
      <c r="AZ91" s="70"/>
      <c r="BA91" s="70"/>
      <c r="BB91" s="70"/>
      <c r="BC91" s="70"/>
      <c r="BD91" s="70"/>
      <c r="BE91" s="70"/>
      <c r="BF91" s="70"/>
      <c r="BG91" s="70"/>
      <c r="BH91" s="70"/>
      <c r="BI91" s="70"/>
      <c r="BJ91" s="70">
        <v>78.900000000000006</v>
      </c>
      <c r="BK91" s="70"/>
      <c r="BL91" s="70">
        <v>78.7</v>
      </c>
      <c r="BM91" s="70">
        <v>75.3</v>
      </c>
      <c r="CM91" s="1">
        <f t="shared" si="305"/>
        <v>0</v>
      </c>
      <c r="CN91" s="1">
        <f t="shared" si="306"/>
        <v>0</v>
      </c>
      <c r="CO91" s="1">
        <f t="shared" si="307"/>
        <v>78.900000000000006</v>
      </c>
    </row>
    <row r="92" spans="2:155">
      <c r="B92" s="1" t="s">
        <v>1531</v>
      </c>
      <c r="AY92" s="70"/>
      <c r="AZ92" s="70"/>
      <c r="BA92" s="70"/>
      <c r="BB92" s="70"/>
      <c r="BC92" s="70"/>
      <c r="BD92" s="70"/>
      <c r="BE92" s="70"/>
      <c r="BF92" s="70"/>
      <c r="BG92" s="70"/>
      <c r="BH92" s="70"/>
      <c r="BI92" s="70"/>
      <c r="BJ92" s="70">
        <v>384.5</v>
      </c>
      <c r="BK92" s="70"/>
      <c r="BL92" s="70">
        <v>421.6</v>
      </c>
      <c r="BM92" s="70">
        <v>442.9</v>
      </c>
      <c r="CM92" s="1">
        <f t="shared" si="305"/>
        <v>0</v>
      </c>
      <c r="CN92" s="1">
        <f t="shared" si="306"/>
        <v>0</v>
      </c>
      <c r="CO92" s="1">
        <f t="shared" si="307"/>
        <v>384.5</v>
      </c>
    </row>
    <row r="93" spans="2:155">
      <c r="B93" s="1" t="s">
        <v>1532</v>
      </c>
      <c r="AY93" s="70"/>
      <c r="AZ93" s="70"/>
      <c r="BA93" s="70"/>
      <c r="BB93" s="70"/>
      <c r="BC93" s="70"/>
      <c r="BD93" s="70"/>
      <c r="BE93" s="70"/>
      <c r="BF93" s="70"/>
      <c r="BG93" s="70"/>
      <c r="BH93" s="70"/>
      <c r="BI93" s="70"/>
      <c r="BJ93" s="70">
        <v>426</v>
      </c>
      <c r="BK93" s="70"/>
      <c r="BL93" s="70">
        <v>379.2</v>
      </c>
      <c r="BM93" s="70">
        <v>362.6</v>
      </c>
      <c r="CM93" s="1">
        <f t="shared" si="305"/>
        <v>0</v>
      </c>
      <c r="CN93" s="1">
        <f t="shared" si="306"/>
        <v>0</v>
      </c>
      <c r="CO93" s="1">
        <f t="shared" si="307"/>
        <v>426</v>
      </c>
    </row>
    <row r="94" spans="2:155">
      <c r="B94" s="1" t="s">
        <v>1533</v>
      </c>
      <c r="AY94" s="70"/>
      <c r="AZ94" s="70"/>
      <c r="BA94" s="70"/>
      <c r="BB94" s="70"/>
      <c r="BC94" s="70"/>
      <c r="BD94" s="70"/>
      <c r="BE94" s="70"/>
      <c r="BF94" s="70"/>
      <c r="BG94" s="70"/>
      <c r="BH94" s="70"/>
      <c r="BI94" s="70"/>
      <c r="BJ94" s="70">
        <v>0</v>
      </c>
      <c r="BK94" s="70"/>
      <c r="BL94" s="70">
        <v>0</v>
      </c>
      <c r="BM94" s="70">
        <v>0.2</v>
      </c>
      <c r="CM94" s="1">
        <f t="shared" si="305"/>
        <v>0</v>
      </c>
      <c r="CN94" s="1">
        <f t="shared" si="306"/>
        <v>0</v>
      </c>
      <c r="CO94" s="1">
        <f t="shared" si="307"/>
        <v>0</v>
      </c>
    </row>
    <row r="95" spans="2:155" ht="15">
      <c r="B95" s="1" t="s">
        <v>1538</v>
      </c>
      <c r="AY95" s="70">
        <f t="shared" ref="AY95:BL95" si="308">SUM(AY86:AY94)</f>
        <v>0</v>
      </c>
      <c r="AZ95" s="70">
        <f t="shared" si="308"/>
        <v>0</v>
      </c>
      <c r="BA95" s="70">
        <f t="shared" si="308"/>
        <v>0</v>
      </c>
      <c r="BB95" s="70">
        <f t="shared" si="308"/>
        <v>0</v>
      </c>
      <c r="BC95" s="70">
        <f t="shared" si="308"/>
        <v>0</v>
      </c>
      <c r="BD95" s="70">
        <f t="shared" si="308"/>
        <v>0</v>
      </c>
      <c r="BE95" s="70">
        <f t="shared" si="308"/>
        <v>0</v>
      </c>
      <c r="BF95" s="70">
        <f t="shared" si="308"/>
        <v>0</v>
      </c>
      <c r="BG95" s="70">
        <f t="shared" si="308"/>
        <v>0</v>
      </c>
      <c r="BH95" s="70">
        <f t="shared" si="308"/>
        <v>0</v>
      </c>
      <c r="BI95" s="70">
        <f t="shared" si="308"/>
        <v>0</v>
      </c>
      <c r="BJ95" s="70">
        <f t="shared" si="308"/>
        <v>2992.3000000000006</v>
      </c>
      <c r="BK95" s="70">
        <f t="shared" si="308"/>
        <v>0</v>
      </c>
      <c r="BL95" s="70">
        <f t="shared" si="308"/>
        <v>2882.2</v>
      </c>
      <c r="BM95" s="70">
        <f>SUM(BM86:BM94)</f>
        <v>3067.2</v>
      </c>
      <c r="CM95" s="2">
        <f t="shared" si="305"/>
        <v>0</v>
      </c>
      <c r="CN95" s="2">
        <f t="shared" si="306"/>
        <v>0</v>
      </c>
      <c r="CO95" s="2">
        <f t="shared" si="307"/>
        <v>2992.3000000000006</v>
      </c>
    </row>
    <row r="96" spans="2:155">
      <c r="B96" s="1" t="s">
        <v>1539</v>
      </c>
      <c r="AY96" s="70"/>
      <c r="AZ96" s="70"/>
      <c r="BA96" s="70"/>
      <c r="BB96" s="70"/>
      <c r="BC96" s="70"/>
      <c r="BD96" s="70"/>
      <c r="BE96" s="70"/>
      <c r="BF96" s="70"/>
      <c r="BG96" s="70"/>
      <c r="BH96" s="70"/>
      <c r="BI96" s="70"/>
      <c r="BJ96" s="70">
        <v>10062.9</v>
      </c>
      <c r="BK96" s="70"/>
      <c r="BL96" s="70">
        <v>10606.5</v>
      </c>
      <c r="BM96" s="70">
        <v>10205</v>
      </c>
      <c r="CM96" s="1">
        <f t="shared" si="305"/>
        <v>0</v>
      </c>
      <c r="CN96" s="1">
        <f t="shared" si="306"/>
        <v>0</v>
      </c>
      <c r="CO96" s="1">
        <f t="shared" si="307"/>
        <v>10062.9</v>
      </c>
    </row>
    <row r="97" spans="2:155" s="2" customFormat="1" ht="15">
      <c r="B97" s="2" t="s">
        <v>1540</v>
      </c>
      <c r="AY97" s="71">
        <f t="shared" ref="AY97:BL97" si="309">AY95+AY96</f>
        <v>0</v>
      </c>
      <c r="AZ97" s="71">
        <f t="shared" si="309"/>
        <v>0</v>
      </c>
      <c r="BA97" s="71">
        <f t="shared" si="309"/>
        <v>0</v>
      </c>
      <c r="BB97" s="71">
        <f t="shared" si="309"/>
        <v>0</v>
      </c>
      <c r="BC97" s="71">
        <f t="shared" si="309"/>
        <v>0</v>
      </c>
      <c r="BD97" s="71">
        <f t="shared" si="309"/>
        <v>0</v>
      </c>
      <c r="BE97" s="71">
        <f t="shared" si="309"/>
        <v>0</v>
      </c>
      <c r="BF97" s="71">
        <f t="shared" si="309"/>
        <v>0</v>
      </c>
      <c r="BG97" s="71">
        <f t="shared" si="309"/>
        <v>0</v>
      </c>
      <c r="BH97" s="71">
        <f t="shared" si="309"/>
        <v>0</v>
      </c>
      <c r="BI97" s="71">
        <f t="shared" si="309"/>
        <v>0</v>
      </c>
      <c r="BJ97" s="71">
        <f t="shared" si="309"/>
        <v>13055.2</v>
      </c>
      <c r="BK97" s="71">
        <f t="shared" si="309"/>
        <v>0</v>
      </c>
      <c r="BL97" s="71">
        <f t="shared" si="309"/>
        <v>13488.7</v>
      </c>
      <c r="BM97" s="71">
        <f>BM95+BM96</f>
        <v>13272.2</v>
      </c>
      <c r="BN97" s="34"/>
      <c r="BO97" s="34"/>
      <c r="BP97" s="34"/>
      <c r="BQ97" s="34"/>
      <c r="BR97" s="34"/>
      <c r="CM97" s="2">
        <f t="shared" si="305"/>
        <v>0</v>
      </c>
      <c r="CN97" s="2">
        <f t="shared" si="306"/>
        <v>0</v>
      </c>
      <c r="CO97" s="2">
        <f t="shared" si="307"/>
        <v>13055.2</v>
      </c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  <c r="EF97" s="34"/>
      <c r="EG97" s="34"/>
      <c r="EH97" s="34"/>
      <c r="EI97" s="34"/>
      <c r="EJ97" s="34"/>
      <c r="EK97" s="34"/>
      <c r="EL97" s="34"/>
      <c r="EM97" s="34"/>
      <c r="EN97" s="34"/>
      <c r="EO97" s="34"/>
      <c r="EP97" s="34"/>
      <c r="EQ97" s="34"/>
      <c r="ER97" s="34"/>
      <c r="ES97" s="34"/>
      <c r="ET97" s="34"/>
      <c r="EU97" s="34"/>
      <c r="EV97" s="34"/>
      <c r="EW97" s="34"/>
      <c r="EX97" s="34"/>
      <c r="EY97" s="34"/>
    </row>
    <row r="99" spans="2:155">
      <c r="B99" s="1" t="s">
        <v>131</v>
      </c>
    </row>
    <row r="100" spans="2:155">
      <c r="B100" s="1" t="s">
        <v>132</v>
      </c>
    </row>
    <row r="101" spans="2:155">
      <c r="B101" s="1" t="s">
        <v>133</v>
      </c>
    </row>
    <row r="102" spans="2:155">
      <c r="B102" s="1" t="s">
        <v>134</v>
      </c>
    </row>
    <row r="103" spans="2:155">
      <c r="B103" s="1" t="s">
        <v>135</v>
      </c>
    </row>
    <row r="104" spans="2:155">
      <c r="B104" s="1" t="s">
        <v>136</v>
      </c>
    </row>
    <row r="105" spans="2:155">
      <c r="B105" s="1" t="s">
        <v>137</v>
      </c>
    </row>
    <row r="107" spans="2:155">
      <c r="B107" s="1" t="s">
        <v>138</v>
      </c>
      <c r="C107" s="1">
        <f t="shared" ref="C107:AH107" si="310">C57</f>
        <v>42.100000000000023</v>
      </c>
      <c r="D107" s="1">
        <f t="shared" si="310"/>
        <v>55.299999999999962</v>
      </c>
      <c r="E107" s="1">
        <f t="shared" si="310"/>
        <v>42.599999999999966</v>
      </c>
      <c r="F107" s="1">
        <f t="shared" si="310"/>
        <v>80.999999999999986</v>
      </c>
      <c r="G107" s="1">
        <f t="shared" si="310"/>
        <v>51.499999999999972</v>
      </c>
      <c r="H107" s="1">
        <f t="shared" si="310"/>
        <v>55.09999999999998</v>
      </c>
      <c r="I107" s="1">
        <f t="shared" si="310"/>
        <v>56.200000000000031</v>
      </c>
      <c r="J107" s="1">
        <f t="shared" si="310"/>
        <v>73.300000000000011</v>
      </c>
      <c r="K107" s="1">
        <f t="shared" si="310"/>
        <v>66.099999999999966</v>
      </c>
      <c r="L107" s="1">
        <f t="shared" si="310"/>
        <v>65.600000000000023</v>
      </c>
      <c r="M107" s="1">
        <f t="shared" si="310"/>
        <v>68.599999999999994</v>
      </c>
      <c r="N107" s="1">
        <f t="shared" si="310"/>
        <v>119.20000000000002</v>
      </c>
      <c r="O107" s="1">
        <f t="shared" si="310"/>
        <v>-12.699999999999989</v>
      </c>
      <c r="P107" s="1">
        <f t="shared" si="310"/>
        <v>105.3</v>
      </c>
      <c r="Q107" s="1">
        <f t="shared" si="310"/>
        <v>87.40000000000002</v>
      </c>
      <c r="R107" s="1">
        <f t="shared" si="310"/>
        <v>71.899999999999991</v>
      </c>
      <c r="S107" s="1">
        <f t="shared" si="310"/>
        <v>78.300000000000011</v>
      </c>
      <c r="T107" s="1">
        <f t="shared" si="310"/>
        <v>-941.59999999999991</v>
      </c>
      <c r="U107" s="1">
        <f t="shared" si="310"/>
        <v>99.599999999999966</v>
      </c>
      <c r="V107" s="1">
        <f t="shared" si="310"/>
        <v>1611.8</v>
      </c>
      <c r="W107" s="1">
        <f t="shared" si="310"/>
        <v>128.79999999999993</v>
      </c>
      <c r="X107" s="1">
        <f t="shared" si="310"/>
        <v>118.29999999999995</v>
      </c>
      <c r="Y107" s="1">
        <f t="shared" si="310"/>
        <v>128.30000000000001</v>
      </c>
      <c r="Z107" s="1">
        <f t="shared" si="310"/>
        <v>146.10000000000002</v>
      </c>
      <c r="AA107" s="1">
        <f t="shared" si="310"/>
        <v>155.80000000000001</v>
      </c>
      <c r="AB107" s="1">
        <f t="shared" si="310"/>
        <v>131.59999999999994</v>
      </c>
      <c r="AC107" s="1">
        <f t="shared" si="310"/>
        <v>148.79999999999995</v>
      </c>
      <c r="AD107" s="1">
        <f t="shared" si="310"/>
        <v>159.9</v>
      </c>
      <c r="AE107" s="1">
        <f t="shared" si="310"/>
        <v>239.59999999999994</v>
      </c>
      <c r="AF107" s="1">
        <f t="shared" si="310"/>
        <v>194.49999999999994</v>
      </c>
      <c r="AG107" s="1">
        <f t="shared" si="310"/>
        <v>173.50000000000006</v>
      </c>
      <c r="AH107" s="1">
        <f t="shared" si="310"/>
        <v>85.000000000000057</v>
      </c>
      <c r="AI107" s="1">
        <f t="shared" ref="AI107:BM107" si="311">AI57</f>
        <v>184.59999999999994</v>
      </c>
      <c r="AJ107" s="1">
        <f t="shared" si="311"/>
        <v>284.90000000000003</v>
      </c>
      <c r="AK107" s="1">
        <f t="shared" si="311"/>
        <v>226.3</v>
      </c>
      <c r="AL107" s="1">
        <f t="shared" si="311"/>
        <v>4.6185277824406512E-14</v>
      </c>
      <c r="AM107" s="1">
        <f t="shared" si="311"/>
        <v>242.10000000000002</v>
      </c>
      <c r="AN107" s="1">
        <f t="shared" si="311"/>
        <v>234.7000000000001</v>
      </c>
      <c r="AO107" s="1">
        <f t="shared" si="311"/>
        <v>259.90000000000003</v>
      </c>
      <c r="AP107" s="1">
        <f t="shared" si="311"/>
        <v>270.79999999999984</v>
      </c>
      <c r="AQ107" s="1">
        <f t="shared" si="311"/>
        <v>310.59999999999997</v>
      </c>
      <c r="AR107" s="1">
        <f t="shared" si="311"/>
        <v>-121.90000000000005</v>
      </c>
      <c r="AS107" s="1">
        <f t="shared" si="311"/>
        <v>325.2000000000001</v>
      </c>
      <c r="AT107" s="1">
        <f t="shared" si="311"/>
        <v>309.50000000000023</v>
      </c>
      <c r="AU107" s="1">
        <f t="shared" si="311"/>
        <v>338.2</v>
      </c>
      <c r="AV107" s="1">
        <f t="shared" si="311"/>
        <v>489.50000000000011</v>
      </c>
      <c r="AW107" s="1">
        <f t="shared" si="311"/>
        <v>340.09999999999997</v>
      </c>
      <c r="AX107" s="1">
        <f t="shared" si="311"/>
        <v>335.39999999999964</v>
      </c>
      <c r="AY107" s="1">
        <f t="shared" si="311"/>
        <v>373.59999999999985</v>
      </c>
      <c r="AZ107" s="1">
        <f t="shared" si="311"/>
        <v>406.4</v>
      </c>
      <c r="BA107" s="1">
        <f t="shared" si="311"/>
        <v>343.50000000000006</v>
      </c>
      <c r="BB107" s="1">
        <f t="shared" si="311"/>
        <v>398.39999999999964</v>
      </c>
      <c r="BC107" s="1">
        <f t="shared" si="311"/>
        <v>340.50000000000006</v>
      </c>
      <c r="BD107" s="1">
        <f t="shared" si="311"/>
        <v>307.10000000000008</v>
      </c>
      <c r="BE107" s="1">
        <f t="shared" si="311"/>
        <v>384.89999999999981</v>
      </c>
      <c r="BF107" s="1">
        <f t="shared" si="311"/>
        <v>366.89999999999981</v>
      </c>
      <c r="BG107" s="1">
        <f t="shared" si="311"/>
        <v>351.90000000000009</v>
      </c>
      <c r="BH107" s="1">
        <f t="shared" si="311"/>
        <v>366.2999999999999</v>
      </c>
      <c r="BI107" s="1">
        <f t="shared" si="311"/>
        <v>3069.4000000000005</v>
      </c>
      <c r="BJ107" s="1">
        <f t="shared" si="311"/>
        <v>384.29999999999973</v>
      </c>
      <c r="BK107" s="1">
        <f t="shared" si="311"/>
        <v>358</v>
      </c>
      <c r="BL107" s="1">
        <f t="shared" si="311"/>
        <v>333.20000000000005</v>
      </c>
      <c r="BM107" s="1">
        <f t="shared" si="311"/>
        <v>290.30000000000013</v>
      </c>
      <c r="CA107" s="70">
        <f t="shared" ref="CA107:CN107" si="312">CA57</f>
        <v>220.99999999999994</v>
      </c>
      <c r="CB107" s="70">
        <f t="shared" si="312"/>
        <v>236.1</v>
      </c>
      <c r="CC107" s="70">
        <f t="shared" si="312"/>
        <v>319.5</v>
      </c>
      <c r="CD107" s="70">
        <f t="shared" si="312"/>
        <v>251.90000000000003</v>
      </c>
      <c r="CE107" s="70">
        <f t="shared" si="312"/>
        <v>848.09999999999991</v>
      </c>
      <c r="CF107" s="70">
        <f t="shared" si="312"/>
        <v>521.49999999999989</v>
      </c>
      <c r="CG107" s="70">
        <f t="shared" si="312"/>
        <v>596.09999999999991</v>
      </c>
      <c r="CH107" s="70">
        <f t="shared" si="312"/>
        <v>692.59999999999991</v>
      </c>
      <c r="CI107" s="70">
        <f t="shared" si="312"/>
        <v>695.8</v>
      </c>
      <c r="CJ107" s="70">
        <f t="shared" si="312"/>
        <v>1007.5</v>
      </c>
      <c r="CK107" s="70">
        <f t="shared" si="312"/>
        <v>823.40000000000032</v>
      </c>
      <c r="CL107" s="70">
        <f t="shared" si="312"/>
        <v>1503.1999999999996</v>
      </c>
      <c r="CM107" s="70">
        <f t="shared" si="312"/>
        <v>1521.8999999999994</v>
      </c>
      <c r="CN107" s="70">
        <f t="shared" si="312"/>
        <v>1399.3999999999999</v>
      </c>
      <c r="CO107" s="70">
        <f>CO57</f>
        <v>4171.8999999999996</v>
      </c>
    </row>
    <row r="108" spans="2:155" s="2" customFormat="1" ht="15">
      <c r="B108" s="2" t="s">
        <v>139</v>
      </c>
      <c r="C108" s="2">
        <v>13</v>
      </c>
      <c r="D108" s="2">
        <v>48</v>
      </c>
      <c r="E108" s="2">
        <v>96.4</v>
      </c>
      <c r="F108" s="2">
        <v>94</v>
      </c>
      <c r="G108" s="2">
        <v>14.9</v>
      </c>
      <c r="H108" s="2">
        <v>84.5</v>
      </c>
      <c r="I108" s="2">
        <v>115.4</v>
      </c>
      <c r="J108" s="2">
        <v>93.4</v>
      </c>
      <c r="K108" s="2">
        <v>-30.7</v>
      </c>
      <c r="L108" s="2">
        <v>146.80000000000001</v>
      </c>
      <c r="M108" s="2">
        <v>131.30000000000001</v>
      </c>
      <c r="N108" s="2">
        <v>114.7</v>
      </c>
      <c r="O108" s="2">
        <v>101.1</v>
      </c>
      <c r="P108" s="2">
        <v>128.1</v>
      </c>
      <c r="Q108" s="2">
        <v>132.19999999999999</v>
      </c>
      <c r="R108" s="2">
        <v>111.3</v>
      </c>
      <c r="S108" s="2">
        <v>138.9</v>
      </c>
      <c r="T108" s="2">
        <v>778</v>
      </c>
      <c r="U108" s="2">
        <v>12.2</v>
      </c>
      <c r="V108" s="2">
        <v>93.2</v>
      </c>
      <c r="W108" s="2">
        <v>73.3</v>
      </c>
      <c r="X108" s="2">
        <v>170.1</v>
      </c>
      <c r="Y108" s="2">
        <v>202.5</v>
      </c>
      <c r="Z108" s="2">
        <v>103.8</v>
      </c>
      <c r="AA108" s="2">
        <v>107.1</v>
      </c>
      <c r="AB108" s="2">
        <v>190.3</v>
      </c>
      <c r="AC108" s="2">
        <v>205.9</v>
      </c>
      <c r="AD108" s="2">
        <v>201.1</v>
      </c>
      <c r="AE108" s="2">
        <v>128.30000000000001</v>
      </c>
      <c r="AF108" s="2">
        <v>197.7</v>
      </c>
      <c r="AG108" s="2">
        <v>310.8</v>
      </c>
      <c r="AH108" s="2">
        <v>363.9</v>
      </c>
      <c r="AI108" s="2">
        <v>151.30000000000001</v>
      </c>
      <c r="AJ108" s="2">
        <v>140.19999999999999</v>
      </c>
      <c r="AK108" s="2">
        <v>342.3</v>
      </c>
      <c r="AL108" s="2">
        <v>292.89999999999998</v>
      </c>
      <c r="AM108" s="2">
        <v>1.5</v>
      </c>
      <c r="AN108" s="2">
        <v>341.2</v>
      </c>
      <c r="AO108" s="2">
        <v>437.3</v>
      </c>
      <c r="AP108" s="2">
        <v>402.9</v>
      </c>
      <c r="AQ108" s="2">
        <v>207.1</v>
      </c>
      <c r="AR108" s="2">
        <v>231.3</v>
      </c>
      <c r="AS108" s="2">
        <v>216.1</v>
      </c>
      <c r="AT108" s="2">
        <v>399.8</v>
      </c>
      <c r="AU108" s="2">
        <v>300.5</v>
      </c>
      <c r="AV108" s="2">
        <v>526.1</v>
      </c>
      <c r="AW108" s="2">
        <v>531.9</v>
      </c>
      <c r="AX108" s="2">
        <v>373.6</v>
      </c>
      <c r="AY108" s="2">
        <v>293.3</v>
      </c>
      <c r="AZ108" s="2">
        <v>332.2</v>
      </c>
      <c r="BA108" s="2">
        <v>309.89999999999998</v>
      </c>
      <c r="BB108" s="2">
        <v>282.8</v>
      </c>
      <c r="BC108" s="2">
        <v>314.10000000000002</v>
      </c>
      <c r="BD108" s="2">
        <v>33.6</v>
      </c>
      <c r="BE108" s="2">
        <v>411.5</v>
      </c>
      <c r="BF108" s="2">
        <v>136.6</v>
      </c>
      <c r="BG108" s="2">
        <v>-53.5</v>
      </c>
      <c r="BH108" s="2">
        <v>371.5</v>
      </c>
      <c r="BI108" s="2">
        <v>351.8</v>
      </c>
      <c r="BJ108" s="2">
        <v>-127.5</v>
      </c>
      <c r="BK108" s="2">
        <v>280.39999999999998</v>
      </c>
      <c r="BL108" s="2">
        <v>290.2</v>
      </c>
      <c r="BM108" s="2">
        <v>573.70000000000005</v>
      </c>
      <c r="BN108" s="34"/>
      <c r="BO108" s="34"/>
      <c r="BP108" s="34"/>
      <c r="BQ108" s="34"/>
      <c r="BR108" s="34"/>
      <c r="CA108" s="71">
        <f t="shared" ref="CA108:CA112" si="313">SUM(C108:F108)</f>
        <v>251.4</v>
      </c>
      <c r="CB108" s="71">
        <f t="shared" ref="CB108:CB112" si="314">SUM(G108:J108)</f>
        <v>308.20000000000005</v>
      </c>
      <c r="CC108" s="71">
        <f t="shared" ref="CC108:CC112" si="315">SUM(K108:N108)</f>
        <v>362.1</v>
      </c>
      <c r="CD108" s="71">
        <f t="shared" ref="CD108:CD112" si="316">SUM(O108:R108)</f>
        <v>472.7</v>
      </c>
      <c r="CE108" s="71">
        <f t="shared" ref="CE108:CE112" si="317">SUM(S108:V108)</f>
        <v>1022.3000000000001</v>
      </c>
      <c r="CF108" s="71">
        <f t="shared" ref="CF108:CF112" si="318">SUM(W108:Z108)</f>
        <v>549.69999999999993</v>
      </c>
      <c r="CG108" s="71">
        <f t="shared" ref="CG108:CG112" si="319">SUM(AA108:AD108)</f>
        <v>704.4</v>
      </c>
      <c r="CH108" s="71">
        <f t="shared" ref="CH108:CH112" si="320">SUM(AE108:AH108)</f>
        <v>1000.6999999999999</v>
      </c>
      <c r="CI108" s="71">
        <f t="shared" ref="CI108:CI112" si="321">SUM(AI108:AL108)</f>
        <v>926.69999999999993</v>
      </c>
      <c r="CJ108" s="71">
        <f t="shared" ref="CJ108:CJ112" si="322">SUM(AM108:AP108)</f>
        <v>1182.9000000000001</v>
      </c>
      <c r="CK108" s="71">
        <f t="shared" ref="CK108:CK112" si="323">SUM(AQ108:AT108)</f>
        <v>1054.3</v>
      </c>
      <c r="CL108" s="71">
        <f t="shared" ref="CL108:CL112" si="324">SUM(AU108:AX108)</f>
        <v>1732.1</v>
      </c>
      <c r="CM108" s="71">
        <f t="shared" ref="CM108:CM112" si="325">SUM(AY108:BB108)</f>
        <v>1218.2</v>
      </c>
      <c r="CN108" s="71">
        <f t="shared" ref="CN108:CN112" si="326">SUM(BC108:BF108)</f>
        <v>895.80000000000007</v>
      </c>
      <c r="CO108" s="71">
        <f t="shared" ref="CO108:CO112" si="327">SUM(BG108:BJ108)</f>
        <v>542.29999999999995</v>
      </c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34"/>
      <c r="DE108" s="34"/>
      <c r="DF108" s="34"/>
      <c r="DG108" s="34"/>
      <c r="DH108" s="34"/>
      <c r="DI108" s="34"/>
      <c r="DJ108" s="34"/>
      <c r="DK108" s="34"/>
      <c r="DL108" s="34"/>
      <c r="DM108" s="34"/>
      <c r="DN108" s="34"/>
      <c r="DO108" s="34"/>
      <c r="DP108" s="34"/>
      <c r="DQ108" s="34"/>
      <c r="DR108" s="34"/>
      <c r="DS108" s="34"/>
      <c r="DT108" s="34"/>
      <c r="DU108" s="34"/>
      <c r="DV108" s="34"/>
      <c r="DW108" s="34"/>
      <c r="DX108" s="34"/>
      <c r="DY108" s="34"/>
      <c r="DZ108" s="34"/>
      <c r="EA108" s="34"/>
      <c r="EB108" s="34"/>
      <c r="EC108" s="34"/>
      <c r="ED108" s="34"/>
      <c r="EE108" s="34"/>
      <c r="EF108" s="34"/>
      <c r="EG108" s="34"/>
      <c r="EH108" s="34"/>
      <c r="EI108" s="34"/>
      <c r="EJ108" s="34"/>
      <c r="EK108" s="34"/>
      <c r="EL108" s="34"/>
      <c r="EM108" s="34"/>
      <c r="EN108" s="34"/>
      <c r="EO108" s="34"/>
      <c r="EP108" s="34"/>
      <c r="EQ108" s="34"/>
      <c r="ER108" s="34"/>
      <c r="ES108" s="34"/>
      <c r="ET108" s="34"/>
      <c r="EU108" s="34"/>
      <c r="EV108" s="34"/>
      <c r="EW108" s="34"/>
      <c r="EX108" s="34"/>
      <c r="EY108" s="34"/>
    </row>
    <row r="109" spans="2:155">
      <c r="B109" s="1" t="s">
        <v>140</v>
      </c>
      <c r="C109" s="1">
        <v>-11</v>
      </c>
      <c r="D109" s="1">
        <v>-14.8</v>
      </c>
      <c r="E109" s="1">
        <v>-13.5</v>
      </c>
      <c r="F109" s="1">
        <v>-15.3</v>
      </c>
      <c r="G109" s="1">
        <v>-13.9</v>
      </c>
      <c r="H109" s="1">
        <v>-17.2</v>
      </c>
      <c r="I109" s="1">
        <v>-15.6</v>
      </c>
      <c r="J109" s="1">
        <v>-26</v>
      </c>
      <c r="K109" s="1">
        <v>-18</v>
      </c>
      <c r="L109" s="1">
        <v>-21.2</v>
      </c>
      <c r="M109" s="1">
        <v>-23.1</v>
      </c>
      <c r="N109" s="1">
        <v>-43.7</v>
      </c>
      <c r="O109" s="1">
        <v>-36.799999999999997</v>
      </c>
      <c r="P109" s="1">
        <v>-29.5</v>
      </c>
      <c r="Q109" s="1">
        <v>-22.6</v>
      </c>
      <c r="R109" s="1">
        <v>-17.8</v>
      </c>
      <c r="S109" s="1">
        <v>-14.3</v>
      </c>
      <c r="T109" s="1">
        <v>-16</v>
      </c>
      <c r="U109" s="1">
        <v>-18.100000000000001</v>
      </c>
      <c r="V109" s="1">
        <v>-31.4</v>
      </c>
      <c r="W109" s="1">
        <v>-20.8</v>
      </c>
      <c r="X109" s="1">
        <v>-18.399999999999999</v>
      </c>
      <c r="Y109" s="1">
        <v>-26</v>
      </c>
      <c r="Z109" s="1">
        <v>-37.5</v>
      </c>
      <c r="AA109" s="1">
        <v>-27.7</v>
      </c>
      <c r="AB109" s="1">
        <v>-37.1</v>
      </c>
      <c r="AC109" s="1">
        <v>-48.1</v>
      </c>
      <c r="AD109" s="1">
        <v>-63.2</v>
      </c>
      <c r="AE109" s="1">
        <v>-15.9</v>
      </c>
      <c r="AF109" s="1">
        <v>-58</v>
      </c>
      <c r="AG109" s="1">
        <v>-42.3</v>
      </c>
      <c r="AH109" s="1">
        <v>-51.9</v>
      </c>
      <c r="AI109" s="1">
        <v>-43.2</v>
      </c>
      <c r="AJ109" s="1">
        <v>-52.8</v>
      </c>
      <c r="AK109" s="1">
        <v>-85.1</v>
      </c>
      <c r="AL109" s="1">
        <v>-57.6</v>
      </c>
      <c r="AM109" s="1">
        <v>-42.2</v>
      </c>
      <c r="AN109" s="1">
        <v>-64.599999999999994</v>
      </c>
      <c r="AO109" s="1">
        <v>-76.099999999999994</v>
      </c>
      <c r="AP109" s="1">
        <v>-71.5</v>
      </c>
      <c r="AQ109" s="1">
        <v>-82.2</v>
      </c>
      <c r="AR109" s="1">
        <v>-108.3</v>
      </c>
      <c r="AS109" s="1">
        <v>-103.3</v>
      </c>
      <c r="AT109" s="1">
        <v>-113.2</v>
      </c>
      <c r="AU109" s="1">
        <v>-106</v>
      </c>
      <c r="AV109" s="1">
        <v>-69.3</v>
      </c>
      <c r="AW109" s="1">
        <v>-60.7</v>
      </c>
      <c r="AX109" s="1">
        <v>-89.8</v>
      </c>
      <c r="AY109" s="1">
        <v>-72.7</v>
      </c>
      <c r="AZ109" s="1">
        <v>-43.1</v>
      </c>
      <c r="BA109" s="1">
        <v>-59.9</v>
      </c>
      <c r="BB109" s="1">
        <v>-68.900000000000006</v>
      </c>
      <c r="BC109" s="1">
        <v>-61.5</v>
      </c>
      <c r="BD109" s="1">
        <v>-47.9</v>
      </c>
      <c r="BE109" s="1">
        <v>-55.3</v>
      </c>
      <c r="BF109" s="1">
        <v>-88.3</v>
      </c>
      <c r="BG109" s="1">
        <v>-65.3</v>
      </c>
      <c r="BH109" s="1">
        <v>-85.4</v>
      </c>
      <c r="BI109" s="1">
        <v>-51.9</v>
      </c>
      <c r="BJ109" s="1">
        <v>-49.8</v>
      </c>
      <c r="BK109" s="1">
        <v>-56</v>
      </c>
      <c r="BL109" s="1">
        <v>-49.3</v>
      </c>
      <c r="BM109" s="1">
        <v>-57.5</v>
      </c>
      <c r="CA109" s="70">
        <f t="shared" si="313"/>
        <v>-54.599999999999994</v>
      </c>
      <c r="CB109" s="70">
        <f t="shared" si="314"/>
        <v>-72.7</v>
      </c>
      <c r="CC109" s="70">
        <f t="shared" si="315"/>
        <v>-106</v>
      </c>
      <c r="CD109" s="70">
        <f t="shared" si="316"/>
        <v>-106.7</v>
      </c>
      <c r="CE109" s="70">
        <f t="shared" si="317"/>
        <v>-79.800000000000011</v>
      </c>
      <c r="CF109" s="70">
        <f t="shared" si="318"/>
        <v>-102.7</v>
      </c>
      <c r="CG109" s="70">
        <f t="shared" si="319"/>
        <v>-176.10000000000002</v>
      </c>
      <c r="CH109" s="70">
        <f t="shared" si="320"/>
        <v>-168.1</v>
      </c>
      <c r="CI109" s="70">
        <f t="shared" si="321"/>
        <v>-238.7</v>
      </c>
      <c r="CJ109" s="70">
        <f t="shared" si="322"/>
        <v>-254.39999999999998</v>
      </c>
      <c r="CK109" s="70">
        <f t="shared" si="323"/>
        <v>-407</v>
      </c>
      <c r="CL109" s="70">
        <f t="shared" si="324"/>
        <v>-325.8</v>
      </c>
      <c r="CM109" s="70">
        <f t="shared" si="325"/>
        <v>-244.60000000000002</v>
      </c>
      <c r="CN109" s="70">
        <f t="shared" si="326"/>
        <v>-253</v>
      </c>
      <c r="CO109" s="70">
        <f t="shared" si="327"/>
        <v>-252.39999999999998</v>
      </c>
    </row>
    <row r="110" spans="2:155" s="2" customFormat="1" ht="15">
      <c r="B110" s="2" t="s">
        <v>141</v>
      </c>
      <c r="C110" s="2">
        <f t="shared" ref="C110:BF110" si="328">C108+C109</f>
        <v>2</v>
      </c>
      <c r="D110" s="2">
        <f t="shared" si="328"/>
        <v>33.200000000000003</v>
      </c>
      <c r="E110" s="2">
        <f t="shared" si="328"/>
        <v>82.9</v>
      </c>
      <c r="F110" s="2">
        <f t="shared" si="328"/>
        <v>78.7</v>
      </c>
      <c r="G110" s="2">
        <f t="shared" si="328"/>
        <v>1</v>
      </c>
      <c r="H110" s="2">
        <f t="shared" si="328"/>
        <v>67.3</v>
      </c>
      <c r="I110" s="2">
        <f t="shared" si="328"/>
        <v>99.800000000000011</v>
      </c>
      <c r="J110" s="2">
        <f t="shared" si="328"/>
        <v>67.400000000000006</v>
      </c>
      <c r="K110" s="2">
        <f t="shared" si="328"/>
        <v>-48.7</v>
      </c>
      <c r="L110" s="2">
        <f t="shared" si="328"/>
        <v>125.60000000000001</v>
      </c>
      <c r="M110" s="2">
        <f t="shared" si="328"/>
        <v>108.20000000000002</v>
      </c>
      <c r="N110" s="2">
        <f t="shared" si="328"/>
        <v>71</v>
      </c>
      <c r="O110" s="2">
        <f t="shared" si="328"/>
        <v>64.3</v>
      </c>
      <c r="P110" s="2">
        <f t="shared" si="328"/>
        <v>98.6</v>
      </c>
      <c r="Q110" s="2">
        <f t="shared" si="328"/>
        <v>109.6</v>
      </c>
      <c r="R110" s="2">
        <f t="shared" si="328"/>
        <v>93.5</v>
      </c>
      <c r="S110" s="2">
        <f t="shared" si="328"/>
        <v>124.60000000000001</v>
      </c>
      <c r="T110" s="2">
        <f t="shared" si="328"/>
        <v>762</v>
      </c>
      <c r="U110" s="2">
        <f t="shared" si="328"/>
        <v>-5.9000000000000021</v>
      </c>
      <c r="V110" s="2">
        <f t="shared" si="328"/>
        <v>61.800000000000004</v>
      </c>
      <c r="W110" s="2">
        <f t="shared" si="328"/>
        <v>52.5</v>
      </c>
      <c r="X110" s="2">
        <f t="shared" si="328"/>
        <v>151.69999999999999</v>
      </c>
      <c r="Y110" s="2">
        <f t="shared" si="328"/>
        <v>176.5</v>
      </c>
      <c r="Z110" s="2">
        <f t="shared" si="328"/>
        <v>66.3</v>
      </c>
      <c r="AA110" s="2">
        <f t="shared" si="328"/>
        <v>79.399999999999991</v>
      </c>
      <c r="AB110" s="2">
        <f t="shared" si="328"/>
        <v>153.20000000000002</v>
      </c>
      <c r="AC110" s="2">
        <f t="shared" si="328"/>
        <v>157.80000000000001</v>
      </c>
      <c r="AD110" s="2">
        <f t="shared" si="328"/>
        <v>137.89999999999998</v>
      </c>
      <c r="AE110" s="2">
        <f t="shared" si="328"/>
        <v>112.4</v>
      </c>
      <c r="AF110" s="2">
        <f t="shared" si="328"/>
        <v>139.69999999999999</v>
      </c>
      <c r="AG110" s="2">
        <f t="shared" si="328"/>
        <v>268.5</v>
      </c>
      <c r="AH110" s="2">
        <f t="shared" si="328"/>
        <v>312</v>
      </c>
      <c r="AI110" s="2">
        <f t="shared" si="328"/>
        <v>108.10000000000001</v>
      </c>
      <c r="AJ110" s="2">
        <f t="shared" si="328"/>
        <v>87.399999999999991</v>
      </c>
      <c r="AK110" s="2">
        <f t="shared" si="328"/>
        <v>257.20000000000005</v>
      </c>
      <c r="AL110" s="2">
        <f t="shared" si="328"/>
        <v>235.29999999999998</v>
      </c>
      <c r="AM110" s="2">
        <f t="shared" si="328"/>
        <v>-40.700000000000003</v>
      </c>
      <c r="AN110" s="2">
        <f t="shared" si="328"/>
        <v>276.60000000000002</v>
      </c>
      <c r="AO110" s="2">
        <f t="shared" si="328"/>
        <v>361.20000000000005</v>
      </c>
      <c r="AP110" s="2">
        <f t="shared" si="328"/>
        <v>331.4</v>
      </c>
      <c r="AQ110" s="2">
        <f t="shared" si="328"/>
        <v>124.89999999999999</v>
      </c>
      <c r="AR110" s="2">
        <f t="shared" si="328"/>
        <v>123.00000000000001</v>
      </c>
      <c r="AS110" s="2">
        <f t="shared" si="328"/>
        <v>112.8</v>
      </c>
      <c r="AT110" s="2">
        <f t="shared" si="328"/>
        <v>286.60000000000002</v>
      </c>
      <c r="AU110" s="2">
        <f t="shared" si="328"/>
        <v>194.5</v>
      </c>
      <c r="AV110" s="2">
        <f t="shared" si="328"/>
        <v>456.8</v>
      </c>
      <c r="AW110" s="2">
        <f t="shared" si="328"/>
        <v>471.2</v>
      </c>
      <c r="AX110" s="2">
        <f t="shared" si="328"/>
        <v>283.8</v>
      </c>
      <c r="AY110" s="2">
        <f t="shared" si="328"/>
        <v>220.60000000000002</v>
      </c>
      <c r="AZ110" s="2">
        <f t="shared" si="328"/>
        <v>289.09999999999997</v>
      </c>
      <c r="BA110" s="2">
        <f t="shared" si="328"/>
        <v>249.99999999999997</v>
      </c>
      <c r="BB110" s="2">
        <f t="shared" si="328"/>
        <v>213.9</v>
      </c>
      <c r="BC110" s="2">
        <f t="shared" si="328"/>
        <v>252.60000000000002</v>
      </c>
      <c r="BD110" s="2">
        <f t="shared" si="328"/>
        <v>-14.299999999999997</v>
      </c>
      <c r="BE110" s="2">
        <f t="shared" si="328"/>
        <v>356.2</v>
      </c>
      <c r="BF110" s="2">
        <f t="shared" si="328"/>
        <v>48.3</v>
      </c>
      <c r="BG110" s="2">
        <f t="shared" ref="BG110:BL110" si="329">BG108+BG109</f>
        <v>-118.8</v>
      </c>
      <c r="BH110" s="2">
        <f t="shared" si="329"/>
        <v>286.10000000000002</v>
      </c>
      <c r="BI110" s="2">
        <f t="shared" si="329"/>
        <v>299.90000000000003</v>
      </c>
      <c r="BJ110" s="2">
        <f t="shared" si="329"/>
        <v>-177.3</v>
      </c>
      <c r="BK110" s="2">
        <f t="shared" si="329"/>
        <v>224.39999999999998</v>
      </c>
      <c r="BL110" s="2">
        <f t="shared" si="329"/>
        <v>240.89999999999998</v>
      </c>
      <c r="BM110" s="2">
        <f>BM108+BM109</f>
        <v>516.20000000000005</v>
      </c>
      <c r="BN110" s="34"/>
      <c r="BO110" s="34"/>
      <c r="BP110" s="34"/>
      <c r="BQ110" s="34"/>
      <c r="BR110" s="34"/>
      <c r="CA110" s="71">
        <f t="shared" si="313"/>
        <v>196.8</v>
      </c>
      <c r="CB110" s="71">
        <f t="shared" si="314"/>
        <v>235.50000000000003</v>
      </c>
      <c r="CC110" s="71">
        <f t="shared" si="315"/>
        <v>256.10000000000002</v>
      </c>
      <c r="CD110" s="71">
        <f t="shared" si="316"/>
        <v>366</v>
      </c>
      <c r="CE110" s="71">
        <f t="shared" si="317"/>
        <v>942.5</v>
      </c>
      <c r="CF110" s="71">
        <f t="shared" si="318"/>
        <v>447</v>
      </c>
      <c r="CG110" s="71">
        <f t="shared" si="319"/>
        <v>528.29999999999995</v>
      </c>
      <c r="CH110" s="71">
        <f t="shared" si="320"/>
        <v>832.6</v>
      </c>
      <c r="CI110" s="71">
        <f t="shared" si="321"/>
        <v>688</v>
      </c>
      <c r="CJ110" s="71">
        <f t="shared" si="322"/>
        <v>928.50000000000011</v>
      </c>
      <c r="CK110" s="71">
        <f t="shared" si="323"/>
        <v>647.29999999999995</v>
      </c>
      <c r="CL110" s="71">
        <f t="shared" si="324"/>
        <v>1406.3</v>
      </c>
      <c r="CM110" s="71">
        <f t="shared" si="325"/>
        <v>973.59999999999991</v>
      </c>
      <c r="CN110" s="71">
        <f t="shared" si="326"/>
        <v>642.79999999999995</v>
      </c>
      <c r="CO110" s="71">
        <f t="shared" si="327"/>
        <v>289.90000000000003</v>
      </c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  <c r="DR110" s="34"/>
      <c r="DS110" s="34"/>
      <c r="DT110" s="34"/>
      <c r="DU110" s="34"/>
      <c r="DV110" s="34"/>
      <c r="DW110" s="34"/>
      <c r="DX110" s="34"/>
      <c r="DY110" s="34"/>
      <c r="DZ110" s="34"/>
      <c r="EA110" s="34"/>
      <c r="EB110" s="34"/>
      <c r="EC110" s="34"/>
      <c r="ED110" s="34"/>
      <c r="EE110" s="34"/>
      <c r="EF110" s="34"/>
      <c r="EG110" s="34"/>
      <c r="EH110" s="34"/>
      <c r="EI110" s="34"/>
      <c r="EJ110" s="34"/>
      <c r="EK110" s="34"/>
      <c r="EL110" s="34"/>
      <c r="EM110" s="34"/>
      <c r="EN110" s="34"/>
      <c r="EO110" s="34"/>
      <c r="EP110" s="34"/>
      <c r="EQ110" s="34"/>
      <c r="ER110" s="34"/>
      <c r="ES110" s="34"/>
      <c r="ET110" s="34"/>
      <c r="EU110" s="34"/>
      <c r="EV110" s="34"/>
      <c r="EW110" s="34"/>
      <c r="EX110" s="34"/>
      <c r="EY110" s="34"/>
    </row>
    <row r="111" spans="2:155">
      <c r="B111" s="1" t="s">
        <v>142</v>
      </c>
      <c r="C111" s="1">
        <f t="shared" ref="C111:AH111" si="330">C58</f>
        <v>691</v>
      </c>
      <c r="D111" s="1">
        <f t="shared" si="330"/>
        <v>691</v>
      </c>
      <c r="E111" s="1">
        <f t="shared" si="330"/>
        <v>690</v>
      </c>
      <c r="F111" s="1">
        <f t="shared" si="330"/>
        <v>689</v>
      </c>
      <c r="G111" s="1">
        <f t="shared" si="330"/>
        <v>689</v>
      </c>
      <c r="H111" s="1">
        <f t="shared" si="330"/>
        <v>689</v>
      </c>
      <c r="I111" s="1">
        <f t="shared" si="330"/>
        <v>688</v>
      </c>
      <c r="J111" s="1">
        <f t="shared" si="330"/>
        <v>688</v>
      </c>
      <c r="K111" s="1">
        <f t="shared" si="330"/>
        <v>684</v>
      </c>
      <c r="L111" s="1">
        <f t="shared" si="330"/>
        <v>689</v>
      </c>
      <c r="M111" s="1">
        <f t="shared" si="330"/>
        <v>694</v>
      </c>
      <c r="N111" s="1">
        <f t="shared" si="330"/>
        <v>689</v>
      </c>
      <c r="O111" s="1">
        <f t="shared" si="330"/>
        <v>683</v>
      </c>
      <c r="P111" s="1">
        <f t="shared" si="330"/>
        <v>676</v>
      </c>
      <c r="Q111" s="1">
        <f t="shared" si="330"/>
        <v>666</v>
      </c>
      <c r="R111" s="1">
        <f t="shared" si="330"/>
        <v>670</v>
      </c>
      <c r="S111" s="1">
        <f t="shared" si="330"/>
        <v>640</v>
      </c>
      <c r="T111" s="1">
        <f t="shared" si="330"/>
        <v>634</v>
      </c>
      <c r="U111" s="1">
        <f t="shared" si="330"/>
        <v>638</v>
      </c>
      <c r="V111" s="1">
        <f t="shared" si="330"/>
        <v>639</v>
      </c>
      <c r="W111" s="1">
        <f t="shared" si="330"/>
        <v>647</v>
      </c>
      <c r="X111" s="1">
        <f t="shared" si="330"/>
        <v>646</v>
      </c>
      <c r="Y111" s="1">
        <f t="shared" si="330"/>
        <v>646</v>
      </c>
      <c r="Z111" s="1">
        <f t="shared" si="330"/>
        <v>647</v>
      </c>
      <c r="AA111" s="1">
        <f t="shared" si="330"/>
        <v>639</v>
      </c>
      <c r="AB111" s="1">
        <f t="shared" si="330"/>
        <v>637</v>
      </c>
      <c r="AC111" s="1">
        <f t="shared" si="330"/>
        <v>640</v>
      </c>
      <c r="AD111" s="1">
        <f t="shared" si="330"/>
        <v>639</v>
      </c>
      <c r="AE111" s="1">
        <f t="shared" si="330"/>
        <v>634</v>
      </c>
      <c r="AF111" s="1">
        <f t="shared" si="330"/>
        <v>632</v>
      </c>
      <c r="AG111" s="1">
        <f t="shared" si="330"/>
        <v>634</v>
      </c>
      <c r="AH111" s="1">
        <f t="shared" si="330"/>
        <v>633</v>
      </c>
      <c r="AI111" s="1">
        <f t="shared" ref="AI111:BM111" si="331">AI58</f>
        <v>631</v>
      </c>
      <c r="AJ111" s="1">
        <f t="shared" si="331"/>
        <v>629</v>
      </c>
      <c r="AK111" s="1">
        <f t="shared" si="331"/>
        <v>627</v>
      </c>
      <c r="AL111" s="1">
        <f t="shared" si="331"/>
        <v>628</v>
      </c>
      <c r="AM111" s="1">
        <f t="shared" si="331"/>
        <v>624</v>
      </c>
      <c r="AN111" s="1">
        <f t="shared" si="331"/>
        <v>624</v>
      </c>
      <c r="AO111" s="1">
        <f t="shared" si="331"/>
        <v>625</v>
      </c>
      <c r="AP111" s="1">
        <f t="shared" si="331"/>
        <v>625</v>
      </c>
      <c r="AQ111" s="1">
        <f t="shared" si="331"/>
        <v>624.6</v>
      </c>
      <c r="AR111" s="1">
        <f t="shared" si="331"/>
        <v>620.29999999999995</v>
      </c>
      <c r="AS111" s="1">
        <f t="shared" si="331"/>
        <v>622.1</v>
      </c>
      <c r="AT111" s="1">
        <f t="shared" si="331"/>
        <v>622.6</v>
      </c>
      <c r="AU111" s="1">
        <f t="shared" si="331"/>
        <v>623.20000000000005</v>
      </c>
      <c r="AV111" s="1">
        <f t="shared" si="331"/>
        <v>622.29999999999995</v>
      </c>
      <c r="AW111" s="1">
        <f t="shared" si="331"/>
        <v>623.6</v>
      </c>
      <c r="AX111" s="1">
        <f t="shared" si="331"/>
        <v>623.29999999999995</v>
      </c>
      <c r="AY111" s="1">
        <f t="shared" si="331"/>
        <v>622.1</v>
      </c>
      <c r="AZ111" s="1">
        <f t="shared" si="331"/>
        <v>620.9</v>
      </c>
      <c r="BA111" s="1">
        <f t="shared" si="331"/>
        <v>619.79999999999995</v>
      </c>
      <c r="BB111" s="1">
        <f t="shared" si="331"/>
        <v>619</v>
      </c>
      <c r="BC111" s="1">
        <f t="shared" si="331"/>
        <v>607.5</v>
      </c>
      <c r="BD111" s="1">
        <f t="shared" si="331"/>
        <v>606.9</v>
      </c>
      <c r="BE111" s="1">
        <f t="shared" si="331"/>
        <v>607</v>
      </c>
      <c r="BF111" s="1">
        <f t="shared" si="331"/>
        <v>606.70000000000005</v>
      </c>
      <c r="BG111" s="1">
        <f t="shared" si="331"/>
        <v>601.6</v>
      </c>
      <c r="BH111" s="1">
        <f t="shared" si="331"/>
        <v>602.1</v>
      </c>
      <c r="BI111" s="1">
        <f t="shared" si="331"/>
        <v>597.20000000000005</v>
      </c>
      <c r="BJ111" s="1">
        <f t="shared" si="331"/>
        <v>597.70000000000005</v>
      </c>
      <c r="BK111" s="1">
        <f t="shared" si="331"/>
        <v>586.9</v>
      </c>
      <c r="BL111" s="1">
        <f t="shared" si="331"/>
        <v>587</v>
      </c>
      <c r="BM111" s="1">
        <f t="shared" si="331"/>
        <v>584.70000000000005</v>
      </c>
      <c r="CA111" s="70">
        <f>CA58</f>
        <v>690.25</v>
      </c>
      <c r="CB111" s="70">
        <f t="shared" ref="CB111:CO111" si="332">CB58</f>
        <v>688.5</v>
      </c>
      <c r="CC111" s="70">
        <f t="shared" si="332"/>
        <v>689</v>
      </c>
      <c r="CD111" s="70">
        <f t="shared" si="332"/>
        <v>673.75</v>
      </c>
      <c r="CE111" s="70">
        <f t="shared" si="332"/>
        <v>637.75</v>
      </c>
      <c r="CF111" s="70">
        <f t="shared" si="332"/>
        <v>646.5</v>
      </c>
      <c r="CG111" s="70">
        <f t="shared" si="332"/>
        <v>638.75</v>
      </c>
      <c r="CH111" s="70">
        <f t="shared" si="332"/>
        <v>633.25</v>
      </c>
      <c r="CI111" s="70">
        <f t="shared" si="332"/>
        <v>628.75</v>
      </c>
      <c r="CJ111" s="70">
        <f t="shared" si="332"/>
        <v>624.5</v>
      </c>
      <c r="CK111" s="70">
        <f t="shared" si="332"/>
        <v>622.4</v>
      </c>
      <c r="CL111" s="70">
        <f t="shared" si="332"/>
        <v>623.09999999999991</v>
      </c>
      <c r="CM111" s="70">
        <f t="shared" si="332"/>
        <v>620.45000000000005</v>
      </c>
      <c r="CN111" s="70">
        <f t="shared" si="332"/>
        <v>607.02500000000009</v>
      </c>
      <c r="CO111" s="70">
        <f t="shared" si="332"/>
        <v>599.65000000000009</v>
      </c>
    </row>
    <row r="112" spans="2:155">
      <c r="B112" s="1" t="s">
        <v>143</v>
      </c>
      <c r="C112" s="40">
        <f t="shared" ref="C112:BF112" si="333">C110/C111</f>
        <v>2.8943560057887118E-3</v>
      </c>
      <c r="D112" s="40">
        <f t="shared" si="333"/>
        <v>4.8046309696092623E-2</v>
      </c>
      <c r="E112" s="40">
        <f t="shared" si="333"/>
        <v>0.12014492753623189</v>
      </c>
      <c r="F112" s="40">
        <f t="shared" si="333"/>
        <v>0.11422351233671989</v>
      </c>
      <c r="G112" s="40">
        <f t="shared" si="333"/>
        <v>1.4513788098693759E-3</v>
      </c>
      <c r="H112" s="40">
        <f t="shared" si="333"/>
        <v>9.7677793904208998E-2</v>
      </c>
      <c r="I112" s="40">
        <f t="shared" si="333"/>
        <v>0.14505813953488375</v>
      </c>
      <c r="J112" s="40">
        <f t="shared" si="333"/>
        <v>9.7965116279069772E-2</v>
      </c>
      <c r="K112" s="40">
        <f t="shared" si="333"/>
        <v>-7.1198830409356734E-2</v>
      </c>
      <c r="L112" s="40">
        <f t="shared" si="333"/>
        <v>0.18229317851959362</v>
      </c>
      <c r="M112" s="40">
        <f t="shared" si="333"/>
        <v>0.1559077809798271</v>
      </c>
      <c r="N112" s="40">
        <f t="shared" si="333"/>
        <v>0.10304789550072568</v>
      </c>
      <c r="O112" s="40">
        <f t="shared" si="333"/>
        <v>9.4143484626647136E-2</v>
      </c>
      <c r="P112" s="40">
        <f t="shared" si="333"/>
        <v>0.14585798816568046</v>
      </c>
      <c r="Q112" s="40">
        <f t="shared" si="333"/>
        <v>0.16456456456456456</v>
      </c>
      <c r="R112" s="40">
        <f t="shared" si="333"/>
        <v>0.13955223880597015</v>
      </c>
      <c r="S112" s="40">
        <f t="shared" si="333"/>
        <v>0.19468750000000001</v>
      </c>
      <c r="T112" s="40">
        <f t="shared" si="333"/>
        <v>1.2018927444794953</v>
      </c>
      <c r="U112" s="40">
        <f t="shared" si="333"/>
        <v>-9.2476489028213201E-3</v>
      </c>
      <c r="V112" s="40">
        <f t="shared" si="333"/>
        <v>9.6713615023474184E-2</v>
      </c>
      <c r="W112" s="40">
        <f t="shared" si="333"/>
        <v>8.1143740340030912E-2</v>
      </c>
      <c r="X112" s="40">
        <f t="shared" si="333"/>
        <v>0.23482972136222907</v>
      </c>
      <c r="Y112" s="40">
        <f t="shared" si="333"/>
        <v>0.27321981424148606</v>
      </c>
      <c r="Z112" s="40">
        <f t="shared" si="333"/>
        <v>0.10247295208655331</v>
      </c>
      <c r="AA112" s="40">
        <f t="shared" si="333"/>
        <v>0.12425665101721438</v>
      </c>
      <c r="AB112" s="40">
        <f t="shared" si="333"/>
        <v>0.24050235478806911</v>
      </c>
      <c r="AC112" s="40">
        <f t="shared" si="333"/>
        <v>0.24656250000000002</v>
      </c>
      <c r="AD112" s="40">
        <f t="shared" si="333"/>
        <v>0.21580594679186224</v>
      </c>
      <c r="AE112" s="40">
        <f t="shared" si="333"/>
        <v>0.17728706624605678</v>
      </c>
      <c r="AF112" s="40">
        <f t="shared" si="333"/>
        <v>0.22104430379746834</v>
      </c>
      <c r="AG112" s="40">
        <f t="shared" si="333"/>
        <v>0.42350157728706622</v>
      </c>
      <c r="AH112" s="40">
        <f t="shared" si="333"/>
        <v>0.49289099526066349</v>
      </c>
      <c r="AI112" s="40">
        <f t="shared" si="333"/>
        <v>0.17131537242472267</v>
      </c>
      <c r="AJ112" s="40">
        <f t="shared" si="333"/>
        <v>0.13895071542130363</v>
      </c>
      <c r="AK112" s="40">
        <f t="shared" si="333"/>
        <v>0.41020733652312608</v>
      </c>
      <c r="AL112" s="40">
        <f t="shared" si="333"/>
        <v>0.37468152866242038</v>
      </c>
      <c r="AM112" s="40">
        <f t="shared" si="333"/>
        <v>-6.5224358974358979E-2</v>
      </c>
      <c r="AN112" s="40">
        <f t="shared" si="333"/>
        <v>0.4432692307692308</v>
      </c>
      <c r="AO112" s="40">
        <f t="shared" si="333"/>
        <v>0.5779200000000001</v>
      </c>
      <c r="AP112" s="40">
        <f t="shared" si="333"/>
        <v>0.53023999999999993</v>
      </c>
      <c r="AQ112" s="40">
        <f t="shared" si="333"/>
        <v>0.19996797950688439</v>
      </c>
      <c r="AR112" s="40">
        <f t="shared" si="333"/>
        <v>0.19829114944381754</v>
      </c>
      <c r="AS112" s="40">
        <f t="shared" si="333"/>
        <v>0.18132133097572736</v>
      </c>
      <c r="AT112" s="40">
        <f t="shared" si="333"/>
        <v>0.46032765820751687</v>
      </c>
      <c r="AU112" s="40">
        <f t="shared" si="333"/>
        <v>0.31209884467265725</v>
      </c>
      <c r="AV112" s="40">
        <f t="shared" si="333"/>
        <v>0.73405110075526281</v>
      </c>
      <c r="AW112" s="40">
        <f t="shared" si="333"/>
        <v>0.75561257216164202</v>
      </c>
      <c r="AX112" s="40">
        <f t="shared" si="333"/>
        <v>0.45531846622814059</v>
      </c>
      <c r="AY112" s="40">
        <f t="shared" si="333"/>
        <v>0.35460536891175054</v>
      </c>
      <c r="AZ112" s="40">
        <f t="shared" si="333"/>
        <v>0.46561443066516345</v>
      </c>
      <c r="BA112" s="40">
        <f t="shared" si="333"/>
        <v>0.40335592126492414</v>
      </c>
      <c r="BB112" s="40">
        <f t="shared" si="333"/>
        <v>0.34555735056542813</v>
      </c>
      <c r="BC112" s="40">
        <f t="shared" si="333"/>
        <v>0.41580246913580249</v>
      </c>
      <c r="BD112" s="40">
        <f t="shared" si="333"/>
        <v>-2.3562366122919752E-2</v>
      </c>
      <c r="BE112" s="40">
        <f t="shared" si="333"/>
        <v>0.58682042833607906</v>
      </c>
      <c r="BF112" s="40">
        <f t="shared" si="333"/>
        <v>7.961101038404482E-2</v>
      </c>
      <c r="BG112" s="40">
        <f t="shared" ref="BG112:BL112" si="334">BG110/BG111</f>
        <v>-0.19747340425531915</v>
      </c>
      <c r="BH112" s="40">
        <f t="shared" si="334"/>
        <v>0.4751702375020761</v>
      </c>
      <c r="BI112" s="40">
        <f t="shared" si="334"/>
        <v>0.50217682518419293</v>
      </c>
      <c r="BJ112" s="40">
        <f t="shared" si="334"/>
        <v>-0.29663710891751716</v>
      </c>
      <c r="BK112" s="40">
        <f t="shared" si="334"/>
        <v>0.38234792980064747</v>
      </c>
      <c r="BL112" s="40">
        <f t="shared" si="334"/>
        <v>0.41039182282793862</v>
      </c>
      <c r="BM112" s="40">
        <f>BM110/BM111</f>
        <v>0.88284590388233286</v>
      </c>
      <c r="CA112" s="40">
        <f t="shared" si="313"/>
        <v>0.28530910557483313</v>
      </c>
      <c r="CB112" s="40">
        <f t="shared" si="314"/>
        <v>0.3421524285280319</v>
      </c>
      <c r="CC112" s="40">
        <f t="shared" si="315"/>
        <v>0.37005002459078967</v>
      </c>
      <c r="CD112" s="40">
        <f t="shared" si="316"/>
        <v>0.54411827616286224</v>
      </c>
      <c r="CE112" s="40">
        <f t="shared" si="317"/>
        <v>1.4840462106001484</v>
      </c>
      <c r="CF112" s="40">
        <f t="shared" si="318"/>
        <v>0.69166622803029931</v>
      </c>
      <c r="CG112" s="40">
        <f t="shared" si="319"/>
        <v>0.82712745259714571</v>
      </c>
      <c r="CH112" s="40">
        <f t="shared" si="320"/>
        <v>1.3147239425912549</v>
      </c>
      <c r="CI112" s="40">
        <f t="shared" si="321"/>
        <v>1.0951549530315727</v>
      </c>
      <c r="CJ112" s="40">
        <f t="shared" si="322"/>
        <v>1.4862048717948717</v>
      </c>
      <c r="CK112" s="40">
        <f t="shared" si="323"/>
        <v>1.0399081181339462</v>
      </c>
      <c r="CL112" s="40">
        <f t="shared" si="324"/>
        <v>2.2570809838177026</v>
      </c>
      <c r="CM112" s="40">
        <f t="shared" si="325"/>
        <v>1.5691330714072662</v>
      </c>
      <c r="CN112" s="40">
        <f t="shared" si="326"/>
        <v>1.0586715417330066</v>
      </c>
      <c r="CO112" s="40">
        <f t="shared" si="327"/>
        <v>0.48323654951343276</v>
      </c>
    </row>
  </sheetData>
  <mergeCells count="1">
    <mergeCell ref="CX82:CY82"/>
  </mergeCells>
  <conditionalFormatting sqref="CX8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Sell",CX82)))</formula>
    </cfRule>
    <cfRule type="containsText" dxfId="3" priority="3" operator="containsText" text="Sell">
      <formula>NOT(ISERROR(SEARCH("Sell",CX82)))</formula>
    </cfRule>
    <cfRule type="containsText" dxfId="2" priority="4" operator="containsText" text="Hold">
      <formula>NOT(ISERROR(SEARCH("Hold",CX82)))</formula>
    </cfRule>
    <cfRule type="beginsWith" dxfId="1" priority="5" operator="beginsWith" text="Buy">
      <formula>LEFT(CX82,LEN("Buy"))="Buy"</formula>
    </cfRule>
    <cfRule type="beginsWith" dxfId="0" priority="6" operator="beginsWith" text="Strong">
      <formula>LEFT(CX82,LEN("Strong"))="Strong"</formula>
    </cfRule>
  </conditionalFormatting>
  <pageMargins left="0.7" right="0.7" top="0.75" bottom="0.75" header="0.3" footer="0.3"/>
  <ignoredErrors>
    <ignoredError sqref="CP14:CY14 CL10:CO10 CL11:CO13 CA15:CO15 AU10:BK12 AQ16:BK19 AQ27:BK36 BL10:BM12 BL25:BM36 BL14:BM20 AQ61:BM66 B112 C112:BL112 CL14:CO14 AQ59:BL59 BM59 C59:AP59 CA107:CO107 CA16:CJ16 AU14:BK14 AU13:BG13" evalError="1"/>
    <ignoredError sqref="BK40:BM40 BL57 BK53:BM53 BD57:BE57 BM57 BK55:BM55 BL54:BM54 BL56:BM56 BH57:BJ57" formula="1"/>
    <ignoredError sqref="AT38:BJ38 BD48:BJ49 BH39:BI39 BH41:BI41 BH42:BI42 BH43:BI43 BH44:BI44 BH45:BI45 BH46:BI46 BH47:BI47 BH50:BI50 BH51:BI51 BH52:BI52 AT48:BC49 AT44 AT43 AX43:BC43 AT51 AT47 AT46 AX46:BC46 AT45 AX45:BC45 AX44:BC44 AT39 AX39:BC39 AT42 AT41 AX41:BC41 AX42:BC42 AX47:BC47 AT54 AT52 AX52:BC52 AT50 AX50:BC50 AX51:BC51 AT56 AX54:BC54 AX56:BC56 CA38:CO57 CO7" formulaRange="1"/>
    <ignoredError sqref="BD40:BJ40 BD53:BJ53 BD55:BJ55 BH54:BI54 BH56:BI56 AT57:BC57 AT55:BC55 AT53:BC53 AT40:BC40 CK58:CO58" formula="1" formulaRange="1"/>
    <ignoredError sqref="CK59:CO59 CA59:CJ59 CA108:CO110" evalError="1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B1560"/>
  <sheetViews>
    <sheetView topLeftCell="H153" zoomScale="55" zoomScaleNormal="55" workbookViewId="0">
      <selection activeCell="AA151" sqref="AA151"/>
    </sheetView>
  </sheetViews>
  <sheetFormatPr defaultColWidth="9.140625" defaultRowHeight="14.25"/>
  <cols>
    <col min="1" max="7" width="9.140625" style="1" hidden="1" customWidth="1"/>
    <col min="8" max="8" width="3.140625" style="1" customWidth="1"/>
    <col min="9" max="29" width="9.140625" style="1"/>
    <col min="30" max="30" width="2.85546875" style="1" customWidth="1"/>
    <col min="31" max="16384" width="9.140625" style="1"/>
  </cols>
  <sheetData>
    <row r="1" spans="8:80">
      <c r="CB1" s="1">
        <v>0</v>
      </c>
    </row>
    <row r="2" spans="8:80" ht="15">
      <c r="H2" s="2" t="s">
        <v>163</v>
      </c>
      <c r="AE2" s="2" t="s">
        <v>1478</v>
      </c>
    </row>
    <row r="32" spans="9:10">
      <c r="I32" s="1" t="s">
        <v>15</v>
      </c>
      <c r="J32" s="1" t="s">
        <v>16</v>
      </c>
    </row>
    <row r="33" spans="8:31">
      <c r="J33" s="1" t="s">
        <v>17</v>
      </c>
    </row>
    <row r="34" spans="8:31">
      <c r="J34" s="1" t="s">
        <v>18</v>
      </c>
    </row>
    <row r="35" spans="8:31" ht="15">
      <c r="AE35" s="2" t="s">
        <v>1477</v>
      </c>
    </row>
    <row r="36" spans="8:31" ht="15">
      <c r="H36" s="2" t="s">
        <v>1542</v>
      </c>
      <c r="AE36" s="2" t="s">
        <v>144</v>
      </c>
    </row>
    <row r="68" spans="8:31">
      <c r="I68" s="1" t="s">
        <v>15</v>
      </c>
      <c r="J68" s="1" t="s">
        <v>16</v>
      </c>
    </row>
    <row r="69" spans="8:31">
      <c r="J69" s="1" t="s">
        <v>17</v>
      </c>
    </row>
    <row r="70" spans="8:31">
      <c r="J70" s="1" t="s">
        <v>18</v>
      </c>
    </row>
    <row r="72" spans="8:31" ht="15">
      <c r="H72" s="2" t="s">
        <v>1476</v>
      </c>
      <c r="AE72" s="2" t="s">
        <v>145</v>
      </c>
    </row>
    <row r="104" spans="8:31">
      <c r="I104" s="1" t="s">
        <v>15</v>
      </c>
      <c r="J104" s="1" t="s">
        <v>16</v>
      </c>
    </row>
    <row r="105" spans="8:31">
      <c r="J105" s="1" t="s">
        <v>17</v>
      </c>
    </row>
    <row r="106" spans="8:31">
      <c r="J106" s="1" t="s">
        <v>18</v>
      </c>
    </row>
    <row r="108" spans="8:31" ht="15">
      <c r="H108" s="2" t="s">
        <v>167</v>
      </c>
      <c r="AE108" s="2" t="s">
        <v>146</v>
      </c>
    </row>
    <row r="137" spans="8:31">
      <c r="I137" s="1" t="s">
        <v>15</v>
      </c>
      <c r="J137" s="1" t="s">
        <v>16</v>
      </c>
    </row>
    <row r="138" spans="8:31">
      <c r="J138" s="1" t="s">
        <v>17</v>
      </c>
    </row>
    <row r="139" spans="8:31">
      <c r="J139" s="1" t="s">
        <v>18</v>
      </c>
    </row>
    <row r="141" spans="8:31" ht="15">
      <c r="H141" s="2" t="s">
        <v>166</v>
      </c>
      <c r="AE141" s="2" t="s">
        <v>147</v>
      </c>
    </row>
    <row r="157" ht="15" customHeight="1"/>
    <row r="170" spans="9:10">
      <c r="I170" s="1" t="s">
        <v>15</v>
      </c>
      <c r="J170" s="1" t="s">
        <v>16</v>
      </c>
    </row>
    <row r="171" spans="9:10">
      <c r="J171" s="1" t="s">
        <v>17</v>
      </c>
    </row>
    <row r="172" spans="9:10">
      <c r="J172" s="1" t="s">
        <v>18</v>
      </c>
    </row>
    <row r="188" spans="1:7">
      <c r="A188" s="1" t="s">
        <v>1444</v>
      </c>
    </row>
    <row r="189" spans="1:7">
      <c r="A189" s="24" t="s">
        <v>19</v>
      </c>
      <c r="B189" s="24" t="s">
        <v>20</v>
      </c>
      <c r="C189" s="24" t="s">
        <v>21</v>
      </c>
      <c r="D189" s="24" t="s">
        <v>22</v>
      </c>
      <c r="E189" s="24" t="s">
        <v>23</v>
      </c>
      <c r="F189" s="24" t="s">
        <v>24</v>
      </c>
      <c r="G189" s="24" t="s">
        <v>25</v>
      </c>
    </row>
    <row r="190" spans="1:7">
      <c r="A190" s="64">
        <v>74.41</v>
      </c>
      <c r="B190" s="64">
        <v>74.75</v>
      </c>
      <c r="C190" s="64">
        <v>74</v>
      </c>
      <c r="D190" s="64">
        <v>74.454999999999998</v>
      </c>
      <c r="E190" s="64">
        <v>8177895</v>
      </c>
      <c r="F190" s="64" t="s">
        <v>188</v>
      </c>
      <c r="G190" s="25">
        <f>A190/D190-1</f>
        <v>-6.043919145792831E-4</v>
      </c>
    </row>
    <row r="191" spans="1:7">
      <c r="A191" s="64">
        <v>74.55</v>
      </c>
      <c r="B191" s="64">
        <v>75.92</v>
      </c>
      <c r="C191" s="64">
        <v>73.05</v>
      </c>
      <c r="D191" s="64">
        <v>75.3</v>
      </c>
      <c r="E191" s="64">
        <v>8296722</v>
      </c>
      <c r="F191" s="64" t="s">
        <v>189</v>
      </c>
      <c r="G191" s="25">
        <f t="shared" ref="G191:G254" si="0">A191/D191-1</f>
        <v>-9.960159362549792E-3</v>
      </c>
    </row>
    <row r="192" spans="1:7">
      <c r="A192" s="64">
        <v>75.2</v>
      </c>
      <c r="B192" s="64">
        <v>76.430000000000007</v>
      </c>
      <c r="C192" s="64">
        <v>74.790000000000006</v>
      </c>
      <c r="D192" s="64">
        <v>75.42</v>
      </c>
      <c r="E192" s="64">
        <v>4845388</v>
      </c>
      <c r="F192" s="64" t="s">
        <v>190</v>
      </c>
      <c r="G192" s="25">
        <f t="shared" si="0"/>
        <v>-2.9169981437284775E-3</v>
      </c>
    </row>
    <row r="193" spans="1:13">
      <c r="A193" s="64">
        <v>75.09</v>
      </c>
      <c r="B193" s="64">
        <v>76.075000000000003</v>
      </c>
      <c r="C193" s="64">
        <v>74.89</v>
      </c>
      <c r="D193" s="64">
        <v>75.73</v>
      </c>
      <c r="E193" s="64">
        <v>5153724</v>
      </c>
      <c r="F193" s="64" t="s">
        <v>191</v>
      </c>
      <c r="G193" s="25">
        <f t="shared" si="0"/>
        <v>-8.4510761917337973E-3</v>
      </c>
    </row>
    <row r="194" spans="1:13">
      <c r="A194" s="64">
        <v>76.05</v>
      </c>
      <c r="B194" s="64">
        <v>78.099999999999994</v>
      </c>
      <c r="C194" s="64">
        <v>75.989999999999995</v>
      </c>
      <c r="D194" s="64">
        <v>77.64</v>
      </c>
      <c r="E194" s="64">
        <v>3711577</v>
      </c>
      <c r="F194" s="64" t="s">
        <v>192</v>
      </c>
      <c r="G194" s="25">
        <f t="shared" si="0"/>
        <v>-2.0479134466769744E-2</v>
      </c>
    </row>
    <row r="195" spans="1:13">
      <c r="A195" s="64">
        <v>77.569999999999993</v>
      </c>
      <c r="B195" s="64">
        <v>77.825000000000003</v>
      </c>
      <c r="C195" s="64">
        <v>76.489999999999995</v>
      </c>
      <c r="D195" s="64">
        <v>77.489999999999995</v>
      </c>
      <c r="E195" s="64">
        <v>5084666</v>
      </c>
      <c r="F195" s="64" t="s">
        <v>193</v>
      </c>
      <c r="G195" s="25">
        <f t="shared" si="0"/>
        <v>1.0323912762937315E-3</v>
      </c>
    </row>
    <row r="196" spans="1:13">
      <c r="A196" s="64">
        <v>78.010000000000005</v>
      </c>
      <c r="B196" s="64">
        <v>78.540000000000006</v>
      </c>
      <c r="C196" s="64">
        <v>77.14</v>
      </c>
      <c r="D196" s="64">
        <v>78.239999999999995</v>
      </c>
      <c r="E196" s="64">
        <v>4604465</v>
      </c>
      <c r="F196" s="64" t="s">
        <v>194</v>
      </c>
      <c r="G196" s="25">
        <f t="shared" si="0"/>
        <v>-2.9396728016358731E-3</v>
      </c>
    </row>
    <row r="197" spans="1:13">
      <c r="A197" s="64">
        <v>78.28</v>
      </c>
      <c r="B197" s="64">
        <v>80.45</v>
      </c>
      <c r="C197" s="64">
        <v>77.89</v>
      </c>
      <c r="D197" s="64">
        <v>80.174999999999997</v>
      </c>
      <c r="E197" s="64">
        <v>3897660</v>
      </c>
      <c r="F197" s="64" t="s">
        <v>195</v>
      </c>
      <c r="G197" s="25">
        <f t="shared" si="0"/>
        <v>-2.363579669473026E-2</v>
      </c>
    </row>
    <row r="198" spans="1:13">
      <c r="A198" s="64">
        <v>79.8</v>
      </c>
      <c r="B198" s="64">
        <v>80.734999999999999</v>
      </c>
      <c r="C198" s="64">
        <v>79.510000000000005</v>
      </c>
      <c r="D198" s="64">
        <v>80.180000000000007</v>
      </c>
      <c r="E198" s="64">
        <v>2293753</v>
      </c>
      <c r="F198" s="64" t="s">
        <v>196</v>
      </c>
      <c r="G198" s="25">
        <f t="shared" si="0"/>
        <v>-4.7393364928911552E-3</v>
      </c>
    </row>
    <row r="199" spans="1:13">
      <c r="A199" s="64">
        <v>80.209999999999994</v>
      </c>
      <c r="B199" s="64">
        <v>80.795000000000002</v>
      </c>
      <c r="C199" s="64">
        <v>79.53</v>
      </c>
      <c r="D199" s="64">
        <v>80.569999999999993</v>
      </c>
      <c r="E199" s="64">
        <v>3042349</v>
      </c>
      <c r="F199" s="64" t="s">
        <v>197</v>
      </c>
      <c r="G199" s="25">
        <f t="shared" si="0"/>
        <v>-4.4681643291547557E-3</v>
      </c>
    </row>
    <row r="200" spans="1:13">
      <c r="A200" s="64">
        <v>80.94</v>
      </c>
      <c r="B200" s="64">
        <v>81.64</v>
      </c>
      <c r="C200" s="64">
        <v>80.48</v>
      </c>
      <c r="D200" s="64">
        <v>80.78</v>
      </c>
      <c r="E200" s="64">
        <v>2218606</v>
      </c>
      <c r="F200" s="64" t="s">
        <v>198</v>
      </c>
      <c r="G200" s="25">
        <f t="shared" si="0"/>
        <v>1.9806882891804101E-3</v>
      </c>
    </row>
    <row r="201" spans="1:13">
      <c r="A201" s="64">
        <v>80.959999999999994</v>
      </c>
      <c r="B201" s="64">
        <v>81.569999999999993</v>
      </c>
      <c r="C201" s="64">
        <v>80.534999999999997</v>
      </c>
      <c r="D201" s="64">
        <v>81.010000000000005</v>
      </c>
      <c r="E201" s="64">
        <v>2482450</v>
      </c>
      <c r="F201" s="64" t="s">
        <v>199</v>
      </c>
      <c r="G201" s="25">
        <f t="shared" si="0"/>
        <v>-6.1720775212947832E-4</v>
      </c>
    </row>
    <row r="202" spans="1:13">
      <c r="A202" s="64">
        <v>81.22</v>
      </c>
      <c r="B202" s="64">
        <v>82.665000000000006</v>
      </c>
      <c r="C202" s="64">
        <v>80.08</v>
      </c>
      <c r="D202" s="64">
        <v>81.77</v>
      </c>
      <c r="E202" s="64">
        <v>3240097</v>
      </c>
      <c r="F202" s="64" t="s">
        <v>200</v>
      </c>
      <c r="G202" s="25">
        <f t="shared" si="0"/>
        <v>-6.7261831967714292E-3</v>
      </c>
    </row>
    <row r="203" spans="1:13">
      <c r="A203" s="64">
        <v>81.77</v>
      </c>
      <c r="B203" s="64">
        <v>82.05</v>
      </c>
      <c r="C203" s="64">
        <v>80.12</v>
      </c>
      <c r="D203" s="64">
        <v>80.75</v>
      </c>
      <c r="E203" s="64">
        <v>3296649</v>
      </c>
      <c r="F203" s="64" t="s">
        <v>201</v>
      </c>
      <c r="G203" s="25">
        <f t="shared" si="0"/>
        <v>1.2631578947368327E-2</v>
      </c>
      <c r="I203" s="26"/>
      <c r="J203" s="26" t="s">
        <v>26</v>
      </c>
      <c r="K203" s="27">
        <f>MIN(G190:G1445)</f>
        <v>-6.7333229182940157E-2</v>
      </c>
    </row>
    <row r="204" spans="1:13">
      <c r="A204" s="64">
        <v>81.34</v>
      </c>
      <c r="B204" s="64">
        <v>81.540000000000006</v>
      </c>
      <c r="C204" s="64">
        <v>80.7</v>
      </c>
      <c r="D204" s="64">
        <v>81.09</v>
      </c>
      <c r="E204" s="64">
        <v>2595801</v>
      </c>
      <c r="F204" s="64" t="s">
        <v>202</v>
      </c>
      <c r="G204" s="25">
        <f t="shared" si="0"/>
        <v>3.0829942039709568E-3</v>
      </c>
      <c r="I204" s="26"/>
      <c r="J204" s="26" t="s">
        <v>27</v>
      </c>
      <c r="K204" s="27">
        <f>MAX(G190:G1445)</f>
        <v>7.6124999999999998E-2</v>
      </c>
    </row>
    <row r="205" spans="1:13">
      <c r="A205" s="64">
        <v>81.23</v>
      </c>
      <c r="B205" s="64">
        <v>81.290000000000006</v>
      </c>
      <c r="C205" s="64">
        <v>80.02</v>
      </c>
      <c r="D205" s="64">
        <v>80.62</v>
      </c>
      <c r="E205" s="64">
        <v>3096682</v>
      </c>
      <c r="F205" s="64" t="s">
        <v>203</v>
      </c>
      <c r="G205" s="25">
        <f t="shared" si="0"/>
        <v>7.5663607045397541E-3</v>
      </c>
      <c r="I205" s="26"/>
      <c r="J205" s="26" t="s">
        <v>28</v>
      </c>
      <c r="K205" s="27">
        <f>AVERAGE(G190:G1445)</f>
        <v>2.9856020984032303E-4</v>
      </c>
    </row>
    <row r="206" spans="1:13">
      <c r="A206" s="64">
        <v>80.900000000000006</v>
      </c>
      <c r="B206" s="64">
        <v>81.7</v>
      </c>
      <c r="C206" s="64">
        <v>80.900000000000006</v>
      </c>
      <c r="D206" s="64">
        <v>81.37</v>
      </c>
      <c r="E206" s="64">
        <v>2806590</v>
      </c>
      <c r="F206" s="64" t="s">
        <v>204</v>
      </c>
      <c r="G206" s="25">
        <f t="shared" si="0"/>
        <v>-5.7760845520461457E-3</v>
      </c>
      <c r="I206" s="26"/>
      <c r="J206" s="26" t="s">
        <v>29</v>
      </c>
      <c r="K206" s="27">
        <f>MEDIAN(G190:G1445)</f>
        <v>2.7543868179946696E-4</v>
      </c>
    </row>
    <row r="207" spans="1:13" ht="15">
      <c r="A207" s="64">
        <v>81.27</v>
      </c>
      <c r="B207" s="64">
        <v>81.314999999999998</v>
      </c>
      <c r="C207" s="64">
        <v>80.510000000000005</v>
      </c>
      <c r="D207" s="64">
        <v>80.86</v>
      </c>
      <c r="E207" s="64">
        <v>4713933</v>
      </c>
      <c r="F207" s="64" t="s">
        <v>205</v>
      </c>
      <c r="G207" s="25">
        <f t="shared" si="0"/>
        <v>5.0704922087558835E-3</v>
      </c>
      <c r="I207" s="26"/>
      <c r="J207" s="26" t="s">
        <v>30</v>
      </c>
      <c r="K207" s="27">
        <f>_xlfn.STDEV.P(G190:G1445)</f>
        <v>1.5347304253278952E-2</v>
      </c>
      <c r="M207" s="2"/>
    </row>
    <row r="208" spans="1:13" ht="15">
      <c r="A208" s="64">
        <v>80.86</v>
      </c>
      <c r="B208" s="64">
        <v>82.23</v>
      </c>
      <c r="C208" s="64">
        <v>80.849999999999994</v>
      </c>
      <c r="D208" s="64">
        <v>81.760000000000005</v>
      </c>
      <c r="E208" s="64">
        <v>4393047</v>
      </c>
      <c r="F208" s="64" t="s">
        <v>206</v>
      </c>
      <c r="G208" s="25">
        <f t="shared" si="0"/>
        <v>-1.1007827788649727E-2</v>
      </c>
      <c r="I208" s="26"/>
      <c r="J208" s="28" t="s">
        <v>31</v>
      </c>
      <c r="K208" s="27">
        <f>3*K207</f>
        <v>4.6041912759836857E-2</v>
      </c>
      <c r="L208" s="26"/>
      <c r="M208" s="2" t="s">
        <v>157</v>
      </c>
    </row>
    <row r="209" spans="1:17" ht="15">
      <c r="A209" s="64">
        <v>81.83</v>
      </c>
      <c r="B209" s="64">
        <v>81.84</v>
      </c>
      <c r="C209" s="64">
        <v>80.349999999999994</v>
      </c>
      <c r="D209" s="64">
        <v>81.510000000000005</v>
      </c>
      <c r="E209" s="64">
        <v>2834998</v>
      </c>
      <c r="F209" s="64" t="s">
        <v>207</v>
      </c>
      <c r="G209" s="25">
        <f t="shared" si="0"/>
        <v>3.9258986627406234E-3</v>
      </c>
      <c r="I209" s="26"/>
      <c r="J209" s="28" t="s">
        <v>32</v>
      </c>
      <c r="K209" s="26">
        <v>1.07</v>
      </c>
      <c r="L209" s="26"/>
      <c r="M209" s="2" t="s">
        <v>33</v>
      </c>
    </row>
    <row r="210" spans="1:17">
      <c r="A210" s="64">
        <v>81.16</v>
      </c>
      <c r="B210" s="64">
        <v>82.254999999999995</v>
      </c>
      <c r="C210" s="64">
        <v>81.03</v>
      </c>
      <c r="D210" s="64">
        <v>81.39</v>
      </c>
      <c r="E210" s="64">
        <v>7510581</v>
      </c>
      <c r="F210" s="64" t="s">
        <v>208</v>
      </c>
      <c r="G210" s="25">
        <f t="shared" si="0"/>
        <v>-2.8258999877135427E-3</v>
      </c>
    </row>
    <row r="211" spans="1:17">
      <c r="A211" s="64">
        <v>81.39</v>
      </c>
      <c r="B211" s="64">
        <v>81.42</v>
      </c>
      <c r="C211" s="64">
        <v>79.424999999999997</v>
      </c>
      <c r="D211" s="64">
        <v>80</v>
      </c>
      <c r="E211" s="64">
        <v>5046467</v>
      </c>
      <c r="F211" s="64" t="s">
        <v>209</v>
      </c>
      <c r="G211" s="25">
        <f t="shared" si="0"/>
        <v>1.7374999999999918E-2</v>
      </c>
      <c r="I211" s="29" t="s">
        <v>34</v>
      </c>
      <c r="J211" s="30">
        <v>1256</v>
      </c>
    </row>
    <row r="212" spans="1:17" ht="15" thickBot="1">
      <c r="A212" s="64">
        <v>78.930000000000007</v>
      </c>
      <c r="B212" s="64">
        <v>79.344999999999999</v>
      </c>
      <c r="C212" s="64">
        <v>77.75</v>
      </c>
      <c r="D212" s="64">
        <v>77.75</v>
      </c>
      <c r="E212" s="64">
        <v>3792166</v>
      </c>
      <c r="F212" s="64" t="s">
        <v>210</v>
      </c>
      <c r="G212" s="25">
        <f t="shared" si="0"/>
        <v>1.5176848874598248E-2</v>
      </c>
      <c r="I212" s="1" t="s">
        <v>35</v>
      </c>
      <c r="L212" s="1" t="s">
        <v>36</v>
      </c>
      <c r="P212" s="1" t="s">
        <v>37</v>
      </c>
    </row>
    <row r="213" spans="1:17" ht="15" customHeight="1">
      <c r="A213" s="64">
        <v>78.3</v>
      </c>
      <c r="B213" s="64">
        <v>78.94</v>
      </c>
      <c r="C213" s="64">
        <v>77.650000000000006</v>
      </c>
      <c r="D213" s="64">
        <v>78.12</v>
      </c>
      <c r="E213" s="64">
        <v>4288108</v>
      </c>
      <c r="F213" s="64" t="s">
        <v>211</v>
      </c>
      <c r="G213" s="25">
        <f t="shared" si="0"/>
        <v>2.3041474654377225E-3</v>
      </c>
      <c r="I213" s="67" t="s">
        <v>38</v>
      </c>
      <c r="J213" s="67" t="s">
        <v>39</v>
      </c>
      <c r="L213" s="31" t="s">
        <v>40</v>
      </c>
      <c r="M213" s="32" t="s">
        <v>41</v>
      </c>
      <c r="P213" s="31" t="s">
        <v>42</v>
      </c>
      <c r="Q213" s="32" t="s">
        <v>43</v>
      </c>
    </row>
    <row r="214" spans="1:17" ht="15">
      <c r="A214" s="64">
        <v>78.260000000000005</v>
      </c>
      <c r="B214" s="64">
        <v>78.5</v>
      </c>
      <c r="C214" s="64">
        <v>77.575000000000003</v>
      </c>
      <c r="D214" s="64">
        <v>78.39</v>
      </c>
      <c r="E214" s="64">
        <v>2620553</v>
      </c>
      <c r="F214" s="64" t="s">
        <v>212</v>
      </c>
      <c r="G214" s="25">
        <f t="shared" si="0"/>
        <v>-1.6583747927031434E-3</v>
      </c>
      <c r="I214" s="65">
        <v>-4.7500000000000001E-2</v>
      </c>
      <c r="J214">
        <v>5</v>
      </c>
      <c r="L214" s="65">
        <v>-0.05</v>
      </c>
      <c r="M214" s="1">
        <f>_xlfn.NORM.DIST(L214,$K$205,$K$207,FALSE)</f>
        <v>0.12091709758752546</v>
      </c>
      <c r="O214" s="1" t="s">
        <v>148</v>
      </c>
      <c r="P214" s="69">
        <f>K205</f>
        <v>2.9856020984032303E-4</v>
      </c>
      <c r="Q214" s="1">
        <v>0</v>
      </c>
    </row>
    <row r="215" spans="1:17" ht="15">
      <c r="A215" s="64">
        <v>78.180000000000007</v>
      </c>
      <c r="B215" s="64">
        <v>78.23</v>
      </c>
      <c r="C215" s="64">
        <v>77.224999999999994</v>
      </c>
      <c r="D215" s="64">
        <v>77.53</v>
      </c>
      <c r="E215" s="64">
        <v>2810995</v>
      </c>
      <c r="F215" s="64" t="s">
        <v>213</v>
      </c>
      <c r="G215" s="25">
        <f t="shared" si="0"/>
        <v>8.3838514123566465E-3</v>
      </c>
      <c r="I215" s="65">
        <v>-4.4999999999999998E-2</v>
      </c>
      <c r="J215">
        <v>2</v>
      </c>
      <c r="L215" s="65">
        <v>-4.7500000000000001E-2</v>
      </c>
      <c r="M215" s="1">
        <f t="shared" ref="M215:M254" si="1">_xlfn.NORM.DIST(L215,$K$205,$K$207,FALSE)</f>
        <v>0.20350745795496969</v>
      </c>
      <c r="P215" s="69">
        <f>K205</f>
        <v>2.9856020984032303E-4</v>
      </c>
      <c r="Q215" s="1">
        <v>26</v>
      </c>
    </row>
    <row r="216" spans="1:17" ht="15">
      <c r="A216" s="64">
        <v>77.680000000000007</v>
      </c>
      <c r="B216" s="64">
        <v>78.02</v>
      </c>
      <c r="C216" s="64">
        <v>76.62</v>
      </c>
      <c r="D216" s="64">
        <v>77.2</v>
      </c>
      <c r="E216" s="64">
        <v>3477206</v>
      </c>
      <c r="F216" s="64" t="s">
        <v>214</v>
      </c>
      <c r="G216" s="25">
        <f t="shared" si="0"/>
        <v>6.2176165803109473E-3</v>
      </c>
      <c r="I216" s="65">
        <v>-4.2500000000000003E-2</v>
      </c>
      <c r="J216">
        <v>1</v>
      </c>
      <c r="L216" s="65">
        <v>-4.4999999999999998E-2</v>
      </c>
      <c r="M216" s="1">
        <f t="shared" si="1"/>
        <v>0.33354084740578577</v>
      </c>
      <c r="O216" s="39" t="s">
        <v>149</v>
      </c>
      <c r="P216" s="69">
        <f>($K$207*-3)+$K$205</f>
        <v>-4.5743352549996535E-2</v>
      </c>
      <c r="Q216" s="1">
        <v>0</v>
      </c>
    </row>
    <row r="217" spans="1:17" ht="15">
      <c r="A217" s="64">
        <v>76.930000000000007</v>
      </c>
      <c r="B217" s="64">
        <v>78.040000000000006</v>
      </c>
      <c r="C217" s="64">
        <v>76.069999999999993</v>
      </c>
      <c r="D217" s="64">
        <v>77.739999999999995</v>
      </c>
      <c r="E217" s="64">
        <v>3631200</v>
      </c>
      <c r="F217" s="64" t="s">
        <v>215</v>
      </c>
      <c r="G217" s="25">
        <f t="shared" si="0"/>
        <v>-1.0419346539747742E-2</v>
      </c>
      <c r="I217" s="65">
        <v>-0.04</v>
      </c>
      <c r="J217">
        <v>5</v>
      </c>
      <c r="L217" s="65">
        <v>-4.2500000000000003E-2</v>
      </c>
      <c r="M217" s="1">
        <f t="shared" si="1"/>
        <v>0.53234577193054944</v>
      </c>
      <c r="O217" s="40"/>
      <c r="P217" s="69">
        <f>($K$207*-3)+$K$205</f>
        <v>-4.5743352549996535E-2</v>
      </c>
      <c r="Q217" s="1">
        <v>2</v>
      </c>
    </row>
    <row r="218" spans="1:17" ht="15">
      <c r="A218" s="64">
        <v>78.16</v>
      </c>
      <c r="B218" s="64">
        <v>78.41</v>
      </c>
      <c r="C218" s="64">
        <v>77.545000000000002</v>
      </c>
      <c r="D218" s="64">
        <v>78.02</v>
      </c>
      <c r="E218" s="64">
        <v>2884764</v>
      </c>
      <c r="F218" s="64" t="s">
        <v>216</v>
      </c>
      <c r="G218" s="25">
        <f t="shared" si="0"/>
        <v>1.7944116893104933E-3</v>
      </c>
      <c r="I218" s="65">
        <v>-3.7499999999999999E-2</v>
      </c>
      <c r="J218">
        <v>3</v>
      </c>
      <c r="L218" s="65">
        <v>-0.04</v>
      </c>
      <c r="M218" s="1">
        <f t="shared" si="1"/>
        <v>0.82739839358786682</v>
      </c>
      <c r="O218" s="39" t="s">
        <v>150</v>
      </c>
      <c r="P218" s="69">
        <f>($K$207*-2)+$K$205</f>
        <v>-3.0396048296717583E-2</v>
      </c>
      <c r="Q218" s="1">
        <v>0</v>
      </c>
    </row>
    <row r="219" spans="1:17" ht="15">
      <c r="A219" s="64">
        <v>78.349999999999994</v>
      </c>
      <c r="B219" s="64">
        <v>78.56</v>
      </c>
      <c r="C219" s="64">
        <v>77.41</v>
      </c>
      <c r="D219" s="64">
        <v>77.819999999999993</v>
      </c>
      <c r="E219" s="64">
        <v>2877353</v>
      </c>
      <c r="F219" s="64" t="s">
        <v>217</v>
      </c>
      <c r="G219" s="25">
        <f t="shared" si="0"/>
        <v>6.8105885376510411E-3</v>
      </c>
      <c r="I219" s="65">
        <v>-3.5000000000000003E-2</v>
      </c>
      <c r="J219">
        <v>2</v>
      </c>
      <c r="L219" s="65">
        <v>-3.7499999999999999E-2</v>
      </c>
      <c r="M219" s="1">
        <f t="shared" si="1"/>
        <v>1.2523093427166656</v>
      </c>
      <c r="O219" s="40"/>
      <c r="P219" s="69">
        <f>($K$207*-2)+$K$205</f>
        <v>-3.0396048296717583E-2</v>
      </c>
      <c r="Q219" s="1">
        <v>6</v>
      </c>
    </row>
    <row r="220" spans="1:17" ht="15">
      <c r="A220" s="64">
        <v>77.930000000000007</v>
      </c>
      <c r="B220" s="64">
        <v>79.400000000000006</v>
      </c>
      <c r="C220" s="64">
        <v>77.22</v>
      </c>
      <c r="D220" s="64">
        <v>79.06</v>
      </c>
      <c r="E220" s="64">
        <v>3238558</v>
      </c>
      <c r="F220" s="64" t="s">
        <v>218</v>
      </c>
      <c r="G220" s="25">
        <f t="shared" si="0"/>
        <v>-1.4292942069314418E-2</v>
      </c>
      <c r="I220" s="65">
        <v>-3.2500000000000001E-2</v>
      </c>
      <c r="J220">
        <v>4</v>
      </c>
      <c r="L220" s="65">
        <v>-3.5000000000000003E-2</v>
      </c>
      <c r="M220" s="1">
        <f t="shared" si="1"/>
        <v>1.8458000388851896</v>
      </c>
      <c r="O220" s="41" t="s">
        <v>151</v>
      </c>
      <c r="P220" s="69">
        <f>($K$207*-1)+$K$205</f>
        <v>-1.5048744043438629E-2</v>
      </c>
      <c r="Q220" s="1">
        <v>0</v>
      </c>
    </row>
    <row r="221" spans="1:17" ht="15">
      <c r="A221" s="64">
        <v>78.61</v>
      </c>
      <c r="B221" s="64">
        <v>79.63</v>
      </c>
      <c r="C221" s="64">
        <v>77.64</v>
      </c>
      <c r="D221" s="64">
        <v>79.165000000000006</v>
      </c>
      <c r="E221" s="64">
        <v>3963656</v>
      </c>
      <c r="F221" s="64" t="s">
        <v>219</v>
      </c>
      <c r="G221" s="25">
        <f t="shared" si="0"/>
        <v>-7.010673908924514E-3</v>
      </c>
      <c r="I221" s="65">
        <v>-0.03</v>
      </c>
      <c r="J221">
        <v>7</v>
      </c>
      <c r="L221" s="65">
        <v>-3.2500000000000001E-2</v>
      </c>
      <c r="M221" s="1">
        <f t="shared" si="1"/>
        <v>2.6493160100187918</v>
      </c>
      <c r="P221" s="69">
        <f>($K$207*-1)+$K$205</f>
        <v>-1.5048744043438629E-2</v>
      </c>
      <c r="Q221" s="1">
        <v>15</v>
      </c>
    </row>
    <row r="222" spans="1:17" ht="15">
      <c r="A222" s="64">
        <v>79.239999999999995</v>
      </c>
      <c r="B222" s="64">
        <v>80.5</v>
      </c>
      <c r="C222" s="64">
        <v>78.760000000000005</v>
      </c>
      <c r="D222" s="64">
        <v>80.06</v>
      </c>
      <c r="E222" s="64">
        <v>4047115</v>
      </c>
      <c r="F222" s="64" t="s">
        <v>220</v>
      </c>
      <c r="G222" s="25">
        <f t="shared" si="0"/>
        <v>-1.0242318261304062E-2</v>
      </c>
      <c r="I222" s="65">
        <v>-2.75E-2</v>
      </c>
      <c r="J222">
        <v>18</v>
      </c>
      <c r="L222" s="65">
        <v>-0.03</v>
      </c>
      <c r="M222" s="1">
        <f t="shared" si="1"/>
        <v>3.7030447476628825</v>
      </c>
      <c r="O222" s="1" t="s">
        <v>152</v>
      </c>
      <c r="P222" s="69">
        <f>($K$207*1)+$K$205</f>
        <v>1.5645864463119274E-2</v>
      </c>
      <c r="Q222" s="1">
        <v>0</v>
      </c>
    </row>
    <row r="223" spans="1:17" ht="15">
      <c r="A223" s="64">
        <v>80.09</v>
      </c>
      <c r="B223" s="64">
        <v>80.11</v>
      </c>
      <c r="C223" s="64">
        <v>78.564999999999998</v>
      </c>
      <c r="D223" s="64">
        <v>79.63</v>
      </c>
      <c r="E223" s="64">
        <v>3171790</v>
      </c>
      <c r="F223" s="64" t="s">
        <v>221</v>
      </c>
      <c r="G223" s="25">
        <f t="shared" si="0"/>
        <v>5.7767173175939934E-3</v>
      </c>
      <c r="I223" s="65">
        <v>-2.5000000000000001E-2</v>
      </c>
      <c r="J223">
        <v>13</v>
      </c>
      <c r="L223" s="65">
        <v>-2.75E-2</v>
      </c>
      <c r="M223" s="1">
        <f t="shared" si="1"/>
        <v>5.0403447132000787</v>
      </c>
      <c r="P223" s="69">
        <f>($K$207*1)+$K$205</f>
        <v>1.5645864463119274E-2</v>
      </c>
      <c r="Q223" s="1">
        <v>15</v>
      </c>
    </row>
    <row r="224" spans="1:17" ht="15">
      <c r="A224" s="64">
        <v>79.33</v>
      </c>
      <c r="B224" s="64">
        <v>79.73</v>
      </c>
      <c r="C224" s="64">
        <v>77.959999999999994</v>
      </c>
      <c r="D224" s="64">
        <v>79.02</v>
      </c>
      <c r="E224" s="64">
        <v>3152852</v>
      </c>
      <c r="F224" s="64" t="s">
        <v>222</v>
      </c>
      <c r="G224" s="25">
        <f t="shared" si="0"/>
        <v>3.9230574538091645E-3</v>
      </c>
      <c r="I224" s="65">
        <v>-2.2499999999999999E-2</v>
      </c>
      <c r="J224">
        <v>22</v>
      </c>
      <c r="L224" s="65">
        <v>-2.5000000000000001E-2</v>
      </c>
      <c r="M224" s="1">
        <f t="shared" si="1"/>
        <v>6.6809404585486689</v>
      </c>
      <c r="O224" s="42" t="s">
        <v>153</v>
      </c>
      <c r="P224" s="69">
        <f>($K$207*2)+$K$205</f>
        <v>3.0993168716398227E-2</v>
      </c>
      <c r="Q224" s="1">
        <v>0</v>
      </c>
    </row>
    <row r="225" spans="1:17" ht="15">
      <c r="A225" s="64">
        <v>79.31</v>
      </c>
      <c r="B225" s="64">
        <v>81.045000000000002</v>
      </c>
      <c r="C225" s="64">
        <v>79.02</v>
      </c>
      <c r="D225" s="64">
        <v>80.78</v>
      </c>
      <c r="E225" s="64">
        <v>5077065</v>
      </c>
      <c r="F225" s="64" t="s">
        <v>223</v>
      </c>
      <c r="G225" s="25">
        <f t="shared" si="0"/>
        <v>-1.8197573656845711E-2</v>
      </c>
      <c r="I225" s="65">
        <v>-0.02</v>
      </c>
      <c r="J225">
        <v>24</v>
      </c>
      <c r="L225" s="65">
        <v>-2.2499999999999999E-2</v>
      </c>
      <c r="M225" s="1">
        <f t="shared" si="1"/>
        <v>8.6236484992663147</v>
      </c>
      <c r="P225" s="69">
        <f>($K$207*2)+$K$205</f>
        <v>3.0993168716398227E-2</v>
      </c>
      <c r="Q225" s="1">
        <v>6</v>
      </c>
    </row>
    <row r="226" spans="1:17" ht="15">
      <c r="A226" s="64">
        <v>81.16</v>
      </c>
      <c r="B226" s="64">
        <v>81.88</v>
      </c>
      <c r="C226" s="64">
        <v>80.45</v>
      </c>
      <c r="D226" s="64">
        <v>80.92</v>
      </c>
      <c r="E226" s="64">
        <v>5834197</v>
      </c>
      <c r="F226" s="64" t="s">
        <v>224</v>
      </c>
      <c r="G226" s="25">
        <f t="shared" si="0"/>
        <v>2.9658922392485909E-3</v>
      </c>
      <c r="I226" s="65">
        <v>-1.7500000000000002E-2</v>
      </c>
      <c r="J226">
        <v>28</v>
      </c>
      <c r="L226" s="65">
        <v>-0.02</v>
      </c>
      <c r="M226" s="1">
        <f t="shared" si="1"/>
        <v>10.839782653403358</v>
      </c>
      <c r="O226" s="42" t="s">
        <v>154</v>
      </c>
      <c r="P226" s="69">
        <f>($K$207*3)+$K$205</f>
        <v>4.6340472969677179E-2</v>
      </c>
      <c r="Q226" s="1">
        <v>0</v>
      </c>
    </row>
    <row r="227" spans="1:17" ht="15">
      <c r="A227" s="64">
        <v>80.47</v>
      </c>
      <c r="B227" s="64">
        <v>80.53</v>
      </c>
      <c r="C227" s="64">
        <v>79.11</v>
      </c>
      <c r="D227" s="64">
        <v>79.489999999999995</v>
      </c>
      <c r="E227" s="64">
        <v>6360392</v>
      </c>
      <c r="F227" s="64" t="s">
        <v>225</v>
      </c>
      <c r="G227" s="25">
        <f t="shared" si="0"/>
        <v>1.2328594791797709E-2</v>
      </c>
      <c r="I227" s="65">
        <v>-1.4999999999999999E-2</v>
      </c>
      <c r="J227">
        <v>35</v>
      </c>
      <c r="L227" s="65">
        <v>-1.7500000000000002E-2</v>
      </c>
      <c r="M227" s="1">
        <f t="shared" si="1"/>
        <v>13.268633100576757</v>
      </c>
      <c r="O227" s="42"/>
      <c r="P227" s="69">
        <f>($K$207*3)+$K$205</f>
        <v>4.6340472969677179E-2</v>
      </c>
      <c r="Q227" s="1">
        <v>2</v>
      </c>
    </row>
    <row r="228" spans="1:17" ht="15">
      <c r="A228" s="64">
        <v>78.489999999999995</v>
      </c>
      <c r="B228" s="64">
        <v>80.73</v>
      </c>
      <c r="C228" s="64">
        <v>78.37</v>
      </c>
      <c r="D228" s="64">
        <v>80.45</v>
      </c>
      <c r="E228" s="64">
        <v>5960515</v>
      </c>
      <c r="F228" s="64" t="s">
        <v>226</v>
      </c>
      <c r="G228" s="25">
        <f t="shared" si="0"/>
        <v>-2.4362958359229414E-2</v>
      </c>
      <c r="I228" s="65">
        <v>-1.2500000000000001E-2</v>
      </c>
      <c r="J228">
        <v>56</v>
      </c>
      <c r="L228" s="65">
        <v>-1.4999999999999999E-2</v>
      </c>
      <c r="M228" s="1">
        <f t="shared" si="1"/>
        <v>15.816408718776922</v>
      </c>
    </row>
    <row r="229" spans="1:17" ht="15">
      <c r="A229" s="64">
        <v>80</v>
      </c>
      <c r="B229" s="64">
        <v>83</v>
      </c>
      <c r="C229" s="64">
        <v>77.52</v>
      </c>
      <c r="D229" s="64">
        <v>81.5</v>
      </c>
      <c r="E229" s="64">
        <v>14566283</v>
      </c>
      <c r="F229" s="64" t="s">
        <v>227</v>
      </c>
      <c r="G229" s="25">
        <f t="shared" si="0"/>
        <v>-1.8404907975460127E-2</v>
      </c>
      <c r="I229" s="65">
        <v>-0.01</v>
      </c>
      <c r="J229">
        <v>64</v>
      </c>
      <c r="L229" s="65">
        <v>-1.2500000000000001E-2</v>
      </c>
      <c r="M229" s="1">
        <f t="shared" si="1"/>
        <v>18.359703198702395</v>
      </c>
    </row>
    <row r="230" spans="1:17" ht="15">
      <c r="A230" s="64">
        <v>75.8</v>
      </c>
      <c r="B230" s="64">
        <v>77.082499999999996</v>
      </c>
      <c r="C230" s="64">
        <v>75.39</v>
      </c>
      <c r="D230" s="64">
        <v>76.86</v>
      </c>
      <c r="E230" s="64">
        <v>7545772</v>
      </c>
      <c r="F230" s="64" t="s">
        <v>228</v>
      </c>
      <c r="G230" s="25">
        <f t="shared" si="0"/>
        <v>-1.3791308873276065E-2</v>
      </c>
      <c r="I230" s="65">
        <v>-7.4999999999999997E-3</v>
      </c>
      <c r="J230">
        <v>71</v>
      </c>
      <c r="L230" s="65">
        <v>-0.01</v>
      </c>
      <c r="M230" s="1">
        <f t="shared" si="1"/>
        <v>20.753890262084507</v>
      </c>
    </row>
    <row r="231" spans="1:17" ht="15">
      <c r="A231" s="64">
        <v>76.91</v>
      </c>
      <c r="B231" s="64">
        <v>77.540000000000006</v>
      </c>
      <c r="C231" s="64">
        <v>76.58</v>
      </c>
      <c r="D231" s="64">
        <v>77.069999999999993</v>
      </c>
      <c r="E231" s="64">
        <v>5237337</v>
      </c>
      <c r="F231" s="64" t="s">
        <v>229</v>
      </c>
      <c r="G231" s="25">
        <f t="shared" si="0"/>
        <v>-2.0760347735824247E-3</v>
      </c>
      <c r="I231" s="65">
        <v>-5.0000000000000001E-3</v>
      </c>
      <c r="J231">
        <v>81</v>
      </c>
      <c r="L231" s="65">
        <v>-7.4999999999999997E-3</v>
      </c>
      <c r="M231" s="1">
        <f t="shared" si="1"/>
        <v>22.845962462497859</v>
      </c>
    </row>
    <row r="232" spans="1:17" ht="15">
      <c r="A232" s="64">
        <v>76.3</v>
      </c>
      <c r="B232" s="64">
        <v>77.02</v>
      </c>
      <c r="C232" s="64">
        <v>76.069999999999993</v>
      </c>
      <c r="D232" s="64">
        <v>76.47</v>
      </c>
      <c r="E232" s="64">
        <v>4835562</v>
      </c>
      <c r="F232" s="64" t="s">
        <v>230</v>
      </c>
      <c r="G232" s="25">
        <f t="shared" si="0"/>
        <v>-2.2230940238001651E-3</v>
      </c>
      <c r="I232" s="65">
        <v>-2.5000000000000001E-3</v>
      </c>
      <c r="J232">
        <v>88</v>
      </c>
      <c r="L232" s="65">
        <v>-5.0000000000000001E-3</v>
      </c>
      <c r="M232" s="1">
        <f t="shared" si="1"/>
        <v>24.49037779393641</v>
      </c>
    </row>
    <row r="233" spans="1:17" ht="15">
      <c r="A233" s="64">
        <v>76.56</v>
      </c>
      <c r="B233" s="64">
        <v>77.569999999999993</v>
      </c>
      <c r="C233" s="64">
        <v>76.52</v>
      </c>
      <c r="D233" s="64">
        <v>76.98</v>
      </c>
      <c r="E233" s="64">
        <v>2838779</v>
      </c>
      <c r="F233" s="64" t="s">
        <v>231</v>
      </c>
      <c r="G233" s="25">
        <f t="shared" si="0"/>
        <v>-5.4559625876851037E-3</v>
      </c>
      <c r="I233" s="65">
        <v>0</v>
      </c>
      <c r="J233">
        <v>92</v>
      </c>
      <c r="L233" s="65">
        <v>-2.5000000000000001E-3</v>
      </c>
      <c r="M233" s="1">
        <f t="shared" si="1"/>
        <v>25.565694412554969</v>
      </c>
    </row>
    <row r="234" spans="1:17" ht="15">
      <c r="A234" s="64">
        <v>76.489999999999995</v>
      </c>
      <c r="B234" s="64">
        <v>77.36</v>
      </c>
      <c r="C234" s="64">
        <v>76.37</v>
      </c>
      <c r="D234" s="64">
        <v>76.5</v>
      </c>
      <c r="E234" s="64">
        <v>4507306</v>
      </c>
      <c r="F234" s="64" t="s">
        <v>232</v>
      </c>
      <c r="G234" s="25">
        <f t="shared" si="0"/>
        <v>-1.3071895424843216E-4</v>
      </c>
      <c r="I234" s="65">
        <v>2.5000000000000001E-3</v>
      </c>
      <c r="J234">
        <v>77</v>
      </c>
      <c r="L234" s="65">
        <v>0</v>
      </c>
      <c r="M234" s="1">
        <f t="shared" si="1"/>
        <v>25.989371986609481</v>
      </c>
    </row>
    <row r="235" spans="1:17" ht="15">
      <c r="A235" s="64">
        <v>76.180000000000007</v>
      </c>
      <c r="B235" s="64">
        <v>76.56</v>
      </c>
      <c r="C235" s="64">
        <v>75.44</v>
      </c>
      <c r="D235" s="64">
        <v>76.180000000000007</v>
      </c>
      <c r="E235" s="64">
        <v>4110835</v>
      </c>
      <c r="F235" s="64" t="s">
        <v>233</v>
      </c>
      <c r="G235" s="25">
        <f t="shared" si="0"/>
        <v>0</v>
      </c>
      <c r="I235" s="65">
        <v>5.0000000000000001E-3</v>
      </c>
      <c r="J235">
        <v>103</v>
      </c>
      <c r="L235" s="65">
        <v>2.5000000000000001E-3</v>
      </c>
      <c r="M235" s="1">
        <f t="shared" si="1"/>
        <v>25.728238912750889</v>
      </c>
    </row>
    <row r="236" spans="1:17" ht="15">
      <c r="A236" s="64">
        <v>76.14</v>
      </c>
      <c r="B236" s="64">
        <v>77.034999999999997</v>
      </c>
      <c r="C236" s="64">
        <v>75.295000000000002</v>
      </c>
      <c r="D236" s="64">
        <v>77.03</v>
      </c>
      <c r="E236" s="64">
        <v>5028422</v>
      </c>
      <c r="F236" s="64" t="s">
        <v>234</v>
      </c>
      <c r="G236" s="25">
        <f t="shared" si="0"/>
        <v>-1.1553940023367515E-2</v>
      </c>
      <c r="I236" s="65">
        <v>7.4999999999999997E-3</v>
      </c>
      <c r="J236">
        <v>73</v>
      </c>
      <c r="L236" s="65">
        <v>5.0000000000000001E-3</v>
      </c>
      <c r="M236" s="1">
        <f t="shared" si="1"/>
        <v>24.802783228436152</v>
      </c>
    </row>
    <row r="237" spans="1:17" ht="15">
      <c r="A237" s="64">
        <v>76.81</v>
      </c>
      <c r="B237" s="64">
        <v>78.73</v>
      </c>
      <c r="C237" s="64">
        <v>76.81</v>
      </c>
      <c r="D237" s="64">
        <v>78.69</v>
      </c>
      <c r="E237" s="64">
        <v>3957183</v>
      </c>
      <c r="F237" s="64" t="s">
        <v>235</v>
      </c>
      <c r="G237" s="25">
        <f t="shared" si="0"/>
        <v>-2.3891218706315831E-2</v>
      </c>
      <c r="I237" s="65">
        <v>0.01</v>
      </c>
      <c r="J237">
        <v>82</v>
      </c>
      <c r="L237" s="65">
        <v>7.4999999999999997E-3</v>
      </c>
      <c r="M237" s="1">
        <f t="shared" si="1"/>
        <v>23.284496877044944</v>
      </c>
    </row>
    <row r="238" spans="1:17" ht="15">
      <c r="A238" s="64">
        <v>78.28</v>
      </c>
      <c r="B238" s="64">
        <v>78.805000000000007</v>
      </c>
      <c r="C238" s="64">
        <v>77.805000000000007</v>
      </c>
      <c r="D238" s="64">
        <v>77.94</v>
      </c>
      <c r="E238" s="64">
        <v>4769767</v>
      </c>
      <c r="F238" s="64" t="s">
        <v>236</v>
      </c>
      <c r="G238" s="25">
        <f t="shared" si="0"/>
        <v>4.3623299974340224E-3</v>
      </c>
      <c r="I238" s="65">
        <v>1.2500000000000001E-2</v>
      </c>
      <c r="J238">
        <v>66</v>
      </c>
      <c r="L238" s="65">
        <v>0.01</v>
      </c>
      <c r="M238" s="1">
        <f t="shared" si="1"/>
        <v>21.286751090715182</v>
      </c>
    </row>
    <row r="239" spans="1:17" ht="15">
      <c r="A239" s="64">
        <v>78.05</v>
      </c>
      <c r="B239" s="64">
        <v>78.385000000000005</v>
      </c>
      <c r="C239" s="64">
        <v>77.05</v>
      </c>
      <c r="D239" s="64">
        <v>78.260000000000005</v>
      </c>
      <c r="E239" s="64">
        <v>3665157</v>
      </c>
      <c r="F239" s="64" t="s">
        <v>237</v>
      </c>
      <c r="G239" s="25">
        <f t="shared" si="0"/>
        <v>-2.6833631484795006E-3</v>
      </c>
      <c r="I239" s="65">
        <v>1.4999999999999999E-2</v>
      </c>
      <c r="J239">
        <v>49</v>
      </c>
      <c r="L239" s="65">
        <v>1.2500000000000001E-2</v>
      </c>
      <c r="M239" s="1">
        <f t="shared" si="1"/>
        <v>18.950819210992371</v>
      </c>
    </row>
    <row r="240" spans="1:17" ht="15">
      <c r="A240" s="64">
        <v>78.8</v>
      </c>
      <c r="B240" s="64">
        <v>78.900000000000006</v>
      </c>
      <c r="C240" s="64">
        <v>77.209999999999994</v>
      </c>
      <c r="D240" s="64">
        <v>77.650000000000006</v>
      </c>
      <c r="E240" s="64">
        <v>4265155</v>
      </c>
      <c r="F240" s="64" t="s">
        <v>238</v>
      </c>
      <c r="G240" s="25">
        <f t="shared" si="0"/>
        <v>1.4810045074050038E-2</v>
      </c>
      <c r="I240" s="65">
        <v>1.7500000000000002E-2</v>
      </c>
      <c r="J240">
        <v>40</v>
      </c>
      <c r="L240" s="65">
        <v>1.4999999999999999E-2</v>
      </c>
      <c r="M240" s="1">
        <f t="shared" si="1"/>
        <v>16.429436874149609</v>
      </c>
    </row>
    <row r="241" spans="1:13" ht="15">
      <c r="A241" s="64">
        <v>77.19</v>
      </c>
      <c r="B241" s="64">
        <v>77.355000000000004</v>
      </c>
      <c r="C241" s="64">
        <v>75.84</v>
      </c>
      <c r="D241" s="64">
        <v>76.790000000000006</v>
      </c>
      <c r="E241" s="64">
        <v>2553211</v>
      </c>
      <c r="F241" s="64" t="s">
        <v>239</v>
      </c>
      <c r="G241" s="25">
        <f t="shared" si="0"/>
        <v>5.2090115900507161E-3</v>
      </c>
      <c r="I241" s="65">
        <v>0.02</v>
      </c>
      <c r="J241">
        <v>32</v>
      </c>
      <c r="L241" s="65">
        <v>1.7500000000000002E-2</v>
      </c>
      <c r="M241" s="1">
        <f t="shared" si="1"/>
        <v>13.870542602374115</v>
      </c>
    </row>
    <row r="242" spans="1:13" ht="15">
      <c r="A242" s="64">
        <v>76.39</v>
      </c>
      <c r="B242" s="64">
        <v>77.3</v>
      </c>
      <c r="C242" s="64">
        <v>76.155000000000001</v>
      </c>
      <c r="D242" s="64">
        <v>76.680000000000007</v>
      </c>
      <c r="E242" s="64">
        <v>2411973</v>
      </c>
      <c r="F242" s="64" t="s">
        <v>240</v>
      </c>
      <c r="G242" s="25">
        <f t="shared" si="0"/>
        <v>-3.7819509650496297E-3</v>
      </c>
      <c r="I242" s="65">
        <v>2.2499999999999999E-2</v>
      </c>
      <c r="J242">
        <v>34</v>
      </c>
      <c r="L242" s="65">
        <v>0.02</v>
      </c>
      <c r="M242" s="1">
        <f t="shared" si="1"/>
        <v>11.403556169918335</v>
      </c>
    </row>
    <row r="243" spans="1:13" ht="15">
      <c r="A243" s="64">
        <v>76.69</v>
      </c>
      <c r="B243" s="64">
        <v>77.424999999999997</v>
      </c>
      <c r="C243" s="64">
        <v>76.03</v>
      </c>
      <c r="D243" s="64">
        <v>76.8</v>
      </c>
      <c r="E243" s="64">
        <v>2471082</v>
      </c>
      <c r="F243" s="64" t="s">
        <v>241</v>
      </c>
      <c r="G243" s="25">
        <f t="shared" si="0"/>
        <v>-1.4322916666666963E-3</v>
      </c>
      <c r="I243" s="65">
        <v>2.5000000000000001E-2</v>
      </c>
      <c r="J243">
        <v>19</v>
      </c>
      <c r="L243" s="65">
        <v>2.2499999999999999E-2</v>
      </c>
      <c r="M243" s="1">
        <f t="shared" si="1"/>
        <v>9.1298416383888394</v>
      </c>
    </row>
    <row r="244" spans="1:13" ht="15">
      <c r="A244" s="64">
        <v>76.790000000000006</v>
      </c>
      <c r="B244" s="64">
        <v>77.430000000000007</v>
      </c>
      <c r="C244" s="64">
        <v>76.5</v>
      </c>
      <c r="D244" s="64">
        <v>77.209999999999994</v>
      </c>
      <c r="E244" s="64">
        <v>1679364</v>
      </c>
      <c r="F244" s="64" t="s">
        <v>242</v>
      </c>
      <c r="G244" s="25">
        <f t="shared" si="0"/>
        <v>-5.4397098821394874E-3</v>
      </c>
      <c r="I244" s="65">
        <v>2.75E-2</v>
      </c>
      <c r="J244">
        <v>16</v>
      </c>
      <c r="L244" s="65">
        <v>2.5000000000000001E-2</v>
      </c>
      <c r="M244" s="1">
        <f t="shared" si="1"/>
        <v>7.1180701865497609</v>
      </c>
    </row>
    <row r="245" spans="1:13" ht="15">
      <c r="A245" s="64">
        <v>77.02</v>
      </c>
      <c r="B245" s="64">
        <v>78.069999999999993</v>
      </c>
      <c r="C245" s="64">
        <v>76.3</v>
      </c>
      <c r="D245" s="64">
        <v>76.790000000000006</v>
      </c>
      <c r="E245" s="64">
        <v>3079617</v>
      </c>
      <c r="F245" s="64" t="s">
        <v>243</v>
      </c>
      <c r="G245" s="25">
        <f t="shared" si="0"/>
        <v>2.9951816642790341E-3</v>
      </c>
      <c r="I245" s="65">
        <v>0.03</v>
      </c>
      <c r="J245">
        <v>14</v>
      </c>
      <c r="L245" s="65">
        <v>2.75E-2</v>
      </c>
      <c r="M245" s="1">
        <f t="shared" si="1"/>
        <v>5.404274130304545</v>
      </c>
    </row>
    <row r="246" spans="1:13" ht="15">
      <c r="A246" s="64">
        <v>77.180000000000007</v>
      </c>
      <c r="B246" s="64">
        <v>78.03</v>
      </c>
      <c r="C246" s="64">
        <v>76.92</v>
      </c>
      <c r="D246" s="64">
        <v>77.7</v>
      </c>
      <c r="E246" s="64">
        <v>3124144</v>
      </c>
      <c r="F246" s="64" t="s">
        <v>244</v>
      </c>
      <c r="G246" s="25">
        <f t="shared" si="0"/>
        <v>-6.6924066924066716E-3</v>
      </c>
      <c r="I246" s="65">
        <v>3.2500000000000001E-2</v>
      </c>
      <c r="J246">
        <v>7</v>
      </c>
      <c r="L246" s="65">
        <v>0.03</v>
      </c>
      <c r="M246" s="1">
        <f t="shared" si="1"/>
        <v>3.9956602920456645</v>
      </c>
    </row>
    <row r="247" spans="1:13" ht="15">
      <c r="A247" s="64">
        <v>78.209999999999994</v>
      </c>
      <c r="B247" s="64">
        <v>78.525000000000006</v>
      </c>
      <c r="C247" s="64">
        <v>77.6691</v>
      </c>
      <c r="D247" s="64">
        <v>78.06</v>
      </c>
      <c r="E247" s="64">
        <v>3050107</v>
      </c>
      <c r="F247" s="64" t="s">
        <v>245</v>
      </c>
      <c r="G247" s="25">
        <f t="shared" si="0"/>
        <v>1.9215987701766135E-3</v>
      </c>
      <c r="I247" s="65">
        <v>3.5000000000000003E-2</v>
      </c>
      <c r="J247">
        <v>6</v>
      </c>
      <c r="L247" s="65">
        <v>3.2500000000000001E-2</v>
      </c>
      <c r="M247" s="1">
        <f t="shared" si="1"/>
        <v>2.8768407915038936</v>
      </c>
    </row>
    <row r="248" spans="1:13" ht="15">
      <c r="A248" s="64">
        <v>78.209999999999994</v>
      </c>
      <c r="B248" s="64">
        <v>78.25</v>
      </c>
      <c r="C248" s="64">
        <v>76.94</v>
      </c>
      <c r="D248" s="64">
        <v>77.25</v>
      </c>
      <c r="E248" s="64">
        <v>6205587</v>
      </c>
      <c r="F248" s="64" t="s">
        <v>246</v>
      </c>
      <c r="G248" s="25">
        <f t="shared" si="0"/>
        <v>1.2427184466019314E-2</v>
      </c>
      <c r="I248" s="65">
        <v>3.7499999999999999E-2</v>
      </c>
      <c r="J248">
        <v>1</v>
      </c>
      <c r="L248" s="65">
        <v>3.5000000000000003E-2</v>
      </c>
      <c r="M248" s="1">
        <f t="shared" si="1"/>
        <v>2.0170616921338169</v>
      </c>
    </row>
    <row r="249" spans="1:13" ht="15">
      <c r="A249" s="64">
        <v>77.150000000000006</v>
      </c>
      <c r="B249" s="64">
        <v>77.900000000000006</v>
      </c>
      <c r="C249" s="64">
        <v>76.67</v>
      </c>
      <c r="D249" s="64">
        <v>76.989999999999995</v>
      </c>
      <c r="E249" s="64">
        <v>4814246</v>
      </c>
      <c r="F249" s="64" t="s">
        <v>247</v>
      </c>
      <c r="G249" s="25">
        <f t="shared" si="0"/>
        <v>2.0781919729835341E-3</v>
      </c>
      <c r="I249" s="65">
        <v>0.04</v>
      </c>
      <c r="J249">
        <v>3</v>
      </c>
      <c r="L249" s="65">
        <v>3.7499999999999999E-2</v>
      </c>
      <c r="M249" s="1">
        <f t="shared" si="1"/>
        <v>1.3772050852647613</v>
      </c>
    </row>
    <row r="250" spans="1:13" ht="15">
      <c r="A250" s="64">
        <v>76.97</v>
      </c>
      <c r="B250" s="64">
        <v>77.27</v>
      </c>
      <c r="C250" s="64">
        <v>75.67</v>
      </c>
      <c r="D250" s="64">
        <v>75.790000000000006</v>
      </c>
      <c r="E250" s="64">
        <v>3724559</v>
      </c>
      <c r="F250" s="64" t="s">
        <v>248</v>
      </c>
      <c r="G250" s="25">
        <f t="shared" si="0"/>
        <v>1.5569336324053218E-2</v>
      </c>
      <c r="I250" s="65">
        <v>4.2500000000000003E-2</v>
      </c>
      <c r="J250">
        <v>1</v>
      </c>
      <c r="L250" s="65">
        <v>0.04</v>
      </c>
      <c r="M250" s="1">
        <f t="shared" si="1"/>
        <v>0.91570194549064809</v>
      </c>
    </row>
    <row r="251" spans="1:13" ht="15">
      <c r="A251" s="64">
        <v>75.849999999999994</v>
      </c>
      <c r="B251" s="64">
        <v>76.63</v>
      </c>
      <c r="C251" s="64">
        <v>74.12</v>
      </c>
      <c r="D251" s="64">
        <v>75.709999999999994</v>
      </c>
      <c r="E251" s="64">
        <v>4651025</v>
      </c>
      <c r="F251" s="64" t="s">
        <v>249</v>
      </c>
      <c r="G251" s="25">
        <f t="shared" si="0"/>
        <v>1.8491612732796092E-3</v>
      </c>
      <c r="I251" s="65">
        <v>4.4999999999999998E-2</v>
      </c>
      <c r="J251">
        <v>5</v>
      </c>
      <c r="L251" s="65">
        <v>4.2500000000000003E-2</v>
      </c>
      <c r="M251" s="1">
        <f t="shared" si="1"/>
        <v>0.59290585503643323</v>
      </c>
    </row>
    <row r="252" spans="1:13" ht="15">
      <c r="A252" s="64">
        <v>75.319999999999993</v>
      </c>
      <c r="B252" s="64">
        <v>75.69</v>
      </c>
      <c r="C252" s="64">
        <v>73.38</v>
      </c>
      <c r="D252" s="64">
        <v>73.709999999999994</v>
      </c>
      <c r="E252" s="64">
        <v>3673671</v>
      </c>
      <c r="F252" s="64" t="s">
        <v>250</v>
      </c>
      <c r="G252" s="25">
        <f t="shared" si="0"/>
        <v>2.1842355175688555E-2</v>
      </c>
      <c r="I252" s="65">
        <v>4.7500000000000001E-2</v>
      </c>
      <c r="J252">
        <v>0</v>
      </c>
      <c r="L252" s="65">
        <v>4.4999999999999998E-2</v>
      </c>
      <c r="M252" s="1">
        <f t="shared" si="1"/>
        <v>0.37384659054440417</v>
      </c>
    </row>
    <row r="253" spans="1:13" ht="15.75" thickBot="1">
      <c r="A253" s="64">
        <v>73.83</v>
      </c>
      <c r="B253" s="64">
        <v>74.75</v>
      </c>
      <c r="C253" s="64">
        <v>73.349999999999994</v>
      </c>
      <c r="D253" s="64">
        <v>74.430000000000007</v>
      </c>
      <c r="E253" s="64">
        <v>6998282</v>
      </c>
      <c r="F253" s="64" t="s">
        <v>251</v>
      </c>
      <c r="G253" s="25">
        <f t="shared" si="0"/>
        <v>-8.0612656187022402E-3</v>
      </c>
      <c r="I253" s="66" t="s">
        <v>1445</v>
      </c>
      <c r="J253" s="66">
        <v>7</v>
      </c>
      <c r="L253" s="65">
        <v>4.7500000000000001E-2</v>
      </c>
      <c r="M253" s="1">
        <f t="shared" si="1"/>
        <v>0.22954994466203918</v>
      </c>
    </row>
    <row r="254" spans="1:13" ht="15">
      <c r="A254" s="64">
        <v>73.98</v>
      </c>
      <c r="B254" s="64">
        <v>74.555000000000007</v>
      </c>
      <c r="C254" s="64">
        <v>72.421899999999994</v>
      </c>
      <c r="D254" s="64">
        <v>72.775000000000006</v>
      </c>
      <c r="E254" s="64">
        <v>3983296</v>
      </c>
      <c r="F254" s="64" t="s">
        <v>252</v>
      </c>
      <c r="G254" s="25">
        <f t="shared" si="0"/>
        <v>1.6557883888697944E-2</v>
      </c>
      <c r="L254" s="65">
        <v>0.05</v>
      </c>
      <c r="M254" s="1">
        <f t="shared" si="1"/>
        <v>0.13725780312197255</v>
      </c>
    </row>
    <row r="255" spans="1:13">
      <c r="A255" s="64">
        <v>73.27</v>
      </c>
      <c r="B255" s="64">
        <v>74.53</v>
      </c>
      <c r="C255" s="64">
        <v>72.98</v>
      </c>
      <c r="D255" s="64">
        <v>74.319999999999993</v>
      </c>
      <c r="E255" s="64">
        <v>3013112</v>
      </c>
      <c r="F255" s="64" t="s">
        <v>253</v>
      </c>
      <c r="G255" s="25">
        <f t="shared" ref="G255:G318" si="2">A255/D255-1</f>
        <v>-1.4128094725511242E-2</v>
      </c>
    </row>
    <row r="256" spans="1:13">
      <c r="A256" s="64">
        <v>74.819999999999993</v>
      </c>
      <c r="B256" s="64">
        <v>75.81</v>
      </c>
      <c r="C256" s="64">
        <v>74.540000000000006</v>
      </c>
      <c r="D256" s="64">
        <v>75.150000000000006</v>
      </c>
      <c r="E256" s="64">
        <v>2925588</v>
      </c>
      <c r="F256" s="64" t="s">
        <v>254</v>
      </c>
      <c r="G256" s="25">
        <f t="shared" si="2"/>
        <v>-4.3912175648703755E-3</v>
      </c>
    </row>
    <row r="257" spans="1:7">
      <c r="A257" s="64">
        <v>75.150000000000006</v>
      </c>
      <c r="B257" s="64">
        <v>75.92</v>
      </c>
      <c r="C257" s="64">
        <v>75.010000000000005</v>
      </c>
      <c r="D257" s="64">
        <v>75.2</v>
      </c>
      <c r="E257" s="64">
        <v>2497689</v>
      </c>
      <c r="F257" s="64" t="s">
        <v>255</v>
      </c>
      <c r="G257" s="25">
        <f t="shared" si="2"/>
        <v>-6.6489361702126715E-4</v>
      </c>
    </row>
    <row r="258" spans="1:7">
      <c r="A258" s="64">
        <v>75.89</v>
      </c>
      <c r="B258" s="64">
        <v>76.62</v>
      </c>
      <c r="C258" s="64">
        <v>75.260000000000005</v>
      </c>
      <c r="D258" s="64">
        <v>75.28</v>
      </c>
      <c r="E258" s="64">
        <v>2851414</v>
      </c>
      <c r="F258" s="64" t="s">
        <v>256</v>
      </c>
      <c r="G258" s="25">
        <f t="shared" si="2"/>
        <v>8.1030818278426953E-3</v>
      </c>
    </row>
    <row r="259" spans="1:7">
      <c r="A259" s="64">
        <v>75.47</v>
      </c>
      <c r="B259" s="64">
        <v>76.150000000000006</v>
      </c>
      <c r="C259" s="64">
        <v>75.3</v>
      </c>
      <c r="D259" s="64">
        <v>75.81</v>
      </c>
      <c r="E259" s="64">
        <v>4874587</v>
      </c>
      <c r="F259" s="64" t="s">
        <v>257</v>
      </c>
      <c r="G259" s="25">
        <f t="shared" si="2"/>
        <v>-4.4848964516555068E-3</v>
      </c>
    </row>
    <row r="260" spans="1:7">
      <c r="A260" s="64">
        <v>75.8</v>
      </c>
      <c r="B260" s="64">
        <v>76.55</v>
      </c>
      <c r="C260" s="64">
        <v>75.474999999999994</v>
      </c>
      <c r="D260" s="64">
        <v>75.98</v>
      </c>
      <c r="E260" s="64">
        <v>2857717</v>
      </c>
      <c r="F260" s="64" t="s">
        <v>258</v>
      </c>
      <c r="G260" s="25">
        <f t="shared" si="2"/>
        <v>-2.369044485390992E-3</v>
      </c>
    </row>
    <row r="261" spans="1:7">
      <c r="A261" s="64">
        <v>76.36</v>
      </c>
      <c r="B261" s="64">
        <v>77.37</v>
      </c>
      <c r="C261" s="64">
        <v>75.275000000000006</v>
      </c>
      <c r="D261" s="64">
        <v>77.25</v>
      </c>
      <c r="E261" s="64">
        <v>2460121</v>
      </c>
      <c r="F261" s="64" t="s">
        <v>259</v>
      </c>
      <c r="G261" s="25">
        <f t="shared" si="2"/>
        <v>-1.1521035598705542E-2</v>
      </c>
    </row>
    <row r="262" spans="1:7">
      <c r="A262" s="64">
        <v>77.52</v>
      </c>
      <c r="B262" s="64">
        <v>77.799199999999999</v>
      </c>
      <c r="C262" s="64">
        <v>76.540000000000006</v>
      </c>
      <c r="D262" s="64">
        <v>77.22</v>
      </c>
      <c r="E262" s="64">
        <v>2591366</v>
      </c>
      <c r="F262" s="64" t="s">
        <v>260</v>
      </c>
      <c r="G262" s="25">
        <f t="shared" si="2"/>
        <v>3.8850038850037905E-3</v>
      </c>
    </row>
    <row r="263" spans="1:7">
      <c r="A263" s="64">
        <v>77.77</v>
      </c>
      <c r="B263" s="64">
        <v>78.27</v>
      </c>
      <c r="C263" s="64">
        <v>77.37</v>
      </c>
      <c r="D263" s="64">
        <v>77.75</v>
      </c>
      <c r="E263" s="64">
        <v>2161207</v>
      </c>
      <c r="F263" s="64" t="s">
        <v>261</v>
      </c>
      <c r="G263" s="25">
        <f t="shared" si="2"/>
        <v>2.5723472668803815E-4</v>
      </c>
    </row>
    <row r="264" spans="1:7">
      <c r="A264" s="64">
        <v>77.849999999999994</v>
      </c>
      <c r="B264" s="64">
        <v>78.459999999999994</v>
      </c>
      <c r="C264" s="64">
        <v>77.05</v>
      </c>
      <c r="D264" s="64">
        <v>77.05</v>
      </c>
      <c r="E264" s="64">
        <v>3376073</v>
      </c>
      <c r="F264" s="64" t="s">
        <v>262</v>
      </c>
      <c r="G264" s="25">
        <f t="shared" si="2"/>
        <v>1.0382868267358791E-2</v>
      </c>
    </row>
    <row r="265" spans="1:7">
      <c r="A265" s="64">
        <v>77.72</v>
      </c>
      <c r="B265" s="64">
        <v>78.37</v>
      </c>
      <c r="C265" s="64">
        <v>77.13</v>
      </c>
      <c r="D265" s="64">
        <v>77.37</v>
      </c>
      <c r="E265" s="64">
        <v>4039196</v>
      </c>
      <c r="F265" s="64" t="s">
        <v>263</v>
      </c>
      <c r="G265" s="25">
        <f t="shared" si="2"/>
        <v>4.5237172030501149E-3</v>
      </c>
    </row>
    <row r="266" spans="1:7">
      <c r="A266" s="64">
        <v>78.099999999999994</v>
      </c>
      <c r="B266" s="64">
        <v>78.135000000000005</v>
      </c>
      <c r="C266" s="64">
        <v>76.25</v>
      </c>
      <c r="D266" s="64">
        <v>77.489999999999995</v>
      </c>
      <c r="E266" s="64">
        <v>3302004</v>
      </c>
      <c r="F266" s="64" t="s">
        <v>264</v>
      </c>
      <c r="G266" s="25">
        <f t="shared" si="2"/>
        <v>7.871983481739564E-3</v>
      </c>
    </row>
    <row r="267" spans="1:7">
      <c r="A267" s="64">
        <v>78.22</v>
      </c>
      <c r="B267" s="64">
        <v>78.3</v>
      </c>
      <c r="C267" s="64">
        <v>76.930000000000007</v>
      </c>
      <c r="D267" s="64">
        <v>77.599999999999994</v>
      </c>
      <c r="E267" s="64">
        <v>9010307</v>
      </c>
      <c r="F267" s="64" t="s">
        <v>265</v>
      </c>
      <c r="G267" s="25">
        <f t="shared" si="2"/>
        <v>7.9896907216494562E-3</v>
      </c>
    </row>
    <row r="268" spans="1:7">
      <c r="A268" s="64">
        <v>77.73</v>
      </c>
      <c r="B268" s="64">
        <v>78</v>
      </c>
      <c r="C268" s="64">
        <v>76.44</v>
      </c>
      <c r="D268" s="64">
        <v>76.819999999999993</v>
      </c>
      <c r="E268" s="64">
        <v>4110866</v>
      </c>
      <c r="F268" s="64" t="s">
        <v>266</v>
      </c>
      <c r="G268" s="25">
        <f t="shared" si="2"/>
        <v>1.1845873470450519E-2</v>
      </c>
    </row>
    <row r="269" spans="1:7">
      <c r="A269" s="64">
        <v>76.66</v>
      </c>
      <c r="B269" s="64">
        <v>78.75</v>
      </c>
      <c r="C269" s="64">
        <v>76.31</v>
      </c>
      <c r="D269" s="64">
        <v>77.010000000000005</v>
      </c>
      <c r="E269" s="64">
        <v>6027339</v>
      </c>
      <c r="F269" s="64" t="s">
        <v>267</v>
      </c>
      <c r="G269" s="25">
        <f t="shared" si="2"/>
        <v>-4.544864303337337E-3</v>
      </c>
    </row>
    <row r="270" spans="1:7">
      <c r="A270" s="64">
        <v>76.22</v>
      </c>
      <c r="B270" s="64">
        <v>76.47</v>
      </c>
      <c r="C270" s="64">
        <v>75.28</v>
      </c>
      <c r="D270" s="64">
        <v>75.459999999999994</v>
      </c>
      <c r="E270" s="64">
        <v>3460257</v>
      </c>
      <c r="F270" s="64" t="s">
        <v>268</v>
      </c>
      <c r="G270" s="25">
        <f t="shared" si="2"/>
        <v>1.0071561091969272E-2</v>
      </c>
    </row>
    <row r="271" spans="1:7">
      <c r="A271" s="64">
        <v>74.989999999999995</v>
      </c>
      <c r="B271" s="64">
        <v>75.150000000000006</v>
      </c>
      <c r="C271" s="64">
        <v>74.2</v>
      </c>
      <c r="D271" s="64">
        <v>74.8</v>
      </c>
      <c r="E271" s="64">
        <v>3738141</v>
      </c>
      <c r="F271" s="64" t="s">
        <v>269</v>
      </c>
      <c r="G271" s="25">
        <f t="shared" si="2"/>
        <v>2.540106951871568E-3</v>
      </c>
    </row>
    <row r="272" spans="1:7">
      <c r="A272" s="64">
        <v>74.790000000000006</v>
      </c>
      <c r="B272" s="64">
        <v>76.17</v>
      </c>
      <c r="C272" s="64">
        <v>74.69</v>
      </c>
      <c r="D272" s="64">
        <v>76</v>
      </c>
      <c r="E272" s="64">
        <v>4287603</v>
      </c>
      <c r="F272" s="64" t="s">
        <v>270</v>
      </c>
      <c r="G272" s="25">
        <f t="shared" si="2"/>
        <v>-1.5921052631578836E-2</v>
      </c>
    </row>
    <row r="273" spans="1:7">
      <c r="A273" s="64">
        <v>76.099999999999994</v>
      </c>
      <c r="B273" s="64">
        <v>77.77</v>
      </c>
      <c r="C273" s="64">
        <v>75.430000000000007</v>
      </c>
      <c r="D273" s="64">
        <v>77.55</v>
      </c>
      <c r="E273" s="64">
        <v>4412954</v>
      </c>
      <c r="F273" s="64" t="s">
        <v>271</v>
      </c>
      <c r="G273" s="25">
        <f t="shared" si="2"/>
        <v>-1.8697614442295341E-2</v>
      </c>
    </row>
    <row r="274" spans="1:7">
      <c r="A274" s="64">
        <v>77.83</v>
      </c>
      <c r="B274" s="64">
        <v>78.368499999999997</v>
      </c>
      <c r="C274" s="64">
        <v>77.540000000000006</v>
      </c>
      <c r="D274" s="64">
        <v>78</v>
      </c>
      <c r="E274" s="64">
        <v>5333455</v>
      </c>
      <c r="F274" s="64" t="s">
        <v>272</v>
      </c>
      <c r="G274" s="25">
        <f t="shared" si="2"/>
        <v>-2.1794871794872384E-3</v>
      </c>
    </row>
    <row r="275" spans="1:7">
      <c r="A275" s="64">
        <v>78.040000000000006</v>
      </c>
      <c r="B275" s="64">
        <v>78.260000000000005</v>
      </c>
      <c r="C275" s="64">
        <v>77.2</v>
      </c>
      <c r="D275" s="64">
        <v>77.739999999999995</v>
      </c>
      <c r="E275" s="64">
        <v>5518454</v>
      </c>
      <c r="F275" s="64" t="s">
        <v>273</v>
      </c>
      <c r="G275" s="25">
        <f t="shared" si="2"/>
        <v>3.859017236943707E-3</v>
      </c>
    </row>
    <row r="276" spans="1:7">
      <c r="A276" s="64">
        <v>78</v>
      </c>
      <c r="B276" s="64">
        <v>78.28</v>
      </c>
      <c r="C276" s="64">
        <v>76.84</v>
      </c>
      <c r="D276" s="64">
        <v>76.855000000000004</v>
      </c>
      <c r="E276" s="64">
        <v>4985844</v>
      </c>
      <c r="F276" s="64" t="s">
        <v>274</v>
      </c>
      <c r="G276" s="25">
        <f t="shared" si="2"/>
        <v>1.4898184893630706E-2</v>
      </c>
    </row>
    <row r="277" spans="1:7">
      <c r="A277" s="64">
        <v>76.88</v>
      </c>
      <c r="B277" s="64">
        <v>77.27</v>
      </c>
      <c r="C277" s="64">
        <v>76.11</v>
      </c>
      <c r="D277" s="64">
        <v>76.930000000000007</v>
      </c>
      <c r="E277" s="64">
        <v>4542593</v>
      </c>
      <c r="F277" s="64" t="s">
        <v>275</v>
      </c>
      <c r="G277" s="25">
        <f t="shared" si="2"/>
        <v>-6.4994150526465067E-4</v>
      </c>
    </row>
    <row r="278" spans="1:7">
      <c r="A278" s="64">
        <v>76.75</v>
      </c>
      <c r="B278" s="64">
        <v>77.239999999999995</v>
      </c>
      <c r="C278" s="64">
        <v>75.349999999999994</v>
      </c>
      <c r="D278" s="64">
        <v>75.44</v>
      </c>
      <c r="E278" s="64">
        <v>7672175</v>
      </c>
      <c r="F278" s="64" t="s">
        <v>276</v>
      </c>
      <c r="G278" s="25">
        <f t="shared" si="2"/>
        <v>1.7364793213149543E-2</v>
      </c>
    </row>
    <row r="279" spans="1:7">
      <c r="A279" s="64">
        <v>75.5</v>
      </c>
      <c r="B279" s="64">
        <v>75.94</v>
      </c>
      <c r="C279" s="64">
        <v>74.08</v>
      </c>
      <c r="D279" s="64">
        <v>74.88</v>
      </c>
      <c r="E279" s="64">
        <v>5657622</v>
      </c>
      <c r="F279" s="64" t="s">
        <v>277</v>
      </c>
      <c r="G279" s="25">
        <f t="shared" si="2"/>
        <v>8.2799145299146115E-3</v>
      </c>
    </row>
    <row r="280" spans="1:7">
      <c r="A280" s="64">
        <v>74.8</v>
      </c>
      <c r="B280" s="64">
        <v>74.84</v>
      </c>
      <c r="C280" s="64">
        <v>73.680000000000007</v>
      </c>
      <c r="D280" s="64">
        <v>74.400000000000006</v>
      </c>
      <c r="E280" s="64">
        <v>3789134</v>
      </c>
      <c r="F280" s="64" t="s">
        <v>278</v>
      </c>
      <c r="G280" s="25">
        <f t="shared" si="2"/>
        <v>5.3763440860215006E-3</v>
      </c>
    </row>
    <row r="281" spans="1:7">
      <c r="A281" s="64">
        <v>73.680000000000007</v>
      </c>
      <c r="B281" s="64">
        <v>74.91</v>
      </c>
      <c r="C281" s="64">
        <v>73.61</v>
      </c>
      <c r="D281" s="64">
        <v>74.67</v>
      </c>
      <c r="E281" s="64">
        <v>3814735</v>
      </c>
      <c r="F281" s="64" t="s">
        <v>279</v>
      </c>
      <c r="G281" s="25">
        <f t="shared" si="2"/>
        <v>-1.3258336681398086E-2</v>
      </c>
    </row>
    <row r="282" spans="1:7">
      <c r="A282" s="64">
        <v>74.63</v>
      </c>
      <c r="B282" s="64">
        <v>76.13</v>
      </c>
      <c r="C282" s="64">
        <v>74.510000000000005</v>
      </c>
      <c r="D282" s="64">
        <v>75.430000000000007</v>
      </c>
      <c r="E282" s="64">
        <v>3743904</v>
      </c>
      <c r="F282" s="64" t="s">
        <v>280</v>
      </c>
      <c r="G282" s="25">
        <f t="shared" si="2"/>
        <v>-1.0605859737505163E-2</v>
      </c>
    </row>
    <row r="283" spans="1:7">
      <c r="A283" s="64">
        <v>75.040000000000006</v>
      </c>
      <c r="B283" s="64">
        <v>75.75</v>
      </c>
      <c r="C283" s="64">
        <v>74.41</v>
      </c>
      <c r="D283" s="64">
        <v>74.83</v>
      </c>
      <c r="E283" s="64">
        <v>2419966</v>
      </c>
      <c r="F283" s="64" t="s">
        <v>281</v>
      </c>
      <c r="G283" s="25">
        <f t="shared" si="2"/>
        <v>2.8063610851263299E-3</v>
      </c>
    </row>
    <row r="284" spans="1:7">
      <c r="A284" s="64">
        <v>74.92</v>
      </c>
      <c r="B284" s="64">
        <v>75.36</v>
      </c>
      <c r="C284" s="64">
        <v>74.245000000000005</v>
      </c>
      <c r="D284" s="64">
        <v>74.41</v>
      </c>
      <c r="E284" s="64">
        <v>2433651</v>
      </c>
      <c r="F284" s="64" t="s">
        <v>282</v>
      </c>
      <c r="G284" s="25">
        <f t="shared" si="2"/>
        <v>6.8539174842092709E-3</v>
      </c>
    </row>
    <row r="285" spans="1:7">
      <c r="A285" s="64">
        <v>75.11</v>
      </c>
      <c r="B285" s="64">
        <v>75.534999999999997</v>
      </c>
      <c r="C285" s="64">
        <v>74.64</v>
      </c>
      <c r="D285" s="64">
        <v>75.12</v>
      </c>
      <c r="E285" s="64">
        <v>2457639</v>
      </c>
      <c r="F285" s="64" t="s">
        <v>283</v>
      </c>
      <c r="G285" s="25">
        <f t="shared" si="2"/>
        <v>-1.3312034078816204E-4</v>
      </c>
    </row>
    <row r="286" spans="1:7">
      <c r="A286" s="64">
        <v>75.650000000000006</v>
      </c>
      <c r="B286" s="64">
        <v>77.12</v>
      </c>
      <c r="C286" s="64">
        <v>75.41</v>
      </c>
      <c r="D286" s="64">
        <v>76.58</v>
      </c>
      <c r="E286" s="64">
        <v>3286833</v>
      </c>
      <c r="F286" s="64" t="s">
        <v>284</v>
      </c>
      <c r="G286" s="25">
        <f t="shared" si="2"/>
        <v>-1.2144162966831962E-2</v>
      </c>
    </row>
    <row r="287" spans="1:7">
      <c r="A287" s="64">
        <v>75.180000000000007</v>
      </c>
      <c r="B287" s="64">
        <v>75.814999999999998</v>
      </c>
      <c r="C287" s="64">
        <v>74.150000000000006</v>
      </c>
      <c r="D287" s="64">
        <v>75.540000000000006</v>
      </c>
      <c r="E287" s="64">
        <v>5139692</v>
      </c>
      <c r="F287" s="64" t="s">
        <v>285</v>
      </c>
      <c r="G287" s="25">
        <f t="shared" si="2"/>
        <v>-4.7656870532167828E-3</v>
      </c>
    </row>
    <row r="288" spans="1:7">
      <c r="A288" s="64">
        <v>75.489999999999995</v>
      </c>
      <c r="B288" s="64">
        <v>76.349999999999994</v>
      </c>
      <c r="C288" s="64">
        <v>74.52</v>
      </c>
      <c r="D288" s="64">
        <v>76.180000000000007</v>
      </c>
      <c r="E288" s="64">
        <v>4900288</v>
      </c>
      <c r="F288" s="64" t="s">
        <v>286</v>
      </c>
      <c r="G288" s="25">
        <f t="shared" si="2"/>
        <v>-9.0574954056183987E-3</v>
      </c>
    </row>
    <row r="289" spans="1:7">
      <c r="A289" s="64">
        <v>76.28</v>
      </c>
      <c r="B289" s="64">
        <v>76.58</v>
      </c>
      <c r="C289" s="64">
        <v>74.959999999999994</v>
      </c>
      <c r="D289" s="64">
        <v>75.5</v>
      </c>
      <c r="E289" s="64">
        <v>4491197</v>
      </c>
      <c r="F289" s="64" t="s">
        <v>287</v>
      </c>
      <c r="G289" s="25">
        <f t="shared" si="2"/>
        <v>1.033112582781448E-2</v>
      </c>
    </row>
    <row r="290" spans="1:7">
      <c r="A290" s="64">
        <v>75.540000000000006</v>
      </c>
      <c r="B290" s="64">
        <v>76.599999999999994</v>
      </c>
      <c r="C290" s="64">
        <v>74.94</v>
      </c>
      <c r="D290" s="64">
        <v>76.38</v>
      </c>
      <c r="E290" s="64">
        <v>5002041</v>
      </c>
      <c r="F290" s="64" t="s">
        <v>288</v>
      </c>
      <c r="G290" s="25">
        <f t="shared" si="2"/>
        <v>-1.0997643362136489E-2</v>
      </c>
    </row>
    <row r="291" spans="1:7">
      <c r="A291" s="64">
        <v>76.040000000000006</v>
      </c>
      <c r="B291" s="64">
        <v>76.099999999999994</v>
      </c>
      <c r="C291" s="64">
        <v>74.099999999999994</v>
      </c>
      <c r="D291" s="64">
        <v>74.819999999999993</v>
      </c>
      <c r="E291" s="64">
        <v>6330188</v>
      </c>
      <c r="F291" s="64" t="s">
        <v>289</v>
      </c>
      <c r="G291" s="25">
        <f t="shared" si="2"/>
        <v>1.630580058807829E-2</v>
      </c>
    </row>
    <row r="292" spans="1:7">
      <c r="A292" s="64">
        <v>75.13</v>
      </c>
      <c r="B292" s="64">
        <v>76.290000000000006</v>
      </c>
      <c r="C292" s="64">
        <v>72.935000000000002</v>
      </c>
      <c r="D292" s="64">
        <v>74.2</v>
      </c>
      <c r="E292" s="64">
        <v>11705382</v>
      </c>
      <c r="F292" s="64" t="s">
        <v>290</v>
      </c>
      <c r="G292" s="25">
        <f t="shared" si="2"/>
        <v>1.2533692722371814E-2</v>
      </c>
    </row>
    <row r="293" spans="1:7">
      <c r="A293" s="64">
        <v>70.459999999999994</v>
      </c>
      <c r="B293" s="64">
        <v>72.75</v>
      </c>
      <c r="C293" s="64">
        <v>69.84</v>
      </c>
      <c r="D293" s="64">
        <v>71.97</v>
      </c>
      <c r="E293" s="64">
        <v>7500112</v>
      </c>
      <c r="F293" s="64" t="s">
        <v>291</v>
      </c>
      <c r="G293" s="25">
        <f t="shared" si="2"/>
        <v>-2.0980964290676751E-2</v>
      </c>
    </row>
    <row r="294" spans="1:7">
      <c r="A294" s="64">
        <v>70.599999999999994</v>
      </c>
      <c r="B294" s="64">
        <v>70.790000000000006</v>
      </c>
      <c r="C294" s="64">
        <v>69.209999999999994</v>
      </c>
      <c r="D294" s="64">
        <v>69.8</v>
      </c>
      <c r="E294" s="64">
        <v>3005617</v>
      </c>
      <c r="F294" s="64" t="s">
        <v>292</v>
      </c>
      <c r="G294" s="25">
        <f t="shared" si="2"/>
        <v>1.1461318051575908E-2</v>
      </c>
    </row>
    <row r="295" spans="1:7">
      <c r="A295" s="64">
        <v>69.2</v>
      </c>
      <c r="B295" s="64">
        <v>71.2</v>
      </c>
      <c r="C295" s="64">
        <v>68.63</v>
      </c>
      <c r="D295" s="64">
        <v>71.2</v>
      </c>
      <c r="E295" s="64">
        <v>3767363</v>
      </c>
      <c r="F295" s="64" t="s">
        <v>293</v>
      </c>
      <c r="G295" s="25">
        <f t="shared" si="2"/>
        <v>-2.8089887640449396E-2</v>
      </c>
    </row>
    <row r="296" spans="1:7">
      <c r="A296" s="64">
        <v>71.53</v>
      </c>
      <c r="B296" s="64">
        <v>72.150000000000006</v>
      </c>
      <c r="C296" s="64">
        <v>70.55</v>
      </c>
      <c r="D296" s="64">
        <v>71.28</v>
      </c>
      <c r="E296" s="64">
        <v>3252323</v>
      </c>
      <c r="F296" s="64" t="s">
        <v>294</v>
      </c>
      <c r="G296" s="25">
        <f t="shared" si="2"/>
        <v>3.5072951739618663E-3</v>
      </c>
    </row>
    <row r="297" spans="1:7">
      <c r="A297" s="64">
        <v>71.2</v>
      </c>
      <c r="B297" s="64">
        <v>71.91</v>
      </c>
      <c r="C297" s="64">
        <v>70.52</v>
      </c>
      <c r="D297" s="64">
        <v>70.87</v>
      </c>
      <c r="E297" s="64">
        <v>4222101</v>
      </c>
      <c r="F297" s="64" t="s">
        <v>295</v>
      </c>
      <c r="G297" s="25">
        <f t="shared" si="2"/>
        <v>4.6564131508395334E-3</v>
      </c>
    </row>
    <row r="298" spans="1:7">
      <c r="A298" s="64">
        <v>70.760000000000005</v>
      </c>
      <c r="B298" s="64">
        <v>70.989999999999995</v>
      </c>
      <c r="C298" s="64">
        <v>69.95</v>
      </c>
      <c r="D298" s="64">
        <v>70.33</v>
      </c>
      <c r="E298" s="64">
        <v>3669240</v>
      </c>
      <c r="F298" s="64" t="s">
        <v>296</v>
      </c>
      <c r="G298" s="25">
        <f t="shared" si="2"/>
        <v>6.1140338404663819E-3</v>
      </c>
    </row>
    <row r="299" spans="1:7">
      <c r="A299" s="64">
        <v>69.87</v>
      </c>
      <c r="B299" s="64">
        <v>70.3</v>
      </c>
      <c r="C299" s="64">
        <v>69.36</v>
      </c>
      <c r="D299" s="64">
        <v>69.97</v>
      </c>
      <c r="E299" s="64">
        <v>3576195</v>
      </c>
      <c r="F299" s="64" t="s">
        <v>297</v>
      </c>
      <c r="G299" s="25">
        <f t="shared" si="2"/>
        <v>-1.4291839359724667E-3</v>
      </c>
    </row>
    <row r="300" spans="1:7">
      <c r="A300" s="64">
        <v>69.400000000000006</v>
      </c>
      <c r="B300" s="64">
        <v>69.825000000000003</v>
      </c>
      <c r="C300" s="64">
        <v>67.13</v>
      </c>
      <c r="D300" s="64">
        <v>68.7</v>
      </c>
      <c r="E300" s="64">
        <v>4890113</v>
      </c>
      <c r="F300" s="64" t="s">
        <v>298</v>
      </c>
      <c r="G300" s="25">
        <f t="shared" si="2"/>
        <v>1.0189228529839944E-2</v>
      </c>
    </row>
    <row r="301" spans="1:7">
      <c r="A301" s="64">
        <v>68.260000000000005</v>
      </c>
      <c r="B301" s="64">
        <v>69.344999999999999</v>
      </c>
      <c r="C301" s="64">
        <v>66.77</v>
      </c>
      <c r="D301" s="64">
        <v>69.28</v>
      </c>
      <c r="E301" s="64">
        <v>5423518</v>
      </c>
      <c r="F301" s="64" t="s">
        <v>299</v>
      </c>
      <c r="G301" s="25">
        <f t="shared" si="2"/>
        <v>-1.4722863741339465E-2</v>
      </c>
    </row>
    <row r="302" spans="1:7">
      <c r="A302" s="64">
        <v>69.900000000000006</v>
      </c>
      <c r="B302" s="64">
        <v>70.5</v>
      </c>
      <c r="C302" s="64">
        <v>65.94</v>
      </c>
      <c r="D302" s="64">
        <v>66.58</v>
      </c>
      <c r="E302" s="64">
        <v>8766357</v>
      </c>
      <c r="F302" s="64" t="s">
        <v>300</v>
      </c>
      <c r="G302" s="25">
        <f t="shared" si="2"/>
        <v>4.9864824271553143E-2</v>
      </c>
    </row>
    <row r="303" spans="1:7">
      <c r="A303" s="64">
        <v>67.069999999999993</v>
      </c>
      <c r="B303" s="64">
        <v>70.78</v>
      </c>
      <c r="C303" s="64">
        <v>66.420699999999997</v>
      </c>
      <c r="D303" s="64">
        <v>70.25</v>
      </c>
      <c r="E303" s="64">
        <v>5839541</v>
      </c>
      <c r="F303" s="64" t="s">
        <v>301</v>
      </c>
      <c r="G303" s="25">
        <f t="shared" si="2"/>
        <v>-4.5266903914590872E-2</v>
      </c>
    </row>
    <row r="304" spans="1:7">
      <c r="A304" s="64">
        <v>69</v>
      </c>
      <c r="B304" s="64">
        <v>71.22</v>
      </c>
      <c r="C304" s="64">
        <v>66.86</v>
      </c>
      <c r="D304" s="64">
        <v>67.98</v>
      </c>
      <c r="E304" s="64">
        <v>5654606</v>
      </c>
      <c r="F304" s="64" t="s">
        <v>302</v>
      </c>
      <c r="G304" s="25">
        <f t="shared" si="2"/>
        <v>1.5004413062665423E-2</v>
      </c>
    </row>
    <row r="305" spans="1:7">
      <c r="A305" s="64">
        <v>69.36</v>
      </c>
      <c r="B305" s="64">
        <v>71.72</v>
      </c>
      <c r="C305" s="64">
        <v>68.825000000000003</v>
      </c>
      <c r="D305" s="64">
        <v>71.430000000000007</v>
      </c>
      <c r="E305" s="64">
        <v>7511794</v>
      </c>
      <c r="F305" s="64" t="s">
        <v>303</v>
      </c>
      <c r="G305" s="25">
        <f t="shared" si="2"/>
        <v>-2.897942041159185E-2</v>
      </c>
    </row>
    <row r="306" spans="1:7">
      <c r="A306" s="64">
        <v>72.98</v>
      </c>
      <c r="B306" s="64">
        <v>73.260000000000005</v>
      </c>
      <c r="C306" s="64">
        <v>70.819999999999993</v>
      </c>
      <c r="D306" s="64">
        <v>71</v>
      </c>
      <c r="E306" s="64">
        <v>6930527</v>
      </c>
      <c r="F306" s="64" t="s">
        <v>304</v>
      </c>
      <c r="G306" s="25">
        <f t="shared" si="2"/>
        <v>2.7887323943662112E-2</v>
      </c>
    </row>
    <row r="307" spans="1:7">
      <c r="A307" s="64">
        <v>72.05</v>
      </c>
      <c r="B307" s="64">
        <v>72.364999999999995</v>
      </c>
      <c r="C307" s="64">
        <v>70.733400000000003</v>
      </c>
      <c r="D307" s="64">
        <v>70.819999999999993</v>
      </c>
      <c r="E307" s="64">
        <v>2865718</v>
      </c>
      <c r="F307" s="64" t="s">
        <v>305</v>
      </c>
      <c r="G307" s="25">
        <f t="shared" si="2"/>
        <v>1.7367975148263159E-2</v>
      </c>
    </row>
    <row r="308" spans="1:7">
      <c r="A308" s="64">
        <v>71.87</v>
      </c>
      <c r="B308" s="64">
        <v>72.45</v>
      </c>
      <c r="C308" s="64">
        <v>71.23</v>
      </c>
      <c r="D308" s="64">
        <v>72.180000000000007</v>
      </c>
      <c r="E308" s="64">
        <v>3130440</v>
      </c>
      <c r="F308" s="64" t="s">
        <v>306</v>
      </c>
      <c r="G308" s="25">
        <f t="shared" si="2"/>
        <v>-4.2948185092823721E-3</v>
      </c>
    </row>
    <row r="309" spans="1:7">
      <c r="A309" s="64">
        <v>72.48</v>
      </c>
      <c r="B309" s="64">
        <v>72.739999999999995</v>
      </c>
      <c r="C309" s="64">
        <v>70.33</v>
      </c>
      <c r="D309" s="64">
        <v>70.39</v>
      </c>
      <c r="E309" s="64">
        <v>5036073</v>
      </c>
      <c r="F309" s="64" t="s">
        <v>307</v>
      </c>
      <c r="G309" s="25">
        <f t="shared" si="2"/>
        <v>2.9691717573518961E-2</v>
      </c>
    </row>
    <row r="310" spans="1:7">
      <c r="A310" s="64">
        <v>70.91</v>
      </c>
      <c r="B310" s="64">
        <v>71.66</v>
      </c>
      <c r="C310" s="64">
        <v>70.63</v>
      </c>
      <c r="D310" s="64">
        <v>70.92</v>
      </c>
      <c r="E310" s="64">
        <v>4513876</v>
      </c>
      <c r="F310" s="64" t="s">
        <v>308</v>
      </c>
      <c r="G310" s="25">
        <f t="shared" si="2"/>
        <v>-1.4100394811067396E-4</v>
      </c>
    </row>
    <row r="311" spans="1:7">
      <c r="A311" s="64">
        <v>71.19</v>
      </c>
      <c r="B311" s="64">
        <v>71.564999999999998</v>
      </c>
      <c r="C311" s="64">
        <v>70.319999999999993</v>
      </c>
      <c r="D311" s="64">
        <v>70.83</v>
      </c>
      <c r="E311" s="64">
        <v>3079159</v>
      </c>
      <c r="F311" s="64" t="s">
        <v>309</v>
      </c>
      <c r="G311" s="25">
        <f t="shared" si="2"/>
        <v>5.0825921219821435E-3</v>
      </c>
    </row>
    <row r="312" spans="1:7">
      <c r="A312" s="64">
        <v>71.09</v>
      </c>
      <c r="B312" s="64">
        <v>71.42</v>
      </c>
      <c r="C312" s="64">
        <v>70.39</v>
      </c>
      <c r="D312" s="64">
        <v>71.02</v>
      </c>
      <c r="E312" s="64">
        <v>3487917</v>
      </c>
      <c r="F312" s="64" t="s">
        <v>310</v>
      </c>
      <c r="G312" s="25">
        <f t="shared" si="2"/>
        <v>9.8563784849359237E-4</v>
      </c>
    </row>
    <row r="313" spans="1:7">
      <c r="A313" s="64">
        <v>71.239999999999995</v>
      </c>
      <c r="B313" s="64">
        <v>72.290000000000006</v>
      </c>
      <c r="C313" s="64">
        <v>70.78</v>
      </c>
      <c r="D313" s="64">
        <v>71.459999999999994</v>
      </c>
      <c r="E313" s="64">
        <v>6112450</v>
      </c>
      <c r="F313" s="64" t="s">
        <v>311</v>
      </c>
      <c r="G313" s="25">
        <f t="shared" si="2"/>
        <v>-3.0786453960257587E-3</v>
      </c>
    </row>
    <row r="314" spans="1:7">
      <c r="A314" s="64">
        <v>71.349999999999994</v>
      </c>
      <c r="B314" s="64">
        <v>72.239999999999995</v>
      </c>
      <c r="C314" s="64">
        <v>70.63</v>
      </c>
      <c r="D314" s="64">
        <v>70.83</v>
      </c>
      <c r="E314" s="64">
        <v>3603111</v>
      </c>
      <c r="F314" s="64" t="s">
        <v>312</v>
      </c>
      <c r="G314" s="25">
        <f t="shared" si="2"/>
        <v>7.341521953974306E-3</v>
      </c>
    </row>
    <row r="315" spans="1:7">
      <c r="A315" s="64">
        <v>70.459999999999994</v>
      </c>
      <c r="B315" s="64">
        <v>70.935000000000002</v>
      </c>
      <c r="C315" s="64">
        <v>69.820999999999998</v>
      </c>
      <c r="D315" s="64">
        <v>70.62</v>
      </c>
      <c r="E315" s="64">
        <v>7144372</v>
      </c>
      <c r="F315" s="64" t="s">
        <v>313</v>
      </c>
      <c r="G315" s="25">
        <f t="shared" si="2"/>
        <v>-2.2656471254604016E-3</v>
      </c>
    </row>
    <row r="316" spans="1:7">
      <c r="A316" s="64">
        <v>70.95</v>
      </c>
      <c r="B316" s="64">
        <v>71.849999999999994</v>
      </c>
      <c r="C316" s="64">
        <v>70.16</v>
      </c>
      <c r="D316" s="64">
        <v>70.67</v>
      </c>
      <c r="E316" s="64">
        <v>4052941</v>
      </c>
      <c r="F316" s="64" t="s">
        <v>314</v>
      </c>
      <c r="G316" s="25">
        <f t="shared" si="2"/>
        <v>3.9620772605066801E-3</v>
      </c>
    </row>
    <row r="317" spans="1:7">
      <c r="A317" s="64">
        <v>70.900000000000006</v>
      </c>
      <c r="B317" s="64">
        <v>71.2</v>
      </c>
      <c r="C317" s="64">
        <v>69.954999999999998</v>
      </c>
      <c r="D317" s="64">
        <v>70.38</v>
      </c>
      <c r="E317" s="64">
        <v>5201499</v>
      </c>
      <c r="F317" s="64" t="s">
        <v>315</v>
      </c>
      <c r="G317" s="25">
        <f t="shared" si="2"/>
        <v>7.3884626314295598E-3</v>
      </c>
    </row>
    <row r="318" spans="1:7">
      <c r="A318" s="64">
        <v>70.34</v>
      </c>
      <c r="B318" s="64">
        <v>71.075000000000003</v>
      </c>
      <c r="C318" s="64">
        <v>70.02</v>
      </c>
      <c r="D318" s="64">
        <v>70.39</v>
      </c>
      <c r="E318" s="64">
        <v>3717546</v>
      </c>
      <c r="F318" s="64" t="s">
        <v>316</v>
      </c>
      <c r="G318" s="25">
        <f t="shared" si="2"/>
        <v>-7.1032817161520434E-4</v>
      </c>
    </row>
    <row r="319" spans="1:7">
      <c r="A319" s="64">
        <v>70.63</v>
      </c>
      <c r="B319" s="64">
        <v>71.05</v>
      </c>
      <c r="C319" s="64">
        <v>68.64</v>
      </c>
      <c r="D319" s="64">
        <v>68.86</v>
      </c>
      <c r="E319" s="64">
        <v>5653044</v>
      </c>
      <c r="F319" s="64" t="s">
        <v>317</v>
      </c>
      <c r="G319" s="25">
        <f t="shared" ref="G319:G382" si="3">A319/D319-1</f>
        <v>2.5704327621260514E-2</v>
      </c>
    </row>
    <row r="320" spans="1:7">
      <c r="A320" s="64">
        <v>69.290000000000006</v>
      </c>
      <c r="B320" s="64">
        <v>69.658000000000001</v>
      </c>
      <c r="C320" s="64">
        <v>67.78</v>
      </c>
      <c r="D320" s="64">
        <v>68.430000000000007</v>
      </c>
      <c r="E320" s="64">
        <v>3587135</v>
      </c>
      <c r="F320" s="64" t="s">
        <v>318</v>
      </c>
      <c r="G320" s="25">
        <f t="shared" si="3"/>
        <v>1.2567587315504891E-2</v>
      </c>
    </row>
    <row r="321" spans="1:7">
      <c r="A321" s="64">
        <v>67.95</v>
      </c>
      <c r="B321" s="64">
        <v>68.92</v>
      </c>
      <c r="C321" s="64">
        <v>67.319999999999993</v>
      </c>
      <c r="D321" s="64">
        <v>68.739999999999995</v>
      </c>
      <c r="E321" s="64">
        <v>5694649</v>
      </c>
      <c r="F321" s="64" t="s">
        <v>319</v>
      </c>
      <c r="G321" s="25">
        <f t="shared" si="3"/>
        <v>-1.1492580739016489E-2</v>
      </c>
    </row>
    <row r="322" spans="1:7">
      <c r="A322" s="64">
        <v>68.510000000000005</v>
      </c>
      <c r="B322" s="64">
        <v>70.739900000000006</v>
      </c>
      <c r="C322" s="64">
        <v>68.33</v>
      </c>
      <c r="D322" s="64">
        <v>69.11</v>
      </c>
      <c r="E322" s="64">
        <v>5312290</v>
      </c>
      <c r="F322" s="64" t="s">
        <v>320</v>
      </c>
      <c r="G322" s="25">
        <f t="shared" si="3"/>
        <v>-8.6818116046880611E-3</v>
      </c>
    </row>
    <row r="323" spans="1:7">
      <c r="A323" s="64">
        <v>68.39</v>
      </c>
      <c r="B323" s="64">
        <v>69.023499999999999</v>
      </c>
      <c r="C323" s="64">
        <v>67.8</v>
      </c>
      <c r="D323" s="64">
        <v>68.239999999999995</v>
      </c>
      <c r="E323" s="64">
        <v>4250091</v>
      </c>
      <c r="F323" s="64" t="s">
        <v>321</v>
      </c>
      <c r="G323" s="25">
        <f t="shared" si="3"/>
        <v>2.1981242672919343E-3</v>
      </c>
    </row>
    <row r="324" spans="1:7">
      <c r="A324" s="64">
        <v>68.53</v>
      </c>
      <c r="B324" s="64">
        <v>69.97</v>
      </c>
      <c r="C324" s="64">
        <v>68.180000000000007</v>
      </c>
      <c r="D324" s="64">
        <v>69.48</v>
      </c>
      <c r="E324" s="64">
        <v>4773489</v>
      </c>
      <c r="F324" s="64" t="s">
        <v>322</v>
      </c>
      <c r="G324" s="25">
        <f t="shared" si="3"/>
        <v>-1.3672999424294785E-2</v>
      </c>
    </row>
    <row r="325" spans="1:7">
      <c r="A325" s="64">
        <v>70.33</v>
      </c>
      <c r="B325" s="64">
        <v>71.53</v>
      </c>
      <c r="C325" s="64">
        <v>69.325000000000003</v>
      </c>
      <c r="D325" s="64">
        <v>70.83</v>
      </c>
      <c r="E325" s="64">
        <v>5207844</v>
      </c>
      <c r="F325" s="64" t="s">
        <v>323</v>
      </c>
      <c r="G325" s="25">
        <f t="shared" si="3"/>
        <v>-7.0591557249752857E-3</v>
      </c>
    </row>
    <row r="326" spans="1:7">
      <c r="A326" s="64">
        <v>71.8</v>
      </c>
      <c r="B326" s="64">
        <v>73.099999999999994</v>
      </c>
      <c r="C326" s="64">
        <v>71.450100000000006</v>
      </c>
      <c r="D326" s="64">
        <v>72.06</v>
      </c>
      <c r="E326" s="64">
        <v>5028690</v>
      </c>
      <c r="F326" s="64" t="s">
        <v>324</v>
      </c>
      <c r="G326" s="25">
        <f t="shared" si="3"/>
        <v>-3.6081043574799354E-3</v>
      </c>
    </row>
    <row r="327" spans="1:7">
      <c r="A327" s="64">
        <v>72.849999999999994</v>
      </c>
      <c r="B327" s="64">
        <v>73.194999999999993</v>
      </c>
      <c r="C327" s="64">
        <v>70.95</v>
      </c>
      <c r="D327" s="64">
        <v>71.33</v>
      </c>
      <c r="E327" s="64">
        <v>4821945</v>
      </c>
      <c r="F327" s="64" t="s">
        <v>325</v>
      </c>
      <c r="G327" s="25">
        <f t="shared" si="3"/>
        <v>2.1309406981634638E-2</v>
      </c>
    </row>
    <row r="328" spans="1:7">
      <c r="A328" s="64">
        <v>71.38</v>
      </c>
      <c r="B328" s="64">
        <v>71.69</v>
      </c>
      <c r="C328" s="64">
        <v>69.87</v>
      </c>
      <c r="D328" s="64">
        <v>71.53</v>
      </c>
      <c r="E328" s="64">
        <v>6279854</v>
      </c>
      <c r="F328" s="64" t="s">
        <v>326</v>
      </c>
      <c r="G328" s="25">
        <f t="shared" si="3"/>
        <v>-2.0970222284356632E-3</v>
      </c>
    </row>
    <row r="329" spans="1:7">
      <c r="A329" s="64">
        <v>71.39</v>
      </c>
      <c r="B329" s="64">
        <v>72.989999999999995</v>
      </c>
      <c r="C329" s="64">
        <v>71.150000000000006</v>
      </c>
      <c r="D329" s="64">
        <v>72.16</v>
      </c>
      <c r="E329" s="64">
        <v>3174021</v>
      </c>
      <c r="F329" s="64" t="s">
        <v>327</v>
      </c>
      <c r="G329" s="25">
        <f t="shared" si="3"/>
        <v>-1.0670731707317027E-2</v>
      </c>
    </row>
    <row r="330" spans="1:7">
      <c r="A330" s="64">
        <v>71.62</v>
      </c>
      <c r="B330" s="64">
        <v>71.77</v>
      </c>
      <c r="C330" s="64">
        <v>70.14</v>
      </c>
      <c r="D330" s="64">
        <v>71.47</v>
      </c>
      <c r="E330" s="64">
        <v>5955822</v>
      </c>
      <c r="F330" s="64" t="s">
        <v>328</v>
      </c>
      <c r="G330" s="25">
        <f t="shared" si="3"/>
        <v>2.0987827060305886E-3</v>
      </c>
    </row>
    <row r="331" spans="1:7">
      <c r="A331" s="64">
        <v>71.400000000000006</v>
      </c>
      <c r="B331" s="64">
        <v>72.64</v>
      </c>
      <c r="C331" s="64">
        <v>71.375</v>
      </c>
      <c r="D331" s="64">
        <v>71.66</v>
      </c>
      <c r="E331" s="64">
        <v>2993185</v>
      </c>
      <c r="F331" s="64" t="s">
        <v>329</v>
      </c>
      <c r="G331" s="25">
        <f t="shared" si="3"/>
        <v>-3.6282444878592557E-3</v>
      </c>
    </row>
    <row r="332" spans="1:7">
      <c r="A332" s="64">
        <v>71.959999999999994</v>
      </c>
      <c r="B332" s="64">
        <v>72.400000000000006</v>
      </c>
      <c r="C332" s="64">
        <v>71.209999999999994</v>
      </c>
      <c r="D332" s="64">
        <v>71.55</v>
      </c>
      <c r="E332" s="64">
        <v>2316112</v>
      </c>
      <c r="F332" s="64" t="s">
        <v>330</v>
      </c>
      <c r="G332" s="25">
        <f t="shared" si="3"/>
        <v>5.7302585604472878E-3</v>
      </c>
    </row>
    <row r="333" spans="1:7">
      <c r="A333" s="64">
        <v>71.45</v>
      </c>
      <c r="B333" s="64">
        <v>73.12</v>
      </c>
      <c r="C333" s="64">
        <v>70.55</v>
      </c>
      <c r="D333" s="64">
        <v>72.94</v>
      </c>
      <c r="E333" s="64">
        <v>6406855</v>
      </c>
      <c r="F333" s="64" t="s">
        <v>331</v>
      </c>
      <c r="G333" s="25">
        <f t="shared" si="3"/>
        <v>-2.0427748834658588E-2</v>
      </c>
    </row>
    <row r="334" spans="1:7">
      <c r="A334" s="64">
        <v>72.760000000000005</v>
      </c>
      <c r="B334" s="64">
        <v>73.894999999999996</v>
      </c>
      <c r="C334" s="64">
        <v>72.206699999999998</v>
      </c>
      <c r="D334" s="64">
        <v>73.61</v>
      </c>
      <c r="E334" s="64">
        <v>5725387</v>
      </c>
      <c r="F334" s="64" t="s">
        <v>332</v>
      </c>
      <c r="G334" s="25">
        <f t="shared" si="3"/>
        <v>-1.1547344110854452E-2</v>
      </c>
    </row>
    <row r="335" spans="1:7">
      <c r="A335" s="64">
        <v>73.3</v>
      </c>
      <c r="B335" s="64">
        <v>74.66</v>
      </c>
      <c r="C335" s="64">
        <v>73.2</v>
      </c>
      <c r="D335" s="64">
        <v>74.31</v>
      </c>
      <c r="E335" s="64">
        <v>2843657</v>
      </c>
      <c r="F335" s="64" t="s">
        <v>333</v>
      </c>
      <c r="G335" s="25">
        <f t="shared" si="3"/>
        <v>-1.3591710402368506E-2</v>
      </c>
    </row>
    <row r="336" spans="1:7">
      <c r="A336" s="64">
        <v>74.709999999999994</v>
      </c>
      <c r="B336" s="64">
        <v>75.209999999999994</v>
      </c>
      <c r="C336" s="64">
        <v>74.25</v>
      </c>
      <c r="D336" s="64">
        <v>74.400000000000006</v>
      </c>
      <c r="E336" s="64">
        <v>2517569</v>
      </c>
      <c r="F336" s="64" t="s">
        <v>334</v>
      </c>
      <c r="G336" s="25">
        <f t="shared" si="3"/>
        <v>4.1666666666664298E-3</v>
      </c>
    </row>
    <row r="337" spans="1:7">
      <c r="A337" s="64">
        <v>74.67</v>
      </c>
      <c r="B337" s="64">
        <v>76.5</v>
      </c>
      <c r="C337" s="64">
        <v>74.56</v>
      </c>
      <c r="D337" s="64">
        <v>75.489999999999995</v>
      </c>
      <c r="E337" s="64">
        <v>3023279</v>
      </c>
      <c r="F337" s="64" t="s">
        <v>335</v>
      </c>
      <c r="G337" s="25">
        <f t="shared" si="3"/>
        <v>-1.0862365876274871E-2</v>
      </c>
    </row>
    <row r="338" spans="1:7">
      <c r="A338" s="64">
        <v>75.67</v>
      </c>
      <c r="B338" s="64">
        <v>76.665999999999997</v>
      </c>
      <c r="C338" s="64">
        <v>75.56</v>
      </c>
      <c r="D338" s="64">
        <v>75.86</v>
      </c>
      <c r="E338" s="64">
        <v>4938322</v>
      </c>
      <c r="F338" s="64" t="s">
        <v>336</v>
      </c>
      <c r="G338" s="25">
        <f t="shared" si="3"/>
        <v>-2.5046137621934639E-3</v>
      </c>
    </row>
    <row r="339" spans="1:7">
      <c r="A339" s="64">
        <v>76.19</v>
      </c>
      <c r="B339" s="64">
        <v>76.73</v>
      </c>
      <c r="C339" s="64">
        <v>75.739999999999995</v>
      </c>
      <c r="D339" s="64">
        <v>76.2</v>
      </c>
      <c r="E339" s="64">
        <v>3899214</v>
      </c>
      <c r="F339" s="64" t="s">
        <v>337</v>
      </c>
      <c r="G339" s="25">
        <f t="shared" si="3"/>
        <v>-1.3123359580058391E-4</v>
      </c>
    </row>
    <row r="340" spans="1:7">
      <c r="A340" s="64">
        <v>76</v>
      </c>
      <c r="B340" s="64">
        <v>76.709999999999994</v>
      </c>
      <c r="C340" s="64">
        <v>74.849999999999994</v>
      </c>
      <c r="D340" s="64">
        <v>76.34</v>
      </c>
      <c r="E340" s="64">
        <v>4771399</v>
      </c>
      <c r="F340" s="64" t="s">
        <v>338</v>
      </c>
      <c r="G340" s="25">
        <f t="shared" si="3"/>
        <v>-4.4537594969872307E-3</v>
      </c>
    </row>
    <row r="341" spans="1:7">
      <c r="A341" s="64">
        <v>75.819999999999993</v>
      </c>
      <c r="B341" s="64">
        <v>76</v>
      </c>
      <c r="C341" s="64">
        <v>73.89</v>
      </c>
      <c r="D341" s="64">
        <v>74</v>
      </c>
      <c r="E341" s="64">
        <v>9353191</v>
      </c>
      <c r="F341" s="64" t="s">
        <v>339</v>
      </c>
      <c r="G341" s="25">
        <f t="shared" si="3"/>
        <v>2.4594594594594454E-2</v>
      </c>
    </row>
    <row r="342" spans="1:7">
      <c r="A342" s="64">
        <v>70.91</v>
      </c>
      <c r="B342" s="64">
        <v>71.05</v>
      </c>
      <c r="C342" s="64">
        <v>70.319999999999993</v>
      </c>
      <c r="D342" s="64">
        <v>70.73</v>
      </c>
      <c r="E342" s="64">
        <v>3464627</v>
      </c>
      <c r="F342" s="64" t="s">
        <v>340</v>
      </c>
      <c r="G342" s="25">
        <f t="shared" si="3"/>
        <v>2.5448890145622904E-3</v>
      </c>
    </row>
    <row r="343" spans="1:7">
      <c r="A343" s="64">
        <v>71.099999999999994</v>
      </c>
      <c r="B343" s="64">
        <v>71.31</v>
      </c>
      <c r="C343" s="64">
        <v>70.096500000000006</v>
      </c>
      <c r="D343" s="64">
        <v>70.63</v>
      </c>
      <c r="E343" s="64">
        <v>2743460</v>
      </c>
      <c r="F343" s="64" t="s">
        <v>341</v>
      </c>
      <c r="G343" s="25">
        <f t="shared" si="3"/>
        <v>6.6543961489451409E-3</v>
      </c>
    </row>
    <row r="344" spans="1:7">
      <c r="A344" s="64">
        <v>70.349999999999994</v>
      </c>
      <c r="B344" s="64">
        <v>71.680000000000007</v>
      </c>
      <c r="C344" s="64">
        <v>70.319999999999993</v>
      </c>
      <c r="D344" s="64">
        <v>71.19</v>
      </c>
      <c r="E344" s="64">
        <v>3695667</v>
      </c>
      <c r="F344" s="64" t="s">
        <v>342</v>
      </c>
      <c r="G344" s="25">
        <f t="shared" si="3"/>
        <v>-1.179941002949858E-2</v>
      </c>
    </row>
    <row r="345" spans="1:7">
      <c r="A345" s="64">
        <v>70.989999999999995</v>
      </c>
      <c r="B345" s="64">
        <v>71.900000000000006</v>
      </c>
      <c r="C345" s="64">
        <v>70.715000000000003</v>
      </c>
      <c r="D345" s="64">
        <v>71.78</v>
      </c>
      <c r="E345" s="64">
        <v>4179122</v>
      </c>
      <c r="F345" s="64" t="s">
        <v>343</v>
      </c>
      <c r="G345" s="25">
        <f t="shared" si="3"/>
        <v>-1.1005851212036899E-2</v>
      </c>
    </row>
    <row r="346" spans="1:7">
      <c r="A346" s="64">
        <v>72.099999999999994</v>
      </c>
      <c r="B346" s="64">
        <v>72.364999999999995</v>
      </c>
      <c r="C346" s="64">
        <v>71.45</v>
      </c>
      <c r="D346" s="64">
        <v>72</v>
      </c>
      <c r="E346" s="64">
        <v>3772799</v>
      </c>
      <c r="F346" s="64" t="s">
        <v>344</v>
      </c>
      <c r="G346" s="25">
        <f t="shared" si="3"/>
        <v>1.388888888888884E-3</v>
      </c>
    </row>
    <row r="347" spans="1:7">
      <c r="A347" s="64">
        <v>71.33</v>
      </c>
      <c r="B347" s="64">
        <v>71.430000000000007</v>
      </c>
      <c r="C347" s="64">
        <v>70.650000000000006</v>
      </c>
      <c r="D347" s="64">
        <v>70.849999999999994</v>
      </c>
      <c r="E347" s="64">
        <v>3852498</v>
      </c>
      <c r="F347" s="64" t="s">
        <v>345</v>
      </c>
      <c r="G347" s="25">
        <f t="shared" si="3"/>
        <v>6.7748764996471422E-3</v>
      </c>
    </row>
    <row r="348" spans="1:7">
      <c r="A348" s="64">
        <v>71.38</v>
      </c>
      <c r="B348" s="64">
        <v>72.36</v>
      </c>
      <c r="C348" s="64">
        <v>71.25</v>
      </c>
      <c r="D348" s="64">
        <v>71.53</v>
      </c>
      <c r="E348" s="64">
        <v>3410708</v>
      </c>
      <c r="F348" s="64" t="s">
        <v>346</v>
      </c>
      <c r="G348" s="25">
        <f t="shared" si="3"/>
        <v>-2.0970222284356632E-3</v>
      </c>
    </row>
    <row r="349" spans="1:7">
      <c r="A349" s="64">
        <v>72.45</v>
      </c>
      <c r="B349" s="64">
        <v>73.47</v>
      </c>
      <c r="C349" s="64">
        <v>72.39</v>
      </c>
      <c r="D349" s="64">
        <v>73.33</v>
      </c>
      <c r="E349" s="64">
        <v>3238447</v>
      </c>
      <c r="F349" s="64" t="s">
        <v>347</v>
      </c>
      <c r="G349" s="25">
        <f t="shared" si="3"/>
        <v>-1.200054547933993E-2</v>
      </c>
    </row>
    <row r="350" spans="1:7">
      <c r="A350" s="64">
        <v>73.22</v>
      </c>
      <c r="B350" s="64">
        <v>73.88</v>
      </c>
      <c r="C350" s="64">
        <v>72.63</v>
      </c>
      <c r="D350" s="64">
        <v>73.11</v>
      </c>
      <c r="E350" s="64">
        <v>4946293</v>
      </c>
      <c r="F350" s="64" t="s">
        <v>348</v>
      </c>
      <c r="G350" s="25">
        <f t="shared" si="3"/>
        <v>1.5045821365067269E-3</v>
      </c>
    </row>
    <row r="351" spans="1:7">
      <c r="A351" s="64">
        <v>71.13</v>
      </c>
      <c r="B351" s="64">
        <v>72.989999999999995</v>
      </c>
      <c r="C351" s="64">
        <v>71.11</v>
      </c>
      <c r="D351" s="64">
        <v>72.5</v>
      </c>
      <c r="E351" s="64">
        <v>4669933</v>
      </c>
      <c r="F351" s="64" t="s">
        <v>349</v>
      </c>
      <c r="G351" s="25">
        <f t="shared" si="3"/>
        <v>-1.8896551724137955E-2</v>
      </c>
    </row>
    <row r="352" spans="1:7">
      <c r="A352" s="64">
        <v>72.56</v>
      </c>
      <c r="B352" s="64">
        <v>72.739999999999995</v>
      </c>
      <c r="C352" s="64">
        <v>69</v>
      </c>
      <c r="D352" s="64">
        <v>69.48</v>
      </c>
      <c r="E352" s="64">
        <v>7623873</v>
      </c>
      <c r="F352" s="64" t="s">
        <v>350</v>
      </c>
      <c r="G352" s="25">
        <f t="shared" si="3"/>
        <v>4.4329303396660968E-2</v>
      </c>
    </row>
    <row r="353" spans="1:7">
      <c r="A353" s="64">
        <v>69.2</v>
      </c>
      <c r="B353" s="64">
        <v>69.42</v>
      </c>
      <c r="C353" s="64">
        <v>68.42</v>
      </c>
      <c r="D353" s="64">
        <v>68.790000000000006</v>
      </c>
      <c r="E353" s="64">
        <v>5171158</v>
      </c>
      <c r="F353" s="64" t="s">
        <v>351</v>
      </c>
      <c r="G353" s="25">
        <f t="shared" si="3"/>
        <v>5.9601686291612666E-3</v>
      </c>
    </row>
    <row r="354" spans="1:7">
      <c r="A354" s="64">
        <v>68.989999999999995</v>
      </c>
      <c r="B354" s="64">
        <v>69.64</v>
      </c>
      <c r="C354" s="64">
        <v>68.400000000000006</v>
      </c>
      <c r="D354" s="64">
        <v>68.64</v>
      </c>
      <c r="E354" s="64">
        <v>5528234</v>
      </c>
      <c r="F354" s="64" t="s">
        <v>352</v>
      </c>
      <c r="G354" s="25">
        <f t="shared" si="3"/>
        <v>5.0990675990674195E-3</v>
      </c>
    </row>
    <row r="355" spans="1:7">
      <c r="A355" s="64">
        <v>68.930000000000007</v>
      </c>
      <c r="B355" s="64">
        <v>69.400000000000006</v>
      </c>
      <c r="C355" s="64">
        <v>68.34</v>
      </c>
      <c r="D355" s="64">
        <v>69.05</v>
      </c>
      <c r="E355" s="64">
        <v>5220958</v>
      </c>
      <c r="F355" s="64" t="s">
        <v>353</v>
      </c>
      <c r="G355" s="25">
        <f t="shared" si="3"/>
        <v>-1.7378711078926967E-3</v>
      </c>
    </row>
    <row r="356" spans="1:7">
      <c r="A356" s="64">
        <v>69.040000000000006</v>
      </c>
      <c r="B356" s="64">
        <v>70.239999999999995</v>
      </c>
      <c r="C356" s="64">
        <v>68.23</v>
      </c>
      <c r="D356" s="64">
        <v>69.44</v>
      </c>
      <c r="E356" s="64">
        <v>6023584</v>
      </c>
      <c r="F356" s="64" t="s">
        <v>354</v>
      </c>
      <c r="G356" s="25">
        <f t="shared" si="3"/>
        <v>-5.7603686635943063E-3</v>
      </c>
    </row>
    <row r="357" spans="1:7">
      <c r="A357" s="64">
        <v>69.97</v>
      </c>
      <c r="B357" s="64">
        <v>70.674999999999997</v>
      </c>
      <c r="C357" s="64">
        <v>69.2</v>
      </c>
      <c r="D357" s="64">
        <v>70.2</v>
      </c>
      <c r="E357" s="64">
        <v>4786286</v>
      </c>
      <c r="F357" s="64" t="s">
        <v>355</v>
      </c>
      <c r="G357" s="25">
        <f t="shared" si="3"/>
        <v>-3.2763532763533387E-3</v>
      </c>
    </row>
    <row r="358" spans="1:7">
      <c r="A358" s="64">
        <v>69.78</v>
      </c>
      <c r="B358" s="64">
        <v>70.28</v>
      </c>
      <c r="C358" s="64">
        <v>69.099699999999999</v>
      </c>
      <c r="D358" s="64">
        <v>69.959999999999994</v>
      </c>
      <c r="E358" s="64">
        <v>5031238</v>
      </c>
      <c r="F358" s="64" t="s">
        <v>356</v>
      </c>
      <c r="G358" s="25">
        <f t="shared" si="3"/>
        <v>-2.572898799313772E-3</v>
      </c>
    </row>
    <row r="359" spans="1:7">
      <c r="A359" s="64">
        <v>69.86</v>
      </c>
      <c r="B359" s="64">
        <v>70</v>
      </c>
      <c r="C359" s="64">
        <v>68.234999999999999</v>
      </c>
      <c r="D359" s="64">
        <v>68.95</v>
      </c>
      <c r="E359" s="64">
        <v>5723576</v>
      </c>
      <c r="F359" s="64" t="s">
        <v>357</v>
      </c>
      <c r="G359" s="25">
        <f t="shared" si="3"/>
        <v>1.3197969543147225E-2</v>
      </c>
    </row>
    <row r="360" spans="1:7">
      <c r="A360" s="64">
        <v>70.28</v>
      </c>
      <c r="B360" s="64">
        <v>72.094999999999999</v>
      </c>
      <c r="C360" s="64">
        <v>70.194999999999993</v>
      </c>
      <c r="D360" s="64">
        <v>71.430000000000007</v>
      </c>
      <c r="E360" s="64">
        <v>3519496</v>
      </c>
      <c r="F360" s="64" t="s">
        <v>358</v>
      </c>
      <c r="G360" s="25">
        <f t="shared" si="3"/>
        <v>-1.6099678006439966E-2</v>
      </c>
    </row>
    <row r="361" spans="1:7">
      <c r="A361" s="64">
        <v>71.040000000000006</v>
      </c>
      <c r="B361" s="64">
        <v>71.715000000000003</v>
      </c>
      <c r="C361" s="64">
        <v>70.540000000000006</v>
      </c>
      <c r="D361" s="64">
        <v>71.34</v>
      </c>
      <c r="E361" s="64">
        <v>3228813</v>
      </c>
      <c r="F361" s="64" t="s">
        <v>359</v>
      </c>
      <c r="G361" s="25">
        <f t="shared" si="3"/>
        <v>-4.20521446593769E-3</v>
      </c>
    </row>
    <row r="362" spans="1:7">
      <c r="A362" s="64">
        <v>71.09</v>
      </c>
      <c r="B362" s="64">
        <v>72.34</v>
      </c>
      <c r="C362" s="64">
        <v>69.778599999999997</v>
      </c>
      <c r="D362" s="64">
        <v>70.540000000000006</v>
      </c>
      <c r="E362" s="64">
        <v>5366680</v>
      </c>
      <c r="F362" s="64" t="s">
        <v>360</v>
      </c>
      <c r="G362" s="25">
        <f t="shared" si="3"/>
        <v>7.7969946129854417E-3</v>
      </c>
    </row>
    <row r="363" spans="1:7">
      <c r="A363" s="64">
        <v>73.42</v>
      </c>
      <c r="B363" s="64">
        <v>74.099999999999994</v>
      </c>
      <c r="C363" s="64">
        <v>72.89</v>
      </c>
      <c r="D363" s="64">
        <v>73.430000000000007</v>
      </c>
      <c r="E363" s="64">
        <v>3473379</v>
      </c>
      <c r="F363" s="64" t="s">
        <v>361</v>
      </c>
      <c r="G363" s="25">
        <f t="shared" si="3"/>
        <v>-1.3618412093152621E-4</v>
      </c>
    </row>
    <row r="364" spans="1:7">
      <c r="A364" s="64">
        <v>74.150000000000006</v>
      </c>
      <c r="B364" s="64">
        <v>74.739999999999995</v>
      </c>
      <c r="C364" s="64">
        <v>73.33</v>
      </c>
      <c r="D364" s="64">
        <v>73.62</v>
      </c>
      <c r="E364" s="64">
        <v>3447118</v>
      </c>
      <c r="F364" s="64" t="s">
        <v>362</v>
      </c>
      <c r="G364" s="25">
        <f t="shared" si="3"/>
        <v>7.1991306710132985E-3</v>
      </c>
    </row>
    <row r="365" spans="1:7">
      <c r="A365" s="64">
        <v>73.64</v>
      </c>
      <c r="B365" s="64">
        <v>74.44</v>
      </c>
      <c r="C365" s="64">
        <v>73.41</v>
      </c>
      <c r="D365" s="64">
        <v>73.73</v>
      </c>
      <c r="E365" s="64">
        <v>3093941</v>
      </c>
      <c r="F365" s="64" t="s">
        <v>363</v>
      </c>
      <c r="G365" s="25">
        <f t="shared" si="3"/>
        <v>-1.2206700122067149E-3</v>
      </c>
    </row>
    <row r="366" spans="1:7">
      <c r="A366" s="64">
        <v>73.540000000000006</v>
      </c>
      <c r="B366" s="64">
        <v>74.33</v>
      </c>
      <c r="C366" s="64">
        <v>73.180000000000007</v>
      </c>
      <c r="D366" s="64">
        <v>74</v>
      </c>
      <c r="E366" s="64">
        <v>4102477</v>
      </c>
      <c r="F366" s="64" t="s">
        <v>364</v>
      </c>
      <c r="G366" s="25">
        <f t="shared" si="3"/>
        <v>-6.2162162162161527E-3</v>
      </c>
    </row>
    <row r="367" spans="1:7">
      <c r="A367" s="64">
        <v>73.91</v>
      </c>
      <c r="B367" s="64">
        <v>74</v>
      </c>
      <c r="C367" s="64">
        <v>72.150000000000006</v>
      </c>
      <c r="D367" s="64">
        <v>72.81</v>
      </c>
      <c r="E367" s="64">
        <v>3997406</v>
      </c>
      <c r="F367" s="64" t="s">
        <v>365</v>
      </c>
      <c r="G367" s="25">
        <f t="shared" si="3"/>
        <v>1.5107814860596092E-2</v>
      </c>
    </row>
    <row r="368" spans="1:7">
      <c r="A368" s="64">
        <v>72.59</v>
      </c>
      <c r="B368" s="64">
        <v>74.5</v>
      </c>
      <c r="C368" s="64">
        <v>71.97</v>
      </c>
      <c r="D368" s="64">
        <v>74.31</v>
      </c>
      <c r="E368" s="64">
        <v>5547884</v>
      </c>
      <c r="F368" s="64" t="s">
        <v>366</v>
      </c>
      <c r="G368" s="25">
        <f t="shared" si="3"/>
        <v>-2.314627910106315E-2</v>
      </c>
    </row>
    <row r="369" spans="1:7">
      <c r="A369" s="64">
        <v>74.03</v>
      </c>
      <c r="B369" s="64">
        <v>75.36</v>
      </c>
      <c r="C369" s="64">
        <v>73.819999999999993</v>
      </c>
      <c r="D369" s="64">
        <v>74.66</v>
      </c>
      <c r="E369" s="64">
        <v>2722136</v>
      </c>
      <c r="F369" s="64" t="s">
        <v>367</v>
      </c>
      <c r="G369" s="25">
        <f t="shared" si="3"/>
        <v>-8.4382534154834321E-3</v>
      </c>
    </row>
    <row r="370" spans="1:7">
      <c r="A370" s="64">
        <v>74.239999999999995</v>
      </c>
      <c r="B370" s="64">
        <v>75.349999999999994</v>
      </c>
      <c r="C370" s="64">
        <v>74.076800000000006</v>
      </c>
      <c r="D370" s="64">
        <v>74.67</v>
      </c>
      <c r="E370" s="64">
        <v>2414104</v>
      </c>
      <c r="F370" s="64" t="s">
        <v>368</v>
      </c>
      <c r="G370" s="25">
        <f t="shared" si="3"/>
        <v>-5.7586714878801182E-3</v>
      </c>
    </row>
    <row r="371" spans="1:7">
      <c r="A371" s="64">
        <v>75.650000000000006</v>
      </c>
      <c r="B371" s="64">
        <v>76.23</v>
      </c>
      <c r="C371" s="64">
        <v>75.11</v>
      </c>
      <c r="D371" s="64">
        <v>75.290000000000006</v>
      </c>
      <c r="E371" s="64">
        <v>6102806</v>
      </c>
      <c r="F371" s="64" t="s">
        <v>369</v>
      </c>
      <c r="G371" s="25">
        <f t="shared" si="3"/>
        <v>4.7815114889095955E-3</v>
      </c>
    </row>
    <row r="372" spans="1:7">
      <c r="A372" s="64">
        <v>75.92</v>
      </c>
      <c r="B372" s="64">
        <v>75.95</v>
      </c>
      <c r="C372" s="64">
        <v>74.921800000000005</v>
      </c>
      <c r="D372" s="64">
        <v>75</v>
      </c>
      <c r="E372" s="64">
        <v>3146818</v>
      </c>
      <c r="F372" s="64" t="s">
        <v>370</v>
      </c>
      <c r="G372" s="25">
        <f t="shared" si="3"/>
        <v>1.2266666666666648E-2</v>
      </c>
    </row>
    <row r="373" spans="1:7">
      <c r="A373" s="64">
        <v>75.38</v>
      </c>
      <c r="B373" s="64">
        <v>75.38</v>
      </c>
      <c r="C373" s="64">
        <v>74.430000000000007</v>
      </c>
      <c r="D373" s="64">
        <v>74.930000000000007</v>
      </c>
      <c r="E373" s="64">
        <v>1687362</v>
      </c>
      <c r="F373" s="64" t="s">
        <v>371</v>
      </c>
      <c r="G373" s="25">
        <f t="shared" si="3"/>
        <v>6.0056052315493602E-3</v>
      </c>
    </row>
    <row r="374" spans="1:7">
      <c r="A374" s="64">
        <v>74.81</v>
      </c>
      <c r="B374" s="64">
        <v>74.900000000000006</v>
      </c>
      <c r="C374" s="64">
        <v>73.435000000000002</v>
      </c>
      <c r="D374" s="64">
        <v>74.459999999999994</v>
      </c>
      <c r="E374" s="64">
        <v>4228782</v>
      </c>
      <c r="F374" s="64" t="s">
        <v>372</v>
      </c>
      <c r="G374" s="25">
        <f t="shared" si="3"/>
        <v>4.7005103411228433E-3</v>
      </c>
    </row>
    <row r="375" spans="1:7">
      <c r="A375" s="64">
        <v>74.81</v>
      </c>
      <c r="B375" s="64">
        <v>75.27</v>
      </c>
      <c r="C375" s="64">
        <v>72.97</v>
      </c>
      <c r="D375" s="64">
        <v>73.3</v>
      </c>
      <c r="E375" s="64">
        <v>14210482</v>
      </c>
      <c r="F375" s="64" t="s">
        <v>373</v>
      </c>
      <c r="G375" s="25">
        <f t="shared" si="3"/>
        <v>2.0600272851296175E-2</v>
      </c>
    </row>
    <row r="376" spans="1:7">
      <c r="A376" s="64">
        <v>73.930000000000007</v>
      </c>
      <c r="B376" s="64">
        <v>74</v>
      </c>
      <c r="C376" s="64">
        <v>72.290000000000006</v>
      </c>
      <c r="D376" s="64">
        <v>72.900000000000006</v>
      </c>
      <c r="E376" s="64">
        <v>8719293</v>
      </c>
      <c r="F376" s="64" t="s">
        <v>374</v>
      </c>
      <c r="G376" s="25">
        <f t="shared" si="3"/>
        <v>1.4128943758573431E-2</v>
      </c>
    </row>
    <row r="377" spans="1:7">
      <c r="A377" s="64">
        <v>72.81</v>
      </c>
      <c r="B377" s="64">
        <v>74.31</v>
      </c>
      <c r="C377" s="64">
        <v>72.61</v>
      </c>
      <c r="D377" s="64">
        <v>73.849999999999994</v>
      </c>
      <c r="E377" s="64">
        <v>7721021</v>
      </c>
      <c r="F377" s="64" t="s">
        <v>375</v>
      </c>
      <c r="G377" s="25">
        <f t="shared" si="3"/>
        <v>-1.4082599864590262E-2</v>
      </c>
    </row>
    <row r="378" spans="1:7">
      <c r="A378" s="64">
        <v>74.12</v>
      </c>
      <c r="B378" s="64">
        <v>74.38</v>
      </c>
      <c r="C378" s="64">
        <v>73.400000000000006</v>
      </c>
      <c r="D378" s="64">
        <v>73.5</v>
      </c>
      <c r="E378" s="64">
        <v>7070144</v>
      </c>
      <c r="F378" s="64" t="s">
        <v>376</v>
      </c>
      <c r="G378" s="25">
        <f t="shared" si="3"/>
        <v>8.4353741496598911E-3</v>
      </c>
    </row>
    <row r="379" spans="1:7">
      <c r="A379" s="64">
        <v>73.91</v>
      </c>
      <c r="B379" s="64">
        <v>74.575000000000003</v>
      </c>
      <c r="C379" s="64">
        <v>72.91</v>
      </c>
      <c r="D379" s="64">
        <v>74.13</v>
      </c>
      <c r="E379" s="64">
        <v>5992937</v>
      </c>
      <c r="F379" s="64" t="s">
        <v>377</v>
      </c>
      <c r="G379" s="25">
        <f t="shared" si="3"/>
        <v>-2.9677593416970183E-3</v>
      </c>
    </row>
    <row r="380" spans="1:7">
      <c r="A380" s="64">
        <v>73.319999999999993</v>
      </c>
      <c r="B380" s="64">
        <v>74.28</v>
      </c>
      <c r="C380" s="64">
        <v>72.489999999999995</v>
      </c>
      <c r="D380" s="64">
        <v>73.91</v>
      </c>
      <c r="E380" s="64">
        <v>3092539</v>
      </c>
      <c r="F380" s="64" t="s">
        <v>378</v>
      </c>
      <c r="G380" s="25">
        <f t="shared" si="3"/>
        <v>-7.9826816398322897E-3</v>
      </c>
    </row>
    <row r="381" spans="1:7">
      <c r="A381" s="64">
        <v>73.97</v>
      </c>
      <c r="B381" s="64">
        <v>74.790000000000006</v>
      </c>
      <c r="C381" s="64">
        <v>73.010000000000005</v>
      </c>
      <c r="D381" s="64">
        <v>73.27</v>
      </c>
      <c r="E381" s="64">
        <v>3852282</v>
      </c>
      <c r="F381" s="64" t="s">
        <v>379</v>
      </c>
      <c r="G381" s="25">
        <f t="shared" si="3"/>
        <v>9.5537054729084581E-3</v>
      </c>
    </row>
    <row r="382" spans="1:7">
      <c r="A382" s="64">
        <v>73.81</v>
      </c>
      <c r="B382" s="64">
        <v>74.31</v>
      </c>
      <c r="C382" s="64">
        <v>72.900000000000006</v>
      </c>
      <c r="D382" s="64">
        <v>73.2</v>
      </c>
      <c r="E382" s="64">
        <v>3593943</v>
      </c>
      <c r="F382" s="64" t="s">
        <v>380</v>
      </c>
      <c r="G382" s="25">
        <f t="shared" si="3"/>
        <v>8.3333333333333037E-3</v>
      </c>
    </row>
    <row r="383" spans="1:7">
      <c r="A383" s="64">
        <v>73.39</v>
      </c>
      <c r="B383" s="64">
        <v>74.16</v>
      </c>
      <c r="C383" s="64">
        <v>71.06</v>
      </c>
      <c r="D383" s="64">
        <v>71.215000000000003</v>
      </c>
      <c r="E383" s="64">
        <v>7313520</v>
      </c>
      <c r="F383" s="64" t="s">
        <v>381</v>
      </c>
      <c r="G383" s="25">
        <f t="shared" ref="G383:G446" si="4">A383/D383-1</f>
        <v>3.0541318542441909E-2</v>
      </c>
    </row>
    <row r="384" spans="1:7">
      <c r="A384" s="64">
        <v>70.900000000000006</v>
      </c>
      <c r="B384" s="64">
        <v>72.5</v>
      </c>
      <c r="C384" s="64">
        <v>70.59</v>
      </c>
      <c r="D384" s="64">
        <v>71.599999999999994</v>
      </c>
      <c r="E384" s="64">
        <v>4145577</v>
      </c>
      <c r="F384" s="64" t="s">
        <v>382</v>
      </c>
      <c r="G384" s="25">
        <f t="shared" si="4"/>
        <v>-9.7765363128490268E-3</v>
      </c>
    </row>
    <row r="385" spans="1:7">
      <c r="A385" s="64">
        <v>71.53</v>
      </c>
      <c r="B385" s="64">
        <v>73.739999999999995</v>
      </c>
      <c r="C385" s="64">
        <v>71.52</v>
      </c>
      <c r="D385" s="64">
        <v>72.709999999999994</v>
      </c>
      <c r="E385" s="64">
        <v>3667095</v>
      </c>
      <c r="F385" s="64" t="s">
        <v>383</v>
      </c>
      <c r="G385" s="25">
        <f t="shared" si="4"/>
        <v>-1.6228854352908662E-2</v>
      </c>
    </row>
    <row r="386" spans="1:7">
      <c r="A386" s="64">
        <v>72.430000000000007</v>
      </c>
      <c r="B386" s="64">
        <v>74.36</v>
      </c>
      <c r="C386" s="64">
        <v>71.900300000000001</v>
      </c>
      <c r="D386" s="64">
        <v>73.41</v>
      </c>
      <c r="E386" s="64">
        <v>4559520</v>
      </c>
      <c r="F386" s="64" t="s">
        <v>384</v>
      </c>
      <c r="G386" s="25">
        <f t="shared" si="4"/>
        <v>-1.3349679880125143E-2</v>
      </c>
    </row>
    <row r="387" spans="1:7">
      <c r="A387" s="64">
        <v>74.2</v>
      </c>
      <c r="B387" s="64">
        <v>74.680000000000007</v>
      </c>
      <c r="C387" s="64">
        <v>71.66</v>
      </c>
      <c r="D387" s="64">
        <v>72.010000000000005</v>
      </c>
      <c r="E387" s="64">
        <v>6702450</v>
      </c>
      <c r="F387" s="64" t="s">
        <v>385</v>
      </c>
      <c r="G387" s="25">
        <f t="shared" si="4"/>
        <v>3.041244271628929E-2</v>
      </c>
    </row>
    <row r="388" spans="1:7">
      <c r="A388" s="64">
        <v>70.2</v>
      </c>
      <c r="B388" s="64">
        <v>70.569999999999993</v>
      </c>
      <c r="C388" s="64">
        <v>69.599999999999994</v>
      </c>
      <c r="D388" s="64">
        <v>70.510000000000005</v>
      </c>
      <c r="E388" s="64">
        <v>5808909</v>
      </c>
      <c r="F388" s="64" t="s">
        <v>386</v>
      </c>
      <c r="G388" s="25">
        <f t="shared" si="4"/>
        <v>-4.3965394979436079E-3</v>
      </c>
    </row>
    <row r="389" spans="1:7">
      <c r="A389" s="64">
        <v>70.53</v>
      </c>
      <c r="B389" s="64">
        <v>70.53</v>
      </c>
      <c r="C389" s="64">
        <v>69.349999999999994</v>
      </c>
      <c r="D389" s="64">
        <v>70.27</v>
      </c>
      <c r="E389" s="64">
        <v>6509833</v>
      </c>
      <c r="F389" s="64" t="s">
        <v>387</v>
      </c>
      <c r="G389" s="25">
        <f t="shared" si="4"/>
        <v>3.7000142308241113E-3</v>
      </c>
    </row>
    <row r="390" spans="1:7">
      <c r="A390" s="64">
        <v>71.349999999999994</v>
      </c>
      <c r="B390" s="64">
        <v>71.709999999999994</v>
      </c>
      <c r="C390" s="64">
        <v>70.23</v>
      </c>
      <c r="D390" s="64">
        <v>71.569999999999993</v>
      </c>
      <c r="E390" s="64">
        <v>2125966</v>
      </c>
      <c r="F390" s="64" t="s">
        <v>388</v>
      </c>
      <c r="G390" s="25">
        <f t="shared" si="4"/>
        <v>-3.073913650971094E-3</v>
      </c>
    </row>
    <row r="391" spans="1:7">
      <c r="A391" s="64">
        <v>72.069999999999993</v>
      </c>
      <c r="B391" s="64">
        <v>72.63</v>
      </c>
      <c r="C391" s="64">
        <v>71.319999999999993</v>
      </c>
      <c r="D391" s="64">
        <v>71.319999999999993</v>
      </c>
      <c r="E391" s="64">
        <v>2753319</v>
      </c>
      <c r="F391" s="64" t="s">
        <v>389</v>
      </c>
      <c r="G391" s="25">
        <f t="shared" si="4"/>
        <v>1.051598429613021E-2</v>
      </c>
    </row>
    <row r="392" spans="1:7">
      <c r="A392" s="64">
        <v>71.55</v>
      </c>
      <c r="B392" s="64">
        <v>72.44</v>
      </c>
      <c r="C392" s="64">
        <v>70.760000000000005</v>
      </c>
      <c r="D392" s="64">
        <v>71.5</v>
      </c>
      <c r="E392" s="64">
        <v>4643385</v>
      </c>
      <c r="F392" s="64" t="s">
        <v>390</v>
      </c>
      <c r="G392" s="25">
        <f t="shared" si="4"/>
        <v>6.993006993005757E-4</v>
      </c>
    </row>
    <row r="393" spans="1:7">
      <c r="A393" s="64">
        <v>71.27</v>
      </c>
      <c r="B393" s="64">
        <v>71.41</v>
      </c>
      <c r="C393" s="64">
        <v>70.144999999999996</v>
      </c>
      <c r="D393" s="64">
        <v>71</v>
      </c>
      <c r="E393" s="64">
        <v>6645758</v>
      </c>
      <c r="F393" s="64" t="s">
        <v>391</v>
      </c>
      <c r="G393" s="25">
        <f t="shared" si="4"/>
        <v>3.802816901408379E-3</v>
      </c>
    </row>
    <row r="394" spans="1:7">
      <c r="A394" s="64">
        <v>70.48</v>
      </c>
      <c r="B394" s="64">
        <v>71</v>
      </c>
      <c r="C394" s="64">
        <v>69.959999999999994</v>
      </c>
      <c r="D394" s="64">
        <v>70.31</v>
      </c>
      <c r="E394" s="64">
        <v>2711639</v>
      </c>
      <c r="F394" s="64" t="s">
        <v>392</v>
      </c>
      <c r="G394" s="25">
        <f t="shared" si="4"/>
        <v>2.4178637462666241E-3</v>
      </c>
    </row>
    <row r="395" spans="1:7">
      <c r="A395" s="64">
        <v>70.38</v>
      </c>
      <c r="B395" s="64">
        <v>70.88</v>
      </c>
      <c r="C395" s="64">
        <v>69.16</v>
      </c>
      <c r="D395" s="64">
        <v>69.650000000000006</v>
      </c>
      <c r="E395" s="64">
        <v>3734694</v>
      </c>
      <c r="F395" s="64" t="s">
        <v>393</v>
      </c>
      <c r="G395" s="25">
        <f t="shared" si="4"/>
        <v>1.0480976310121903E-2</v>
      </c>
    </row>
    <row r="396" spans="1:7">
      <c r="A396" s="64">
        <v>69.540000000000006</v>
      </c>
      <c r="B396" s="64">
        <v>70.61</v>
      </c>
      <c r="C396" s="64">
        <v>68.45</v>
      </c>
      <c r="D396" s="64">
        <v>70.55</v>
      </c>
      <c r="E396" s="64">
        <v>4305476</v>
      </c>
      <c r="F396" s="64" t="s">
        <v>394</v>
      </c>
      <c r="G396" s="25">
        <f t="shared" si="4"/>
        <v>-1.4316087880935413E-2</v>
      </c>
    </row>
    <row r="397" spans="1:7">
      <c r="A397" s="64">
        <v>70.2</v>
      </c>
      <c r="B397" s="64">
        <v>70.260000000000005</v>
      </c>
      <c r="C397" s="64">
        <v>68.3</v>
      </c>
      <c r="D397" s="64">
        <v>69.150000000000006</v>
      </c>
      <c r="E397" s="64">
        <v>4914800</v>
      </c>
      <c r="F397" s="64" t="s">
        <v>395</v>
      </c>
      <c r="G397" s="25">
        <f t="shared" si="4"/>
        <v>1.5184381778741818E-2</v>
      </c>
    </row>
    <row r="398" spans="1:7">
      <c r="A398" s="64">
        <v>69.89</v>
      </c>
      <c r="B398" s="64">
        <v>71.08</v>
      </c>
      <c r="C398" s="64">
        <v>67.58</v>
      </c>
      <c r="D398" s="64">
        <v>67.63</v>
      </c>
      <c r="E398" s="64">
        <v>7061382</v>
      </c>
      <c r="F398" s="64" t="s">
        <v>396</v>
      </c>
      <c r="G398" s="25">
        <f t="shared" si="4"/>
        <v>3.3417122578737413E-2</v>
      </c>
    </row>
    <row r="399" spans="1:7">
      <c r="A399" s="64">
        <v>67.760000000000005</v>
      </c>
      <c r="B399" s="64">
        <v>67.83</v>
      </c>
      <c r="C399" s="64">
        <v>65.31</v>
      </c>
      <c r="D399" s="64">
        <v>65.31</v>
      </c>
      <c r="E399" s="64">
        <v>7530072</v>
      </c>
      <c r="F399" s="64" t="s">
        <v>397</v>
      </c>
      <c r="G399" s="25">
        <f t="shared" si="4"/>
        <v>3.7513397642015001E-2</v>
      </c>
    </row>
    <row r="400" spans="1:7">
      <c r="A400" s="64">
        <v>66.16</v>
      </c>
      <c r="B400" s="64">
        <v>67.680000000000007</v>
      </c>
      <c r="C400" s="64">
        <v>65.83</v>
      </c>
      <c r="D400" s="64">
        <v>66.39</v>
      </c>
      <c r="E400" s="64">
        <v>4005607</v>
      </c>
      <c r="F400" s="64" t="s">
        <v>398</v>
      </c>
      <c r="G400" s="25">
        <f t="shared" si="4"/>
        <v>-3.4643771652358435E-3</v>
      </c>
    </row>
    <row r="401" spans="1:7">
      <c r="A401" s="64">
        <v>66.52</v>
      </c>
      <c r="B401" s="64">
        <v>66.89</v>
      </c>
      <c r="C401" s="64">
        <v>65.31</v>
      </c>
      <c r="D401" s="64">
        <v>65.819999999999993</v>
      </c>
      <c r="E401" s="64">
        <v>3655784</v>
      </c>
      <c r="F401" s="64" t="s">
        <v>399</v>
      </c>
      <c r="G401" s="25">
        <f t="shared" si="4"/>
        <v>1.0635065329687166E-2</v>
      </c>
    </row>
    <row r="402" spans="1:7">
      <c r="A402" s="64">
        <v>65.81</v>
      </c>
      <c r="B402" s="64">
        <v>66.790000000000006</v>
      </c>
      <c r="C402" s="64">
        <v>64.89</v>
      </c>
      <c r="D402" s="64">
        <v>66.5</v>
      </c>
      <c r="E402" s="64">
        <v>5087780</v>
      </c>
      <c r="F402" s="64" t="s">
        <v>400</v>
      </c>
      <c r="G402" s="25">
        <f t="shared" si="4"/>
        <v>-1.0375939849624038E-2</v>
      </c>
    </row>
    <row r="403" spans="1:7">
      <c r="A403" s="64">
        <v>66.7</v>
      </c>
      <c r="B403" s="64">
        <v>67.09</v>
      </c>
      <c r="C403" s="64">
        <v>66.349999999999994</v>
      </c>
      <c r="D403" s="64">
        <v>66.42</v>
      </c>
      <c r="E403" s="64">
        <v>5600379</v>
      </c>
      <c r="F403" s="64" t="s">
        <v>401</v>
      </c>
      <c r="G403" s="25">
        <f t="shared" si="4"/>
        <v>4.2155977115327925E-3</v>
      </c>
    </row>
    <row r="404" spans="1:7">
      <c r="A404" s="64">
        <v>66.23</v>
      </c>
      <c r="B404" s="64">
        <v>66.775000000000006</v>
      </c>
      <c r="C404" s="64">
        <v>65.48</v>
      </c>
      <c r="D404" s="64">
        <v>66.33</v>
      </c>
      <c r="E404" s="64">
        <v>3088441</v>
      </c>
      <c r="F404" s="64" t="s">
        <v>402</v>
      </c>
      <c r="G404" s="25">
        <f t="shared" si="4"/>
        <v>-1.5076134479118375E-3</v>
      </c>
    </row>
    <row r="405" spans="1:7">
      <c r="A405" s="64">
        <v>65.84</v>
      </c>
      <c r="B405" s="64">
        <v>66.33</v>
      </c>
      <c r="C405" s="64">
        <v>65.254999999999995</v>
      </c>
      <c r="D405" s="64">
        <v>66.02</v>
      </c>
      <c r="E405" s="64">
        <v>3856412</v>
      </c>
      <c r="F405" s="64" t="s">
        <v>403</v>
      </c>
      <c r="G405" s="25">
        <f t="shared" si="4"/>
        <v>-2.7264465313540098E-3</v>
      </c>
    </row>
    <row r="406" spans="1:7">
      <c r="A406" s="64">
        <v>65.75</v>
      </c>
      <c r="B406" s="64">
        <v>68.27</v>
      </c>
      <c r="C406" s="64">
        <v>65.61</v>
      </c>
      <c r="D406" s="64">
        <v>68.27</v>
      </c>
      <c r="E406" s="64">
        <v>5340541</v>
      </c>
      <c r="F406" s="64" t="s">
        <v>404</v>
      </c>
      <c r="G406" s="25">
        <f t="shared" si="4"/>
        <v>-3.6912260143547648E-2</v>
      </c>
    </row>
    <row r="407" spans="1:7">
      <c r="A407" s="64">
        <v>66.69</v>
      </c>
      <c r="B407" s="64">
        <v>66.72</v>
      </c>
      <c r="C407" s="64">
        <v>65.510000000000005</v>
      </c>
      <c r="D407" s="64">
        <v>66.17</v>
      </c>
      <c r="E407" s="64">
        <v>3822121</v>
      </c>
      <c r="F407" s="64" t="s">
        <v>405</v>
      </c>
      <c r="G407" s="25">
        <f t="shared" si="4"/>
        <v>7.8585461689586467E-3</v>
      </c>
    </row>
    <row r="408" spans="1:7">
      <c r="A408" s="64">
        <v>66.47</v>
      </c>
      <c r="B408" s="64">
        <v>67.84</v>
      </c>
      <c r="C408" s="64">
        <v>66.180000000000007</v>
      </c>
      <c r="D408" s="64">
        <v>67.62</v>
      </c>
      <c r="E408" s="64">
        <v>3970717</v>
      </c>
      <c r="F408" s="64" t="s">
        <v>406</v>
      </c>
      <c r="G408" s="25">
        <f t="shared" si="4"/>
        <v>-1.7006802721088565E-2</v>
      </c>
    </row>
    <row r="409" spans="1:7">
      <c r="A409" s="64">
        <v>67.540000000000006</v>
      </c>
      <c r="B409" s="64">
        <v>68.584999999999994</v>
      </c>
      <c r="C409" s="64">
        <v>66.67</v>
      </c>
      <c r="D409" s="64">
        <v>67.16</v>
      </c>
      <c r="E409" s="64">
        <v>4040810</v>
      </c>
      <c r="F409" s="64" t="s">
        <v>407</v>
      </c>
      <c r="G409" s="25">
        <f t="shared" si="4"/>
        <v>5.658129839190229E-3</v>
      </c>
    </row>
    <row r="410" spans="1:7">
      <c r="A410" s="64">
        <v>67.010000000000005</v>
      </c>
      <c r="B410" s="64">
        <v>68.37</v>
      </c>
      <c r="C410" s="64">
        <v>67</v>
      </c>
      <c r="D410" s="64">
        <v>68.37</v>
      </c>
      <c r="E410" s="64">
        <v>6307344</v>
      </c>
      <c r="F410" s="64" t="s">
        <v>408</v>
      </c>
      <c r="G410" s="25">
        <f t="shared" si="4"/>
        <v>-1.9891765394178695E-2</v>
      </c>
    </row>
    <row r="411" spans="1:7">
      <c r="A411" s="64">
        <v>68.63</v>
      </c>
      <c r="B411" s="64">
        <v>70.650000000000006</v>
      </c>
      <c r="C411" s="64">
        <v>66.150000000000006</v>
      </c>
      <c r="D411" s="64">
        <v>68.52</v>
      </c>
      <c r="E411" s="64">
        <v>8123866</v>
      </c>
      <c r="F411" s="64" t="s">
        <v>409</v>
      </c>
      <c r="G411" s="25">
        <f t="shared" si="4"/>
        <v>1.6053706946876911E-3</v>
      </c>
    </row>
    <row r="412" spans="1:7">
      <c r="A412" s="64">
        <v>69.37</v>
      </c>
      <c r="B412" s="64">
        <v>71.094999999999999</v>
      </c>
      <c r="C412" s="64">
        <v>68.59</v>
      </c>
      <c r="D412" s="64">
        <v>68.63</v>
      </c>
      <c r="E412" s="64">
        <v>6297531</v>
      </c>
      <c r="F412" s="64" t="s">
        <v>410</v>
      </c>
      <c r="G412" s="25">
        <f t="shared" si="4"/>
        <v>1.0782456651610151E-2</v>
      </c>
    </row>
    <row r="413" spans="1:7">
      <c r="A413" s="64">
        <v>68.52</v>
      </c>
      <c r="B413" s="64">
        <v>72.150000000000006</v>
      </c>
      <c r="C413" s="64">
        <v>66.930000000000007</v>
      </c>
      <c r="D413" s="64">
        <v>70</v>
      </c>
      <c r="E413" s="64">
        <v>8899637</v>
      </c>
      <c r="F413" s="64" t="s">
        <v>411</v>
      </c>
      <c r="G413" s="25">
        <f t="shared" si="4"/>
        <v>-2.1142857142857241E-2</v>
      </c>
    </row>
    <row r="414" spans="1:7">
      <c r="A414" s="64">
        <v>69.38</v>
      </c>
      <c r="B414" s="64">
        <v>70.489999999999995</v>
      </c>
      <c r="C414" s="64">
        <v>68.069999999999993</v>
      </c>
      <c r="D414" s="64">
        <v>68.88</v>
      </c>
      <c r="E414" s="64">
        <v>8171703</v>
      </c>
      <c r="F414" s="64" t="s">
        <v>412</v>
      </c>
      <c r="G414" s="25">
        <f t="shared" si="4"/>
        <v>7.2590011614401817E-3</v>
      </c>
    </row>
    <row r="415" spans="1:7">
      <c r="A415" s="64">
        <v>70.349999999999994</v>
      </c>
      <c r="B415" s="64">
        <v>71.58</v>
      </c>
      <c r="C415" s="64">
        <v>70.150000000000006</v>
      </c>
      <c r="D415" s="64">
        <v>71</v>
      </c>
      <c r="E415" s="64">
        <v>6742230</v>
      </c>
      <c r="F415" s="64" t="s">
        <v>413</v>
      </c>
      <c r="G415" s="25">
        <f t="shared" si="4"/>
        <v>-9.1549295774648876E-3</v>
      </c>
    </row>
    <row r="416" spans="1:7">
      <c r="A416" s="64">
        <v>70.61</v>
      </c>
      <c r="B416" s="64">
        <v>70.680000000000007</v>
      </c>
      <c r="C416" s="64">
        <v>68.87</v>
      </c>
      <c r="D416" s="64">
        <v>68.87</v>
      </c>
      <c r="E416" s="64">
        <v>5360174</v>
      </c>
      <c r="F416" s="64" t="s">
        <v>414</v>
      </c>
      <c r="G416" s="25">
        <f t="shared" si="4"/>
        <v>2.5264992013939169E-2</v>
      </c>
    </row>
    <row r="417" spans="1:7">
      <c r="A417" s="64">
        <v>69.239999999999995</v>
      </c>
      <c r="B417" s="64">
        <v>70.004999999999995</v>
      </c>
      <c r="C417" s="64">
        <v>69.14</v>
      </c>
      <c r="D417" s="64">
        <v>69.89</v>
      </c>
      <c r="E417" s="64">
        <v>3338971</v>
      </c>
      <c r="F417" s="64" t="s">
        <v>415</v>
      </c>
      <c r="G417" s="25">
        <f t="shared" si="4"/>
        <v>-9.3003290885678158E-3</v>
      </c>
    </row>
    <row r="418" spans="1:7">
      <c r="A418" s="64">
        <v>70.05</v>
      </c>
      <c r="B418" s="64">
        <v>70.239999999999995</v>
      </c>
      <c r="C418" s="64">
        <v>69.150000000000006</v>
      </c>
      <c r="D418" s="64">
        <v>70</v>
      </c>
      <c r="E418" s="64">
        <v>3842990</v>
      </c>
      <c r="F418" s="64" t="s">
        <v>416</v>
      </c>
      <c r="G418" s="25">
        <f t="shared" si="4"/>
        <v>7.1428571428566734E-4</v>
      </c>
    </row>
    <row r="419" spans="1:7">
      <c r="A419" s="64">
        <v>70.27</v>
      </c>
      <c r="B419" s="64">
        <v>70.42</v>
      </c>
      <c r="C419" s="64">
        <v>68.59</v>
      </c>
      <c r="D419" s="64">
        <v>68.84</v>
      </c>
      <c r="E419" s="64">
        <v>5424803</v>
      </c>
      <c r="F419" s="64" t="s">
        <v>417</v>
      </c>
      <c r="G419" s="25">
        <f t="shared" si="4"/>
        <v>2.0772806507844077E-2</v>
      </c>
    </row>
    <row r="420" spans="1:7">
      <c r="A420" s="64">
        <v>68.47</v>
      </c>
      <c r="B420" s="64">
        <v>69.150000000000006</v>
      </c>
      <c r="C420" s="64">
        <v>68.19</v>
      </c>
      <c r="D420" s="64">
        <v>68.8</v>
      </c>
      <c r="E420" s="64">
        <v>2989738</v>
      </c>
      <c r="F420" s="64" t="s">
        <v>418</v>
      </c>
      <c r="G420" s="25">
        <f t="shared" si="4"/>
        <v>-4.796511627906952E-3</v>
      </c>
    </row>
    <row r="421" spans="1:7">
      <c r="A421" s="64">
        <v>68.3</v>
      </c>
      <c r="B421" s="64">
        <v>68.73</v>
      </c>
      <c r="C421" s="64">
        <v>67.650000000000006</v>
      </c>
      <c r="D421" s="64">
        <v>68.73</v>
      </c>
      <c r="E421" s="64">
        <v>3786253</v>
      </c>
      <c r="F421" s="64" t="s">
        <v>419</v>
      </c>
      <c r="G421" s="25">
        <f t="shared" si="4"/>
        <v>-6.2563654881421238E-3</v>
      </c>
    </row>
    <row r="422" spans="1:7">
      <c r="A422" s="64">
        <v>68.900000000000006</v>
      </c>
      <c r="B422" s="64">
        <v>69.8</v>
      </c>
      <c r="C422" s="64">
        <v>68.765000000000001</v>
      </c>
      <c r="D422" s="64">
        <v>69.47</v>
      </c>
      <c r="E422" s="64">
        <v>4023846</v>
      </c>
      <c r="F422" s="64" t="s">
        <v>420</v>
      </c>
      <c r="G422" s="25">
        <f t="shared" si="4"/>
        <v>-8.2049805671512432E-3</v>
      </c>
    </row>
    <row r="423" spans="1:7">
      <c r="A423" s="64">
        <v>69.63</v>
      </c>
      <c r="B423" s="64">
        <v>69.790000000000006</v>
      </c>
      <c r="C423" s="64">
        <v>68.37</v>
      </c>
      <c r="D423" s="64">
        <v>68.709999999999994</v>
      </c>
      <c r="E423" s="64">
        <v>5919523</v>
      </c>
      <c r="F423" s="64" t="s">
        <v>421</v>
      </c>
      <c r="G423" s="25">
        <f t="shared" si="4"/>
        <v>1.3389608499490668E-2</v>
      </c>
    </row>
    <row r="424" spans="1:7">
      <c r="A424" s="64">
        <v>68.13</v>
      </c>
      <c r="B424" s="64">
        <v>69.64</v>
      </c>
      <c r="C424" s="64">
        <v>67.959999999999994</v>
      </c>
      <c r="D424" s="64">
        <v>68.44</v>
      </c>
      <c r="E424" s="64">
        <v>4185884</v>
      </c>
      <c r="F424" s="64" t="s">
        <v>422</v>
      </c>
      <c r="G424" s="25">
        <f t="shared" si="4"/>
        <v>-4.5295149035652349E-3</v>
      </c>
    </row>
    <row r="425" spans="1:7">
      <c r="A425" s="64">
        <v>68.260000000000005</v>
      </c>
      <c r="B425" s="64">
        <v>68.52</v>
      </c>
      <c r="C425" s="64">
        <v>67.59</v>
      </c>
      <c r="D425" s="64">
        <v>67.650000000000006</v>
      </c>
      <c r="E425" s="64">
        <v>2873015</v>
      </c>
      <c r="F425" s="64" t="s">
        <v>423</v>
      </c>
      <c r="G425" s="25">
        <f t="shared" si="4"/>
        <v>9.0169992609017147E-3</v>
      </c>
    </row>
    <row r="426" spans="1:7">
      <c r="A426" s="64">
        <v>68.02</v>
      </c>
      <c r="B426" s="64">
        <v>69.02</v>
      </c>
      <c r="C426" s="64">
        <v>67.745000000000005</v>
      </c>
      <c r="D426" s="64">
        <v>68.72</v>
      </c>
      <c r="E426" s="64">
        <v>4744178</v>
      </c>
      <c r="F426" s="64" t="s">
        <v>424</v>
      </c>
      <c r="G426" s="25">
        <f t="shared" si="4"/>
        <v>-1.0186263096624071E-2</v>
      </c>
    </row>
    <row r="427" spans="1:7">
      <c r="A427" s="64">
        <v>68.540000000000006</v>
      </c>
      <c r="B427" s="64">
        <v>68.89</v>
      </c>
      <c r="C427" s="64">
        <v>64.510000000000005</v>
      </c>
      <c r="D427" s="64">
        <v>64.819999999999993</v>
      </c>
      <c r="E427" s="64">
        <v>10542219</v>
      </c>
      <c r="F427" s="64" t="s">
        <v>425</v>
      </c>
      <c r="G427" s="25">
        <f t="shared" si="4"/>
        <v>5.7389694538722891E-2</v>
      </c>
    </row>
    <row r="428" spans="1:7">
      <c r="A428" s="64">
        <v>64.540000000000006</v>
      </c>
      <c r="B428" s="64">
        <v>65.19</v>
      </c>
      <c r="C428" s="64">
        <v>64.004999999999995</v>
      </c>
      <c r="D428" s="64">
        <v>65.05</v>
      </c>
      <c r="E428" s="64">
        <v>3567229</v>
      </c>
      <c r="F428" s="64" t="s">
        <v>426</v>
      </c>
      <c r="G428" s="25">
        <f t="shared" si="4"/>
        <v>-7.8401229823211738E-3</v>
      </c>
    </row>
    <row r="429" spans="1:7">
      <c r="A429" s="64">
        <v>65.489999999999995</v>
      </c>
      <c r="B429" s="64">
        <v>65.834999999999994</v>
      </c>
      <c r="C429" s="64">
        <v>64.05</v>
      </c>
      <c r="D429" s="64">
        <v>65.790000000000006</v>
      </c>
      <c r="E429" s="64">
        <v>5959707</v>
      </c>
      <c r="F429" s="64" t="s">
        <v>427</v>
      </c>
      <c r="G429" s="25">
        <f t="shared" si="4"/>
        <v>-4.5599635202919764E-3</v>
      </c>
    </row>
    <row r="430" spans="1:7">
      <c r="A430" s="64">
        <v>65.37</v>
      </c>
      <c r="B430" s="64">
        <v>66.040000000000006</v>
      </c>
      <c r="C430" s="64">
        <v>64.08</v>
      </c>
      <c r="D430" s="64">
        <v>64.86</v>
      </c>
      <c r="E430" s="64">
        <v>6050063</v>
      </c>
      <c r="F430" s="64" t="s">
        <v>428</v>
      </c>
      <c r="G430" s="25">
        <f t="shared" si="4"/>
        <v>7.8630897317299997E-3</v>
      </c>
    </row>
    <row r="431" spans="1:7">
      <c r="A431" s="64">
        <v>65.150000000000006</v>
      </c>
      <c r="B431" s="64">
        <v>65.77</v>
      </c>
      <c r="C431" s="64">
        <v>64.56</v>
      </c>
      <c r="D431" s="64">
        <v>64.91</v>
      </c>
      <c r="E431" s="64">
        <v>10919083</v>
      </c>
      <c r="F431" s="64" t="s">
        <v>429</v>
      </c>
      <c r="G431" s="25">
        <f t="shared" si="4"/>
        <v>3.6974272069019154E-3</v>
      </c>
    </row>
    <row r="432" spans="1:7">
      <c r="A432" s="64">
        <v>65.099999999999994</v>
      </c>
      <c r="B432" s="64">
        <v>66.319999999999993</v>
      </c>
      <c r="C432" s="64">
        <v>64.989999999999995</v>
      </c>
      <c r="D432" s="64">
        <v>66.08</v>
      </c>
      <c r="E432" s="64">
        <v>5786724</v>
      </c>
      <c r="F432" s="64" t="s">
        <v>430</v>
      </c>
      <c r="G432" s="25">
        <f t="shared" si="4"/>
        <v>-1.4830508474576343E-2</v>
      </c>
    </row>
    <row r="433" spans="1:7">
      <c r="A433" s="64">
        <v>65.989999999999995</v>
      </c>
      <c r="B433" s="64">
        <v>66.75</v>
      </c>
      <c r="C433" s="64">
        <v>65.2</v>
      </c>
      <c r="D433" s="64">
        <v>66.180000000000007</v>
      </c>
      <c r="E433" s="64">
        <v>7310898</v>
      </c>
      <c r="F433" s="64" t="s">
        <v>431</v>
      </c>
      <c r="G433" s="25">
        <f t="shared" si="4"/>
        <v>-2.870957993351686E-3</v>
      </c>
    </row>
    <row r="434" spans="1:7">
      <c r="A434" s="64">
        <v>66.58</v>
      </c>
      <c r="B434" s="64">
        <v>67.319999999999993</v>
      </c>
      <c r="C434" s="64">
        <v>65.849999999999994</v>
      </c>
      <c r="D434" s="64">
        <v>66.2</v>
      </c>
      <c r="E434" s="64">
        <v>5167078</v>
      </c>
      <c r="F434" s="64" t="s">
        <v>432</v>
      </c>
      <c r="G434" s="25">
        <f t="shared" si="4"/>
        <v>5.7401812688822051E-3</v>
      </c>
    </row>
    <row r="435" spans="1:7">
      <c r="A435" s="64">
        <v>65.77</v>
      </c>
      <c r="B435" s="64">
        <v>66</v>
      </c>
      <c r="C435" s="64">
        <v>64.540000000000006</v>
      </c>
      <c r="D435" s="64">
        <v>65.959999999999994</v>
      </c>
      <c r="E435" s="64">
        <v>11259604</v>
      </c>
      <c r="F435" s="64" t="s">
        <v>433</v>
      </c>
      <c r="G435" s="25">
        <f t="shared" si="4"/>
        <v>-2.8805336567616635E-3</v>
      </c>
    </row>
    <row r="436" spans="1:7">
      <c r="A436" s="64">
        <v>65.41</v>
      </c>
      <c r="B436" s="64">
        <v>66.819999999999993</v>
      </c>
      <c r="C436" s="64">
        <v>65.09</v>
      </c>
      <c r="D436" s="64">
        <v>66.510000000000005</v>
      </c>
      <c r="E436" s="64">
        <v>8737278</v>
      </c>
      <c r="F436" s="64" t="s">
        <v>434</v>
      </c>
      <c r="G436" s="25">
        <f t="shared" si="4"/>
        <v>-1.6538866335889413E-2</v>
      </c>
    </row>
    <row r="437" spans="1:7">
      <c r="A437" s="64">
        <v>66.33</v>
      </c>
      <c r="B437" s="64">
        <v>67.3</v>
      </c>
      <c r="C437" s="64">
        <v>66.14</v>
      </c>
      <c r="D437" s="64">
        <v>67.19</v>
      </c>
      <c r="E437" s="64">
        <v>6242656</v>
      </c>
      <c r="F437" s="64" t="s">
        <v>435</v>
      </c>
      <c r="G437" s="25">
        <f t="shared" si="4"/>
        <v>-1.2799523738651564E-2</v>
      </c>
    </row>
    <row r="438" spans="1:7">
      <c r="A438" s="64">
        <v>67.36</v>
      </c>
      <c r="B438" s="64">
        <v>67.77</v>
      </c>
      <c r="C438" s="64">
        <v>66.52</v>
      </c>
      <c r="D438" s="64">
        <v>66.83</v>
      </c>
      <c r="E438" s="64">
        <v>6250356</v>
      </c>
      <c r="F438" s="64" t="s">
        <v>436</v>
      </c>
      <c r="G438" s="25">
        <f t="shared" si="4"/>
        <v>7.9305701032470477E-3</v>
      </c>
    </row>
    <row r="439" spans="1:7">
      <c r="A439" s="64">
        <v>66.83</v>
      </c>
      <c r="B439" s="64">
        <v>67.67</v>
      </c>
      <c r="C439" s="64">
        <v>66.38</v>
      </c>
      <c r="D439" s="64">
        <v>66.88</v>
      </c>
      <c r="E439" s="64">
        <v>10864672</v>
      </c>
      <c r="F439" s="64" t="s">
        <v>437</v>
      </c>
      <c r="G439" s="25">
        <f t="shared" si="4"/>
        <v>-7.4760765550230257E-4</v>
      </c>
    </row>
    <row r="440" spans="1:7">
      <c r="A440" s="64">
        <v>67.260000000000005</v>
      </c>
      <c r="B440" s="64">
        <v>69.08</v>
      </c>
      <c r="C440" s="64">
        <v>67.135000000000005</v>
      </c>
      <c r="D440" s="64">
        <v>68.849999999999994</v>
      </c>
      <c r="E440" s="64">
        <v>7114378</v>
      </c>
      <c r="F440" s="64" t="s">
        <v>438</v>
      </c>
      <c r="G440" s="25">
        <f t="shared" si="4"/>
        <v>-2.3093681917211173E-2</v>
      </c>
    </row>
    <row r="441" spans="1:7">
      <c r="A441" s="64">
        <v>67.53</v>
      </c>
      <c r="B441" s="64">
        <v>68.7</v>
      </c>
      <c r="C441" s="64">
        <v>65.5</v>
      </c>
      <c r="D441" s="64">
        <v>66.95</v>
      </c>
      <c r="E441" s="64">
        <v>9585632</v>
      </c>
      <c r="F441" s="64" t="s">
        <v>439</v>
      </c>
      <c r="G441" s="25">
        <f t="shared" si="4"/>
        <v>8.6631814787154759E-3</v>
      </c>
    </row>
    <row r="442" spans="1:7">
      <c r="A442" s="64">
        <v>67.23</v>
      </c>
      <c r="B442" s="64">
        <v>71.7</v>
      </c>
      <c r="C442" s="64">
        <v>66.69</v>
      </c>
      <c r="D442" s="64">
        <v>69.11</v>
      </c>
      <c r="E442" s="64">
        <v>11849143</v>
      </c>
      <c r="F442" s="64" t="s">
        <v>440</v>
      </c>
      <c r="G442" s="25">
        <f t="shared" si="4"/>
        <v>-2.7203009694689584E-2</v>
      </c>
    </row>
    <row r="443" spans="1:7">
      <c r="A443" s="64">
        <v>69.36</v>
      </c>
      <c r="B443" s="64">
        <v>71.069999999999993</v>
      </c>
      <c r="C443" s="64">
        <v>68.64</v>
      </c>
      <c r="D443" s="64">
        <v>68.64</v>
      </c>
      <c r="E443" s="64">
        <v>8730397</v>
      </c>
      <c r="F443" s="64" t="s">
        <v>441</v>
      </c>
      <c r="G443" s="25">
        <f t="shared" si="4"/>
        <v>1.0489510489510412E-2</v>
      </c>
    </row>
    <row r="444" spans="1:7">
      <c r="A444" s="64">
        <v>68.52</v>
      </c>
      <c r="B444" s="64">
        <v>70.430000000000007</v>
      </c>
      <c r="C444" s="64">
        <v>67.72</v>
      </c>
      <c r="D444" s="64">
        <v>68.040000000000006</v>
      </c>
      <c r="E444" s="64">
        <v>11862886</v>
      </c>
      <c r="F444" s="64" t="s">
        <v>442</v>
      </c>
      <c r="G444" s="25">
        <f t="shared" si="4"/>
        <v>7.0546737213401656E-3</v>
      </c>
    </row>
    <row r="445" spans="1:7">
      <c r="A445" s="64">
        <v>68.13</v>
      </c>
      <c r="B445" s="64">
        <v>68.424999999999997</v>
      </c>
      <c r="C445" s="64">
        <v>66.734999999999999</v>
      </c>
      <c r="D445" s="64">
        <v>68.11</v>
      </c>
      <c r="E445" s="64">
        <v>4446705</v>
      </c>
      <c r="F445" s="64" t="s">
        <v>443</v>
      </c>
      <c r="G445" s="25">
        <f t="shared" si="4"/>
        <v>2.9364263691089576E-4</v>
      </c>
    </row>
    <row r="446" spans="1:7">
      <c r="A446" s="64">
        <v>68.25</v>
      </c>
      <c r="B446" s="64">
        <v>68.400000000000006</v>
      </c>
      <c r="C446" s="64">
        <v>66.16</v>
      </c>
      <c r="D446" s="64">
        <v>67</v>
      </c>
      <c r="E446" s="64">
        <v>4314396</v>
      </c>
      <c r="F446" s="64" t="s">
        <v>444</v>
      </c>
      <c r="G446" s="25">
        <f t="shared" si="4"/>
        <v>1.8656716417910557E-2</v>
      </c>
    </row>
    <row r="447" spans="1:7">
      <c r="A447" s="64">
        <v>67.14</v>
      </c>
      <c r="B447" s="64">
        <v>67.3</v>
      </c>
      <c r="C447" s="64">
        <v>65.540000000000006</v>
      </c>
      <c r="D447" s="64">
        <v>65.55</v>
      </c>
      <c r="E447" s="64">
        <v>5696723</v>
      </c>
      <c r="F447" s="64" t="s">
        <v>445</v>
      </c>
      <c r="G447" s="25">
        <f t="shared" ref="G447:G510" si="5">A447/D447-1</f>
        <v>2.4256292906178478E-2</v>
      </c>
    </row>
    <row r="448" spans="1:7">
      <c r="A448" s="64">
        <v>65.709999999999994</v>
      </c>
      <c r="B448" s="64">
        <v>67.41</v>
      </c>
      <c r="C448" s="64">
        <v>65.495000000000005</v>
      </c>
      <c r="D448" s="64">
        <v>67.17</v>
      </c>
      <c r="E448" s="64">
        <v>6409500</v>
      </c>
      <c r="F448" s="64" t="s">
        <v>446</v>
      </c>
      <c r="G448" s="25">
        <f t="shared" si="5"/>
        <v>-2.1735894000297851E-2</v>
      </c>
    </row>
    <row r="449" spans="1:7">
      <c r="A449" s="64">
        <v>66.81</v>
      </c>
      <c r="B449" s="64">
        <v>67.040000000000006</v>
      </c>
      <c r="C449" s="64">
        <v>65.47</v>
      </c>
      <c r="D449" s="64">
        <v>66.23</v>
      </c>
      <c r="E449" s="64">
        <v>8174841</v>
      </c>
      <c r="F449" s="64" t="s">
        <v>447</v>
      </c>
      <c r="G449" s="25">
        <f t="shared" si="5"/>
        <v>8.757360712667861E-3</v>
      </c>
    </row>
    <row r="450" spans="1:7">
      <c r="A450" s="64">
        <v>66.02</v>
      </c>
      <c r="B450" s="64">
        <v>69.099900000000005</v>
      </c>
      <c r="C450" s="64">
        <v>64.7</v>
      </c>
      <c r="D450" s="64">
        <v>68.81</v>
      </c>
      <c r="E450" s="64">
        <v>10225963</v>
      </c>
      <c r="F450" s="64" t="s">
        <v>448</v>
      </c>
      <c r="G450" s="25">
        <f t="shared" si="5"/>
        <v>-4.0546432204621508E-2</v>
      </c>
    </row>
    <row r="451" spans="1:7">
      <c r="A451" s="64">
        <v>68.930000000000007</v>
      </c>
      <c r="B451" s="64">
        <v>69.92</v>
      </c>
      <c r="C451" s="64">
        <v>68.239999999999995</v>
      </c>
      <c r="D451" s="64">
        <v>68.75</v>
      </c>
      <c r="E451" s="64">
        <v>3935242</v>
      </c>
      <c r="F451" s="64" t="s">
        <v>449</v>
      </c>
      <c r="G451" s="25">
        <f t="shared" si="5"/>
        <v>2.6181818181818528E-3</v>
      </c>
    </row>
    <row r="452" spans="1:7">
      <c r="A452" s="64">
        <v>68.75</v>
      </c>
      <c r="B452" s="64">
        <v>69.959999999999994</v>
      </c>
      <c r="C452" s="64">
        <v>67.94</v>
      </c>
      <c r="D452" s="64">
        <v>69.709999999999994</v>
      </c>
      <c r="E452" s="64">
        <v>5303881</v>
      </c>
      <c r="F452" s="64" t="s">
        <v>450</v>
      </c>
      <c r="G452" s="25">
        <f t="shared" si="5"/>
        <v>-1.3771338401950883E-2</v>
      </c>
    </row>
    <row r="453" spans="1:7">
      <c r="A453" s="64">
        <v>69.959999999999994</v>
      </c>
      <c r="B453" s="64">
        <v>71.13</v>
      </c>
      <c r="C453" s="64">
        <v>69.63</v>
      </c>
      <c r="D453" s="64">
        <v>70.33</v>
      </c>
      <c r="E453" s="64">
        <v>6521766</v>
      </c>
      <c r="F453" s="64" t="s">
        <v>451</v>
      </c>
      <c r="G453" s="25">
        <f t="shared" si="5"/>
        <v>-5.2609128394711657E-3</v>
      </c>
    </row>
    <row r="454" spans="1:7">
      <c r="A454" s="64">
        <v>70.12</v>
      </c>
      <c r="B454" s="64">
        <v>71.42</v>
      </c>
      <c r="C454" s="64">
        <v>68.709999999999994</v>
      </c>
      <c r="D454" s="64">
        <v>69.25</v>
      </c>
      <c r="E454" s="64">
        <v>6807371</v>
      </c>
      <c r="F454" s="64" t="s">
        <v>452</v>
      </c>
      <c r="G454" s="25">
        <f t="shared" si="5"/>
        <v>1.2563176895306949E-2</v>
      </c>
    </row>
    <row r="455" spans="1:7">
      <c r="A455" s="64">
        <v>68.650000000000006</v>
      </c>
      <c r="B455" s="64">
        <v>69.989999999999995</v>
      </c>
      <c r="C455" s="64">
        <v>68.349999999999994</v>
      </c>
      <c r="D455" s="64">
        <v>69.62</v>
      </c>
      <c r="E455" s="64">
        <v>5071378</v>
      </c>
      <c r="F455" s="64" t="s">
        <v>453</v>
      </c>
      <c r="G455" s="25">
        <f t="shared" si="5"/>
        <v>-1.3932777937374352E-2</v>
      </c>
    </row>
    <row r="456" spans="1:7">
      <c r="A456" s="64">
        <v>69.63</v>
      </c>
      <c r="B456" s="64">
        <v>69.66</v>
      </c>
      <c r="C456" s="64">
        <v>68.06</v>
      </c>
      <c r="D456" s="64">
        <v>68.63</v>
      </c>
      <c r="E456" s="64">
        <v>4280643</v>
      </c>
      <c r="F456" s="64" t="s">
        <v>454</v>
      </c>
      <c r="G456" s="25">
        <f t="shared" si="5"/>
        <v>1.4570887367040708E-2</v>
      </c>
    </row>
    <row r="457" spans="1:7">
      <c r="A457" s="64">
        <v>68.75</v>
      </c>
      <c r="B457" s="64">
        <v>70.88</v>
      </c>
      <c r="C457" s="64">
        <v>68.66</v>
      </c>
      <c r="D457" s="64">
        <v>70.7</v>
      </c>
      <c r="E457" s="64">
        <v>5220699</v>
      </c>
      <c r="F457" s="64" t="s">
        <v>455</v>
      </c>
      <c r="G457" s="25">
        <f t="shared" si="5"/>
        <v>-2.758132956152759E-2</v>
      </c>
    </row>
    <row r="458" spans="1:7">
      <c r="A458" s="64">
        <v>70.88</v>
      </c>
      <c r="B458" s="64">
        <v>71.8</v>
      </c>
      <c r="C458" s="64">
        <v>70.25</v>
      </c>
      <c r="D458" s="64">
        <v>71.41</v>
      </c>
      <c r="E458" s="64">
        <v>3707599</v>
      </c>
      <c r="F458" s="64" t="s">
        <v>456</v>
      </c>
      <c r="G458" s="25">
        <f t="shared" si="5"/>
        <v>-7.4219297017225072E-3</v>
      </c>
    </row>
    <row r="459" spans="1:7">
      <c r="A459" s="64">
        <v>71.3</v>
      </c>
      <c r="B459" s="64">
        <v>71.75</v>
      </c>
      <c r="C459" s="64">
        <v>70.515000000000001</v>
      </c>
      <c r="D459" s="64">
        <v>71</v>
      </c>
      <c r="E459" s="64">
        <v>5022471</v>
      </c>
      <c r="F459" s="64" t="s">
        <v>457</v>
      </c>
      <c r="G459" s="25">
        <f t="shared" si="5"/>
        <v>4.2253521126760507E-3</v>
      </c>
    </row>
    <row r="460" spans="1:7">
      <c r="A460" s="64">
        <v>70.09</v>
      </c>
      <c r="B460" s="64">
        <v>70.319999999999993</v>
      </c>
      <c r="C460" s="64">
        <v>68.95</v>
      </c>
      <c r="D460" s="64">
        <v>69.31</v>
      </c>
      <c r="E460" s="64">
        <v>3561224</v>
      </c>
      <c r="F460" s="64" t="s">
        <v>458</v>
      </c>
      <c r="G460" s="25">
        <f t="shared" si="5"/>
        <v>1.1253787332275333E-2</v>
      </c>
    </row>
    <row r="461" spans="1:7">
      <c r="A461" s="64">
        <v>69.38</v>
      </c>
      <c r="B461" s="64">
        <v>70.2</v>
      </c>
      <c r="C461" s="64">
        <v>68.260000000000005</v>
      </c>
      <c r="D461" s="64">
        <v>68.260000000000005</v>
      </c>
      <c r="E461" s="64">
        <v>4930288</v>
      </c>
      <c r="F461" s="64" t="s">
        <v>459</v>
      </c>
      <c r="G461" s="25">
        <f t="shared" si="5"/>
        <v>1.6407852329328954E-2</v>
      </c>
    </row>
    <row r="462" spans="1:7">
      <c r="A462" s="64">
        <v>68.260000000000005</v>
      </c>
      <c r="B462" s="64">
        <v>69.52</v>
      </c>
      <c r="C462" s="64">
        <v>67.66</v>
      </c>
      <c r="D462" s="64">
        <v>68.86</v>
      </c>
      <c r="E462" s="64">
        <v>6538891</v>
      </c>
      <c r="F462" s="64" t="s">
        <v>460</v>
      </c>
      <c r="G462" s="25">
        <f t="shared" si="5"/>
        <v>-8.7133313970373383E-3</v>
      </c>
    </row>
    <row r="463" spans="1:7">
      <c r="A463" s="64">
        <v>68.92</v>
      </c>
      <c r="B463" s="64">
        <v>69.334999999999994</v>
      </c>
      <c r="C463" s="64">
        <v>67.930000000000007</v>
      </c>
      <c r="D463" s="64">
        <v>68.14</v>
      </c>
      <c r="E463" s="64">
        <v>4648649</v>
      </c>
      <c r="F463" s="64" t="s">
        <v>461</v>
      </c>
      <c r="G463" s="25">
        <f t="shared" si="5"/>
        <v>1.1447020839448152E-2</v>
      </c>
    </row>
    <row r="464" spans="1:7">
      <c r="A464" s="64">
        <v>68.12</v>
      </c>
      <c r="B464" s="64">
        <v>68.22</v>
      </c>
      <c r="C464" s="64">
        <v>66.716300000000004</v>
      </c>
      <c r="D464" s="64">
        <v>67.17</v>
      </c>
      <c r="E464" s="64">
        <v>5482082</v>
      </c>
      <c r="F464" s="64" t="s">
        <v>462</v>
      </c>
      <c r="G464" s="25">
        <f t="shared" si="5"/>
        <v>1.4143218698823956E-2</v>
      </c>
    </row>
    <row r="465" spans="1:7">
      <c r="A465" s="64">
        <v>66.5</v>
      </c>
      <c r="B465" s="64">
        <v>66.78</v>
      </c>
      <c r="C465" s="64">
        <v>65.53</v>
      </c>
      <c r="D465" s="64">
        <v>66.45</v>
      </c>
      <c r="E465" s="64">
        <v>5798809</v>
      </c>
      <c r="F465" s="64" t="s">
        <v>463</v>
      </c>
      <c r="G465" s="25">
        <f t="shared" si="5"/>
        <v>7.5244544770503019E-4</v>
      </c>
    </row>
    <row r="466" spans="1:7">
      <c r="A466" s="64">
        <v>66.349999999999994</v>
      </c>
      <c r="B466" s="64">
        <v>67.16</v>
      </c>
      <c r="C466" s="64">
        <v>65.47</v>
      </c>
      <c r="D466" s="64">
        <v>65.73</v>
      </c>
      <c r="E466" s="64">
        <v>5400727</v>
      </c>
      <c r="F466" s="64" t="s">
        <v>464</v>
      </c>
      <c r="G466" s="25">
        <f t="shared" si="5"/>
        <v>9.4325270044117726E-3</v>
      </c>
    </row>
    <row r="467" spans="1:7">
      <c r="A467" s="64">
        <v>65.540000000000006</v>
      </c>
      <c r="B467" s="64">
        <v>65.56</v>
      </c>
      <c r="C467" s="64">
        <v>64.27</v>
      </c>
      <c r="D467" s="64">
        <v>64.739999999999995</v>
      </c>
      <c r="E467" s="64">
        <v>4366178</v>
      </c>
      <c r="F467" s="64" t="s">
        <v>465</v>
      </c>
      <c r="G467" s="25">
        <f t="shared" si="5"/>
        <v>1.2357120790855936E-2</v>
      </c>
    </row>
    <row r="468" spans="1:7">
      <c r="A468" s="64">
        <v>64.64</v>
      </c>
      <c r="B468" s="64">
        <v>64.819999999999993</v>
      </c>
      <c r="C468" s="64">
        <v>62.880099999999999</v>
      </c>
      <c r="D468" s="64">
        <v>63.09</v>
      </c>
      <c r="E468" s="64">
        <v>5985117</v>
      </c>
      <c r="F468" s="64" t="s">
        <v>466</v>
      </c>
      <c r="G468" s="25">
        <f t="shared" si="5"/>
        <v>2.4568077349817585E-2</v>
      </c>
    </row>
    <row r="469" spans="1:7">
      <c r="A469" s="64">
        <v>63.29</v>
      </c>
      <c r="B469" s="64">
        <v>63.63</v>
      </c>
      <c r="C469" s="64">
        <v>61.33</v>
      </c>
      <c r="D469" s="64">
        <v>61.54</v>
      </c>
      <c r="E469" s="64">
        <v>6967305</v>
      </c>
      <c r="F469" s="64" t="s">
        <v>467</v>
      </c>
      <c r="G469" s="25">
        <f t="shared" si="5"/>
        <v>2.8436789080273028E-2</v>
      </c>
    </row>
    <row r="470" spans="1:7">
      <c r="A470" s="64">
        <v>61.07</v>
      </c>
      <c r="B470" s="64">
        <v>63.32</v>
      </c>
      <c r="C470" s="64">
        <v>60.88</v>
      </c>
      <c r="D470" s="64">
        <v>62.01</v>
      </c>
      <c r="E470" s="64">
        <v>6795990</v>
      </c>
      <c r="F470" s="64" t="s">
        <v>468</v>
      </c>
      <c r="G470" s="25">
        <f t="shared" si="5"/>
        <v>-1.5158845347524541E-2</v>
      </c>
    </row>
    <row r="471" spans="1:7">
      <c r="A471" s="64">
        <v>62.01</v>
      </c>
      <c r="B471" s="64">
        <v>63.38</v>
      </c>
      <c r="C471" s="64">
        <v>60.34</v>
      </c>
      <c r="D471" s="64">
        <v>60.71</v>
      </c>
      <c r="E471" s="64">
        <v>6928942</v>
      </c>
      <c r="F471" s="64" t="s">
        <v>469</v>
      </c>
      <c r="G471" s="25">
        <f t="shared" si="5"/>
        <v>2.1413276231263323E-2</v>
      </c>
    </row>
    <row r="472" spans="1:7">
      <c r="A472" s="64">
        <v>60.7</v>
      </c>
      <c r="B472" s="64">
        <v>62.04</v>
      </c>
      <c r="C472" s="64">
        <v>59.41</v>
      </c>
      <c r="D472" s="64">
        <v>59.63</v>
      </c>
      <c r="E472" s="64">
        <v>7175493</v>
      </c>
      <c r="F472" s="64" t="s">
        <v>470</v>
      </c>
      <c r="G472" s="25">
        <f t="shared" si="5"/>
        <v>1.794398792554075E-2</v>
      </c>
    </row>
    <row r="473" spans="1:7">
      <c r="A473" s="64">
        <v>60.83</v>
      </c>
      <c r="B473" s="64">
        <v>62.1</v>
      </c>
      <c r="C473" s="64">
        <v>60.15</v>
      </c>
      <c r="D473" s="64">
        <v>61.71</v>
      </c>
      <c r="E473" s="64">
        <v>6789806</v>
      </c>
      <c r="F473" s="64" t="s">
        <v>471</v>
      </c>
      <c r="G473" s="25">
        <f t="shared" si="5"/>
        <v>-1.4260249554367221E-2</v>
      </c>
    </row>
    <row r="474" spans="1:7">
      <c r="A474" s="64">
        <v>61.86</v>
      </c>
      <c r="B474" s="64">
        <v>63.61</v>
      </c>
      <c r="C474" s="64">
        <v>61.45</v>
      </c>
      <c r="D474" s="64">
        <v>63.05</v>
      </c>
      <c r="E474" s="64">
        <v>10039354</v>
      </c>
      <c r="F474" s="64" t="s">
        <v>472</v>
      </c>
      <c r="G474" s="25">
        <f t="shared" si="5"/>
        <v>-1.8873909595559013E-2</v>
      </c>
    </row>
    <row r="475" spans="1:7">
      <c r="A475" s="64">
        <v>63.05</v>
      </c>
      <c r="B475" s="64">
        <v>64.2</v>
      </c>
      <c r="C475" s="64">
        <v>62.15</v>
      </c>
      <c r="D475" s="64">
        <v>63.7</v>
      </c>
      <c r="E475" s="64">
        <v>7166074</v>
      </c>
      <c r="F475" s="64" t="s">
        <v>473</v>
      </c>
      <c r="G475" s="25">
        <f t="shared" si="5"/>
        <v>-1.0204081632653184E-2</v>
      </c>
    </row>
    <row r="476" spans="1:7">
      <c r="A476" s="64">
        <v>63.64</v>
      </c>
      <c r="B476" s="64">
        <v>64.33</v>
      </c>
      <c r="C476" s="64">
        <v>61.91</v>
      </c>
      <c r="D476" s="64">
        <v>62.77</v>
      </c>
      <c r="E476" s="64">
        <v>9088778</v>
      </c>
      <c r="F476" s="64" t="s">
        <v>474</v>
      </c>
      <c r="G476" s="25">
        <f t="shared" si="5"/>
        <v>1.386012426318306E-2</v>
      </c>
    </row>
    <row r="477" spans="1:7">
      <c r="A477" s="64">
        <v>63.74</v>
      </c>
      <c r="B477" s="64">
        <v>64.39</v>
      </c>
      <c r="C477" s="64">
        <v>62.31</v>
      </c>
      <c r="D477" s="64">
        <v>63.96</v>
      </c>
      <c r="E477" s="64">
        <v>9888927</v>
      </c>
      <c r="F477" s="64" t="s">
        <v>475</v>
      </c>
      <c r="G477" s="25">
        <f t="shared" si="5"/>
        <v>-3.4396497811132187E-3</v>
      </c>
    </row>
    <row r="478" spans="1:7">
      <c r="A478" s="64">
        <v>62.37</v>
      </c>
      <c r="B478" s="64">
        <v>63.8</v>
      </c>
      <c r="C478" s="64">
        <v>60.28</v>
      </c>
      <c r="D478" s="64">
        <v>61.56</v>
      </c>
      <c r="E478" s="64">
        <v>14111391</v>
      </c>
      <c r="F478" s="64" t="s">
        <v>476</v>
      </c>
      <c r="G478" s="25">
        <f t="shared" si="5"/>
        <v>1.3157894736842035E-2</v>
      </c>
    </row>
    <row r="479" spans="1:7">
      <c r="A479" s="64">
        <v>59.7</v>
      </c>
      <c r="B479" s="64">
        <v>67.8</v>
      </c>
      <c r="C479" s="64">
        <v>58.93</v>
      </c>
      <c r="D479" s="64">
        <v>64.010000000000005</v>
      </c>
      <c r="E479" s="64">
        <v>45982108</v>
      </c>
      <c r="F479" s="64" t="s">
        <v>477</v>
      </c>
      <c r="G479" s="25">
        <f t="shared" si="5"/>
        <v>-6.7333229182940157E-2</v>
      </c>
    </row>
    <row r="480" spans="1:7">
      <c r="A480" s="64">
        <v>86.95</v>
      </c>
      <c r="B480" s="64">
        <v>87.6</v>
      </c>
      <c r="C480" s="64">
        <v>86.22</v>
      </c>
      <c r="D480" s="64">
        <v>86.97</v>
      </c>
      <c r="E480" s="64">
        <v>4091051</v>
      </c>
      <c r="F480" s="64" t="s">
        <v>478</v>
      </c>
      <c r="G480" s="25">
        <f t="shared" si="5"/>
        <v>-2.2996435552480321E-4</v>
      </c>
    </row>
    <row r="481" spans="1:7">
      <c r="A481" s="64">
        <v>87.05</v>
      </c>
      <c r="B481" s="64">
        <v>88.28</v>
      </c>
      <c r="C481" s="64">
        <v>86.76</v>
      </c>
      <c r="D481" s="64">
        <v>87.67</v>
      </c>
      <c r="E481" s="64">
        <v>2633450</v>
      </c>
      <c r="F481" s="64" t="s">
        <v>479</v>
      </c>
      <c r="G481" s="25">
        <f t="shared" si="5"/>
        <v>-7.0719744496406944E-3</v>
      </c>
    </row>
    <row r="482" spans="1:7">
      <c r="A482" s="64">
        <v>87.99</v>
      </c>
      <c r="B482" s="64">
        <v>88.5</v>
      </c>
      <c r="C482" s="64">
        <v>86.5</v>
      </c>
      <c r="D482" s="64">
        <v>86.68</v>
      </c>
      <c r="E482" s="64">
        <v>2741891</v>
      </c>
      <c r="F482" s="64" t="s">
        <v>480</v>
      </c>
      <c r="G482" s="25">
        <f t="shared" si="5"/>
        <v>1.5113059529302975E-2</v>
      </c>
    </row>
    <row r="483" spans="1:7">
      <c r="A483" s="64">
        <v>86.5</v>
      </c>
      <c r="B483" s="64">
        <v>87.5</v>
      </c>
      <c r="C483" s="64">
        <v>85.75</v>
      </c>
      <c r="D483" s="64">
        <v>87.04</v>
      </c>
      <c r="E483" s="64">
        <v>2433949</v>
      </c>
      <c r="F483" s="64" t="s">
        <v>481</v>
      </c>
      <c r="G483" s="25">
        <f t="shared" si="5"/>
        <v>-6.2040441176470784E-3</v>
      </c>
    </row>
    <row r="484" spans="1:7">
      <c r="A484" s="64">
        <v>85.81</v>
      </c>
      <c r="B484" s="64">
        <v>88.56</v>
      </c>
      <c r="C484" s="64">
        <v>84.91</v>
      </c>
      <c r="D484" s="64">
        <v>86.8</v>
      </c>
      <c r="E484" s="64">
        <v>3557905</v>
      </c>
      <c r="F484" s="64" t="s">
        <v>482</v>
      </c>
      <c r="G484" s="25">
        <f t="shared" si="5"/>
        <v>-1.1405529953916971E-2</v>
      </c>
    </row>
    <row r="485" spans="1:7">
      <c r="A485" s="64">
        <v>87.31</v>
      </c>
      <c r="B485" s="64">
        <v>88.61</v>
      </c>
      <c r="C485" s="64">
        <v>86.65</v>
      </c>
      <c r="D485" s="64">
        <v>87.99</v>
      </c>
      <c r="E485" s="64">
        <v>4220622</v>
      </c>
      <c r="F485" s="64" t="s">
        <v>483</v>
      </c>
      <c r="G485" s="25">
        <f t="shared" si="5"/>
        <v>-7.7281509262415726E-3</v>
      </c>
    </row>
    <row r="486" spans="1:7">
      <c r="A486" s="64">
        <v>87.73</v>
      </c>
      <c r="B486" s="64">
        <v>89.86</v>
      </c>
      <c r="C486" s="64">
        <v>87.1</v>
      </c>
      <c r="D486" s="64">
        <v>89.59</v>
      </c>
      <c r="E486" s="64">
        <v>4499281</v>
      </c>
      <c r="F486" s="64" t="s">
        <v>484</v>
      </c>
      <c r="G486" s="25">
        <f t="shared" si="5"/>
        <v>-2.0761245674740469E-2</v>
      </c>
    </row>
    <row r="487" spans="1:7">
      <c r="A487" s="64">
        <v>89.5</v>
      </c>
      <c r="B487" s="64">
        <v>91.49</v>
      </c>
      <c r="C487" s="64">
        <v>88.9</v>
      </c>
      <c r="D487" s="64">
        <v>91.49</v>
      </c>
      <c r="E487" s="64">
        <v>3052411</v>
      </c>
      <c r="F487" s="64" t="s">
        <v>485</v>
      </c>
      <c r="G487" s="25">
        <f t="shared" si="5"/>
        <v>-2.1751011039457757E-2</v>
      </c>
    </row>
    <row r="488" spans="1:7">
      <c r="A488" s="64">
        <v>90.99</v>
      </c>
      <c r="B488" s="64">
        <v>92.88</v>
      </c>
      <c r="C488" s="64">
        <v>90.89</v>
      </c>
      <c r="D488" s="64">
        <v>92.8</v>
      </c>
      <c r="E488" s="64">
        <v>3488075</v>
      </c>
      <c r="F488" s="64" t="s">
        <v>486</v>
      </c>
      <c r="G488" s="25">
        <f t="shared" si="5"/>
        <v>-1.950431034482758E-2</v>
      </c>
    </row>
    <row r="489" spans="1:7">
      <c r="A489" s="64">
        <v>92.85</v>
      </c>
      <c r="B489" s="64">
        <v>95.25</v>
      </c>
      <c r="C489" s="64">
        <v>92.81</v>
      </c>
      <c r="D489" s="64">
        <v>94.18</v>
      </c>
      <c r="E489" s="64">
        <v>3057105</v>
      </c>
      <c r="F489" s="64" t="s">
        <v>487</v>
      </c>
      <c r="G489" s="25">
        <f t="shared" si="5"/>
        <v>-1.4121894245062827E-2</v>
      </c>
    </row>
    <row r="490" spans="1:7">
      <c r="A490" s="64">
        <v>93.78</v>
      </c>
      <c r="B490" s="64">
        <v>94.1</v>
      </c>
      <c r="C490" s="64">
        <v>92.1</v>
      </c>
      <c r="D490" s="64">
        <v>93.62</v>
      </c>
      <c r="E490" s="64">
        <v>2419738</v>
      </c>
      <c r="F490" s="64" t="s">
        <v>488</v>
      </c>
      <c r="G490" s="25">
        <f t="shared" si="5"/>
        <v>1.7090365306557942E-3</v>
      </c>
    </row>
    <row r="491" spans="1:7">
      <c r="A491" s="64">
        <v>93.48</v>
      </c>
      <c r="B491" s="64">
        <v>93.66</v>
      </c>
      <c r="C491" s="64">
        <v>91.42</v>
      </c>
      <c r="D491" s="64">
        <v>92.24</v>
      </c>
      <c r="E491" s="64">
        <v>2227138</v>
      </c>
      <c r="F491" s="64" t="s">
        <v>489</v>
      </c>
      <c r="G491" s="25">
        <f t="shared" si="5"/>
        <v>1.3443191673894184E-2</v>
      </c>
    </row>
    <row r="492" spans="1:7">
      <c r="A492" s="64">
        <v>91.84</v>
      </c>
      <c r="B492" s="64">
        <v>92.49</v>
      </c>
      <c r="C492" s="64">
        <v>91.67</v>
      </c>
      <c r="D492" s="64">
        <v>92.16</v>
      </c>
      <c r="E492" s="64">
        <v>1941280</v>
      </c>
      <c r="F492" s="64" t="s">
        <v>490</v>
      </c>
      <c r="G492" s="25">
        <f t="shared" si="5"/>
        <v>-3.4722222222220989E-3</v>
      </c>
    </row>
    <row r="493" spans="1:7">
      <c r="A493" s="64">
        <v>92.32</v>
      </c>
      <c r="B493" s="64">
        <v>92.45</v>
      </c>
      <c r="C493" s="64">
        <v>90.623099999999994</v>
      </c>
      <c r="D493" s="64">
        <v>91.24</v>
      </c>
      <c r="E493" s="64">
        <v>1515155</v>
      </c>
      <c r="F493" s="64" t="s">
        <v>491</v>
      </c>
      <c r="G493" s="25">
        <f t="shared" si="5"/>
        <v>1.1836913634370783E-2</v>
      </c>
    </row>
    <row r="494" spans="1:7">
      <c r="A494" s="64">
        <v>91.08</v>
      </c>
      <c r="B494" s="64">
        <v>92.11</v>
      </c>
      <c r="C494" s="64">
        <v>90.61</v>
      </c>
      <c r="D494" s="64">
        <v>91.21</v>
      </c>
      <c r="E494" s="64">
        <v>1497118</v>
      </c>
      <c r="F494" s="64" t="s">
        <v>492</v>
      </c>
      <c r="G494" s="25">
        <f t="shared" si="5"/>
        <v>-1.4252823155355143E-3</v>
      </c>
    </row>
    <row r="495" spans="1:7">
      <c r="A495" s="64">
        <v>91.23</v>
      </c>
      <c r="B495" s="64">
        <v>91.36</v>
      </c>
      <c r="C495" s="64">
        <v>89.8</v>
      </c>
      <c r="D495" s="64">
        <v>90</v>
      </c>
      <c r="E495" s="64">
        <v>1908916</v>
      </c>
      <c r="F495" s="64" t="s">
        <v>493</v>
      </c>
      <c r="G495" s="25">
        <f t="shared" si="5"/>
        <v>1.3666666666666716E-2</v>
      </c>
    </row>
    <row r="496" spans="1:7">
      <c r="A496" s="64">
        <v>90.25</v>
      </c>
      <c r="B496" s="64">
        <v>93</v>
      </c>
      <c r="C496" s="64">
        <v>90.18</v>
      </c>
      <c r="D496" s="64">
        <v>90.3</v>
      </c>
      <c r="E496" s="64">
        <v>3277669</v>
      </c>
      <c r="F496" s="64" t="s">
        <v>494</v>
      </c>
      <c r="G496" s="25">
        <f t="shared" si="5"/>
        <v>-5.5370985603542255E-4</v>
      </c>
    </row>
    <row r="497" spans="1:7">
      <c r="A497" s="64">
        <v>92.37</v>
      </c>
      <c r="B497" s="64">
        <v>93.99</v>
      </c>
      <c r="C497" s="64">
        <v>92.18</v>
      </c>
      <c r="D497" s="64">
        <v>93.59</v>
      </c>
      <c r="E497" s="64">
        <v>11670925</v>
      </c>
      <c r="F497" s="64" t="s">
        <v>495</v>
      </c>
      <c r="G497" s="25">
        <f t="shared" si="5"/>
        <v>-1.3035580724436335E-2</v>
      </c>
    </row>
    <row r="498" spans="1:7">
      <c r="A498" s="64">
        <v>93.34</v>
      </c>
      <c r="B498" s="64">
        <v>93.62</v>
      </c>
      <c r="C498" s="64">
        <v>92.16</v>
      </c>
      <c r="D498" s="64">
        <v>92.16</v>
      </c>
      <c r="E498" s="64">
        <v>3309489</v>
      </c>
      <c r="F498" s="64" t="s">
        <v>496</v>
      </c>
      <c r="G498" s="25">
        <f t="shared" si="5"/>
        <v>1.280381944444442E-2</v>
      </c>
    </row>
    <row r="499" spans="1:7">
      <c r="A499" s="64">
        <v>91.56</v>
      </c>
      <c r="B499" s="64">
        <v>92.14</v>
      </c>
      <c r="C499" s="64">
        <v>90.18</v>
      </c>
      <c r="D499" s="64">
        <v>90.72</v>
      </c>
      <c r="E499" s="64">
        <v>2854523</v>
      </c>
      <c r="F499" s="64" t="s">
        <v>497</v>
      </c>
      <c r="G499" s="25">
        <f t="shared" si="5"/>
        <v>9.2592592592593004E-3</v>
      </c>
    </row>
    <row r="500" spans="1:7">
      <c r="A500" s="64">
        <v>91.08</v>
      </c>
      <c r="B500" s="64">
        <v>91.15</v>
      </c>
      <c r="C500" s="64">
        <v>89.52</v>
      </c>
      <c r="D500" s="64">
        <v>90.36</v>
      </c>
      <c r="E500" s="64">
        <v>2747944</v>
      </c>
      <c r="F500" s="64" t="s">
        <v>498</v>
      </c>
      <c r="G500" s="25">
        <f t="shared" si="5"/>
        <v>7.9681274900398336E-3</v>
      </c>
    </row>
    <row r="501" spans="1:7">
      <c r="A501" s="64">
        <v>90.17</v>
      </c>
      <c r="B501" s="64">
        <v>92.16</v>
      </c>
      <c r="C501" s="64">
        <v>90.15</v>
      </c>
      <c r="D501" s="64">
        <v>90.9</v>
      </c>
      <c r="E501" s="64">
        <v>2718933</v>
      </c>
      <c r="F501" s="64" t="s">
        <v>499</v>
      </c>
      <c r="G501" s="25">
        <f t="shared" si="5"/>
        <v>-8.0308030803081243E-3</v>
      </c>
    </row>
    <row r="502" spans="1:7">
      <c r="A502" s="64">
        <v>90.9</v>
      </c>
      <c r="B502" s="64">
        <v>90.965000000000003</v>
      </c>
      <c r="C502" s="64">
        <v>88.86</v>
      </c>
      <c r="D502" s="64">
        <v>89.61</v>
      </c>
      <c r="E502" s="64">
        <v>5269002</v>
      </c>
      <c r="F502" s="64" t="s">
        <v>500</v>
      </c>
      <c r="G502" s="25">
        <f t="shared" si="5"/>
        <v>1.4395714763977274E-2</v>
      </c>
    </row>
    <row r="503" spans="1:7">
      <c r="A503" s="64">
        <v>88.84</v>
      </c>
      <c r="B503" s="64">
        <v>90.49</v>
      </c>
      <c r="C503" s="64">
        <v>87.06</v>
      </c>
      <c r="D503" s="64">
        <v>88.08</v>
      </c>
      <c r="E503" s="64">
        <v>5442858</v>
      </c>
      <c r="F503" s="64" t="s">
        <v>501</v>
      </c>
      <c r="G503" s="25">
        <f t="shared" si="5"/>
        <v>8.6285195277020499E-3</v>
      </c>
    </row>
    <row r="504" spans="1:7">
      <c r="A504" s="64">
        <v>88.52</v>
      </c>
      <c r="B504" s="64">
        <v>89</v>
      </c>
      <c r="C504" s="64">
        <v>86.2</v>
      </c>
      <c r="D504" s="64">
        <v>86.89</v>
      </c>
      <c r="E504" s="64">
        <v>3709988</v>
      </c>
      <c r="F504" s="64" t="s">
        <v>502</v>
      </c>
      <c r="G504" s="25">
        <f t="shared" si="5"/>
        <v>1.8759350903441163E-2</v>
      </c>
    </row>
    <row r="505" spans="1:7">
      <c r="A505" s="64">
        <v>86.87</v>
      </c>
      <c r="B505" s="64">
        <v>87.11</v>
      </c>
      <c r="C505" s="64">
        <v>85.12</v>
      </c>
      <c r="D505" s="64">
        <v>85.2</v>
      </c>
      <c r="E505" s="64">
        <v>2093528</v>
      </c>
      <c r="F505" s="64" t="s">
        <v>503</v>
      </c>
      <c r="G505" s="25">
        <f t="shared" si="5"/>
        <v>1.9600938967136106E-2</v>
      </c>
    </row>
    <row r="506" spans="1:7">
      <c r="A506" s="64">
        <v>87.29</v>
      </c>
      <c r="B506" s="64">
        <v>87.72</v>
      </c>
      <c r="C506" s="64">
        <v>86.75</v>
      </c>
      <c r="D506" s="64">
        <v>87.5</v>
      </c>
      <c r="E506" s="64">
        <v>1527650</v>
      </c>
      <c r="F506" s="64" t="s">
        <v>504</v>
      </c>
      <c r="G506" s="25">
        <f t="shared" si="5"/>
        <v>-2.3999999999999577E-3</v>
      </c>
    </row>
    <row r="507" spans="1:7">
      <c r="A507" s="64">
        <v>87.67</v>
      </c>
      <c r="B507" s="64">
        <v>87.94</v>
      </c>
      <c r="C507" s="64">
        <v>86.67</v>
      </c>
      <c r="D507" s="64">
        <v>87.32</v>
      </c>
      <c r="E507" s="64">
        <v>1805187</v>
      </c>
      <c r="F507" s="64" t="s">
        <v>505</v>
      </c>
      <c r="G507" s="25">
        <f t="shared" si="5"/>
        <v>4.0082455336694078E-3</v>
      </c>
    </row>
    <row r="508" spans="1:7">
      <c r="A508" s="64">
        <v>87.77</v>
      </c>
      <c r="B508" s="64">
        <v>89.03</v>
      </c>
      <c r="C508" s="64">
        <v>87.05</v>
      </c>
      <c r="D508" s="64">
        <v>87.4</v>
      </c>
      <c r="E508" s="64">
        <v>2460665</v>
      </c>
      <c r="F508" s="64" t="s">
        <v>506</v>
      </c>
      <c r="G508" s="25">
        <f t="shared" si="5"/>
        <v>4.2334096109839514E-3</v>
      </c>
    </row>
    <row r="509" spans="1:7">
      <c r="A509" s="64">
        <v>87</v>
      </c>
      <c r="B509" s="64">
        <v>87.6</v>
      </c>
      <c r="C509" s="64">
        <v>85.38</v>
      </c>
      <c r="D509" s="64">
        <v>86.01</v>
      </c>
      <c r="E509" s="64">
        <v>2241876</v>
      </c>
      <c r="F509" s="64" t="s">
        <v>507</v>
      </c>
      <c r="G509" s="25">
        <f t="shared" si="5"/>
        <v>1.1510289501220683E-2</v>
      </c>
    </row>
    <row r="510" spans="1:7">
      <c r="A510" s="64">
        <v>86.1</v>
      </c>
      <c r="B510" s="64">
        <v>87.86</v>
      </c>
      <c r="C510" s="64">
        <v>85.6</v>
      </c>
      <c r="D510" s="64">
        <v>87.71</v>
      </c>
      <c r="E510" s="64">
        <v>2229429</v>
      </c>
      <c r="F510" s="64" t="s">
        <v>508</v>
      </c>
      <c r="G510" s="25">
        <f t="shared" si="5"/>
        <v>-1.8355945730247347E-2</v>
      </c>
    </row>
    <row r="511" spans="1:7">
      <c r="A511" s="64">
        <v>88.14</v>
      </c>
      <c r="B511" s="64">
        <v>88.25</v>
      </c>
      <c r="C511" s="64">
        <v>86.62</v>
      </c>
      <c r="D511" s="64">
        <v>87.41</v>
      </c>
      <c r="E511" s="64">
        <v>2427051</v>
      </c>
      <c r="F511" s="64" t="s">
        <v>509</v>
      </c>
      <c r="G511" s="25">
        <f t="shared" ref="G511:G574" si="6">A511/D511-1</f>
        <v>8.3514472028372033E-3</v>
      </c>
    </row>
    <row r="512" spans="1:7">
      <c r="A512" s="64">
        <v>87.68</v>
      </c>
      <c r="B512" s="64">
        <v>88.06</v>
      </c>
      <c r="C512" s="64">
        <v>86.405000000000001</v>
      </c>
      <c r="D512" s="64">
        <v>86.9</v>
      </c>
      <c r="E512" s="64">
        <v>1680361</v>
      </c>
      <c r="F512" s="64" t="s">
        <v>510</v>
      </c>
      <c r="G512" s="25">
        <f t="shared" si="6"/>
        <v>8.9758342922900969E-3</v>
      </c>
    </row>
    <row r="513" spans="1:7">
      <c r="A513" s="64">
        <v>87.07</v>
      </c>
      <c r="B513" s="64">
        <v>87.9</v>
      </c>
      <c r="C513" s="64">
        <v>86.64</v>
      </c>
      <c r="D513" s="64">
        <v>87.46</v>
      </c>
      <c r="E513" s="64">
        <v>1712914</v>
      </c>
      <c r="F513" s="64" t="s">
        <v>511</v>
      </c>
      <c r="G513" s="25">
        <f t="shared" si="6"/>
        <v>-4.4591813400411962E-3</v>
      </c>
    </row>
    <row r="514" spans="1:7">
      <c r="A514" s="64">
        <v>87.41</v>
      </c>
      <c r="B514" s="64">
        <v>88.14</v>
      </c>
      <c r="C514" s="64">
        <v>86.95</v>
      </c>
      <c r="D514" s="64">
        <v>87.92</v>
      </c>
      <c r="E514" s="64">
        <v>1825440</v>
      </c>
      <c r="F514" s="64" t="s">
        <v>512</v>
      </c>
      <c r="G514" s="25">
        <f t="shared" si="6"/>
        <v>-5.8007279344859386E-3</v>
      </c>
    </row>
    <row r="515" spans="1:7">
      <c r="A515" s="64">
        <v>87.86</v>
      </c>
      <c r="B515" s="64">
        <v>88.855000000000004</v>
      </c>
      <c r="C515" s="64">
        <v>86.79</v>
      </c>
      <c r="D515" s="64">
        <v>88.41</v>
      </c>
      <c r="E515" s="64">
        <v>2658162</v>
      </c>
      <c r="F515" s="64" t="s">
        <v>513</v>
      </c>
      <c r="G515" s="25">
        <f t="shared" si="6"/>
        <v>-6.2210157222033491E-3</v>
      </c>
    </row>
    <row r="516" spans="1:7">
      <c r="A516" s="64">
        <v>86.89</v>
      </c>
      <c r="B516" s="64">
        <v>87.91</v>
      </c>
      <c r="C516" s="64">
        <v>85.79</v>
      </c>
      <c r="D516" s="64">
        <v>87.68</v>
      </c>
      <c r="E516" s="64">
        <v>4619581</v>
      </c>
      <c r="F516" s="64" t="s">
        <v>514</v>
      </c>
      <c r="G516" s="25">
        <f t="shared" si="6"/>
        <v>-9.0100364963504598E-3</v>
      </c>
    </row>
    <row r="517" spans="1:7">
      <c r="A517" s="64">
        <v>87.89</v>
      </c>
      <c r="B517" s="64">
        <v>88.63</v>
      </c>
      <c r="C517" s="64">
        <v>87.415000000000006</v>
      </c>
      <c r="D517" s="64">
        <v>87.68</v>
      </c>
      <c r="E517" s="64">
        <v>2343408</v>
      </c>
      <c r="F517" s="64" t="s">
        <v>515</v>
      </c>
      <c r="G517" s="25">
        <f t="shared" si="6"/>
        <v>2.3950729927006975E-3</v>
      </c>
    </row>
    <row r="518" spans="1:7">
      <c r="A518" s="64">
        <v>87.03</v>
      </c>
      <c r="B518" s="64">
        <v>87.63</v>
      </c>
      <c r="C518" s="64">
        <v>86.03</v>
      </c>
      <c r="D518" s="64">
        <v>86.1</v>
      </c>
      <c r="E518" s="64">
        <v>2065712</v>
      </c>
      <c r="F518" s="64" t="s">
        <v>516</v>
      </c>
      <c r="G518" s="25">
        <f t="shared" si="6"/>
        <v>1.0801393728222974E-2</v>
      </c>
    </row>
    <row r="519" spans="1:7">
      <c r="A519" s="64">
        <v>87.04</v>
      </c>
      <c r="B519" s="64">
        <v>88.2</v>
      </c>
      <c r="C519" s="64">
        <v>86.57</v>
      </c>
      <c r="D519" s="64">
        <v>87.8</v>
      </c>
      <c r="E519" s="64">
        <v>2592054</v>
      </c>
      <c r="F519" s="64" t="s">
        <v>517</v>
      </c>
      <c r="G519" s="25">
        <f t="shared" si="6"/>
        <v>-8.656036446469173E-3</v>
      </c>
    </row>
    <row r="520" spans="1:7">
      <c r="A520" s="64">
        <v>87.98</v>
      </c>
      <c r="B520" s="64">
        <v>88.32</v>
      </c>
      <c r="C520" s="64">
        <v>87.31</v>
      </c>
      <c r="D520" s="64">
        <v>87.66</v>
      </c>
      <c r="E520" s="64">
        <v>1786623</v>
      </c>
      <c r="F520" s="64" t="s">
        <v>518</v>
      </c>
      <c r="G520" s="25">
        <f t="shared" si="6"/>
        <v>3.6504677161761645E-3</v>
      </c>
    </row>
    <row r="521" spans="1:7">
      <c r="A521" s="64">
        <v>87.46</v>
      </c>
      <c r="B521" s="64">
        <v>90.2</v>
      </c>
      <c r="C521" s="64">
        <v>87.05</v>
      </c>
      <c r="D521" s="64">
        <v>90.18</v>
      </c>
      <c r="E521" s="64">
        <v>2635310</v>
      </c>
      <c r="F521" s="64" t="s">
        <v>519</v>
      </c>
      <c r="G521" s="25">
        <f t="shared" si="6"/>
        <v>-3.0161898425371647E-2</v>
      </c>
    </row>
    <row r="522" spans="1:7">
      <c r="A522" s="64">
        <v>90.21</v>
      </c>
      <c r="B522" s="64">
        <v>91.94</v>
      </c>
      <c r="C522" s="64">
        <v>90.03</v>
      </c>
      <c r="D522" s="64">
        <v>90.95</v>
      </c>
      <c r="E522" s="64">
        <v>2266268</v>
      </c>
      <c r="F522" s="64" t="s">
        <v>520</v>
      </c>
      <c r="G522" s="25">
        <f t="shared" si="6"/>
        <v>-8.1363386476086541E-3</v>
      </c>
    </row>
    <row r="523" spans="1:7">
      <c r="A523" s="64">
        <v>90.34</v>
      </c>
      <c r="B523" s="64">
        <v>90.73</v>
      </c>
      <c r="C523" s="64">
        <v>90.01</v>
      </c>
      <c r="D523" s="64">
        <v>90.21</v>
      </c>
      <c r="E523" s="64">
        <v>2345993</v>
      </c>
      <c r="F523" s="64" t="s">
        <v>521</v>
      </c>
      <c r="G523" s="25">
        <f t="shared" si="6"/>
        <v>1.4410819199646152E-3</v>
      </c>
    </row>
    <row r="524" spans="1:7">
      <c r="A524" s="64">
        <v>89.78</v>
      </c>
      <c r="B524" s="64">
        <v>89.915000000000006</v>
      </c>
      <c r="C524" s="64">
        <v>89</v>
      </c>
      <c r="D524" s="64">
        <v>89.33</v>
      </c>
      <c r="E524" s="64">
        <v>1668141</v>
      </c>
      <c r="F524" s="64" t="s">
        <v>522</v>
      </c>
      <c r="G524" s="25">
        <f t="shared" si="6"/>
        <v>5.0375013993060325E-3</v>
      </c>
    </row>
    <row r="525" spans="1:7">
      <c r="A525" s="64">
        <v>89.14</v>
      </c>
      <c r="B525" s="64">
        <v>90.48</v>
      </c>
      <c r="C525" s="64">
        <v>88.58</v>
      </c>
      <c r="D525" s="64">
        <v>90.28</v>
      </c>
      <c r="E525" s="64">
        <v>2070779</v>
      </c>
      <c r="F525" s="64" t="s">
        <v>523</v>
      </c>
      <c r="G525" s="25">
        <f t="shared" si="6"/>
        <v>-1.2627381479840549E-2</v>
      </c>
    </row>
    <row r="526" spans="1:7">
      <c r="A526" s="64">
        <v>90.11</v>
      </c>
      <c r="B526" s="64">
        <v>90.98</v>
      </c>
      <c r="C526" s="64">
        <v>89.944999999999993</v>
      </c>
      <c r="D526" s="64">
        <v>90.09</v>
      </c>
      <c r="E526" s="64">
        <v>2204301</v>
      </c>
      <c r="F526" s="64" t="s">
        <v>524</v>
      </c>
      <c r="G526" s="25">
        <f t="shared" si="6"/>
        <v>2.2200022200014047E-4</v>
      </c>
    </row>
    <row r="527" spans="1:7">
      <c r="A527" s="64">
        <v>90.16</v>
      </c>
      <c r="B527" s="64">
        <v>90.37</v>
      </c>
      <c r="C527" s="64">
        <v>86.79</v>
      </c>
      <c r="D527" s="64">
        <v>87.23</v>
      </c>
      <c r="E527" s="64">
        <v>3111296</v>
      </c>
      <c r="F527" s="64" t="s">
        <v>525</v>
      </c>
      <c r="G527" s="25">
        <f t="shared" si="6"/>
        <v>3.3589361458213896E-2</v>
      </c>
    </row>
    <row r="528" spans="1:7">
      <c r="A528" s="64">
        <v>86.46</v>
      </c>
      <c r="B528" s="64">
        <v>86.555000000000007</v>
      </c>
      <c r="C528" s="64">
        <v>85.16</v>
      </c>
      <c r="D528" s="64">
        <v>85.84</v>
      </c>
      <c r="E528" s="64">
        <v>2127401</v>
      </c>
      <c r="F528" s="64" t="s">
        <v>526</v>
      </c>
      <c r="G528" s="25">
        <f t="shared" si="6"/>
        <v>7.2227399813604709E-3</v>
      </c>
    </row>
    <row r="529" spans="1:7">
      <c r="A529" s="64">
        <v>84.7</v>
      </c>
      <c r="B529" s="64">
        <v>87.09</v>
      </c>
      <c r="C529" s="64">
        <v>84.67</v>
      </c>
      <c r="D529" s="64">
        <v>87.034999999999997</v>
      </c>
      <c r="E529" s="64">
        <v>2579306</v>
      </c>
      <c r="F529" s="64" t="s">
        <v>527</v>
      </c>
      <c r="G529" s="25">
        <f t="shared" si="6"/>
        <v>-2.6828287470557766E-2</v>
      </c>
    </row>
    <row r="530" spans="1:7">
      <c r="A530" s="64">
        <v>86.72</v>
      </c>
      <c r="B530" s="64">
        <v>88.09</v>
      </c>
      <c r="C530" s="64">
        <v>86.53</v>
      </c>
      <c r="D530" s="64">
        <v>87.63</v>
      </c>
      <c r="E530" s="64">
        <v>1988029</v>
      </c>
      <c r="F530" s="64" t="s">
        <v>528</v>
      </c>
      <c r="G530" s="25">
        <f t="shared" si="6"/>
        <v>-1.0384571493780581E-2</v>
      </c>
    </row>
    <row r="531" spans="1:7">
      <c r="A531" s="64">
        <v>87.42</v>
      </c>
      <c r="B531" s="64">
        <v>87.79</v>
      </c>
      <c r="C531" s="64">
        <v>85.01</v>
      </c>
      <c r="D531" s="64">
        <v>85.31</v>
      </c>
      <c r="E531" s="64">
        <v>3421901</v>
      </c>
      <c r="F531" s="64" t="s">
        <v>529</v>
      </c>
      <c r="G531" s="25">
        <f t="shared" si="6"/>
        <v>2.4733325518696558E-2</v>
      </c>
    </row>
    <row r="532" spans="1:7">
      <c r="A532" s="64">
        <v>85.09</v>
      </c>
      <c r="B532" s="64">
        <v>86.32</v>
      </c>
      <c r="C532" s="64">
        <v>84.82</v>
      </c>
      <c r="D532" s="64">
        <v>85.73</v>
      </c>
      <c r="E532" s="64">
        <v>1727855</v>
      </c>
      <c r="F532" s="64" t="s">
        <v>530</v>
      </c>
      <c r="G532" s="25">
        <f t="shared" si="6"/>
        <v>-7.4652980286947779E-3</v>
      </c>
    </row>
    <row r="533" spans="1:7">
      <c r="A533" s="64">
        <v>85.84</v>
      </c>
      <c r="B533" s="64">
        <v>86.19</v>
      </c>
      <c r="C533" s="64">
        <v>85.01</v>
      </c>
      <c r="D533" s="64">
        <v>85.6</v>
      </c>
      <c r="E533" s="64">
        <v>1836563</v>
      </c>
      <c r="F533" s="64" t="s">
        <v>531</v>
      </c>
      <c r="G533" s="25">
        <f t="shared" si="6"/>
        <v>2.803738317757043E-3</v>
      </c>
    </row>
    <row r="534" spans="1:7">
      <c r="A534" s="64">
        <v>85.09</v>
      </c>
      <c r="B534" s="64">
        <v>86</v>
      </c>
      <c r="C534" s="64">
        <v>84.81</v>
      </c>
      <c r="D534" s="64">
        <v>85.83</v>
      </c>
      <c r="E534" s="64">
        <v>2449673</v>
      </c>
      <c r="F534" s="64" t="s">
        <v>532</v>
      </c>
      <c r="G534" s="25">
        <f t="shared" si="6"/>
        <v>-8.6216940463706981E-3</v>
      </c>
    </row>
    <row r="535" spans="1:7">
      <c r="A535" s="64">
        <v>85.25</v>
      </c>
      <c r="B535" s="64">
        <v>86.95</v>
      </c>
      <c r="C535" s="64">
        <v>85.2</v>
      </c>
      <c r="D535" s="64">
        <v>85.85</v>
      </c>
      <c r="E535" s="64">
        <v>2327197</v>
      </c>
      <c r="F535" s="64" t="s">
        <v>533</v>
      </c>
      <c r="G535" s="25">
        <f t="shared" si="6"/>
        <v>-6.988934187536322E-3</v>
      </c>
    </row>
    <row r="536" spans="1:7">
      <c r="A536" s="64">
        <v>85.06</v>
      </c>
      <c r="B536" s="64">
        <v>85.44</v>
      </c>
      <c r="C536" s="64">
        <v>83.81</v>
      </c>
      <c r="D536" s="64">
        <v>84.9</v>
      </c>
      <c r="E536" s="64">
        <v>1942855</v>
      </c>
      <c r="F536" s="64" t="s">
        <v>534</v>
      </c>
      <c r="G536" s="25">
        <f t="shared" si="6"/>
        <v>1.8845700824499101E-3</v>
      </c>
    </row>
    <row r="537" spans="1:7">
      <c r="A537" s="64">
        <v>84.3</v>
      </c>
      <c r="B537" s="64">
        <v>85.724999999999994</v>
      </c>
      <c r="C537" s="64">
        <v>83.5</v>
      </c>
      <c r="D537" s="64">
        <v>84.1</v>
      </c>
      <c r="E537" s="64">
        <v>2203110</v>
      </c>
      <c r="F537" s="64" t="s">
        <v>535</v>
      </c>
      <c r="G537" s="25">
        <f t="shared" si="6"/>
        <v>2.3781212841855748E-3</v>
      </c>
    </row>
    <row r="538" spans="1:7">
      <c r="A538" s="64">
        <v>84.67</v>
      </c>
      <c r="B538" s="64">
        <v>86.530799999999999</v>
      </c>
      <c r="C538" s="64">
        <v>84.49</v>
      </c>
      <c r="D538" s="64">
        <v>85.35</v>
      </c>
      <c r="E538" s="64">
        <v>3097564</v>
      </c>
      <c r="F538" s="64" t="s">
        <v>536</v>
      </c>
      <c r="G538" s="25">
        <f t="shared" si="6"/>
        <v>-7.967193907439829E-3</v>
      </c>
    </row>
    <row r="539" spans="1:7">
      <c r="A539" s="64">
        <v>85.95</v>
      </c>
      <c r="B539" s="64">
        <v>87.21</v>
      </c>
      <c r="C539" s="64">
        <v>85.13</v>
      </c>
      <c r="D539" s="64">
        <v>86.43</v>
      </c>
      <c r="E539" s="64">
        <v>3497796</v>
      </c>
      <c r="F539" s="64" t="s">
        <v>537</v>
      </c>
      <c r="G539" s="25">
        <f t="shared" si="6"/>
        <v>-5.5536272127734154E-3</v>
      </c>
    </row>
    <row r="540" spans="1:7">
      <c r="A540" s="64">
        <v>86.43</v>
      </c>
      <c r="B540" s="64">
        <v>88.38</v>
      </c>
      <c r="C540" s="64">
        <v>84.71</v>
      </c>
      <c r="D540" s="64">
        <v>87</v>
      </c>
      <c r="E540" s="64">
        <v>4979943</v>
      </c>
      <c r="F540" s="64" t="s">
        <v>538</v>
      </c>
      <c r="G540" s="25">
        <f t="shared" si="6"/>
        <v>-6.5517241379309255E-3</v>
      </c>
    </row>
    <row r="541" spans="1:7">
      <c r="A541" s="64">
        <v>88.01</v>
      </c>
      <c r="B541" s="64">
        <v>88.73</v>
      </c>
      <c r="C541" s="64">
        <v>86.66</v>
      </c>
      <c r="D541" s="64">
        <v>88</v>
      </c>
      <c r="E541" s="64">
        <v>4295297</v>
      </c>
      <c r="F541" s="64" t="s">
        <v>539</v>
      </c>
      <c r="G541" s="25">
        <f t="shared" si="6"/>
        <v>1.1363636363648233E-4</v>
      </c>
    </row>
    <row r="542" spans="1:7">
      <c r="A542" s="64">
        <v>88.61</v>
      </c>
      <c r="B542" s="64">
        <v>89.17</v>
      </c>
      <c r="C542" s="64">
        <v>87.7</v>
      </c>
      <c r="D542" s="64">
        <v>87.88</v>
      </c>
      <c r="E542" s="64">
        <v>3234988</v>
      </c>
      <c r="F542" s="64" t="s">
        <v>540</v>
      </c>
      <c r="G542" s="25">
        <f t="shared" si="6"/>
        <v>8.306781975421007E-3</v>
      </c>
    </row>
    <row r="543" spans="1:7">
      <c r="A543" s="64">
        <v>87.75</v>
      </c>
      <c r="B543" s="64">
        <v>87.93</v>
      </c>
      <c r="C543" s="64">
        <v>86.76</v>
      </c>
      <c r="D543" s="64">
        <v>87.4</v>
      </c>
      <c r="E543" s="64">
        <v>2663641</v>
      </c>
      <c r="F543" s="64" t="s">
        <v>541</v>
      </c>
      <c r="G543" s="25">
        <f t="shared" si="6"/>
        <v>4.004576659038861E-3</v>
      </c>
    </row>
    <row r="544" spans="1:7">
      <c r="A544" s="64">
        <v>86.96</v>
      </c>
      <c r="B544" s="64">
        <v>87.11</v>
      </c>
      <c r="C544" s="64">
        <v>85.73</v>
      </c>
      <c r="D544" s="64">
        <v>86.54</v>
      </c>
      <c r="E544" s="64">
        <v>2408082</v>
      </c>
      <c r="F544" s="64" t="s">
        <v>542</v>
      </c>
      <c r="G544" s="25">
        <f t="shared" si="6"/>
        <v>4.8532470533855232E-3</v>
      </c>
    </row>
    <row r="545" spans="1:7">
      <c r="A545" s="64">
        <v>85.94</v>
      </c>
      <c r="B545" s="64">
        <v>87.2</v>
      </c>
      <c r="C545" s="64">
        <v>85.38</v>
      </c>
      <c r="D545" s="64">
        <v>87.2</v>
      </c>
      <c r="E545" s="64">
        <v>3895701</v>
      </c>
      <c r="F545" s="64" t="s">
        <v>543</v>
      </c>
      <c r="G545" s="25">
        <f t="shared" si="6"/>
        <v>-1.4449541284403677E-2</v>
      </c>
    </row>
    <row r="546" spans="1:7">
      <c r="A546" s="64">
        <v>86.45</v>
      </c>
      <c r="B546" s="64">
        <v>87.35</v>
      </c>
      <c r="C546" s="64">
        <v>85.98</v>
      </c>
      <c r="D546" s="64">
        <v>87.35</v>
      </c>
      <c r="E546" s="64">
        <v>3122037</v>
      </c>
      <c r="F546" s="64" t="s">
        <v>544</v>
      </c>
      <c r="G546" s="25">
        <f t="shared" si="6"/>
        <v>-1.030337721808805E-2</v>
      </c>
    </row>
    <row r="547" spans="1:7">
      <c r="A547" s="64">
        <v>87.24</v>
      </c>
      <c r="B547" s="64">
        <v>89.89</v>
      </c>
      <c r="C547" s="64">
        <v>86.45</v>
      </c>
      <c r="D547" s="64">
        <v>89.89</v>
      </c>
      <c r="E547" s="64">
        <v>2878118</v>
      </c>
      <c r="F547" s="64" t="s">
        <v>545</v>
      </c>
      <c r="G547" s="25">
        <f t="shared" si="6"/>
        <v>-2.9480476137501488E-2</v>
      </c>
    </row>
    <row r="548" spans="1:7">
      <c r="A548" s="64">
        <v>90.05</v>
      </c>
      <c r="B548" s="64">
        <v>90.4</v>
      </c>
      <c r="C548" s="64">
        <v>87.87</v>
      </c>
      <c r="D548" s="64">
        <v>89.09</v>
      </c>
      <c r="E548" s="64">
        <v>2640500</v>
      </c>
      <c r="F548" s="64" t="s">
        <v>546</v>
      </c>
      <c r="G548" s="25">
        <f t="shared" si="6"/>
        <v>1.0775620159389376E-2</v>
      </c>
    </row>
    <row r="549" spans="1:7">
      <c r="A549" s="64">
        <v>89.2</v>
      </c>
      <c r="B549" s="64">
        <v>91.73</v>
      </c>
      <c r="C549" s="64">
        <v>88.96</v>
      </c>
      <c r="D549" s="64">
        <v>91.35</v>
      </c>
      <c r="E549" s="64">
        <v>2863151</v>
      </c>
      <c r="F549" s="64" t="s">
        <v>547</v>
      </c>
      <c r="G549" s="25">
        <f t="shared" si="6"/>
        <v>-2.3535851122057916E-2</v>
      </c>
    </row>
    <row r="550" spans="1:7">
      <c r="A550" s="64">
        <v>90.28</v>
      </c>
      <c r="B550" s="64">
        <v>90.78</v>
      </c>
      <c r="C550" s="64">
        <v>89.38</v>
      </c>
      <c r="D550" s="64">
        <v>90.78</v>
      </c>
      <c r="E550" s="64">
        <v>3155519</v>
      </c>
      <c r="F550" s="64" t="s">
        <v>548</v>
      </c>
      <c r="G550" s="25">
        <f t="shared" si="6"/>
        <v>-5.5078211059704785E-3</v>
      </c>
    </row>
    <row r="551" spans="1:7">
      <c r="A551" s="64">
        <v>91.41</v>
      </c>
      <c r="B551" s="64">
        <v>92.99</v>
      </c>
      <c r="C551" s="64">
        <v>91.02</v>
      </c>
      <c r="D551" s="64">
        <v>92.83</v>
      </c>
      <c r="E551" s="64">
        <v>2453586</v>
      </c>
      <c r="F551" s="64" t="s">
        <v>549</v>
      </c>
      <c r="G551" s="25">
        <f t="shared" si="6"/>
        <v>-1.5296779058494026E-2</v>
      </c>
    </row>
    <row r="552" spans="1:7">
      <c r="A552" s="64">
        <v>91.51</v>
      </c>
      <c r="B552" s="64">
        <v>91.89</v>
      </c>
      <c r="C552" s="64">
        <v>90.81</v>
      </c>
      <c r="D552" s="64">
        <v>91.73</v>
      </c>
      <c r="E552" s="64">
        <v>2836459</v>
      </c>
      <c r="F552" s="64" t="s">
        <v>550</v>
      </c>
      <c r="G552" s="25">
        <f t="shared" si="6"/>
        <v>-2.3983429630437536E-3</v>
      </c>
    </row>
    <row r="553" spans="1:7">
      <c r="A553" s="64">
        <v>93.05</v>
      </c>
      <c r="B553" s="64">
        <v>93.11</v>
      </c>
      <c r="C553" s="64">
        <v>91.17</v>
      </c>
      <c r="D553" s="64">
        <v>92.34</v>
      </c>
      <c r="E553" s="64">
        <v>2633591</v>
      </c>
      <c r="F553" s="64" t="s">
        <v>551</v>
      </c>
      <c r="G553" s="25">
        <f t="shared" si="6"/>
        <v>7.688975525232733E-3</v>
      </c>
    </row>
    <row r="554" spans="1:7">
      <c r="A554" s="64">
        <v>92.34</v>
      </c>
      <c r="B554" s="64">
        <v>92.855000000000004</v>
      </c>
      <c r="C554" s="64">
        <v>91.57</v>
      </c>
      <c r="D554" s="64">
        <v>92.61</v>
      </c>
      <c r="E554" s="64">
        <v>2667004</v>
      </c>
      <c r="F554" s="64" t="s">
        <v>552</v>
      </c>
      <c r="G554" s="25">
        <f t="shared" si="6"/>
        <v>-2.9154518950437192E-3</v>
      </c>
    </row>
    <row r="555" spans="1:7">
      <c r="A555" s="64">
        <v>92.7</v>
      </c>
      <c r="B555" s="64">
        <v>92.924999999999997</v>
      </c>
      <c r="C555" s="64">
        <v>90.86</v>
      </c>
      <c r="D555" s="64">
        <v>91.4</v>
      </c>
      <c r="E555" s="64">
        <v>2563322</v>
      </c>
      <c r="F555" s="64" t="s">
        <v>553</v>
      </c>
      <c r="G555" s="25">
        <f t="shared" si="6"/>
        <v>1.4223194748358869E-2</v>
      </c>
    </row>
    <row r="556" spans="1:7">
      <c r="A556" s="64">
        <v>91.2</v>
      </c>
      <c r="B556" s="64">
        <v>94.37</v>
      </c>
      <c r="C556" s="64">
        <v>91.11</v>
      </c>
      <c r="D556" s="64">
        <v>93.68</v>
      </c>
      <c r="E556" s="64">
        <v>3929048</v>
      </c>
      <c r="F556" s="64" t="s">
        <v>554</v>
      </c>
      <c r="G556" s="25">
        <f t="shared" si="6"/>
        <v>-2.6473099914602893E-2</v>
      </c>
    </row>
    <row r="557" spans="1:7">
      <c r="A557" s="64">
        <v>93.02</v>
      </c>
      <c r="B557" s="64">
        <v>95.064999999999998</v>
      </c>
      <c r="C557" s="64">
        <v>92.77</v>
      </c>
      <c r="D557" s="64">
        <v>93.95</v>
      </c>
      <c r="E557" s="64">
        <v>3189401</v>
      </c>
      <c r="F557" s="64" t="s">
        <v>555</v>
      </c>
      <c r="G557" s="25">
        <f t="shared" si="6"/>
        <v>-9.8988823842469653E-3</v>
      </c>
    </row>
    <row r="558" spans="1:7">
      <c r="A558" s="64">
        <v>94.31</v>
      </c>
      <c r="B558" s="64">
        <v>94.41</v>
      </c>
      <c r="C558" s="64">
        <v>92.37</v>
      </c>
      <c r="D558" s="64">
        <v>93.45</v>
      </c>
      <c r="E558" s="64">
        <v>2727538</v>
      </c>
      <c r="F558" s="64" t="s">
        <v>556</v>
      </c>
      <c r="G558" s="25">
        <f t="shared" si="6"/>
        <v>9.2027822364901812E-3</v>
      </c>
    </row>
    <row r="559" spans="1:7">
      <c r="A559" s="64">
        <v>94.25</v>
      </c>
      <c r="B559" s="64">
        <v>95.73</v>
      </c>
      <c r="C559" s="64">
        <v>93.27</v>
      </c>
      <c r="D559" s="64">
        <v>95.73</v>
      </c>
      <c r="E559" s="64">
        <v>3506293</v>
      </c>
      <c r="F559" s="64" t="s">
        <v>557</v>
      </c>
      <c r="G559" s="25">
        <f t="shared" si="6"/>
        <v>-1.5460148333855672E-2</v>
      </c>
    </row>
    <row r="560" spans="1:7">
      <c r="A560" s="64">
        <v>95.56</v>
      </c>
      <c r="B560" s="64">
        <v>96.12</v>
      </c>
      <c r="C560" s="64">
        <v>94.87</v>
      </c>
      <c r="D560" s="64">
        <v>95.48</v>
      </c>
      <c r="E560" s="64">
        <v>4007477</v>
      </c>
      <c r="F560" s="64" t="s">
        <v>558</v>
      </c>
      <c r="G560" s="25">
        <f t="shared" si="6"/>
        <v>8.3787180561367691E-4</v>
      </c>
    </row>
    <row r="561" spans="1:7">
      <c r="A561" s="64">
        <v>95.15</v>
      </c>
      <c r="B561" s="64">
        <v>95.35</v>
      </c>
      <c r="C561" s="64">
        <v>93.587199999999996</v>
      </c>
      <c r="D561" s="64">
        <v>93.75</v>
      </c>
      <c r="E561" s="64">
        <v>3656907</v>
      </c>
      <c r="F561" s="64" t="s">
        <v>559</v>
      </c>
      <c r="G561" s="25">
        <f t="shared" si="6"/>
        <v>1.4933333333333465E-2</v>
      </c>
    </row>
    <row r="562" spans="1:7">
      <c r="A562" s="64">
        <v>93.42</v>
      </c>
      <c r="B562" s="64">
        <v>94.33</v>
      </c>
      <c r="C562" s="64">
        <v>93.22</v>
      </c>
      <c r="D562" s="64">
        <v>93.47</v>
      </c>
      <c r="E562" s="64">
        <v>2750083</v>
      </c>
      <c r="F562" s="64" t="s">
        <v>560</v>
      </c>
      <c r="G562" s="25">
        <f t="shared" si="6"/>
        <v>-5.3493099390178322E-4</v>
      </c>
    </row>
    <row r="563" spans="1:7">
      <c r="A563" s="64">
        <v>93.16</v>
      </c>
      <c r="B563" s="64">
        <v>94.5</v>
      </c>
      <c r="C563" s="64">
        <v>92.96</v>
      </c>
      <c r="D563" s="64">
        <v>93.93</v>
      </c>
      <c r="E563" s="64">
        <v>2497213</v>
      </c>
      <c r="F563" s="64" t="s">
        <v>561</v>
      </c>
      <c r="G563" s="25">
        <f t="shared" si="6"/>
        <v>-8.197593952943838E-3</v>
      </c>
    </row>
    <row r="564" spans="1:7">
      <c r="A564" s="64">
        <v>93.79</v>
      </c>
      <c r="B564" s="64">
        <v>95.08</v>
      </c>
      <c r="C564" s="64">
        <v>93.2</v>
      </c>
      <c r="D564" s="64">
        <v>94.46</v>
      </c>
      <c r="E564" s="64">
        <v>2452996</v>
      </c>
      <c r="F564" s="64" t="s">
        <v>562</v>
      </c>
      <c r="G564" s="25">
        <f t="shared" si="6"/>
        <v>-7.0929493965697921E-3</v>
      </c>
    </row>
    <row r="565" spans="1:7">
      <c r="A565" s="64">
        <v>94.68</v>
      </c>
      <c r="B565" s="64">
        <v>95.18</v>
      </c>
      <c r="C565" s="64">
        <v>93.88</v>
      </c>
      <c r="D565" s="64">
        <v>93.9</v>
      </c>
      <c r="E565" s="64">
        <v>3731873</v>
      </c>
      <c r="F565" s="64" t="s">
        <v>563</v>
      </c>
      <c r="G565" s="25">
        <f t="shared" si="6"/>
        <v>8.3067092651756269E-3</v>
      </c>
    </row>
    <row r="566" spans="1:7">
      <c r="A566" s="64">
        <v>93.04</v>
      </c>
      <c r="B566" s="64">
        <v>94.4</v>
      </c>
      <c r="C566" s="64">
        <v>91.98</v>
      </c>
      <c r="D566" s="64">
        <v>94.26</v>
      </c>
      <c r="E566" s="64">
        <v>3385235</v>
      </c>
      <c r="F566" s="64" t="s">
        <v>564</v>
      </c>
      <c r="G566" s="25">
        <f t="shared" si="6"/>
        <v>-1.2942923827710562E-2</v>
      </c>
    </row>
    <row r="567" spans="1:7">
      <c r="A567" s="64">
        <v>94.31</v>
      </c>
      <c r="B567" s="64">
        <v>94.44</v>
      </c>
      <c r="C567" s="64">
        <v>92.32</v>
      </c>
      <c r="D567" s="64">
        <v>93.14</v>
      </c>
      <c r="E567" s="64">
        <v>3893551</v>
      </c>
      <c r="F567" s="64" t="s">
        <v>565</v>
      </c>
      <c r="G567" s="25">
        <f t="shared" si="6"/>
        <v>1.256173502254665E-2</v>
      </c>
    </row>
    <row r="568" spans="1:7">
      <c r="A568" s="64">
        <v>92.85</v>
      </c>
      <c r="B568" s="64">
        <v>93.04</v>
      </c>
      <c r="C568" s="64">
        <v>91.95</v>
      </c>
      <c r="D568" s="64">
        <v>92.48</v>
      </c>
      <c r="E568" s="64">
        <v>2899689</v>
      </c>
      <c r="F568" s="64" t="s">
        <v>566</v>
      </c>
      <c r="G568" s="25">
        <f t="shared" si="6"/>
        <v>4.000865051903002E-3</v>
      </c>
    </row>
    <row r="569" spans="1:7">
      <c r="A569" s="64">
        <v>92.31</v>
      </c>
      <c r="B569" s="64">
        <v>94</v>
      </c>
      <c r="C569" s="64">
        <v>92.16</v>
      </c>
      <c r="D569" s="64">
        <v>92.46</v>
      </c>
      <c r="E569" s="64">
        <v>5700263</v>
      </c>
      <c r="F569" s="64" t="s">
        <v>567</v>
      </c>
      <c r="G569" s="25">
        <f t="shared" si="6"/>
        <v>-1.6223231667746862E-3</v>
      </c>
    </row>
    <row r="570" spans="1:7">
      <c r="A570" s="64">
        <v>93.36</v>
      </c>
      <c r="B570" s="64">
        <v>95.27</v>
      </c>
      <c r="C570" s="64">
        <v>92.47</v>
      </c>
      <c r="D570" s="64">
        <v>93.03</v>
      </c>
      <c r="E570" s="64">
        <v>5066707</v>
      </c>
      <c r="F570" s="64" t="s">
        <v>568</v>
      </c>
      <c r="G570" s="25">
        <f t="shared" si="6"/>
        <v>3.5472428248952692E-3</v>
      </c>
    </row>
    <row r="571" spans="1:7">
      <c r="A571" s="64">
        <v>92.93</v>
      </c>
      <c r="B571" s="64">
        <v>93.3</v>
      </c>
      <c r="C571" s="64">
        <v>90.09</v>
      </c>
      <c r="D571" s="64">
        <v>90.91</v>
      </c>
      <c r="E571" s="64">
        <v>7036488</v>
      </c>
      <c r="F571" s="64" t="s">
        <v>569</v>
      </c>
      <c r="G571" s="25">
        <f t="shared" si="6"/>
        <v>2.2219777802222174E-2</v>
      </c>
    </row>
    <row r="572" spans="1:7">
      <c r="A572" s="64">
        <v>90.91</v>
      </c>
      <c r="B572" s="64">
        <v>91.15</v>
      </c>
      <c r="C572" s="64">
        <v>89.79</v>
      </c>
      <c r="D572" s="64">
        <v>90.58</v>
      </c>
      <c r="E572" s="64">
        <v>2323870</v>
      </c>
      <c r="F572" s="64" t="s">
        <v>570</v>
      </c>
      <c r="G572" s="25">
        <f t="shared" si="6"/>
        <v>3.6431883417973321E-3</v>
      </c>
    </row>
    <row r="573" spans="1:7">
      <c r="A573" s="64">
        <v>90.83</v>
      </c>
      <c r="B573" s="64">
        <v>92.04</v>
      </c>
      <c r="C573" s="64">
        <v>90.7</v>
      </c>
      <c r="D573" s="64">
        <v>91.73</v>
      </c>
      <c r="E573" s="64">
        <v>2974007</v>
      </c>
      <c r="F573" s="64" t="s">
        <v>571</v>
      </c>
      <c r="G573" s="25">
        <f t="shared" si="6"/>
        <v>-9.8114030306334366E-3</v>
      </c>
    </row>
    <row r="574" spans="1:7">
      <c r="A574" s="64">
        <v>92.14</v>
      </c>
      <c r="B574" s="64">
        <v>94.204999999999998</v>
      </c>
      <c r="C574" s="64">
        <v>91.91</v>
      </c>
      <c r="D574" s="64">
        <v>93.34</v>
      </c>
      <c r="E574" s="64">
        <v>5909408</v>
      </c>
      <c r="F574" s="64" t="s">
        <v>572</v>
      </c>
      <c r="G574" s="25">
        <f t="shared" si="6"/>
        <v>-1.2856224555388929E-2</v>
      </c>
    </row>
    <row r="575" spans="1:7">
      <c r="A575" s="64">
        <v>93.81</v>
      </c>
      <c r="B575" s="64">
        <v>93.892499999999998</v>
      </c>
      <c r="C575" s="64">
        <v>90.74</v>
      </c>
      <c r="D575" s="64">
        <v>90.98</v>
      </c>
      <c r="E575" s="64">
        <v>6846629</v>
      </c>
      <c r="F575" s="64" t="s">
        <v>573</v>
      </c>
      <c r="G575" s="25">
        <f t="shared" ref="G575:G638" si="7">A575/D575-1</f>
        <v>3.1105737524730781E-2</v>
      </c>
    </row>
    <row r="576" spans="1:7">
      <c r="A576" s="64">
        <v>88.33</v>
      </c>
      <c r="B576" s="64">
        <v>88.653999999999996</v>
      </c>
      <c r="C576" s="64">
        <v>86.28</v>
      </c>
      <c r="D576" s="64">
        <v>86.43</v>
      </c>
      <c r="E576" s="64">
        <v>3552002</v>
      </c>
      <c r="F576" s="64" t="s">
        <v>574</v>
      </c>
      <c r="G576" s="25">
        <f t="shared" si="7"/>
        <v>2.1983107717227668E-2</v>
      </c>
    </row>
    <row r="577" spans="1:7">
      <c r="A577" s="64">
        <v>86.1</v>
      </c>
      <c r="B577" s="64">
        <v>87.4</v>
      </c>
      <c r="C577" s="64">
        <v>85.655000000000001</v>
      </c>
      <c r="D577" s="64">
        <v>86.79</v>
      </c>
      <c r="E577" s="64">
        <v>2226179</v>
      </c>
      <c r="F577" s="64" t="s">
        <v>575</v>
      </c>
      <c r="G577" s="25">
        <f t="shared" si="7"/>
        <v>-7.9502246802628518E-3</v>
      </c>
    </row>
    <row r="578" spans="1:7">
      <c r="A578" s="64">
        <v>87.02</v>
      </c>
      <c r="B578" s="64">
        <v>87.59</v>
      </c>
      <c r="C578" s="64">
        <v>85.32</v>
      </c>
      <c r="D578" s="64">
        <v>85.36</v>
      </c>
      <c r="E578" s="64">
        <v>6772501</v>
      </c>
      <c r="F578" s="64" t="s">
        <v>576</v>
      </c>
      <c r="G578" s="25">
        <f t="shared" si="7"/>
        <v>1.9447047797563233E-2</v>
      </c>
    </row>
    <row r="579" spans="1:7">
      <c r="A579" s="64">
        <v>85.22</v>
      </c>
      <c r="B579" s="64">
        <v>85.74</v>
      </c>
      <c r="C579" s="64">
        <v>83.61</v>
      </c>
      <c r="D579" s="64">
        <v>84.4</v>
      </c>
      <c r="E579" s="64">
        <v>3296234</v>
      </c>
      <c r="F579" s="64" t="s">
        <v>577</v>
      </c>
      <c r="G579" s="25">
        <f t="shared" si="7"/>
        <v>9.7156398104265573E-3</v>
      </c>
    </row>
    <row r="580" spans="1:7">
      <c r="A580" s="64">
        <v>84.87</v>
      </c>
      <c r="B580" s="64">
        <v>86.03</v>
      </c>
      <c r="C580" s="64">
        <v>84.43</v>
      </c>
      <c r="D580" s="64">
        <v>86</v>
      </c>
      <c r="E580" s="64">
        <v>5175059</v>
      </c>
      <c r="F580" s="64" t="s">
        <v>578</v>
      </c>
      <c r="G580" s="25">
        <f t="shared" si="7"/>
        <v>-1.3139534883720883E-2</v>
      </c>
    </row>
    <row r="581" spans="1:7">
      <c r="A581" s="64">
        <v>86</v>
      </c>
      <c r="B581" s="64">
        <v>86.62</v>
      </c>
      <c r="C581" s="64">
        <v>85.474999999999994</v>
      </c>
      <c r="D581" s="64">
        <v>86.32</v>
      </c>
      <c r="E581" s="64">
        <v>2635365</v>
      </c>
      <c r="F581" s="64" t="s">
        <v>579</v>
      </c>
      <c r="G581" s="25">
        <f t="shared" si="7"/>
        <v>-3.707136237256603E-3</v>
      </c>
    </row>
    <row r="582" spans="1:7">
      <c r="A582" s="64">
        <v>86.51</v>
      </c>
      <c r="B582" s="64">
        <v>86.72</v>
      </c>
      <c r="C582" s="64">
        <v>85.41</v>
      </c>
      <c r="D582" s="64">
        <v>86.12</v>
      </c>
      <c r="E582" s="64">
        <v>4069696</v>
      </c>
      <c r="F582" s="64" t="s">
        <v>580</v>
      </c>
      <c r="G582" s="25">
        <f t="shared" si="7"/>
        <v>4.5285647933117623E-3</v>
      </c>
    </row>
    <row r="583" spans="1:7">
      <c r="A583" s="64">
        <v>86.15</v>
      </c>
      <c r="B583" s="64">
        <v>87.73</v>
      </c>
      <c r="C583" s="64">
        <v>85.84</v>
      </c>
      <c r="D583" s="64">
        <v>87.39</v>
      </c>
      <c r="E583" s="64">
        <v>6366033</v>
      </c>
      <c r="F583" s="64" t="s">
        <v>581</v>
      </c>
      <c r="G583" s="25">
        <f t="shared" si="7"/>
        <v>-1.4189266506465237E-2</v>
      </c>
    </row>
    <row r="584" spans="1:7">
      <c r="A584" s="64">
        <v>87.74</v>
      </c>
      <c r="B584" s="64">
        <v>88.33</v>
      </c>
      <c r="C584" s="64">
        <v>87.37</v>
      </c>
      <c r="D584" s="64">
        <v>87.92</v>
      </c>
      <c r="E584" s="64">
        <v>2797860</v>
      </c>
      <c r="F584" s="64" t="s">
        <v>582</v>
      </c>
      <c r="G584" s="25">
        <f t="shared" si="7"/>
        <v>-2.0473157415833443E-3</v>
      </c>
    </row>
    <row r="585" spans="1:7">
      <c r="A585" s="64">
        <v>87.62</v>
      </c>
      <c r="B585" s="64">
        <v>87.76</v>
      </c>
      <c r="C585" s="64">
        <v>85.49</v>
      </c>
      <c r="D585" s="64">
        <v>86.36</v>
      </c>
      <c r="E585" s="64">
        <v>2460753</v>
      </c>
      <c r="F585" s="64" t="s">
        <v>583</v>
      </c>
      <c r="G585" s="25">
        <f t="shared" si="7"/>
        <v>1.4590088003705537E-2</v>
      </c>
    </row>
    <row r="586" spans="1:7">
      <c r="A586" s="64">
        <v>86.65</v>
      </c>
      <c r="B586" s="64">
        <v>87.16</v>
      </c>
      <c r="C586" s="64">
        <v>86.2</v>
      </c>
      <c r="D586" s="64">
        <v>87.02</v>
      </c>
      <c r="E586" s="64">
        <v>2142405</v>
      </c>
      <c r="F586" s="64" t="s">
        <v>584</v>
      </c>
      <c r="G586" s="25">
        <f t="shared" si="7"/>
        <v>-4.2518961158353186E-3</v>
      </c>
    </row>
    <row r="587" spans="1:7">
      <c r="A587" s="64">
        <v>86.9</v>
      </c>
      <c r="B587" s="64">
        <v>87</v>
      </c>
      <c r="C587" s="64">
        <v>85.3</v>
      </c>
      <c r="D587" s="64">
        <v>85.8</v>
      </c>
      <c r="E587" s="64">
        <v>3235818</v>
      </c>
      <c r="F587" s="64" t="s">
        <v>585</v>
      </c>
      <c r="G587" s="25">
        <f t="shared" si="7"/>
        <v>1.2820512820512997E-2</v>
      </c>
    </row>
    <row r="588" spans="1:7">
      <c r="A588" s="64">
        <v>86.1</v>
      </c>
      <c r="B588" s="64">
        <v>87.25</v>
      </c>
      <c r="C588" s="64">
        <v>85.43</v>
      </c>
      <c r="D588" s="64">
        <v>85.84</v>
      </c>
      <c r="E588" s="64">
        <v>2122134</v>
      </c>
      <c r="F588" s="64" t="s">
        <v>586</v>
      </c>
      <c r="G588" s="25">
        <f t="shared" si="7"/>
        <v>3.0288909599254232E-3</v>
      </c>
    </row>
    <row r="589" spans="1:7">
      <c r="A589" s="64">
        <v>86.04</v>
      </c>
      <c r="B589" s="64">
        <v>86.71</v>
      </c>
      <c r="C589" s="64">
        <v>85.38</v>
      </c>
      <c r="D589" s="64">
        <v>86.3</v>
      </c>
      <c r="E589" s="64">
        <v>2727306</v>
      </c>
      <c r="F589" s="64" t="s">
        <v>587</v>
      </c>
      <c r="G589" s="25">
        <f t="shared" si="7"/>
        <v>-3.0127462340671096E-3</v>
      </c>
    </row>
    <row r="590" spans="1:7">
      <c r="A590" s="64">
        <v>86.04</v>
      </c>
      <c r="B590" s="64">
        <v>87.28</v>
      </c>
      <c r="C590" s="64">
        <v>85.03</v>
      </c>
      <c r="D590" s="64">
        <v>86.62</v>
      </c>
      <c r="E590" s="64">
        <v>4976605</v>
      </c>
      <c r="F590" s="64" t="s">
        <v>588</v>
      </c>
      <c r="G590" s="25">
        <f t="shared" si="7"/>
        <v>-6.6959131840221842E-3</v>
      </c>
    </row>
    <row r="591" spans="1:7">
      <c r="A591" s="64">
        <v>86.26</v>
      </c>
      <c r="B591" s="64">
        <v>87.48</v>
      </c>
      <c r="C591" s="64">
        <v>85.305000000000007</v>
      </c>
      <c r="D591" s="64">
        <v>86</v>
      </c>
      <c r="E591" s="64">
        <v>4012986</v>
      </c>
      <c r="F591" s="64" t="s">
        <v>589</v>
      </c>
      <c r="G591" s="25">
        <f t="shared" si="7"/>
        <v>3.0232558139535737E-3</v>
      </c>
    </row>
    <row r="592" spans="1:7">
      <c r="A592" s="64">
        <v>87.12</v>
      </c>
      <c r="B592" s="64">
        <v>87.47</v>
      </c>
      <c r="C592" s="64">
        <v>84.44</v>
      </c>
      <c r="D592" s="64">
        <v>84.83</v>
      </c>
      <c r="E592" s="64">
        <v>3826186</v>
      </c>
      <c r="F592" s="64" t="s">
        <v>590</v>
      </c>
      <c r="G592" s="25">
        <f t="shared" si="7"/>
        <v>2.699516680419678E-2</v>
      </c>
    </row>
    <row r="593" spans="1:7">
      <c r="A593" s="64">
        <v>85.01</v>
      </c>
      <c r="B593" s="64">
        <v>86.69</v>
      </c>
      <c r="C593" s="64">
        <v>84.89</v>
      </c>
      <c r="D593" s="64">
        <v>86.08</v>
      </c>
      <c r="E593" s="64">
        <v>3052186</v>
      </c>
      <c r="F593" s="64" t="s">
        <v>591</v>
      </c>
      <c r="G593" s="25">
        <f t="shared" si="7"/>
        <v>-1.2430297397769463E-2</v>
      </c>
    </row>
    <row r="594" spans="1:7">
      <c r="A594" s="64">
        <v>85.8</v>
      </c>
      <c r="B594" s="64">
        <v>86.644999999999996</v>
      </c>
      <c r="C594" s="64">
        <v>85.21</v>
      </c>
      <c r="D594" s="64">
        <v>86.45</v>
      </c>
      <c r="E594" s="64">
        <v>3723162</v>
      </c>
      <c r="F594" s="64" t="s">
        <v>592</v>
      </c>
      <c r="G594" s="25">
        <f t="shared" si="7"/>
        <v>-7.5187969924812581E-3</v>
      </c>
    </row>
    <row r="595" spans="1:7">
      <c r="A595" s="64">
        <v>86.61</v>
      </c>
      <c r="B595" s="64">
        <v>89.44</v>
      </c>
      <c r="C595" s="64">
        <v>82.53</v>
      </c>
      <c r="D595" s="64">
        <v>89.44</v>
      </c>
      <c r="E595" s="64">
        <v>7386808</v>
      </c>
      <c r="F595" s="64" t="s">
        <v>593</v>
      </c>
      <c r="G595" s="25">
        <f t="shared" si="7"/>
        <v>-3.164132379248652E-2</v>
      </c>
    </row>
    <row r="596" spans="1:7">
      <c r="A596" s="64">
        <v>88.25</v>
      </c>
      <c r="B596" s="64">
        <v>88.83</v>
      </c>
      <c r="C596" s="64">
        <v>85</v>
      </c>
      <c r="D596" s="64">
        <v>86.13</v>
      </c>
      <c r="E596" s="64">
        <v>7193564</v>
      </c>
      <c r="F596" s="64" t="s">
        <v>594</v>
      </c>
      <c r="G596" s="25">
        <f t="shared" si="7"/>
        <v>2.4613955648438379E-2</v>
      </c>
    </row>
    <row r="597" spans="1:7">
      <c r="A597" s="64">
        <v>86.06</v>
      </c>
      <c r="B597" s="64">
        <v>90.2</v>
      </c>
      <c r="C597" s="64">
        <v>85.99</v>
      </c>
      <c r="D597" s="64">
        <v>88</v>
      </c>
      <c r="E597" s="64">
        <v>10824780</v>
      </c>
      <c r="F597" s="64" t="s">
        <v>595</v>
      </c>
      <c r="G597" s="25">
        <f t="shared" si="7"/>
        <v>-2.2045454545454479E-2</v>
      </c>
    </row>
    <row r="598" spans="1:7">
      <c r="A598" s="64">
        <v>86.09</v>
      </c>
      <c r="B598" s="64">
        <v>86.47</v>
      </c>
      <c r="C598" s="64">
        <v>79.715000000000003</v>
      </c>
      <c r="D598" s="64">
        <v>80</v>
      </c>
      <c r="E598" s="64">
        <v>11803023</v>
      </c>
      <c r="F598" s="64" t="s">
        <v>596</v>
      </c>
      <c r="G598" s="25">
        <f t="shared" si="7"/>
        <v>7.6124999999999998E-2</v>
      </c>
    </row>
    <row r="599" spans="1:7">
      <c r="A599" s="64">
        <v>78.709999999999994</v>
      </c>
      <c r="B599" s="64">
        <v>78.91</v>
      </c>
      <c r="C599" s="64">
        <v>77.11</v>
      </c>
      <c r="D599" s="64">
        <v>78.290000000000006</v>
      </c>
      <c r="E599" s="64">
        <v>5020840</v>
      </c>
      <c r="F599" s="64" t="s">
        <v>597</v>
      </c>
      <c r="G599" s="25">
        <f t="shared" si="7"/>
        <v>5.3646698173455132E-3</v>
      </c>
    </row>
    <row r="600" spans="1:7">
      <c r="A600" s="64">
        <v>78.47</v>
      </c>
      <c r="B600" s="64">
        <v>79.930000000000007</v>
      </c>
      <c r="C600" s="64">
        <v>77.194999999999993</v>
      </c>
      <c r="D600" s="64">
        <v>77.760000000000005</v>
      </c>
      <c r="E600" s="64">
        <v>9470520</v>
      </c>
      <c r="F600" s="64" t="s">
        <v>598</v>
      </c>
      <c r="G600" s="25">
        <f t="shared" si="7"/>
        <v>9.1306584362138565E-3</v>
      </c>
    </row>
    <row r="601" spans="1:7">
      <c r="A601" s="64">
        <v>73.900000000000006</v>
      </c>
      <c r="B601" s="64">
        <v>74.48</v>
      </c>
      <c r="C601" s="64">
        <v>73.680000000000007</v>
      </c>
      <c r="D601" s="64">
        <v>74.36</v>
      </c>
      <c r="E601" s="64">
        <v>2118650</v>
      </c>
      <c r="F601" s="64" t="s">
        <v>599</v>
      </c>
      <c r="G601" s="25">
        <f t="shared" si="7"/>
        <v>-6.1861215707368356E-3</v>
      </c>
    </row>
    <row r="602" spans="1:7">
      <c r="A602" s="64">
        <v>74.569999999999993</v>
      </c>
      <c r="B602" s="64">
        <v>74.62</v>
      </c>
      <c r="C602" s="64">
        <v>72.707099999999997</v>
      </c>
      <c r="D602" s="64">
        <v>72.98</v>
      </c>
      <c r="E602" s="64">
        <v>2685701</v>
      </c>
      <c r="F602" s="64" t="s">
        <v>600</v>
      </c>
      <c r="G602" s="25">
        <f t="shared" si="7"/>
        <v>2.1786790901616726E-2</v>
      </c>
    </row>
    <row r="603" spans="1:7">
      <c r="A603" s="64">
        <v>73.239999999999995</v>
      </c>
      <c r="B603" s="64">
        <v>73.805000000000007</v>
      </c>
      <c r="C603" s="64">
        <v>72.97</v>
      </c>
      <c r="D603" s="64">
        <v>73.55</v>
      </c>
      <c r="E603" s="64">
        <v>2812092</v>
      </c>
      <c r="F603" s="64" t="s">
        <v>601</v>
      </c>
      <c r="G603" s="25">
        <f t="shared" si="7"/>
        <v>-4.2148198504419199E-3</v>
      </c>
    </row>
    <row r="604" spans="1:7">
      <c r="A604" s="64">
        <v>73.55</v>
      </c>
      <c r="B604" s="64">
        <v>73.78</v>
      </c>
      <c r="C604" s="64">
        <v>71.92</v>
      </c>
      <c r="D604" s="64">
        <v>73.33</v>
      </c>
      <c r="E604" s="64">
        <v>4588601</v>
      </c>
      <c r="F604" s="64" t="s">
        <v>602</v>
      </c>
      <c r="G604" s="25">
        <f t="shared" si="7"/>
        <v>3.0001363698348715E-3</v>
      </c>
    </row>
    <row r="605" spans="1:7">
      <c r="A605" s="64">
        <v>72.540000000000006</v>
      </c>
      <c r="B605" s="64">
        <v>75.19</v>
      </c>
      <c r="C605" s="64">
        <v>72.47</v>
      </c>
      <c r="D605" s="64">
        <v>75.16</v>
      </c>
      <c r="E605" s="64">
        <v>4457582</v>
      </c>
      <c r="F605" s="64" t="s">
        <v>603</v>
      </c>
      <c r="G605" s="25">
        <f t="shared" si="7"/>
        <v>-3.4858967535923213E-2</v>
      </c>
    </row>
    <row r="606" spans="1:7">
      <c r="A606" s="64">
        <v>74.83</v>
      </c>
      <c r="B606" s="64">
        <v>75.86</v>
      </c>
      <c r="C606" s="64">
        <v>74.13</v>
      </c>
      <c r="D606" s="64">
        <v>75.59</v>
      </c>
      <c r="E606" s="64">
        <v>2410194</v>
      </c>
      <c r="F606" s="64" t="s">
        <v>604</v>
      </c>
      <c r="G606" s="25">
        <f t="shared" si="7"/>
        <v>-1.0054239978833257E-2</v>
      </c>
    </row>
    <row r="607" spans="1:7">
      <c r="A607" s="64">
        <v>75.16</v>
      </c>
      <c r="B607" s="64">
        <v>76.540000000000006</v>
      </c>
      <c r="C607" s="64">
        <v>74.609700000000004</v>
      </c>
      <c r="D607" s="64">
        <v>74.75</v>
      </c>
      <c r="E607" s="64">
        <v>3408110</v>
      </c>
      <c r="F607" s="64" t="s">
        <v>605</v>
      </c>
      <c r="G607" s="25">
        <f t="shared" si="7"/>
        <v>5.4849498327758095E-3</v>
      </c>
    </row>
    <row r="608" spans="1:7">
      <c r="A608" s="64">
        <v>74.31</v>
      </c>
      <c r="B608" s="64">
        <v>74.75</v>
      </c>
      <c r="C608" s="64">
        <v>73.53</v>
      </c>
      <c r="D608" s="64">
        <v>74.64</v>
      </c>
      <c r="E608" s="64">
        <v>3581190</v>
      </c>
      <c r="F608" s="64" t="s">
        <v>606</v>
      </c>
      <c r="G608" s="25">
        <f t="shared" si="7"/>
        <v>-4.4212218649517521E-3</v>
      </c>
    </row>
    <row r="609" spans="1:7">
      <c r="A609" s="64">
        <v>74.44</v>
      </c>
      <c r="B609" s="64">
        <v>74.55</v>
      </c>
      <c r="C609" s="64">
        <v>73.38</v>
      </c>
      <c r="D609" s="64">
        <v>73.930000000000007</v>
      </c>
      <c r="E609" s="64">
        <v>3822650</v>
      </c>
      <c r="F609" s="64" t="s">
        <v>607</v>
      </c>
      <c r="G609" s="25">
        <f t="shared" si="7"/>
        <v>6.89841742188535E-3</v>
      </c>
    </row>
    <row r="610" spans="1:7">
      <c r="A610" s="64">
        <v>73.819999999999993</v>
      </c>
      <c r="B610" s="64">
        <v>73.94</v>
      </c>
      <c r="C610" s="64">
        <v>72.81</v>
      </c>
      <c r="D610" s="64">
        <v>73.59</v>
      </c>
      <c r="E610" s="64">
        <v>2763274</v>
      </c>
      <c r="F610" s="64" t="s">
        <v>608</v>
      </c>
      <c r="G610" s="25">
        <f t="shared" si="7"/>
        <v>3.1254246500882488E-3</v>
      </c>
    </row>
    <row r="611" spans="1:7">
      <c r="A611" s="64">
        <v>73.989999999999995</v>
      </c>
      <c r="B611" s="64">
        <v>74.265000000000001</v>
      </c>
      <c r="C611" s="64">
        <v>72.989999999999995</v>
      </c>
      <c r="D611" s="64">
        <v>73.430000000000007</v>
      </c>
      <c r="E611" s="64">
        <v>4298167</v>
      </c>
      <c r="F611" s="64" t="s">
        <v>609</v>
      </c>
      <c r="G611" s="25">
        <f t="shared" si="7"/>
        <v>7.6263107721636914E-3</v>
      </c>
    </row>
    <row r="612" spans="1:7">
      <c r="A612" s="64">
        <v>74.03</v>
      </c>
      <c r="B612" s="64">
        <v>76.010000000000005</v>
      </c>
      <c r="C612" s="64">
        <v>73.89</v>
      </c>
      <c r="D612" s="64">
        <v>75.64</v>
      </c>
      <c r="E612" s="64">
        <v>2756461</v>
      </c>
      <c r="F612" s="64" t="s">
        <v>610</v>
      </c>
      <c r="G612" s="25">
        <f t="shared" si="7"/>
        <v>-2.1285034373347389E-2</v>
      </c>
    </row>
    <row r="613" spans="1:7">
      <c r="A613" s="64">
        <v>75.14</v>
      </c>
      <c r="B613" s="64">
        <v>76.12</v>
      </c>
      <c r="C613" s="64">
        <v>74.8</v>
      </c>
      <c r="D613" s="64">
        <v>76.03</v>
      </c>
      <c r="E613" s="64">
        <v>2650358</v>
      </c>
      <c r="F613" s="64" t="s">
        <v>611</v>
      </c>
      <c r="G613" s="25">
        <f t="shared" si="7"/>
        <v>-1.17059055635933E-2</v>
      </c>
    </row>
    <row r="614" spans="1:7">
      <c r="A614" s="64">
        <v>76.12</v>
      </c>
      <c r="B614" s="64">
        <v>76.61</v>
      </c>
      <c r="C614" s="64">
        <v>75.25</v>
      </c>
      <c r="D614" s="64">
        <v>76.2</v>
      </c>
      <c r="E614" s="64">
        <v>2548487</v>
      </c>
      <c r="F614" s="64" t="s">
        <v>612</v>
      </c>
      <c r="G614" s="25">
        <f t="shared" si="7"/>
        <v>-1.0498687664042272E-3</v>
      </c>
    </row>
    <row r="615" spans="1:7">
      <c r="A615" s="64">
        <v>75.83</v>
      </c>
      <c r="B615" s="64">
        <v>76.650000000000006</v>
      </c>
      <c r="C615" s="64">
        <v>75.08</v>
      </c>
      <c r="D615" s="64">
        <v>75.209999999999994</v>
      </c>
      <c r="E615" s="64">
        <v>2630462</v>
      </c>
      <c r="F615" s="64" t="s">
        <v>613</v>
      </c>
      <c r="G615" s="25">
        <f t="shared" si="7"/>
        <v>8.2435846297035376E-3</v>
      </c>
    </row>
    <row r="616" spans="1:7">
      <c r="A616" s="64">
        <v>75.67</v>
      </c>
      <c r="B616" s="64">
        <v>75.72</v>
      </c>
      <c r="C616" s="64">
        <v>72.5</v>
      </c>
      <c r="D616" s="64">
        <v>73.17</v>
      </c>
      <c r="E616" s="64">
        <v>3060637</v>
      </c>
      <c r="F616" s="64" t="s">
        <v>614</v>
      </c>
      <c r="G616" s="25">
        <f t="shared" si="7"/>
        <v>3.4167008336750015E-2</v>
      </c>
    </row>
    <row r="617" spans="1:7">
      <c r="A617" s="64">
        <v>72.849999999999994</v>
      </c>
      <c r="B617" s="64">
        <v>73.61</v>
      </c>
      <c r="C617" s="64">
        <v>72.394999999999996</v>
      </c>
      <c r="D617" s="64">
        <v>73.17</v>
      </c>
      <c r="E617" s="64">
        <v>2694304</v>
      </c>
      <c r="F617" s="64" t="s">
        <v>615</v>
      </c>
      <c r="G617" s="25">
        <f t="shared" si="7"/>
        <v>-4.3733770671040562E-3</v>
      </c>
    </row>
    <row r="618" spans="1:7">
      <c r="A618" s="64">
        <v>73.52</v>
      </c>
      <c r="B618" s="64">
        <v>73.83</v>
      </c>
      <c r="C618" s="64">
        <v>71.67</v>
      </c>
      <c r="D618" s="64">
        <v>71.97</v>
      </c>
      <c r="E618" s="64">
        <v>3705930</v>
      </c>
      <c r="F618" s="64" t="s">
        <v>616</v>
      </c>
      <c r="G618" s="25">
        <f t="shared" si="7"/>
        <v>2.1536751424204414E-2</v>
      </c>
    </row>
    <row r="619" spans="1:7">
      <c r="A619" s="64">
        <v>73.13</v>
      </c>
      <c r="B619" s="64">
        <v>75.260000000000005</v>
      </c>
      <c r="C619" s="64">
        <v>72.97</v>
      </c>
      <c r="D619" s="64">
        <v>75.260000000000005</v>
      </c>
      <c r="E619" s="64">
        <v>3057922</v>
      </c>
      <c r="F619" s="64" t="s">
        <v>617</v>
      </c>
      <c r="G619" s="25">
        <f t="shared" si="7"/>
        <v>-2.8301886792452935E-2</v>
      </c>
    </row>
    <row r="620" spans="1:7">
      <c r="A620" s="64">
        <v>75.569999999999993</v>
      </c>
      <c r="B620" s="64">
        <v>76.680000000000007</v>
      </c>
      <c r="C620" s="64">
        <v>74.959999999999994</v>
      </c>
      <c r="D620" s="64">
        <v>75.69</v>
      </c>
      <c r="E620" s="64">
        <v>2677623</v>
      </c>
      <c r="F620" s="64" t="s">
        <v>618</v>
      </c>
      <c r="G620" s="25">
        <f t="shared" si="7"/>
        <v>-1.5854141894570128E-3</v>
      </c>
    </row>
    <row r="621" spans="1:7">
      <c r="A621" s="64">
        <v>76.25</v>
      </c>
      <c r="B621" s="64">
        <v>76.77</v>
      </c>
      <c r="C621" s="64">
        <v>76.14</v>
      </c>
      <c r="D621" s="64">
        <v>76.650000000000006</v>
      </c>
      <c r="E621" s="64">
        <v>1905679</v>
      </c>
      <c r="F621" s="64" t="s">
        <v>619</v>
      </c>
      <c r="G621" s="25">
        <f t="shared" si="7"/>
        <v>-5.2185257664710827E-3</v>
      </c>
    </row>
    <row r="622" spans="1:7">
      <c r="A622" s="64">
        <v>76.709999999999994</v>
      </c>
      <c r="B622" s="64">
        <v>77.2</v>
      </c>
      <c r="C622" s="64">
        <v>76.094999999999999</v>
      </c>
      <c r="D622" s="64">
        <v>76.3</v>
      </c>
      <c r="E622" s="64">
        <v>1982815</v>
      </c>
      <c r="F622" s="64" t="s">
        <v>620</v>
      </c>
      <c r="G622" s="25">
        <f t="shared" si="7"/>
        <v>5.3735255570117602E-3</v>
      </c>
    </row>
    <row r="623" spans="1:7">
      <c r="A623" s="64">
        <v>76.209999999999994</v>
      </c>
      <c r="B623" s="64">
        <v>76.63</v>
      </c>
      <c r="C623" s="64">
        <v>75.819999999999993</v>
      </c>
      <c r="D623" s="64">
        <v>76.08</v>
      </c>
      <c r="E623" s="64">
        <v>2152641</v>
      </c>
      <c r="F623" s="64" t="s">
        <v>621</v>
      </c>
      <c r="G623" s="25">
        <f t="shared" si="7"/>
        <v>1.7087276550997732E-3</v>
      </c>
    </row>
    <row r="624" spans="1:7">
      <c r="A624" s="64">
        <v>76.28</v>
      </c>
      <c r="B624" s="64">
        <v>76.63</v>
      </c>
      <c r="C624" s="64">
        <v>75.497799999999998</v>
      </c>
      <c r="D624" s="64">
        <v>75.75</v>
      </c>
      <c r="E624" s="64">
        <v>2191446</v>
      </c>
      <c r="F624" s="64" t="s">
        <v>622</v>
      </c>
      <c r="G624" s="25">
        <f t="shared" si="7"/>
        <v>6.9966996699670769E-3</v>
      </c>
    </row>
    <row r="625" spans="1:7">
      <c r="A625" s="64">
        <v>75.83</v>
      </c>
      <c r="B625" s="64">
        <v>76.27</v>
      </c>
      <c r="C625" s="64">
        <v>75.08</v>
      </c>
      <c r="D625" s="64">
        <v>75.290000000000006</v>
      </c>
      <c r="E625" s="64">
        <v>3002372</v>
      </c>
      <c r="F625" s="64" t="s">
        <v>623</v>
      </c>
      <c r="G625" s="25">
        <f t="shared" si="7"/>
        <v>7.1722672333642823E-3</v>
      </c>
    </row>
    <row r="626" spans="1:7">
      <c r="A626" s="64">
        <v>74.95</v>
      </c>
      <c r="B626" s="64">
        <v>75.52</v>
      </c>
      <c r="C626" s="64">
        <v>74.37</v>
      </c>
      <c r="D626" s="64">
        <v>74.37</v>
      </c>
      <c r="E626" s="64">
        <v>3509397</v>
      </c>
      <c r="F626" s="64" t="s">
        <v>624</v>
      </c>
      <c r="G626" s="25">
        <f t="shared" si="7"/>
        <v>7.7988436197391486E-3</v>
      </c>
    </row>
    <row r="627" spans="1:7">
      <c r="A627" s="64">
        <v>74.12</v>
      </c>
      <c r="B627" s="64">
        <v>76.09</v>
      </c>
      <c r="C627" s="64">
        <v>74.034999999999997</v>
      </c>
      <c r="D627" s="64">
        <v>75.2</v>
      </c>
      <c r="E627" s="64">
        <v>4275575</v>
      </c>
      <c r="F627" s="64" t="s">
        <v>625</v>
      </c>
      <c r="G627" s="25">
        <f t="shared" si="7"/>
        <v>-1.4361702127659526E-2</v>
      </c>
    </row>
    <row r="628" spans="1:7">
      <c r="A628" s="64">
        <v>75.31</v>
      </c>
      <c r="B628" s="64">
        <v>76.08</v>
      </c>
      <c r="C628" s="64">
        <v>75.150000000000006</v>
      </c>
      <c r="D628" s="64">
        <v>75.239999999999995</v>
      </c>
      <c r="E628" s="64">
        <v>5135330</v>
      </c>
      <c r="F628" s="64" t="s">
        <v>626</v>
      </c>
      <c r="G628" s="25">
        <f t="shared" si="7"/>
        <v>9.3035619351411469E-4</v>
      </c>
    </row>
    <row r="629" spans="1:7">
      <c r="A629" s="64">
        <v>74.88</v>
      </c>
      <c r="B629" s="64">
        <v>77.260000000000005</v>
      </c>
      <c r="C629" s="64">
        <v>74.819999999999993</v>
      </c>
      <c r="D629" s="64">
        <v>76.849999999999994</v>
      </c>
      <c r="E629" s="64">
        <v>5090008</v>
      </c>
      <c r="F629" s="64" t="s">
        <v>627</v>
      </c>
      <c r="G629" s="25">
        <f t="shared" si="7"/>
        <v>-2.5634352635003244E-2</v>
      </c>
    </row>
    <row r="630" spans="1:7">
      <c r="A630" s="64">
        <v>76.900000000000006</v>
      </c>
      <c r="B630" s="64">
        <v>78.349999999999994</v>
      </c>
      <c r="C630" s="64">
        <v>76.84</v>
      </c>
      <c r="D630" s="64">
        <v>77.69</v>
      </c>
      <c r="E630" s="64">
        <v>11292856</v>
      </c>
      <c r="F630" s="64" t="s">
        <v>628</v>
      </c>
      <c r="G630" s="25">
        <f t="shared" si="7"/>
        <v>-1.0168618869867307E-2</v>
      </c>
    </row>
    <row r="631" spans="1:7">
      <c r="A631" s="64">
        <v>77.760000000000005</v>
      </c>
      <c r="B631" s="64">
        <v>79.05</v>
      </c>
      <c r="C631" s="64">
        <v>76</v>
      </c>
      <c r="D631" s="64">
        <v>76.069999999999993</v>
      </c>
      <c r="E631" s="64">
        <v>8705925</v>
      </c>
      <c r="F631" s="64" t="s">
        <v>629</v>
      </c>
      <c r="G631" s="25">
        <f t="shared" si="7"/>
        <v>2.2216379650322304E-2</v>
      </c>
    </row>
    <row r="632" spans="1:7">
      <c r="A632" s="64">
        <v>75.22</v>
      </c>
      <c r="B632" s="64">
        <v>75.989999999999995</v>
      </c>
      <c r="C632" s="64">
        <v>71.81</v>
      </c>
      <c r="D632" s="64">
        <v>72.064999999999998</v>
      </c>
      <c r="E632" s="64">
        <v>8097631</v>
      </c>
      <c r="F632" s="64" t="s">
        <v>630</v>
      </c>
      <c r="G632" s="25">
        <f t="shared" si="7"/>
        <v>4.3779920904738701E-2</v>
      </c>
    </row>
    <row r="633" spans="1:7">
      <c r="A633" s="64">
        <v>72.180000000000007</v>
      </c>
      <c r="B633" s="64">
        <v>72.45</v>
      </c>
      <c r="C633" s="64">
        <v>70.14</v>
      </c>
      <c r="D633" s="64">
        <v>70.510000000000005</v>
      </c>
      <c r="E633" s="64">
        <v>6581302</v>
      </c>
      <c r="F633" s="64" t="s">
        <v>631</v>
      </c>
      <c r="G633" s="25">
        <f t="shared" si="7"/>
        <v>2.3684583746986343E-2</v>
      </c>
    </row>
    <row r="634" spans="1:7">
      <c r="A634" s="64">
        <v>70.31</v>
      </c>
      <c r="B634" s="64">
        <v>70.319999999999993</v>
      </c>
      <c r="C634" s="64">
        <v>68.94</v>
      </c>
      <c r="D634" s="64">
        <v>68.94</v>
      </c>
      <c r="E634" s="64">
        <v>4642419</v>
      </c>
      <c r="F634" s="64" t="s">
        <v>632</v>
      </c>
      <c r="G634" s="25">
        <f t="shared" si="7"/>
        <v>1.9872352770525126E-2</v>
      </c>
    </row>
    <row r="635" spans="1:7">
      <c r="A635" s="64">
        <v>69.180000000000007</v>
      </c>
      <c r="B635" s="64">
        <v>69.97</v>
      </c>
      <c r="C635" s="64">
        <v>68</v>
      </c>
      <c r="D635" s="64">
        <v>68.63</v>
      </c>
      <c r="E635" s="64">
        <v>5901812</v>
      </c>
      <c r="F635" s="64" t="s">
        <v>633</v>
      </c>
      <c r="G635" s="25">
        <f t="shared" si="7"/>
        <v>8.0139880518725892E-3</v>
      </c>
    </row>
    <row r="636" spans="1:7">
      <c r="A636" s="64">
        <v>68.260000000000005</v>
      </c>
      <c r="B636" s="64">
        <v>70.87</v>
      </c>
      <c r="C636" s="64">
        <v>66.86</v>
      </c>
      <c r="D636" s="64">
        <v>70.36</v>
      </c>
      <c r="E636" s="64">
        <v>6138881</v>
      </c>
      <c r="F636" s="64" t="s">
        <v>634</v>
      </c>
      <c r="G636" s="25">
        <f t="shared" si="7"/>
        <v>-2.9846503695281301E-2</v>
      </c>
    </row>
    <row r="637" spans="1:7">
      <c r="A637" s="64">
        <v>69.489999999999995</v>
      </c>
      <c r="B637" s="64">
        <v>70.180000000000007</v>
      </c>
      <c r="C637" s="64">
        <v>68.34</v>
      </c>
      <c r="D637" s="64">
        <v>68.72</v>
      </c>
      <c r="E637" s="64">
        <v>4710545</v>
      </c>
      <c r="F637" s="64" t="s">
        <v>635</v>
      </c>
      <c r="G637" s="25">
        <f t="shared" si="7"/>
        <v>1.1204889406286389E-2</v>
      </c>
    </row>
    <row r="638" spans="1:7">
      <c r="A638" s="64">
        <v>68.849999999999994</v>
      </c>
      <c r="B638" s="64">
        <v>69.569999999999993</v>
      </c>
      <c r="C638" s="64">
        <v>68.040000000000006</v>
      </c>
      <c r="D638" s="64">
        <v>68.709999999999994</v>
      </c>
      <c r="E638" s="64">
        <v>4509546</v>
      </c>
      <c r="F638" s="64" t="s">
        <v>636</v>
      </c>
      <c r="G638" s="25">
        <f t="shared" si="7"/>
        <v>2.0375491194877249E-3</v>
      </c>
    </row>
    <row r="639" spans="1:7">
      <c r="A639" s="64">
        <v>69.180000000000007</v>
      </c>
      <c r="B639" s="64">
        <v>69.97</v>
      </c>
      <c r="C639" s="64">
        <v>68.03</v>
      </c>
      <c r="D639" s="64">
        <v>68.36</v>
      </c>
      <c r="E639" s="64">
        <v>4426968</v>
      </c>
      <c r="F639" s="64" t="s">
        <v>637</v>
      </c>
      <c r="G639" s="25">
        <f t="shared" ref="G639:G702" si="8">A639/D639-1</f>
        <v>1.1995318899941543E-2</v>
      </c>
    </row>
    <row r="640" spans="1:7">
      <c r="A640" s="64">
        <v>68.36</v>
      </c>
      <c r="B640" s="64">
        <v>68.59</v>
      </c>
      <c r="C640" s="64">
        <v>67.08</v>
      </c>
      <c r="D640" s="64">
        <v>67.459999999999994</v>
      </c>
      <c r="E640" s="64">
        <v>4207618</v>
      </c>
      <c r="F640" s="64" t="s">
        <v>638</v>
      </c>
      <c r="G640" s="25">
        <f t="shared" si="8"/>
        <v>1.3341239252890658E-2</v>
      </c>
    </row>
    <row r="641" spans="1:7">
      <c r="A641" s="64">
        <v>67.709999999999994</v>
      </c>
      <c r="B641" s="64">
        <v>67.739999999999995</v>
      </c>
      <c r="C641" s="64">
        <v>66.400000000000006</v>
      </c>
      <c r="D641" s="64">
        <v>67.5</v>
      </c>
      <c r="E641" s="64">
        <v>7548445</v>
      </c>
      <c r="F641" s="64" t="s">
        <v>639</v>
      </c>
      <c r="G641" s="25">
        <f t="shared" si="8"/>
        <v>3.1111111111110645E-3</v>
      </c>
    </row>
    <row r="642" spans="1:7">
      <c r="A642" s="64">
        <v>67.430000000000007</v>
      </c>
      <c r="B642" s="64">
        <v>68.305000000000007</v>
      </c>
      <c r="C642" s="64">
        <v>67.135000000000005</v>
      </c>
      <c r="D642" s="64">
        <v>67.55</v>
      </c>
      <c r="E642" s="64">
        <v>3148699</v>
      </c>
      <c r="F642" s="64" t="s">
        <v>640</v>
      </c>
      <c r="G642" s="25">
        <f t="shared" si="8"/>
        <v>-1.7764618800887311E-3</v>
      </c>
    </row>
    <row r="643" spans="1:7">
      <c r="A643" s="64">
        <v>67.099999999999994</v>
      </c>
      <c r="B643" s="64">
        <v>67.27</v>
      </c>
      <c r="C643" s="64">
        <v>65.12</v>
      </c>
      <c r="D643" s="64">
        <v>65.599999999999994</v>
      </c>
      <c r="E643" s="64">
        <v>5196060</v>
      </c>
      <c r="F643" s="64" t="s">
        <v>641</v>
      </c>
      <c r="G643" s="25">
        <f t="shared" si="8"/>
        <v>2.2865853658536661E-2</v>
      </c>
    </row>
    <row r="644" spans="1:7">
      <c r="A644" s="64">
        <v>67.16</v>
      </c>
      <c r="B644" s="64">
        <v>67.894999999999996</v>
      </c>
      <c r="C644" s="64">
        <v>66.930000000000007</v>
      </c>
      <c r="D644" s="64">
        <v>67.59</v>
      </c>
      <c r="E644" s="64">
        <v>2797376</v>
      </c>
      <c r="F644" s="64" t="s">
        <v>642</v>
      </c>
      <c r="G644" s="25">
        <f t="shared" si="8"/>
        <v>-6.3618878532327727E-3</v>
      </c>
    </row>
    <row r="645" spans="1:7">
      <c r="A645" s="64">
        <v>67.900000000000006</v>
      </c>
      <c r="B645" s="64">
        <v>67.91</v>
      </c>
      <c r="C645" s="64">
        <v>67</v>
      </c>
      <c r="D645" s="64">
        <v>67</v>
      </c>
      <c r="E645" s="64">
        <v>2053739</v>
      </c>
      <c r="F645" s="64" t="s">
        <v>643</v>
      </c>
      <c r="G645" s="25">
        <f t="shared" si="8"/>
        <v>1.3432835820895717E-2</v>
      </c>
    </row>
    <row r="646" spans="1:7">
      <c r="A646" s="64">
        <v>67.06</v>
      </c>
      <c r="B646" s="64">
        <v>67.77</v>
      </c>
      <c r="C646" s="64">
        <v>66.91</v>
      </c>
      <c r="D646" s="64">
        <v>67.23</v>
      </c>
      <c r="E646" s="64">
        <v>3488861</v>
      </c>
      <c r="F646" s="64" t="s">
        <v>644</v>
      </c>
      <c r="G646" s="25">
        <f t="shared" si="8"/>
        <v>-2.5286330507213739E-3</v>
      </c>
    </row>
    <row r="647" spans="1:7">
      <c r="A647" s="64">
        <v>66.959999999999994</v>
      </c>
      <c r="B647" s="64">
        <v>67.87</v>
      </c>
      <c r="C647" s="64">
        <v>66.575000000000003</v>
      </c>
      <c r="D647" s="64">
        <v>67.739999999999995</v>
      </c>
      <c r="E647" s="64">
        <v>3497130</v>
      </c>
      <c r="F647" s="64" t="s">
        <v>645</v>
      </c>
      <c r="G647" s="25">
        <f t="shared" si="8"/>
        <v>-1.1514614703277304E-2</v>
      </c>
    </row>
    <row r="648" spans="1:7">
      <c r="A648" s="64">
        <v>67.19</v>
      </c>
      <c r="B648" s="64">
        <v>67.489999999999995</v>
      </c>
      <c r="C648" s="64">
        <v>66.5</v>
      </c>
      <c r="D648" s="64">
        <v>66.56</v>
      </c>
      <c r="E648" s="64">
        <v>4328331</v>
      </c>
      <c r="F648" s="64" t="s">
        <v>646</v>
      </c>
      <c r="G648" s="25">
        <f t="shared" si="8"/>
        <v>9.4651442307691624E-3</v>
      </c>
    </row>
    <row r="649" spans="1:7">
      <c r="A649" s="64">
        <v>66.900000000000006</v>
      </c>
      <c r="B649" s="64">
        <v>68.05</v>
      </c>
      <c r="C649" s="64">
        <v>66.655000000000001</v>
      </c>
      <c r="D649" s="64">
        <v>67.78</v>
      </c>
      <c r="E649" s="64">
        <v>3368696</v>
      </c>
      <c r="F649" s="64" t="s">
        <v>647</v>
      </c>
      <c r="G649" s="25">
        <f t="shared" si="8"/>
        <v>-1.2983180879315381E-2</v>
      </c>
    </row>
    <row r="650" spans="1:7">
      <c r="A650" s="64">
        <v>67.47</v>
      </c>
      <c r="B650" s="64">
        <v>67.62</v>
      </c>
      <c r="C650" s="64">
        <v>66.78</v>
      </c>
      <c r="D650" s="64">
        <v>67.2</v>
      </c>
      <c r="E650" s="64">
        <v>3720905</v>
      </c>
      <c r="F650" s="64" t="s">
        <v>648</v>
      </c>
      <c r="G650" s="25">
        <f t="shared" si="8"/>
        <v>4.0178571428570731E-3</v>
      </c>
    </row>
    <row r="651" spans="1:7">
      <c r="A651" s="64">
        <v>67.010000000000005</v>
      </c>
      <c r="B651" s="64">
        <v>67.48</v>
      </c>
      <c r="C651" s="64">
        <v>65.37</v>
      </c>
      <c r="D651" s="64">
        <v>65.88</v>
      </c>
      <c r="E651" s="64">
        <v>6288467</v>
      </c>
      <c r="F651" s="64" t="s">
        <v>649</v>
      </c>
      <c r="G651" s="25">
        <f t="shared" si="8"/>
        <v>1.7152398299939531E-2</v>
      </c>
    </row>
    <row r="652" spans="1:7">
      <c r="A652" s="64">
        <v>65.790000000000006</v>
      </c>
      <c r="B652" s="64">
        <v>66.56</v>
      </c>
      <c r="C652" s="64">
        <v>65.099999999999994</v>
      </c>
      <c r="D652" s="64">
        <v>65.7</v>
      </c>
      <c r="E652" s="64">
        <v>4608326</v>
      </c>
      <c r="F652" s="64" t="s">
        <v>650</v>
      </c>
      <c r="G652" s="25">
        <f t="shared" si="8"/>
        <v>1.36986301369868E-3</v>
      </c>
    </row>
    <row r="653" spans="1:7">
      <c r="A653" s="64">
        <v>64.599999999999994</v>
      </c>
      <c r="B653" s="64">
        <v>66.22</v>
      </c>
      <c r="C653" s="64">
        <v>64.069999999999993</v>
      </c>
      <c r="D653" s="64">
        <v>65.83</v>
      </c>
      <c r="E653" s="64">
        <v>5709800</v>
      </c>
      <c r="F653" s="64" t="s">
        <v>651</v>
      </c>
      <c r="G653" s="25">
        <f t="shared" si="8"/>
        <v>-1.868449035394204E-2</v>
      </c>
    </row>
    <row r="654" spans="1:7">
      <c r="A654" s="64">
        <v>64.209999999999994</v>
      </c>
      <c r="B654" s="64">
        <v>65.099999999999994</v>
      </c>
      <c r="C654" s="64">
        <v>63.88</v>
      </c>
      <c r="D654" s="64">
        <v>65.099999999999994</v>
      </c>
      <c r="E654" s="64">
        <v>10060993</v>
      </c>
      <c r="F654" s="64" t="s">
        <v>652</v>
      </c>
      <c r="G654" s="25">
        <f t="shared" si="8"/>
        <v>-1.367127496159759E-2</v>
      </c>
    </row>
    <row r="655" spans="1:7">
      <c r="A655" s="64">
        <v>64.650000000000006</v>
      </c>
      <c r="B655" s="64">
        <v>66.709999999999994</v>
      </c>
      <c r="C655" s="64">
        <v>64.599999999999994</v>
      </c>
      <c r="D655" s="64">
        <v>66.42</v>
      </c>
      <c r="E655" s="64">
        <v>3196913</v>
      </c>
      <c r="F655" s="64" t="s">
        <v>653</v>
      </c>
      <c r="G655" s="25">
        <f t="shared" si="8"/>
        <v>-2.6648599819331431E-2</v>
      </c>
    </row>
    <row r="656" spans="1:7">
      <c r="A656" s="64">
        <v>66.239999999999995</v>
      </c>
      <c r="B656" s="64">
        <v>67.23</v>
      </c>
      <c r="C656" s="64">
        <v>65.94</v>
      </c>
      <c r="D656" s="64">
        <v>67</v>
      </c>
      <c r="E656" s="64">
        <v>2600161</v>
      </c>
      <c r="F656" s="64" t="s">
        <v>654</v>
      </c>
      <c r="G656" s="25">
        <f t="shared" si="8"/>
        <v>-1.1343283582089581E-2</v>
      </c>
    </row>
    <row r="657" spans="1:7">
      <c r="A657" s="64">
        <v>66.53</v>
      </c>
      <c r="B657" s="64">
        <v>67.67</v>
      </c>
      <c r="C657" s="64">
        <v>66.17</v>
      </c>
      <c r="D657" s="64">
        <v>67.48</v>
      </c>
      <c r="E657" s="64">
        <v>3315612</v>
      </c>
      <c r="F657" s="64" t="s">
        <v>655</v>
      </c>
      <c r="G657" s="25">
        <f t="shared" si="8"/>
        <v>-1.4078245406046297E-2</v>
      </c>
    </row>
    <row r="658" spans="1:7">
      <c r="A658" s="64">
        <v>67.099999999999994</v>
      </c>
      <c r="B658" s="64">
        <v>67.819999999999993</v>
      </c>
      <c r="C658" s="64">
        <v>67.02</v>
      </c>
      <c r="D658" s="64">
        <v>67.22</v>
      </c>
      <c r="E658" s="64">
        <v>3260810</v>
      </c>
      <c r="F658" s="64" t="s">
        <v>656</v>
      </c>
      <c r="G658" s="25">
        <f t="shared" si="8"/>
        <v>-1.7851829812556286E-3</v>
      </c>
    </row>
    <row r="659" spans="1:7">
      <c r="A659" s="64">
        <v>67.069999999999993</v>
      </c>
      <c r="B659" s="64">
        <v>67.599999999999994</v>
      </c>
      <c r="C659" s="64">
        <v>66.62</v>
      </c>
      <c r="D659" s="64">
        <v>66.650000000000006</v>
      </c>
      <c r="E659" s="64">
        <v>3806040</v>
      </c>
      <c r="F659" s="64" t="s">
        <v>657</v>
      </c>
      <c r="G659" s="25">
        <f t="shared" si="8"/>
        <v>6.3015753938482355E-3</v>
      </c>
    </row>
    <row r="660" spans="1:7">
      <c r="A660" s="64">
        <v>65.53</v>
      </c>
      <c r="B660" s="64">
        <v>65.73</v>
      </c>
      <c r="C660" s="64">
        <v>64.075000000000003</v>
      </c>
      <c r="D660" s="64">
        <v>64.56</v>
      </c>
      <c r="E660" s="64">
        <v>3809322</v>
      </c>
      <c r="F660" s="64" t="s">
        <v>658</v>
      </c>
      <c r="G660" s="25">
        <f t="shared" si="8"/>
        <v>1.5024783147459697E-2</v>
      </c>
    </row>
    <row r="661" spans="1:7">
      <c r="A661" s="64">
        <v>63.83</v>
      </c>
      <c r="B661" s="64">
        <v>64.12</v>
      </c>
      <c r="C661" s="64">
        <v>62.52</v>
      </c>
      <c r="D661" s="64">
        <v>63.5</v>
      </c>
      <c r="E661" s="64">
        <v>5164769</v>
      </c>
      <c r="F661" s="64" t="s">
        <v>659</v>
      </c>
      <c r="G661" s="25">
        <f t="shared" si="8"/>
        <v>5.1968503937007693E-3</v>
      </c>
    </row>
    <row r="662" spans="1:7">
      <c r="A662" s="64">
        <v>63.72</v>
      </c>
      <c r="B662" s="64">
        <v>64.25</v>
      </c>
      <c r="C662" s="64">
        <v>62.33</v>
      </c>
      <c r="D662" s="64">
        <v>62.4</v>
      </c>
      <c r="E662" s="64">
        <v>6504923</v>
      </c>
      <c r="F662" s="64" t="s">
        <v>660</v>
      </c>
      <c r="G662" s="25">
        <f t="shared" si="8"/>
        <v>2.1153846153846079E-2</v>
      </c>
    </row>
    <row r="663" spans="1:7">
      <c r="A663" s="64">
        <v>62.36</v>
      </c>
      <c r="B663" s="64">
        <v>62.47</v>
      </c>
      <c r="C663" s="64">
        <v>60.57</v>
      </c>
      <c r="D663" s="64">
        <v>62.06</v>
      </c>
      <c r="E663" s="64">
        <v>4865544</v>
      </c>
      <c r="F663" s="64" t="s">
        <v>661</v>
      </c>
      <c r="G663" s="25">
        <f t="shared" si="8"/>
        <v>4.8340315823396374E-3</v>
      </c>
    </row>
    <row r="664" spans="1:7">
      <c r="A664" s="64">
        <v>61.71</v>
      </c>
      <c r="B664" s="64">
        <v>64.150000000000006</v>
      </c>
      <c r="C664" s="64">
        <v>61.01</v>
      </c>
      <c r="D664" s="64">
        <v>63.1</v>
      </c>
      <c r="E664" s="64">
        <v>7053924</v>
      </c>
      <c r="F664" s="64" t="s">
        <v>662</v>
      </c>
      <c r="G664" s="25">
        <f t="shared" si="8"/>
        <v>-2.2028526148969885E-2</v>
      </c>
    </row>
    <row r="665" spans="1:7">
      <c r="A665" s="64">
        <v>62.78</v>
      </c>
      <c r="B665" s="64">
        <v>64.56</v>
      </c>
      <c r="C665" s="64">
        <v>61.5</v>
      </c>
      <c r="D665" s="64">
        <v>62.5</v>
      </c>
      <c r="E665" s="64">
        <v>10377340</v>
      </c>
      <c r="F665" s="64" t="s">
        <v>663</v>
      </c>
      <c r="G665" s="25">
        <f t="shared" si="8"/>
        <v>4.4800000000000395E-3</v>
      </c>
    </row>
    <row r="666" spans="1:7">
      <c r="A666" s="64">
        <v>68.34</v>
      </c>
      <c r="B666" s="64">
        <v>70.319999999999993</v>
      </c>
      <c r="C666" s="64">
        <v>67.680000000000007</v>
      </c>
      <c r="D666" s="64">
        <v>70.12</v>
      </c>
      <c r="E666" s="64">
        <v>6398340</v>
      </c>
      <c r="F666" s="64" t="s">
        <v>664</v>
      </c>
      <c r="G666" s="25">
        <f t="shared" si="8"/>
        <v>-2.538505419281234E-2</v>
      </c>
    </row>
    <row r="667" spans="1:7">
      <c r="A667" s="64">
        <v>70.489999999999995</v>
      </c>
      <c r="B667" s="64">
        <v>73.259399999999999</v>
      </c>
      <c r="C667" s="64">
        <v>66.66</v>
      </c>
      <c r="D667" s="64">
        <v>68.89</v>
      </c>
      <c r="E667" s="64">
        <v>10547283</v>
      </c>
      <c r="F667" s="64" t="s">
        <v>665</v>
      </c>
      <c r="G667" s="25">
        <f t="shared" si="8"/>
        <v>2.322543184787329E-2</v>
      </c>
    </row>
    <row r="668" spans="1:7">
      <c r="A668" s="64">
        <v>69.05</v>
      </c>
      <c r="B668" s="64">
        <v>69.73</v>
      </c>
      <c r="C668" s="64">
        <v>68.209999999999994</v>
      </c>
      <c r="D668" s="64">
        <v>69.22</v>
      </c>
      <c r="E668" s="64">
        <v>3761734</v>
      </c>
      <c r="F668" s="64" t="s">
        <v>666</v>
      </c>
      <c r="G668" s="25">
        <f t="shared" si="8"/>
        <v>-2.4559375902918346E-3</v>
      </c>
    </row>
    <row r="669" spans="1:7">
      <c r="A669" s="64">
        <v>69.48</v>
      </c>
      <c r="B669" s="64">
        <v>69.760000000000005</v>
      </c>
      <c r="C669" s="64">
        <v>68.709999999999994</v>
      </c>
      <c r="D669" s="64">
        <v>69.02</v>
      </c>
      <c r="E669" s="64">
        <v>3254673</v>
      </c>
      <c r="F669" s="64" t="s">
        <v>667</v>
      </c>
      <c r="G669" s="25">
        <f t="shared" si="8"/>
        <v>6.6647348594610634E-3</v>
      </c>
    </row>
    <row r="670" spans="1:7">
      <c r="A670" s="64">
        <v>69.08</v>
      </c>
      <c r="B670" s="64">
        <v>69.95</v>
      </c>
      <c r="C670" s="64">
        <v>68.8</v>
      </c>
      <c r="D670" s="64">
        <v>69.8</v>
      </c>
      <c r="E670" s="64">
        <v>2845347</v>
      </c>
      <c r="F670" s="64" t="s">
        <v>668</v>
      </c>
      <c r="G670" s="25">
        <f t="shared" si="8"/>
        <v>-1.0315186246418362E-2</v>
      </c>
    </row>
    <row r="671" spans="1:7">
      <c r="A671" s="64">
        <v>69.709999999999994</v>
      </c>
      <c r="B671" s="64">
        <v>70.8</v>
      </c>
      <c r="C671" s="64">
        <v>69.56</v>
      </c>
      <c r="D671" s="64">
        <v>70.55</v>
      </c>
      <c r="E671" s="64">
        <v>3425834</v>
      </c>
      <c r="F671" s="64" t="s">
        <v>669</v>
      </c>
      <c r="G671" s="25">
        <f t="shared" si="8"/>
        <v>-1.1906449326718693E-2</v>
      </c>
    </row>
    <row r="672" spans="1:7">
      <c r="A672" s="64">
        <v>70.33</v>
      </c>
      <c r="B672" s="64">
        <v>71.959999999999994</v>
      </c>
      <c r="C672" s="64">
        <v>70.13</v>
      </c>
      <c r="D672" s="64">
        <v>70.89</v>
      </c>
      <c r="E672" s="64">
        <v>2440387</v>
      </c>
      <c r="F672" s="64" t="s">
        <v>670</v>
      </c>
      <c r="G672" s="25">
        <f t="shared" si="8"/>
        <v>-7.8995627027790283E-3</v>
      </c>
    </row>
    <row r="673" spans="1:7">
      <c r="A673" s="64">
        <v>71.27</v>
      </c>
      <c r="B673" s="64">
        <v>71.8</v>
      </c>
      <c r="C673" s="64">
        <v>69.959999999999994</v>
      </c>
      <c r="D673" s="64">
        <v>70.47</v>
      </c>
      <c r="E673" s="64">
        <v>3676479</v>
      </c>
      <c r="F673" s="64" t="s">
        <v>671</v>
      </c>
      <c r="G673" s="25">
        <f t="shared" si="8"/>
        <v>1.1352348517099431E-2</v>
      </c>
    </row>
    <row r="674" spans="1:7">
      <c r="A674" s="64">
        <v>70.78</v>
      </c>
      <c r="B674" s="64">
        <v>70.834999999999994</v>
      </c>
      <c r="C674" s="64">
        <v>68.91</v>
      </c>
      <c r="D674" s="64">
        <v>69.28</v>
      </c>
      <c r="E674" s="64">
        <v>3362800</v>
      </c>
      <c r="F674" s="64" t="s">
        <v>672</v>
      </c>
      <c r="G674" s="25">
        <f t="shared" si="8"/>
        <v>2.165127020785218E-2</v>
      </c>
    </row>
    <row r="675" spans="1:7">
      <c r="A675" s="64">
        <v>69.92</v>
      </c>
      <c r="B675" s="64">
        <v>71.715000000000003</v>
      </c>
      <c r="C675" s="64">
        <v>69.88</v>
      </c>
      <c r="D675" s="64">
        <v>71.290000000000006</v>
      </c>
      <c r="E675" s="64">
        <v>4536442</v>
      </c>
      <c r="F675" s="64" t="s">
        <v>673</v>
      </c>
      <c r="G675" s="25">
        <f t="shared" si="8"/>
        <v>-1.9217281526160868E-2</v>
      </c>
    </row>
    <row r="676" spans="1:7">
      <c r="A676" s="64">
        <v>71.14</v>
      </c>
      <c r="B676" s="64">
        <v>72.569999999999993</v>
      </c>
      <c r="C676" s="64">
        <v>69.2</v>
      </c>
      <c r="D676" s="64">
        <v>72.510000000000005</v>
      </c>
      <c r="E676" s="64">
        <v>4111579</v>
      </c>
      <c r="F676" s="64" t="s">
        <v>674</v>
      </c>
      <c r="G676" s="25">
        <f t="shared" si="8"/>
        <v>-1.8893945662667333E-2</v>
      </c>
    </row>
    <row r="677" spans="1:7">
      <c r="A677" s="64">
        <v>72.91</v>
      </c>
      <c r="B677" s="64">
        <v>73.319999999999993</v>
      </c>
      <c r="C677" s="64">
        <v>71.010000000000005</v>
      </c>
      <c r="D677" s="64">
        <v>72.680000000000007</v>
      </c>
      <c r="E677" s="64">
        <v>5807229</v>
      </c>
      <c r="F677" s="64" t="s">
        <v>675</v>
      </c>
      <c r="G677" s="25">
        <f t="shared" si="8"/>
        <v>3.1645569620251113E-3</v>
      </c>
    </row>
    <row r="678" spans="1:7">
      <c r="A678" s="64">
        <v>72.900000000000006</v>
      </c>
      <c r="B678" s="64">
        <v>73.53</v>
      </c>
      <c r="C678" s="64">
        <v>72.17</v>
      </c>
      <c r="D678" s="64">
        <v>73.17</v>
      </c>
      <c r="E678" s="64">
        <v>3527310</v>
      </c>
      <c r="F678" s="64" t="s">
        <v>676</v>
      </c>
      <c r="G678" s="25">
        <f t="shared" si="8"/>
        <v>-3.6900369003689537E-3</v>
      </c>
    </row>
    <row r="679" spans="1:7">
      <c r="A679" s="64">
        <v>73.7</v>
      </c>
      <c r="B679" s="64">
        <v>74.37</v>
      </c>
      <c r="C679" s="64">
        <v>72.03</v>
      </c>
      <c r="D679" s="64">
        <v>72.03</v>
      </c>
      <c r="E679" s="64">
        <v>4670605</v>
      </c>
      <c r="F679" s="64" t="s">
        <v>677</v>
      </c>
      <c r="G679" s="25">
        <f t="shared" si="8"/>
        <v>2.3184784117728841E-2</v>
      </c>
    </row>
    <row r="680" spans="1:7">
      <c r="A680" s="64">
        <v>72.2</v>
      </c>
      <c r="B680" s="64">
        <v>72.540000000000006</v>
      </c>
      <c r="C680" s="64">
        <v>70.924999999999997</v>
      </c>
      <c r="D680" s="64">
        <v>71.239999999999995</v>
      </c>
      <c r="E680" s="64">
        <v>4718230</v>
      </c>
      <c r="F680" s="64" t="s">
        <v>678</v>
      </c>
      <c r="G680" s="25">
        <f t="shared" si="8"/>
        <v>1.3475575519371175E-2</v>
      </c>
    </row>
    <row r="681" spans="1:7">
      <c r="A681" s="64">
        <v>71.27</v>
      </c>
      <c r="B681" s="64">
        <v>71.38</v>
      </c>
      <c r="C681" s="64">
        <v>69.13</v>
      </c>
      <c r="D681" s="64">
        <v>69.790000000000006</v>
      </c>
      <c r="E681" s="64">
        <v>5147287</v>
      </c>
      <c r="F681" s="64" t="s">
        <v>679</v>
      </c>
      <c r="G681" s="25">
        <f t="shared" si="8"/>
        <v>2.1206476572574795E-2</v>
      </c>
    </row>
    <row r="682" spans="1:7">
      <c r="A682" s="64">
        <v>69.599999999999994</v>
      </c>
      <c r="B682" s="64">
        <v>70.174999999999997</v>
      </c>
      <c r="C682" s="64">
        <v>68.61</v>
      </c>
      <c r="D682" s="64">
        <v>68.61</v>
      </c>
      <c r="E682" s="64">
        <v>4559036</v>
      </c>
      <c r="F682" s="64" t="s">
        <v>680</v>
      </c>
      <c r="G682" s="25">
        <f t="shared" si="8"/>
        <v>1.4429383471797008E-2</v>
      </c>
    </row>
    <row r="683" spans="1:7">
      <c r="A683" s="64">
        <v>69.180000000000007</v>
      </c>
      <c r="B683" s="64">
        <v>69.22</v>
      </c>
      <c r="C683" s="64">
        <v>68.39</v>
      </c>
      <c r="D683" s="64">
        <v>68.86</v>
      </c>
      <c r="E683" s="64">
        <v>3154513</v>
      </c>
      <c r="F683" s="64" t="s">
        <v>681</v>
      </c>
      <c r="G683" s="25">
        <f t="shared" si="8"/>
        <v>4.6471100784200026E-3</v>
      </c>
    </row>
    <row r="684" spans="1:7">
      <c r="A684" s="64">
        <v>69.28</v>
      </c>
      <c r="B684" s="64">
        <v>70.44</v>
      </c>
      <c r="C684" s="64">
        <v>69.105000000000004</v>
      </c>
      <c r="D684" s="64">
        <v>70.31</v>
      </c>
      <c r="E684" s="64">
        <v>3608730</v>
      </c>
      <c r="F684" s="64" t="s">
        <v>682</v>
      </c>
      <c r="G684" s="25">
        <f t="shared" si="8"/>
        <v>-1.4649409756791409E-2</v>
      </c>
    </row>
    <row r="685" spans="1:7">
      <c r="A685" s="64">
        <v>69.959999999999994</v>
      </c>
      <c r="B685" s="64">
        <v>70.3</v>
      </c>
      <c r="C685" s="64">
        <v>69.12</v>
      </c>
      <c r="D685" s="64">
        <v>70.06</v>
      </c>
      <c r="E685" s="64">
        <v>5230690</v>
      </c>
      <c r="F685" s="64" t="s">
        <v>683</v>
      </c>
      <c r="G685" s="25">
        <f t="shared" si="8"/>
        <v>-1.4273479874394868E-3</v>
      </c>
    </row>
    <row r="686" spans="1:7">
      <c r="A686" s="64">
        <v>70.11</v>
      </c>
      <c r="B686" s="64">
        <v>71.86</v>
      </c>
      <c r="C686" s="64">
        <v>69.55</v>
      </c>
      <c r="D686" s="64">
        <v>70.98</v>
      </c>
      <c r="E686" s="64">
        <v>2972470</v>
      </c>
      <c r="F686" s="64" t="s">
        <v>684</v>
      </c>
      <c r="G686" s="25">
        <f t="shared" si="8"/>
        <v>-1.2256973795435444E-2</v>
      </c>
    </row>
    <row r="687" spans="1:7">
      <c r="A687" s="64">
        <v>70.37</v>
      </c>
      <c r="B687" s="64">
        <v>70.97</v>
      </c>
      <c r="C687" s="64">
        <v>69.325000000000003</v>
      </c>
      <c r="D687" s="64">
        <v>69.41</v>
      </c>
      <c r="E687" s="64">
        <v>4219134</v>
      </c>
      <c r="F687" s="64" t="s">
        <v>685</v>
      </c>
      <c r="G687" s="25">
        <f t="shared" si="8"/>
        <v>1.3830860106613052E-2</v>
      </c>
    </row>
    <row r="688" spans="1:7">
      <c r="A688" s="64">
        <v>69.459999999999994</v>
      </c>
      <c r="B688" s="64">
        <v>69.69</v>
      </c>
      <c r="C688" s="64">
        <v>68.95</v>
      </c>
      <c r="D688" s="64">
        <v>69.349999999999994</v>
      </c>
      <c r="E688" s="64">
        <v>3139240</v>
      </c>
      <c r="F688" s="64" t="s">
        <v>686</v>
      </c>
      <c r="G688" s="25">
        <f t="shared" si="8"/>
        <v>1.5861571737563196E-3</v>
      </c>
    </row>
    <row r="689" spans="1:7">
      <c r="A689" s="64">
        <v>69.66</v>
      </c>
      <c r="B689" s="64">
        <v>70.734999999999999</v>
      </c>
      <c r="C689" s="64">
        <v>69.53</v>
      </c>
      <c r="D689" s="64">
        <v>70.5</v>
      </c>
      <c r="E689" s="64">
        <v>3077771</v>
      </c>
      <c r="F689" s="64" t="s">
        <v>687</v>
      </c>
      <c r="G689" s="25">
        <f t="shared" si="8"/>
        <v>-1.191489361702136E-2</v>
      </c>
    </row>
    <row r="690" spans="1:7">
      <c r="A690" s="64">
        <v>70.180000000000007</v>
      </c>
      <c r="B690" s="64">
        <v>71.89</v>
      </c>
      <c r="C690" s="64">
        <v>70.034999999999997</v>
      </c>
      <c r="D690" s="64">
        <v>71.790000000000006</v>
      </c>
      <c r="E690" s="64">
        <v>3012181</v>
      </c>
      <c r="F690" s="64" t="s">
        <v>688</v>
      </c>
      <c r="G690" s="25">
        <f t="shared" si="8"/>
        <v>-2.2426521799693511E-2</v>
      </c>
    </row>
    <row r="691" spans="1:7">
      <c r="A691" s="64">
        <v>71.95</v>
      </c>
      <c r="B691" s="64">
        <v>73.525000000000006</v>
      </c>
      <c r="C691" s="64">
        <v>71.92</v>
      </c>
      <c r="D691" s="64">
        <v>73.36</v>
      </c>
      <c r="E691" s="64">
        <v>3286668</v>
      </c>
      <c r="F691" s="64" t="s">
        <v>689</v>
      </c>
      <c r="G691" s="25">
        <f t="shared" si="8"/>
        <v>-1.9220283533260552E-2</v>
      </c>
    </row>
    <row r="692" spans="1:7">
      <c r="A692" s="64">
        <v>73.02</v>
      </c>
      <c r="B692" s="64">
        <v>73.239999999999995</v>
      </c>
      <c r="C692" s="64">
        <v>71.72</v>
      </c>
      <c r="D692" s="64">
        <v>72.25</v>
      </c>
      <c r="E692" s="64">
        <v>2971530</v>
      </c>
      <c r="F692" s="64" t="s">
        <v>690</v>
      </c>
      <c r="G692" s="25">
        <f t="shared" si="8"/>
        <v>1.0657439446366768E-2</v>
      </c>
    </row>
    <row r="693" spans="1:7">
      <c r="A693" s="64">
        <v>72.94</v>
      </c>
      <c r="B693" s="64">
        <v>73.11</v>
      </c>
      <c r="C693" s="64">
        <v>71.73</v>
      </c>
      <c r="D693" s="64">
        <v>72.34</v>
      </c>
      <c r="E693" s="64">
        <v>4076437</v>
      </c>
      <c r="F693" s="64" t="s">
        <v>691</v>
      </c>
      <c r="G693" s="25">
        <f t="shared" si="8"/>
        <v>8.2941664362730094E-3</v>
      </c>
    </row>
    <row r="694" spans="1:7">
      <c r="A694" s="64">
        <v>73.2</v>
      </c>
      <c r="B694" s="64">
        <v>74.53</v>
      </c>
      <c r="C694" s="64">
        <v>73.13</v>
      </c>
      <c r="D694" s="64">
        <v>73.88</v>
      </c>
      <c r="E694" s="64">
        <v>3985765</v>
      </c>
      <c r="F694" s="64" t="s">
        <v>692</v>
      </c>
      <c r="G694" s="25">
        <f t="shared" si="8"/>
        <v>-9.2041147807253587E-3</v>
      </c>
    </row>
    <row r="695" spans="1:7">
      <c r="A695" s="64">
        <v>74.02</v>
      </c>
      <c r="B695" s="64">
        <v>74.599999999999994</v>
      </c>
      <c r="C695" s="64">
        <v>73.084999999999994</v>
      </c>
      <c r="D695" s="64">
        <v>73.709999999999994</v>
      </c>
      <c r="E695" s="64">
        <v>2810578</v>
      </c>
      <c r="F695" s="64" t="s">
        <v>693</v>
      </c>
      <c r="G695" s="25">
        <f t="shared" si="8"/>
        <v>4.2056708723374747E-3</v>
      </c>
    </row>
    <row r="696" spans="1:7">
      <c r="A696" s="64">
        <v>73.17</v>
      </c>
      <c r="B696" s="64">
        <v>73.53</v>
      </c>
      <c r="C696" s="64">
        <v>72.760000000000005</v>
      </c>
      <c r="D696" s="64">
        <v>73.010000000000005</v>
      </c>
      <c r="E696" s="64">
        <v>3031374</v>
      </c>
      <c r="F696" s="64" t="s">
        <v>694</v>
      </c>
      <c r="G696" s="25">
        <f t="shared" si="8"/>
        <v>2.1914806190932445E-3</v>
      </c>
    </row>
    <row r="697" spans="1:7">
      <c r="A697" s="64">
        <v>73.37</v>
      </c>
      <c r="B697" s="64">
        <v>74.944999999999993</v>
      </c>
      <c r="C697" s="64">
        <v>73.06</v>
      </c>
      <c r="D697" s="64">
        <v>74.47</v>
      </c>
      <c r="E697" s="64">
        <v>3237862</v>
      </c>
      <c r="F697" s="64" t="s">
        <v>695</v>
      </c>
      <c r="G697" s="25">
        <f t="shared" si="8"/>
        <v>-1.477104874446078E-2</v>
      </c>
    </row>
    <row r="698" spans="1:7">
      <c r="A698" s="64">
        <v>74.87</v>
      </c>
      <c r="B698" s="64">
        <v>75.39</v>
      </c>
      <c r="C698" s="64">
        <v>73.989999999999995</v>
      </c>
      <c r="D698" s="64">
        <v>74.010000000000005</v>
      </c>
      <c r="E698" s="64">
        <v>3103432</v>
      </c>
      <c r="F698" s="64" t="s">
        <v>696</v>
      </c>
      <c r="G698" s="25">
        <f t="shared" si="8"/>
        <v>1.1620051344412907E-2</v>
      </c>
    </row>
    <row r="699" spans="1:7">
      <c r="A699" s="64">
        <v>74.069999999999993</v>
      </c>
      <c r="B699" s="64">
        <v>76</v>
      </c>
      <c r="C699" s="64">
        <v>73.94</v>
      </c>
      <c r="D699" s="64">
        <v>76</v>
      </c>
      <c r="E699" s="64">
        <v>3779762</v>
      </c>
      <c r="F699" s="64" t="s">
        <v>697</v>
      </c>
      <c r="G699" s="25">
        <f t="shared" si="8"/>
        <v>-2.5394736842105359E-2</v>
      </c>
    </row>
    <row r="700" spans="1:7">
      <c r="A700" s="64">
        <v>76.09</v>
      </c>
      <c r="B700" s="64">
        <v>77.41</v>
      </c>
      <c r="C700" s="64">
        <v>75.88</v>
      </c>
      <c r="D700" s="64">
        <v>77.03</v>
      </c>
      <c r="E700" s="64">
        <v>3275776</v>
      </c>
      <c r="F700" s="64" t="s">
        <v>698</v>
      </c>
      <c r="G700" s="25">
        <f t="shared" si="8"/>
        <v>-1.2203037777489212E-2</v>
      </c>
    </row>
    <row r="701" spans="1:7">
      <c r="A701" s="64">
        <v>76.959999999999994</v>
      </c>
      <c r="B701" s="64">
        <v>77.16</v>
      </c>
      <c r="C701" s="64">
        <v>75.78</v>
      </c>
      <c r="D701" s="64">
        <v>76.14</v>
      </c>
      <c r="E701" s="64">
        <v>3396297</v>
      </c>
      <c r="F701" s="64" t="s">
        <v>699</v>
      </c>
      <c r="G701" s="25">
        <f t="shared" si="8"/>
        <v>1.0769634883109891E-2</v>
      </c>
    </row>
    <row r="702" spans="1:7">
      <c r="A702" s="64">
        <v>75.97</v>
      </c>
      <c r="B702" s="64">
        <v>76.400000000000006</v>
      </c>
      <c r="C702" s="64">
        <v>75.34</v>
      </c>
      <c r="D702" s="64">
        <v>76.27</v>
      </c>
      <c r="E702" s="64">
        <v>4630193</v>
      </c>
      <c r="F702" s="64" t="s">
        <v>700</v>
      </c>
      <c r="G702" s="25">
        <f t="shared" si="8"/>
        <v>-3.9333945194702791E-3</v>
      </c>
    </row>
    <row r="703" spans="1:7">
      <c r="A703" s="64">
        <v>76.38</v>
      </c>
      <c r="B703" s="64">
        <v>77.2</v>
      </c>
      <c r="C703" s="64">
        <v>75.849999999999994</v>
      </c>
      <c r="D703" s="64">
        <v>77.180000000000007</v>
      </c>
      <c r="E703" s="64">
        <v>2388904</v>
      </c>
      <c r="F703" s="64" t="s">
        <v>701</v>
      </c>
      <c r="G703" s="25">
        <f t="shared" ref="G703:G766" si="9">A703/D703-1</f>
        <v>-1.0365379632029215E-2</v>
      </c>
    </row>
    <row r="704" spans="1:7">
      <c r="A704" s="64">
        <v>76.47</v>
      </c>
      <c r="B704" s="64">
        <v>78.040000000000006</v>
      </c>
      <c r="C704" s="64">
        <v>76.42</v>
      </c>
      <c r="D704" s="64">
        <v>77.790000000000006</v>
      </c>
      <c r="E704" s="64">
        <v>2739517</v>
      </c>
      <c r="F704" s="64" t="s">
        <v>702</v>
      </c>
      <c r="G704" s="25">
        <f t="shared" si="9"/>
        <v>-1.6968762051677633E-2</v>
      </c>
    </row>
    <row r="705" spans="1:7">
      <c r="A705" s="64">
        <v>77.819999999999993</v>
      </c>
      <c r="B705" s="64">
        <v>78.619</v>
      </c>
      <c r="C705" s="64">
        <v>77.760000000000005</v>
      </c>
      <c r="D705" s="64">
        <v>77.88</v>
      </c>
      <c r="E705" s="64">
        <v>2263089</v>
      </c>
      <c r="F705" s="64" t="s">
        <v>703</v>
      </c>
      <c r="G705" s="25">
        <f t="shared" si="9"/>
        <v>-7.7041602465333092E-4</v>
      </c>
    </row>
    <row r="706" spans="1:7">
      <c r="A706" s="64">
        <v>77.83</v>
      </c>
      <c r="B706" s="64">
        <v>77.88</v>
      </c>
      <c r="C706" s="64">
        <v>76.03</v>
      </c>
      <c r="D706" s="64">
        <v>76.260000000000005</v>
      </c>
      <c r="E706" s="64">
        <v>3265328</v>
      </c>
      <c r="F706" s="64" t="s">
        <v>704</v>
      </c>
      <c r="G706" s="25">
        <f t="shared" si="9"/>
        <v>2.0587463939155448E-2</v>
      </c>
    </row>
    <row r="707" spans="1:7">
      <c r="A707" s="64">
        <v>76.03</v>
      </c>
      <c r="B707" s="64">
        <v>77.5</v>
      </c>
      <c r="C707" s="64">
        <v>75.52</v>
      </c>
      <c r="D707" s="64">
        <v>77.239999999999995</v>
      </c>
      <c r="E707" s="64">
        <v>2793382</v>
      </c>
      <c r="F707" s="64" t="s">
        <v>705</v>
      </c>
      <c r="G707" s="25">
        <f t="shared" si="9"/>
        <v>-1.5665458311755476E-2</v>
      </c>
    </row>
    <row r="708" spans="1:7">
      <c r="A708" s="64">
        <v>76.17</v>
      </c>
      <c r="B708" s="64">
        <v>76.260000000000005</v>
      </c>
      <c r="C708" s="64">
        <v>74.900000000000006</v>
      </c>
      <c r="D708" s="64">
        <v>75.31</v>
      </c>
      <c r="E708" s="64">
        <v>2112785</v>
      </c>
      <c r="F708" s="64" t="s">
        <v>706</v>
      </c>
      <c r="G708" s="25">
        <f t="shared" si="9"/>
        <v>1.1419466206347151E-2</v>
      </c>
    </row>
    <row r="709" spans="1:7">
      <c r="A709" s="64">
        <v>75.010000000000005</v>
      </c>
      <c r="B709" s="64">
        <v>76.489999999999995</v>
      </c>
      <c r="C709" s="64">
        <v>74.959999999999994</v>
      </c>
      <c r="D709" s="64">
        <v>76.25</v>
      </c>
      <c r="E709" s="64">
        <v>2793650</v>
      </c>
      <c r="F709" s="64" t="s">
        <v>707</v>
      </c>
      <c r="G709" s="25">
        <f t="shared" si="9"/>
        <v>-1.6262295081967193E-2</v>
      </c>
    </row>
    <row r="710" spans="1:7">
      <c r="A710" s="64">
        <v>75.900000000000006</v>
      </c>
      <c r="B710" s="64">
        <v>76.459999999999994</v>
      </c>
      <c r="C710" s="64">
        <v>75.349999999999994</v>
      </c>
      <c r="D710" s="64">
        <v>76.22</v>
      </c>
      <c r="E710" s="64">
        <v>3556215</v>
      </c>
      <c r="F710" s="64" t="s">
        <v>708</v>
      </c>
      <c r="G710" s="25">
        <f t="shared" si="9"/>
        <v>-4.1983731304118255E-3</v>
      </c>
    </row>
    <row r="711" spans="1:7">
      <c r="A711" s="64">
        <v>75.97</v>
      </c>
      <c r="B711" s="64">
        <v>76.42</v>
      </c>
      <c r="C711" s="64">
        <v>75.56</v>
      </c>
      <c r="D711" s="64">
        <v>76.03</v>
      </c>
      <c r="E711" s="64">
        <v>3440968</v>
      </c>
      <c r="F711" s="64" t="s">
        <v>709</v>
      </c>
      <c r="G711" s="25">
        <f t="shared" si="9"/>
        <v>-7.8916217282654078E-4</v>
      </c>
    </row>
    <row r="712" spans="1:7">
      <c r="A712" s="64">
        <v>76.33</v>
      </c>
      <c r="B712" s="64">
        <v>76.97</v>
      </c>
      <c r="C712" s="64">
        <v>75.665000000000006</v>
      </c>
      <c r="D712" s="64">
        <v>76.83</v>
      </c>
      <c r="E712" s="64">
        <v>3315554</v>
      </c>
      <c r="F712" s="64" t="s">
        <v>710</v>
      </c>
      <c r="G712" s="25">
        <f t="shared" si="9"/>
        <v>-6.5078745281791361E-3</v>
      </c>
    </row>
    <row r="713" spans="1:7">
      <c r="A713" s="64">
        <v>76.58</v>
      </c>
      <c r="B713" s="64">
        <v>77.19</v>
      </c>
      <c r="C713" s="64">
        <v>76.025000000000006</v>
      </c>
      <c r="D713" s="64">
        <v>76.5</v>
      </c>
      <c r="E713" s="64">
        <v>3156480</v>
      </c>
      <c r="F713" s="64" t="s">
        <v>711</v>
      </c>
      <c r="G713" s="25">
        <f t="shared" si="9"/>
        <v>1.0457516339870132E-3</v>
      </c>
    </row>
    <row r="714" spans="1:7">
      <c r="A714" s="64">
        <v>76.83</v>
      </c>
      <c r="B714" s="64">
        <v>78.78</v>
      </c>
      <c r="C714" s="64">
        <v>76.7</v>
      </c>
      <c r="D714" s="64">
        <v>78.75</v>
      </c>
      <c r="E714" s="64">
        <v>2980519</v>
      </c>
      <c r="F714" s="64" t="s">
        <v>712</v>
      </c>
      <c r="G714" s="25">
        <f t="shared" si="9"/>
        <v>-2.4380952380952392E-2</v>
      </c>
    </row>
    <row r="715" spans="1:7">
      <c r="A715" s="64">
        <v>78.790000000000006</v>
      </c>
      <c r="B715" s="64">
        <v>79.98</v>
      </c>
      <c r="C715" s="64">
        <v>78.709999999999994</v>
      </c>
      <c r="D715" s="64">
        <v>79.22</v>
      </c>
      <c r="E715" s="64">
        <v>4524344</v>
      </c>
      <c r="F715" s="64" t="s">
        <v>713</v>
      </c>
      <c r="G715" s="25">
        <f t="shared" si="9"/>
        <v>-5.427922241858063E-3</v>
      </c>
    </row>
    <row r="716" spans="1:7">
      <c r="A716" s="64">
        <v>79.86</v>
      </c>
      <c r="B716" s="64">
        <v>80.8</v>
      </c>
      <c r="C716" s="64">
        <v>79.77</v>
      </c>
      <c r="D716" s="64">
        <v>80.47</v>
      </c>
      <c r="E716" s="64">
        <v>4122320</v>
      </c>
      <c r="F716" s="64" t="s">
        <v>714</v>
      </c>
      <c r="G716" s="25">
        <f t="shared" si="9"/>
        <v>-7.5804647694792671E-3</v>
      </c>
    </row>
    <row r="717" spans="1:7">
      <c r="A717" s="64">
        <v>80.53</v>
      </c>
      <c r="B717" s="64">
        <v>80.63</v>
      </c>
      <c r="C717" s="64">
        <v>79.290000000000006</v>
      </c>
      <c r="D717" s="64">
        <v>79.3</v>
      </c>
      <c r="E717" s="64">
        <v>4097323</v>
      </c>
      <c r="F717" s="64" t="s">
        <v>715</v>
      </c>
      <c r="G717" s="25">
        <f t="shared" si="9"/>
        <v>1.5510718789407463E-2</v>
      </c>
    </row>
    <row r="718" spans="1:7">
      <c r="A718" s="64">
        <v>79.41</v>
      </c>
      <c r="B718" s="64">
        <v>79.584999999999994</v>
      </c>
      <c r="C718" s="64">
        <v>77.900000000000006</v>
      </c>
      <c r="D718" s="64">
        <v>78</v>
      </c>
      <c r="E718" s="64">
        <v>3898399</v>
      </c>
      <c r="F718" s="64" t="s">
        <v>716</v>
      </c>
      <c r="G718" s="25">
        <f t="shared" si="9"/>
        <v>1.8076923076923102E-2</v>
      </c>
    </row>
    <row r="719" spans="1:7">
      <c r="A719" s="64">
        <v>78.28</v>
      </c>
      <c r="B719" s="64">
        <v>79.08</v>
      </c>
      <c r="C719" s="64">
        <v>77.935000000000002</v>
      </c>
      <c r="D719" s="64">
        <v>78</v>
      </c>
      <c r="E719" s="64">
        <v>3015823</v>
      </c>
      <c r="F719" s="64" t="s">
        <v>717</v>
      </c>
      <c r="G719" s="25">
        <f t="shared" si="9"/>
        <v>3.5897435897436214E-3</v>
      </c>
    </row>
    <row r="720" spans="1:7">
      <c r="A720" s="64">
        <v>77.97</v>
      </c>
      <c r="B720" s="64">
        <v>79.239999999999995</v>
      </c>
      <c r="C720" s="64">
        <v>77.694999999999993</v>
      </c>
      <c r="D720" s="64">
        <v>78.44</v>
      </c>
      <c r="E720" s="64">
        <v>3159336</v>
      </c>
      <c r="F720" s="64" t="s">
        <v>718</v>
      </c>
      <c r="G720" s="25">
        <f t="shared" si="9"/>
        <v>-5.991840897501266E-3</v>
      </c>
    </row>
    <row r="721" spans="1:7">
      <c r="A721" s="64">
        <v>78.59</v>
      </c>
      <c r="B721" s="64">
        <v>79</v>
      </c>
      <c r="C721" s="64">
        <v>77.16</v>
      </c>
      <c r="D721" s="64">
        <v>79</v>
      </c>
      <c r="E721" s="64">
        <v>4598094</v>
      </c>
      <c r="F721" s="64" t="s">
        <v>719</v>
      </c>
      <c r="G721" s="25">
        <f t="shared" si="9"/>
        <v>-5.18987341772148E-3</v>
      </c>
    </row>
    <row r="722" spans="1:7">
      <c r="A722" s="64">
        <v>79.84</v>
      </c>
      <c r="B722" s="64">
        <v>80.62</v>
      </c>
      <c r="C722" s="64">
        <v>79.48</v>
      </c>
      <c r="D722" s="64">
        <v>79.94</v>
      </c>
      <c r="E722" s="64">
        <v>2612148</v>
      </c>
      <c r="F722" s="64" t="s">
        <v>720</v>
      </c>
      <c r="G722" s="25">
        <f t="shared" si="9"/>
        <v>-1.2509382036526295E-3</v>
      </c>
    </row>
    <row r="723" spans="1:7">
      <c r="A723" s="64">
        <v>79.55</v>
      </c>
      <c r="B723" s="64">
        <v>80.37</v>
      </c>
      <c r="C723" s="64">
        <v>79.325000000000003</v>
      </c>
      <c r="D723" s="64">
        <v>79.69</v>
      </c>
      <c r="E723" s="64">
        <v>3309261</v>
      </c>
      <c r="F723" s="64" t="s">
        <v>721</v>
      </c>
      <c r="G723" s="25">
        <f t="shared" si="9"/>
        <v>-1.7568076295645385E-3</v>
      </c>
    </row>
    <row r="724" spans="1:7">
      <c r="A724" s="64">
        <v>80</v>
      </c>
      <c r="B724" s="64">
        <v>80.643799999999999</v>
      </c>
      <c r="C724" s="64">
        <v>79.3</v>
      </c>
      <c r="D724" s="64">
        <v>80.17</v>
      </c>
      <c r="E724" s="64">
        <v>3131139</v>
      </c>
      <c r="F724" s="64" t="s">
        <v>722</v>
      </c>
      <c r="G724" s="25">
        <f t="shared" si="9"/>
        <v>-2.1204939503555176E-3</v>
      </c>
    </row>
    <row r="725" spans="1:7">
      <c r="A725" s="64">
        <v>80.38</v>
      </c>
      <c r="B725" s="64">
        <v>81.98</v>
      </c>
      <c r="C725" s="64">
        <v>80.290000000000006</v>
      </c>
      <c r="D725" s="64">
        <v>81.45</v>
      </c>
      <c r="E725" s="64">
        <v>3495406</v>
      </c>
      <c r="F725" s="64" t="s">
        <v>723</v>
      </c>
      <c r="G725" s="25">
        <f t="shared" si="9"/>
        <v>-1.3136893799877369E-2</v>
      </c>
    </row>
    <row r="726" spans="1:7">
      <c r="A726" s="64">
        <v>82.05</v>
      </c>
      <c r="B726" s="64">
        <v>82.1</v>
      </c>
      <c r="C726" s="64">
        <v>81.05</v>
      </c>
      <c r="D726" s="64">
        <v>81.5</v>
      </c>
      <c r="E726" s="64">
        <v>3753445</v>
      </c>
      <c r="F726" s="64" t="s">
        <v>724</v>
      </c>
      <c r="G726" s="25">
        <f t="shared" si="9"/>
        <v>6.7484662576686727E-3</v>
      </c>
    </row>
    <row r="727" spans="1:7">
      <c r="A727" s="64">
        <v>82.07</v>
      </c>
      <c r="B727" s="64">
        <v>84.5</v>
      </c>
      <c r="C727" s="64">
        <v>81.819999999999993</v>
      </c>
      <c r="D727" s="64">
        <v>84.35</v>
      </c>
      <c r="E727" s="64">
        <v>4302839</v>
      </c>
      <c r="F727" s="64" t="s">
        <v>725</v>
      </c>
      <c r="G727" s="25">
        <f t="shared" si="9"/>
        <v>-2.7030231179608788E-2</v>
      </c>
    </row>
    <row r="728" spans="1:7">
      <c r="A728" s="64">
        <v>83.74</v>
      </c>
      <c r="B728" s="64">
        <v>84.81</v>
      </c>
      <c r="C728" s="64">
        <v>82.1</v>
      </c>
      <c r="D728" s="64">
        <v>82.94</v>
      </c>
      <c r="E728" s="64">
        <v>5128514</v>
      </c>
      <c r="F728" s="64" t="s">
        <v>726</v>
      </c>
      <c r="G728" s="25">
        <f t="shared" si="9"/>
        <v>9.6455268869062305E-3</v>
      </c>
    </row>
    <row r="729" spans="1:7">
      <c r="A729" s="64">
        <v>82.67</v>
      </c>
      <c r="B729" s="64">
        <v>87.24</v>
      </c>
      <c r="C729" s="64">
        <v>82.570999999999998</v>
      </c>
      <c r="D729" s="64">
        <v>87</v>
      </c>
      <c r="E729" s="64">
        <v>11588723</v>
      </c>
      <c r="F729" s="64" t="s">
        <v>727</v>
      </c>
      <c r="G729" s="25">
        <f t="shared" si="9"/>
        <v>-4.9770114942528698E-2</v>
      </c>
    </row>
    <row r="730" spans="1:7">
      <c r="A730" s="64">
        <v>91.63</v>
      </c>
      <c r="B730" s="64">
        <v>91.94</v>
      </c>
      <c r="C730" s="64">
        <v>90.88</v>
      </c>
      <c r="D730" s="64">
        <v>91.27</v>
      </c>
      <c r="E730" s="64">
        <v>3264052</v>
      </c>
      <c r="F730" s="64" t="s">
        <v>728</v>
      </c>
      <c r="G730" s="25">
        <f t="shared" si="9"/>
        <v>3.9443409663635354E-3</v>
      </c>
    </row>
    <row r="731" spans="1:7">
      <c r="A731" s="64">
        <v>91.68</v>
      </c>
      <c r="B731" s="64">
        <v>92.2</v>
      </c>
      <c r="C731" s="64">
        <v>91.2</v>
      </c>
      <c r="D731" s="64">
        <v>91.39</v>
      </c>
      <c r="E731" s="64">
        <v>2509656</v>
      </c>
      <c r="F731" s="64" t="s">
        <v>729</v>
      </c>
      <c r="G731" s="25">
        <f t="shared" si="9"/>
        <v>3.1732136995294979E-3</v>
      </c>
    </row>
    <row r="732" spans="1:7">
      <c r="A732" s="64">
        <v>91.4</v>
      </c>
      <c r="B732" s="64">
        <v>92.93</v>
      </c>
      <c r="C732" s="64">
        <v>91.35</v>
      </c>
      <c r="D732" s="64">
        <v>92.76</v>
      </c>
      <c r="E732" s="64">
        <v>2860121</v>
      </c>
      <c r="F732" s="64" t="s">
        <v>730</v>
      </c>
      <c r="G732" s="25">
        <f t="shared" si="9"/>
        <v>-1.4661492022423506E-2</v>
      </c>
    </row>
    <row r="733" spans="1:7">
      <c r="A733" s="64">
        <v>92.57</v>
      </c>
      <c r="B733" s="64">
        <v>92.944999999999993</v>
      </c>
      <c r="C733" s="64">
        <v>91.864999999999995</v>
      </c>
      <c r="D733" s="64">
        <v>92.56</v>
      </c>
      <c r="E733" s="64">
        <v>2048765</v>
      </c>
      <c r="F733" s="64" t="s">
        <v>731</v>
      </c>
      <c r="G733" s="25">
        <f t="shared" si="9"/>
        <v>1.0803802938630369E-4</v>
      </c>
    </row>
    <row r="734" spans="1:7">
      <c r="A734" s="64">
        <v>92.65</v>
      </c>
      <c r="B734" s="64">
        <v>93.34</v>
      </c>
      <c r="C734" s="64">
        <v>91.394999999999996</v>
      </c>
      <c r="D734" s="64">
        <v>91.44</v>
      </c>
      <c r="E734" s="64">
        <v>2336983</v>
      </c>
      <c r="F734" s="64" t="s">
        <v>732</v>
      </c>
      <c r="G734" s="25">
        <f t="shared" si="9"/>
        <v>1.3232720909886364E-2</v>
      </c>
    </row>
    <row r="735" spans="1:7">
      <c r="A735" s="64">
        <v>91.62</v>
      </c>
      <c r="B735" s="64">
        <v>93.5</v>
      </c>
      <c r="C735" s="64">
        <v>90.96</v>
      </c>
      <c r="D735" s="64">
        <v>92.91</v>
      </c>
      <c r="E735" s="64">
        <v>2212274</v>
      </c>
      <c r="F735" s="64" t="s">
        <v>733</v>
      </c>
      <c r="G735" s="25">
        <f t="shared" si="9"/>
        <v>-1.3884404262189176E-2</v>
      </c>
    </row>
    <row r="736" spans="1:7">
      <c r="A736" s="64">
        <v>91.99</v>
      </c>
      <c r="B736" s="64">
        <v>92.33</v>
      </c>
      <c r="C736" s="64">
        <v>91.459000000000003</v>
      </c>
      <c r="D736" s="64">
        <v>92.29</v>
      </c>
      <c r="E736" s="64">
        <v>2299458</v>
      </c>
      <c r="F736" s="64" t="s">
        <v>734</v>
      </c>
      <c r="G736" s="25">
        <f t="shared" si="9"/>
        <v>-3.2506230360820343E-3</v>
      </c>
    </row>
    <row r="737" spans="1:7">
      <c r="A737" s="64">
        <v>92.65</v>
      </c>
      <c r="B737" s="64">
        <v>93.534999999999997</v>
      </c>
      <c r="C737" s="64">
        <v>92.29</v>
      </c>
      <c r="D737" s="64">
        <v>92.9</v>
      </c>
      <c r="E737" s="64">
        <v>1591088</v>
      </c>
      <c r="F737" s="64" t="s">
        <v>735</v>
      </c>
      <c r="G737" s="25">
        <f t="shared" si="9"/>
        <v>-2.6910656620021678E-3</v>
      </c>
    </row>
    <row r="738" spans="1:7">
      <c r="A738" s="64">
        <v>93.38</v>
      </c>
      <c r="B738" s="64">
        <v>94.34</v>
      </c>
      <c r="C738" s="64">
        <v>92.61</v>
      </c>
      <c r="D738" s="64">
        <v>93.36</v>
      </c>
      <c r="E738" s="64">
        <v>2599388</v>
      </c>
      <c r="F738" s="64" t="s">
        <v>736</v>
      </c>
      <c r="G738" s="25">
        <f t="shared" si="9"/>
        <v>2.1422450728358911E-4</v>
      </c>
    </row>
    <row r="739" spans="1:7">
      <c r="A739" s="64">
        <v>93.09</v>
      </c>
      <c r="B739" s="64">
        <v>93.87</v>
      </c>
      <c r="C739" s="64">
        <v>92.65</v>
      </c>
      <c r="D739" s="64">
        <v>93.61</v>
      </c>
      <c r="E739" s="64">
        <v>2456340</v>
      </c>
      <c r="F739" s="64" t="s">
        <v>737</v>
      </c>
      <c r="G739" s="25">
        <f t="shared" si="9"/>
        <v>-5.5549620767011421E-3</v>
      </c>
    </row>
    <row r="740" spans="1:7">
      <c r="A740" s="64">
        <v>93.1</v>
      </c>
      <c r="B740" s="64">
        <v>93.48</v>
      </c>
      <c r="C740" s="64">
        <v>92.27</v>
      </c>
      <c r="D740" s="64">
        <v>93.29</v>
      </c>
      <c r="E740" s="64">
        <v>2619967</v>
      </c>
      <c r="F740" s="64" t="s">
        <v>738</v>
      </c>
      <c r="G740" s="25">
        <f t="shared" si="9"/>
        <v>-2.0366598778005507E-3</v>
      </c>
    </row>
    <row r="741" spans="1:7">
      <c r="A741" s="64">
        <v>92.44</v>
      </c>
      <c r="B741" s="64">
        <v>92.61</v>
      </c>
      <c r="C741" s="64">
        <v>91.61</v>
      </c>
      <c r="D741" s="64">
        <v>91.67</v>
      </c>
      <c r="E741" s="64">
        <v>1859105</v>
      </c>
      <c r="F741" s="64" t="s">
        <v>739</v>
      </c>
      <c r="G741" s="25">
        <f t="shared" si="9"/>
        <v>8.3996945565616432E-3</v>
      </c>
    </row>
    <row r="742" spans="1:7">
      <c r="A742" s="64">
        <v>91.64</v>
      </c>
      <c r="B742" s="64">
        <v>92.17</v>
      </c>
      <c r="C742" s="64">
        <v>90.36</v>
      </c>
      <c r="D742" s="64">
        <v>90.52</v>
      </c>
      <c r="E742" s="64">
        <v>3119723</v>
      </c>
      <c r="F742" s="64" t="s">
        <v>740</v>
      </c>
      <c r="G742" s="25">
        <f t="shared" si="9"/>
        <v>1.2372956252761913E-2</v>
      </c>
    </row>
    <row r="743" spans="1:7">
      <c r="A743" s="64">
        <v>90.26</v>
      </c>
      <c r="B743" s="64">
        <v>91.01</v>
      </c>
      <c r="C743" s="64">
        <v>89.65</v>
      </c>
      <c r="D743" s="64">
        <v>90.02</v>
      </c>
      <c r="E743" s="64">
        <v>4082651</v>
      </c>
      <c r="F743" s="64" t="s">
        <v>741</v>
      </c>
      <c r="G743" s="25">
        <f t="shared" si="9"/>
        <v>2.6660742057320608E-3</v>
      </c>
    </row>
    <row r="744" spans="1:7">
      <c r="A744" s="64">
        <v>90.46</v>
      </c>
      <c r="B744" s="64">
        <v>90.88</v>
      </c>
      <c r="C744" s="64">
        <v>89.39</v>
      </c>
      <c r="D744" s="64">
        <v>90</v>
      </c>
      <c r="E744" s="64">
        <v>2289546</v>
      </c>
      <c r="F744" s="64" t="s">
        <v>742</v>
      </c>
      <c r="G744" s="25">
        <f t="shared" si="9"/>
        <v>5.1111111111110663E-3</v>
      </c>
    </row>
    <row r="745" spans="1:7">
      <c r="A745" s="64">
        <v>90.96</v>
      </c>
      <c r="B745" s="64">
        <v>91.65</v>
      </c>
      <c r="C745" s="64">
        <v>90.08</v>
      </c>
      <c r="D745" s="64">
        <v>91.03</v>
      </c>
      <c r="E745" s="64">
        <v>2370841</v>
      </c>
      <c r="F745" s="64" t="s">
        <v>743</v>
      </c>
      <c r="G745" s="25">
        <f t="shared" si="9"/>
        <v>-7.6897726024394153E-4</v>
      </c>
    </row>
    <row r="746" spans="1:7">
      <c r="A746" s="64">
        <v>91.49</v>
      </c>
      <c r="B746" s="64">
        <v>93.665000000000006</v>
      </c>
      <c r="C746" s="64">
        <v>90.76</v>
      </c>
      <c r="D746" s="64">
        <v>93.62</v>
      </c>
      <c r="E746" s="64">
        <v>1725482</v>
      </c>
      <c r="F746" s="64" t="s">
        <v>744</v>
      </c>
      <c r="G746" s="25">
        <f t="shared" si="9"/>
        <v>-2.2751548814356037E-2</v>
      </c>
    </row>
    <row r="747" spans="1:7">
      <c r="A747" s="64">
        <v>94.33</v>
      </c>
      <c r="B747" s="64">
        <v>94.87</v>
      </c>
      <c r="C747" s="64">
        <v>93.13</v>
      </c>
      <c r="D747" s="64">
        <v>93.27</v>
      </c>
      <c r="E747" s="64">
        <v>4479401</v>
      </c>
      <c r="F747" s="64" t="s">
        <v>745</v>
      </c>
      <c r="G747" s="25">
        <f t="shared" si="9"/>
        <v>1.1364854722847761E-2</v>
      </c>
    </row>
    <row r="748" spans="1:7">
      <c r="A748" s="64">
        <v>92.02</v>
      </c>
      <c r="B748" s="64">
        <v>92.06</v>
      </c>
      <c r="C748" s="64">
        <v>90.26</v>
      </c>
      <c r="D748" s="64">
        <v>90.41</v>
      </c>
      <c r="E748" s="64">
        <v>2710782</v>
      </c>
      <c r="F748" s="64" t="s">
        <v>746</v>
      </c>
      <c r="G748" s="25">
        <f t="shared" si="9"/>
        <v>1.7807764627806755E-2</v>
      </c>
    </row>
    <row r="749" spans="1:7">
      <c r="A749" s="64">
        <v>90.44</v>
      </c>
      <c r="B749" s="64">
        <v>90.64</v>
      </c>
      <c r="C749" s="64">
        <v>89.69</v>
      </c>
      <c r="D749" s="64">
        <v>90.05</v>
      </c>
      <c r="E749" s="64">
        <v>1512397</v>
      </c>
      <c r="F749" s="64" t="s">
        <v>747</v>
      </c>
      <c r="G749" s="25">
        <f t="shared" si="9"/>
        <v>4.3309272626319562E-3</v>
      </c>
    </row>
    <row r="750" spans="1:7">
      <c r="A750" s="64">
        <v>90.19</v>
      </c>
      <c r="B750" s="64">
        <v>90.4</v>
      </c>
      <c r="C750" s="64">
        <v>89.087500000000006</v>
      </c>
      <c r="D750" s="64">
        <v>90.15</v>
      </c>
      <c r="E750" s="64">
        <v>2005455</v>
      </c>
      <c r="F750" s="64" t="s">
        <v>748</v>
      </c>
      <c r="G750" s="25">
        <f t="shared" si="9"/>
        <v>4.4370493621737062E-4</v>
      </c>
    </row>
    <row r="751" spans="1:7">
      <c r="A751" s="64">
        <v>89.49</v>
      </c>
      <c r="B751" s="64">
        <v>90.389499999999998</v>
      </c>
      <c r="C751" s="64">
        <v>88.66</v>
      </c>
      <c r="D751" s="64">
        <v>90.25</v>
      </c>
      <c r="E751" s="64">
        <v>1945447</v>
      </c>
      <c r="F751" s="64" t="s">
        <v>749</v>
      </c>
      <c r="G751" s="25">
        <f t="shared" si="9"/>
        <v>-8.4210526315789958E-3</v>
      </c>
    </row>
    <row r="752" spans="1:7">
      <c r="A752" s="64">
        <v>90.34</v>
      </c>
      <c r="B752" s="64">
        <v>91.004999999999995</v>
      </c>
      <c r="C752" s="64">
        <v>90.18</v>
      </c>
      <c r="D752" s="64">
        <v>90.67</v>
      </c>
      <c r="E752" s="64">
        <v>3346076</v>
      </c>
      <c r="F752" s="64" t="s">
        <v>750</v>
      </c>
      <c r="G752" s="25">
        <f t="shared" si="9"/>
        <v>-3.6395720745561189E-3</v>
      </c>
    </row>
    <row r="753" spans="1:7">
      <c r="A753" s="64">
        <v>91.33</v>
      </c>
      <c r="B753" s="64">
        <v>91.38</v>
      </c>
      <c r="C753" s="64">
        <v>90.55</v>
      </c>
      <c r="D753" s="64">
        <v>91.3</v>
      </c>
      <c r="E753" s="64">
        <v>1889187</v>
      </c>
      <c r="F753" s="64" t="s">
        <v>751</v>
      </c>
      <c r="G753" s="25">
        <f t="shared" si="9"/>
        <v>3.2858707557514855E-4</v>
      </c>
    </row>
    <row r="754" spans="1:7">
      <c r="A754" s="64">
        <v>91.09</v>
      </c>
      <c r="B754" s="64">
        <v>92.25</v>
      </c>
      <c r="C754" s="64">
        <v>90.33</v>
      </c>
      <c r="D754" s="64">
        <v>91.52</v>
      </c>
      <c r="E754" s="64">
        <v>2177188</v>
      </c>
      <c r="F754" s="64" t="s">
        <v>752</v>
      </c>
      <c r="G754" s="25">
        <f t="shared" si="9"/>
        <v>-4.6984265734264508E-3</v>
      </c>
    </row>
    <row r="755" spans="1:7">
      <c r="A755" s="64">
        <v>91.91</v>
      </c>
      <c r="B755" s="64">
        <v>92.06</v>
      </c>
      <c r="C755" s="64">
        <v>89.57</v>
      </c>
      <c r="D755" s="64">
        <v>90.07</v>
      </c>
      <c r="E755" s="64">
        <v>2694539</v>
      </c>
      <c r="F755" s="64" t="s">
        <v>753</v>
      </c>
      <c r="G755" s="25">
        <f t="shared" si="9"/>
        <v>2.0428555567891582E-2</v>
      </c>
    </row>
    <row r="756" spans="1:7">
      <c r="A756" s="64">
        <v>91.94</v>
      </c>
      <c r="B756" s="64">
        <v>92.93</v>
      </c>
      <c r="C756" s="64">
        <v>91.62</v>
      </c>
      <c r="D756" s="64">
        <v>91.98</v>
      </c>
      <c r="E756" s="64">
        <v>6597770</v>
      </c>
      <c r="F756" s="64" t="s">
        <v>754</v>
      </c>
      <c r="G756" s="25">
        <f t="shared" si="9"/>
        <v>-4.3487714720602533E-4</v>
      </c>
    </row>
    <row r="757" spans="1:7">
      <c r="A757" s="64">
        <v>91.29</v>
      </c>
      <c r="B757" s="64">
        <v>91.64</v>
      </c>
      <c r="C757" s="64">
        <v>89.13</v>
      </c>
      <c r="D757" s="64">
        <v>90.2</v>
      </c>
      <c r="E757" s="64">
        <v>3577671</v>
      </c>
      <c r="F757" s="64" t="s">
        <v>755</v>
      </c>
      <c r="G757" s="25">
        <f t="shared" si="9"/>
        <v>1.2084257206208537E-2</v>
      </c>
    </row>
    <row r="758" spans="1:7">
      <c r="A758" s="64">
        <v>90.53</v>
      </c>
      <c r="B758" s="64">
        <v>92.484999999999999</v>
      </c>
      <c r="C758" s="64">
        <v>89.4</v>
      </c>
      <c r="D758" s="64">
        <v>89.77</v>
      </c>
      <c r="E758" s="64">
        <v>5316921</v>
      </c>
      <c r="F758" s="64" t="s">
        <v>756</v>
      </c>
      <c r="G758" s="25">
        <f t="shared" si="9"/>
        <v>8.4660799821767441E-3</v>
      </c>
    </row>
    <row r="759" spans="1:7">
      <c r="A759" s="64">
        <v>87.4</v>
      </c>
      <c r="B759" s="64">
        <v>87.5</v>
      </c>
      <c r="C759" s="64">
        <v>85.72</v>
      </c>
      <c r="D759" s="64">
        <v>85.75</v>
      </c>
      <c r="E759" s="64">
        <v>2615251</v>
      </c>
      <c r="F759" s="64" t="s">
        <v>757</v>
      </c>
      <c r="G759" s="25">
        <f t="shared" si="9"/>
        <v>1.9241982507288702E-2</v>
      </c>
    </row>
    <row r="760" spans="1:7">
      <c r="A760" s="64">
        <v>85.57</v>
      </c>
      <c r="B760" s="64">
        <v>85.79</v>
      </c>
      <c r="C760" s="64">
        <v>83.61</v>
      </c>
      <c r="D760" s="64">
        <v>83.79</v>
      </c>
      <c r="E760" s="64">
        <v>2581914</v>
      </c>
      <c r="F760" s="64" t="s">
        <v>758</v>
      </c>
      <c r="G760" s="25">
        <f t="shared" si="9"/>
        <v>2.1243585153359446E-2</v>
      </c>
    </row>
    <row r="761" spans="1:7">
      <c r="A761" s="64">
        <v>84.1</v>
      </c>
      <c r="B761" s="64">
        <v>84.55</v>
      </c>
      <c r="C761" s="64">
        <v>83.24</v>
      </c>
      <c r="D761" s="64">
        <v>84.55</v>
      </c>
      <c r="E761" s="64">
        <v>2150028</v>
      </c>
      <c r="F761" s="64" t="s">
        <v>759</v>
      </c>
      <c r="G761" s="25">
        <f t="shared" si="9"/>
        <v>-5.3222945002957545E-3</v>
      </c>
    </row>
    <row r="762" spans="1:7">
      <c r="A762" s="64">
        <v>83.96</v>
      </c>
      <c r="B762" s="64">
        <v>84.32</v>
      </c>
      <c r="C762" s="64">
        <v>83.04</v>
      </c>
      <c r="D762" s="64">
        <v>83.48</v>
      </c>
      <c r="E762" s="64">
        <v>1562309</v>
      </c>
      <c r="F762" s="64" t="s">
        <v>760</v>
      </c>
      <c r="G762" s="25">
        <f t="shared" si="9"/>
        <v>5.7498802108288949E-3</v>
      </c>
    </row>
    <row r="763" spans="1:7">
      <c r="A763" s="64">
        <v>83.48</v>
      </c>
      <c r="B763" s="64">
        <v>85.47</v>
      </c>
      <c r="C763" s="64">
        <v>82.69</v>
      </c>
      <c r="D763" s="64">
        <v>85.355000000000004</v>
      </c>
      <c r="E763" s="64">
        <v>2255249</v>
      </c>
      <c r="F763" s="64" t="s">
        <v>761</v>
      </c>
      <c r="G763" s="25">
        <f t="shared" si="9"/>
        <v>-2.1967078671431106E-2</v>
      </c>
    </row>
    <row r="764" spans="1:7">
      <c r="A764" s="64">
        <v>85.18</v>
      </c>
      <c r="B764" s="64">
        <v>86.76</v>
      </c>
      <c r="C764" s="64">
        <v>84.85</v>
      </c>
      <c r="D764" s="64">
        <v>86.43</v>
      </c>
      <c r="E764" s="64">
        <v>1782289</v>
      </c>
      <c r="F764" s="64" t="s">
        <v>762</v>
      </c>
      <c r="G764" s="25">
        <f t="shared" si="9"/>
        <v>-1.4462570866597191E-2</v>
      </c>
    </row>
    <row r="765" spans="1:7">
      <c r="A765" s="64">
        <v>85.94</v>
      </c>
      <c r="B765" s="64">
        <v>85.97</v>
      </c>
      <c r="C765" s="64">
        <v>84.86</v>
      </c>
      <c r="D765" s="64">
        <v>84.94</v>
      </c>
      <c r="E765" s="64">
        <v>1831831</v>
      </c>
      <c r="F765" s="64" t="s">
        <v>763</v>
      </c>
      <c r="G765" s="25">
        <f t="shared" si="9"/>
        <v>1.1773016246762413E-2</v>
      </c>
    </row>
    <row r="766" spans="1:7">
      <c r="A766" s="64">
        <v>85.34</v>
      </c>
      <c r="B766" s="64">
        <v>85.88</v>
      </c>
      <c r="C766" s="64">
        <v>84.8</v>
      </c>
      <c r="D766" s="64">
        <v>85.62</v>
      </c>
      <c r="E766" s="64">
        <v>2042845</v>
      </c>
      <c r="F766" s="64" t="s">
        <v>764</v>
      </c>
      <c r="G766" s="25">
        <f t="shared" si="9"/>
        <v>-3.2702639570193481E-3</v>
      </c>
    </row>
    <row r="767" spans="1:7">
      <c r="A767" s="64">
        <v>85.23</v>
      </c>
      <c r="B767" s="64">
        <v>85.24</v>
      </c>
      <c r="C767" s="64">
        <v>82.974999999999994</v>
      </c>
      <c r="D767" s="64">
        <v>84.06</v>
      </c>
      <c r="E767" s="64">
        <v>2548587</v>
      </c>
      <c r="F767" s="64" t="s">
        <v>765</v>
      </c>
      <c r="G767" s="25">
        <f t="shared" ref="G767:G830" si="10">A767/D767-1</f>
        <v>1.3918629550321304E-2</v>
      </c>
    </row>
    <row r="768" spans="1:7">
      <c r="A768" s="64">
        <v>84.23</v>
      </c>
      <c r="B768" s="64">
        <v>84.72</v>
      </c>
      <c r="C768" s="64">
        <v>81.3</v>
      </c>
      <c r="D768" s="64">
        <v>81.89</v>
      </c>
      <c r="E768" s="64">
        <v>6117605</v>
      </c>
      <c r="F768" s="64" t="s">
        <v>766</v>
      </c>
      <c r="G768" s="25">
        <f t="shared" si="10"/>
        <v>2.8574917572353309E-2</v>
      </c>
    </row>
    <row r="769" spans="1:7">
      <c r="A769" s="64">
        <v>81.41</v>
      </c>
      <c r="B769" s="64">
        <v>82.3</v>
      </c>
      <c r="C769" s="64">
        <v>81.03</v>
      </c>
      <c r="D769" s="64">
        <v>82.21</v>
      </c>
      <c r="E769" s="64">
        <v>2768538</v>
      </c>
      <c r="F769" s="64" t="s">
        <v>767</v>
      </c>
      <c r="G769" s="25">
        <f t="shared" si="10"/>
        <v>-9.7311762559298964E-3</v>
      </c>
    </row>
    <row r="770" spans="1:7">
      <c r="A770" s="64">
        <v>82.01</v>
      </c>
      <c r="B770" s="64">
        <v>82.1</v>
      </c>
      <c r="C770" s="64">
        <v>81.3</v>
      </c>
      <c r="D770" s="64">
        <v>81.540000000000006</v>
      </c>
      <c r="E770" s="64">
        <v>2308782</v>
      </c>
      <c r="F770" s="64" t="s">
        <v>768</v>
      </c>
      <c r="G770" s="25">
        <f t="shared" si="10"/>
        <v>5.7640421878832893E-3</v>
      </c>
    </row>
    <row r="771" spans="1:7">
      <c r="A771" s="64">
        <v>81.650000000000006</v>
      </c>
      <c r="B771" s="64">
        <v>84.01</v>
      </c>
      <c r="C771" s="64">
        <v>80.94</v>
      </c>
      <c r="D771" s="64">
        <v>84</v>
      </c>
      <c r="E771" s="64">
        <v>3438923</v>
      </c>
      <c r="F771" s="64" t="s">
        <v>769</v>
      </c>
      <c r="G771" s="25">
        <f t="shared" si="10"/>
        <v>-2.7976190476190377E-2</v>
      </c>
    </row>
    <row r="772" spans="1:7">
      <c r="A772" s="64">
        <v>83.84</v>
      </c>
      <c r="B772" s="64">
        <v>84.44</v>
      </c>
      <c r="C772" s="64">
        <v>83.58</v>
      </c>
      <c r="D772" s="64">
        <v>84.23</v>
      </c>
      <c r="E772" s="64">
        <v>2012634</v>
      </c>
      <c r="F772" s="64" t="s">
        <v>770</v>
      </c>
      <c r="G772" s="25">
        <f t="shared" si="10"/>
        <v>-4.6301792710435885E-3</v>
      </c>
    </row>
    <row r="773" spans="1:7">
      <c r="A773" s="64">
        <v>84.74</v>
      </c>
      <c r="B773" s="64">
        <v>89.14</v>
      </c>
      <c r="C773" s="64">
        <v>84.045000000000002</v>
      </c>
      <c r="D773" s="64">
        <v>88.52</v>
      </c>
      <c r="E773" s="64">
        <v>3061661</v>
      </c>
      <c r="F773" s="64" t="s">
        <v>771</v>
      </c>
      <c r="G773" s="25">
        <f t="shared" si="10"/>
        <v>-4.2702214188883869E-2</v>
      </c>
    </row>
    <row r="774" spans="1:7">
      <c r="A774" s="64">
        <v>89.16</v>
      </c>
      <c r="B774" s="64">
        <v>89.4</v>
      </c>
      <c r="C774" s="64">
        <v>87.64</v>
      </c>
      <c r="D774" s="64">
        <v>87.82</v>
      </c>
      <c r="E774" s="64">
        <v>1812356</v>
      </c>
      <c r="F774" s="64" t="s">
        <v>772</v>
      </c>
      <c r="G774" s="25">
        <f t="shared" si="10"/>
        <v>1.5258483261216149E-2</v>
      </c>
    </row>
    <row r="775" spans="1:7">
      <c r="A775" s="64">
        <v>87.93</v>
      </c>
      <c r="B775" s="64">
        <v>88.31</v>
      </c>
      <c r="C775" s="64">
        <v>87.194999999999993</v>
      </c>
      <c r="D775" s="64">
        <v>87.76</v>
      </c>
      <c r="E775" s="64">
        <v>3004292</v>
      </c>
      <c r="F775" s="64" t="s">
        <v>773</v>
      </c>
      <c r="G775" s="25">
        <f t="shared" si="10"/>
        <v>1.937101185050194E-3</v>
      </c>
    </row>
    <row r="776" spans="1:7">
      <c r="A776" s="64">
        <v>87.41</v>
      </c>
      <c r="B776" s="64">
        <v>88.14</v>
      </c>
      <c r="C776" s="64">
        <v>86.59</v>
      </c>
      <c r="D776" s="64">
        <v>87.94</v>
      </c>
      <c r="E776" s="64">
        <v>2893906</v>
      </c>
      <c r="F776" s="64" t="s">
        <v>774</v>
      </c>
      <c r="G776" s="25">
        <f t="shared" si="10"/>
        <v>-6.0268364794178186E-3</v>
      </c>
    </row>
    <row r="777" spans="1:7">
      <c r="A777" s="64">
        <v>87.66</v>
      </c>
      <c r="B777" s="64">
        <v>88.96</v>
      </c>
      <c r="C777" s="64">
        <v>86.26</v>
      </c>
      <c r="D777" s="64">
        <v>88.7</v>
      </c>
      <c r="E777" s="64">
        <v>2414147</v>
      </c>
      <c r="F777" s="64" t="s">
        <v>775</v>
      </c>
      <c r="G777" s="25">
        <f t="shared" si="10"/>
        <v>-1.1724915445321393E-2</v>
      </c>
    </row>
    <row r="778" spans="1:7">
      <c r="A778" s="64">
        <v>88.66</v>
      </c>
      <c r="B778" s="64">
        <v>89.12</v>
      </c>
      <c r="C778" s="64">
        <v>88.43</v>
      </c>
      <c r="D778" s="64">
        <v>88.79</v>
      </c>
      <c r="E778" s="64">
        <v>1407888</v>
      </c>
      <c r="F778" s="64" t="s">
        <v>776</v>
      </c>
      <c r="G778" s="25">
        <f t="shared" si="10"/>
        <v>-1.4641288433383526E-3</v>
      </c>
    </row>
    <row r="779" spans="1:7">
      <c r="A779" s="64">
        <v>88.92</v>
      </c>
      <c r="B779" s="64">
        <v>89.72</v>
      </c>
      <c r="C779" s="64">
        <v>88.51</v>
      </c>
      <c r="D779" s="64">
        <v>89.12</v>
      </c>
      <c r="E779" s="64">
        <v>2291544</v>
      </c>
      <c r="F779" s="64" t="s">
        <v>777</v>
      </c>
      <c r="G779" s="25">
        <f t="shared" si="10"/>
        <v>-2.244165170556589E-3</v>
      </c>
    </row>
    <row r="780" spans="1:7">
      <c r="A780" s="64">
        <v>89.18</v>
      </c>
      <c r="B780" s="64">
        <v>89.25</v>
      </c>
      <c r="C780" s="64">
        <v>88.39</v>
      </c>
      <c r="D780" s="64">
        <v>88.74</v>
      </c>
      <c r="E780" s="64">
        <v>1565425</v>
      </c>
      <c r="F780" s="64" t="s">
        <v>778</v>
      </c>
      <c r="G780" s="25">
        <f t="shared" si="10"/>
        <v>4.9583051611450379E-3</v>
      </c>
    </row>
    <row r="781" spans="1:7">
      <c r="A781" s="64">
        <v>88.78</v>
      </c>
      <c r="B781" s="64">
        <v>89.35</v>
      </c>
      <c r="C781" s="64">
        <v>88.23</v>
      </c>
      <c r="D781" s="64">
        <v>89.05</v>
      </c>
      <c r="E781" s="64">
        <v>1744497</v>
      </c>
      <c r="F781" s="64" t="s">
        <v>779</v>
      </c>
      <c r="G781" s="25">
        <f t="shared" si="10"/>
        <v>-3.0320044918584754E-3</v>
      </c>
    </row>
    <row r="782" spans="1:7">
      <c r="A782" s="64">
        <v>88.85</v>
      </c>
      <c r="B782" s="64">
        <v>89.58</v>
      </c>
      <c r="C782" s="64">
        <v>87.8</v>
      </c>
      <c r="D782" s="64">
        <v>89.22</v>
      </c>
      <c r="E782" s="64">
        <v>2398323</v>
      </c>
      <c r="F782" s="64" t="s">
        <v>780</v>
      </c>
      <c r="G782" s="25">
        <f t="shared" si="10"/>
        <v>-4.1470522304416502E-3</v>
      </c>
    </row>
    <row r="783" spans="1:7">
      <c r="A783" s="64">
        <v>88.7</v>
      </c>
      <c r="B783" s="64">
        <v>89.17</v>
      </c>
      <c r="C783" s="64">
        <v>88.35</v>
      </c>
      <c r="D783" s="64">
        <v>88.68</v>
      </c>
      <c r="E783" s="64">
        <v>1585320</v>
      </c>
      <c r="F783" s="64" t="s">
        <v>781</v>
      </c>
      <c r="G783" s="25">
        <f t="shared" si="10"/>
        <v>2.2552999548941521E-4</v>
      </c>
    </row>
    <row r="784" spans="1:7">
      <c r="A784" s="64">
        <v>89.02</v>
      </c>
      <c r="B784" s="64">
        <v>89.18</v>
      </c>
      <c r="C784" s="64">
        <v>87.95</v>
      </c>
      <c r="D784" s="64">
        <v>88.22</v>
      </c>
      <c r="E784" s="64">
        <v>2148220</v>
      </c>
      <c r="F784" s="64" t="s">
        <v>782</v>
      </c>
      <c r="G784" s="25">
        <f t="shared" si="10"/>
        <v>9.0682384946723094E-3</v>
      </c>
    </row>
    <row r="785" spans="1:7">
      <c r="A785" s="64">
        <v>88.74</v>
      </c>
      <c r="B785" s="64">
        <v>88.85</v>
      </c>
      <c r="C785" s="64">
        <v>87.784999999999997</v>
      </c>
      <c r="D785" s="64">
        <v>88.51</v>
      </c>
      <c r="E785" s="64">
        <v>1567443</v>
      </c>
      <c r="F785" s="64" t="s">
        <v>783</v>
      </c>
      <c r="G785" s="25">
        <f t="shared" si="10"/>
        <v>2.5985764320415328E-3</v>
      </c>
    </row>
    <row r="786" spans="1:7">
      <c r="A786" s="64">
        <v>87.9</v>
      </c>
      <c r="B786" s="64">
        <v>88.68</v>
      </c>
      <c r="C786" s="64">
        <v>87.26</v>
      </c>
      <c r="D786" s="64">
        <v>87.5</v>
      </c>
      <c r="E786" s="64">
        <v>1797744</v>
      </c>
      <c r="F786" s="64" t="s">
        <v>784</v>
      </c>
      <c r="G786" s="25">
        <f t="shared" si="10"/>
        <v>4.5714285714286707E-3</v>
      </c>
    </row>
    <row r="787" spans="1:7">
      <c r="A787" s="64">
        <v>88.1</v>
      </c>
      <c r="B787" s="64">
        <v>89.26</v>
      </c>
      <c r="C787" s="64">
        <v>87.93</v>
      </c>
      <c r="D787" s="64">
        <v>88.69</v>
      </c>
      <c r="E787" s="64">
        <v>2153784</v>
      </c>
      <c r="F787" s="64" t="s">
        <v>785</v>
      </c>
      <c r="G787" s="25">
        <f t="shared" si="10"/>
        <v>-6.6523847107904377E-3</v>
      </c>
    </row>
    <row r="788" spans="1:7">
      <c r="A788" s="64">
        <v>87.81</v>
      </c>
      <c r="B788" s="64">
        <v>88.89</v>
      </c>
      <c r="C788" s="64">
        <v>87.42</v>
      </c>
      <c r="D788" s="64">
        <v>87.99</v>
      </c>
      <c r="E788" s="64">
        <v>3086007</v>
      </c>
      <c r="F788" s="64" t="s">
        <v>786</v>
      </c>
      <c r="G788" s="25">
        <f t="shared" si="10"/>
        <v>-2.0456870098873869E-3</v>
      </c>
    </row>
    <row r="789" spans="1:7">
      <c r="A789" s="64">
        <v>87.55</v>
      </c>
      <c r="B789" s="64">
        <v>88.34</v>
      </c>
      <c r="C789" s="64">
        <v>86.87</v>
      </c>
      <c r="D789" s="64">
        <v>87.52</v>
      </c>
      <c r="E789" s="64">
        <v>2204025</v>
      </c>
      <c r="F789" s="64" t="s">
        <v>787</v>
      </c>
      <c r="G789" s="25">
        <f t="shared" si="10"/>
        <v>3.4277879341870765E-4</v>
      </c>
    </row>
    <row r="790" spans="1:7">
      <c r="A790" s="64">
        <v>87.98</v>
      </c>
      <c r="B790" s="64">
        <v>88.54</v>
      </c>
      <c r="C790" s="64">
        <v>86.67</v>
      </c>
      <c r="D790" s="64">
        <v>87.2</v>
      </c>
      <c r="E790" s="64">
        <v>3306211</v>
      </c>
      <c r="F790" s="64" t="s">
        <v>788</v>
      </c>
      <c r="G790" s="25">
        <f t="shared" si="10"/>
        <v>8.9449541284403189E-3</v>
      </c>
    </row>
    <row r="791" spans="1:7">
      <c r="A791" s="64">
        <v>86.72</v>
      </c>
      <c r="B791" s="64">
        <v>87.07</v>
      </c>
      <c r="C791" s="64">
        <v>83</v>
      </c>
      <c r="D791" s="64">
        <v>85</v>
      </c>
      <c r="E791" s="64">
        <v>3983349</v>
      </c>
      <c r="F791" s="64" t="s">
        <v>789</v>
      </c>
      <c r="G791" s="25">
        <f t="shared" si="10"/>
        <v>2.0235294117647129E-2</v>
      </c>
    </row>
    <row r="792" spans="1:7">
      <c r="A792" s="64">
        <v>87.41</v>
      </c>
      <c r="B792" s="64">
        <v>87.99</v>
      </c>
      <c r="C792" s="64">
        <v>86.91</v>
      </c>
      <c r="D792" s="64">
        <v>87.74</v>
      </c>
      <c r="E792" s="64">
        <v>3089768</v>
      </c>
      <c r="F792" s="64" t="s">
        <v>790</v>
      </c>
      <c r="G792" s="25">
        <f t="shared" si="10"/>
        <v>-3.7611123774788924E-3</v>
      </c>
    </row>
    <row r="793" spans="1:7">
      <c r="A793" s="64">
        <v>87.77</v>
      </c>
      <c r="B793" s="64">
        <v>88.85</v>
      </c>
      <c r="C793" s="64">
        <v>87.65</v>
      </c>
      <c r="D793" s="64">
        <v>88.47</v>
      </c>
      <c r="E793" s="64">
        <v>3148697</v>
      </c>
      <c r="F793" s="64" t="s">
        <v>791</v>
      </c>
      <c r="G793" s="25">
        <f t="shared" si="10"/>
        <v>-7.912286650842093E-3</v>
      </c>
    </row>
    <row r="794" spans="1:7">
      <c r="A794" s="64">
        <v>88.79</v>
      </c>
      <c r="B794" s="64">
        <v>88.84</v>
      </c>
      <c r="C794" s="64">
        <v>86.887500000000003</v>
      </c>
      <c r="D794" s="64">
        <v>87</v>
      </c>
      <c r="E794" s="64">
        <v>4105042</v>
      </c>
      <c r="F794" s="64" t="s">
        <v>792</v>
      </c>
      <c r="G794" s="25">
        <f t="shared" si="10"/>
        <v>2.0574712643678161E-2</v>
      </c>
    </row>
    <row r="795" spans="1:7">
      <c r="A795" s="64">
        <v>86.54</v>
      </c>
      <c r="B795" s="64">
        <v>87</v>
      </c>
      <c r="C795" s="64">
        <v>85.98</v>
      </c>
      <c r="D795" s="64">
        <v>86.25</v>
      </c>
      <c r="E795" s="64">
        <v>2736684</v>
      </c>
      <c r="F795" s="64" t="s">
        <v>793</v>
      </c>
      <c r="G795" s="25">
        <f t="shared" si="10"/>
        <v>3.3623188405798032E-3</v>
      </c>
    </row>
    <row r="796" spans="1:7">
      <c r="A796" s="64">
        <v>85.73</v>
      </c>
      <c r="B796" s="64">
        <v>87.08</v>
      </c>
      <c r="C796" s="64">
        <v>85.35</v>
      </c>
      <c r="D796" s="64">
        <v>86.55</v>
      </c>
      <c r="E796" s="64">
        <v>4271329</v>
      </c>
      <c r="F796" s="64" t="s">
        <v>794</v>
      </c>
      <c r="G796" s="25">
        <f t="shared" si="10"/>
        <v>-9.4742923165799242E-3</v>
      </c>
    </row>
    <row r="797" spans="1:7">
      <c r="A797" s="64">
        <v>86.5</v>
      </c>
      <c r="B797" s="64">
        <v>87.1</v>
      </c>
      <c r="C797" s="64">
        <v>84.7</v>
      </c>
      <c r="D797" s="64">
        <v>84.95</v>
      </c>
      <c r="E797" s="64">
        <v>5562762</v>
      </c>
      <c r="F797" s="64" t="s">
        <v>795</v>
      </c>
      <c r="G797" s="25">
        <f t="shared" si="10"/>
        <v>1.824602707474976E-2</v>
      </c>
    </row>
    <row r="798" spans="1:7">
      <c r="A798" s="64">
        <v>84.35</v>
      </c>
      <c r="B798" s="64">
        <v>84.57</v>
      </c>
      <c r="C798" s="64">
        <v>83.75</v>
      </c>
      <c r="D798" s="64">
        <v>84.57</v>
      </c>
      <c r="E798" s="64">
        <v>2008734</v>
      </c>
      <c r="F798" s="64" t="s">
        <v>796</v>
      </c>
      <c r="G798" s="25">
        <f t="shared" si="10"/>
        <v>-2.6013952938394036E-3</v>
      </c>
    </row>
    <row r="799" spans="1:7">
      <c r="A799" s="64">
        <v>84.05</v>
      </c>
      <c r="B799" s="64">
        <v>84.85</v>
      </c>
      <c r="C799" s="64">
        <v>83.45</v>
      </c>
      <c r="D799" s="64">
        <v>84.71</v>
      </c>
      <c r="E799" s="64">
        <v>1636872</v>
      </c>
      <c r="F799" s="64" t="s">
        <v>797</v>
      </c>
      <c r="G799" s="25">
        <f t="shared" si="10"/>
        <v>-7.791287923503698E-3</v>
      </c>
    </row>
    <row r="800" spans="1:7">
      <c r="A800" s="64">
        <v>84.36</v>
      </c>
      <c r="B800" s="64">
        <v>84.94</v>
      </c>
      <c r="C800" s="64">
        <v>83.415000000000006</v>
      </c>
      <c r="D800" s="64">
        <v>84.35</v>
      </c>
      <c r="E800" s="64">
        <v>2487283</v>
      </c>
      <c r="F800" s="64" t="s">
        <v>798</v>
      </c>
      <c r="G800" s="25">
        <f t="shared" si="10"/>
        <v>1.1855364552459946E-4</v>
      </c>
    </row>
    <row r="801" spans="1:7">
      <c r="A801" s="64">
        <v>84.66</v>
      </c>
      <c r="B801" s="64">
        <v>84.71</v>
      </c>
      <c r="C801" s="64">
        <v>82.936000000000007</v>
      </c>
      <c r="D801" s="64">
        <v>83.37</v>
      </c>
      <c r="E801" s="64">
        <v>2011040</v>
      </c>
      <c r="F801" s="64" t="s">
        <v>799</v>
      </c>
      <c r="G801" s="25">
        <f t="shared" si="10"/>
        <v>1.5473191795609909E-2</v>
      </c>
    </row>
    <row r="802" spans="1:7">
      <c r="A802" s="64">
        <v>82.92</v>
      </c>
      <c r="B802" s="64">
        <v>83.745000000000005</v>
      </c>
      <c r="C802" s="64">
        <v>82.21</v>
      </c>
      <c r="D802" s="64">
        <v>82.64</v>
      </c>
      <c r="E802" s="64">
        <v>3015403</v>
      </c>
      <c r="F802" s="64" t="s">
        <v>800</v>
      </c>
      <c r="G802" s="25">
        <f t="shared" si="10"/>
        <v>3.3881897386254245E-3</v>
      </c>
    </row>
    <row r="803" spans="1:7">
      <c r="A803" s="64">
        <v>82.2</v>
      </c>
      <c r="B803" s="64">
        <v>83.17</v>
      </c>
      <c r="C803" s="64">
        <v>82.05</v>
      </c>
      <c r="D803" s="64">
        <v>82.635000000000005</v>
      </c>
      <c r="E803" s="64">
        <v>2341406</v>
      </c>
      <c r="F803" s="64" t="s">
        <v>801</v>
      </c>
      <c r="G803" s="25">
        <f t="shared" si="10"/>
        <v>-5.264113269195847E-3</v>
      </c>
    </row>
    <row r="804" spans="1:7">
      <c r="A804" s="64">
        <v>82.75</v>
      </c>
      <c r="B804" s="64">
        <v>83.33</v>
      </c>
      <c r="C804" s="64">
        <v>81.78</v>
      </c>
      <c r="D804" s="64">
        <v>83.33</v>
      </c>
      <c r="E804" s="64">
        <v>2256908</v>
      </c>
      <c r="F804" s="64" t="s">
        <v>802</v>
      </c>
      <c r="G804" s="25">
        <f t="shared" si="10"/>
        <v>-6.9602784111364446E-3</v>
      </c>
    </row>
    <row r="805" spans="1:7">
      <c r="A805" s="64">
        <v>83.88</v>
      </c>
      <c r="B805" s="64">
        <v>83.92</v>
      </c>
      <c r="C805" s="64">
        <v>82.765000000000001</v>
      </c>
      <c r="D805" s="64">
        <v>83.42</v>
      </c>
      <c r="E805" s="64">
        <v>1594880</v>
      </c>
      <c r="F805" s="64" t="s">
        <v>803</v>
      </c>
      <c r="G805" s="25">
        <f t="shared" si="10"/>
        <v>5.5142651642290375E-3</v>
      </c>
    </row>
    <row r="806" spans="1:7">
      <c r="A806" s="64">
        <v>83.45</v>
      </c>
      <c r="B806" s="64">
        <v>83.63</v>
      </c>
      <c r="C806" s="64">
        <v>82.758700000000005</v>
      </c>
      <c r="D806" s="64">
        <v>83.52</v>
      </c>
      <c r="E806" s="64">
        <v>2375140</v>
      </c>
      <c r="F806" s="64" t="s">
        <v>804</v>
      </c>
      <c r="G806" s="25">
        <f t="shared" si="10"/>
        <v>-8.3812260536386685E-4</v>
      </c>
    </row>
    <row r="807" spans="1:7">
      <c r="A807" s="64">
        <v>83.2</v>
      </c>
      <c r="B807" s="64">
        <v>83.59</v>
      </c>
      <c r="C807" s="64">
        <v>82.18</v>
      </c>
      <c r="D807" s="64">
        <v>82.49</v>
      </c>
      <c r="E807" s="64">
        <v>2777991</v>
      </c>
      <c r="F807" s="64" t="s">
        <v>805</v>
      </c>
      <c r="G807" s="25">
        <f t="shared" si="10"/>
        <v>8.6071038913808628E-3</v>
      </c>
    </row>
    <row r="808" spans="1:7">
      <c r="A808" s="64">
        <v>82.17</v>
      </c>
      <c r="B808" s="64">
        <v>82.73</v>
      </c>
      <c r="C808" s="64">
        <v>81.64</v>
      </c>
      <c r="D808" s="64">
        <v>82.31</v>
      </c>
      <c r="E808" s="64">
        <v>2294966</v>
      </c>
      <c r="F808" s="64" t="s">
        <v>806</v>
      </c>
      <c r="G808" s="25">
        <f t="shared" si="10"/>
        <v>-1.7008868910217689E-3</v>
      </c>
    </row>
    <row r="809" spans="1:7">
      <c r="A809" s="64">
        <v>82.73</v>
      </c>
      <c r="B809" s="64">
        <v>82.78</v>
      </c>
      <c r="C809" s="64">
        <v>81.39</v>
      </c>
      <c r="D809" s="64">
        <v>82.04</v>
      </c>
      <c r="E809" s="64">
        <v>2878736</v>
      </c>
      <c r="F809" s="64" t="s">
        <v>807</v>
      </c>
      <c r="G809" s="25">
        <f t="shared" si="10"/>
        <v>8.4105314480740212E-3</v>
      </c>
    </row>
    <row r="810" spans="1:7">
      <c r="A810" s="64">
        <v>81.569999999999993</v>
      </c>
      <c r="B810" s="64">
        <v>82.6</v>
      </c>
      <c r="C810" s="64">
        <v>81.05</v>
      </c>
      <c r="D810" s="64">
        <v>82.48</v>
      </c>
      <c r="E810" s="64">
        <v>1701436</v>
      </c>
      <c r="F810" s="64" t="s">
        <v>808</v>
      </c>
      <c r="G810" s="25">
        <f t="shared" si="10"/>
        <v>-1.1032977691561752E-2</v>
      </c>
    </row>
    <row r="811" spans="1:7">
      <c r="A811" s="64">
        <v>81.64</v>
      </c>
      <c r="B811" s="64">
        <v>81.66</v>
      </c>
      <c r="C811" s="64">
        <v>80.849999999999994</v>
      </c>
      <c r="D811" s="64">
        <v>81</v>
      </c>
      <c r="E811" s="64">
        <v>2196971</v>
      </c>
      <c r="F811" s="64" t="s">
        <v>809</v>
      </c>
      <c r="G811" s="25">
        <f t="shared" si="10"/>
        <v>7.9012345679012608E-3</v>
      </c>
    </row>
    <row r="812" spans="1:7">
      <c r="A812" s="64">
        <v>80.489999999999995</v>
      </c>
      <c r="B812" s="64">
        <v>81.474999999999994</v>
      </c>
      <c r="C812" s="64">
        <v>80.180000000000007</v>
      </c>
      <c r="D812" s="64">
        <v>80.75</v>
      </c>
      <c r="E812" s="64">
        <v>3092045</v>
      </c>
      <c r="F812" s="64" t="s">
        <v>810</v>
      </c>
      <c r="G812" s="25">
        <f t="shared" si="10"/>
        <v>-3.2198142414860964E-3</v>
      </c>
    </row>
    <row r="813" spans="1:7">
      <c r="A813" s="64">
        <v>80.92</v>
      </c>
      <c r="B813" s="64">
        <v>82.2</v>
      </c>
      <c r="C813" s="64">
        <v>80.739999999999995</v>
      </c>
      <c r="D813" s="64">
        <v>81.459999999999994</v>
      </c>
      <c r="E813" s="64">
        <v>3149775</v>
      </c>
      <c r="F813" s="64" t="s">
        <v>811</v>
      </c>
      <c r="G813" s="25">
        <f t="shared" si="10"/>
        <v>-6.6290203780995371E-3</v>
      </c>
    </row>
    <row r="814" spans="1:7">
      <c r="A814" s="64">
        <v>80.760000000000005</v>
      </c>
      <c r="B814" s="64">
        <v>81.02</v>
      </c>
      <c r="C814" s="64">
        <v>79.37</v>
      </c>
      <c r="D814" s="64">
        <v>79.55</v>
      </c>
      <c r="E814" s="64">
        <v>2759103</v>
      </c>
      <c r="F814" s="64" t="s">
        <v>812</v>
      </c>
      <c r="G814" s="25">
        <f t="shared" si="10"/>
        <v>1.5210559396606094E-2</v>
      </c>
    </row>
    <row r="815" spans="1:7">
      <c r="A815" s="64">
        <v>79.55</v>
      </c>
      <c r="B815" s="64">
        <v>81.16</v>
      </c>
      <c r="C815" s="64">
        <v>78.875</v>
      </c>
      <c r="D815" s="64">
        <v>79.989999999999995</v>
      </c>
      <c r="E815" s="64">
        <v>2701262</v>
      </c>
      <c r="F815" s="64" t="s">
        <v>813</v>
      </c>
      <c r="G815" s="25">
        <f t="shared" si="10"/>
        <v>-5.5006875859482385E-3</v>
      </c>
    </row>
    <row r="816" spans="1:7">
      <c r="A816" s="64">
        <v>79.41</v>
      </c>
      <c r="B816" s="64">
        <v>81.89</v>
      </c>
      <c r="C816" s="64">
        <v>79.38</v>
      </c>
      <c r="D816" s="64">
        <v>81.760000000000005</v>
      </c>
      <c r="E816" s="64">
        <v>3259451</v>
      </c>
      <c r="F816" s="64" t="s">
        <v>814</v>
      </c>
      <c r="G816" s="25">
        <f t="shared" si="10"/>
        <v>-2.8742661448140971E-2</v>
      </c>
    </row>
    <row r="817" spans="1:7">
      <c r="A817" s="64">
        <v>81.73</v>
      </c>
      <c r="B817" s="64">
        <v>82.46</v>
      </c>
      <c r="C817" s="64">
        <v>81.03</v>
      </c>
      <c r="D817" s="64">
        <v>81.260000000000005</v>
      </c>
      <c r="E817" s="64">
        <v>4227472</v>
      </c>
      <c r="F817" s="64" t="s">
        <v>815</v>
      </c>
      <c r="G817" s="25">
        <f t="shared" si="10"/>
        <v>5.7839035195668131E-3</v>
      </c>
    </row>
    <row r="818" spans="1:7">
      <c r="A818" s="64">
        <v>81.08</v>
      </c>
      <c r="B818" s="64">
        <v>81.709999999999994</v>
      </c>
      <c r="C818" s="64">
        <v>80.02</v>
      </c>
      <c r="D818" s="64">
        <v>80.63</v>
      </c>
      <c r="E818" s="64">
        <v>3866816</v>
      </c>
      <c r="F818" s="64" t="s">
        <v>816</v>
      </c>
      <c r="G818" s="25">
        <f t="shared" si="10"/>
        <v>5.5810492372565523E-3</v>
      </c>
    </row>
    <row r="819" spans="1:7">
      <c r="A819" s="64">
        <v>80.739999999999995</v>
      </c>
      <c r="B819" s="64">
        <v>82.7</v>
      </c>
      <c r="C819" s="64">
        <v>80.28</v>
      </c>
      <c r="D819" s="64">
        <v>82.7</v>
      </c>
      <c r="E819" s="64">
        <v>4710224</v>
      </c>
      <c r="F819" s="64" t="s">
        <v>817</v>
      </c>
      <c r="G819" s="25">
        <f t="shared" si="10"/>
        <v>-2.3700120918984324E-2</v>
      </c>
    </row>
    <row r="820" spans="1:7">
      <c r="A820" s="64">
        <v>81.91</v>
      </c>
      <c r="B820" s="64">
        <v>82.245000000000005</v>
      </c>
      <c r="C820" s="64">
        <v>78.56</v>
      </c>
      <c r="D820" s="64">
        <v>78.87</v>
      </c>
      <c r="E820" s="64">
        <v>4780492</v>
      </c>
      <c r="F820" s="64" t="s">
        <v>818</v>
      </c>
      <c r="G820" s="25">
        <f t="shared" si="10"/>
        <v>3.8544440218080345E-2</v>
      </c>
    </row>
    <row r="821" spans="1:7">
      <c r="A821" s="64">
        <v>79.48</v>
      </c>
      <c r="B821" s="64">
        <v>79.540000000000006</v>
      </c>
      <c r="C821" s="64">
        <v>77</v>
      </c>
      <c r="D821" s="64">
        <v>77.459999999999994</v>
      </c>
      <c r="E821" s="64">
        <v>3695193</v>
      </c>
      <c r="F821" s="64" t="s">
        <v>819</v>
      </c>
      <c r="G821" s="25">
        <f t="shared" si="10"/>
        <v>2.6077975729408953E-2</v>
      </c>
    </row>
    <row r="822" spans="1:7">
      <c r="A822" s="64">
        <v>78.2</v>
      </c>
      <c r="B822" s="64">
        <v>78.25</v>
      </c>
      <c r="C822" s="64">
        <v>76.599999999999994</v>
      </c>
      <c r="D822" s="64">
        <v>77.87</v>
      </c>
      <c r="E822" s="64">
        <v>8343632</v>
      </c>
      <c r="F822" s="64" t="s">
        <v>820</v>
      </c>
      <c r="G822" s="25">
        <f t="shared" si="10"/>
        <v>4.237832284576859E-3</v>
      </c>
    </row>
    <row r="823" spans="1:7">
      <c r="A823" s="64">
        <v>76.62</v>
      </c>
      <c r="B823" s="64">
        <v>77.03</v>
      </c>
      <c r="C823" s="64">
        <v>73.540000000000006</v>
      </c>
      <c r="D823" s="64">
        <v>74.25</v>
      </c>
      <c r="E823" s="64">
        <v>5851696</v>
      </c>
      <c r="F823" s="64" t="s">
        <v>821</v>
      </c>
      <c r="G823" s="25">
        <f t="shared" si="10"/>
        <v>3.1919191919191903E-2</v>
      </c>
    </row>
    <row r="824" spans="1:7">
      <c r="A824" s="64">
        <v>74.34</v>
      </c>
      <c r="B824" s="64">
        <v>76.150000000000006</v>
      </c>
      <c r="C824" s="64">
        <v>74.040000000000006</v>
      </c>
      <c r="D824" s="64">
        <v>76.150000000000006</v>
      </c>
      <c r="E824" s="64">
        <v>4097678</v>
      </c>
      <c r="F824" s="64" t="s">
        <v>822</v>
      </c>
      <c r="G824" s="25">
        <f t="shared" si="10"/>
        <v>-2.3768877216021056E-2</v>
      </c>
    </row>
    <row r="825" spans="1:7">
      <c r="A825" s="64">
        <v>76.03</v>
      </c>
      <c r="B825" s="64">
        <v>78.125</v>
      </c>
      <c r="C825" s="64">
        <v>75.95</v>
      </c>
      <c r="D825" s="64">
        <v>77.81</v>
      </c>
      <c r="E825" s="64">
        <v>2490861</v>
      </c>
      <c r="F825" s="64" t="s">
        <v>823</v>
      </c>
      <c r="G825" s="25">
        <f t="shared" si="10"/>
        <v>-2.2876236987533716E-2</v>
      </c>
    </row>
    <row r="826" spans="1:7">
      <c r="A826" s="64">
        <v>77.27</v>
      </c>
      <c r="B826" s="64">
        <v>77.5</v>
      </c>
      <c r="C826" s="64">
        <v>76.11</v>
      </c>
      <c r="D826" s="64">
        <v>77.14</v>
      </c>
      <c r="E826" s="64">
        <v>3318566</v>
      </c>
      <c r="F826" s="64" t="s">
        <v>824</v>
      </c>
      <c r="G826" s="25">
        <f t="shared" si="10"/>
        <v>1.6852476017630291E-3</v>
      </c>
    </row>
    <row r="827" spans="1:7">
      <c r="A827" s="64">
        <v>78.92</v>
      </c>
      <c r="B827" s="64">
        <v>80.010000000000005</v>
      </c>
      <c r="C827" s="64">
        <v>78.760000000000005</v>
      </c>
      <c r="D827" s="64">
        <v>78.849999999999994</v>
      </c>
      <c r="E827" s="64">
        <v>3494980</v>
      </c>
      <c r="F827" s="64" t="s">
        <v>825</v>
      </c>
      <c r="G827" s="25">
        <f t="shared" si="10"/>
        <v>8.8776157260639366E-4</v>
      </c>
    </row>
    <row r="828" spans="1:7">
      <c r="A828" s="64">
        <v>78.8</v>
      </c>
      <c r="B828" s="64">
        <v>81.34</v>
      </c>
      <c r="C828" s="64">
        <v>78.584999999999994</v>
      </c>
      <c r="D828" s="64">
        <v>81.27</v>
      </c>
      <c r="E828" s="64">
        <v>4371625</v>
      </c>
      <c r="F828" s="64" t="s">
        <v>826</v>
      </c>
      <c r="G828" s="25">
        <f t="shared" si="10"/>
        <v>-3.0392518764611798E-2</v>
      </c>
    </row>
    <row r="829" spans="1:7">
      <c r="A829" s="64">
        <v>81.92</v>
      </c>
      <c r="B829" s="64">
        <v>82.16</v>
      </c>
      <c r="C829" s="64">
        <v>80.760000000000005</v>
      </c>
      <c r="D829" s="64">
        <v>81.17</v>
      </c>
      <c r="E829" s="64">
        <v>2598696</v>
      </c>
      <c r="F829" s="64" t="s">
        <v>827</v>
      </c>
      <c r="G829" s="25">
        <f t="shared" si="10"/>
        <v>9.2398669459159422E-3</v>
      </c>
    </row>
    <row r="830" spans="1:7">
      <c r="A830" s="64">
        <v>80.23</v>
      </c>
      <c r="B830" s="64">
        <v>80.86</v>
      </c>
      <c r="C830" s="64">
        <v>79</v>
      </c>
      <c r="D830" s="64">
        <v>79.099999999999994</v>
      </c>
      <c r="E830" s="64">
        <v>3525293</v>
      </c>
      <c r="F830" s="64" t="s">
        <v>828</v>
      </c>
      <c r="G830" s="25">
        <f t="shared" si="10"/>
        <v>1.4285714285714457E-2</v>
      </c>
    </row>
    <row r="831" spans="1:7">
      <c r="A831" s="64">
        <v>79.849999999999994</v>
      </c>
      <c r="B831" s="64">
        <v>80.08</v>
      </c>
      <c r="C831" s="64">
        <v>78.69</v>
      </c>
      <c r="D831" s="64">
        <v>80.08</v>
      </c>
      <c r="E831" s="64">
        <v>4022786</v>
      </c>
      <c r="F831" s="64" t="s">
        <v>829</v>
      </c>
      <c r="G831" s="25">
        <f t="shared" ref="G831:G894" si="11">A831/D831-1</f>
        <v>-2.872127872127872E-3</v>
      </c>
    </row>
    <row r="832" spans="1:7">
      <c r="A832" s="64">
        <v>80.44</v>
      </c>
      <c r="B832" s="64">
        <v>80.984800000000007</v>
      </c>
      <c r="C832" s="64">
        <v>77.11</v>
      </c>
      <c r="D832" s="64">
        <v>77.11</v>
      </c>
      <c r="E832" s="64">
        <v>5902094</v>
      </c>
      <c r="F832" s="64" t="s">
        <v>830</v>
      </c>
      <c r="G832" s="25">
        <f t="shared" si="11"/>
        <v>4.3185060303462475E-2</v>
      </c>
    </row>
    <row r="833" spans="1:7">
      <c r="A833" s="64">
        <v>77.34</v>
      </c>
      <c r="B833" s="64">
        <v>78.36</v>
      </c>
      <c r="C833" s="64">
        <v>76.81</v>
      </c>
      <c r="D833" s="64">
        <v>76.989999999999995</v>
      </c>
      <c r="E833" s="64">
        <v>3437267</v>
      </c>
      <c r="F833" s="64" t="s">
        <v>831</v>
      </c>
      <c r="G833" s="25">
        <f t="shared" si="11"/>
        <v>4.5460449409016057E-3</v>
      </c>
    </row>
    <row r="834" spans="1:7">
      <c r="A834" s="64">
        <v>76.25</v>
      </c>
      <c r="B834" s="64">
        <v>77.290000000000006</v>
      </c>
      <c r="C834" s="64">
        <v>75.87</v>
      </c>
      <c r="D834" s="64">
        <v>76.959999999999994</v>
      </c>
      <c r="E834" s="64">
        <v>3388465</v>
      </c>
      <c r="F834" s="64" t="s">
        <v>832</v>
      </c>
      <c r="G834" s="25">
        <f t="shared" si="11"/>
        <v>-9.2255717255715908E-3</v>
      </c>
    </row>
    <row r="835" spans="1:7">
      <c r="A835" s="64">
        <v>77.58</v>
      </c>
      <c r="B835" s="64">
        <v>77.665000000000006</v>
      </c>
      <c r="C835" s="64">
        <v>75.575000000000003</v>
      </c>
      <c r="D835" s="64">
        <v>76.040000000000006</v>
      </c>
      <c r="E835" s="64">
        <v>3206999</v>
      </c>
      <c r="F835" s="64" t="s">
        <v>833</v>
      </c>
      <c r="G835" s="25">
        <f t="shared" si="11"/>
        <v>2.0252498684902642E-2</v>
      </c>
    </row>
    <row r="836" spans="1:7">
      <c r="A836" s="64">
        <v>75.430000000000007</v>
      </c>
      <c r="B836" s="64">
        <v>76.56</v>
      </c>
      <c r="C836" s="64">
        <v>75.349999999999994</v>
      </c>
      <c r="D836" s="64">
        <v>75.58</v>
      </c>
      <c r="E836" s="64">
        <v>4271745</v>
      </c>
      <c r="F836" s="64" t="s">
        <v>834</v>
      </c>
      <c r="G836" s="25">
        <f t="shared" si="11"/>
        <v>-1.9846520243449461E-3</v>
      </c>
    </row>
    <row r="837" spans="1:7">
      <c r="A837" s="64">
        <v>75.55</v>
      </c>
      <c r="B837" s="64">
        <v>77.849999999999994</v>
      </c>
      <c r="C837" s="64">
        <v>75.334999999999994</v>
      </c>
      <c r="D837" s="64">
        <v>77.790000000000006</v>
      </c>
      <c r="E837" s="64">
        <v>4025767</v>
      </c>
      <c r="F837" s="64" t="s">
        <v>835</v>
      </c>
      <c r="G837" s="25">
        <f t="shared" si="11"/>
        <v>-2.8795474996786363E-2</v>
      </c>
    </row>
    <row r="838" spans="1:7">
      <c r="A838" s="64">
        <v>78.510000000000005</v>
      </c>
      <c r="B838" s="64">
        <v>78.569999999999993</v>
      </c>
      <c r="C838" s="64">
        <v>76.174999999999997</v>
      </c>
      <c r="D838" s="64">
        <v>76.41</v>
      </c>
      <c r="E838" s="64">
        <v>3817056</v>
      </c>
      <c r="F838" s="64" t="s">
        <v>836</v>
      </c>
      <c r="G838" s="25">
        <f t="shared" si="11"/>
        <v>2.7483313702395096E-2</v>
      </c>
    </row>
    <row r="839" spans="1:7">
      <c r="A839" s="64">
        <v>77.28</v>
      </c>
      <c r="B839" s="64">
        <v>78.319999999999993</v>
      </c>
      <c r="C839" s="64">
        <v>76.424199999999999</v>
      </c>
      <c r="D839" s="64">
        <v>76.59</v>
      </c>
      <c r="E839" s="64">
        <v>2610099</v>
      </c>
      <c r="F839" s="64" t="s">
        <v>837</v>
      </c>
      <c r="G839" s="25">
        <f t="shared" si="11"/>
        <v>9.009009009008917E-3</v>
      </c>
    </row>
    <row r="840" spans="1:7">
      <c r="A840" s="64">
        <v>77.92</v>
      </c>
      <c r="B840" s="64">
        <v>77.95</v>
      </c>
      <c r="C840" s="64">
        <v>76.010000000000005</v>
      </c>
      <c r="D840" s="64">
        <v>76.010000000000005</v>
      </c>
      <c r="E840" s="64">
        <v>2078708</v>
      </c>
      <c r="F840" s="64" t="s">
        <v>838</v>
      </c>
      <c r="G840" s="25">
        <f t="shared" si="11"/>
        <v>2.5128272595711154E-2</v>
      </c>
    </row>
    <row r="841" spans="1:7">
      <c r="A841" s="64">
        <v>76.59</v>
      </c>
      <c r="B841" s="64">
        <v>78.139099999999999</v>
      </c>
      <c r="C841" s="64">
        <v>76.28</v>
      </c>
      <c r="D841" s="64">
        <v>77.63</v>
      </c>
      <c r="E841" s="64">
        <v>2914045</v>
      </c>
      <c r="F841" s="64" t="s">
        <v>839</v>
      </c>
      <c r="G841" s="25">
        <f t="shared" si="11"/>
        <v>-1.3396882648460506E-2</v>
      </c>
    </row>
    <row r="842" spans="1:7">
      <c r="A842" s="64">
        <v>77.61</v>
      </c>
      <c r="B842" s="64">
        <v>77.930000000000007</v>
      </c>
      <c r="C842" s="64">
        <v>76.88</v>
      </c>
      <c r="D842" s="64">
        <v>77.55</v>
      </c>
      <c r="E842" s="64">
        <v>1989488</v>
      </c>
      <c r="F842" s="64" t="s">
        <v>840</v>
      </c>
      <c r="G842" s="25">
        <f t="shared" si="11"/>
        <v>7.7369439071572899E-4</v>
      </c>
    </row>
    <row r="843" spans="1:7">
      <c r="A843" s="64">
        <v>77.2</v>
      </c>
      <c r="B843" s="64">
        <v>78.03</v>
      </c>
      <c r="C843" s="64">
        <v>76.803799999999995</v>
      </c>
      <c r="D843" s="64">
        <v>76.97</v>
      </c>
      <c r="E843" s="64">
        <v>2597583</v>
      </c>
      <c r="F843" s="64" t="s">
        <v>841</v>
      </c>
      <c r="G843" s="25">
        <f t="shared" si="11"/>
        <v>2.9881772119007E-3</v>
      </c>
    </row>
    <row r="844" spans="1:7">
      <c r="A844" s="64">
        <v>77.28</v>
      </c>
      <c r="B844" s="64">
        <v>78.95</v>
      </c>
      <c r="C844" s="64">
        <v>77.165000000000006</v>
      </c>
      <c r="D844" s="64">
        <v>78.010000000000005</v>
      </c>
      <c r="E844" s="64">
        <v>3781889</v>
      </c>
      <c r="F844" s="64" t="s">
        <v>842</v>
      </c>
      <c r="G844" s="25">
        <f t="shared" si="11"/>
        <v>-9.3577746442764509E-3</v>
      </c>
    </row>
    <row r="845" spans="1:7">
      <c r="A845" s="64">
        <v>78.08</v>
      </c>
      <c r="B845" s="64">
        <v>80.05</v>
      </c>
      <c r="C845" s="64">
        <v>77.989999999999995</v>
      </c>
      <c r="D845" s="64">
        <v>79.86</v>
      </c>
      <c r="E845" s="64">
        <v>3762678</v>
      </c>
      <c r="F845" s="64" t="s">
        <v>843</v>
      </c>
      <c r="G845" s="25">
        <f t="shared" si="11"/>
        <v>-2.2289005760080194E-2</v>
      </c>
    </row>
    <row r="846" spans="1:7">
      <c r="A846" s="64">
        <v>80.040000000000006</v>
      </c>
      <c r="B846" s="64">
        <v>80.23</v>
      </c>
      <c r="C846" s="64">
        <v>78.66</v>
      </c>
      <c r="D846" s="64">
        <v>79.12</v>
      </c>
      <c r="E846" s="64">
        <v>3593802</v>
      </c>
      <c r="F846" s="64" t="s">
        <v>844</v>
      </c>
      <c r="G846" s="25">
        <f t="shared" si="11"/>
        <v>1.1627906976744207E-2</v>
      </c>
    </row>
    <row r="847" spans="1:7">
      <c r="A847" s="64">
        <v>79.09</v>
      </c>
      <c r="B847" s="64">
        <v>81.069999999999993</v>
      </c>
      <c r="C847" s="64">
        <v>78.69</v>
      </c>
      <c r="D847" s="64">
        <v>80.75</v>
      </c>
      <c r="E847" s="64">
        <v>3999339</v>
      </c>
      <c r="F847" s="64" t="s">
        <v>845</v>
      </c>
      <c r="G847" s="25">
        <f t="shared" si="11"/>
        <v>-2.055727554179565E-2</v>
      </c>
    </row>
    <row r="848" spans="1:7">
      <c r="A848" s="64">
        <v>82.12</v>
      </c>
      <c r="B848" s="64">
        <v>84.14</v>
      </c>
      <c r="C848" s="64">
        <v>81.39</v>
      </c>
      <c r="D848" s="64">
        <v>83.52</v>
      </c>
      <c r="E848" s="64">
        <v>4743766</v>
      </c>
      <c r="F848" s="64" t="s">
        <v>846</v>
      </c>
      <c r="G848" s="25">
        <f t="shared" si="11"/>
        <v>-1.6762452107279557E-2</v>
      </c>
    </row>
    <row r="849" spans="1:7">
      <c r="A849" s="64">
        <v>84.51</v>
      </c>
      <c r="B849" s="64">
        <v>84.85</v>
      </c>
      <c r="C849" s="64">
        <v>81.75</v>
      </c>
      <c r="D849" s="64">
        <v>82.06</v>
      </c>
      <c r="E849" s="64">
        <v>5586853</v>
      </c>
      <c r="F849" s="64" t="s">
        <v>847</v>
      </c>
      <c r="G849" s="25">
        <f t="shared" si="11"/>
        <v>2.9856202778454799E-2</v>
      </c>
    </row>
    <row r="850" spans="1:7">
      <c r="A850" s="64">
        <v>81.48</v>
      </c>
      <c r="B850" s="64">
        <v>81.534999999999997</v>
      </c>
      <c r="C850" s="64">
        <v>77.757499999999993</v>
      </c>
      <c r="D850" s="64">
        <v>79.11</v>
      </c>
      <c r="E850" s="64">
        <v>7456586</v>
      </c>
      <c r="F850" s="64" t="s">
        <v>848</v>
      </c>
      <c r="G850" s="25">
        <f t="shared" si="11"/>
        <v>2.9958285930982154E-2</v>
      </c>
    </row>
    <row r="851" spans="1:7">
      <c r="A851" s="64">
        <v>76.7</v>
      </c>
      <c r="B851" s="64">
        <v>76.849999999999994</v>
      </c>
      <c r="C851" s="64">
        <v>74.959999999999994</v>
      </c>
      <c r="D851" s="64">
        <v>74.97</v>
      </c>
      <c r="E851" s="64">
        <v>6280413</v>
      </c>
      <c r="F851" s="64" t="s">
        <v>849</v>
      </c>
      <c r="G851" s="25">
        <f t="shared" si="11"/>
        <v>2.3075897025476966E-2</v>
      </c>
    </row>
    <row r="852" spans="1:7">
      <c r="A852" s="64">
        <v>76.06</v>
      </c>
      <c r="B852" s="64">
        <v>77.61</v>
      </c>
      <c r="C852" s="64">
        <v>75.89</v>
      </c>
      <c r="D852" s="64">
        <v>76.48</v>
      </c>
      <c r="E852" s="64">
        <v>3418502</v>
      </c>
      <c r="F852" s="64" t="s">
        <v>850</v>
      </c>
      <c r="G852" s="25">
        <f t="shared" si="11"/>
        <v>-5.4916317991632324E-3</v>
      </c>
    </row>
    <row r="853" spans="1:7">
      <c r="A853" s="64">
        <v>78.14</v>
      </c>
      <c r="B853" s="64">
        <v>78.84</v>
      </c>
      <c r="C853" s="64">
        <v>77.81</v>
      </c>
      <c r="D853" s="64">
        <v>78.38</v>
      </c>
      <c r="E853" s="64">
        <v>2623157</v>
      </c>
      <c r="F853" s="64" t="s">
        <v>851</v>
      </c>
      <c r="G853" s="25">
        <f t="shared" si="11"/>
        <v>-3.0620056136768659E-3</v>
      </c>
    </row>
    <row r="854" spans="1:7">
      <c r="A854" s="64">
        <v>78.209999999999994</v>
      </c>
      <c r="B854" s="64">
        <v>78.55</v>
      </c>
      <c r="C854" s="64">
        <v>77.290000000000006</v>
      </c>
      <c r="D854" s="64">
        <v>78.5</v>
      </c>
      <c r="E854" s="64">
        <v>2360360</v>
      </c>
      <c r="F854" s="64" t="s">
        <v>852</v>
      </c>
      <c r="G854" s="25">
        <f t="shared" si="11"/>
        <v>-3.6942675159236105E-3</v>
      </c>
    </row>
    <row r="855" spans="1:7">
      <c r="A855" s="64">
        <v>77.69</v>
      </c>
      <c r="B855" s="64">
        <v>77.739999999999995</v>
      </c>
      <c r="C855" s="64">
        <v>75.56</v>
      </c>
      <c r="D855" s="64">
        <v>76.13</v>
      </c>
      <c r="E855" s="64">
        <v>2593205</v>
      </c>
      <c r="F855" s="64" t="s">
        <v>853</v>
      </c>
      <c r="G855" s="25">
        <f t="shared" si="11"/>
        <v>2.0491264941547405E-2</v>
      </c>
    </row>
    <row r="856" spans="1:7">
      <c r="A856" s="64">
        <v>77.11</v>
      </c>
      <c r="B856" s="64">
        <v>80.11</v>
      </c>
      <c r="C856" s="64">
        <v>77.03</v>
      </c>
      <c r="D856" s="64">
        <v>79.47</v>
      </c>
      <c r="E856" s="64">
        <v>2434995</v>
      </c>
      <c r="F856" s="64" t="s">
        <v>854</v>
      </c>
      <c r="G856" s="25">
        <f t="shared" si="11"/>
        <v>-2.9696740908518926E-2</v>
      </c>
    </row>
    <row r="857" spans="1:7">
      <c r="A857" s="64">
        <v>80.06</v>
      </c>
      <c r="B857" s="64">
        <v>80.78</v>
      </c>
      <c r="C857" s="64">
        <v>78.984999999999999</v>
      </c>
      <c r="D857" s="64">
        <v>79.34</v>
      </c>
      <c r="E857" s="64">
        <v>2349797</v>
      </c>
      <c r="F857" s="64" t="s">
        <v>855</v>
      </c>
      <c r="G857" s="25">
        <f t="shared" si="11"/>
        <v>9.074867658179997E-3</v>
      </c>
    </row>
    <row r="858" spans="1:7">
      <c r="A858" s="64">
        <v>79.290000000000006</v>
      </c>
      <c r="B858" s="64">
        <v>79.44</v>
      </c>
      <c r="C858" s="64">
        <v>77.69</v>
      </c>
      <c r="D858" s="64">
        <v>78.91</v>
      </c>
      <c r="E858" s="64">
        <v>2887600</v>
      </c>
      <c r="F858" s="64" t="s">
        <v>856</v>
      </c>
      <c r="G858" s="25">
        <f t="shared" si="11"/>
        <v>4.8156127233558443E-3</v>
      </c>
    </row>
    <row r="859" spans="1:7">
      <c r="A859" s="64">
        <v>78.47</v>
      </c>
      <c r="B859" s="64">
        <v>78.924999999999997</v>
      </c>
      <c r="C859" s="64">
        <v>77.31</v>
      </c>
      <c r="D859" s="64">
        <v>77.87</v>
      </c>
      <c r="E859" s="64">
        <v>2980224</v>
      </c>
      <c r="F859" s="64" t="s">
        <v>857</v>
      </c>
      <c r="G859" s="25">
        <f t="shared" si="11"/>
        <v>7.705149608321582E-3</v>
      </c>
    </row>
    <row r="860" spans="1:7">
      <c r="A860" s="64">
        <v>78.31</v>
      </c>
      <c r="B860" s="64">
        <v>79.45</v>
      </c>
      <c r="C860" s="64">
        <v>78.150000000000006</v>
      </c>
      <c r="D860" s="64">
        <v>79</v>
      </c>
      <c r="E860" s="64">
        <v>2929483</v>
      </c>
      <c r="F860" s="64" t="s">
        <v>858</v>
      </c>
      <c r="G860" s="25">
        <f t="shared" si="11"/>
        <v>-8.7341772151898756E-3</v>
      </c>
    </row>
    <row r="861" spans="1:7">
      <c r="A861" s="64">
        <v>78.86</v>
      </c>
      <c r="B861" s="64">
        <v>78.989999999999995</v>
      </c>
      <c r="C861" s="64">
        <v>77.5</v>
      </c>
      <c r="D861" s="64">
        <v>78</v>
      </c>
      <c r="E861" s="64">
        <v>3689281</v>
      </c>
      <c r="F861" s="64" t="s">
        <v>859</v>
      </c>
      <c r="G861" s="25">
        <f t="shared" si="11"/>
        <v>1.1025641025641075E-2</v>
      </c>
    </row>
    <row r="862" spans="1:7">
      <c r="A862" s="64">
        <v>78.31</v>
      </c>
      <c r="B862" s="64">
        <v>78.42</v>
      </c>
      <c r="C862" s="64">
        <v>77.44</v>
      </c>
      <c r="D862" s="64">
        <v>77.44</v>
      </c>
      <c r="E862" s="64">
        <v>2031958</v>
      </c>
      <c r="F862" s="64" t="s">
        <v>860</v>
      </c>
      <c r="G862" s="25">
        <f t="shared" si="11"/>
        <v>1.1234504132231482E-2</v>
      </c>
    </row>
    <row r="863" spans="1:7">
      <c r="A863" s="64">
        <v>77.75</v>
      </c>
      <c r="B863" s="64">
        <v>78.489999999999995</v>
      </c>
      <c r="C863" s="64">
        <v>76.78</v>
      </c>
      <c r="D863" s="64">
        <v>78.17</v>
      </c>
      <c r="E863" s="64">
        <v>2815334</v>
      </c>
      <c r="F863" s="64" t="s">
        <v>861</v>
      </c>
      <c r="G863" s="25">
        <f t="shared" si="11"/>
        <v>-5.372905206601053E-3</v>
      </c>
    </row>
    <row r="864" spans="1:7">
      <c r="A864" s="64">
        <v>77.709999999999994</v>
      </c>
      <c r="B864" s="64">
        <v>78.5</v>
      </c>
      <c r="C864" s="64">
        <v>76.694999999999993</v>
      </c>
      <c r="D864" s="64">
        <v>78.11</v>
      </c>
      <c r="E864" s="64">
        <v>4227846</v>
      </c>
      <c r="F864" s="64" t="s">
        <v>862</v>
      </c>
      <c r="G864" s="25">
        <f t="shared" si="11"/>
        <v>-5.1209832287799628E-3</v>
      </c>
    </row>
    <row r="865" spans="1:7">
      <c r="A865" s="64">
        <v>77.02</v>
      </c>
      <c r="B865" s="64">
        <v>77.553899999999999</v>
      </c>
      <c r="C865" s="64">
        <v>76.09</v>
      </c>
      <c r="D865" s="64">
        <v>76.34</v>
      </c>
      <c r="E865" s="64">
        <v>3267524</v>
      </c>
      <c r="F865" s="64" t="s">
        <v>863</v>
      </c>
      <c r="G865" s="25">
        <f t="shared" si="11"/>
        <v>8.9075189939742394E-3</v>
      </c>
    </row>
    <row r="866" spans="1:7">
      <c r="A866" s="64">
        <v>76.349999999999994</v>
      </c>
      <c r="B866" s="64">
        <v>78.260000000000005</v>
      </c>
      <c r="C866" s="64">
        <v>76.33</v>
      </c>
      <c r="D866" s="64">
        <v>77.5</v>
      </c>
      <c r="E866" s="64">
        <v>3316497</v>
      </c>
      <c r="F866" s="64" t="s">
        <v>864</v>
      </c>
      <c r="G866" s="25">
        <f t="shared" si="11"/>
        <v>-1.4838709677419404E-2</v>
      </c>
    </row>
    <row r="867" spans="1:7">
      <c r="A867" s="64">
        <v>77.010000000000005</v>
      </c>
      <c r="B867" s="64">
        <v>77.13</v>
      </c>
      <c r="C867" s="64">
        <v>74.25</v>
      </c>
      <c r="D867" s="64">
        <v>75.87</v>
      </c>
      <c r="E867" s="64">
        <v>3610360</v>
      </c>
      <c r="F867" s="64" t="s">
        <v>865</v>
      </c>
      <c r="G867" s="25">
        <f t="shared" si="11"/>
        <v>1.5025701858442098E-2</v>
      </c>
    </row>
    <row r="868" spans="1:7">
      <c r="A868" s="64">
        <v>75.180000000000007</v>
      </c>
      <c r="B868" s="64">
        <v>76.48</v>
      </c>
      <c r="C868" s="64">
        <v>75.03</v>
      </c>
      <c r="D868" s="64">
        <v>76.099999999999994</v>
      </c>
      <c r="E868" s="64">
        <v>2691896</v>
      </c>
      <c r="F868" s="64" t="s">
        <v>866</v>
      </c>
      <c r="G868" s="25">
        <f t="shared" si="11"/>
        <v>-1.2089356110380867E-2</v>
      </c>
    </row>
    <row r="869" spans="1:7">
      <c r="A869" s="64">
        <v>76.47</v>
      </c>
      <c r="B869" s="64">
        <v>76.55</v>
      </c>
      <c r="C869" s="64">
        <v>74.52</v>
      </c>
      <c r="D869" s="64">
        <v>75.13</v>
      </c>
      <c r="E869" s="64">
        <v>3071069</v>
      </c>
      <c r="F869" s="64" t="s">
        <v>867</v>
      </c>
      <c r="G869" s="25">
        <f t="shared" si="11"/>
        <v>1.7835751364301933E-2</v>
      </c>
    </row>
    <row r="870" spans="1:7">
      <c r="A870" s="64">
        <v>74.27</v>
      </c>
      <c r="B870" s="64">
        <v>76.94</v>
      </c>
      <c r="C870" s="64">
        <v>73.95</v>
      </c>
      <c r="D870" s="64">
        <v>76.010000000000005</v>
      </c>
      <c r="E870" s="64">
        <v>3197672</v>
      </c>
      <c r="F870" s="64" t="s">
        <v>868</v>
      </c>
      <c r="G870" s="25">
        <f t="shared" si="11"/>
        <v>-2.2891724773056343E-2</v>
      </c>
    </row>
    <row r="871" spans="1:7">
      <c r="A871" s="64">
        <v>74.61</v>
      </c>
      <c r="B871" s="64">
        <v>74.930000000000007</v>
      </c>
      <c r="C871" s="64">
        <v>73.47</v>
      </c>
      <c r="D871" s="64">
        <v>74.58</v>
      </c>
      <c r="E871" s="64">
        <v>2378820</v>
      </c>
      <c r="F871" s="64" t="s">
        <v>869</v>
      </c>
      <c r="G871" s="25">
        <f t="shared" si="11"/>
        <v>4.0225261464210682E-4</v>
      </c>
    </row>
    <row r="872" spans="1:7">
      <c r="A872" s="64">
        <v>75.209999999999994</v>
      </c>
      <c r="B872" s="64">
        <v>75.430000000000007</v>
      </c>
      <c r="C872" s="64">
        <v>73.48</v>
      </c>
      <c r="D872" s="64">
        <v>73.86</v>
      </c>
      <c r="E872" s="64">
        <v>3683066</v>
      </c>
      <c r="F872" s="64" t="s">
        <v>870</v>
      </c>
      <c r="G872" s="25">
        <f t="shared" si="11"/>
        <v>1.8277822908204566E-2</v>
      </c>
    </row>
    <row r="873" spans="1:7">
      <c r="A873" s="64">
        <v>73.11</v>
      </c>
      <c r="B873" s="64">
        <v>74.52</v>
      </c>
      <c r="C873" s="64">
        <v>73.09</v>
      </c>
      <c r="D873" s="64">
        <v>73.95</v>
      </c>
      <c r="E873" s="64">
        <v>1793694</v>
      </c>
      <c r="F873" s="64" t="s">
        <v>871</v>
      </c>
      <c r="G873" s="25">
        <f t="shared" si="11"/>
        <v>-1.1359026369168412E-2</v>
      </c>
    </row>
    <row r="874" spans="1:7">
      <c r="A874" s="64">
        <v>73.59</v>
      </c>
      <c r="B874" s="64">
        <v>74.37</v>
      </c>
      <c r="C874" s="64">
        <v>72.61</v>
      </c>
      <c r="D874" s="64">
        <v>73.709999999999994</v>
      </c>
      <c r="E874" s="64">
        <v>2050858</v>
      </c>
      <c r="F874" s="64" t="s">
        <v>872</v>
      </c>
      <c r="G874" s="25">
        <f t="shared" si="11"/>
        <v>-1.6280016280014742E-3</v>
      </c>
    </row>
    <row r="875" spans="1:7">
      <c r="A875" s="64">
        <v>74.19</v>
      </c>
      <c r="B875" s="64">
        <v>74.680000000000007</v>
      </c>
      <c r="C875" s="64">
        <v>73.510000000000005</v>
      </c>
      <c r="D875" s="64">
        <v>74</v>
      </c>
      <c r="E875" s="64">
        <v>2304611</v>
      </c>
      <c r="F875" s="64" t="s">
        <v>873</v>
      </c>
      <c r="G875" s="25">
        <f t="shared" si="11"/>
        <v>2.5675675675675969E-3</v>
      </c>
    </row>
    <row r="876" spans="1:7">
      <c r="A876" s="64">
        <v>74.45</v>
      </c>
      <c r="B876" s="64">
        <v>74.709999999999994</v>
      </c>
      <c r="C876" s="64">
        <v>72.915000000000006</v>
      </c>
      <c r="D876" s="64">
        <v>74.37</v>
      </c>
      <c r="E876" s="64">
        <v>4006293</v>
      </c>
      <c r="F876" s="64" t="s">
        <v>874</v>
      </c>
      <c r="G876" s="25">
        <f t="shared" si="11"/>
        <v>1.0757025682399668E-3</v>
      </c>
    </row>
    <row r="877" spans="1:7">
      <c r="A877" s="64">
        <v>74.760000000000005</v>
      </c>
      <c r="B877" s="64">
        <v>75.19</v>
      </c>
      <c r="C877" s="64">
        <v>73.510000000000005</v>
      </c>
      <c r="D877" s="64">
        <v>73.739999999999995</v>
      </c>
      <c r="E877" s="64">
        <v>3616504</v>
      </c>
      <c r="F877" s="64" t="s">
        <v>875</v>
      </c>
      <c r="G877" s="25">
        <f t="shared" si="11"/>
        <v>1.3832384052075097E-2</v>
      </c>
    </row>
    <row r="878" spans="1:7">
      <c r="A878" s="64">
        <v>73.42</v>
      </c>
      <c r="B878" s="64">
        <v>74.489999999999995</v>
      </c>
      <c r="C878" s="64">
        <v>72.95</v>
      </c>
      <c r="D878" s="64">
        <v>73.02</v>
      </c>
      <c r="E878" s="64">
        <v>4066264</v>
      </c>
      <c r="F878" s="64" t="s">
        <v>876</v>
      </c>
      <c r="G878" s="25">
        <f t="shared" si="11"/>
        <v>5.4779512462339586E-3</v>
      </c>
    </row>
    <row r="879" spans="1:7">
      <c r="A879" s="64">
        <v>73.430000000000007</v>
      </c>
      <c r="B879" s="64">
        <v>74.12</v>
      </c>
      <c r="C879" s="64">
        <v>72.25</v>
      </c>
      <c r="D879" s="64">
        <v>72.8</v>
      </c>
      <c r="E879" s="64">
        <v>3757756</v>
      </c>
      <c r="F879" s="64" t="s">
        <v>877</v>
      </c>
      <c r="G879" s="25">
        <f t="shared" si="11"/>
        <v>8.6538461538463451E-3</v>
      </c>
    </row>
    <row r="880" spans="1:7">
      <c r="A880" s="64">
        <v>73.010000000000005</v>
      </c>
      <c r="B880" s="64">
        <v>73.63</v>
      </c>
      <c r="C880" s="64">
        <v>72.569999999999993</v>
      </c>
      <c r="D880" s="64">
        <v>73.41</v>
      </c>
      <c r="E880" s="64">
        <v>9059692</v>
      </c>
      <c r="F880" s="64" t="s">
        <v>878</v>
      </c>
      <c r="G880" s="25">
        <f t="shared" si="11"/>
        <v>-5.4488489306633303E-3</v>
      </c>
    </row>
    <row r="881" spans="1:7">
      <c r="A881" s="64">
        <v>73.55</v>
      </c>
      <c r="B881" s="64">
        <v>75.459999999999994</v>
      </c>
      <c r="C881" s="64">
        <v>73.36</v>
      </c>
      <c r="D881" s="64">
        <v>74.8</v>
      </c>
      <c r="E881" s="64">
        <v>5151328</v>
      </c>
      <c r="F881" s="64" t="s">
        <v>879</v>
      </c>
      <c r="G881" s="25">
        <f t="shared" si="11"/>
        <v>-1.6711229946524075E-2</v>
      </c>
    </row>
    <row r="882" spans="1:7">
      <c r="A882" s="64">
        <v>75.819999999999993</v>
      </c>
      <c r="B882" s="64">
        <v>77.58</v>
      </c>
      <c r="C882" s="64">
        <v>75.390100000000004</v>
      </c>
      <c r="D882" s="64">
        <v>75.95</v>
      </c>
      <c r="E882" s="64">
        <v>5055801</v>
      </c>
      <c r="F882" s="64" t="s">
        <v>880</v>
      </c>
      <c r="G882" s="25">
        <f t="shared" si="11"/>
        <v>-1.7116524028967239E-3</v>
      </c>
    </row>
    <row r="883" spans="1:7">
      <c r="A883" s="64">
        <v>75.959999999999994</v>
      </c>
      <c r="B883" s="64">
        <v>77.66</v>
      </c>
      <c r="C883" s="64">
        <v>74.8</v>
      </c>
      <c r="D883" s="64">
        <v>76.900000000000006</v>
      </c>
      <c r="E883" s="64">
        <v>4041920</v>
      </c>
      <c r="F883" s="64" t="s">
        <v>881</v>
      </c>
      <c r="G883" s="25">
        <f t="shared" si="11"/>
        <v>-1.2223667100130231E-2</v>
      </c>
    </row>
    <row r="884" spans="1:7">
      <c r="A884" s="64">
        <v>75.319999999999993</v>
      </c>
      <c r="B884" s="64">
        <v>75.959999999999994</v>
      </c>
      <c r="C884" s="64">
        <v>74</v>
      </c>
      <c r="D884" s="64">
        <v>74.319999999999993</v>
      </c>
      <c r="E884" s="64">
        <v>4783395</v>
      </c>
      <c r="F884" s="64" t="s">
        <v>882</v>
      </c>
      <c r="G884" s="25">
        <f t="shared" si="11"/>
        <v>1.3455328310010728E-2</v>
      </c>
    </row>
    <row r="885" spans="1:7">
      <c r="A885" s="64">
        <v>74.010000000000005</v>
      </c>
      <c r="B885" s="64">
        <v>74.510000000000005</v>
      </c>
      <c r="C885" s="64">
        <v>72.03</v>
      </c>
      <c r="D885" s="64">
        <v>72.22</v>
      </c>
      <c r="E885" s="64">
        <v>6135172</v>
      </c>
      <c r="F885" s="64" t="s">
        <v>883</v>
      </c>
      <c r="G885" s="25">
        <f t="shared" si="11"/>
        <v>2.4785378011631165E-2</v>
      </c>
    </row>
    <row r="886" spans="1:7">
      <c r="A886" s="64">
        <v>72.48</v>
      </c>
      <c r="B886" s="64">
        <v>73.805000000000007</v>
      </c>
      <c r="C886" s="64">
        <v>71.02</v>
      </c>
      <c r="D886" s="64">
        <v>73.650000000000006</v>
      </c>
      <c r="E886" s="64">
        <v>7249806</v>
      </c>
      <c r="F886" s="64" t="s">
        <v>884</v>
      </c>
      <c r="G886" s="25">
        <f t="shared" si="11"/>
        <v>-1.5885947046843207E-2</v>
      </c>
    </row>
    <row r="887" spans="1:7">
      <c r="A887" s="64">
        <v>72.58</v>
      </c>
      <c r="B887" s="64">
        <v>73.05</v>
      </c>
      <c r="C887" s="64">
        <v>72.040000000000006</v>
      </c>
      <c r="D887" s="64">
        <v>72.23</v>
      </c>
      <c r="E887" s="64">
        <v>7678790</v>
      </c>
      <c r="F887" s="64" t="s">
        <v>885</v>
      </c>
      <c r="G887" s="25">
        <f t="shared" si="11"/>
        <v>4.8456320088605676E-3</v>
      </c>
    </row>
    <row r="888" spans="1:7">
      <c r="A888" s="64">
        <v>72.27</v>
      </c>
      <c r="B888" s="64">
        <v>72.92</v>
      </c>
      <c r="C888" s="64">
        <v>71.75</v>
      </c>
      <c r="D888" s="64">
        <v>72.344999999999999</v>
      </c>
      <c r="E888" s="64">
        <v>7374524</v>
      </c>
      <c r="F888" s="64" t="s">
        <v>886</v>
      </c>
      <c r="G888" s="25">
        <f t="shared" si="11"/>
        <v>-1.0366991499067835E-3</v>
      </c>
    </row>
    <row r="889" spans="1:7">
      <c r="A889" s="64">
        <v>73.849999999999994</v>
      </c>
      <c r="B889" s="64">
        <v>76.135000000000005</v>
      </c>
      <c r="C889" s="64">
        <v>73.78</v>
      </c>
      <c r="D889" s="64">
        <v>75.72</v>
      </c>
      <c r="E889" s="64">
        <v>11782417</v>
      </c>
      <c r="F889" s="64" t="s">
        <v>887</v>
      </c>
      <c r="G889" s="25">
        <f t="shared" si="11"/>
        <v>-2.4696249339672516E-2</v>
      </c>
    </row>
    <row r="890" spans="1:7">
      <c r="A890" s="64">
        <v>76.55</v>
      </c>
      <c r="B890" s="64">
        <v>76.98</v>
      </c>
      <c r="C890" s="64">
        <v>75.02</v>
      </c>
      <c r="D890" s="64">
        <v>76.42</v>
      </c>
      <c r="E890" s="64">
        <v>3156845</v>
      </c>
      <c r="F890" s="64" t="s">
        <v>888</v>
      </c>
      <c r="G890" s="25">
        <f t="shared" si="11"/>
        <v>1.7011253598533393E-3</v>
      </c>
    </row>
    <row r="891" spans="1:7">
      <c r="A891" s="64">
        <v>77.56</v>
      </c>
      <c r="B891" s="64">
        <v>78.540000000000006</v>
      </c>
      <c r="C891" s="64">
        <v>77.040000000000006</v>
      </c>
      <c r="D891" s="64">
        <v>78</v>
      </c>
      <c r="E891" s="64">
        <v>4397856</v>
      </c>
      <c r="F891" s="64" t="s">
        <v>889</v>
      </c>
      <c r="G891" s="25">
        <f t="shared" si="11"/>
        <v>-5.6410256410256432E-3</v>
      </c>
    </row>
    <row r="892" spans="1:7">
      <c r="A892" s="64">
        <v>77.25</v>
      </c>
      <c r="B892" s="64">
        <v>77.25</v>
      </c>
      <c r="C892" s="64">
        <v>74.38</v>
      </c>
      <c r="D892" s="64">
        <v>75.36</v>
      </c>
      <c r="E892" s="64">
        <v>7007415</v>
      </c>
      <c r="F892" s="64" t="s">
        <v>890</v>
      </c>
      <c r="G892" s="25">
        <f t="shared" si="11"/>
        <v>2.507961783439483E-2</v>
      </c>
    </row>
    <row r="893" spans="1:7">
      <c r="A893" s="64">
        <v>74.849999999999994</v>
      </c>
      <c r="B893" s="64">
        <v>76.61</v>
      </c>
      <c r="C893" s="64">
        <v>74.66</v>
      </c>
      <c r="D893" s="64">
        <v>76.03</v>
      </c>
      <c r="E893" s="64">
        <v>6380238</v>
      </c>
      <c r="F893" s="64" t="s">
        <v>891</v>
      </c>
      <c r="G893" s="25">
        <f t="shared" si="11"/>
        <v>-1.5520189398921524E-2</v>
      </c>
    </row>
    <row r="894" spans="1:7">
      <c r="A894" s="64">
        <v>75.78</v>
      </c>
      <c r="B894" s="64">
        <v>76.66</v>
      </c>
      <c r="C894" s="64">
        <v>75.290000000000006</v>
      </c>
      <c r="D894" s="64">
        <v>75.709999999999994</v>
      </c>
      <c r="E894" s="64">
        <v>3643331</v>
      </c>
      <c r="F894" s="64" t="s">
        <v>892</v>
      </c>
      <c r="G894" s="25">
        <f t="shared" si="11"/>
        <v>9.2458063663980461E-4</v>
      </c>
    </row>
    <row r="895" spans="1:7">
      <c r="A895" s="64">
        <v>76.36</v>
      </c>
      <c r="B895" s="64">
        <v>76.47</v>
      </c>
      <c r="C895" s="64">
        <v>75.569999999999993</v>
      </c>
      <c r="D895" s="64">
        <v>75.95</v>
      </c>
      <c r="E895" s="64">
        <v>1566760</v>
      </c>
      <c r="F895" s="64" t="s">
        <v>893</v>
      </c>
      <c r="G895" s="25">
        <f t="shared" ref="G895:G958" si="12">A895/D895-1</f>
        <v>5.3982883475971466E-3</v>
      </c>
    </row>
    <row r="896" spans="1:7">
      <c r="A896" s="64">
        <v>75.91</v>
      </c>
      <c r="B896" s="64">
        <v>76.194999999999993</v>
      </c>
      <c r="C896" s="64">
        <v>74.55</v>
      </c>
      <c r="D896" s="64">
        <v>74.61</v>
      </c>
      <c r="E896" s="64">
        <v>3466270</v>
      </c>
      <c r="F896" s="64" t="s">
        <v>894</v>
      </c>
      <c r="G896" s="25">
        <f t="shared" si="12"/>
        <v>1.7423937809945E-2</v>
      </c>
    </row>
    <row r="897" spans="1:7">
      <c r="A897" s="64">
        <v>74.31</v>
      </c>
      <c r="B897" s="64">
        <v>74.599999999999994</v>
      </c>
      <c r="C897" s="64">
        <v>72.92</v>
      </c>
      <c r="D897" s="64">
        <v>74</v>
      </c>
      <c r="E897" s="64">
        <v>3982016</v>
      </c>
      <c r="F897" s="64" t="s">
        <v>895</v>
      </c>
      <c r="G897" s="25">
        <f t="shared" si="12"/>
        <v>4.1891891891892019E-3</v>
      </c>
    </row>
    <row r="898" spans="1:7">
      <c r="A898" s="64">
        <v>74.099999999999994</v>
      </c>
      <c r="B898" s="64">
        <v>74.77</v>
      </c>
      <c r="C898" s="64">
        <v>73.900000000000006</v>
      </c>
      <c r="D898" s="64">
        <v>74.180000000000007</v>
      </c>
      <c r="E898" s="64">
        <v>6162777</v>
      </c>
      <c r="F898" s="64" t="s">
        <v>896</v>
      </c>
      <c r="G898" s="25">
        <f t="shared" si="12"/>
        <v>-1.0784578053385507E-3</v>
      </c>
    </row>
    <row r="899" spans="1:7">
      <c r="A899" s="64">
        <v>75.040000000000006</v>
      </c>
      <c r="B899" s="64">
        <v>75.496600000000001</v>
      </c>
      <c r="C899" s="64">
        <v>74.45</v>
      </c>
      <c r="D899" s="64">
        <v>74.91</v>
      </c>
      <c r="E899" s="64">
        <v>3519694</v>
      </c>
      <c r="F899" s="64" t="s">
        <v>897</v>
      </c>
      <c r="G899" s="25">
        <f t="shared" si="12"/>
        <v>1.7354158323321656E-3</v>
      </c>
    </row>
    <row r="900" spans="1:7">
      <c r="A900" s="64">
        <v>73.72</v>
      </c>
      <c r="B900" s="64">
        <v>74.400000000000006</v>
      </c>
      <c r="C900" s="64">
        <v>73.430000000000007</v>
      </c>
      <c r="D900" s="64">
        <v>74.150000000000006</v>
      </c>
      <c r="E900" s="64">
        <v>3413277</v>
      </c>
      <c r="F900" s="64" t="s">
        <v>898</v>
      </c>
      <c r="G900" s="25">
        <f t="shared" si="12"/>
        <v>-5.7990559676333042E-3</v>
      </c>
    </row>
    <row r="901" spans="1:7">
      <c r="A901" s="64">
        <v>75.03</v>
      </c>
      <c r="B901" s="64">
        <v>76.81</v>
      </c>
      <c r="C901" s="64">
        <v>74.88</v>
      </c>
      <c r="D901" s="64">
        <v>76.099999999999994</v>
      </c>
      <c r="E901" s="64">
        <v>5152034</v>
      </c>
      <c r="F901" s="64" t="s">
        <v>899</v>
      </c>
      <c r="G901" s="25">
        <f t="shared" si="12"/>
        <v>-1.406044678055185E-2</v>
      </c>
    </row>
    <row r="902" spans="1:7">
      <c r="A902" s="64">
        <v>75.959999999999994</v>
      </c>
      <c r="B902" s="64">
        <v>76.45</v>
      </c>
      <c r="C902" s="64">
        <v>74.180000000000007</v>
      </c>
      <c r="D902" s="64">
        <v>74.180000000000007</v>
      </c>
      <c r="E902" s="64">
        <v>7599707</v>
      </c>
      <c r="F902" s="64" t="s">
        <v>900</v>
      </c>
      <c r="G902" s="25">
        <f t="shared" si="12"/>
        <v>2.3995686168778452E-2</v>
      </c>
    </row>
    <row r="903" spans="1:7">
      <c r="A903" s="64">
        <v>73.510000000000005</v>
      </c>
      <c r="B903" s="64">
        <v>75.555000000000007</v>
      </c>
      <c r="C903" s="64">
        <v>73.39</v>
      </c>
      <c r="D903" s="64">
        <v>74.39</v>
      </c>
      <c r="E903" s="64">
        <v>4621025</v>
      </c>
      <c r="F903" s="64" t="s">
        <v>901</v>
      </c>
      <c r="G903" s="25">
        <f t="shared" si="12"/>
        <v>-1.1829546982121242E-2</v>
      </c>
    </row>
    <row r="904" spans="1:7">
      <c r="A904" s="64">
        <v>74.650000000000006</v>
      </c>
      <c r="B904" s="64">
        <v>75.8</v>
      </c>
      <c r="C904" s="64">
        <v>73.2</v>
      </c>
      <c r="D904" s="64">
        <v>73.39</v>
      </c>
      <c r="E904" s="64">
        <v>4984504</v>
      </c>
      <c r="F904" s="64" t="s">
        <v>902</v>
      </c>
      <c r="G904" s="25">
        <f t="shared" si="12"/>
        <v>1.7168551573784052E-2</v>
      </c>
    </row>
    <row r="905" spans="1:7">
      <c r="A905" s="64">
        <v>72.55</v>
      </c>
      <c r="B905" s="64">
        <v>73.66</v>
      </c>
      <c r="C905" s="64">
        <v>71.08</v>
      </c>
      <c r="D905" s="64">
        <v>72.709999999999994</v>
      </c>
      <c r="E905" s="64">
        <v>4030779</v>
      </c>
      <c r="F905" s="64" t="s">
        <v>903</v>
      </c>
      <c r="G905" s="25">
        <f t="shared" si="12"/>
        <v>-2.2005226241231801E-3</v>
      </c>
    </row>
    <row r="906" spans="1:7">
      <c r="A906" s="64">
        <v>69.989999999999995</v>
      </c>
      <c r="B906" s="64">
        <v>71.48</v>
      </c>
      <c r="C906" s="64">
        <v>69.239999999999995</v>
      </c>
      <c r="D906" s="64">
        <v>69.55</v>
      </c>
      <c r="E906" s="64">
        <v>10835834</v>
      </c>
      <c r="F906" s="64" t="s">
        <v>904</v>
      </c>
      <c r="G906" s="25">
        <f t="shared" si="12"/>
        <v>6.3263838964773278E-3</v>
      </c>
    </row>
    <row r="907" spans="1:7">
      <c r="A907" s="64">
        <v>69.69</v>
      </c>
      <c r="B907" s="64">
        <v>69.959999999999994</v>
      </c>
      <c r="C907" s="64">
        <v>67.13</v>
      </c>
      <c r="D907" s="64">
        <v>68.459999999999994</v>
      </c>
      <c r="E907" s="64">
        <v>12586440</v>
      </c>
      <c r="F907" s="64" t="s">
        <v>905</v>
      </c>
      <c r="G907" s="25">
        <f t="shared" si="12"/>
        <v>1.796669588080646E-2</v>
      </c>
    </row>
    <row r="908" spans="1:7">
      <c r="A908" s="64">
        <v>68.77</v>
      </c>
      <c r="B908" s="64">
        <v>70.119399999999999</v>
      </c>
      <c r="C908" s="64">
        <v>68.23</v>
      </c>
      <c r="D908" s="64">
        <v>69.03</v>
      </c>
      <c r="E908" s="64">
        <v>5785246</v>
      </c>
      <c r="F908" s="64" t="s">
        <v>906</v>
      </c>
      <c r="G908" s="25">
        <f t="shared" si="12"/>
        <v>-3.7664783427495685E-3</v>
      </c>
    </row>
    <row r="909" spans="1:7">
      <c r="A909" s="64">
        <v>68.540000000000006</v>
      </c>
      <c r="B909" s="64">
        <v>69.98</v>
      </c>
      <c r="C909" s="64">
        <v>67.37</v>
      </c>
      <c r="D909" s="64">
        <v>69.86</v>
      </c>
      <c r="E909" s="64">
        <v>6172620</v>
      </c>
      <c r="F909" s="64" t="s">
        <v>907</v>
      </c>
      <c r="G909" s="25">
        <f t="shared" si="12"/>
        <v>-1.8894932722587909E-2</v>
      </c>
    </row>
    <row r="910" spans="1:7">
      <c r="A910" s="64">
        <v>68.66</v>
      </c>
      <c r="B910" s="64">
        <v>69.8</v>
      </c>
      <c r="C910" s="64">
        <v>68.03</v>
      </c>
      <c r="D910" s="64">
        <v>69.510000000000005</v>
      </c>
      <c r="E910" s="64">
        <v>12897637</v>
      </c>
      <c r="F910" s="64" t="s">
        <v>908</v>
      </c>
      <c r="G910" s="25">
        <f t="shared" si="12"/>
        <v>-1.2228456337217808E-2</v>
      </c>
    </row>
    <row r="911" spans="1:7">
      <c r="A911" s="64">
        <v>70.31</v>
      </c>
      <c r="B911" s="64">
        <v>73.87</v>
      </c>
      <c r="C911" s="64">
        <v>70.3</v>
      </c>
      <c r="D911" s="64">
        <v>72.59</v>
      </c>
      <c r="E911" s="64">
        <v>11861195</v>
      </c>
      <c r="F911" s="64" t="s">
        <v>909</v>
      </c>
      <c r="G911" s="25">
        <f t="shared" si="12"/>
        <v>-3.1409285025485567E-2</v>
      </c>
    </row>
    <row r="912" spans="1:7">
      <c r="A912" s="64">
        <v>72.59</v>
      </c>
      <c r="B912" s="64">
        <v>74.05</v>
      </c>
      <c r="C912" s="64">
        <v>70.849999999999994</v>
      </c>
      <c r="D912" s="64">
        <v>73.36</v>
      </c>
      <c r="E912" s="64">
        <v>7691438</v>
      </c>
      <c r="F912" s="64" t="s">
        <v>910</v>
      </c>
      <c r="G912" s="25">
        <f t="shared" si="12"/>
        <v>-1.0496183206106791E-2</v>
      </c>
    </row>
    <row r="913" spans="1:7">
      <c r="A913" s="64">
        <v>72.430000000000007</v>
      </c>
      <c r="B913" s="64">
        <v>73.040000000000006</v>
      </c>
      <c r="C913" s="64">
        <v>70.2</v>
      </c>
      <c r="D913" s="64">
        <v>70.5</v>
      </c>
      <c r="E913" s="64">
        <v>8015614</v>
      </c>
      <c r="F913" s="64" t="s">
        <v>911</v>
      </c>
      <c r="G913" s="25">
        <f t="shared" si="12"/>
        <v>2.7375886524822812E-2</v>
      </c>
    </row>
    <row r="914" spans="1:7">
      <c r="A914" s="64">
        <v>70.87</v>
      </c>
      <c r="B914" s="64">
        <v>74</v>
      </c>
      <c r="C914" s="64">
        <v>69.7</v>
      </c>
      <c r="D914" s="64">
        <v>72.61</v>
      </c>
      <c r="E914" s="64">
        <v>18719682</v>
      </c>
      <c r="F914" s="64" t="s">
        <v>912</v>
      </c>
      <c r="G914" s="25">
        <f t="shared" si="12"/>
        <v>-2.3963641371711808E-2</v>
      </c>
    </row>
    <row r="915" spans="1:7">
      <c r="A915" s="64">
        <v>86.3</v>
      </c>
      <c r="B915" s="64">
        <v>87.32</v>
      </c>
      <c r="C915" s="64">
        <v>84.57</v>
      </c>
      <c r="D915" s="64">
        <v>87.13</v>
      </c>
      <c r="E915" s="64">
        <v>4338679</v>
      </c>
      <c r="F915" s="64" t="s">
        <v>913</v>
      </c>
      <c r="G915" s="25">
        <f t="shared" si="12"/>
        <v>-9.5259956387008238E-3</v>
      </c>
    </row>
    <row r="916" spans="1:7">
      <c r="A916" s="64">
        <v>86.76</v>
      </c>
      <c r="B916" s="64">
        <v>89.17</v>
      </c>
      <c r="C916" s="64">
        <v>85.91</v>
      </c>
      <c r="D916" s="64">
        <v>86.34</v>
      </c>
      <c r="E916" s="64">
        <v>4502454</v>
      </c>
      <c r="F916" s="64" t="s">
        <v>914</v>
      </c>
      <c r="G916" s="25">
        <f t="shared" si="12"/>
        <v>4.8644892286309194E-3</v>
      </c>
    </row>
    <row r="917" spans="1:7">
      <c r="A917" s="64">
        <v>85.7</v>
      </c>
      <c r="B917" s="64">
        <v>86.555000000000007</v>
      </c>
      <c r="C917" s="64">
        <v>84.995000000000005</v>
      </c>
      <c r="D917" s="64">
        <v>85.05</v>
      </c>
      <c r="E917" s="64">
        <v>6208024</v>
      </c>
      <c r="F917" s="64" t="s">
        <v>915</v>
      </c>
      <c r="G917" s="25">
        <f t="shared" si="12"/>
        <v>7.6425631981187347E-3</v>
      </c>
    </row>
    <row r="918" spans="1:7">
      <c r="A918" s="64">
        <v>84.91</v>
      </c>
      <c r="B918" s="64">
        <v>86.204999999999998</v>
      </c>
      <c r="C918" s="64">
        <v>84.61</v>
      </c>
      <c r="D918" s="64">
        <v>85.71</v>
      </c>
      <c r="E918" s="64">
        <v>3569551</v>
      </c>
      <c r="F918" s="64" t="s">
        <v>916</v>
      </c>
      <c r="G918" s="25">
        <f t="shared" si="12"/>
        <v>-9.3338000233345042E-3</v>
      </c>
    </row>
    <row r="919" spans="1:7">
      <c r="A919" s="64">
        <v>84.81</v>
      </c>
      <c r="B919" s="64">
        <v>85.08</v>
      </c>
      <c r="C919" s="64">
        <v>82.14</v>
      </c>
      <c r="D919" s="64">
        <v>83.82</v>
      </c>
      <c r="E919" s="64">
        <v>4236936</v>
      </c>
      <c r="F919" s="64" t="s">
        <v>917</v>
      </c>
      <c r="G919" s="25">
        <f t="shared" si="12"/>
        <v>1.1811023622047445E-2</v>
      </c>
    </row>
    <row r="920" spans="1:7">
      <c r="A920" s="64">
        <v>83.68</v>
      </c>
      <c r="B920" s="64">
        <v>86.06</v>
      </c>
      <c r="C920" s="64">
        <v>83.405000000000001</v>
      </c>
      <c r="D920" s="64">
        <v>85.72</v>
      </c>
      <c r="E920" s="64">
        <v>3838907</v>
      </c>
      <c r="F920" s="64" t="s">
        <v>918</v>
      </c>
      <c r="G920" s="25">
        <f t="shared" si="12"/>
        <v>-2.3798413439103938E-2</v>
      </c>
    </row>
    <row r="921" spans="1:7">
      <c r="A921" s="64">
        <v>85.95</v>
      </c>
      <c r="B921" s="64">
        <v>86.77</v>
      </c>
      <c r="C921" s="64">
        <v>85</v>
      </c>
      <c r="D921" s="64">
        <v>85.52</v>
      </c>
      <c r="E921" s="64">
        <v>2000839</v>
      </c>
      <c r="F921" s="64" t="s">
        <v>919</v>
      </c>
      <c r="G921" s="25">
        <f t="shared" si="12"/>
        <v>5.0280636108512855E-3</v>
      </c>
    </row>
    <row r="922" spans="1:7">
      <c r="A922" s="64">
        <v>86.26</v>
      </c>
      <c r="B922" s="64">
        <v>88.49</v>
      </c>
      <c r="C922" s="64">
        <v>85.7</v>
      </c>
      <c r="D922" s="64">
        <v>87.56</v>
      </c>
      <c r="E922" s="64">
        <v>2977285</v>
      </c>
      <c r="F922" s="64" t="s">
        <v>920</v>
      </c>
      <c r="G922" s="25">
        <f t="shared" si="12"/>
        <v>-1.4846962083142956E-2</v>
      </c>
    </row>
    <row r="923" spans="1:7">
      <c r="A923" s="64">
        <v>85.49</v>
      </c>
      <c r="B923" s="64">
        <v>85.76</v>
      </c>
      <c r="C923" s="64">
        <v>83.174999999999997</v>
      </c>
      <c r="D923" s="64">
        <v>83.79</v>
      </c>
      <c r="E923" s="64">
        <v>3224783</v>
      </c>
      <c r="F923" s="64" t="s">
        <v>921</v>
      </c>
      <c r="G923" s="25">
        <f t="shared" si="12"/>
        <v>2.0288817281298277E-2</v>
      </c>
    </row>
    <row r="924" spans="1:7">
      <c r="A924" s="64">
        <v>82.42</v>
      </c>
      <c r="B924" s="64">
        <v>85.8</v>
      </c>
      <c r="C924" s="64">
        <v>81.849999999999994</v>
      </c>
      <c r="D924" s="64">
        <v>84.77</v>
      </c>
      <c r="E924" s="64">
        <v>2354559</v>
      </c>
      <c r="F924" s="64" t="s">
        <v>922</v>
      </c>
      <c r="G924" s="25">
        <f t="shared" si="12"/>
        <v>-2.7722071487554456E-2</v>
      </c>
    </row>
    <row r="925" spans="1:7">
      <c r="A925" s="64">
        <v>84.22</v>
      </c>
      <c r="B925" s="64">
        <v>85</v>
      </c>
      <c r="C925" s="64">
        <v>80.69</v>
      </c>
      <c r="D925" s="64">
        <v>80.83</v>
      </c>
      <c r="E925" s="64">
        <v>2564693</v>
      </c>
      <c r="F925" s="64" t="s">
        <v>923</v>
      </c>
      <c r="G925" s="25">
        <f t="shared" si="12"/>
        <v>4.1939873809229145E-2</v>
      </c>
    </row>
    <row r="926" spans="1:7">
      <c r="A926" s="64">
        <v>82.65</v>
      </c>
      <c r="B926" s="64">
        <v>84.15</v>
      </c>
      <c r="C926" s="64">
        <v>82.16</v>
      </c>
      <c r="D926" s="64">
        <v>83.07</v>
      </c>
      <c r="E926" s="64">
        <v>2487682</v>
      </c>
      <c r="F926" s="64" t="s">
        <v>924</v>
      </c>
      <c r="G926" s="25">
        <f t="shared" si="12"/>
        <v>-5.0559768869626875E-3</v>
      </c>
    </row>
    <row r="927" spans="1:7">
      <c r="A927" s="64">
        <v>82.15</v>
      </c>
      <c r="B927" s="64">
        <v>83.09</v>
      </c>
      <c r="C927" s="64">
        <v>80.900000000000006</v>
      </c>
      <c r="D927" s="64">
        <v>82.12</v>
      </c>
      <c r="E927" s="64">
        <v>2318043</v>
      </c>
      <c r="F927" s="64" t="s">
        <v>925</v>
      </c>
      <c r="G927" s="25">
        <f t="shared" si="12"/>
        <v>3.6531904529968351E-4</v>
      </c>
    </row>
    <row r="928" spans="1:7">
      <c r="A928" s="64">
        <v>82.75</v>
      </c>
      <c r="B928" s="64">
        <v>85</v>
      </c>
      <c r="C928" s="64">
        <v>82.4</v>
      </c>
      <c r="D928" s="64">
        <v>84.9</v>
      </c>
      <c r="E928" s="64">
        <v>1666855</v>
      </c>
      <c r="F928" s="64" t="s">
        <v>926</v>
      </c>
      <c r="G928" s="25">
        <f t="shared" si="12"/>
        <v>-2.5323910482921153E-2</v>
      </c>
    </row>
    <row r="929" spans="1:7">
      <c r="A929" s="64">
        <v>84.23</v>
      </c>
      <c r="B929" s="64">
        <v>85.73</v>
      </c>
      <c r="C929" s="64">
        <v>83.66</v>
      </c>
      <c r="D929" s="64">
        <v>85.57</v>
      </c>
      <c r="E929" s="64">
        <v>2294206</v>
      </c>
      <c r="F929" s="64" t="s">
        <v>927</v>
      </c>
      <c r="G929" s="25">
        <f t="shared" si="12"/>
        <v>-1.5659693817926756E-2</v>
      </c>
    </row>
    <row r="930" spans="1:7">
      <c r="A930" s="64">
        <v>86.48</v>
      </c>
      <c r="B930" s="64">
        <v>88.09</v>
      </c>
      <c r="C930" s="64">
        <v>86.3</v>
      </c>
      <c r="D930" s="64">
        <v>86.86</v>
      </c>
      <c r="E930" s="64">
        <v>2170206</v>
      </c>
      <c r="F930" s="64" t="s">
        <v>928</v>
      </c>
      <c r="G930" s="25">
        <f t="shared" si="12"/>
        <v>-4.3748560902601152E-3</v>
      </c>
    </row>
    <row r="931" spans="1:7">
      <c r="A931" s="64">
        <v>87.44</v>
      </c>
      <c r="B931" s="64">
        <v>87.89</v>
      </c>
      <c r="C931" s="64">
        <v>85.64</v>
      </c>
      <c r="D931" s="64">
        <v>85.91</v>
      </c>
      <c r="E931" s="64">
        <v>2971486</v>
      </c>
      <c r="F931" s="64" t="s">
        <v>929</v>
      </c>
      <c r="G931" s="25">
        <f t="shared" si="12"/>
        <v>1.7809335350948752E-2</v>
      </c>
    </row>
    <row r="932" spans="1:7">
      <c r="A932" s="64">
        <v>87.18</v>
      </c>
      <c r="B932" s="64">
        <v>88.4</v>
      </c>
      <c r="C932" s="64">
        <v>86.58</v>
      </c>
      <c r="D932" s="64">
        <v>86.95</v>
      </c>
      <c r="E932" s="64">
        <v>2391058</v>
      </c>
      <c r="F932" s="64" t="s">
        <v>930</v>
      </c>
      <c r="G932" s="25">
        <f t="shared" si="12"/>
        <v>2.6451983898791998E-3</v>
      </c>
    </row>
    <row r="933" spans="1:7">
      <c r="A933" s="64">
        <v>85.46</v>
      </c>
      <c r="B933" s="64">
        <v>86.01</v>
      </c>
      <c r="C933" s="64">
        <v>83.15</v>
      </c>
      <c r="D933" s="64">
        <v>83.65</v>
      </c>
      <c r="E933" s="64">
        <v>2178127</v>
      </c>
      <c r="F933" s="64" t="s">
        <v>931</v>
      </c>
      <c r="G933" s="25">
        <f t="shared" si="12"/>
        <v>2.1637776449491719E-2</v>
      </c>
    </row>
    <row r="934" spans="1:7">
      <c r="A934" s="64">
        <v>82.63</v>
      </c>
      <c r="B934" s="64">
        <v>85.84</v>
      </c>
      <c r="C934" s="64">
        <v>82.5</v>
      </c>
      <c r="D934" s="64">
        <v>84</v>
      </c>
      <c r="E934" s="64">
        <v>2726086</v>
      </c>
      <c r="F934" s="64" t="s">
        <v>932</v>
      </c>
      <c r="G934" s="25">
        <f t="shared" si="12"/>
        <v>-1.6309523809523885E-2</v>
      </c>
    </row>
    <row r="935" spans="1:7">
      <c r="A935" s="64">
        <v>83.83</v>
      </c>
      <c r="B935" s="64">
        <v>84.43</v>
      </c>
      <c r="C935" s="64">
        <v>82.79</v>
      </c>
      <c r="D935" s="64">
        <v>83.47</v>
      </c>
      <c r="E935" s="64">
        <v>2659557</v>
      </c>
      <c r="F935" s="64" t="s">
        <v>933</v>
      </c>
      <c r="G935" s="25">
        <f t="shared" si="12"/>
        <v>4.3129268000479115E-3</v>
      </c>
    </row>
    <row r="936" spans="1:7">
      <c r="A936" s="64">
        <v>84.24</v>
      </c>
      <c r="B936" s="64">
        <v>84.65</v>
      </c>
      <c r="C936" s="64">
        <v>82.024199999999993</v>
      </c>
      <c r="D936" s="64">
        <v>82.71</v>
      </c>
      <c r="E936" s="64">
        <v>2874139</v>
      </c>
      <c r="F936" s="64" t="s">
        <v>934</v>
      </c>
      <c r="G936" s="25">
        <f t="shared" si="12"/>
        <v>1.8498367791077275E-2</v>
      </c>
    </row>
    <row r="937" spans="1:7">
      <c r="A937" s="64">
        <v>82.37</v>
      </c>
      <c r="B937" s="64">
        <v>84.6</v>
      </c>
      <c r="C937" s="64">
        <v>81.87</v>
      </c>
      <c r="D937" s="64">
        <v>84.34</v>
      </c>
      <c r="E937" s="64">
        <v>3106340</v>
      </c>
      <c r="F937" s="64" t="s">
        <v>935</v>
      </c>
      <c r="G937" s="25">
        <f t="shared" si="12"/>
        <v>-2.3357837325112651E-2</v>
      </c>
    </row>
    <row r="938" spans="1:7">
      <c r="A938" s="64">
        <v>83.59</v>
      </c>
      <c r="B938" s="64">
        <v>85.12</v>
      </c>
      <c r="C938" s="64">
        <v>83.31</v>
      </c>
      <c r="D938" s="64">
        <v>84.09</v>
      </c>
      <c r="E938" s="64">
        <v>2030224</v>
      </c>
      <c r="F938" s="64" t="s">
        <v>936</v>
      </c>
      <c r="G938" s="25">
        <f t="shared" si="12"/>
        <v>-5.9460102271375881E-3</v>
      </c>
    </row>
    <row r="939" spans="1:7">
      <c r="A939" s="64">
        <v>84.74</v>
      </c>
      <c r="B939" s="64">
        <v>84.86</v>
      </c>
      <c r="C939" s="64">
        <v>82.92</v>
      </c>
      <c r="D939" s="64">
        <v>83.83</v>
      </c>
      <c r="E939" s="64">
        <v>3318619</v>
      </c>
      <c r="F939" s="64" t="s">
        <v>937</v>
      </c>
      <c r="G939" s="25">
        <f t="shared" si="12"/>
        <v>1.0855302397709599E-2</v>
      </c>
    </row>
    <row r="940" spans="1:7">
      <c r="A940" s="64">
        <v>84.17</v>
      </c>
      <c r="B940" s="64">
        <v>85.38</v>
      </c>
      <c r="C940" s="64">
        <v>83.42</v>
      </c>
      <c r="D940" s="64">
        <v>84.85</v>
      </c>
      <c r="E940" s="64">
        <v>2751210</v>
      </c>
      <c r="F940" s="64" t="s">
        <v>938</v>
      </c>
      <c r="G940" s="25">
        <f t="shared" si="12"/>
        <v>-8.0141426045962083E-3</v>
      </c>
    </row>
    <row r="941" spans="1:7">
      <c r="A941" s="64">
        <v>85.22</v>
      </c>
      <c r="B941" s="64">
        <v>88.68</v>
      </c>
      <c r="C941" s="64">
        <v>85.18</v>
      </c>
      <c r="D941" s="64">
        <v>87.33</v>
      </c>
      <c r="E941" s="64">
        <v>2167434</v>
      </c>
      <c r="F941" s="64" t="s">
        <v>939</v>
      </c>
      <c r="G941" s="25">
        <f t="shared" si="12"/>
        <v>-2.4161227527768281E-2</v>
      </c>
    </row>
    <row r="942" spans="1:7">
      <c r="A942" s="64">
        <v>87.19</v>
      </c>
      <c r="B942" s="64">
        <v>88.584999999999994</v>
      </c>
      <c r="C942" s="64">
        <v>86.185000000000002</v>
      </c>
      <c r="D942" s="64">
        <v>88</v>
      </c>
      <c r="E942" s="64">
        <v>3732059</v>
      </c>
      <c r="F942" s="64" t="s">
        <v>940</v>
      </c>
      <c r="G942" s="25">
        <f t="shared" si="12"/>
        <v>-9.2045454545455208E-3</v>
      </c>
    </row>
    <row r="943" spans="1:7">
      <c r="A943" s="64">
        <v>88.83</v>
      </c>
      <c r="B943" s="64">
        <v>92.65</v>
      </c>
      <c r="C943" s="64">
        <v>88</v>
      </c>
      <c r="D943" s="64">
        <v>92.43</v>
      </c>
      <c r="E943" s="64">
        <v>4470278</v>
      </c>
      <c r="F943" s="64" t="s">
        <v>941</v>
      </c>
      <c r="G943" s="25">
        <f t="shared" si="12"/>
        <v>-3.8948393378773205E-2</v>
      </c>
    </row>
    <row r="944" spans="1:7">
      <c r="A944" s="64">
        <v>93.35</v>
      </c>
      <c r="B944" s="64">
        <v>94.1</v>
      </c>
      <c r="C944" s="64">
        <v>91.95</v>
      </c>
      <c r="D944" s="64">
        <v>94.1</v>
      </c>
      <c r="E944" s="64">
        <v>3344314</v>
      </c>
      <c r="F944" s="64" t="s">
        <v>942</v>
      </c>
      <c r="G944" s="25">
        <f t="shared" si="12"/>
        <v>-7.9702444208289425E-3</v>
      </c>
    </row>
    <row r="945" spans="1:7">
      <c r="A945" s="64">
        <v>94.88</v>
      </c>
      <c r="B945" s="64">
        <v>98.35</v>
      </c>
      <c r="C945" s="64">
        <v>94.4</v>
      </c>
      <c r="D945" s="64">
        <v>94.68</v>
      </c>
      <c r="E945" s="64">
        <v>2570352</v>
      </c>
      <c r="F945" s="64" t="s">
        <v>943</v>
      </c>
      <c r="G945" s="25">
        <f t="shared" si="12"/>
        <v>2.1123785382339832E-3</v>
      </c>
    </row>
    <row r="946" spans="1:7">
      <c r="A946" s="64">
        <v>94.12</v>
      </c>
      <c r="B946" s="64">
        <v>94.9</v>
      </c>
      <c r="C946" s="64">
        <v>93.2</v>
      </c>
      <c r="D946" s="64">
        <v>94.3</v>
      </c>
      <c r="E946" s="64">
        <v>1627444</v>
      </c>
      <c r="F946" s="64" t="s">
        <v>944</v>
      </c>
      <c r="G946" s="25">
        <f t="shared" si="12"/>
        <v>-1.908801696712592E-3</v>
      </c>
    </row>
    <row r="947" spans="1:7">
      <c r="A947" s="64">
        <v>94.28</v>
      </c>
      <c r="B947" s="64">
        <v>95.58</v>
      </c>
      <c r="C947" s="64">
        <v>94.034999999999997</v>
      </c>
      <c r="D947" s="64">
        <v>94.93</v>
      </c>
      <c r="E947" s="64">
        <v>2178029</v>
      </c>
      <c r="F947" s="64" t="s">
        <v>945</v>
      </c>
      <c r="G947" s="25">
        <f t="shared" si="12"/>
        <v>-6.8471505319709358E-3</v>
      </c>
    </row>
    <row r="948" spans="1:7">
      <c r="A948" s="64">
        <v>97.36</v>
      </c>
      <c r="B948" s="64">
        <v>98.09</v>
      </c>
      <c r="C948" s="64">
        <v>96.861500000000007</v>
      </c>
      <c r="D948" s="64">
        <v>97.54</v>
      </c>
      <c r="E948" s="64">
        <v>2723058</v>
      </c>
      <c r="F948" s="64" t="s">
        <v>946</v>
      </c>
      <c r="G948" s="25">
        <f t="shared" si="12"/>
        <v>-1.845396760303486E-3</v>
      </c>
    </row>
    <row r="949" spans="1:7">
      <c r="A949" s="64">
        <v>97.25</v>
      </c>
      <c r="B949" s="64">
        <v>97.74</v>
      </c>
      <c r="C949" s="64">
        <v>95</v>
      </c>
      <c r="D949" s="64">
        <v>95.74</v>
      </c>
      <c r="E949" s="64">
        <v>2867279</v>
      </c>
      <c r="F949" s="64" t="s">
        <v>947</v>
      </c>
      <c r="G949" s="25">
        <f t="shared" si="12"/>
        <v>1.5771882180906749E-2</v>
      </c>
    </row>
    <row r="950" spans="1:7">
      <c r="A950" s="64">
        <v>95.52</v>
      </c>
      <c r="B950" s="64">
        <v>95.56</v>
      </c>
      <c r="C950" s="64">
        <v>90.892899999999997</v>
      </c>
      <c r="D950" s="64">
        <v>90.94</v>
      </c>
      <c r="E950" s="64">
        <v>4008210</v>
      </c>
      <c r="F950" s="64" t="s">
        <v>948</v>
      </c>
      <c r="G950" s="25">
        <f t="shared" si="12"/>
        <v>5.0362876621948605E-2</v>
      </c>
    </row>
    <row r="951" spans="1:7">
      <c r="A951" s="64">
        <v>91.98</v>
      </c>
      <c r="B951" s="64">
        <v>92.29</v>
      </c>
      <c r="C951" s="64">
        <v>88.88</v>
      </c>
      <c r="D951" s="64">
        <v>88.88</v>
      </c>
      <c r="E951" s="64">
        <v>3119239</v>
      </c>
      <c r="F951" s="64" t="s">
        <v>949</v>
      </c>
      <c r="G951" s="25">
        <f t="shared" si="12"/>
        <v>3.4878487848784889E-2</v>
      </c>
    </row>
    <row r="952" spans="1:7">
      <c r="A952" s="64">
        <v>89.06</v>
      </c>
      <c r="B952" s="64">
        <v>89.78</v>
      </c>
      <c r="C952" s="64">
        <v>88.24</v>
      </c>
      <c r="D952" s="64">
        <v>89</v>
      </c>
      <c r="E952" s="64">
        <v>2172740</v>
      </c>
      <c r="F952" s="64" t="s">
        <v>950</v>
      </c>
      <c r="G952" s="25">
        <f t="shared" si="12"/>
        <v>6.7415730337083701E-4</v>
      </c>
    </row>
    <row r="953" spans="1:7">
      <c r="A953" s="64">
        <v>88.69</v>
      </c>
      <c r="B953" s="64">
        <v>91.34</v>
      </c>
      <c r="C953" s="64">
        <v>88.105000000000004</v>
      </c>
      <c r="D953" s="64">
        <v>91.24</v>
      </c>
      <c r="E953" s="64">
        <v>1920439</v>
      </c>
      <c r="F953" s="64" t="s">
        <v>951</v>
      </c>
      <c r="G953" s="25">
        <f t="shared" si="12"/>
        <v>-2.7948268303375712E-2</v>
      </c>
    </row>
    <row r="954" spans="1:7">
      <c r="A954" s="64">
        <v>90.12</v>
      </c>
      <c r="B954" s="64">
        <v>90.22</v>
      </c>
      <c r="C954" s="64">
        <v>87.94</v>
      </c>
      <c r="D954" s="64">
        <v>89.4</v>
      </c>
      <c r="E954" s="64">
        <v>4041294</v>
      </c>
      <c r="F954" s="64" t="s">
        <v>952</v>
      </c>
      <c r="G954" s="25">
        <f t="shared" si="12"/>
        <v>8.0536912751678624E-3</v>
      </c>
    </row>
    <row r="955" spans="1:7">
      <c r="A955" s="64">
        <v>90.1</v>
      </c>
      <c r="B955" s="64">
        <v>92.155000000000001</v>
      </c>
      <c r="C955" s="64">
        <v>90.06</v>
      </c>
      <c r="D955" s="64">
        <v>91.46</v>
      </c>
      <c r="E955" s="64">
        <v>2786699</v>
      </c>
      <c r="F955" s="64" t="s">
        <v>953</v>
      </c>
      <c r="G955" s="25">
        <f t="shared" si="12"/>
        <v>-1.4869888475836479E-2</v>
      </c>
    </row>
    <row r="956" spans="1:7">
      <c r="A956" s="64">
        <v>90.43</v>
      </c>
      <c r="B956" s="64">
        <v>91.93</v>
      </c>
      <c r="C956" s="64">
        <v>89.780500000000004</v>
      </c>
      <c r="D956" s="64">
        <v>91.36</v>
      </c>
      <c r="E956" s="64">
        <v>2900619</v>
      </c>
      <c r="F956" s="64" t="s">
        <v>954</v>
      </c>
      <c r="G956" s="25">
        <f t="shared" si="12"/>
        <v>-1.0179509632224137E-2</v>
      </c>
    </row>
    <row r="957" spans="1:7">
      <c r="A957" s="64">
        <v>90.36</v>
      </c>
      <c r="B957" s="64">
        <v>90.76</v>
      </c>
      <c r="C957" s="64">
        <v>89.43</v>
      </c>
      <c r="D957" s="64">
        <v>90.27</v>
      </c>
      <c r="E957" s="64">
        <v>2607270</v>
      </c>
      <c r="F957" s="64" t="s">
        <v>955</v>
      </c>
      <c r="G957" s="25">
        <f t="shared" si="12"/>
        <v>9.9700897308085956E-4</v>
      </c>
    </row>
    <row r="958" spans="1:7">
      <c r="A958" s="64">
        <v>91.24</v>
      </c>
      <c r="B958" s="64">
        <v>96.34</v>
      </c>
      <c r="C958" s="64">
        <v>91.08</v>
      </c>
      <c r="D958" s="64">
        <v>95.99</v>
      </c>
      <c r="E958" s="64">
        <v>2210263</v>
      </c>
      <c r="F958" s="64" t="s">
        <v>956</v>
      </c>
      <c r="G958" s="25">
        <f t="shared" si="12"/>
        <v>-4.9484321283467025E-2</v>
      </c>
    </row>
    <row r="959" spans="1:7">
      <c r="A959" s="64">
        <v>96.65</v>
      </c>
      <c r="B959" s="64">
        <v>96.67</v>
      </c>
      <c r="C959" s="64">
        <v>95.13</v>
      </c>
      <c r="D959" s="64">
        <v>95.98</v>
      </c>
      <c r="E959" s="64">
        <v>1753201</v>
      </c>
      <c r="F959" s="64" t="s">
        <v>957</v>
      </c>
      <c r="G959" s="25">
        <f t="shared" ref="G959:G1022" si="13">A959/D959-1</f>
        <v>6.9806209627005789E-3</v>
      </c>
    </row>
    <row r="960" spans="1:7">
      <c r="A960" s="64">
        <v>94.96</v>
      </c>
      <c r="B960" s="64">
        <v>95.59</v>
      </c>
      <c r="C960" s="64">
        <v>93.5</v>
      </c>
      <c r="D960" s="64">
        <v>94.82</v>
      </c>
      <c r="E960" s="64">
        <v>2546538</v>
      </c>
      <c r="F960" s="64" t="s">
        <v>958</v>
      </c>
      <c r="G960" s="25">
        <f t="shared" si="13"/>
        <v>1.4764817549040021E-3</v>
      </c>
    </row>
    <row r="961" spans="1:7">
      <c r="A961" s="64">
        <v>94.15</v>
      </c>
      <c r="B961" s="64">
        <v>95.3</v>
      </c>
      <c r="C961" s="64">
        <v>93.57</v>
      </c>
      <c r="D961" s="64">
        <v>95.3</v>
      </c>
      <c r="E961" s="64">
        <v>2289460</v>
      </c>
      <c r="F961" s="64" t="s">
        <v>959</v>
      </c>
      <c r="G961" s="25">
        <f t="shared" si="13"/>
        <v>-1.206715634837352E-2</v>
      </c>
    </row>
    <row r="962" spans="1:7">
      <c r="A962" s="64">
        <v>95.87</v>
      </c>
      <c r="B962" s="64">
        <v>98.22</v>
      </c>
      <c r="C962" s="64">
        <v>95.515000000000001</v>
      </c>
      <c r="D962" s="64">
        <v>97.16</v>
      </c>
      <c r="E962" s="64">
        <v>2073211</v>
      </c>
      <c r="F962" s="64" t="s">
        <v>960</v>
      </c>
      <c r="G962" s="25">
        <f t="shared" si="13"/>
        <v>-1.3277068752572951E-2</v>
      </c>
    </row>
    <row r="963" spans="1:7">
      <c r="A963" s="64">
        <v>98.55</v>
      </c>
      <c r="B963" s="64">
        <v>99.4</v>
      </c>
      <c r="C963" s="64">
        <v>97.62</v>
      </c>
      <c r="D963" s="64">
        <v>99.22</v>
      </c>
      <c r="E963" s="64">
        <v>2610651</v>
      </c>
      <c r="F963" s="64" t="s">
        <v>961</v>
      </c>
      <c r="G963" s="25">
        <f t="shared" si="13"/>
        <v>-6.7526708324934237E-3</v>
      </c>
    </row>
    <row r="964" spans="1:7">
      <c r="A964" s="64">
        <v>99.51</v>
      </c>
      <c r="B964" s="64">
        <v>100.57</v>
      </c>
      <c r="C964" s="64">
        <v>98.31</v>
      </c>
      <c r="D964" s="64">
        <v>100.42</v>
      </c>
      <c r="E964" s="64">
        <v>2320704</v>
      </c>
      <c r="F964" s="64" t="s">
        <v>962</v>
      </c>
      <c r="G964" s="25">
        <f t="shared" si="13"/>
        <v>-9.0619398526189388E-3</v>
      </c>
    </row>
    <row r="965" spans="1:7">
      <c r="A965" s="64">
        <v>100.53</v>
      </c>
      <c r="B965" s="64">
        <v>102.12</v>
      </c>
      <c r="C965" s="64">
        <v>100.23</v>
      </c>
      <c r="D965" s="64">
        <v>101.45</v>
      </c>
      <c r="E965" s="64">
        <v>2787750</v>
      </c>
      <c r="F965" s="64" t="s">
        <v>963</v>
      </c>
      <c r="G965" s="25">
        <f t="shared" si="13"/>
        <v>-9.0685066535238779E-3</v>
      </c>
    </row>
    <row r="966" spans="1:7">
      <c r="A966" s="64">
        <v>102.28</v>
      </c>
      <c r="B966" s="64">
        <v>104.125</v>
      </c>
      <c r="C966" s="64">
        <v>101.895</v>
      </c>
      <c r="D966" s="64">
        <v>104.07</v>
      </c>
      <c r="E966" s="64">
        <v>2969727</v>
      </c>
      <c r="F966" s="64" t="s">
        <v>964</v>
      </c>
      <c r="G966" s="25">
        <f t="shared" si="13"/>
        <v>-1.7199961564331678E-2</v>
      </c>
    </row>
    <row r="967" spans="1:7">
      <c r="A967" s="64">
        <v>104.74</v>
      </c>
      <c r="B967" s="64">
        <v>105.44970000000001</v>
      </c>
      <c r="C967" s="64">
        <v>103.34</v>
      </c>
      <c r="D967" s="64">
        <v>104.52</v>
      </c>
      <c r="E967" s="64">
        <v>2183630</v>
      </c>
      <c r="F967" s="64" t="s">
        <v>965</v>
      </c>
      <c r="G967" s="25">
        <f t="shared" si="13"/>
        <v>2.1048603138156263E-3</v>
      </c>
    </row>
    <row r="968" spans="1:7">
      <c r="A968" s="64">
        <v>104.8</v>
      </c>
      <c r="B968" s="64">
        <v>104.935</v>
      </c>
      <c r="C968" s="64">
        <v>103.12</v>
      </c>
      <c r="D968" s="64">
        <v>104.16</v>
      </c>
      <c r="E968" s="64">
        <v>1609640</v>
      </c>
      <c r="F968" s="64" t="s">
        <v>966</v>
      </c>
      <c r="G968" s="25">
        <f t="shared" si="13"/>
        <v>6.1443932411673341E-3</v>
      </c>
    </row>
    <row r="969" spans="1:7">
      <c r="A969" s="64">
        <v>103.92</v>
      </c>
      <c r="B969" s="64">
        <v>105.79</v>
      </c>
      <c r="C969" s="64">
        <v>103.575</v>
      </c>
      <c r="D969" s="64">
        <v>104.54</v>
      </c>
      <c r="E969" s="64">
        <v>1800070</v>
      </c>
      <c r="F969" s="64" t="s">
        <v>967</v>
      </c>
      <c r="G969" s="25">
        <f t="shared" si="13"/>
        <v>-5.9307442127415344E-3</v>
      </c>
    </row>
    <row r="970" spans="1:7">
      <c r="A970" s="64">
        <v>103.86</v>
      </c>
      <c r="B970" s="64">
        <v>103.98</v>
      </c>
      <c r="C970" s="64">
        <v>102.3969</v>
      </c>
      <c r="D970" s="64">
        <v>103.55</v>
      </c>
      <c r="E970" s="64">
        <v>1979743</v>
      </c>
      <c r="F970" s="64" t="s">
        <v>968</v>
      </c>
      <c r="G970" s="25">
        <f t="shared" si="13"/>
        <v>2.9937228392080684E-3</v>
      </c>
    </row>
    <row r="971" spans="1:7">
      <c r="A971" s="64">
        <v>101.44</v>
      </c>
      <c r="B971" s="64">
        <v>105.27</v>
      </c>
      <c r="C971" s="64">
        <v>101.24</v>
      </c>
      <c r="D971" s="64">
        <v>105.01</v>
      </c>
      <c r="E971" s="64">
        <v>2802910</v>
      </c>
      <c r="F971" s="64" t="s">
        <v>969</v>
      </c>
      <c r="G971" s="25">
        <f t="shared" si="13"/>
        <v>-3.3996762213122644E-2</v>
      </c>
    </row>
    <row r="972" spans="1:7">
      <c r="A972" s="64">
        <v>105.46</v>
      </c>
      <c r="B972" s="64">
        <v>107.18</v>
      </c>
      <c r="C972" s="64">
        <v>104.9</v>
      </c>
      <c r="D972" s="64">
        <v>106.81</v>
      </c>
      <c r="E972" s="64">
        <v>1914420</v>
      </c>
      <c r="F972" s="64" t="s">
        <v>970</v>
      </c>
      <c r="G972" s="25">
        <f t="shared" si="13"/>
        <v>-1.2639265986330916E-2</v>
      </c>
    </row>
    <row r="973" spans="1:7">
      <c r="A973" s="64">
        <v>106.12</v>
      </c>
      <c r="B973" s="64">
        <v>106.26</v>
      </c>
      <c r="C973" s="64">
        <v>103.47</v>
      </c>
      <c r="D973" s="64">
        <v>103.66</v>
      </c>
      <c r="E973" s="64">
        <v>2033510</v>
      </c>
      <c r="F973" s="64" t="s">
        <v>971</v>
      </c>
      <c r="G973" s="25">
        <f t="shared" si="13"/>
        <v>2.3731429673934157E-2</v>
      </c>
    </row>
    <row r="974" spans="1:7">
      <c r="A974" s="64">
        <v>104.85</v>
      </c>
      <c r="B974" s="64">
        <v>104.88</v>
      </c>
      <c r="C974" s="64">
        <v>102.95</v>
      </c>
      <c r="D974" s="64">
        <v>103.68</v>
      </c>
      <c r="E974" s="64">
        <v>1849279</v>
      </c>
      <c r="F974" s="64" t="s">
        <v>972</v>
      </c>
      <c r="G974" s="25">
        <f t="shared" si="13"/>
        <v>1.1284722222222099E-2</v>
      </c>
    </row>
    <row r="975" spans="1:7">
      <c r="A975" s="64">
        <v>103.45</v>
      </c>
      <c r="B975" s="64">
        <v>104.06</v>
      </c>
      <c r="C975" s="64">
        <v>101.22</v>
      </c>
      <c r="D975" s="64">
        <v>102.21</v>
      </c>
      <c r="E975" s="64">
        <v>1896210</v>
      </c>
      <c r="F975" s="64" t="s">
        <v>973</v>
      </c>
      <c r="G975" s="25">
        <f t="shared" si="13"/>
        <v>1.2131885334116133E-2</v>
      </c>
    </row>
    <row r="976" spans="1:7">
      <c r="A976" s="64">
        <v>102.22</v>
      </c>
      <c r="B976" s="64">
        <v>103.45</v>
      </c>
      <c r="C976" s="64">
        <v>98.9</v>
      </c>
      <c r="D976" s="64">
        <v>99</v>
      </c>
      <c r="E976" s="64">
        <v>2410226</v>
      </c>
      <c r="F976" s="64" t="s">
        <v>974</v>
      </c>
      <c r="G976" s="25">
        <f t="shared" si="13"/>
        <v>3.2525252525252624E-2</v>
      </c>
    </row>
    <row r="977" spans="1:7">
      <c r="A977" s="64">
        <v>99.45</v>
      </c>
      <c r="B977" s="64">
        <v>100.73</v>
      </c>
      <c r="C977" s="64">
        <v>99.14</v>
      </c>
      <c r="D977" s="64">
        <v>99.81</v>
      </c>
      <c r="E977" s="64">
        <v>2992044</v>
      </c>
      <c r="F977" s="64" t="s">
        <v>975</v>
      </c>
      <c r="G977" s="25">
        <f t="shared" si="13"/>
        <v>-3.6068530207393756E-3</v>
      </c>
    </row>
    <row r="978" spans="1:7">
      <c r="A978" s="64">
        <v>100.54</v>
      </c>
      <c r="B978" s="64">
        <v>101.98</v>
      </c>
      <c r="C978" s="64">
        <v>98.67</v>
      </c>
      <c r="D978" s="64">
        <v>100.04</v>
      </c>
      <c r="E978" s="64">
        <v>7246633</v>
      </c>
      <c r="F978" s="64" t="s">
        <v>976</v>
      </c>
      <c r="G978" s="25">
        <f t="shared" si="13"/>
        <v>4.9980007996801579E-3</v>
      </c>
    </row>
    <row r="979" spans="1:7">
      <c r="A979" s="64">
        <v>107.29</v>
      </c>
      <c r="B979" s="64">
        <v>107.92</v>
      </c>
      <c r="C979" s="64">
        <v>103.72499999999999</v>
      </c>
      <c r="D979" s="64">
        <v>105.8</v>
      </c>
      <c r="E979" s="64">
        <v>3032134</v>
      </c>
      <c r="F979" s="64" t="s">
        <v>977</v>
      </c>
      <c r="G979" s="25">
        <f t="shared" si="13"/>
        <v>1.4083175803402792E-2</v>
      </c>
    </row>
    <row r="980" spans="1:7">
      <c r="A980" s="64">
        <v>105.61</v>
      </c>
      <c r="B980" s="64">
        <v>106.15</v>
      </c>
      <c r="C980" s="64">
        <v>103.41500000000001</v>
      </c>
      <c r="D980" s="64">
        <v>103.67</v>
      </c>
      <c r="E980" s="64">
        <v>2557273</v>
      </c>
      <c r="F980" s="64" t="s">
        <v>978</v>
      </c>
      <c r="G980" s="25">
        <f t="shared" si="13"/>
        <v>1.8713224655155791E-2</v>
      </c>
    </row>
    <row r="981" spans="1:7">
      <c r="A981" s="64">
        <v>102.13</v>
      </c>
      <c r="B981" s="64">
        <v>102.5</v>
      </c>
      <c r="C981" s="64">
        <v>101.29</v>
      </c>
      <c r="D981" s="64">
        <v>102.19</v>
      </c>
      <c r="E981" s="64">
        <v>1981393</v>
      </c>
      <c r="F981" s="64" t="s">
        <v>979</v>
      </c>
      <c r="G981" s="25">
        <f t="shared" si="13"/>
        <v>-5.8714159898232143E-4</v>
      </c>
    </row>
    <row r="982" spans="1:7">
      <c r="A982" s="64">
        <v>102.09</v>
      </c>
      <c r="B982" s="64">
        <v>102.86</v>
      </c>
      <c r="C982" s="64">
        <v>101.08</v>
      </c>
      <c r="D982" s="64">
        <v>102.55</v>
      </c>
      <c r="E982" s="64">
        <v>2182768</v>
      </c>
      <c r="F982" s="64" t="s">
        <v>980</v>
      </c>
      <c r="G982" s="25">
        <f t="shared" si="13"/>
        <v>-4.485616772306078E-3</v>
      </c>
    </row>
    <row r="983" spans="1:7">
      <c r="A983" s="64">
        <v>102.58</v>
      </c>
      <c r="B983" s="64">
        <v>104.85</v>
      </c>
      <c r="C983" s="64">
        <v>101.72</v>
      </c>
      <c r="D983" s="64">
        <v>103.2</v>
      </c>
      <c r="E983" s="64">
        <v>2535041</v>
      </c>
      <c r="F983" s="64" t="s">
        <v>981</v>
      </c>
      <c r="G983" s="25">
        <f t="shared" si="13"/>
        <v>-6.007751937984529E-3</v>
      </c>
    </row>
    <row r="984" spans="1:7">
      <c r="A984" s="64">
        <v>103.77</v>
      </c>
      <c r="B984" s="64">
        <v>104.19</v>
      </c>
      <c r="C984" s="64">
        <v>101.64</v>
      </c>
      <c r="D984" s="64">
        <v>102.12</v>
      </c>
      <c r="E984" s="64">
        <v>2569420</v>
      </c>
      <c r="F984" s="64" t="s">
        <v>982</v>
      </c>
      <c r="G984" s="25">
        <f t="shared" si="13"/>
        <v>1.615746180963562E-2</v>
      </c>
    </row>
    <row r="985" spans="1:7">
      <c r="A985" s="64">
        <v>101.53</v>
      </c>
      <c r="B985" s="64">
        <v>103.12</v>
      </c>
      <c r="C985" s="64">
        <v>100.79</v>
      </c>
      <c r="D985" s="64">
        <v>101.26</v>
      </c>
      <c r="E985" s="64">
        <v>2328841</v>
      </c>
      <c r="F985" s="64" t="s">
        <v>983</v>
      </c>
      <c r="G985" s="25">
        <f t="shared" si="13"/>
        <v>2.6664033181906799E-3</v>
      </c>
    </row>
    <row r="986" spans="1:7">
      <c r="A986" s="64">
        <v>101.24</v>
      </c>
      <c r="B986" s="64">
        <v>101.42</v>
      </c>
      <c r="C986" s="64">
        <v>98.5</v>
      </c>
      <c r="D986" s="64">
        <v>99.04</v>
      </c>
      <c r="E986" s="64">
        <v>2364079</v>
      </c>
      <c r="F986" s="64" t="s">
        <v>984</v>
      </c>
      <c r="G986" s="25">
        <f t="shared" si="13"/>
        <v>2.2213247172859329E-2</v>
      </c>
    </row>
    <row r="987" spans="1:7">
      <c r="A987" s="64">
        <v>97.45</v>
      </c>
      <c r="B987" s="64">
        <v>100.41</v>
      </c>
      <c r="C987" s="64">
        <v>97.06</v>
      </c>
      <c r="D987" s="64">
        <v>99.58</v>
      </c>
      <c r="E987" s="64">
        <v>1658165</v>
      </c>
      <c r="F987" s="64" t="s">
        <v>985</v>
      </c>
      <c r="G987" s="25">
        <f t="shared" si="13"/>
        <v>-2.1389837316730276E-2</v>
      </c>
    </row>
    <row r="988" spans="1:7">
      <c r="A988" s="64">
        <v>99.43</v>
      </c>
      <c r="B988" s="64">
        <v>99.94</v>
      </c>
      <c r="C988" s="64">
        <v>98.24</v>
      </c>
      <c r="D988" s="64">
        <v>98.51</v>
      </c>
      <c r="E988" s="64">
        <v>1943864</v>
      </c>
      <c r="F988" s="64" t="s">
        <v>986</v>
      </c>
      <c r="G988" s="25">
        <f t="shared" si="13"/>
        <v>9.3391533854432218E-3</v>
      </c>
    </row>
    <row r="989" spans="1:7">
      <c r="A989" s="64">
        <v>96.91</v>
      </c>
      <c r="B989" s="64">
        <v>97.15</v>
      </c>
      <c r="C989" s="64">
        <v>94.1</v>
      </c>
      <c r="D989" s="64">
        <v>94.43</v>
      </c>
      <c r="E989" s="64">
        <v>2096787</v>
      </c>
      <c r="F989" s="64" t="s">
        <v>987</v>
      </c>
      <c r="G989" s="25">
        <f t="shared" si="13"/>
        <v>2.6262840199089199E-2</v>
      </c>
    </row>
    <row r="990" spans="1:7">
      <c r="A990" s="64">
        <v>95.93</v>
      </c>
      <c r="B990" s="64">
        <v>97.265000000000001</v>
      </c>
      <c r="C990" s="64">
        <v>93.803399999999996</v>
      </c>
      <c r="D990" s="64">
        <v>94.44</v>
      </c>
      <c r="E990" s="64">
        <v>1765254</v>
      </c>
      <c r="F990" s="64" t="s">
        <v>988</v>
      </c>
      <c r="G990" s="25">
        <f t="shared" si="13"/>
        <v>1.5777213045319982E-2</v>
      </c>
    </row>
    <row r="991" spans="1:7">
      <c r="A991" s="64">
        <v>96.34</v>
      </c>
      <c r="B991" s="64">
        <v>98.63</v>
      </c>
      <c r="C991" s="64">
        <v>95.91</v>
      </c>
      <c r="D991" s="64">
        <v>97.08</v>
      </c>
      <c r="E991" s="64">
        <v>2616155</v>
      </c>
      <c r="F991" s="64" t="s">
        <v>989</v>
      </c>
      <c r="G991" s="25">
        <f t="shared" si="13"/>
        <v>-7.6225793160279443E-3</v>
      </c>
    </row>
    <row r="992" spans="1:7">
      <c r="A992" s="64">
        <v>96.88</v>
      </c>
      <c r="B992" s="64">
        <v>97.8</v>
      </c>
      <c r="C992" s="64">
        <v>96.47</v>
      </c>
      <c r="D992" s="64">
        <v>97.33</v>
      </c>
      <c r="E992" s="64">
        <v>1973060</v>
      </c>
      <c r="F992" s="64" t="s">
        <v>990</v>
      </c>
      <c r="G992" s="25">
        <f t="shared" si="13"/>
        <v>-4.623446008425014E-3</v>
      </c>
    </row>
    <row r="993" spans="1:7">
      <c r="A993" s="64">
        <v>98.39</v>
      </c>
      <c r="B993" s="64">
        <v>99.12</v>
      </c>
      <c r="C993" s="64">
        <v>97.06</v>
      </c>
      <c r="D993" s="64">
        <v>97.6</v>
      </c>
      <c r="E993" s="64">
        <v>1562826</v>
      </c>
      <c r="F993" s="64" t="s">
        <v>991</v>
      </c>
      <c r="G993" s="25">
        <f t="shared" si="13"/>
        <v>8.0942622950819221E-3</v>
      </c>
    </row>
    <row r="994" spans="1:7">
      <c r="A994" s="64">
        <v>98.43</v>
      </c>
      <c r="B994" s="64">
        <v>98.75</v>
      </c>
      <c r="C994" s="64">
        <v>97.17</v>
      </c>
      <c r="D994" s="64">
        <v>97.76</v>
      </c>
      <c r="E994" s="64">
        <v>1906798</v>
      </c>
      <c r="F994" s="64" t="s">
        <v>992</v>
      </c>
      <c r="G994" s="25">
        <f t="shared" si="13"/>
        <v>6.8535188216038989E-3</v>
      </c>
    </row>
    <row r="995" spans="1:7">
      <c r="A995" s="64">
        <v>97.98</v>
      </c>
      <c r="B995" s="64">
        <v>98.85</v>
      </c>
      <c r="C995" s="64">
        <v>96.58</v>
      </c>
      <c r="D995" s="64">
        <v>98</v>
      </c>
      <c r="E995" s="64">
        <v>2083878</v>
      </c>
      <c r="F995" s="64" t="s">
        <v>993</v>
      </c>
      <c r="G995" s="25">
        <f t="shared" si="13"/>
        <v>-2.0408163265306367E-4</v>
      </c>
    </row>
    <row r="996" spans="1:7">
      <c r="A996" s="64">
        <v>97.97</v>
      </c>
      <c r="B996" s="64">
        <v>98.01</v>
      </c>
      <c r="C996" s="64">
        <v>94.82</v>
      </c>
      <c r="D996" s="64">
        <v>96.01</v>
      </c>
      <c r="E996" s="64">
        <v>2097400</v>
      </c>
      <c r="F996" s="64" t="s">
        <v>994</v>
      </c>
      <c r="G996" s="25">
        <f t="shared" si="13"/>
        <v>2.0414540152067451E-2</v>
      </c>
    </row>
    <row r="997" spans="1:7">
      <c r="A997" s="64">
        <v>97.39</v>
      </c>
      <c r="B997" s="64">
        <v>97.71</v>
      </c>
      <c r="C997" s="64">
        <v>94.76</v>
      </c>
      <c r="D997" s="64">
        <v>94.92</v>
      </c>
      <c r="E997" s="64">
        <v>2081156</v>
      </c>
      <c r="F997" s="64" t="s">
        <v>995</v>
      </c>
      <c r="G997" s="25">
        <f t="shared" si="13"/>
        <v>2.6021913190054757E-2</v>
      </c>
    </row>
    <row r="998" spans="1:7">
      <c r="A998" s="64">
        <v>95.09</v>
      </c>
      <c r="B998" s="64">
        <v>96.14</v>
      </c>
      <c r="C998" s="64">
        <v>93.82</v>
      </c>
      <c r="D998" s="64">
        <v>94.92</v>
      </c>
      <c r="E998" s="64">
        <v>2448267</v>
      </c>
      <c r="F998" s="64" t="s">
        <v>996</v>
      </c>
      <c r="G998" s="25">
        <f t="shared" si="13"/>
        <v>1.7909818794774601E-3</v>
      </c>
    </row>
    <row r="999" spans="1:7">
      <c r="A999" s="64">
        <v>96.03</v>
      </c>
      <c r="B999" s="64">
        <v>96.4</v>
      </c>
      <c r="C999" s="64">
        <v>93.37</v>
      </c>
      <c r="D999" s="64">
        <v>94.85</v>
      </c>
      <c r="E999" s="64">
        <v>1826194</v>
      </c>
      <c r="F999" s="64" t="s">
        <v>997</v>
      </c>
      <c r="G999" s="25">
        <f t="shared" si="13"/>
        <v>1.2440695835529869E-2</v>
      </c>
    </row>
    <row r="1000" spans="1:7">
      <c r="A1000" s="64">
        <v>94.73</v>
      </c>
      <c r="B1000" s="64">
        <v>98.25</v>
      </c>
      <c r="C1000" s="64">
        <v>94.605000000000004</v>
      </c>
      <c r="D1000" s="64">
        <v>97.27</v>
      </c>
      <c r="E1000" s="64">
        <v>3701756</v>
      </c>
      <c r="F1000" s="64" t="s">
        <v>998</v>
      </c>
      <c r="G1000" s="25">
        <f t="shared" si="13"/>
        <v>-2.611288166957948E-2</v>
      </c>
    </row>
    <row r="1001" spans="1:7">
      <c r="A1001" s="64">
        <v>96.81</v>
      </c>
      <c r="B1001" s="64">
        <v>97.45</v>
      </c>
      <c r="C1001" s="64">
        <v>95.76</v>
      </c>
      <c r="D1001" s="64">
        <v>96.9</v>
      </c>
      <c r="E1001" s="64">
        <v>3995367</v>
      </c>
      <c r="F1001" s="64" t="s">
        <v>999</v>
      </c>
      <c r="G1001" s="25">
        <f t="shared" si="13"/>
        <v>-9.2879256965949786E-4</v>
      </c>
    </row>
    <row r="1002" spans="1:7">
      <c r="A1002" s="64">
        <v>96.98</v>
      </c>
      <c r="B1002" s="64">
        <v>97.07</v>
      </c>
      <c r="C1002" s="64">
        <v>93.41</v>
      </c>
      <c r="D1002" s="64">
        <v>94.55</v>
      </c>
      <c r="E1002" s="64">
        <v>3824771</v>
      </c>
      <c r="F1002" s="64" t="s">
        <v>1000</v>
      </c>
      <c r="G1002" s="25">
        <f t="shared" si="13"/>
        <v>2.5700687466948757E-2</v>
      </c>
    </row>
    <row r="1003" spans="1:7">
      <c r="A1003" s="64">
        <v>93.62</v>
      </c>
      <c r="B1003" s="64">
        <v>94</v>
      </c>
      <c r="C1003" s="64">
        <v>91.54</v>
      </c>
      <c r="D1003" s="64">
        <v>91.6</v>
      </c>
      <c r="E1003" s="64">
        <v>2391278</v>
      </c>
      <c r="F1003" s="64" t="s">
        <v>1001</v>
      </c>
      <c r="G1003" s="25">
        <f t="shared" si="13"/>
        <v>2.2052401746724959E-2</v>
      </c>
    </row>
    <row r="1004" spans="1:7">
      <c r="A1004" s="64">
        <v>90.79</v>
      </c>
      <c r="B1004" s="64">
        <v>91.95</v>
      </c>
      <c r="C1004" s="64">
        <v>88.52</v>
      </c>
      <c r="D1004" s="64">
        <v>88.72</v>
      </c>
      <c r="E1004" s="64">
        <v>2504621</v>
      </c>
      <c r="F1004" s="64" t="s">
        <v>1002</v>
      </c>
      <c r="G1004" s="25">
        <f t="shared" si="13"/>
        <v>2.3331830477908211E-2</v>
      </c>
    </row>
    <row r="1005" spans="1:7">
      <c r="A1005" s="64">
        <v>89.34</v>
      </c>
      <c r="B1005" s="64">
        <v>90.35</v>
      </c>
      <c r="C1005" s="64">
        <v>88.594999999999999</v>
      </c>
      <c r="D1005" s="64">
        <v>89.31</v>
      </c>
      <c r="E1005" s="64">
        <v>2179821</v>
      </c>
      <c r="F1005" s="64" t="s">
        <v>1003</v>
      </c>
      <c r="G1005" s="25">
        <f t="shared" si="13"/>
        <v>3.3590863285182238E-4</v>
      </c>
    </row>
    <row r="1006" spans="1:7">
      <c r="A1006" s="64">
        <v>87.79</v>
      </c>
      <c r="B1006" s="64">
        <v>90.05</v>
      </c>
      <c r="C1006" s="64">
        <v>87.075000000000003</v>
      </c>
      <c r="D1006" s="64">
        <v>88.16</v>
      </c>
      <c r="E1006" s="64">
        <v>3397520</v>
      </c>
      <c r="F1006" s="64" t="s">
        <v>1004</v>
      </c>
      <c r="G1006" s="25">
        <f t="shared" si="13"/>
        <v>-4.1969147005443963E-3</v>
      </c>
    </row>
    <row r="1007" spans="1:7">
      <c r="A1007" s="64">
        <v>87.73</v>
      </c>
      <c r="B1007" s="64">
        <v>87.92</v>
      </c>
      <c r="C1007" s="64">
        <v>85.665000000000006</v>
      </c>
      <c r="D1007" s="64">
        <v>86.3</v>
      </c>
      <c r="E1007" s="64">
        <v>3132714</v>
      </c>
      <c r="F1007" s="64" t="s">
        <v>1005</v>
      </c>
      <c r="G1007" s="25">
        <f t="shared" si="13"/>
        <v>1.6570104287369825E-2</v>
      </c>
    </row>
    <row r="1008" spans="1:7">
      <c r="A1008" s="64">
        <v>88.78</v>
      </c>
      <c r="B1008" s="64">
        <v>90.07</v>
      </c>
      <c r="C1008" s="64">
        <v>86.75</v>
      </c>
      <c r="D1008" s="64">
        <v>87.81</v>
      </c>
      <c r="E1008" s="64">
        <v>3292910</v>
      </c>
      <c r="F1008" s="64" t="s">
        <v>1006</v>
      </c>
      <c r="G1008" s="25">
        <f t="shared" si="13"/>
        <v>1.1046577838514926E-2</v>
      </c>
    </row>
    <row r="1009" spans="1:7">
      <c r="A1009" s="64">
        <v>86.5</v>
      </c>
      <c r="B1009" s="64">
        <v>88.655000000000001</v>
      </c>
      <c r="C1009" s="64">
        <v>85.58</v>
      </c>
      <c r="D1009" s="64">
        <v>87.41</v>
      </c>
      <c r="E1009" s="64">
        <v>2965407</v>
      </c>
      <c r="F1009" s="64" t="s">
        <v>1007</v>
      </c>
      <c r="G1009" s="25">
        <f t="shared" si="13"/>
        <v>-1.0410708156961435E-2</v>
      </c>
    </row>
    <row r="1010" spans="1:7">
      <c r="A1010" s="64">
        <v>88.55</v>
      </c>
      <c r="B1010" s="64">
        <v>90.8</v>
      </c>
      <c r="C1010" s="64">
        <v>88.07</v>
      </c>
      <c r="D1010" s="64">
        <v>90</v>
      </c>
      <c r="E1010" s="64">
        <v>2873155</v>
      </c>
      <c r="F1010" s="64" t="s">
        <v>1008</v>
      </c>
      <c r="G1010" s="25">
        <f t="shared" si="13"/>
        <v>-1.6111111111111187E-2</v>
      </c>
    </row>
    <row r="1011" spans="1:7">
      <c r="A1011" s="64">
        <v>93</v>
      </c>
      <c r="B1011" s="64">
        <v>94.05</v>
      </c>
      <c r="C1011" s="64">
        <v>91.34</v>
      </c>
      <c r="D1011" s="64">
        <v>92</v>
      </c>
      <c r="E1011" s="64">
        <v>2379525</v>
      </c>
      <c r="F1011" s="64" t="s">
        <v>1009</v>
      </c>
      <c r="G1011" s="25">
        <f t="shared" si="13"/>
        <v>1.0869565217391353E-2</v>
      </c>
    </row>
    <row r="1012" spans="1:7">
      <c r="A1012" s="64">
        <v>93.64</v>
      </c>
      <c r="B1012" s="64">
        <v>96.36</v>
      </c>
      <c r="C1012" s="64">
        <v>93.6</v>
      </c>
      <c r="D1012" s="64">
        <v>95.55</v>
      </c>
      <c r="E1012" s="64">
        <v>2687382</v>
      </c>
      <c r="F1012" s="64" t="s">
        <v>1010</v>
      </c>
      <c r="G1012" s="25">
        <f t="shared" si="13"/>
        <v>-1.9989534275248522E-2</v>
      </c>
    </row>
    <row r="1013" spans="1:7">
      <c r="A1013" s="64">
        <v>96.29</v>
      </c>
      <c r="B1013" s="64">
        <v>97.54</v>
      </c>
      <c r="C1013" s="64">
        <v>95.85</v>
      </c>
      <c r="D1013" s="64">
        <v>96.68</v>
      </c>
      <c r="E1013" s="64">
        <v>1996824</v>
      </c>
      <c r="F1013" s="64" t="s">
        <v>1011</v>
      </c>
      <c r="G1013" s="25">
        <f t="shared" si="13"/>
        <v>-4.033926354985562E-3</v>
      </c>
    </row>
    <row r="1014" spans="1:7">
      <c r="A1014" s="64">
        <v>97.25</v>
      </c>
      <c r="B1014" s="64">
        <v>97.43</v>
      </c>
      <c r="C1014" s="64">
        <v>95.41</v>
      </c>
      <c r="D1014" s="64">
        <v>96.13</v>
      </c>
      <c r="E1014" s="64">
        <v>1485549</v>
      </c>
      <c r="F1014" s="64" t="s">
        <v>1012</v>
      </c>
      <c r="G1014" s="25">
        <f t="shared" si="13"/>
        <v>1.165088942057646E-2</v>
      </c>
    </row>
    <row r="1015" spans="1:7">
      <c r="A1015" s="64">
        <v>96.41</v>
      </c>
      <c r="B1015" s="64">
        <v>98.815899999999999</v>
      </c>
      <c r="C1015" s="64">
        <v>95.97</v>
      </c>
      <c r="D1015" s="64">
        <v>98.13</v>
      </c>
      <c r="E1015" s="64">
        <v>2986141</v>
      </c>
      <c r="F1015" s="64" t="s">
        <v>1013</v>
      </c>
      <c r="G1015" s="25">
        <f t="shared" si="13"/>
        <v>-1.7527769285641481E-2</v>
      </c>
    </row>
    <row r="1016" spans="1:7">
      <c r="A1016" s="64">
        <v>96.73</v>
      </c>
      <c r="B1016" s="64">
        <v>100.21</v>
      </c>
      <c r="C1016" s="64">
        <v>96.38</v>
      </c>
      <c r="D1016" s="64">
        <v>100</v>
      </c>
      <c r="E1016" s="64">
        <v>2462679</v>
      </c>
      <c r="F1016" s="64" t="s">
        <v>1014</v>
      </c>
      <c r="G1016" s="25">
        <f t="shared" si="13"/>
        <v>-3.2699999999999951E-2</v>
      </c>
    </row>
    <row r="1017" spans="1:7">
      <c r="A1017" s="64">
        <v>101.21</v>
      </c>
      <c r="B1017" s="64">
        <v>101.34</v>
      </c>
      <c r="C1017" s="64">
        <v>96.284999999999997</v>
      </c>
      <c r="D1017" s="64">
        <v>97.38</v>
      </c>
      <c r="E1017" s="64">
        <v>1601491</v>
      </c>
      <c r="F1017" s="64" t="s">
        <v>1015</v>
      </c>
      <c r="G1017" s="25">
        <f t="shared" si="13"/>
        <v>3.933045799958923E-2</v>
      </c>
    </row>
    <row r="1018" spans="1:7">
      <c r="A1018" s="64">
        <v>97.34</v>
      </c>
      <c r="B1018" s="64">
        <v>101.41</v>
      </c>
      <c r="C1018" s="64">
        <v>96.37</v>
      </c>
      <c r="D1018" s="64">
        <v>101.16</v>
      </c>
      <c r="E1018" s="64">
        <v>2026638</v>
      </c>
      <c r="F1018" s="64" t="s">
        <v>1016</v>
      </c>
      <c r="G1018" s="25">
        <f t="shared" si="13"/>
        <v>-3.7761961249505704E-2</v>
      </c>
    </row>
    <row r="1019" spans="1:7">
      <c r="A1019" s="64">
        <v>100.85</v>
      </c>
      <c r="B1019" s="64">
        <v>101.69</v>
      </c>
      <c r="C1019" s="64">
        <v>98.7</v>
      </c>
      <c r="D1019" s="64">
        <v>100.06</v>
      </c>
      <c r="E1019" s="64">
        <v>5809629</v>
      </c>
      <c r="F1019" s="64" t="s">
        <v>1017</v>
      </c>
      <c r="G1019" s="25">
        <f t="shared" si="13"/>
        <v>7.8952628422945814E-3</v>
      </c>
    </row>
    <row r="1020" spans="1:7">
      <c r="A1020" s="64">
        <v>101.12</v>
      </c>
      <c r="B1020" s="64">
        <v>101.29</v>
      </c>
      <c r="C1020" s="64">
        <v>99.21</v>
      </c>
      <c r="D1020" s="64">
        <v>99.71</v>
      </c>
      <c r="E1020" s="64">
        <v>2445373</v>
      </c>
      <c r="F1020" s="64" t="s">
        <v>1018</v>
      </c>
      <c r="G1020" s="25">
        <f t="shared" si="13"/>
        <v>1.4141008925885101E-2</v>
      </c>
    </row>
    <row r="1021" spans="1:7">
      <c r="A1021" s="64">
        <v>98.57</v>
      </c>
      <c r="B1021" s="64">
        <v>99.33</v>
      </c>
      <c r="C1021" s="64">
        <v>96.034999999999997</v>
      </c>
      <c r="D1021" s="64">
        <v>97</v>
      </c>
      <c r="E1021" s="64">
        <v>2995023</v>
      </c>
      <c r="F1021" s="64" t="s">
        <v>1019</v>
      </c>
      <c r="G1021" s="25">
        <f t="shared" si="13"/>
        <v>1.6185567010309265E-2</v>
      </c>
    </row>
    <row r="1022" spans="1:7">
      <c r="A1022" s="64">
        <v>96.85</v>
      </c>
      <c r="B1022" s="64">
        <v>97.2</v>
      </c>
      <c r="C1022" s="64">
        <v>93.6</v>
      </c>
      <c r="D1022" s="64">
        <v>94.21</v>
      </c>
      <c r="E1022" s="64">
        <v>3832909</v>
      </c>
      <c r="F1022" s="64" t="s">
        <v>1020</v>
      </c>
      <c r="G1022" s="25">
        <f t="shared" si="13"/>
        <v>2.802250291901065E-2</v>
      </c>
    </row>
    <row r="1023" spans="1:7">
      <c r="A1023" s="64">
        <v>94.54</v>
      </c>
      <c r="B1023" s="64">
        <v>95.8</v>
      </c>
      <c r="C1023" s="64">
        <v>92.95</v>
      </c>
      <c r="D1023" s="64">
        <v>95.52</v>
      </c>
      <c r="E1023" s="64">
        <v>3043394</v>
      </c>
      <c r="F1023" s="64" t="s">
        <v>1021</v>
      </c>
      <c r="G1023" s="25">
        <f t="shared" ref="G1023:G1086" si="14">A1023/D1023-1</f>
        <v>-1.0259631490787124E-2</v>
      </c>
    </row>
    <row r="1024" spans="1:7">
      <c r="A1024" s="64">
        <v>96.13</v>
      </c>
      <c r="B1024" s="64">
        <v>96.82</v>
      </c>
      <c r="C1024" s="64">
        <v>94.22</v>
      </c>
      <c r="D1024" s="64">
        <v>95.5</v>
      </c>
      <c r="E1024" s="64">
        <v>2620037</v>
      </c>
      <c r="F1024" s="64" t="s">
        <v>1022</v>
      </c>
      <c r="G1024" s="25">
        <f t="shared" si="14"/>
        <v>6.5968586387434858E-3</v>
      </c>
    </row>
    <row r="1025" spans="1:7">
      <c r="A1025" s="64">
        <v>94.32</v>
      </c>
      <c r="B1025" s="64">
        <v>95.97</v>
      </c>
      <c r="C1025" s="64">
        <v>91.936800000000005</v>
      </c>
      <c r="D1025" s="64">
        <v>95.53</v>
      </c>
      <c r="E1025" s="64">
        <v>2956679</v>
      </c>
      <c r="F1025" s="64" t="s">
        <v>1023</v>
      </c>
      <c r="G1025" s="25">
        <f t="shared" si="14"/>
        <v>-1.2666178163927677E-2</v>
      </c>
    </row>
    <row r="1026" spans="1:7">
      <c r="A1026" s="64">
        <v>94.37</v>
      </c>
      <c r="B1026" s="64">
        <v>95.22</v>
      </c>
      <c r="C1026" s="64">
        <v>92.6</v>
      </c>
      <c r="D1026" s="64">
        <v>92.88</v>
      </c>
      <c r="E1026" s="64">
        <v>2407047</v>
      </c>
      <c r="F1026" s="64" t="s">
        <v>1024</v>
      </c>
      <c r="G1026" s="25">
        <f t="shared" si="14"/>
        <v>1.6042204995693421E-2</v>
      </c>
    </row>
    <row r="1027" spans="1:7">
      <c r="A1027" s="64">
        <v>93.41</v>
      </c>
      <c r="B1027" s="64">
        <v>96.25</v>
      </c>
      <c r="C1027" s="64">
        <v>93.01</v>
      </c>
      <c r="D1027" s="64">
        <v>96.09</v>
      </c>
      <c r="E1027" s="64">
        <v>2155679</v>
      </c>
      <c r="F1027" s="64" t="s">
        <v>1025</v>
      </c>
      <c r="G1027" s="25">
        <f t="shared" si="14"/>
        <v>-2.7890519304818451E-2</v>
      </c>
    </row>
    <row r="1028" spans="1:7">
      <c r="A1028" s="64">
        <v>97.39</v>
      </c>
      <c r="B1028" s="64">
        <v>98.13</v>
      </c>
      <c r="C1028" s="64">
        <v>96.37</v>
      </c>
      <c r="D1028" s="64">
        <v>97.5</v>
      </c>
      <c r="E1028" s="64">
        <v>2269599</v>
      </c>
      <c r="F1028" s="64" t="s">
        <v>1026</v>
      </c>
      <c r="G1028" s="25">
        <f t="shared" si="14"/>
        <v>-1.1282051282051064E-3</v>
      </c>
    </row>
    <row r="1029" spans="1:7">
      <c r="A1029" s="64">
        <v>95.93</v>
      </c>
      <c r="B1029" s="64">
        <v>97.91</v>
      </c>
      <c r="C1029" s="64">
        <v>95.754999999999995</v>
      </c>
      <c r="D1029" s="64">
        <v>96.85</v>
      </c>
      <c r="E1029" s="64">
        <v>2385156</v>
      </c>
      <c r="F1029" s="64" t="s">
        <v>1027</v>
      </c>
      <c r="G1029" s="25">
        <f t="shared" si="14"/>
        <v>-9.4992256066079861E-3</v>
      </c>
    </row>
    <row r="1030" spans="1:7">
      <c r="A1030" s="64">
        <v>97.55</v>
      </c>
      <c r="B1030" s="64">
        <v>98.1</v>
      </c>
      <c r="C1030" s="64">
        <v>95</v>
      </c>
      <c r="D1030" s="64">
        <v>95.1</v>
      </c>
      <c r="E1030" s="64">
        <v>2569677</v>
      </c>
      <c r="F1030" s="64" t="s">
        <v>1028</v>
      </c>
      <c r="G1030" s="25">
        <f t="shared" si="14"/>
        <v>2.5762355415352323E-2</v>
      </c>
    </row>
    <row r="1031" spans="1:7">
      <c r="A1031" s="64">
        <v>93.44</v>
      </c>
      <c r="B1031" s="64">
        <v>94.5989</v>
      </c>
      <c r="C1031" s="64">
        <v>91.52</v>
      </c>
      <c r="D1031" s="64">
        <v>92</v>
      </c>
      <c r="E1031" s="64">
        <v>3753940</v>
      </c>
      <c r="F1031" s="64" t="s">
        <v>1029</v>
      </c>
      <c r="G1031" s="25">
        <f t="shared" si="14"/>
        <v>1.5652173913043521E-2</v>
      </c>
    </row>
    <row r="1032" spans="1:7">
      <c r="A1032" s="64">
        <v>93.27</v>
      </c>
      <c r="B1032" s="64">
        <v>96.85</v>
      </c>
      <c r="C1032" s="64">
        <v>92.96</v>
      </c>
      <c r="D1032" s="64">
        <v>94.54</v>
      </c>
      <c r="E1032" s="64">
        <v>3435084</v>
      </c>
      <c r="F1032" s="64" t="s">
        <v>1030</v>
      </c>
      <c r="G1032" s="25">
        <f t="shared" si="14"/>
        <v>-1.3433467315422165E-2</v>
      </c>
    </row>
    <row r="1033" spans="1:7">
      <c r="A1033" s="64">
        <v>94.83</v>
      </c>
      <c r="B1033" s="64">
        <v>97.37</v>
      </c>
      <c r="C1033" s="64">
        <v>92.79</v>
      </c>
      <c r="D1033" s="64">
        <v>96.2</v>
      </c>
      <c r="E1033" s="64">
        <v>3035791</v>
      </c>
      <c r="F1033" s="64" t="s">
        <v>1031</v>
      </c>
      <c r="G1033" s="25">
        <f t="shared" si="14"/>
        <v>-1.4241164241164284E-2</v>
      </c>
    </row>
    <row r="1034" spans="1:7">
      <c r="A1034" s="64">
        <v>94.69</v>
      </c>
      <c r="B1034" s="64">
        <v>99.01</v>
      </c>
      <c r="C1034" s="64">
        <v>93.86</v>
      </c>
      <c r="D1034" s="64">
        <v>98.71</v>
      </c>
      <c r="E1034" s="64">
        <v>4042731</v>
      </c>
      <c r="F1034" s="64" t="s">
        <v>1032</v>
      </c>
      <c r="G1034" s="25">
        <f t="shared" si="14"/>
        <v>-4.072535710667613E-2</v>
      </c>
    </row>
    <row r="1035" spans="1:7">
      <c r="A1035" s="64">
        <v>100.52</v>
      </c>
      <c r="B1035" s="64">
        <v>102.81</v>
      </c>
      <c r="C1035" s="64">
        <v>99.5</v>
      </c>
      <c r="D1035" s="64">
        <v>102.41</v>
      </c>
      <c r="E1035" s="64">
        <v>4024240</v>
      </c>
      <c r="F1035" s="64" t="s">
        <v>1033</v>
      </c>
      <c r="G1035" s="25">
        <f t="shared" si="14"/>
        <v>-1.8455228981544725E-2</v>
      </c>
    </row>
    <row r="1036" spans="1:7">
      <c r="A1036" s="64">
        <v>103.36</v>
      </c>
      <c r="B1036" s="64">
        <v>108.68989999999999</v>
      </c>
      <c r="C1036" s="64">
        <v>102.09</v>
      </c>
      <c r="D1036" s="64">
        <v>107.89</v>
      </c>
      <c r="E1036" s="64">
        <v>2718102</v>
      </c>
      <c r="F1036" s="64" t="s">
        <v>1034</v>
      </c>
      <c r="G1036" s="25">
        <f t="shared" si="14"/>
        <v>-4.1987209194550013E-2</v>
      </c>
    </row>
    <row r="1037" spans="1:7">
      <c r="A1037" s="64">
        <v>108.65</v>
      </c>
      <c r="B1037" s="64">
        <v>109.185</v>
      </c>
      <c r="C1037" s="64">
        <v>103.62</v>
      </c>
      <c r="D1037" s="64">
        <v>105.91</v>
      </c>
      <c r="E1037" s="64">
        <v>3081261</v>
      </c>
      <c r="F1037" s="64" t="s">
        <v>1035</v>
      </c>
      <c r="G1037" s="25">
        <f t="shared" si="14"/>
        <v>2.5871022566329893E-2</v>
      </c>
    </row>
    <row r="1038" spans="1:7">
      <c r="A1038" s="64">
        <v>105.93</v>
      </c>
      <c r="B1038" s="64">
        <v>106.78</v>
      </c>
      <c r="C1038" s="64">
        <v>105.13339999999999</v>
      </c>
      <c r="D1038" s="64">
        <v>105.58</v>
      </c>
      <c r="E1038" s="64">
        <v>3027443</v>
      </c>
      <c r="F1038" s="64" t="s">
        <v>1036</v>
      </c>
      <c r="G1038" s="25">
        <f t="shared" si="14"/>
        <v>3.3150217844288843E-3</v>
      </c>
    </row>
    <row r="1039" spans="1:7">
      <c r="A1039" s="64">
        <v>104.83</v>
      </c>
      <c r="B1039" s="64">
        <v>106.78</v>
      </c>
      <c r="C1039" s="64">
        <v>102.56</v>
      </c>
      <c r="D1039" s="64">
        <v>105.72</v>
      </c>
      <c r="E1039" s="64">
        <v>3635103</v>
      </c>
      <c r="F1039" s="64" t="s">
        <v>1037</v>
      </c>
      <c r="G1039" s="25">
        <f t="shared" si="14"/>
        <v>-8.4184638668179934E-3</v>
      </c>
    </row>
    <row r="1040" spans="1:7">
      <c r="A1040" s="64">
        <v>105.78</v>
      </c>
      <c r="B1040" s="64">
        <v>110.095</v>
      </c>
      <c r="C1040" s="64">
        <v>105.39</v>
      </c>
      <c r="D1040" s="64">
        <v>108.67</v>
      </c>
      <c r="E1040" s="64">
        <v>3274934</v>
      </c>
      <c r="F1040" s="64" t="s">
        <v>1038</v>
      </c>
      <c r="G1040" s="25">
        <f t="shared" si="14"/>
        <v>-2.6594276249194859E-2</v>
      </c>
    </row>
    <row r="1041" spans="1:7">
      <c r="A1041" s="64">
        <v>109.77</v>
      </c>
      <c r="B1041" s="64">
        <v>110.79</v>
      </c>
      <c r="C1041" s="64">
        <v>107.2</v>
      </c>
      <c r="D1041" s="64">
        <v>110.16</v>
      </c>
      <c r="E1041" s="64">
        <v>3281485</v>
      </c>
      <c r="F1041" s="64" t="s">
        <v>1039</v>
      </c>
      <c r="G1041" s="25">
        <f t="shared" si="14"/>
        <v>-3.5403050108931966E-3</v>
      </c>
    </row>
    <row r="1042" spans="1:7">
      <c r="A1042" s="64">
        <v>109.8</v>
      </c>
      <c r="B1042" s="64">
        <v>115.69</v>
      </c>
      <c r="C1042" s="64">
        <v>109.67</v>
      </c>
      <c r="D1042" s="64">
        <v>114</v>
      </c>
      <c r="E1042" s="64">
        <v>6463078</v>
      </c>
      <c r="F1042" s="64" t="s">
        <v>1040</v>
      </c>
      <c r="G1042" s="25">
        <f t="shared" si="14"/>
        <v>-3.6842105263157898E-2</v>
      </c>
    </row>
    <row r="1043" spans="1:7">
      <c r="A1043" s="64">
        <v>116.27</v>
      </c>
      <c r="B1043" s="64">
        <v>119.89</v>
      </c>
      <c r="C1043" s="64">
        <v>116.01</v>
      </c>
      <c r="D1043" s="64">
        <v>118.67</v>
      </c>
      <c r="E1043" s="64">
        <v>3479170</v>
      </c>
      <c r="F1043" s="64" t="s">
        <v>1041</v>
      </c>
      <c r="G1043" s="25">
        <f t="shared" si="14"/>
        <v>-2.0224151006994262E-2</v>
      </c>
    </row>
    <row r="1044" spans="1:7">
      <c r="A1044" s="64">
        <v>119.8</v>
      </c>
      <c r="B1044" s="64">
        <v>119.9</v>
      </c>
      <c r="C1044" s="64">
        <v>116.64</v>
      </c>
      <c r="D1044" s="64">
        <v>118</v>
      </c>
      <c r="E1044" s="64">
        <v>2830299</v>
      </c>
      <c r="F1044" s="64" t="s">
        <v>1042</v>
      </c>
      <c r="G1044" s="25">
        <f t="shared" si="14"/>
        <v>1.5254237288135464E-2</v>
      </c>
    </row>
    <row r="1045" spans="1:7">
      <c r="A1045" s="64">
        <v>118.38</v>
      </c>
      <c r="B1045" s="64">
        <v>124.19</v>
      </c>
      <c r="C1045" s="64">
        <v>118.08</v>
      </c>
      <c r="D1045" s="64">
        <v>124.01</v>
      </c>
      <c r="E1045" s="64">
        <v>3237067</v>
      </c>
      <c r="F1045" s="64" t="s">
        <v>1043</v>
      </c>
      <c r="G1045" s="25">
        <f t="shared" si="14"/>
        <v>-4.5399564551245941E-2</v>
      </c>
    </row>
    <row r="1046" spans="1:7">
      <c r="A1046" s="64">
        <v>125.61</v>
      </c>
      <c r="B1046" s="64">
        <v>131.1</v>
      </c>
      <c r="C1046" s="64">
        <v>125.44</v>
      </c>
      <c r="D1046" s="64">
        <v>129.07</v>
      </c>
      <c r="E1046" s="64">
        <v>3814427</v>
      </c>
      <c r="F1046" s="64" t="s">
        <v>1044</v>
      </c>
      <c r="G1046" s="25">
        <f t="shared" si="14"/>
        <v>-2.6807158906019923E-2</v>
      </c>
    </row>
    <row r="1047" spans="1:7">
      <c r="A1047" s="64">
        <v>128.27000000000001</v>
      </c>
      <c r="B1047" s="64">
        <v>129.33000000000001</v>
      </c>
      <c r="C1047" s="64">
        <v>124.715</v>
      </c>
      <c r="D1047" s="64">
        <v>125.08499999999999</v>
      </c>
      <c r="E1047" s="64">
        <v>3256727</v>
      </c>
      <c r="F1047" s="64" t="s">
        <v>1045</v>
      </c>
      <c r="G1047" s="25">
        <f t="shared" si="14"/>
        <v>2.5462685373945915E-2</v>
      </c>
    </row>
    <row r="1048" spans="1:7">
      <c r="A1048" s="64">
        <v>124.52</v>
      </c>
      <c r="B1048" s="64">
        <v>124.93</v>
      </c>
      <c r="C1048" s="64">
        <v>119.43</v>
      </c>
      <c r="D1048" s="64">
        <v>119.43</v>
      </c>
      <c r="E1048" s="64">
        <v>3020638</v>
      </c>
      <c r="F1048" s="64" t="s">
        <v>1046</v>
      </c>
      <c r="G1048" s="25">
        <f t="shared" si="14"/>
        <v>4.2619107426944636E-2</v>
      </c>
    </row>
    <row r="1049" spans="1:7">
      <c r="A1049" s="64">
        <v>119.28</v>
      </c>
      <c r="B1049" s="64">
        <v>120.73</v>
      </c>
      <c r="C1049" s="64">
        <v>118.565</v>
      </c>
      <c r="D1049" s="64">
        <v>119.93</v>
      </c>
      <c r="E1049" s="64">
        <v>1541205</v>
      </c>
      <c r="F1049" s="64" t="s">
        <v>1047</v>
      </c>
      <c r="G1049" s="25">
        <f t="shared" si="14"/>
        <v>-5.4198282331360259E-3</v>
      </c>
    </row>
    <row r="1050" spans="1:7">
      <c r="A1050" s="64">
        <v>120.02</v>
      </c>
      <c r="B1050" s="64">
        <v>122.5</v>
      </c>
      <c r="C1050" s="64">
        <v>119.59</v>
      </c>
      <c r="D1050" s="64">
        <v>122.28</v>
      </c>
      <c r="E1050" s="64">
        <v>2361310</v>
      </c>
      <c r="F1050" s="64" t="s">
        <v>1048</v>
      </c>
      <c r="G1050" s="25">
        <f t="shared" si="14"/>
        <v>-1.8482172064115177E-2</v>
      </c>
    </row>
    <row r="1051" spans="1:7">
      <c r="A1051" s="64">
        <v>121.91</v>
      </c>
      <c r="B1051" s="64">
        <v>122.32</v>
      </c>
      <c r="C1051" s="64">
        <v>119.91</v>
      </c>
      <c r="D1051" s="64">
        <v>121.33</v>
      </c>
      <c r="E1051" s="64">
        <v>1674074</v>
      </c>
      <c r="F1051" s="64" t="s">
        <v>1049</v>
      </c>
      <c r="G1051" s="25">
        <f t="shared" si="14"/>
        <v>4.7803511085469097E-3</v>
      </c>
    </row>
    <row r="1052" spans="1:7">
      <c r="A1052" s="64">
        <v>120.84</v>
      </c>
      <c r="B1052" s="64">
        <v>123.985</v>
      </c>
      <c r="C1052" s="64">
        <v>120.06</v>
      </c>
      <c r="D1052" s="64">
        <v>122.29</v>
      </c>
      <c r="E1052" s="64">
        <v>1970337</v>
      </c>
      <c r="F1052" s="64" t="s">
        <v>1050</v>
      </c>
      <c r="G1052" s="25">
        <f t="shared" si="14"/>
        <v>-1.1857061084307841E-2</v>
      </c>
    </row>
    <row r="1053" spans="1:7">
      <c r="A1053" s="64">
        <v>121.5</v>
      </c>
      <c r="B1053" s="64">
        <v>123.4</v>
      </c>
      <c r="C1053" s="64">
        <v>119.74</v>
      </c>
      <c r="D1053" s="64">
        <v>122.96</v>
      </c>
      <c r="E1053" s="64">
        <v>2501132</v>
      </c>
      <c r="F1053" s="64" t="s">
        <v>1051</v>
      </c>
      <c r="G1053" s="25">
        <f t="shared" si="14"/>
        <v>-1.1873780091086528E-2</v>
      </c>
    </row>
    <row r="1054" spans="1:7">
      <c r="A1054" s="64">
        <v>123.92</v>
      </c>
      <c r="B1054" s="64">
        <v>125.11</v>
      </c>
      <c r="C1054" s="64">
        <v>122.36</v>
      </c>
      <c r="D1054" s="64">
        <v>123.07</v>
      </c>
      <c r="E1054" s="64">
        <v>2829463</v>
      </c>
      <c r="F1054" s="64" t="s">
        <v>1052</v>
      </c>
      <c r="G1054" s="25">
        <f t="shared" si="14"/>
        <v>6.9066384984155516E-3</v>
      </c>
    </row>
    <row r="1055" spans="1:7">
      <c r="A1055" s="64">
        <v>123.74</v>
      </c>
      <c r="B1055" s="64">
        <v>124.3</v>
      </c>
      <c r="C1055" s="64">
        <v>119.66500000000001</v>
      </c>
      <c r="D1055" s="64">
        <v>120.3</v>
      </c>
      <c r="E1055" s="64">
        <v>2981232</v>
      </c>
      <c r="F1055" s="64" t="s">
        <v>1053</v>
      </c>
      <c r="G1055" s="25">
        <f t="shared" si="14"/>
        <v>2.8595178719867054E-2</v>
      </c>
    </row>
    <row r="1056" spans="1:7">
      <c r="A1056" s="64">
        <v>120.36</v>
      </c>
      <c r="B1056" s="64">
        <v>120.69</v>
      </c>
      <c r="C1056" s="64">
        <v>117.15</v>
      </c>
      <c r="D1056" s="64">
        <v>119.31</v>
      </c>
      <c r="E1056" s="64">
        <v>2049203</v>
      </c>
      <c r="F1056" s="64" t="s">
        <v>1054</v>
      </c>
      <c r="G1056" s="25">
        <f t="shared" si="14"/>
        <v>8.8006034699521507E-3</v>
      </c>
    </row>
    <row r="1057" spans="1:7">
      <c r="A1057" s="64">
        <v>120.22</v>
      </c>
      <c r="B1057" s="64">
        <v>122.32</v>
      </c>
      <c r="C1057" s="64">
        <v>119.56</v>
      </c>
      <c r="D1057" s="64">
        <v>120.09</v>
      </c>
      <c r="E1057" s="64">
        <v>2225959</v>
      </c>
      <c r="F1057" s="64" t="s">
        <v>1055</v>
      </c>
      <c r="G1057" s="25">
        <f t="shared" si="14"/>
        <v>1.0825214422516272E-3</v>
      </c>
    </row>
    <row r="1058" spans="1:7">
      <c r="A1058" s="64">
        <v>120.28</v>
      </c>
      <c r="B1058" s="64">
        <v>123.2</v>
      </c>
      <c r="C1058" s="64">
        <v>118.84</v>
      </c>
      <c r="D1058" s="64">
        <v>122.2</v>
      </c>
      <c r="E1058" s="64">
        <v>2310366</v>
      </c>
      <c r="F1058" s="64" t="s">
        <v>1056</v>
      </c>
      <c r="G1058" s="25">
        <f t="shared" si="14"/>
        <v>-1.5711947626841249E-2</v>
      </c>
    </row>
    <row r="1059" spans="1:7">
      <c r="A1059" s="64">
        <v>123.07</v>
      </c>
      <c r="B1059" s="64">
        <v>123.57</v>
      </c>
      <c r="C1059" s="64">
        <v>118.75</v>
      </c>
      <c r="D1059" s="64">
        <v>119.5</v>
      </c>
      <c r="E1059" s="64">
        <v>4770538</v>
      </c>
      <c r="F1059" s="64" t="s">
        <v>1057</v>
      </c>
      <c r="G1059" s="25">
        <f t="shared" si="14"/>
        <v>2.9874476987447718E-2</v>
      </c>
    </row>
    <row r="1060" spans="1:7">
      <c r="A1060" s="64">
        <v>117.72</v>
      </c>
      <c r="B1060" s="64">
        <v>120.43</v>
      </c>
      <c r="C1060" s="64">
        <v>117.3</v>
      </c>
      <c r="D1060" s="64">
        <v>118</v>
      </c>
      <c r="E1060" s="64">
        <v>3721683</v>
      </c>
      <c r="F1060" s="64" t="s">
        <v>1058</v>
      </c>
      <c r="G1060" s="25">
        <f t="shared" si="14"/>
        <v>-2.372881355932166E-3</v>
      </c>
    </row>
    <row r="1061" spans="1:7">
      <c r="A1061" s="64">
        <v>117.09</v>
      </c>
      <c r="B1061" s="64">
        <v>118.42</v>
      </c>
      <c r="C1061" s="64">
        <v>116.0501</v>
      </c>
      <c r="D1061" s="64">
        <v>116.45</v>
      </c>
      <c r="E1061" s="64">
        <v>2099084</v>
      </c>
      <c r="F1061" s="64" t="s">
        <v>1059</v>
      </c>
      <c r="G1061" s="25">
        <f t="shared" si="14"/>
        <v>5.4959209961356059E-3</v>
      </c>
    </row>
    <row r="1062" spans="1:7">
      <c r="A1062" s="64">
        <v>116.75</v>
      </c>
      <c r="B1062" s="64">
        <v>116.8</v>
      </c>
      <c r="C1062" s="64">
        <v>114.94</v>
      </c>
      <c r="D1062" s="64">
        <v>115.31</v>
      </c>
      <c r="E1062" s="64">
        <v>2249259</v>
      </c>
      <c r="F1062" s="64" t="s">
        <v>1060</v>
      </c>
      <c r="G1062" s="25">
        <f t="shared" si="14"/>
        <v>1.2488075622235639E-2</v>
      </c>
    </row>
    <row r="1063" spans="1:7">
      <c r="A1063" s="64">
        <v>114.13</v>
      </c>
      <c r="B1063" s="64">
        <v>114.16</v>
      </c>
      <c r="C1063" s="64">
        <v>111.5</v>
      </c>
      <c r="D1063" s="64">
        <v>112.49</v>
      </c>
      <c r="E1063" s="64">
        <v>1926691</v>
      </c>
      <c r="F1063" s="64" t="s">
        <v>1061</v>
      </c>
      <c r="G1063" s="25">
        <f t="shared" si="14"/>
        <v>1.4579073695439648E-2</v>
      </c>
    </row>
    <row r="1064" spans="1:7">
      <c r="A1064" s="64">
        <v>112.37</v>
      </c>
      <c r="B1064" s="64">
        <v>112.45</v>
      </c>
      <c r="C1064" s="64">
        <v>109.83</v>
      </c>
      <c r="D1064" s="64">
        <v>110.31</v>
      </c>
      <c r="E1064" s="64">
        <v>1689901</v>
      </c>
      <c r="F1064" s="64" t="s">
        <v>1062</v>
      </c>
      <c r="G1064" s="25">
        <f t="shared" si="14"/>
        <v>1.8674644184570877E-2</v>
      </c>
    </row>
    <row r="1065" spans="1:7">
      <c r="A1065" s="64">
        <v>109.46</v>
      </c>
      <c r="B1065" s="64">
        <v>109.5</v>
      </c>
      <c r="C1065" s="64">
        <v>107.17</v>
      </c>
      <c r="D1065" s="64">
        <v>108.52</v>
      </c>
      <c r="E1065" s="64">
        <v>1833010</v>
      </c>
      <c r="F1065" s="64" t="s">
        <v>1063</v>
      </c>
      <c r="G1065" s="25">
        <f t="shared" si="14"/>
        <v>8.6619977884261345E-3</v>
      </c>
    </row>
    <row r="1066" spans="1:7">
      <c r="A1066" s="64">
        <v>107.2</v>
      </c>
      <c r="B1066" s="64">
        <v>111.6</v>
      </c>
      <c r="C1066" s="64">
        <v>106.78</v>
      </c>
      <c r="D1066" s="64">
        <v>110.39</v>
      </c>
      <c r="E1066" s="64">
        <v>2827531</v>
      </c>
      <c r="F1066" s="64" t="s">
        <v>1064</v>
      </c>
      <c r="G1066" s="25">
        <f t="shared" si="14"/>
        <v>-2.8897545067487984E-2</v>
      </c>
    </row>
    <row r="1067" spans="1:7">
      <c r="A1067" s="64">
        <v>112.95</v>
      </c>
      <c r="B1067" s="64">
        <v>113.5</v>
      </c>
      <c r="C1067" s="64">
        <v>109.27</v>
      </c>
      <c r="D1067" s="64">
        <v>110.25</v>
      </c>
      <c r="E1067" s="64">
        <v>3011296</v>
      </c>
      <c r="F1067" s="64" t="s">
        <v>1065</v>
      </c>
      <c r="G1067" s="25">
        <f t="shared" si="14"/>
        <v>2.4489795918367419E-2</v>
      </c>
    </row>
    <row r="1068" spans="1:7">
      <c r="A1068" s="64">
        <v>111.55</v>
      </c>
      <c r="B1068" s="64">
        <v>113.41500000000001</v>
      </c>
      <c r="C1068" s="64">
        <v>110.48099999999999</v>
      </c>
      <c r="D1068" s="64">
        <v>112</v>
      </c>
      <c r="E1068" s="64">
        <v>1683160</v>
      </c>
      <c r="F1068" s="64" t="s">
        <v>1066</v>
      </c>
      <c r="G1068" s="25">
        <f t="shared" si="14"/>
        <v>-4.0178571428571841E-3</v>
      </c>
    </row>
    <row r="1069" spans="1:7">
      <c r="A1069" s="64">
        <v>112.77</v>
      </c>
      <c r="B1069" s="64">
        <v>113.23</v>
      </c>
      <c r="C1069" s="64">
        <v>111.08</v>
      </c>
      <c r="D1069" s="64">
        <v>113.01</v>
      </c>
      <c r="E1069" s="64">
        <v>3975560</v>
      </c>
      <c r="F1069" s="64" t="s">
        <v>1067</v>
      </c>
      <c r="G1069" s="25">
        <f t="shared" si="14"/>
        <v>-2.1237058667374908E-3</v>
      </c>
    </row>
    <row r="1070" spans="1:7">
      <c r="A1070" s="64">
        <v>112.54</v>
      </c>
      <c r="B1070" s="64">
        <v>112.61</v>
      </c>
      <c r="C1070" s="64">
        <v>109.05</v>
      </c>
      <c r="D1070" s="64">
        <v>109.12</v>
      </c>
      <c r="E1070" s="64">
        <v>1952128</v>
      </c>
      <c r="F1070" s="64" t="s">
        <v>1068</v>
      </c>
      <c r="G1070" s="25">
        <f t="shared" si="14"/>
        <v>3.134164222873892E-2</v>
      </c>
    </row>
    <row r="1071" spans="1:7">
      <c r="A1071" s="64">
        <v>109.79</v>
      </c>
      <c r="B1071" s="64">
        <v>109.84</v>
      </c>
      <c r="C1071" s="64">
        <v>106.62</v>
      </c>
      <c r="D1071" s="64">
        <v>108.42</v>
      </c>
      <c r="E1071" s="64">
        <v>2144564</v>
      </c>
      <c r="F1071" s="64" t="s">
        <v>1069</v>
      </c>
      <c r="G1071" s="25">
        <f t="shared" si="14"/>
        <v>1.2636045010145702E-2</v>
      </c>
    </row>
    <row r="1072" spans="1:7">
      <c r="A1072" s="64">
        <v>106.15</v>
      </c>
      <c r="B1072" s="64">
        <v>106.22</v>
      </c>
      <c r="C1072" s="64">
        <v>103.83</v>
      </c>
      <c r="D1072" s="64">
        <v>104.71</v>
      </c>
      <c r="E1072" s="64">
        <v>2251135</v>
      </c>
      <c r="F1072" s="64" t="s">
        <v>1070</v>
      </c>
      <c r="G1072" s="25">
        <f t="shared" si="14"/>
        <v>1.3752268169229476E-2</v>
      </c>
    </row>
    <row r="1073" spans="1:7">
      <c r="A1073" s="64">
        <v>102.25</v>
      </c>
      <c r="B1073" s="64">
        <v>105.15</v>
      </c>
      <c r="C1073" s="64">
        <v>100.97</v>
      </c>
      <c r="D1073" s="64">
        <v>104.21</v>
      </c>
      <c r="E1073" s="64">
        <v>2391279</v>
      </c>
      <c r="F1073" s="64" t="s">
        <v>1071</v>
      </c>
      <c r="G1073" s="25">
        <f t="shared" si="14"/>
        <v>-1.8808175798867621E-2</v>
      </c>
    </row>
    <row r="1074" spans="1:7">
      <c r="A1074" s="64">
        <v>103.45</v>
      </c>
      <c r="B1074" s="64">
        <v>106.98</v>
      </c>
      <c r="C1074" s="64">
        <v>103.4</v>
      </c>
      <c r="D1074" s="64">
        <v>106.81</v>
      </c>
      <c r="E1074" s="64">
        <v>2030440</v>
      </c>
      <c r="F1074" s="64" t="s">
        <v>1072</v>
      </c>
      <c r="G1074" s="25">
        <f t="shared" si="14"/>
        <v>-3.145772867709018E-2</v>
      </c>
    </row>
    <row r="1075" spans="1:7">
      <c r="A1075" s="64">
        <v>105.7</v>
      </c>
      <c r="B1075" s="64">
        <v>106</v>
      </c>
      <c r="C1075" s="64">
        <v>104.07</v>
      </c>
      <c r="D1075" s="64">
        <v>104.09</v>
      </c>
      <c r="E1075" s="64">
        <v>2091435</v>
      </c>
      <c r="F1075" s="64" t="s">
        <v>1073</v>
      </c>
      <c r="G1075" s="25">
        <f t="shared" si="14"/>
        <v>1.5467383994619999E-2</v>
      </c>
    </row>
    <row r="1076" spans="1:7">
      <c r="A1076" s="64">
        <v>105.91</v>
      </c>
      <c r="B1076" s="64">
        <v>106.38</v>
      </c>
      <c r="C1076" s="64">
        <v>103.23</v>
      </c>
      <c r="D1076" s="64">
        <v>104.91</v>
      </c>
      <c r="E1076" s="64">
        <v>3320789</v>
      </c>
      <c r="F1076" s="64" t="s">
        <v>1074</v>
      </c>
      <c r="G1076" s="25">
        <f t="shared" si="14"/>
        <v>9.5319797922028826E-3</v>
      </c>
    </row>
    <row r="1077" spans="1:7">
      <c r="A1077" s="64">
        <v>102</v>
      </c>
      <c r="B1077" s="64">
        <v>107.77</v>
      </c>
      <c r="C1077" s="64">
        <v>101.84</v>
      </c>
      <c r="D1077" s="64">
        <v>107.6</v>
      </c>
      <c r="E1077" s="64">
        <v>3553236</v>
      </c>
      <c r="F1077" s="64" t="s">
        <v>1075</v>
      </c>
      <c r="G1077" s="25">
        <f t="shared" si="14"/>
        <v>-5.2044609665427455E-2</v>
      </c>
    </row>
    <row r="1078" spans="1:7">
      <c r="A1078" s="64">
        <v>108.35</v>
      </c>
      <c r="B1078" s="64">
        <v>110.81</v>
      </c>
      <c r="C1078" s="64">
        <v>107.22</v>
      </c>
      <c r="D1078" s="64">
        <v>110.33</v>
      </c>
      <c r="E1078" s="64">
        <v>1887555</v>
      </c>
      <c r="F1078" s="64" t="s">
        <v>1076</v>
      </c>
      <c r="G1078" s="25">
        <f t="shared" si="14"/>
        <v>-1.7946161515453696E-2</v>
      </c>
    </row>
    <row r="1079" spans="1:7">
      <c r="A1079" s="64">
        <v>110.64</v>
      </c>
      <c r="B1079" s="64">
        <v>111.46</v>
      </c>
      <c r="C1079" s="64">
        <v>108.47</v>
      </c>
      <c r="D1079" s="64">
        <v>111.36</v>
      </c>
      <c r="E1079" s="64">
        <v>2280422</v>
      </c>
      <c r="F1079" s="64" t="s">
        <v>1077</v>
      </c>
      <c r="G1079" s="25">
        <f t="shared" si="14"/>
        <v>-6.4655172413793371E-3</v>
      </c>
    </row>
    <row r="1080" spans="1:7">
      <c r="A1080" s="64">
        <v>111.98</v>
      </c>
      <c r="B1080" s="64">
        <v>113.3999</v>
      </c>
      <c r="C1080" s="64">
        <v>110.32</v>
      </c>
      <c r="D1080" s="64">
        <v>112.31</v>
      </c>
      <c r="E1080" s="64">
        <v>2405376</v>
      </c>
      <c r="F1080" s="64" t="s">
        <v>1078</v>
      </c>
      <c r="G1080" s="25">
        <f t="shared" si="14"/>
        <v>-2.9382957884427352E-3</v>
      </c>
    </row>
    <row r="1081" spans="1:7">
      <c r="A1081" s="64">
        <v>111.38</v>
      </c>
      <c r="B1081" s="64">
        <v>112.82</v>
      </c>
      <c r="C1081" s="64">
        <v>110.83</v>
      </c>
      <c r="D1081" s="64">
        <v>112.51</v>
      </c>
      <c r="E1081" s="64">
        <v>2486513</v>
      </c>
      <c r="F1081" s="64" t="s">
        <v>1079</v>
      </c>
      <c r="G1081" s="25">
        <f t="shared" si="14"/>
        <v>-1.0043551684294827E-2</v>
      </c>
    </row>
    <row r="1082" spans="1:7">
      <c r="A1082" s="64">
        <v>111.61</v>
      </c>
      <c r="B1082" s="64">
        <v>112.97</v>
      </c>
      <c r="C1082" s="64">
        <v>110.55</v>
      </c>
      <c r="D1082" s="64">
        <v>112.35</v>
      </c>
      <c r="E1082" s="64">
        <v>2001403</v>
      </c>
      <c r="F1082" s="64" t="s">
        <v>1080</v>
      </c>
      <c r="G1082" s="25">
        <f t="shared" si="14"/>
        <v>-6.5865598575878259E-3</v>
      </c>
    </row>
    <row r="1083" spans="1:7">
      <c r="A1083" s="64">
        <v>112.37</v>
      </c>
      <c r="B1083" s="64">
        <v>113.14</v>
      </c>
      <c r="C1083" s="64">
        <v>110.29</v>
      </c>
      <c r="D1083" s="64">
        <v>111.07</v>
      </c>
      <c r="E1083" s="64">
        <v>3072364</v>
      </c>
      <c r="F1083" s="64" t="s">
        <v>1081</v>
      </c>
      <c r="G1083" s="25">
        <f t="shared" si="14"/>
        <v>1.170433060232301E-2</v>
      </c>
    </row>
    <row r="1084" spans="1:7">
      <c r="A1084" s="64">
        <v>113.03</v>
      </c>
      <c r="B1084" s="64">
        <v>113.11</v>
      </c>
      <c r="C1084" s="64">
        <v>108.545</v>
      </c>
      <c r="D1084" s="64">
        <v>109.58</v>
      </c>
      <c r="E1084" s="64">
        <v>2157273</v>
      </c>
      <c r="F1084" s="64" t="s">
        <v>1082</v>
      </c>
      <c r="G1084" s="25">
        <f t="shared" si="14"/>
        <v>3.1483847417411948E-2</v>
      </c>
    </row>
    <row r="1085" spans="1:7">
      <c r="A1085" s="64">
        <v>109.64</v>
      </c>
      <c r="B1085" s="64">
        <v>110.04</v>
      </c>
      <c r="C1085" s="64">
        <v>102.5672</v>
      </c>
      <c r="D1085" s="64">
        <v>103.26</v>
      </c>
      <c r="E1085" s="64">
        <v>3112023</v>
      </c>
      <c r="F1085" s="64" t="s">
        <v>1083</v>
      </c>
      <c r="G1085" s="25">
        <f t="shared" si="14"/>
        <v>6.1785783459229027E-2</v>
      </c>
    </row>
    <row r="1086" spans="1:7">
      <c r="A1086" s="64">
        <v>105.33</v>
      </c>
      <c r="B1086" s="64">
        <v>107.6</v>
      </c>
      <c r="C1086" s="64">
        <v>105.065</v>
      </c>
      <c r="D1086" s="64">
        <v>106.46</v>
      </c>
      <c r="E1086" s="64">
        <v>2234997</v>
      </c>
      <c r="F1086" s="64" t="s">
        <v>1084</v>
      </c>
      <c r="G1086" s="25">
        <f t="shared" si="14"/>
        <v>-1.0614315235769278E-2</v>
      </c>
    </row>
    <row r="1087" spans="1:7">
      <c r="A1087" s="64">
        <v>105.94</v>
      </c>
      <c r="B1087" s="64">
        <v>107.27</v>
      </c>
      <c r="C1087" s="64">
        <v>104.81</v>
      </c>
      <c r="D1087" s="64">
        <v>104.99</v>
      </c>
      <c r="E1087" s="64">
        <v>2074630</v>
      </c>
      <c r="F1087" s="64" t="s">
        <v>1085</v>
      </c>
      <c r="G1087" s="25">
        <f t="shared" ref="G1087:G1150" si="15">A1087/D1087-1</f>
        <v>9.0484808076960466E-3</v>
      </c>
    </row>
    <row r="1088" spans="1:7">
      <c r="A1088" s="64">
        <v>105.62</v>
      </c>
      <c r="B1088" s="64">
        <v>107.27</v>
      </c>
      <c r="C1088" s="64">
        <v>104.91</v>
      </c>
      <c r="D1088" s="64">
        <v>106.66</v>
      </c>
      <c r="E1088" s="64">
        <v>2525648</v>
      </c>
      <c r="F1088" s="64" t="s">
        <v>1086</v>
      </c>
      <c r="G1088" s="25">
        <f t="shared" si="15"/>
        <v>-9.7506094130882515E-3</v>
      </c>
    </row>
    <row r="1089" spans="1:7">
      <c r="A1089" s="64">
        <v>106.88</v>
      </c>
      <c r="B1089" s="64">
        <v>109.8</v>
      </c>
      <c r="C1089" s="64">
        <v>106.7</v>
      </c>
      <c r="D1089" s="64">
        <v>109.64</v>
      </c>
      <c r="E1089" s="64">
        <v>2268959</v>
      </c>
      <c r="F1089" s="64" t="s">
        <v>1087</v>
      </c>
      <c r="G1089" s="25">
        <f t="shared" si="15"/>
        <v>-2.5173294418095682E-2</v>
      </c>
    </row>
    <row r="1090" spans="1:7">
      <c r="A1090" s="64">
        <v>110.66</v>
      </c>
      <c r="B1090" s="64">
        <v>111.11</v>
      </c>
      <c r="C1090" s="64">
        <v>108.5</v>
      </c>
      <c r="D1090" s="64">
        <v>110.21</v>
      </c>
      <c r="E1090" s="64">
        <v>2823742</v>
      </c>
      <c r="F1090" s="64" t="s">
        <v>1088</v>
      </c>
      <c r="G1090" s="25">
        <f t="shared" si="15"/>
        <v>4.083114054985959E-3</v>
      </c>
    </row>
    <row r="1091" spans="1:7">
      <c r="A1091" s="64">
        <v>110.93</v>
      </c>
      <c r="B1091" s="64">
        <v>110.97</v>
      </c>
      <c r="C1091" s="64">
        <v>108.55</v>
      </c>
      <c r="D1091" s="64">
        <v>108.55</v>
      </c>
      <c r="E1091" s="64">
        <v>3034699</v>
      </c>
      <c r="F1091" s="64" t="s">
        <v>1089</v>
      </c>
      <c r="G1091" s="25">
        <f t="shared" si="15"/>
        <v>2.1925380009212514E-2</v>
      </c>
    </row>
    <row r="1092" spans="1:7">
      <c r="A1092" s="64">
        <v>107.73</v>
      </c>
      <c r="B1092" s="64">
        <v>109.48</v>
      </c>
      <c r="C1092" s="64">
        <v>106.42</v>
      </c>
      <c r="D1092" s="64">
        <v>108.34</v>
      </c>
      <c r="E1092" s="64">
        <v>2405130</v>
      </c>
      <c r="F1092" s="64" t="s">
        <v>1090</v>
      </c>
      <c r="G1092" s="25">
        <f t="shared" si="15"/>
        <v>-5.6304227432157905E-3</v>
      </c>
    </row>
    <row r="1093" spans="1:7">
      <c r="A1093" s="64">
        <v>109</v>
      </c>
      <c r="B1093" s="64">
        <v>112</v>
      </c>
      <c r="C1093" s="64">
        <v>108.82</v>
      </c>
      <c r="D1093" s="64">
        <v>110.8</v>
      </c>
      <c r="E1093" s="64">
        <v>2797335</v>
      </c>
      <c r="F1093" s="64" t="s">
        <v>1091</v>
      </c>
      <c r="G1093" s="25">
        <f t="shared" si="15"/>
        <v>-1.6245487364620947E-2</v>
      </c>
    </row>
    <row r="1094" spans="1:7">
      <c r="A1094" s="64">
        <v>110.64</v>
      </c>
      <c r="B1094" s="64">
        <v>112.77</v>
      </c>
      <c r="C1094" s="64">
        <v>110.06</v>
      </c>
      <c r="D1094" s="64">
        <v>110.16</v>
      </c>
      <c r="E1094" s="64">
        <v>2338200</v>
      </c>
      <c r="F1094" s="64" t="s">
        <v>1092</v>
      </c>
      <c r="G1094" s="25">
        <f t="shared" si="15"/>
        <v>4.3572984749455923E-3</v>
      </c>
    </row>
    <row r="1095" spans="1:7">
      <c r="A1095" s="64">
        <v>112.59</v>
      </c>
      <c r="B1095" s="64">
        <v>114.12</v>
      </c>
      <c r="C1095" s="64">
        <v>111.96</v>
      </c>
      <c r="D1095" s="64">
        <v>113.04</v>
      </c>
      <c r="E1095" s="64">
        <v>3025622</v>
      </c>
      <c r="F1095" s="64" t="s">
        <v>1093</v>
      </c>
      <c r="G1095" s="25">
        <f t="shared" si="15"/>
        <v>-3.9808917197452498E-3</v>
      </c>
    </row>
    <row r="1096" spans="1:7">
      <c r="A1096" s="64">
        <v>111.42</v>
      </c>
      <c r="B1096" s="64">
        <v>111.81</v>
      </c>
      <c r="C1096" s="64">
        <v>108.83</v>
      </c>
      <c r="D1096" s="64">
        <v>110.35</v>
      </c>
      <c r="E1096" s="64">
        <v>3798255</v>
      </c>
      <c r="F1096" s="64" t="s">
        <v>1094</v>
      </c>
      <c r="G1096" s="25">
        <f t="shared" si="15"/>
        <v>9.6964204802900689E-3</v>
      </c>
    </row>
    <row r="1097" spans="1:7">
      <c r="A1097" s="64">
        <v>111.13</v>
      </c>
      <c r="B1097" s="64">
        <v>113.34</v>
      </c>
      <c r="C1097" s="64">
        <v>110.61</v>
      </c>
      <c r="D1097" s="64">
        <v>111.6</v>
      </c>
      <c r="E1097" s="64">
        <v>1833489</v>
      </c>
      <c r="F1097" s="64" t="s">
        <v>1095</v>
      </c>
      <c r="G1097" s="25">
        <f t="shared" si="15"/>
        <v>-4.2114695340501607E-3</v>
      </c>
    </row>
    <row r="1098" spans="1:7">
      <c r="A1098" s="64">
        <v>112.18</v>
      </c>
      <c r="B1098" s="64">
        <v>113.21</v>
      </c>
      <c r="C1098" s="64">
        <v>110.26</v>
      </c>
      <c r="D1098" s="64">
        <v>110.6</v>
      </c>
      <c r="E1098" s="64">
        <v>2303684</v>
      </c>
      <c r="F1098" s="64" t="s">
        <v>1096</v>
      </c>
      <c r="G1098" s="25">
        <f t="shared" si="15"/>
        <v>1.4285714285714457E-2</v>
      </c>
    </row>
    <row r="1099" spans="1:7">
      <c r="A1099" s="64">
        <v>111.59</v>
      </c>
      <c r="B1099" s="64">
        <v>113.905</v>
      </c>
      <c r="C1099" s="64">
        <v>110.59</v>
      </c>
      <c r="D1099" s="64">
        <v>110.8</v>
      </c>
      <c r="E1099" s="64">
        <v>2655347</v>
      </c>
      <c r="F1099" s="64" t="s">
        <v>1097</v>
      </c>
      <c r="G1099" s="25">
        <f t="shared" si="15"/>
        <v>7.1299638989170688E-3</v>
      </c>
    </row>
    <row r="1100" spans="1:7">
      <c r="A1100" s="64">
        <v>112.84</v>
      </c>
      <c r="B1100" s="64">
        <v>112.99</v>
      </c>
      <c r="C1100" s="64">
        <v>109.77</v>
      </c>
      <c r="D1100" s="64">
        <v>111.79</v>
      </c>
      <c r="E1100" s="64">
        <v>3385437</v>
      </c>
      <c r="F1100" s="64" t="s">
        <v>1098</v>
      </c>
      <c r="G1100" s="25">
        <f t="shared" si="15"/>
        <v>9.3926111458986217E-3</v>
      </c>
    </row>
    <row r="1101" spans="1:7">
      <c r="A1101" s="64">
        <v>108.37</v>
      </c>
      <c r="B1101" s="64">
        <v>110.54</v>
      </c>
      <c r="C1101" s="64">
        <v>107.02</v>
      </c>
      <c r="D1101" s="64">
        <v>109.59</v>
      </c>
      <c r="E1101" s="64">
        <v>3731874</v>
      </c>
      <c r="F1101" s="64" t="s">
        <v>1099</v>
      </c>
      <c r="G1101" s="25">
        <f t="shared" si="15"/>
        <v>-1.1132402591477297E-2</v>
      </c>
    </row>
    <row r="1102" spans="1:7">
      <c r="A1102" s="64">
        <v>109.2</v>
      </c>
      <c r="B1102" s="64">
        <v>109.41</v>
      </c>
      <c r="C1102" s="64">
        <v>105</v>
      </c>
      <c r="D1102" s="64">
        <v>105.32</v>
      </c>
      <c r="E1102" s="64">
        <v>3398364</v>
      </c>
      <c r="F1102" s="64" t="s">
        <v>1100</v>
      </c>
      <c r="G1102" s="25">
        <f t="shared" si="15"/>
        <v>3.6840106342575174E-2</v>
      </c>
    </row>
    <row r="1103" spans="1:7">
      <c r="A1103" s="64">
        <v>104.87</v>
      </c>
      <c r="B1103" s="64">
        <v>105.01600000000001</v>
      </c>
      <c r="C1103" s="64">
        <v>96.39</v>
      </c>
      <c r="D1103" s="64">
        <v>102.37</v>
      </c>
      <c r="E1103" s="64">
        <v>3828612</v>
      </c>
      <c r="F1103" s="64" t="s">
        <v>1101</v>
      </c>
      <c r="G1103" s="25">
        <f t="shared" si="15"/>
        <v>2.4421217153463015E-2</v>
      </c>
    </row>
    <row r="1104" spans="1:7">
      <c r="A1104" s="64">
        <v>101.96</v>
      </c>
      <c r="B1104" s="64">
        <v>106.04</v>
      </c>
      <c r="C1104" s="64">
        <v>99.62</v>
      </c>
      <c r="D1104" s="64">
        <v>100</v>
      </c>
      <c r="E1104" s="64">
        <v>6876116</v>
      </c>
      <c r="F1104" s="64" t="s">
        <v>1102</v>
      </c>
      <c r="G1104" s="25">
        <f t="shared" si="15"/>
        <v>1.959999999999984E-2</v>
      </c>
    </row>
    <row r="1105" spans="1:7">
      <c r="A1105" s="64">
        <v>108.63</v>
      </c>
      <c r="B1105" s="64">
        <v>112.16</v>
      </c>
      <c r="C1105" s="64">
        <v>107.36499999999999</v>
      </c>
      <c r="D1105" s="64">
        <v>111.05</v>
      </c>
      <c r="E1105" s="64">
        <v>3144291</v>
      </c>
      <c r="F1105" s="64" t="s">
        <v>1103</v>
      </c>
      <c r="G1105" s="25">
        <f t="shared" si="15"/>
        <v>-2.1791985592075624E-2</v>
      </c>
    </row>
    <row r="1106" spans="1:7">
      <c r="A1106" s="64">
        <v>109.49</v>
      </c>
      <c r="B1106" s="64">
        <v>111.12</v>
      </c>
      <c r="C1106" s="64">
        <v>106.53</v>
      </c>
      <c r="D1106" s="64">
        <v>107.94</v>
      </c>
      <c r="E1106" s="64">
        <v>3211920</v>
      </c>
      <c r="F1106" s="64" t="s">
        <v>1104</v>
      </c>
      <c r="G1106" s="25">
        <f t="shared" si="15"/>
        <v>1.435982953492676E-2</v>
      </c>
    </row>
    <row r="1107" spans="1:7">
      <c r="A1107" s="64">
        <v>110.6</v>
      </c>
      <c r="B1107" s="64">
        <v>110.75</v>
      </c>
      <c r="C1107" s="64">
        <v>105.14</v>
      </c>
      <c r="D1107" s="64">
        <v>110.3</v>
      </c>
      <c r="E1107" s="64">
        <v>4692008</v>
      </c>
      <c r="F1107" s="64" t="s">
        <v>1105</v>
      </c>
      <c r="G1107" s="25">
        <f t="shared" si="15"/>
        <v>2.7198549410698547E-3</v>
      </c>
    </row>
    <row r="1108" spans="1:7">
      <c r="A1108" s="64">
        <v>112.65</v>
      </c>
      <c r="B1108" s="64">
        <v>115.55</v>
      </c>
      <c r="C1108" s="64">
        <v>112.23</v>
      </c>
      <c r="D1108" s="64">
        <v>115.52</v>
      </c>
      <c r="E1108" s="64">
        <v>3145014</v>
      </c>
      <c r="F1108" s="64" t="s">
        <v>1106</v>
      </c>
      <c r="G1108" s="25">
        <f t="shared" si="15"/>
        <v>-2.4844182825484729E-2</v>
      </c>
    </row>
    <row r="1109" spans="1:7">
      <c r="A1109" s="64">
        <v>115.56</v>
      </c>
      <c r="B1109" s="64">
        <v>119.56</v>
      </c>
      <c r="C1109" s="64">
        <v>115.34</v>
      </c>
      <c r="D1109" s="64">
        <v>117.2</v>
      </c>
      <c r="E1109" s="64">
        <v>1825531</v>
      </c>
      <c r="F1109" s="64" t="s">
        <v>1107</v>
      </c>
      <c r="G1109" s="25">
        <f t="shared" si="15"/>
        <v>-1.3993174061433411E-2</v>
      </c>
    </row>
    <row r="1110" spans="1:7">
      <c r="A1110" s="64">
        <v>116.16</v>
      </c>
      <c r="B1110" s="64">
        <v>118.145</v>
      </c>
      <c r="C1110" s="64">
        <v>115.965</v>
      </c>
      <c r="D1110" s="64">
        <v>116.25</v>
      </c>
      <c r="E1110" s="64">
        <v>2245358</v>
      </c>
      <c r="F1110" s="64" t="s">
        <v>1108</v>
      </c>
      <c r="G1110" s="25">
        <f t="shared" si="15"/>
        <v>-7.741935483871476E-4</v>
      </c>
    </row>
    <row r="1111" spans="1:7">
      <c r="A1111" s="64">
        <v>115.83</v>
      </c>
      <c r="B1111" s="64">
        <v>116.52</v>
      </c>
      <c r="C1111" s="64">
        <v>114.17</v>
      </c>
      <c r="D1111" s="64">
        <v>115</v>
      </c>
      <c r="E1111" s="64">
        <v>2601388</v>
      </c>
      <c r="F1111" s="64" t="s">
        <v>1109</v>
      </c>
      <c r="G1111" s="25">
        <f t="shared" si="15"/>
        <v>7.2173913043478422E-3</v>
      </c>
    </row>
    <row r="1112" spans="1:7">
      <c r="A1112" s="64">
        <v>118.26</v>
      </c>
      <c r="B1112" s="64">
        <v>120.21</v>
      </c>
      <c r="C1112" s="64">
        <v>116.7</v>
      </c>
      <c r="D1112" s="64">
        <v>119.44</v>
      </c>
      <c r="E1112" s="64">
        <v>2112802</v>
      </c>
      <c r="F1112" s="64" t="s">
        <v>1110</v>
      </c>
      <c r="G1112" s="25">
        <f t="shared" si="15"/>
        <v>-9.8794373744138797E-3</v>
      </c>
    </row>
    <row r="1113" spans="1:7">
      <c r="A1113" s="64">
        <v>120.46</v>
      </c>
      <c r="B1113" s="64">
        <v>122.9</v>
      </c>
      <c r="C1113" s="64">
        <v>120.05</v>
      </c>
      <c r="D1113" s="64">
        <v>122.57</v>
      </c>
      <c r="E1113" s="64">
        <v>1695996</v>
      </c>
      <c r="F1113" s="64" t="s">
        <v>1111</v>
      </c>
      <c r="G1113" s="25">
        <f t="shared" si="15"/>
        <v>-1.7214652851431866E-2</v>
      </c>
    </row>
    <row r="1114" spans="1:7">
      <c r="A1114" s="64">
        <v>122.26</v>
      </c>
      <c r="B1114" s="64">
        <v>123.77</v>
      </c>
      <c r="C1114" s="64">
        <v>121.19</v>
      </c>
      <c r="D1114" s="64">
        <v>121.19</v>
      </c>
      <c r="E1114" s="64">
        <v>2006967</v>
      </c>
      <c r="F1114" s="64" t="s">
        <v>1112</v>
      </c>
      <c r="G1114" s="25">
        <f t="shared" si="15"/>
        <v>8.8291113128147192E-3</v>
      </c>
    </row>
    <row r="1115" spans="1:7">
      <c r="A1115" s="64">
        <v>121.94</v>
      </c>
      <c r="B1115" s="64">
        <v>122.19</v>
      </c>
      <c r="C1115" s="64">
        <v>118.54</v>
      </c>
      <c r="D1115" s="64">
        <v>120.6</v>
      </c>
      <c r="E1115" s="64">
        <v>2389409</v>
      </c>
      <c r="F1115" s="64" t="s">
        <v>1113</v>
      </c>
      <c r="G1115" s="25">
        <f t="shared" si="15"/>
        <v>1.1111111111111072E-2</v>
      </c>
    </row>
    <row r="1116" spans="1:7">
      <c r="A1116" s="64">
        <v>120.12</v>
      </c>
      <c r="B1116" s="64">
        <v>121.22</v>
      </c>
      <c r="C1116" s="64">
        <v>117.72</v>
      </c>
      <c r="D1116" s="64">
        <v>120.53</v>
      </c>
      <c r="E1116" s="64">
        <v>2652583</v>
      </c>
      <c r="F1116" s="64" t="s">
        <v>1114</v>
      </c>
      <c r="G1116" s="25">
        <f t="shared" si="15"/>
        <v>-3.4016427445449082E-3</v>
      </c>
    </row>
    <row r="1117" spans="1:7">
      <c r="A1117" s="64">
        <v>122.3</v>
      </c>
      <c r="B1117" s="64">
        <v>123.81</v>
      </c>
      <c r="C1117" s="64">
        <v>121.02</v>
      </c>
      <c r="D1117" s="64">
        <v>122.16</v>
      </c>
      <c r="E1117" s="64">
        <v>2172096</v>
      </c>
      <c r="F1117" s="64" t="s">
        <v>1115</v>
      </c>
      <c r="G1117" s="25">
        <f t="shared" si="15"/>
        <v>1.1460379829730805E-3</v>
      </c>
    </row>
    <row r="1118" spans="1:7">
      <c r="A1118" s="64">
        <v>123.23</v>
      </c>
      <c r="B1118" s="64">
        <v>125.4</v>
      </c>
      <c r="C1118" s="64">
        <v>122.97</v>
      </c>
      <c r="D1118" s="64">
        <v>124.35</v>
      </c>
      <c r="E1118" s="64">
        <v>2602164</v>
      </c>
      <c r="F1118" s="64" t="s">
        <v>1116</v>
      </c>
      <c r="G1118" s="25">
        <f t="shared" si="15"/>
        <v>-9.0068355448330584E-3</v>
      </c>
    </row>
    <row r="1119" spans="1:7">
      <c r="A1119" s="64">
        <v>123.92</v>
      </c>
      <c r="B1119" s="64">
        <v>128.35560000000001</v>
      </c>
      <c r="C1119" s="64">
        <v>123.92</v>
      </c>
      <c r="D1119" s="64">
        <v>127.55</v>
      </c>
      <c r="E1119" s="64">
        <v>2201821</v>
      </c>
      <c r="F1119" s="64" t="s">
        <v>1117</v>
      </c>
      <c r="G1119" s="25">
        <f t="shared" si="15"/>
        <v>-2.8459427675421423E-2</v>
      </c>
    </row>
    <row r="1120" spans="1:7">
      <c r="A1120" s="64">
        <v>127.89</v>
      </c>
      <c r="B1120" s="64">
        <v>129.52500000000001</v>
      </c>
      <c r="C1120" s="64">
        <v>126.94</v>
      </c>
      <c r="D1120" s="64">
        <v>128.37</v>
      </c>
      <c r="E1120" s="64">
        <v>2020510</v>
      </c>
      <c r="F1120" s="64" t="s">
        <v>1118</v>
      </c>
      <c r="G1120" s="25">
        <f t="shared" si="15"/>
        <v>-3.739191399859787E-3</v>
      </c>
    </row>
    <row r="1121" spans="1:7">
      <c r="A1121" s="64">
        <v>128.34</v>
      </c>
      <c r="B1121" s="64">
        <v>129.51490000000001</v>
      </c>
      <c r="C1121" s="64">
        <v>126.43</v>
      </c>
      <c r="D1121" s="64">
        <v>129.07</v>
      </c>
      <c r="E1121" s="64">
        <v>1766131</v>
      </c>
      <c r="F1121" s="64" t="s">
        <v>1119</v>
      </c>
      <c r="G1121" s="25">
        <f t="shared" si="15"/>
        <v>-5.6558456651428779E-3</v>
      </c>
    </row>
    <row r="1122" spans="1:7">
      <c r="A1122" s="64">
        <v>129.55000000000001</v>
      </c>
      <c r="B1122" s="64">
        <v>130.94</v>
      </c>
      <c r="C1122" s="64">
        <v>129.27000000000001</v>
      </c>
      <c r="D1122" s="64">
        <v>130.31</v>
      </c>
      <c r="E1122" s="64">
        <v>1193704</v>
      </c>
      <c r="F1122" s="64" t="s">
        <v>1120</v>
      </c>
      <c r="G1122" s="25">
        <f t="shared" si="15"/>
        <v>-5.8322461821809224E-3</v>
      </c>
    </row>
    <row r="1123" spans="1:7">
      <c r="A1123" s="64">
        <v>130.68</v>
      </c>
      <c r="B1123" s="64">
        <v>131.72999999999999</v>
      </c>
      <c r="C1123" s="64">
        <v>130.38999999999999</v>
      </c>
      <c r="D1123" s="64">
        <v>130.82</v>
      </c>
      <c r="E1123" s="64">
        <v>1112543</v>
      </c>
      <c r="F1123" s="64" t="s">
        <v>1121</v>
      </c>
      <c r="G1123" s="25">
        <f t="shared" si="15"/>
        <v>-1.0701727564591534E-3</v>
      </c>
    </row>
    <row r="1124" spans="1:7">
      <c r="A1124" s="64">
        <v>130.63999999999999</v>
      </c>
      <c r="B1124" s="64">
        <v>131.19</v>
      </c>
      <c r="C1124" s="64">
        <v>129.6</v>
      </c>
      <c r="D1124" s="64">
        <v>129.66999999999999</v>
      </c>
      <c r="E1124" s="64">
        <v>1137414</v>
      </c>
      <c r="F1124" s="64" t="s">
        <v>1122</v>
      </c>
      <c r="G1124" s="25">
        <f t="shared" si="15"/>
        <v>7.4805274928664289E-3</v>
      </c>
    </row>
    <row r="1125" spans="1:7">
      <c r="A1125" s="64">
        <v>129.35</v>
      </c>
      <c r="B1125" s="64">
        <v>130.9</v>
      </c>
      <c r="C1125" s="64">
        <v>128.97999999999999</v>
      </c>
      <c r="D1125" s="64">
        <v>130.83000000000001</v>
      </c>
      <c r="E1125" s="64">
        <v>1298179</v>
      </c>
      <c r="F1125" s="64" t="s">
        <v>1123</v>
      </c>
      <c r="G1125" s="25">
        <f t="shared" si="15"/>
        <v>-1.1312390124589289E-2</v>
      </c>
    </row>
    <row r="1126" spans="1:7">
      <c r="A1126" s="64">
        <v>130.58000000000001</v>
      </c>
      <c r="B1126" s="64">
        <v>130.6</v>
      </c>
      <c r="C1126" s="64">
        <v>128.17500000000001</v>
      </c>
      <c r="D1126" s="64">
        <v>129.07</v>
      </c>
      <c r="E1126" s="64">
        <v>1254166</v>
      </c>
      <c r="F1126" s="64" t="s">
        <v>1124</v>
      </c>
      <c r="G1126" s="25">
        <f t="shared" si="15"/>
        <v>1.1699078019679288E-2</v>
      </c>
    </row>
    <row r="1127" spans="1:7">
      <c r="A1127" s="64">
        <v>128.57</v>
      </c>
      <c r="B1127" s="64">
        <v>129.12</v>
      </c>
      <c r="C1127" s="64">
        <v>127.65</v>
      </c>
      <c r="D1127" s="64">
        <v>128</v>
      </c>
      <c r="E1127" s="64">
        <v>1732183</v>
      </c>
      <c r="F1127" s="64" t="s">
        <v>1125</v>
      </c>
      <c r="G1127" s="25">
        <f t="shared" si="15"/>
        <v>4.4531249999999467E-3</v>
      </c>
    </row>
    <row r="1128" spans="1:7">
      <c r="A1128" s="64">
        <v>127.83</v>
      </c>
      <c r="B1128" s="64">
        <v>128.02000000000001</v>
      </c>
      <c r="C1128" s="64">
        <v>124.2</v>
      </c>
      <c r="D1128" s="64">
        <v>124.2</v>
      </c>
      <c r="E1128" s="64">
        <v>2185702</v>
      </c>
      <c r="F1128" s="64" t="s">
        <v>1126</v>
      </c>
      <c r="G1128" s="25">
        <f t="shared" si="15"/>
        <v>2.9227053140096659E-2</v>
      </c>
    </row>
    <row r="1129" spans="1:7">
      <c r="A1129" s="64">
        <v>124.4</v>
      </c>
      <c r="B1129" s="64">
        <v>124.55500000000001</v>
      </c>
      <c r="C1129" s="64">
        <v>120.87</v>
      </c>
      <c r="D1129" s="64">
        <v>121.07</v>
      </c>
      <c r="E1129" s="64">
        <v>2223827</v>
      </c>
      <c r="F1129" s="64" t="s">
        <v>1127</v>
      </c>
      <c r="G1129" s="25">
        <f t="shared" si="15"/>
        <v>2.7504749318576049E-2</v>
      </c>
    </row>
    <row r="1130" spans="1:7">
      <c r="A1130" s="64">
        <v>120.03</v>
      </c>
      <c r="B1130" s="64">
        <v>120.96</v>
      </c>
      <c r="C1130" s="64">
        <v>117.88</v>
      </c>
      <c r="D1130" s="64">
        <v>120.44</v>
      </c>
      <c r="E1130" s="64">
        <v>3263485</v>
      </c>
      <c r="F1130" s="64" t="s">
        <v>1128</v>
      </c>
      <c r="G1130" s="25">
        <f t="shared" si="15"/>
        <v>-3.4041846562603562E-3</v>
      </c>
    </row>
    <row r="1131" spans="1:7">
      <c r="A1131" s="64">
        <v>122.12</v>
      </c>
      <c r="B1131" s="64">
        <v>123.56</v>
      </c>
      <c r="C1131" s="64">
        <v>120.42</v>
      </c>
      <c r="D1131" s="64">
        <v>121.24</v>
      </c>
      <c r="E1131" s="64">
        <v>6494135</v>
      </c>
      <c r="F1131" s="64" t="s">
        <v>1129</v>
      </c>
      <c r="G1131" s="25">
        <f t="shared" si="15"/>
        <v>7.2583305839657442E-3</v>
      </c>
    </row>
    <row r="1132" spans="1:7">
      <c r="A1132" s="64">
        <v>119.57</v>
      </c>
      <c r="B1132" s="64">
        <v>122.5</v>
      </c>
      <c r="C1132" s="64">
        <v>118.88</v>
      </c>
      <c r="D1132" s="64">
        <v>120.63</v>
      </c>
      <c r="E1132" s="64">
        <v>2866567</v>
      </c>
      <c r="F1132" s="64" t="s">
        <v>1130</v>
      </c>
      <c r="G1132" s="25">
        <f t="shared" si="15"/>
        <v>-8.7872005305479339E-3</v>
      </c>
    </row>
    <row r="1133" spans="1:7">
      <c r="A1133" s="64">
        <v>119.91</v>
      </c>
      <c r="B1133" s="64">
        <v>120.39</v>
      </c>
      <c r="C1133" s="64">
        <v>117.06</v>
      </c>
      <c r="D1133" s="64">
        <v>118.78</v>
      </c>
      <c r="E1133" s="64">
        <v>2530968</v>
      </c>
      <c r="F1133" s="64" t="s">
        <v>1131</v>
      </c>
      <c r="G1133" s="25">
        <f t="shared" si="15"/>
        <v>9.5133860919345281E-3</v>
      </c>
    </row>
    <row r="1134" spans="1:7">
      <c r="A1134" s="64">
        <v>116.9</v>
      </c>
      <c r="B1134" s="64">
        <v>119.49</v>
      </c>
      <c r="C1134" s="64">
        <v>115.74</v>
      </c>
      <c r="D1134" s="64">
        <v>119.49</v>
      </c>
      <c r="E1134" s="64">
        <v>2275253</v>
      </c>
      <c r="F1134" s="64" t="s">
        <v>1132</v>
      </c>
      <c r="G1134" s="25">
        <f t="shared" si="15"/>
        <v>-2.1675454012888062E-2</v>
      </c>
    </row>
    <row r="1135" spans="1:7">
      <c r="A1135" s="64">
        <v>120.74</v>
      </c>
      <c r="B1135" s="64">
        <v>122.03</v>
      </c>
      <c r="C1135" s="64">
        <v>120.27</v>
      </c>
      <c r="D1135" s="64">
        <v>121.83</v>
      </c>
      <c r="E1135" s="64">
        <v>1757887</v>
      </c>
      <c r="F1135" s="64" t="s">
        <v>1133</v>
      </c>
      <c r="G1135" s="25">
        <f t="shared" si="15"/>
        <v>-8.9468932118526023E-3</v>
      </c>
    </row>
    <row r="1136" spans="1:7">
      <c r="A1136" s="64">
        <v>121.84</v>
      </c>
      <c r="B1136" s="64">
        <v>122.34</v>
      </c>
      <c r="C1136" s="64">
        <v>120.55</v>
      </c>
      <c r="D1136" s="64">
        <v>121.49</v>
      </c>
      <c r="E1136" s="64">
        <v>2227625</v>
      </c>
      <c r="F1136" s="64" t="s">
        <v>1134</v>
      </c>
      <c r="G1136" s="25">
        <f t="shared" si="15"/>
        <v>2.880895546958584E-3</v>
      </c>
    </row>
    <row r="1137" spans="1:7">
      <c r="A1137" s="64">
        <v>120.34</v>
      </c>
      <c r="B1137" s="64">
        <v>121.92</v>
      </c>
      <c r="C1137" s="64">
        <v>119.49</v>
      </c>
      <c r="D1137" s="64">
        <v>120</v>
      </c>
      <c r="E1137" s="64">
        <v>2841352</v>
      </c>
      <c r="F1137" s="64" t="s">
        <v>1135</v>
      </c>
      <c r="G1137" s="25">
        <f t="shared" si="15"/>
        <v>2.8333333333334654E-3</v>
      </c>
    </row>
    <row r="1138" spans="1:7">
      <c r="A1138" s="64">
        <v>119.46</v>
      </c>
      <c r="B1138" s="64">
        <v>119.619</v>
      </c>
      <c r="C1138" s="64">
        <v>115.7</v>
      </c>
      <c r="D1138" s="64">
        <v>116.04</v>
      </c>
      <c r="E1138" s="64">
        <v>3381081</v>
      </c>
      <c r="F1138" s="64" t="s">
        <v>1136</v>
      </c>
      <c r="G1138" s="25">
        <f t="shared" si="15"/>
        <v>2.9472595656669931E-2</v>
      </c>
    </row>
    <row r="1139" spans="1:7">
      <c r="A1139" s="64">
        <v>115.52</v>
      </c>
      <c r="B1139" s="64">
        <v>116.43</v>
      </c>
      <c r="C1139" s="64">
        <v>113.37</v>
      </c>
      <c r="D1139" s="64">
        <v>113.77</v>
      </c>
      <c r="E1139" s="64">
        <v>2727062</v>
      </c>
      <c r="F1139" s="64" t="s">
        <v>1137</v>
      </c>
      <c r="G1139" s="25">
        <f t="shared" si="15"/>
        <v>1.5381910872813487E-2</v>
      </c>
    </row>
    <row r="1140" spans="1:7">
      <c r="A1140" s="64">
        <v>111.96</v>
      </c>
      <c r="B1140" s="64">
        <v>113.1</v>
      </c>
      <c r="C1140" s="64">
        <v>108.79</v>
      </c>
      <c r="D1140" s="64">
        <v>110.5</v>
      </c>
      <c r="E1140" s="64">
        <v>2643566</v>
      </c>
      <c r="F1140" s="64" t="s">
        <v>1138</v>
      </c>
      <c r="G1140" s="25">
        <f t="shared" si="15"/>
        <v>1.321266968325796E-2</v>
      </c>
    </row>
    <row r="1141" spans="1:7">
      <c r="A1141" s="64">
        <v>108.48</v>
      </c>
      <c r="B1141" s="64">
        <v>111.44</v>
      </c>
      <c r="C1141" s="64">
        <v>107.15</v>
      </c>
      <c r="D1141" s="64">
        <v>110.69</v>
      </c>
      <c r="E1141" s="64">
        <v>3146847</v>
      </c>
      <c r="F1141" s="64" t="s">
        <v>1139</v>
      </c>
      <c r="G1141" s="25">
        <f t="shared" si="15"/>
        <v>-1.9965669888878823E-2</v>
      </c>
    </row>
    <row r="1142" spans="1:7">
      <c r="A1142" s="64">
        <v>109.82</v>
      </c>
      <c r="B1142" s="64">
        <v>110.3</v>
      </c>
      <c r="C1142" s="64">
        <v>107.12</v>
      </c>
      <c r="D1142" s="64">
        <v>107.63</v>
      </c>
      <c r="E1142" s="64">
        <v>2527310</v>
      </c>
      <c r="F1142" s="64" t="s">
        <v>1140</v>
      </c>
      <c r="G1142" s="25">
        <f t="shared" si="15"/>
        <v>2.0347486760196931E-2</v>
      </c>
    </row>
    <row r="1143" spans="1:7">
      <c r="A1143" s="64">
        <v>107.43</v>
      </c>
      <c r="B1143" s="64">
        <v>109.95</v>
      </c>
      <c r="C1143" s="64">
        <v>107.26</v>
      </c>
      <c r="D1143" s="64">
        <v>108.41</v>
      </c>
      <c r="E1143" s="64">
        <v>3497945</v>
      </c>
      <c r="F1143" s="64" t="s">
        <v>1141</v>
      </c>
      <c r="G1143" s="25">
        <f t="shared" si="15"/>
        <v>-9.039756480029415E-3</v>
      </c>
    </row>
    <row r="1144" spans="1:7">
      <c r="A1144" s="64">
        <v>107.31</v>
      </c>
      <c r="B1144" s="64">
        <v>111.56</v>
      </c>
      <c r="C1144" s="64">
        <v>107.12</v>
      </c>
      <c r="D1144" s="64">
        <v>110.06</v>
      </c>
      <c r="E1144" s="64">
        <v>6271723</v>
      </c>
      <c r="F1144" s="64" t="s">
        <v>1142</v>
      </c>
      <c r="G1144" s="25">
        <f t="shared" si="15"/>
        <v>-2.4986371070325308E-2</v>
      </c>
    </row>
    <row r="1145" spans="1:7">
      <c r="A1145" s="64">
        <v>110.71</v>
      </c>
      <c r="B1145" s="64">
        <v>112.88</v>
      </c>
      <c r="C1145" s="64">
        <v>110.2</v>
      </c>
      <c r="D1145" s="64">
        <v>110.58</v>
      </c>
      <c r="E1145" s="64">
        <v>3791053</v>
      </c>
      <c r="F1145" s="64" t="s">
        <v>1143</v>
      </c>
      <c r="G1145" s="25">
        <f t="shared" si="15"/>
        <v>1.1756194610237358E-3</v>
      </c>
    </row>
    <row r="1146" spans="1:7">
      <c r="A1146" s="64">
        <v>109.52</v>
      </c>
      <c r="B1146" s="64">
        <v>114.86</v>
      </c>
      <c r="C1146" s="64">
        <v>109.25</v>
      </c>
      <c r="D1146" s="64">
        <v>114.14</v>
      </c>
      <c r="E1146" s="64">
        <v>2249371</v>
      </c>
      <c r="F1146" s="64" t="s">
        <v>1144</v>
      </c>
      <c r="G1146" s="25">
        <f t="shared" si="15"/>
        <v>-4.0476607674785336E-2</v>
      </c>
    </row>
    <row r="1147" spans="1:7">
      <c r="A1147" s="64">
        <v>114.49</v>
      </c>
      <c r="B1147" s="64">
        <v>114.87</v>
      </c>
      <c r="C1147" s="64">
        <v>112.23</v>
      </c>
      <c r="D1147" s="64">
        <v>112.23</v>
      </c>
      <c r="E1147" s="64">
        <v>2147897</v>
      </c>
      <c r="F1147" s="64" t="s">
        <v>1145</v>
      </c>
      <c r="G1147" s="25">
        <f t="shared" si="15"/>
        <v>2.0137218212598951E-2</v>
      </c>
    </row>
    <row r="1148" spans="1:7">
      <c r="A1148" s="64">
        <v>112.63</v>
      </c>
      <c r="B1148" s="64">
        <v>115</v>
      </c>
      <c r="C1148" s="64">
        <v>111.3</v>
      </c>
      <c r="D1148" s="64">
        <v>114.14</v>
      </c>
      <c r="E1148" s="64">
        <v>2391784</v>
      </c>
      <c r="F1148" s="64" t="s">
        <v>1146</v>
      </c>
      <c r="G1148" s="25">
        <f t="shared" si="15"/>
        <v>-1.3229367443490458E-2</v>
      </c>
    </row>
    <row r="1149" spans="1:7">
      <c r="A1149" s="64">
        <v>114.84</v>
      </c>
      <c r="B1149" s="64">
        <v>117.75</v>
      </c>
      <c r="C1149" s="64">
        <v>114.79</v>
      </c>
      <c r="D1149" s="64">
        <v>117.39</v>
      </c>
      <c r="E1149" s="64">
        <v>1848377</v>
      </c>
      <c r="F1149" s="64" t="s">
        <v>1147</v>
      </c>
      <c r="G1149" s="25">
        <f t="shared" si="15"/>
        <v>-2.1722463582928619E-2</v>
      </c>
    </row>
    <row r="1150" spans="1:7">
      <c r="A1150" s="64">
        <v>117.03</v>
      </c>
      <c r="B1150" s="64">
        <v>117.815</v>
      </c>
      <c r="C1150" s="64">
        <v>116.01</v>
      </c>
      <c r="D1150" s="64">
        <v>117.62</v>
      </c>
      <c r="E1150" s="64">
        <v>2438321</v>
      </c>
      <c r="F1150" s="64" t="s">
        <v>1148</v>
      </c>
      <c r="G1150" s="25">
        <f t="shared" si="15"/>
        <v>-5.0161537153545765E-3</v>
      </c>
    </row>
    <row r="1151" spans="1:7">
      <c r="A1151" s="64">
        <v>117.03</v>
      </c>
      <c r="B1151" s="64">
        <v>118.88</v>
      </c>
      <c r="C1151" s="64">
        <v>116.38</v>
      </c>
      <c r="D1151" s="64">
        <v>118.88</v>
      </c>
      <c r="E1151" s="64">
        <v>1741524</v>
      </c>
      <c r="F1151" s="64" t="s">
        <v>1149</v>
      </c>
      <c r="G1151" s="25">
        <f t="shared" ref="G1151:G1214" si="16">A1151/D1151-1</f>
        <v>-1.5561911170928644E-2</v>
      </c>
    </row>
    <row r="1152" spans="1:7">
      <c r="A1152" s="64">
        <v>118.35</v>
      </c>
      <c r="B1152" s="64">
        <v>119.5</v>
      </c>
      <c r="C1152" s="64">
        <v>117.24</v>
      </c>
      <c r="D1152" s="64">
        <v>119.08</v>
      </c>
      <c r="E1152" s="64">
        <v>2062289</v>
      </c>
      <c r="F1152" s="64" t="s">
        <v>1150</v>
      </c>
      <c r="G1152" s="25">
        <f t="shared" si="16"/>
        <v>-6.1303325495465355E-3</v>
      </c>
    </row>
    <row r="1153" spans="1:7">
      <c r="A1153" s="64">
        <v>119.04</v>
      </c>
      <c r="B1153" s="64">
        <v>119.54</v>
      </c>
      <c r="C1153" s="64">
        <v>116.13</v>
      </c>
      <c r="D1153" s="64">
        <v>116.81</v>
      </c>
      <c r="E1153" s="64">
        <v>2285722</v>
      </c>
      <c r="F1153" s="64" t="s">
        <v>1151</v>
      </c>
      <c r="G1153" s="25">
        <f t="shared" si="16"/>
        <v>1.9090831264446662E-2</v>
      </c>
    </row>
    <row r="1154" spans="1:7">
      <c r="A1154" s="64">
        <v>116.69</v>
      </c>
      <c r="B1154" s="64">
        <v>117.14</v>
      </c>
      <c r="C1154" s="64">
        <v>115.61</v>
      </c>
      <c r="D1154" s="64">
        <v>116.35</v>
      </c>
      <c r="E1154" s="64">
        <v>1704013</v>
      </c>
      <c r="F1154" s="64" t="s">
        <v>1152</v>
      </c>
      <c r="G1154" s="25">
        <f t="shared" si="16"/>
        <v>2.9222174473571005E-3</v>
      </c>
    </row>
    <row r="1155" spans="1:7">
      <c r="A1155" s="64">
        <v>116</v>
      </c>
      <c r="B1155" s="64">
        <v>116.5264</v>
      </c>
      <c r="C1155" s="64">
        <v>114.60639999999999</v>
      </c>
      <c r="D1155" s="64">
        <v>114.89</v>
      </c>
      <c r="E1155" s="64">
        <v>1772068</v>
      </c>
      <c r="F1155" s="64" t="s">
        <v>1153</v>
      </c>
      <c r="G1155" s="25">
        <f t="shared" si="16"/>
        <v>9.6614152667768849E-3</v>
      </c>
    </row>
    <row r="1156" spans="1:7">
      <c r="A1156" s="64">
        <v>114.31</v>
      </c>
      <c r="B1156" s="64">
        <v>119.16</v>
      </c>
      <c r="C1156" s="64">
        <v>114.04</v>
      </c>
      <c r="D1156" s="64">
        <v>119</v>
      </c>
      <c r="E1156" s="64">
        <v>2471206</v>
      </c>
      <c r="F1156" s="64" t="s">
        <v>1154</v>
      </c>
      <c r="G1156" s="25">
        <f t="shared" si="16"/>
        <v>-3.9411764705882368E-2</v>
      </c>
    </row>
    <row r="1157" spans="1:7">
      <c r="A1157" s="64">
        <v>118.77</v>
      </c>
      <c r="B1157" s="64">
        <v>120.79</v>
      </c>
      <c r="C1157" s="64">
        <v>118.38</v>
      </c>
      <c r="D1157" s="64">
        <v>119.79</v>
      </c>
      <c r="E1157" s="64">
        <v>1665363</v>
      </c>
      <c r="F1157" s="64" t="s">
        <v>1155</v>
      </c>
      <c r="G1157" s="25">
        <f t="shared" si="16"/>
        <v>-8.5149010768846844E-3</v>
      </c>
    </row>
    <row r="1158" spans="1:7">
      <c r="A1158" s="64">
        <v>120.04</v>
      </c>
      <c r="B1158" s="64">
        <v>120.49</v>
      </c>
      <c r="C1158" s="64">
        <v>118.9211</v>
      </c>
      <c r="D1158" s="64">
        <v>119.23</v>
      </c>
      <c r="E1158" s="64">
        <v>1553461</v>
      </c>
      <c r="F1158" s="64" t="s">
        <v>1156</v>
      </c>
      <c r="G1158" s="25">
        <f t="shared" si="16"/>
        <v>6.7935922167239315E-3</v>
      </c>
    </row>
    <row r="1159" spans="1:7">
      <c r="A1159" s="64">
        <v>119.54</v>
      </c>
      <c r="B1159" s="64">
        <v>119.8</v>
      </c>
      <c r="C1159" s="64">
        <v>118.54</v>
      </c>
      <c r="D1159" s="64">
        <v>119.4</v>
      </c>
      <c r="E1159" s="64">
        <v>1449772</v>
      </c>
      <c r="F1159" s="64" t="s">
        <v>1157</v>
      </c>
      <c r="G1159" s="25">
        <f t="shared" si="16"/>
        <v>1.1725293132327508E-3</v>
      </c>
    </row>
    <row r="1160" spans="1:7">
      <c r="A1160" s="64">
        <v>118.65</v>
      </c>
      <c r="B1160" s="64">
        <v>119.09</v>
      </c>
      <c r="C1160" s="64">
        <v>116.4</v>
      </c>
      <c r="D1160" s="64">
        <v>116.63</v>
      </c>
      <c r="E1160" s="64">
        <v>2214641</v>
      </c>
      <c r="F1160" s="64" t="s">
        <v>1158</v>
      </c>
      <c r="G1160" s="25">
        <f t="shared" si="16"/>
        <v>1.7319729057703848E-2</v>
      </c>
    </row>
    <row r="1161" spans="1:7">
      <c r="A1161" s="64">
        <v>117.37</v>
      </c>
      <c r="B1161" s="64">
        <v>118.32</v>
      </c>
      <c r="C1161" s="64">
        <v>116.53</v>
      </c>
      <c r="D1161" s="64">
        <v>117.73</v>
      </c>
      <c r="E1161" s="64">
        <v>1724219</v>
      </c>
      <c r="F1161" s="64" t="s">
        <v>1159</v>
      </c>
      <c r="G1161" s="25">
        <f t="shared" si="16"/>
        <v>-3.0578442198250233E-3</v>
      </c>
    </row>
    <row r="1162" spans="1:7">
      <c r="A1162" s="64">
        <v>117.25</v>
      </c>
      <c r="B1162" s="64">
        <v>117.86</v>
      </c>
      <c r="C1162" s="64">
        <v>115.35</v>
      </c>
      <c r="D1162" s="64">
        <v>117.1</v>
      </c>
      <c r="E1162" s="64">
        <v>2166897</v>
      </c>
      <c r="F1162" s="64" t="s">
        <v>1160</v>
      </c>
      <c r="G1162" s="25">
        <f t="shared" si="16"/>
        <v>1.280956447480941E-3</v>
      </c>
    </row>
    <row r="1163" spans="1:7">
      <c r="A1163" s="64">
        <v>116.94</v>
      </c>
      <c r="B1163" s="64">
        <v>117.25</v>
      </c>
      <c r="C1163" s="64">
        <v>114.89</v>
      </c>
      <c r="D1163" s="64">
        <v>115.89</v>
      </c>
      <c r="E1163" s="64">
        <v>2822534</v>
      </c>
      <c r="F1163" s="64" t="s">
        <v>1161</v>
      </c>
      <c r="G1163" s="25">
        <f t="shared" si="16"/>
        <v>9.0603158167226194E-3</v>
      </c>
    </row>
    <row r="1164" spans="1:7">
      <c r="A1164" s="64">
        <v>115.56</v>
      </c>
      <c r="B1164" s="64">
        <v>120.62</v>
      </c>
      <c r="C1164" s="64">
        <v>115.24</v>
      </c>
      <c r="D1164" s="64">
        <v>120.41</v>
      </c>
      <c r="E1164" s="64">
        <v>3219845</v>
      </c>
      <c r="F1164" s="64" t="s">
        <v>1162</v>
      </c>
      <c r="G1164" s="25">
        <f t="shared" si="16"/>
        <v>-4.0279046590814716E-2</v>
      </c>
    </row>
    <row r="1165" spans="1:7">
      <c r="A1165" s="64">
        <v>119.82</v>
      </c>
      <c r="B1165" s="64">
        <v>120.11</v>
      </c>
      <c r="C1165" s="64">
        <v>114.375</v>
      </c>
      <c r="D1165" s="64">
        <v>115.77</v>
      </c>
      <c r="E1165" s="64">
        <v>3340898</v>
      </c>
      <c r="F1165" s="64" t="s">
        <v>1163</v>
      </c>
      <c r="G1165" s="25">
        <f t="shared" si="16"/>
        <v>3.4983156258098003E-2</v>
      </c>
    </row>
    <row r="1166" spans="1:7">
      <c r="A1166" s="64">
        <v>116.51</v>
      </c>
      <c r="B1166" s="64">
        <v>116.84</v>
      </c>
      <c r="C1166" s="64">
        <v>110</v>
      </c>
      <c r="D1166" s="64">
        <v>110</v>
      </c>
      <c r="E1166" s="64">
        <v>4373989</v>
      </c>
      <c r="F1166" s="64" t="s">
        <v>1164</v>
      </c>
      <c r="G1166" s="25">
        <f t="shared" si="16"/>
        <v>5.9181818181818224E-2</v>
      </c>
    </row>
    <row r="1167" spans="1:7">
      <c r="A1167" s="64">
        <v>116.07</v>
      </c>
      <c r="B1167" s="64">
        <v>116.9</v>
      </c>
      <c r="C1167" s="64">
        <v>114.69</v>
      </c>
      <c r="D1167" s="64">
        <v>116.6</v>
      </c>
      <c r="E1167" s="64">
        <v>1785608</v>
      </c>
      <c r="F1167" s="64" t="s">
        <v>1165</v>
      </c>
      <c r="G1167" s="25">
        <f t="shared" si="16"/>
        <v>-4.5454545454545192E-3</v>
      </c>
    </row>
    <row r="1168" spans="1:7">
      <c r="A1168" s="64">
        <v>116.99</v>
      </c>
      <c r="B1168" s="64">
        <v>117.84</v>
      </c>
      <c r="C1168" s="64">
        <v>116.36</v>
      </c>
      <c r="D1168" s="64">
        <v>117.7</v>
      </c>
      <c r="E1168" s="64">
        <v>1661714</v>
      </c>
      <c r="F1168" s="64" t="s">
        <v>1166</v>
      </c>
      <c r="G1168" s="25">
        <f t="shared" si="16"/>
        <v>-6.0322854715378904E-3</v>
      </c>
    </row>
    <row r="1169" spans="1:7">
      <c r="A1169" s="64">
        <v>117.3</v>
      </c>
      <c r="B1169" s="64">
        <v>118.069</v>
      </c>
      <c r="C1169" s="64">
        <v>115.587</v>
      </c>
      <c r="D1169" s="64">
        <v>116.93</v>
      </c>
      <c r="E1169" s="64">
        <v>1876894</v>
      </c>
      <c r="F1169" s="64" t="s">
        <v>1167</v>
      </c>
      <c r="G1169" s="25">
        <f t="shared" si="16"/>
        <v>3.164286325151755E-3</v>
      </c>
    </row>
    <row r="1170" spans="1:7">
      <c r="A1170" s="64">
        <v>116.59</v>
      </c>
      <c r="B1170" s="64">
        <v>116.97</v>
      </c>
      <c r="C1170" s="64">
        <v>115.51</v>
      </c>
      <c r="D1170" s="64">
        <v>115.93</v>
      </c>
      <c r="E1170" s="64">
        <v>1963340</v>
      </c>
      <c r="F1170" s="64" t="s">
        <v>1168</v>
      </c>
      <c r="G1170" s="25">
        <f t="shared" si="16"/>
        <v>5.6930906581558194E-3</v>
      </c>
    </row>
    <row r="1171" spans="1:7">
      <c r="A1171" s="64">
        <v>115.74</v>
      </c>
      <c r="B1171" s="64">
        <v>116.075</v>
      </c>
      <c r="C1171" s="64">
        <v>114.75</v>
      </c>
      <c r="D1171" s="64">
        <v>115.54</v>
      </c>
      <c r="E1171" s="64">
        <v>1764555</v>
      </c>
      <c r="F1171" s="64" t="s">
        <v>1169</v>
      </c>
      <c r="G1171" s="25">
        <f t="shared" si="16"/>
        <v>1.73100225030276E-3</v>
      </c>
    </row>
    <row r="1172" spans="1:7">
      <c r="A1172" s="64">
        <v>115.6</v>
      </c>
      <c r="B1172" s="64">
        <v>116.26</v>
      </c>
      <c r="C1172" s="64">
        <v>114.34</v>
      </c>
      <c r="D1172" s="64">
        <v>115.75</v>
      </c>
      <c r="E1172" s="64">
        <v>2026786</v>
      </c>
      <c r="F1172" s="64" t="s">
        <v>1170</v>
      </c>
      <c r="G1172" s="25">
        <f t="shared" si="16"/>
        <v>-1.2958963282937441E-3</v>
      </c>
    </row>
    <row r="1173" spans="1:7">
      <c r="A1173" s="64">
        <v>115</v>
      </c>
      <c r="B1173" s="64">
        <v>115.69</v>
      </c>
      <c r="C1173" s="64">
        <v>111.935</v>
      </c>
      <c r="D1173" s="64">
        <v>112.05</v>
      </c>
      <c r="E1173" s="64">
        <v>2154344</v>
      </c>
      <c r="F1173" s="64" t="s">
        <v>1171</v>
      </c>
      <c r="G1173" s="25">
        <f t="shared" si="16"/>
        <v>2.6327532351628768E-2</v>
      </c>
    </row>
    <row r="1174" spans="1:7">
      <c r="A1174" s="64">
        <v>111.09</v>
      </c>
      <c r="B1174" s="64">
        <v>111.53</v>
      </c>
      <c r="C1174" s="64">
        <v>109.64</v>
      </c>
      <c r="D1174" s="64">
        <v>110.91</v>
      </c>
      <c r="E1174" s="64">
        <v>1814210</v>
      </c>
      <c r="F1174" s="64" t="s">
        <v>1172</v>
      </c>
      <c r="G1174" s="25">
        <f t="shared" si="16"/>
        <v>1.6229375169056759E-3</v>
      </c>
    </row>
    <row r="1175" spans="1:7">
      <c r="A1175" s="64">
        <v>112.16</v>
      </c>
      <c r="B1175" s="64">
        <v>112.489</v>
      </c>
      <c r="C1175" s="64">
        <v>111.54</v>
      </c>
      <c r="D1175" s="64">
        <v>111.96</v>
      </c>
      <c r="E1175" s="64">
        <v>1666932</v>
      </c>
      <c r="F1175" s="64" t="s">
        <v>1173</v>
      </c>
      <c r="G1175" s="25">
        <f t="shared" si="16"/>
        <v>1.7863522686674127E-3</v>
      </c>
    </row>
    <row r="1176" spans="1:7">
      <c r="A1176" s="64">
        <v>111.57</v>
      </c>
      <c r="B1176" s="64">
        <v>113</v>
      </c>
      <c r="C1176" s="64">
        <v>110.69</v>
      </c>
      <c r="D1176" s="64">
        <v>111.08</v>
      </c>
      <c r="E1176" s="64">
        <v>1656050</v>
      </c>
      <c r="F1176" s="64" t="s">
        <v>1174</v>
      </c>
      <c r="G1176" s="25">
        <f t="shared" si="16"/>
        <v>4.4112351458407417E-3</v>
      </c>
    </row>
    <row r="1177" spans="1:7">
      <c r="A1177" s="64">
        <v>109.1</v>
      </c>
      <c r="B1177" s="64">
        <v>110.61</v>
      </c>
      <c r="C1177" s="64">
        <v>109.02</v>
      </c>
      <c r="D1177" s="64">
        <v>109.32</v>
      </c>
      <c r="E1177" s="64">
        <v>2151567</v>
      </c>
      <c r="F1177" s="64" t="s">
        <v>1175</v>
      </c>
      <c r="G1177" s="25">
        <f t="shared" si="16"/>
        <v>-2.0124405415294921E-3</v>
      </c>
    </row>
    <row r="1178" spans="1:7">
      <c r="A1178" s="64">
        <v>108.81</v>
      </c>
      <c r="B1178" s="64">
        <v>109.85</v>
      </c>
      <c r="C1178" s="64">
        <v>108.18</v>
      </c>
      <c r="D1178" s="64">
        <v>109.33</v>
      </c>
      <c r="E1178" s="64">
        <v>1534078</v>
      </c>
      <c r="F1178" s="64" t="s">
        <v>1176</v>
      </c>
      <c r="G1178" s="25">
        <f t="shared" si="16"/>
        <v>-4.7562425683709275E-3</v>
      </c>
    </row>
    <row r="1179" spans="1:7">
      <c r="A1179" s="64">
        <v>108.49</v>
      </c>
      <c r="B1179" s="64">
        <v>109.36</v>
      </c>
      <c r="C1179" s="64">
        <v>107.7</v>
      </c>
      <c r="D1179" s="64">
        <v>108</v>
      </c>
      <c r="E1179" s="64">
        <v>1762855</v>
      </c>
      <c r="F1179" s="64" t="s">
        <v>1177</v>
      </c>
      <c r="G1179" s="25">
        <f t="shared" si="16"/>
        <v>4.5370370370370061E-3</v>
      </c>
    </row>
    <row r="1180" spans="1:7">
      <c r="A1180" s="64">
        <v>108.73</v>
      </c>
      <c r="B1180" s="64">
        <v>111.18</v>
      </c>
      <c r="C1180" s="64">
        <v>108.62</v>
      </c>
      <c r="D1180" s="64">
        <v>110.91</v>
      </c>
      <c r="E1180" s="64">
        <v>1962397</v>
      </c>
      <c r="F1180" s="64" t="s">
        <v>1178</v>
      </c>
      <c r="G1180" s="25">
        <f t="shared" si="16"/>
        <v>-1.9655576593634372E-2</v>
      </c>
    </row>
    <row r="1181" spans="1:7">
      <c r="A1181" s="64">
        <v>110.89</v>
      </c>
      <c r="B1181" s="64">
        <v>112.52</v>
      </c>
      <c r="C1181" s="64">
        <v>110.71</v>
      </c>
      <c r="D1181" s="64">
        <v>110.77</v>
      </c>
      <c r="E1181" s="64">
        <v>2289597</v>
      </c>
      <c r="F1181" s="64" t="s">
        <v>1179</v>
      </c>
      <c r="G1181" s="25">
        <f t="shared" si="16"/>
        <v>1.083325810237401E-3</v>
      </c>
    </row>
    <row r="1182" spans="1:7">
      <c r="A1182" s="64">
        <v>109.48</v>
      </c>
      <c r="B1182" s="64">
        <v>109.6</v>
      </c>
      <c r="C1182" s="64">
        <v>107.54</v>
      </c>
      <c r="D1182" s="64">
        <v>107.91</v>
      </c>
      <c r="E1182" s="64">
        <v>2250765</v>
      </c>
      <c r="F1182" s="64" t="s">
        <v>1180</v>
      </c>
      <c r="G1182" s="25">
        <f t="shared" si="16"/>
        <v>1.4549161338152317E-2</v>
      </c>
    </row>
    <row r="1183" spans="1:7">
      <c r="A1183" s="64">
        <v>108.83</v>
      </c>
      <c r="B1183" s="64">
        <v>110.58</v>
      </c>
      <c r="C1183" s="64">
        <v>106.83</v>
      </c>
      <c r="D1183" s="64">
        <v>106.96</v>
      </c>
      <c r="E1183" s="64">
        <v>2851789</v>
      </c>
      <c r="F1183" s="64" t="s">
        <v>1181</v>
      </c>
      <c r="G1183" s="25">
        <f t="shared" si="16"/>
        <v>1.7483171278982912E-2</v>
      </c>
    </row>
    <row r="1184" spans="1:7">
      <c r="A1184" s="64">
        <v>106.37</v>
      </c>
      <c r="B1184" s="64">
        <v>111.96</v>
      </c>
      <c r="C1184" s="64">
        <v>105.66</v>
      </c>
      <c r="D1184" s="64">
        <v>111.72</v>
      </c>
      <c r="E1184" s="64">
        <v>5127875</v>
      </c>
      <c r="F1184" s="64" t="s">
        <v>1182</v>
      </c>
      <c r="G1184" s="25">
        <f t="shared" si="16"/>
        <v>-4.7887576083064709E-2</v>
      </c>
    </row>
    <row r="1185" spans="1:7">
      <c r="A1185" s="64">
        <v>112.28</v>
      </c>
      <c r="B1185" s="64">
        <v>113.58</v>
      </c>
      <c r="C1185" s="64">
        <v>110.64</v>
      </c>
      <c r="D1185" s="64">
        <v>113.32</v>
      </c>
      <c r="E1185" s="64">
        <v>4396123</v>
      </c>
      <c r="F1185" s="64" t="s">
        <v>1183</v>
      </c>
      <c r="G1185" s="25">
        <f t="shared" si="16"/>
        <v>-9.1775503000351977E-3</v>
      </c>
    </row>
    <row r="1186" spans="1:7">
      <c r="A1186" s="64">
        <v>113.21</v>
      </c>
      <c r="B1186" s="64">
        <v>115.485</v>
      </c>
      <c r="C1186" s="64">
        <v>113.17</v>
      </c>
      <c r="D1186" s="64">
        <v>114</v>
      </c>
      <c r="E1186" s="64">
        <v>2987263</v>
      </c>
      <c r="F1186" s="64" t="s">
        <v>1184</v>
      </c>
      <c r="G1186" s="25">
        <f t="shared" si="16"/>
        <v>-6.9298245614035636E-3</v>
      </c>
    </row>
    <row r="1187" spans="1:7">
      <c r="A1187" s="64">
        <v>113.52</v>
      </c>
      <c r="B1187" s="64">
        <v>115.4</v>
      </c>
      <c r="C1187" s="64">
        <v>113.29</v>
      </c>
      <c r="D1187" s="64">
        <v>114.23</v>
      </c>
      <c r="E1187" s="64">
        <v>2934387</v>
      </c>
      <c r="F1187" s="64" t="s">
        <v>1185</v>
      </c>
      <c r="G1187" s="25">
        <f t="shared" si="16"/>
        <v>-6.2155300709096917E-3</v>
      </c>
    </row>
    <row r="1188" spans="1:7">
      <c r="A1188" s="64">
        <v>113.86</v>
      </c>
      <c r="B1188" s="64">
        <v>115.79</v>
      </c>
      <c r="C1188" s="64">
        <v>112.96</v>
      </c>
      <c r="D1188" s="64">
        <v>115.71</v>
      </c>
      <c r="E1188" s="64">
        <v>2423066</v>
      </c>
      <c r="F1188" s="64" t="s">
        <v>1186</v>
      </c>
      <c r="G1188" s="25">
        <f t="shared" si="16"/>
        <v>-1.5988246478264578E-2</v>
      </c>
    </row>
    <row r="1189" spans="1:7">
      <c r="A1189" s="64">
        <v>117.07</v>
      </c>
      <c r="B1189" s="64">
        <v>119.83</v>
      </c>
      <c r="C1189" s="64">
        <v>115.76</v>
      </c>
      <c r="D1189" s="64">
        <v>119.31</v>
      </c>
      <c r="E1189" s="64">
        <v>1804736</v>
      </c>
      <c r="F1189" s="64" t="s">
        <v>1187</v>
      </c>
      <c r="G1189" s="25">
        <f t="shared" si="16"/>
        <v>-1.8774620735898195E-2</v>
      </c>
    </row>
    <row r="1190" spans="1:7">
      <c r="A1190" s="64">
        <v>120.07</v>
      </c>
      <c r="B1190" s="64">
        <v>120.9</v>
      </c>
      <c r="C1190" s="64">
        <v>119.1</v>
      </c>
      <c r="D1190" s="64">
        <v>120.46</v>
      </c>
      <c r="E1190" s="64">
        <v>1672538</v>
      </c>
      <c r="F1190" s="64" t="s">
        <v>1188</v>
      </c>
      <c r="G1190" s="25">
        <f t="shared" si="16"/>
        <v>-3.237589241241956E-3</v>
      </c>
    </row>
    <row r="1191" spans="1:7">
      <c r="A1191" s="64">
        <v>121.02</v>
      </c>
      <c r="B1191" s="64">
        <v>121.785</v>
      </c>
      <c r="C1191" s="64">
        <v>119.65</v>
      </c>
      <c r="D1191" s="64">
        <v>120.36</v>
      </c>
      <c r="E1191" s="64">
        <v>1518361</v>
      </c>
      <c r="F1191" s="64" t="s">
        <v>1189</v>
      </c>
      <c r="G1191" s="25">
        <f t="shared" si="16"/>
        <v>5.4835493519440615E-3</v>
      </c>
    </row>
    <row r="1192" spans="1:7">
      <c r="A1192" s="64">
        <v>119.66</v>
      </c>
      <c r="B1192" s="64">
        <v>120.41</v>
      </c>
      <c r="C1192" s="64">
        <v>118.03</v>
      </c>
      <c r="D1192" s="64">
        <v>118.64</v>
      </c>
      <c r="E1192" s="64">
        <v>1579216</v>
      </c>
      <c r="F1192" s="64" t="s">
        <v>1190</v>
      </c>
      <c r="G1192" s="25">
        <f t="shared" si="16"/>
        <v>8.5974376264328356E-3</v>
      </c>
    </row>
    <row r="1193" spans="1:7">
      <c r="A1193" s="64">
        <v>118.5</v>
      </c>
      <c r="B1193" s="64">
        <v>120.15</v>
      </c>
      <c r="C1193" s="64">
        <v>118.42</v>
      </c>
      <c r="D1193" s="64">
        <v>118.95</v>
      </c>
      <c r="E1193" s="64">
        <v>1360245</v>
      </c>
      <c r="F1193" s="64" t="s">
        <v>1191</v>
      </c>
      <c r="G1193" s="25">
        <f t="shared" si="16"/>
        <v>-3.7831021437578771E-3</v>
      </c>
    </row>
    <row r="1194" spans="1:7">
      <c r="A1194" s="64">
        <v>117.99</v>
      </c>
      <c r="B1194" s="64">
        <v>118.925</v>
      </c>
      <c r="C1194" s="64">
        <v>116.36</v>
      </c>
      <c r="D1194" s="64">
        <v>118.17</v>
      </c>
      <c r="E1194" s="64">
        <v>2448393</v>
      </c>
      <c r="F1194" s="64" t="s">
        <v>1192</v>
      </c>
      <c r="G1194" s="25">
        <f t="shared" si="16"/>
        <v>-1.5232292460015673E-3</v>
      </c>
    </row>
    <row r="1195" spans="1:7">
      <c r="A1195" s="64">
        <v>119.42</v>
      </c>
      <c r="B1195" s="64">
        <v>119.67</v>
      </c>
      <c r="C1195" s="64">
        <v>116.85</v>
      </c>
      <c r="D1195" s="64">
        <v>116.85</v>
      </c>
      <c r="E1195" s="64">
        <v>3695327</v>
      </c>
      <c r="F1195" s="64" t="s">
        <v>1193</v>
      </c>
      <c r="G1195" s="25">
        <f t="shared" si="16"/>
        <v>2.1994009413778493E-2</v>
      </c>
    </row>
    <row r="1196" spans="1:7">
      <c r="A1196" s="64">
        <v>120.69</v>
      </c>
      <c r="B1196" s="64">
        <v>121.6</v>
      </c>
      <c r="C1196" s="64">
        <v>119.52</v>
      </c>
      <c r="D1196" s="64">
        <v>121.48</v>
      </c>
      <c r="E1196" s="64">
        <v>1906637</v>
      </c>
      <c r="F1196" s="64" t="s">
        <v>1194</v>
      </c>
      <c r="G1196" s="25">
        <f t="shared" si="16"/>
        <v>-6.5031280869279895E-3</v>
      </c>
    </row>
    <row r="1197" spans="1:7">
      <c r="A1197" s="64">
        <v>121.02</v>
      </c>
      <c r="B1197" s="64">
        <v>121.89</v>
      </c>
      <c r="C1197" s="64">
        <v>119.93</v>
      </c>
      <c r="D1197" s="64">
        <v>120.63</v>
      </c>
      <c r="E1197" s="64">
        <v>1864578</v>
      </c>
      <c r="F1197" s="64" t="s">
        <v>1195</v>
      </c>
      <c r="G1197" s="25">
        <f t="shared" si="16"/>
        <v>3.2330266102960081E-3</v>
      </c>
    </row>
    <row r="1198" spans="1:7">
      <c r="A1198" s="64">
        <v>120.94</v>
      </c>
      <c r="B1198" s="64">
        <v>121.33499999999999</v>
      </c>
      <c r="C1198" s="64">
        <v>119.41</v>
      </c>
      <c r="D1198" s="64">
        <v>120.45</v>
      </c>
      <c r="E1198" s="64">
        <v>1589722</v>
      </c>
      <c r="F1198" s="64" t="s">
        <v>1196</v>
      </c>
      <c r="G1198" s="25">
        <f t="shared" si="16"/>
        <v>4.0680780406807671E-3</v>
      </c>
    </row>
    <row r="1199" spans="1:7">
      <c r="A1199" s="64">
        <v>119.35</v>
      </c>
      <c r="B1199" s="64">
        <v>121.795</v>
      </c>
      <c r="C1199" s="64">
        <v>117.85</v>
      </c>
      <c r="D1199" s="64">
        <v>121.58</v>
      </c>
      <c r="E1199" s="64">
        <v>1537938</v>
      </c>
      <c r="F1199" s="64" t="s">
        <v>1197</v>
      </c>
      <c r="G1199" s="25">
        <f t="shared" si="16"/>
        <v>-1.8341832538246505E-2</v>
      </c>
    </row>
    <row r="1200" spans="1:7">
      <c r="A1200" s="64">
        <v>120.89</v>
      </c>
      <c r="B1200" s="64">
        <v>123</v>
      </c>
      <c r="C1200" s="64">
        <v>120.58</v>
      </c>
      <c r="D1200" s="64">
        <v>122.59</v>
      </c>
      <c r="E1200" s="64">
        <v>1869842</v>
      </c>
      <c r="F1200" s="64" t="s">
        <v>1198</v>
      </c>
      <c r="G1200" s="25">
        <f t="shared" si="16"/>
        <v>-1.3867362753895107E-2</v>
      </c>
    </row>
    <row r="1201" spans="1:7">
      <c r="A1201" s="64">
        <v>122.08</v>
      </c>
      <c r="B1201" s="64">
        <v>123</v>
      </c>
      <c r="C1201" s="64">
        <v>121.85769999999999</v>
      </c>
      <c r="D1201" s="64">
        <v>122.88</v>
      </c>
      <c r="E1201" s="64">
        <v>1553916</v>
      </c>
      <c r="F1201" s="64" t="s">
        <v>1199</v>
      </c>
      <c r="G1201" s="25">
        <f t="shared" si="16"/>
        <v>-6.5104166666666297E-3</v>
      </c>
    </row>
    <row r="1202" spans="1:7">
      <c r="A1202" s="64">
        <v>122.75</v>
      </c>
      <c r="B1202" s="64">
        <v>123.2658</v>
      </c>
      <c r="C1202" s="64">
        <v>120.91</v>
      </c>
      <c r="D1202" s="64">
        <v>121.26</v>
      </c>
      <c r="E1202" s="64">
        <v>1678015</v>
      </c>
      <c r="F1202" s="64" t="s">
        <v>1200</v>
      </c>
      <c r="G1202" s="25">
        <f t="shared" si="16"/>
        <v>1.228764637967994E-2</v>
      </c>
    </row>
    <row r="1203" spans="1:7">
      <c r="A1203" s="64">
        <v>121.99</v>
      </c>
      <c r="B1203" s="64">
        <v>122.12</v>
      </c>
      <c r="C1203" s="64">
        <v>119.7</v>
      </c>
      <c r="D1203" s="64">
        <v>120.82</v>
      </c>
      <c r="E1203" s="64">
        <v>1907182</v>
      </c>
      <c r="F1203" s="64" t="s">
        <v>1201</v>
      </c>
      <c r="G1203" s="25">
        <f t="shared" si="16"/>
        <v>9.6838271809303045E-3</v>
      </c>
    </row>
    <row r="1204" spans="1:7">
      <c r="A1204" s="64">
        <v>121.07</v>
      </c>
      <c r="B1204" s="64">
        <v>121.37</v>
      </c>
      <c r="C1204" s="64">
        <v>119.9449</v>
      </c>
      <c r="D1204" s="64">
        <v>120.26</v>
      </c>
      <c r="E1204" s="64">
        <v>1280965</v>
      </c>
      <c r="F1204" s="64" t="s">
        <v>1202</v>
      </c>
      <c r="G1204" s="25">
        <f t="shared" si="16"/>
        <v>6.7354066189921902E-3</v>
      </c>
    </row>
    <row r="1205" spans="1:7">
      <c r="A1205" s="64">
        <v>120.61</v>
      </c>
      <c r="B1205" s="64">
        <v>120.94</v>
      </c>
      <c r="C1205" s="64">
        <v>119.7</v>
      </c>
      <c r="D1205" s="64">
        <v>120</v>
      </c>
      <c r="E1205" s="64">
        <v>1913021</v>
      </c>
      <c r="F1205" s="64" t="s">
        <v>1203</v>
      </c>
      <c r="G1205" s="25">
        <f t="shared" si="16"/>
        <v>5.0833333333333286E-3</v>
      </c>
    </row>
    <row r="1206" spans="1:7">
      <c r="A1206" s="64">
        <v>119.43</v>
      </c>
      <c r="B1206" s="64">
        <v>119.59</v>
      </c>
      <c r="C1206" s="64">
        <v>116.84</v>
      </c>
      <c r="D1206" s="64">
        <v>117.5</v>
      </c>
      <c r="E1206" s="64">
        <v>1795026</v>
      </c>
      <c r="F1206" s="64" t="s">
        <v>1204</v>
      </c>
      <c r="G1206" s="25">
        <f t="shared" si="16"/>
        <v>1.6425531914893599E-2</v>
      </c>
    </row>
    <row r="1207" spans="1:7">
      <c r="A1207" s="64">
        <v>117.18</v>
      </c>
      <c r="B1207" s="64">
        <v>118.72</v>
      </c>
      <c r="C1207" s="64">
        <v>116.37</v>
      </c>
      <c r="D1207" s="64">
        <v>118</v>
      </c>
      <c r="E1207" s="64">
        <v>2322771</v>
      </c>
      <c r="F1207" s="64" t="s">
        <v>1205</v>
      </c>
      <c r="G1207" s="25">
        <f t="shared" si="16"/>
        <v>-6.9491525423728273E-3</v>
      </c>
    </row>
    <row r="1208" spans="1:7">
      <c r="A1208" s="64">
        <v>118.04</v>
      </c>
      <c r="B1208" s="64">
        <v>118.48</v>
      </c>
      <c r="C1208" s="64">
        <v>116.54</v>
      </c>
      <c r="D1208" s="64">
        <v>116.87</v>
      </c>
      <c r="E1208" s="64">
        <v>1429889</v>
      </c>
      <c r="F1208" s="64" t="s">
        <v>1206</v>
      </c>
      <c r="G1208" s="25">
        <f t="shared" si="16"/>
        <v>1.0011123470522909E-2</v>
      </c>
    </row>
    <row r="1209" spans="1:7">
      <c r="A1209" s="64">
        <v>116.39</v>
      </c>
      <c r="B1209" s="64">
        <v>117.71</v>
      </c>
      <c r="C1209" s="64">
        <v>116.09</v>
      </c>
      <c r="D1209" s="64">
        <v>117.56</v>
      </c>
      <c r="E1209" s="64">
        <v>1611403</v>
      </c>
      <c r="F1209" s="64" t="s">
        <v>1207</v>
      </c>
      <c r="G1209" s="25">
        <f t="shared" si="16"/>
        <v>-9.9523647499148993E-3</v>
      </c>
    </row>
    <row r="1210" spans="1:7">
      <c r="A1210" s="64">
        <v>116.96</v>
      </c>
      <c r="B1210" s="64">
        <v>117.11</v>
      </c>
      <c r="C1210" s="64">
        <v>116.09</v>
      </c>
      <c r="D1210" s="64">
        <v>116.79</v>
      </c>
      <c r="E1210" s="64">
        <v>1645288</v>
      </c>
      <c r="F1210" s="64" t="s">
        <v>1208</v>
      </c>
      <c r="G1210" s="25">
        <f t="shared" si="16"/>
        <v>1.4556040756912303E-3</v>
      </c>
    </row>
    <row r="1211" spans="1:7">
      <c r="A1211" s="64">
        <v>117.02</v>
      </c>
      <c r="B1211" s="64">
        <v>118</v>
      </c>
      <c r="C1211" s="64">
        <v>116.35</v>
      </c>
      <c r="D1211" s="64">
        <v>117.83</v>
      </c>
      <c r="E1211" s="64">
        <v>1958433</v>
      </c>
      <c r="F1211" s="64" t="s">
        <v>1209</v>
      </c>
      <c r="G1211" s="25">
        <f t="shared" si="16"/>
        <v>-6.8743104472545058E-3</v>
      </c>
    </row>
    <row r="1212" spans="1:7">
      <c r="A1212" s="64">
        <v>118.09</v>
      </c>
      <c r="B1212" s="64">
        <v>118.71129999999999</v>
      </c>
      <c r="C1212" s="64">
        <v>115.67</v>
      </c>
      <c r="D1212" s="64">
        <v>116.45</v>
      </c>
      <c r="E1212" s="64">
        <v>2086397</v>
      </c>
      <c r="F1212" s="64" t="s">
        <v>1210</v>
      </c>
      <c r="G1212" s="25">
        <f t="shared" si="16"/>
        <v>1.408329755259774E-2</v>
      </c>
    </row>
    <row r="1213" spans="1:7">
      <c r="A1213" s="64">
        <v>116.96</v>
      </c>
      <c r="B1213" s="64">
        <v>119.94</v>
      </c>
      <c r="C1213" s="64">
        <v>116.9</v>
      </c>
      <c r="D1213" s="64">
        <v>119.54</v>
      </c>
      <c r="E1213" s="64">
        <v>2315828</v>
      </c>
      <c r="F1213" s="64" t="s">
        <v>1211</v>
      </c>
      <c r="G1213" s="25">
        <f t="shared" si="16"/>
        <v>-2.1582733812949728E-2</v>
      </c>
    </row>
    <row r="1214" spans="1:7">
      <c r="A1214" s="64">
        <v>118.95</v>
      </c>
      <c r="B1214" s="64">
        <v>119.33</v>
      </c>
      <c r="C1214" s="64">
        <v>117.31</v>
      </c>
      <c r="D1214" s="64">
        <v>118.02</v>
      </c>
      <c r="E1214" s="64">
        <v>1470473</v>
      </c>
      <c r="F1214" s="64" t="s">
        <v>1212</v>
      </c>
      <c r="G1214" s="25">
        <f t="shared" si="16"/>
        <v>7.8800203355364751E-3</v>
      </c>
    </row>
    <row r="1215" spans="1:7">
      <c r="A1215" s="64">
        <v>117.95</v>
      </c>
      <c r="B1215" s="64">
        <v>118.31</v>
      </c>
      <c r="C1215" s="64">
        <v>115.30500000000001</v>
      </c>
      <c r="D1215" s="64">
        <v>115.52</v>
      </c>
      <c r="E1215" s="64">
        <v>1258783</v>
      </c>
      <c r="F1215" s="64" t="s">
        <v>1213</v>
      </c>
      <c r="G1215" s="25">
        <f t="shared" ref="G1215:G1278" si="17">A1215/D1215-1</f>
        <v>2.103531855955687E-2</v>
      </c>
    </row>
    <row r="1216" spans="1:7">
      <c r="A1216" s="64">
        <v>116.26</v>
      </c>
      <c r="B1216" s="64">
        <v>118.18</v>
      </c>
      <c r="C1216" s="64">
        <v>116.18</v>
      </c>
      <c r="D1216" s="64">
        <v>117.51</v>
      </c>
      <c r="E1216" s="64">
        <v>2000407</v>
      </c>
      <c r="F1216" s="64" t="s">
        <v>1214</v>
      </c>
      <c r="G1216" s="25">
        <f t="shared" si="17"/>
        <v>-1.0637392562335091E-2</v>
      </c>
    </row>
    <row r="1217" spans="1:7">
      <c r="A1217" s="64">
        <v>117.26</v>
      </c>
      <c r="B1217" s="64">
        <v>117.405</v>
      </c>
      <c r="C1217" s="64">
        <v>113.75</v>
      </c>
      <c r="D1217" s="64">
        <v>113.9</v>
      </c>
      <c r="E1217" s="64">
        <v>2689179</v>
      </c>
      <c r="F1217" s="64" t="s">
        <v>1215</v>
      </c>
      <c r="G1217" s="25">
        <f t="shared" si="17"/>
        <v>2.9499561018437204E-2</v>
      </c>
    </row>
    <row r="1218" spans="1:7">
      <c r="A1218" s="64">
        <v>114.36</v>
      </c>
      <c r="B1218" s="64">
        <v>114.42</v>
      </c>
      <c r="C1218" s="64">
        <v>112.73</v>
      </c>
      <c r="D1218" s="64">
        <v>113.05</v>
      </c>
      <c r="E1218" s="64">
        <v>1996653</v>
      </c>
      <c r="F1218" s="64" t="s">
        <v>1216</v>
      </c>
      <c r="G1218" s="25">
        <f t="shared" si="17"/>
        <v>1.1587793011941683E-2</v>
      </c>
    </row>
    <row r="1219" spans="1:7">
      <c r="A1219" s="64">
        <v>113.15</v>
      </c>
      <c r="B1219" s="64">
        <v>113.18</v>
      </c>
      <c r="C1219" s="64">
        <v>111.31</v>
      </c>
      <c r="D1219" s="64">
        <v>111.79</v>
      </c>
      <c r="E1219" s="64">
        <v>1958927</v>
      </c>
      <c r="F1219" s="64" t="s">
        <v>1217</v>
      </c>
      <c r="G1219" s="25">
        <f t="shared" si="17"/>
        <v>1.2165667769925781E-2</v>
      </c>
    </row>
    <row r="1220" spans="1:7">
      <c r="A1220" s="64">
        <v>111.77</v>
      </c>
      <c r="B1220" s="64">
        <v>112.25</v>
      </c>
      <c r="C1220" s="64">
        <v>110.965</v>
      </c>
      <c r="D1220" s="64">
        <v>111.21</v>
      </c>
      <c r="E1220" s="64">
        <v>1313356</v>
      </c>
      <c r="F1220" s="64" t="s">
        <v>1218</v>
      </c>
      <c r="G1220" s="25">
        <f t="shared" si="17"/>
        <v>5.0355183886341415E-3</v>
      </c>
    </row>
    <row r="1221" spans="1:7">
      <c r="A1221" s="64">
        <v>111.14</v>
      </c>
      <c r="B1221" s="64">
        <v>112.28</v>
      </c>
      <c r="C1221" s="64">
        <v>110.815</v>
      </c>
      <c r="D1221" s="64">
        <v>112.11</v>
      </c>
      <c r="E1221" s="64">
        <v>1805469</v>
      </c>
      <c r="F1221" s="64" t="s">
        <v>1219</v>
      </c>
      <c r="G1221" s="25">
        <f t="shared" si="17"/>
        <v>-8.6522165730086309E-3</v>
      </c>
    </row>
    <row r="1222" spans="1:7">
      <c r="A1222" s="64">
        <v>111.95</v>
      </c>
      <c r="B1222" s="64">
        <v>114.66</v>
      </c>
      <c r="C1222" s="64">
        <v>111.755</v>
      </c>
      <c r="D1222" s="64">
        <v>114.39</v>
      </c>
      <c r="E1222" s="64">
        <v>2390413</v>
      </c>
      <c r="F1222" s="64" t="s">
        <v>1220</v>
      </c>
      <c r="G1222" s="25">
        <f t="shared" si="17"/>
        <v>-2.1330535886003976E-2</v>
      </c>
    </row>
    <row r="1223" spans="1:7">
      <c r="A1223" s="64">
        <v>114.33</v>
      </c>
      <c r="B1223" s="64">
        <v>115.83</v>
      </c>
      <c r="C1223" s="64">
        <v>113.8</v>
      </c>
      <c r="D1223" s="64">
        <v>115.54</v>
      </c>
      <c r="E1223" s="64">
        <v>1594881</v>
      </c>
      <c r="F1223" s="64" t="s">
        <v>1221</v>
      </c>
      <c r="G1223" s="25">
        <f t="shared" si="17"/>
        <v>-1.0472563614332797E-2</v>
      </c>
    </row>
    <row r="1224" spans="1:7">
      <c r="A1224" s="64">
        <v>115.21</v>
      </c>
      <c r="B1224" s="64">
        <v>115.4</v>
      </c>
      <c r="C1224" s="64">
        <v>113.96</v>
      </c>
      <c r="D1224" s="64">
        <v>114.5</v>
      </c>
      <c r="E1224" s="64">
        <v>1594148</v>
      </c>
      <c r="F1224" s="64" t="s">
        <v>1222</v>
      </c>
      <c r="G1224" s="25">
        <f t="shared" si="17"/>
        <v>6.2008733624454582E-3</v>
      </c>
    </row>
    <row r="1225" spans="1:7">
      <c r="A1225" s="64">
        <v>114.78</v>
      </c>
      <c r="B1225" s="64">
        <v>115.595</v>
      </c>
      <c r="C1225" s="64">
        <v>113.18</v>
      </c>
      <c r="D1225" s="64">
        <v>115</v>
      </c>
      <c r="E1225" s="64">
        <v>1652625</v>
      </c>
      <c r="F1225" s="64" t="s">
        <v>1223</v>
      </c>
      <c r="G1225" s="25">
        <f t="shared" si="17"/>
        <v>-1.913043478260823E-3</v>
      </c>
    </row>
    <row r="1226" spans="1:7">
      <c r="A1226" s="64">
        <v>114.46</v>
      </c>
      <c r="B1226" s="64">
        <v>114.99</v>
      </c>
      <c r="C1226" s="64">
        <v>113.54</v>
      </c>
      <c r="D1226" s="64">
        <v>114.67</v>
      </c>
      <c r="E1226" s="64">
        <v>2079301</v>
      </c>
      <c r="F1226" s="64" t="s">
        <v>1224</v>
      </c>
      <c r="G1226" s="25">
        <f t="shared" si="17"/>
        <v>-1.8313421121479712E-3</v>
      </c>
    </row>
    <row r="1227" spans="1:7">
      <c r="A1227" s="64">
        <v>114.7</v>
      </c>
      <c r="B1227" s="64">
        <v>114.74250000000001</v>
      </c>
      <c r="C1227" s="64">
        <v>113.05</v>
      </c>
      <c r="D1227" s="64">
        <v>113.32</v>
      </c>
      <c r="E1227" s="64">
        <v>2088123</v>
      </c>
      <c r="F1227" s="64" t="s">
        <v>1225</v>
      </c>
      <c r="G1227" s="25">
        <f t="shared" si="17"/>
        <v>1.2177903282739155E-2</v>
      </c>
    </row>
    <row r="1228" spans="1:7">
      <c r="A1228" s="64">
        <v>113.28</v>
      </c>
      <c r="B1228" s="64">
        <v>113.84</v>
      </c>
      <c r="C1228" s="64">
        <v>112.08</v>
      </c>
      <c r="D1228" s="64">
        <v>112.42</v>
      </c>
      <c r="E1228" s="64">
        <v>2274780</v>
      </c>
      <c r="F1228" s="64" t="s">
        <v>1226</v>
      </c>
      <c r="G1228" s="25">
        <f t="shared" si="17"/>
        <v>7.649884362213033E-3</v>
      </c>
    </row>
    <row r="1229" spans="1:7">
      <c r="A1229" s="64">
        <v>112.27</v>
      </c>
      <c r="B1229" s="64">
        <v>114.22499999999999</v>
      </c>
      <c r="C1229" s="64">
        <v>109.8301</v>
      </c>
      <c r="D1229" s="64">
        <v>113.375</v>
      </c>
      <c r="E1229" s="64">
        <v>3518340</v>
      </c>
      <c r="F1229" s="64" t="s">
        <v>1227</v>
      </c>
      <c r="G1229" s="25">
        <f t="shared" si="17"/>
        <v>-9.746416758544707E-3</v>
      </c>
    </row>
    <row r="1230" spans="1:7">
      <c r="A1230" s="64">
        <v>111.62</v>
      </c>
      <c r="B1230" s="64">
        <v>111.96</v>
      </c>
      <c r="C1230" s="64">
        <v>109.96</v>
      </c>
      <c r="D1230" s="64">
        <v>110.33</v>
      </c>
      <c r="E1230" s="64">
        <v>3438961</v>
      </c>
      <c r="F1230" s="64" t="s">
        <v>1228</v>
      </c>
      <c r="G1230" s="25">
        <f t="shared" si="17"/>
        <v>1.1692196138856303E-2</v>
      </c>
    </row>
    <row r="1231" spans="1:7">
      <c r="A1231" s="64">
        <v>110.06</v>
      </c>
      <c r="B1231" s="64">
        <v>110.78</v>
      </c>
      <c r="C1231" s="64">
        <v>109.39</v>
      </c>
      <c r="D1231" s="64">
        <v>110</v>
      </c>
      <c r="E1231" s="64">
        <v>1592788</v>
      </c>
      <c r="F1231" s="64" t="s">
        <v>1229</v>
      </c>
      <c r="G1231" s="25">
        <f t="shared" si="17"/>
        <v>5.4545454545462668E-4</v>
      </c>
    </row>
    <row r="1232" spans="1:7">
      <c r="A1232" s="64">
        <v>109.9</v>
      </c>
      <c r="B1232" s="64">
        <v>110.14</v>
      </c>
      <c r="C1232" s="64">
        <v>108.8</v>
      </c>
      <c r="D1232" s="64">
        <v>109.01</v>
      </c>
      <c r="E1232" s="64">
        <v>1781786</v>
      </c>
      <c r="F1232" s="64" t="s">
        <v>1230</v>
      </c>
      <c r="G1232" s="25">
        <f t="shared" si="17"/>
        <v>8.1643885882030087E-3</v>
      </c>
    </row>
    <row r="1233" spans="1:7">
      <c r="A1233" s="64">
        <v>108.89</v>
      </c>
      <c r="B1233" s="64">
        <v>109.145</v>
      </c>
      <c r="C1233" s="64">
        <v>107.88</v>
      </c>
      <c r="D1233" s="64">
        <v>109.01</v>
      </c>
      <c r="E1233" s="64">
        <v>2575996</v>
      </c>
      <c r="F1233" s="64" t="s">
        <v>1231</v>
      </c>
      <c r="G1233" s="25">
        <f t="shared" si="17"/>
        <v>-1.1008164388588426E-3</v>
      </c>
    </row>
    <row r="1234" spans="1:7">
      <c r="A1234" s="64">
        <v>109.4</v>
      </c>
      <c r="B1234" s="64">
        <v>109.66500000000001</v>
      </c>
      <c r="C1234" s="64">
        <v>107.44</v>
      </c>
      <c r="D1234" s="64">
        <v>108.08</v>
      </c>
      <c r="E1234" s="64">
        <v>2527915</v>
      </c>
      <c r="F1234" s="64" t="s">
        <v>1232</v>
      </c>
      <c r="G1234" s="25">
        <f t="shared" si="17"/>
        <v>1.2213175425610734E-2</v>
      </c>
    </row>
    <row r="1235" spans="1:7">
      <c r="A1235" s="64">
        <v>107.06</v>
      </c>
      <c r="B1235" s="64">
        <v>107.1</v>
      </c>
      <c r="C1235" s="64">
        <v>105.59</v>
      </c>
      <c r="D1235" s="64">
        <v>106.31</v>
      </c>
      <c r="E1235" s="64">
        <v>1195050</v>
      </c>
      <c r="F1235" s="64" t="s">
        <v>1233</v>
      </c>
      <c r="G1235" s="25">
        <f t="shared" si="17"/>
        <v>7.054839619979214E-3</v>
      </c>
    </row>
    <row r="1236" spans="1:7">
      <c r="A1236" s="64">
        <v>106.05</v>
      </c>
      <c r="B1236" s="64">
        <v>107.32</v>
      </c>
      <c r="C1236" s="64">
        <v>105.3</v>
      </c>
      <c r="D1236" s="64">
        <v>107.28</v>
      </c>
      <c r="E1236" s="64">
        <v>2109770</v>
      </c>
      <c r="F1236" s="64" t="s">
        <v>1234</v>
      </c>
      <c r="G1236" s="25">
        <f t="shared" si="17"/>
        <v>-1.1465324384787534E-2</v>
      </c>
    </row>
    <row r="1237" spans="1:7">
      <c r="A1237" s="64">
        <v>106.58</v>
      </c>
      <c r="B1237" s="64">
        <v>107.08</v>
      </c>
      <c r="C1237" s="64">
        <v>103.21</v>
      </c>
      <c r="D1237" s="64">
        <v>103.36</v>
      </c>
      <c r="E1237" s="64">
        <v>2783510</v>
      </c>
      <c r="F1237" s="64" t="s">
        <v>1235</v>
      </c>
      <c r="G1237" s="25">
        <f t="shared" si="17"/>
        <v>3.1153250773993779E-2</v>
      </c>
    </row>
    <row r="1238" spans="1:7">
      <c r="A1238" s="64">
        <v>102.91</v>
      </c>
      <c r="B1238" s="64">
        <v>106.1</v>
      </c>
      <c r="C1238" s="64">
        <v>102.7</v>
      </c>
      <c r="D1238" s="64">
        <v>106.1</v>
      </c>
      <c r="E1238" s="64">
        <v>4677321</v>
      </c>
      <c r="F1238" s="64" t="s">
        <v>1236</v>
      </c>
      <c r="G1238" s="25">
        <f t="shared" si="17"/>
        <v>-3.0065975494816155E-2</v>
      </c>
    </row>
    <row r="1239" spans="1:7">
      <c r="A1239" s="64">
        <v>106.92</v>
      </c>
      <c r="B1239" s="64">
        <v>107.46</v>
      </c>
      <c r="C1239" s="64">
        <v>106.14</v>
      </c>
      <c r="D1239" s="64">
        <v>106.93</v>
      </c>
      <c r="E1239" s="64">
        <v>5378548</v>
      </c>
      <c r="F1239" s="64" t="s">
        <v>1237</v>
      </c>
      <c r="G1239" s="25">
        <f t="shared" si="17"/>
        <v>-9.3519124661045616E-5</v>
      </c>
    </row>
    <row r="1240" spans="1:7">
      <c r="A1240" s="64">
        <v>106.34</v>
      </c>
      <c r="B1240" s="64">
        <v>106.83</v>
      </c>
      <c r="C1240" s="64">
        <v>105.45</v>
      </c>
      <c r="D1240" s="64">
        <v>106.57</v>
      </c>
      <c r="E1240" s="64">
        <v>2540305</v>
      </c>
      <c r="F1240" s="64" t="s">
        <v>1238</v>
      </c>
      <c r="G1240" s="25">
        <f t="shared" si="17"/>
        <v>-2.1582058740733379E-3</v>
      </c>
    </row>
    <row r="1241" spans="1:7">
      <c r="A1241" s="64">
        <v>106.79</v>
      </c>
      <c r="B1241" s="64">
        <v>107.55</v>
      </c>
      <c r="C1241" s="64">
        <v>106.52</v>
      </c>
      <c r="D1241" s="64">
        <v>106.85</v>
      </c>
      <c r="E1241" s="64">
        <v>1755095</v>
      </c>
      <c r="F1241" s="64" t="s">
        <v>1239</v>
      </c>
      <c r="G1241" s="25">
        <f t="shared" si="17"/>
        <v>-5.6153486195587021E-4</v>
      </c>
    </row>
    <row r="1242" spans="1:7">
      <c r="A1242" s="64">
        <v>106.74</v>
      </c>
      <c r="B1242" s="64">
        <v>107.04</v>
      </c>
      <c r="C1242" s="64">
        <v>105.8867</v>
      </c>
      <c r="D1242" s="64">
        <v>107.01</v>
      </c>
      <c r="E1242" s="64">
        <v>1378824</v>
      </c>
      <c r="F1242" s="64" t="s">
        <v>1240</v>
      </c>
      <c r="G1242" s="25">
        <f t="shared" si="17"/>
        <v>-2.523128679562725E-3</v>
      </c>
    </row>
    <row r="1243" spans="1:7">
      <c r="A1243" s="64">
        <v>106.84</v>
      </c>
      <c r="B1243" s="64">
        <v>107.69750000000001</v>
      </c>
      <c r="C1243" s="64">
        <v>106.21</v>
      </c>
      <c r="D1243" s="64">
        <v>107.48</v>
      </c>
      <c r="E1243" s="64">
        <v>2420136</v>
      </c>
      <c r="F1243" s="64" t="s">
        <v>1241</v>
      </c>
      <c r="G1243" s="25">
        <f t="shared" si="17"/>
        <v>-5.9545962039448952E-3</v>
      </c>
    </row>
    <row r="1244" spans="1:7">
      <c r="A1244" s="64">
        <v>107.51</v>
      </c>
      <c r="B1244" s="64">
        <v>109.01</v>
      </c>
      <c r="C1244" s="64">
        <v>107.1</v>
      </c>
      <c r="D1244" s="64">
        <v>108.41</v>
      </c>
      <c r="E1244" s="64">
        <v>1567295</v>
      </c>
      <c r="F1244" s="64" t="s">
        <v>1242</v>
      </c>
      <c r="G1244" s="25">
        <f t="shared" si="17"/>
        <v>-8.3018171755372405E-3</v>
      </c>
    </row>
    <row r="1245" spans="1:7">
      <c r="A1245" s="64">
        <v>108.19</v>
      </c>
      <c r="B1245" s="64">
        <v>108.29</v>
      </c>
      <c r="C1245" s="64">
        <v>106.11</v>
      </c>
      <c r="D1245" s="64">
        <v>106.72</v>
      </c>
      <c r="E1245" s="64">
        <v>1805539</v>
      </c>
      <c r="F1245" s="64" t="s">
        <v>1243</v>
      </c>
      <c r="G1245" s="25">
        <f t="shared" si="17"/>
        <v>1.377436281859068E-2</v>
      </c>
    </row>
    <row r="1246" spans="1:7">
      <c r="A1246" s="64">
        <v>107.88</v>
      </c>
      <c r="B1246" s="64">
        <v>108.07</v>
      </c>
      <c r="C1246" s="64">
        <v>105.97</v>
      </c>
      <c r="D1246" s="64">
        <v>106.89</v>
      </c>
      <c r="E1246" s="64">
        <v>2495524</v>
      </c>
      <c r="F1246" s="64" t="s">
        <v>1244</v>
      </c>
      <c r="G1246" s="25">
        <f t="shared" si="17"/>
        <v>9.2618579848442462E-3</v>
      </c>
    </row>
    <row r="1247" spans="1:7">
      <c r="A1247" s="64">
        <v>106.46</v>
      </c>
      <c r="B1247" s="64">
        <v>106.58</v>
      </c>
      <c r="C1247" s="64">
        <v>105.07</v>
      </c>
      <c r="D1247" s="64">
        <v>106.58</v>
      </c>
      <c r="E1247" s="64">
        <v>2204975</v>
      </c>
      <c r="F1247" s="64" t="s">
        <v>1245</v>
      </c>
      <c r="G1247" s="25">
        <f t="shared" si="17"/>
        <v>-1.1259148057797264E-3</v>
      </c>
    </row>
    <row r="1248" spans="1:7">
      <c r="A1248" s="64">
        <v>106.59</v>
      </c>
      <c r="B1248" s="64">
        <v>106.73</v>
      </c>
      <c r="C1248" s="64">
        <v>105.06</v>
      </c>
      <c r="D1248" s="64">
        <v>105.3</v>
      </c>
      <c r="E1248" s="64">
        <v>1838134</v>
      </c>
      <c r="F1248" s="64" t="s">
        <v>1246</v>
      </c>
      <c r="G1248" s="25">
        <f t="shared" si="17"/>
        <v>1.2250712250712281E-2</v>
      </c>
    </row>
    <row r="1249" spans="1:7">
      <c r="A1249" s="64">
        <v>104.81</v>
      </c>
      <c r="B1249" s="64">
        <v>105</v>
      </c>
      <c r="C1249" s="64">
        <v>103.52500000000001</v>
      </c>
      <c r="D1249" s="64">
        <v>103.6</v>
      </c>
      <c r="E1249" s="64">
        <v>2661718</v>
      </c>
      <c r="F1249" s="64" t="s">
        <v>1247</v>
      </c>
      <c r="G1249" s="25">
        <f t="shared" si="17"/>
        <v>1.1679536679536806E-2</v>
      </c>
    </row>
    <row r="1250" spans="1:7">
      <c r="A1250" s="64">
        <v>103.57</v>
      </c>
      <c r="B1250" s="64">
        <v>104.64</v>
      </c>
      <c r="C1250" s="64">
        <v>103.241</v>
      </c>
      <c r="D1250" s="64">
        <v>103.96</v>
      </c>
      <c r="E1250" s="64">
        <v>2517332</v>
      </c>
      <c r="F1250" s="64" t="s">
        <v>1248</v>
      </c>
      <c r="G1250" s="25">
        <f t="shared" si="17"/>
        <v>-3.7514428626395091E-3</v>
      </c>
    </row>
    <row r="1251" spans="1:7">
      <c r="A1251" s="64">
        <v>103.59</v>
      </c>
      <c r="B1251" s="64">
        <v>103.79</v>
      </c>
      <c r="C1251" s="64">
        <v>102.19</v>
      </c>
      <c r="D1251" s="64">
        <v>102.57</v>
      </c>
      <c r="E1251" s="64">
        <v>1989409</v>
      </c>
      <c r="F1251" s="64" t="s">
        <v>1249</v>
      </c>
      <c r="G1251" s="25">
        <f t="shared" si="17"/>
        <v>9.9444281953788849E-3</v>
      </c>
    </row>
    <row r="1252" spans="1:7">
      <c r="A1252" s="64">
        <v>102.58</v>
      </c>
      <c r="B1252" s="64">
        <v>104</v>
      </c>
      <c r="C1252" s="64">
        <v>101.74</v>
      </c>
      <c r="D1252" s="64">
        <v>103.64</v>
      </c>
      <c r="E1252" s="64">
        <v>4900489</v>
      </c>
      <c r="F1252" s="64" t="s">
        <v>1250</v>
      </c>
      <c r="G1252" s="25">
        <f t="shared" si="17"/>
        <v>-1.0227711308375187E-2</v>
      </c>
    </row>
    <row r="1253" spans="1:7">
      <c r="A1253" s="64">
        <v>103.57</v>
      </c>
      <c r="B1253" s="64">
        <v>104.73</v>
      </c>
      <c r="C1253" s="64">
        <v>103.19</v>
      </c>
      <c r="D1253" s="64">
        <v>104.11</v>
      </c>
      <c r="E1253" s="64">
        <v>2947588</v>
      </c>
      <c r="F1253" s="64" t="s">
        <v>1251</v>
      </c>
      <c r="G1253" s="25">
        <f t="shared" si="17"/>
        <v>-5.1868216309672865E-3</v>
      </c>
    </row>
    <row r="1254" spans="1:7">
      <c r="A1254" s="64">
        <v>103.8</v>
      </c>
      <c r="B1254" s="64">
        <v>105.58</v>
      </c>
      <c r="C1254" s="64">
        <v>103.72</v>
      </c>
      <c r="D1254" s="64">
        <v>105.53</v>
      </c>
      <c r="E1254" s="64">
        <v>1849110</v>
      </c>
      <c r="F1254" s="64" t="s">
        <v>1252</v>
      </c>
      <c r="G1254" s="25">
        <f t="shared" si="17"/>
        <v>-1.6393442622950838E-2</v>
      </c>
    </row>
    <row r="1255" spans="1:7">
      <c r="A1255" s="64">
        <v>104.76</v>
      </c>
      <c r="B1255" s="64">
        <v>105.1</v>
      </c>
      <c r="C1255" s="64">
        <v>104.25</v>
      </c>
      <c r="D1255" s="64">
        <v>104.25</v>
      </c>
      <c r="E1255" s="64">
        <v>2068764</v>
      </c>
      <c r="F1255" s="64" t="s">
        <v>1253</v>
      </c>
      <c r="G1255" s="25">
        <f t="shared" si="17"/>
        <v>4.8920863309354079E-3</v>
      </c>
    </row>
    <row r="1256" spans="1:7">
      <c r="A1256" s="64">
        <v>104.52</v>
      </c>
      <c r="B1256" s="64">
        <v>104.74</v>
      </c>
      <c r="C1256" s="64">
        <v>102.66</v>
      </c>
      <c r="D1256" s="64">
        <v>102.88</v>
      </c>
      <c r="E1256" s="64">
        <v>2542191</v>
      </c>
      <c r="F1256" s="64" t="s">
        <v>1254</v>
      </c>
      <c r="G1256" s="25">
        <f t="shared" si="17"/>
        <v>1.5940902021772896E-2</v>
      </c>
    </row>
    <row r="1257" spans="1:7">
      <c r="A1257" s="64">
        <v>102.84</v>
      </c>
      <c r="B1257" s="64">
        <v>103.28</v>
      </c>
      <c r="C1257" s="64">
        <v>100.43</v>
      </c>
      <c r="D1257" s="64">
        <v>101.46</v>
      </c>
      <c r="E1257" s="64">
        <v>2059344</v>
      </c>
      <c r="F1257" s="64" t="s">
        <v>1255</v>
      </c>
      <c r="G1257" s="25">
        <f t="shared" si="17"/>
        <v>1.3601419278533422E-2</v>
      </c>
    </row>
    <row r="1258" spans="1:7">
      <c r="A1258" s="64">
        <v>100.71</v>
      </c>
      <c r="B1258" s="64">
        <v>101.52500000000001</v>
      </c>
      <c r="C1258" s="64">
        <v>100.07</v>
      </c>
      <c r="D1258" s="64">
        <v>100.12</v>
      </c>
      <c r="E1258" s="64">
        <v>3222641</v>
      </c>
      <c r="F1258" s="64" t="s">
        <v>1256</v>
      </c>
      <c r="G1258" s="25">
        <f t="shared" si="17"/>
        <v>5.8929284858169062E-3</v>
      </c>
    </row>
    <row r="1259" spans="1:7">
      <c r="A1259" s="64">
        <v>100.99</v>
      </c>
      <c r="B1259" s="64">
        <v>101.21</v>
      </c>
      <c r="C1259" s="64">
        <v>99.76</v>
      </c>
      <c r="D1259" s="64">
        <v>99.98</v>
      </c>
      <c r="E1259" s="64">
        <v>2538698</v>
      </c>
      <c r="F1259" s="64" t="s">
        <v>1257</v>
      </c>
      <c r="G1259" s="25">
        <f t="shared" si="17"/>
        <v>1.0102020404080703E-2</v>
      </c>
    </row>
    <row r="1260" spans="1:7">
      <c r="A1260" s="64">
        <v>100.14</v>
      </c>
      <c r="B1260" s="64">
        <v>101.21</v>
      </c>
      <c r="C1260" s="64">
        <v>99.53</v>
      </c>
      <c r="D1260" s="64">
        <v>100.74</v>
      </c>
      <c r="E1260" s="64">
        <v>2511037</v>
      </c>
      <c r="F1260" s="64" t="s">
        <v>1258</v>
      </c>
      <c r="G1260" s="25">
        <f t="shared" si="17"/>
        <v>-5.9559261465157443E-3</v>
      </c>
    </row>
    <row r="1261" spans="1:7">
      <c r="A1261" s="64">
        <v>100.28</v>
      </c>
      <c r="B1261" s="64">
        <v>101.28</v>
      </c>
      <c r="C1261" s="64">
        <v>99.91</v>
      </c>
      <c r="D1261" s="64">
        <v>101.17</v>
      </c>
      <c r="E1261" s="64">
        <v>1503093</v>
      </c>
      <c r="F1261" s="64" t="s">
        <v>1259</v>
      </c>
      <c r="G1261" s="25">
        <f t="shared" si="17"/>
        <v>-8.797074231491564E-3</v>
      </c>
    </row>
    <row r="1262" spans="1:7">
      <c r="A1262" s="64">
        <v>100.96</v>
      </c>
      <c r="B1262" s="64">
        <v>101</v>
      </c>
      <c r="C1262" s="64">
        <v>99.58</v>
      </c>
      <c r="D1262" s="64">
        <v>99.91</v>
      </c>
      <c r="E1262" s="64">
        <v>2024342</v>
      </c>
      <c r="F1262" s="64" t="s">
        <v>1260</v>
      </c>
      <c r="G1262" s="25">
        <f t="shared" si="17"/>
        <v>1.0509458512661274E-2</v>
      </c>
    </row>
    <row r="1263" spans="1:7">
      <c r="A1263" s="64">
        <v>99.99</v>
      </c>
      <c r="B1263" s="64">
        <v>100.1</v>
      </c>
      <c r="C1263" s="64">
        <v>99.06</v>
      </c>
      <c r="D1263" s="64">
        <v>99.55</v>
      </c>
      <c r="E1263" s="64">
        <v>2843708</v>
      </c>
      <c r="F1263" s="64" t="s">
        <v>1261</v>
      </c>
      <c r="G1263" s="25">
        <f t="shared" si="17"/>
        <v>4.4198895027625085E-3</v>
      </c>
    </row>
    <row r="1264" spans="1:7">
      <c r="A1264" s="64">
        <v>99.94</v>
      </c>
      <c r="B1264" s="64">
        <v>99.95</v>
      </c>
      <c r="C1264" s="64">
        <v>97.16</v>
      </c>
      <c r="D1264" s="64">
        <v>97.24</v>
      </c>
      <c r="E1264" s="64">
        <v>2938325</v>
      </c>
      <c r="F1264" s="64" t="s">
        <v>1262</v>
      </c>
      <c r="G1264" s="25">
        <f t="shared" si="17"/>
        <v>2.7766351295763103E-2</v>
      </c>
    </row>
    <row r="1265" spans="1:7">
      <c r="A1265" s="64">
        <v>97.08</v>
      </c>
      <c r="B1265" s="64">
        <v>97.83</v>
      </c>
      <c r="C1265" s="64">
        <v>96.82</v>
      </c>
      <c r="D1265" s="64">
        <v>97.45</v>
      </c>
      <c r="E1265" s="64">
        <v>1889514</v>
      </c>
      <c r="F1265" s="64" t="s">
        <v>1263</v>
      </c>
      <c r="G1265" s="25">
        <f t="shared" si="17"/>
        <v>-3.7968188814777593E-3</v>
      </c>
    </row>
    <row r="1266" spans="1:7">
      <c r="A1266" s="64">
        <v>96.98</v>
      </c>
      <c r="B1266" s="64">
        <v>97.4</v>
      </c>
      <c r="C1266" s="64">
        <v>95.88</v>
      </c>
      <c r="D1266" s="64">
        <v>96.98</v>
      </c>
      <c r="E1266" s="64">
        <v>1898331</v>
      </c>
      <c r="F1266" s="64" t="s">
        <v>1264</v>
      </c>
      <c r="G1266" s="25">
        <f t="shared" si="17"/>
        <v>0</v>
      </c>
    </row>
    <row r="1267" spans="1:7">
      <c r="A1267" s="64">
        <v>96.34</v>
      </c>
      <c r="B1267" s="64">
        <v>98.04</v>
      </c>
      <c r="C1267" s="64">
        <v>95.76</v>
      </c>
      <c r="D1267" s="64">
        <v>95.84</v>
      </c>
      <c r="E1267" s="64">
        <v>1944655</v>
      </c>
      <c r="F1267" s="64" t="s">
        <v>1265</v>
      </c>
      <c r="G1267" s="25">
        <f t="shared" si="17"/>
        <v>5.2170283806343143E-3</v>
      </c>
    </row>
    <row r="1268" spans="1:7">
      <c r="A1268" s="64">
        <v>95.87</v>
      </c>
      <c r="B1268" s="64">
        <v>96.352500000000006</v>
      </c>
      <c r="C1268" s="64">
        <v>95.07</v>
      </c>
      <c r="D1268" s="64">
        <v>95.15</v>
      </c>
      <c r="E1268" s="64">
        <v>2132986</v>
      </c>
      <c r="F1268" s="64" t="s">
        <v>1266</v>
      </c>
      <c r="G1268" s="25">
        <f t="shared" si="17"/>
        <v>7.5669994745140023E-3</v>
      </c>
    </row>
    <row r="1269" spans="1:7">
      <c r="A1269" s="64">
        <v>94.34</v>
      </c>
      <c r="B1269" s="64">
        <v>94.590699999999998</v>
      </c>
      <c r="C1269" s="64">
        <v>92.59</v>
      </c>
      <c r="D1269" s="64">
        <v>92.8</v>
      </c>
      <c r="E1269" s="64">
        <v>2212232</v>
      </c>
      <c r="F1269" s="64" t="s">
        <v>1267</v>
      </c>
      <c r="G1269" s="25">
        <f t="shared" si="17"/>
        <v>1.6594827586206895E-2</v>
      </c>
    </row>
    <row r="1270" spans="1:7">
      <c r="A1270" s="64">
        <v>93.38</v>
      </c>
      <c r="B1270" s="64">
        <v>95.13</v>
      </c>
      <c r="C1270" s="64">
        <v>93.08</v>
      </c>
      <c r="D1270" s="64">
        <v>94.89</v>
      </c>
      <c r="E1270" s="64">
        <v>1791790</v>
      </c>
      <c r="F1270" s="64" t="s">
        <v>1268</v>
      </c>
      <c r="G1270" s="25">
        <f t="shared" si="17"/>
        <v>-1.5913162609337173E-2</v>
      </c>
    </row>
    <row r="1271" spans="1:7">
      <c r="A1271" s="64">
        <v>95.12</v>
      </c>
      <c r="B1271" s="64">
        <v>96.7</v>
      </c>
      <c r="C1271" s="64">
        <v>94.75</v>
      </c>
      <c r="D1271" s="64">
        <v>96.69</v>
      </c>
      <c r="E1271" s="64">
        <v>2010647</v>
      </c>
      <c r="F1271" s="64" t="s">
        <v>1269</v>
      </c>
      <c r="G1271" s="25">
        <f t="shared" si="17"/>
        <v>-1.6237459923466702E-2</v>
      </c>
    </row>
    <row r="1272" spans="1:7">
      <c r="A1272" s="64">
        <v>95.9</v>
      </c>
      <c r="B1272" s="64">
        <v>96.44</v>
      </c>
      <c r="C1272" s="64">
        <v>95.27</v>
      </c>
      <c r="D1272" s="64">
        <v>95.29</v>
      </c>
      <c r="E1272" s="64">
        <v>2097786</v>
      </c>
      <c r="F1272" s="64" t="s">
        <v>1270</v>
      </c>
      <c r="G1272" s="25">
        <f t="shared" si="17"/>
        <v>6.4015111764088584E-3</v>
      </c>
    </row>
    <row r="1273" spans="1:7">
      <c r="A1273" s="64">
        <v>94.35</v>
      </c>
      <c r="B1273" s="64">
        <v>95.82</v>
      </c>
      <c r="C1273" s="64">
        <v>94.31</v>
      </c>
      <c r="D1273" s="64">
        <v>95.8</v>
      </c>
      <c r="E1273" s="64">
        <v>3799715</v>
      </c>
      <c r="F1273" s="64" t="s">
        <v>1271</v>
      </c>
      <c r="G1273" s="25">
        <f t="shared" si="17"/>
        <v>-1.5135699373695188E-2</v>
      </c>
    </row>
    <row r="1274" spans="1:7">
      <c r="A1274" s="64">
        <v>96</v>
      </c>
      <c r="B1274" s="64">
        <v>97.28</v>
      </c>
      <c r="C1274" s="64">
        <v>94.68</v>
      </c>
      <c r="D1274" s="64">
        <v>97.28</v>
      </c>
      <c r="E1274" s="64">
        <v>2308367</v>
      </c>
      <c r="F1274" s="64" t="s">
        <v>1272</v>
      </c>
      <c r="G1274" s="25">
        <f t="shared" si="17"/>
        <v>-1.3157894736842146E-2</v>
      </c>
    </row>
    <row r="1275" spans="1:7">
      <c r="A1275" s="64">
        <v>96.68</v>
      </c>
      <c r="B1275" s="64">
        <v>96.76</v>
      </c>
      <c r="C1275" s="64">
        <v>95.81</v>
      </c>
      <c r="D1275" s="64">
        <v>95.96</v>
      </c>
      <c r="E1275" s="64">
        <v>2230765</v>
      </c>
      <c r="F1275" s="64" t="s">
        <v>1273</v>
      </c>
      <c r="G1275" s="25">
        <f t="shared" si="17"/>
        <v>7.503126302626173E-3</v>
      </c>
    </row>
    <row r="1276" spans="1:7">
      <c r="A1276" s="64">
        <v>95.45</v>
      </c>
      <c r="B1276" s="64">
        <v>96.47</v>
      </c>
      <c r="C1276" s="64">
        <v>94.92</v>
      </c>
      <c r="D1276" s="64">
        <v>95</v>
      </c>
      <c r="E1276" s="64">
        <v>3147132</v>
      </c>
      <c r="F1276" s="64" t="s">
        <v>1274</v>
      </c>
      <c r="G1276" s="25">
        <f t="shared" si="17"/>
        <v>4.7368421052631504E-3</v>
      </c>
    </row>
    <row r="1277" spans="1:7">
      <c r="A1277" s="64">
        <v>94.2</v>
      </c>
      <c r="B1277" s="64">
        <v>94.63</v>
      </c>
      <c r="C1277" s="64">
        <v>93.13</v>
      </c>
      <c r="D1277" s="64">
        <v>93.13</v>
      </c>
      <c r="E1277" s="64">
        <v>3472783</v>
      </c>
      <c r="F1277" s="64" t="s">
        <v>1275</v>
      </c>
      <c r="G1277" s="25">
        <f t="shared" si="17"/>
        <v>1.1489316009878792E-2</v>
      </c>
    </row>
    <row r="1278" spans="1:7">
      <c r="A1278" s="64">
        <v>92.8</v>
      </c>
      <c r="B1278" s="64">
        <v>93.27</v>
      </c>
      <c r="C1278" s="64">
        <v>91.02</v>
      </c>
      <c r="D1278" s="64">
        <v>91.02</v>
      </c>
      <c r="E1278" s="64">
        <v>2203924</v>
      </c>
      <c r="F1278" s="64" t="s">
        <v>1276</v>
      </c>
      <c r="G1278" s="25">
        <f t="shared" si="17"/>
        <v>1.9556141507361069E-2</v>
      </c>
    </row>
    <row r="1279" spans="1:7">
      <c r="A1279" s="64">
        <v>90.68</v>
      </c>
      <c r="B1279" s="64">
        <v>90.7</v>
      </c>
      <c r="C1279" s="64">
        <v>88.96</v>
      </c>
      <c r="D1279" s="64">
        <v>89.18</v>
      </c>
      <c r="E1279" s="64">
        <v>1974204</v>
      </c>
      <c r="F1279" s="64" t="s">
        <v>1277</v>
      </c>
      <c r="G1279" s="25">
        <f t="shared" ref="G1279:G1342" si="18">A1279/D1279-1</f>
        <v>1.6819914779098388E-2</v>
      </c>
    </row>
    <row r="1280" spans="1:7">
      <c r="A1280" s="64">
        <v>90.07</v>
      </c>
      <c r="B1280" s="64">
        <v>91.06</v>
      </c>
      <c r="C1280" s="64">
        <v>89.61</v>
      </c>
      <c r="D1280" s="64">
        <v>90.25</v>
      </c>
      <c r="E1280" s="64">
        <v>1552237</v>
      </c>
      <c r="F1280" s="64" t="s">
        <v>1278</v>
      </c>
      <c r="G1280" s="25">
        <f t="shared" si="18"/>
        <v>-1.9944598337950925E-3</v>
      </c>
    </row>
    <row r="1281" spans="1:7">
      <c r="A1281" s="64">
        <v>89.85</v>
      </c>
      <c r="B1281" s="64">
        <v>90.21</v>
      </c>
      <c r="C1281" s="64">
        <v>89.12</v>
      </c>
      <c r="D1281" s="64">
        <v>89.23</v>
      </c>
      <c r="E1281" s="64">
        <v>3412839</v>
      </c>
      <c r="F1281" s="64" t="s">
        <v>1279</v>
      </c>
      <c r="G1281" s="25">
        <f t="shared" si="18"/>
        <v>6.9483357615149899E-3</v>
      </c>
    </row>
    <row r="1282" spans="1:7">
      <c r="A1282" s="64">
        <v>89.49</v>
      </c>
      <c r="B1282" s="64">
        <v>89.94</v>
      </c>
      <c r="C1282" s="64">
        <v>88.01</v>
      </c>
      <c r="D1282" s="64">
        <v>88.3</v>
      </c>
      <c r="E1282" s="64">
        <v>2074784</v>
      </c>
      <c r="F1282" s="64" t="s">
        <v>1280</v>
      </c>
      <c r="G1282" s="25">
        <f t="shared" si="18"/>
        <v>1.3476783691959149E-2</v>
      </c>
    </row>
    <row r="1283" spans="1:7">
      <c r="A1283" s="64">
        <v>87.94</v>
      </c>
      <c r="B1283" s="64">
        <v>88.619900000000001</v>
      </c>
      <c r="C1283" s="64">
        <v>87.36</v>
      </c>
      <c r="D1283" s="64">
        <v>88.08</v>
      </c>
      <c r="E1283" s="64">
        <v>1094041</v>
      </c>
      <c r="F1283" s="64" t="s">
        <v>1281</v>
      </c>
      <c r="G1283" s="25">
        <f t="shared" si="18"/>
        <v>-1.5894641235241203E-3</v>
      </c>
    </row>
    <row r="1284" spans="1:7">
      <c r="A1284" s="64">
        <v>87.47</v>
      </c>
      <c r="B1284" s="64">
        <v>88.88</v>
      </c>
      <c r="C1284" s="64">
        <v>87.32</v>
      </c>
      <c r="D1284" s="64">
        <v>88.56</v>
      </c>
      <c r="E1284" s="64">
        <v>1905839</v>
      </c>
      <c r="F1284" s="64" t="s">
        <v>1282</v>
      </c>
      <c r="G1284" s="25">
        <f t="shared" si="18"/>
        <v>-1.2308039747064181E-2</v>
      </c>
    </row>
    <row r="1285" spans="1:7">
      <c r="A1285" s="64">
        <v>89.51</v>
      </c>
      <c r="B1285" s="64">
        <v>90.2</v>
      </c>
      <c r="C1285" s="64">
        <v>88.66</v>
      </c>
      <c r="D1285" s="64">
        <v>89.41</v>
      </c>
      <c r="E1285" s="64">
        <v>2175293</v>
      </c>
      <c r="F1285" s="64" t="s">
        <v>1283</v>
      </c>
      <c r="G1285" s="25">
        <f t="shared" si="18"/>
        <v>1.1184431271671347E-3</v>
      </c>
    </row>
    <row r="1286" spans="1:7">
      <c r="A1286" s="64">
        <v>90.4</v>
      </c>
      <c r="B1286" s="64">
        <v>92.394999999999996</v>
      </c>
      <c r="C1286" s="64">
        <v>90.25</v>
      </c>
      <c r="D1286" s="64">
        <v>92.22</v>
      </c>
      <c r="E1286" s="64">
        <v>2356494</v>
      </c>
      <c r="F1286" s="64" t="s">
        <v>1284</v>
      </c>
      <c r="G1286" s="25">
        <f t="shared" si="18"/>
        <v>-1.9735415311212257E-2</v>
      </c>
    </row>
    <row r="1287" spans="1:7">
      <c r="A1287" s="64">
        <v>92.17</v>
      </c>
      <c r="B1287" s="64">
        <v>93.67</v>
      </c>
      <c r="C1287" s="64">
        <v>91.8</v>
      </c>
      <c r="D1287" s="64">
        <v>91.87</v>
      </c>
      <c r="E1287" s="64">
        <v>2255078</v>
      </c>
      <c r="F1287" s="64" t="s">
        <v>1285</v>
      </c>
      <c r="G1287" s="25">
        <f t="shared" si="18"/>
        <v>3.2654838358550098E-3</v>
      </c>
    </row>
    <row r="1288" spans="1:7">
      <c r="A1288" s="64">
        <v>91.75</v>
      </c>
      <c r="B1288" s="64">
        <v>91.87</v>
      </c>
      <c r="C1288" s="64">
        <v>90.36</v>
      </c>
      <c r="D1288" s="64">
        <v>91.48</v>
      </c>
      <c r="E1288" s="64">
        <v>2402801</v>
      </c>
      <c r="F1288" s="64" t="s">
        <v>1286</v>
      </c>
      <c r="G1288" s="25">
        <f t="shared" si="18"/>
        <v>2.9514648010493527E-3</v>
      </c>
    </row>
    <row r="1289" spans="1:7">
      <c r="A1289" s="64">
        <v>91.77</v>
      </c>
      <c r="B1289" s="64">
        <v>93.724199999999996</v>
      </c>
      <c r="C1289" s="64">
        <v>90.24</v>
      </c>
      <c r="D1289" s="64">
        <v>93.61</v>
      </c>
      <c r="E1289" s="64">
        <v>2455948</v>
      </c>
      <c r="F1289" s="64" t="s">
        <v>1287</v>
      </c>
      <c r="G1289" s="25">
        <f t="shared" si="18"/>
        <v>-1.9656019656019708E-2</v>
      </c>
    </row>
    <row r="1290" spans="1:7">
      <c r="A1290" s="64">
        <v>93.31</v>
      </c>
      <c r="B1290" s="64">
        <v>94.13</v>
      </c>
      <c r="C1290" s="64">
        <v>92.48</v>
      </c>
      <c r="D1290" s="64">
        <v>94.13</v>
      </c>
      <c r="E1290" s="64">
        <v>2511439</v>
      </c>
      <c r="F1290" s="64" t="s">
        <v>1288</v>
      </c>
      <c r="G1290" s="25">
        <f t="shared" si="18"/>
        <v>-8.7113566344416693E-3</v>
      </c>
    </row>
    <row r="1291" spans="1:7">
      <c r="A1291" s="64">
        <v>94.63</v>
      </c>
      <c r="B1291" s="64">
        <v>95.99</v>
      </c>
      <c r="C1291" s="64">
        <v>94.2</v>
      </c>
      <c r="D1291" s="64">
        <v>95.85</v>
      </c>
      <c r="E1291" s="64">
        <v>2327471</v>
      </c>
      <c r="F1291" s="64" t="s">
        <v>1289</v>
      </c>
      <c r="G1291" s="25">
        <f t="shared" si="18"/>
        <v>-1.2728221178925359E-2</v>
      </c>
    </row>
    <row r="1292" spans="1:7">
      <c r="A1292" s="64">
        <v>95.52</v>
      </c>
      <c r="B1292" s="64">
        <v>96.42</v>
      </c>
      <c r="C1292" s="64">
        <v>94.85</v>
      </c>
      <c r="D1292" s="64">
        <v>95.92</v>
      </c>
      <c r="E1292" s="64">
        <v>2252708</v>
      </c>
      <c r="F1292" s="64" t="s">
        <v>1290</v>
      </c>
      <c r="G1292" s="25">
        <f t="shared" si="18"/>
        <v>-4.17014178482078E-3</v>
      </c>
    </row>
    <row r="1293" spans="1:7">
      <c r="A1293" s="64">
        <v>96.26</v>
      </c>
      <c r="B1293" s="64">
        <v>97.39</v>
      </c>
      <c r="C1293" s="64">
        <v>96.01</v>
      </c>
      <c r="D1293" s="64">
        <v>97.3</v>
      </c>
      <c r="E1293" s="64">
        <v>2347157</v>
      </c>
      <c r="F1293" s="64" t="s">
        <v>1291</v>
      </c>
      <c r="G1293" s="25">
        <f t="shared" si="18"/>
        <v>-1.0688591983555984E-2</v>
      </c>
    </row>
    <row r="1294" spans="1:7">
      <c r="A1294" s="64">
        <v>96.78</v>
      </c>
      <c r="B1294" s="64">
        <v>97.01</v>
      </c>
      <c r="C1294" s="64">
        <v>95.86</v>
      </c>
      <c r="D1294" s="64">
        <v>96.33</v>
      </c>
      <c r="E1294" s="64">
        <v>2405377</v>
      </c>
      <c r="F1294" s="64" t="s">
        <v>1292</v>
      </c>
      <c r="G1294" s="25">
        <f t="shared" si="18"/>
        <v>4.6714419184055167E-3</v>
      </c>
    </row>
    <row r="1295" spans="1:7">
      <c r="A1295" s="64">
        <v>96.15</v>
      </c>
      <c r="B1295" s="64">
        <v>96.62</v>
      </c>
      <c r="C1295" s="64">
        <v>95.66</v>
      </c>
      <c r="D1295" s="64">
        <v>95.93</v>
      </c>
      <c r="E1295" s="64">
        <v>2094928</v>
      </c>
      <c r="F1295" s="64" t="s">
        <v>1293</v>
      </c>
      <c r="G1295" s="25">
        <f t="shared" si="18"/>
        <v>2.2933388929426979E-3</v>
      </c>
    </row>
    <row r="1296" spans="1:7">
      <c r="A1296" s="64">
        <v>96.03</v>
      </c>
      <c r="B1296" s="64">
        <v>97.55</v>
      </c>
      <c r="C1296" s="64">
        <v>95.51</v>
      </c>
      <c r="D1296" s="64">
        <v>97.28</v>
      </c>
      <c r="E1296" s="64">
        <v>2954470</v>
      </c>
      <c r="F1296" s="64" t="s">
        <v>1294</v>
      </c>
      <c r="G1296" s="25">
        <f t="shared" si="18"/>
        <v>-1.2849506578947345E-2</v>
      </c>
    </row>
    <row r="1297" spans="1:7">
      <c r="A1297" s="64">
        <v>97.45</v>
      </c>
      <c r="B1297" s="64">
        <v>98.11</v>
      </c>
      <c r="C1297" s="64">
        <v>96.05</v>
      </c>
      <c r="D1297" s="64">
        <v>96.27</v>
      </c>
      <c r="E1297" s="64">
        <v>2422862</v>
      </c>
      <c r="F1297" s="64" t="s">
        <v>1295</v>
      </c>
      <c r="G1297" s="25">
        <f t="shared" si="18"/>
        <v>1.2257193310480918E-2</v>
      </c>
    </row>
    <row r="1298" spans="1:7">
      <c r="A1298" s="64">
        <v>96.15</v>
      </c>
      <c r="B1298" s="64">
        <v>96.39</v>
      </c>
      <c r="C1298" s="64">
        <v>93.760099999999994</v>
      </c>
      <c r="D1298" s="64">
        <v>94.4</v>
      </c>
      <c r="E1298" s="64">
        <v>4050404</v>
      </c>
      <c r="F1298" s="64" t="s">
        <v>1296</v>
      </c>
      <c r="G1298" s="25">
        <f t="shared" si="18"/>
        <v>1.8538135593220373E-2</v>
      </c>
    </row>
    <row r="1299" spans="1:7">
      <c r="A1299" s="64">
        <v>95.24</v>
      </c>
      <c r="B1299" s="64">
        <v>95.96</v>
      </c>
      <c r="C1299" s="64">
        <v>90.31</v>
      </c>
      <c r="D1299" s="64">
        <v>90.31</v>
      </c>
      <c r="E1299" s="64">
        <v>7071278</v>
      </c>
      <c r="F1299" s="64" t="s">
        <v>1297</v>
      </c>
      <c r="G1299" s="25">
        <f t="shared" si="18"/>
        <v>5.4589746428966857E-2</v>
      </c>
    </row>
    <row r="1300" spans="1:7">
      <c r="A1300" s="64">
        <v>89.63</v>
      </c>
      <c r="B1300" s="64">
        <v>91.03</v>
      </c>
      <c r="C1300" s="64">
        <v>88.73</v>
      </c>
      <c r="D1300" s="64">
        <v>88.76</v>
      </c>
      <c r="E1300" s="64">
        <v>3943346</v>
      </c>
      <c r="F1300" s="64" t="s">
        <v>1298</v>
      </c>
      <c r="G1300" s="25">
        <f t="shared" si="18"/>
        <v>9.8017124831004665E-3</v>
      </c>
    </row>
    <row r="1301" spans="1:7">
      <c r="A1301" s="64">
        <v>88.56</v>
      </c>
      <c r="B1301" s="64">
        <v>89.03</v>
      </c>
      <c r="C1301" s="64">
        <v>87.81</v>
      </c>
      <c r="D1301" s="64">
        <v>88.37</v>
      </c>
      <c r="E1301" s="64">
        <v>2671586</v>
      </c>
      <c r="F1301" s="64" t="s">
        <v>1299</v>
      </c>
      <c r="G1301" s="25">
        <f t="shared" si="18"/>
        <v>2.1500509222587283E-3</v>
      </c>
    </row>
    <row r="1302" spans="1:7">
      <c r="A1302" s="64">
        <v>89.02</v>
      </c>
      <c r="B1302" s="64">
        <v>89.13</v>
      </c>
      <c r="C1302" s="64">
        <v>87.66</v>
      </c>
      <c r="D1302" s="64">
        <v>88.57</v>
      </c>
      <c r="E1302" s="64">
        <v>6863644</v>
      </c>
      <c r="F1302" s="64" t="s">
        <v>1300</v>
      </c>
      <c r="G1302" s="25">
        <f t="shared" si="18"/>
        <v>5.0807271085018257E-3</v>
      </c>
    </row>
    <row r="1303" spans="1:7">
      <c r="A1303" s="64">
        <v>88</v>
      </c>
      <c r="B1303" s="64">
        <v>88.394999999999996</v>
      </c>
      <c r="C1303" s="64">
        <v>86.45</v>
      </c>
      <c r="D1303" s="64">
        <v>86.45</v>
      </c>
      <c r="E1303" s="64">
        <v>1860685</v>
      </c>
      <c r="F1303" s="64" t="s">
        <v>1301</v>
      </c>
      <c r="G1303" s="25">
        <f t="shared" si="18"/>
        <v>1.7929438982070556E-2</v>
      </c>
    </row>
    <row r="1304" spans="1:7">
      <c r="A1304" s="64">
        <v>86.25</v>
      </c>
      <c r="B1304" s="64">
        <v>87.66</v>
      </c>
      <c r="C1304" s="64">
        <v>86.14</v>
      </c>
      <c r="D1304" s="64">
        <v>86.36</v>
      </c>
      <c r="E1304" s="64">
        <v>1963302</v>
      </c>
      <c r="F1304" s="64" t="s">
        <v>1302</v>
      </c>
      <c r="G1304" s="25">
        <f t="shared" si="18"/>
        <v>-1.2737378415933476E-3</v>
      </c>
    </row>
    <row r="1305" spans="1:7">
      <c r="A1305" s="64">
        <v>86.44</v>
      </c>
      <c r="B1305" s="64">
        <v>86.81</v>
      </c>
      <c r="C1305" s="64">
        <v>85.39</v>
      </c>
      <c r="D1305" s="64">
        <v>85.54</v>
      </c>
      <c r="E1305" s="64">
        <v>2042782</v>
      </c>
      <c r="F1305" s="64" t="s">
        <v>1303</v>
      </c>
      <c r="G1305" s="25">
        <f t="shared" si="18"/>
        <v>1.0521393500116716E-2</v>
      </c>
    </row>
    <row r="1306" spans="1:7">
      <c r="A1306" s="64">
        <v>85.82</v>
      </c>
      <c r="B1306" s="64">
        <v>86.53</v>
      </c>
      <c r="C1306" s="64">
        <v>85.43</v>
      </c>
      <c r="D1306" s="64">
        <v>85.75</v>
      </c>
      <c r="E1306" s="64">
        <v>2600493</v>
      </c>
      <c r="F1306" s="64" t="s">
        <v>1304</v>
      </c>
      <c r="G1306" s="25">
        <f t="shared" si="18"/>
        <v>8.1632653061225469E-4</v>
      </c>
    </row>
    <row r="1307" spans="1:7">
      <c r="A1307" s="64">
        <v>85.99</v>
      </c>
      <c r="B1307" s="64">
        <v>86</v>
      </c>
      <c r="C1307" s="64">
        <v>83.8</v>
      </c>
      <c r="D1307" s="64">
        <v>84.51</v>
      </c>
      <c r="E1307" s="64">
        <v>2550847</v>
      </c>
      <c r="F1307" s="64" t="s">
        <v>1305</v>
      </c>
      <c r="G1307" s="25">
        <f t="shared" si="18"/>
        <v>1.7512720388119574E-2</v>
      </c>
    </row>
    <row r="1308" spans="1:7">
      <c r="A1308" s="64">
        <v>84.16</v>
      </c>
      <c r="B1308" s="64">
        <v>85.14</v>
      </c>
      <c r="C1308" s="64">
        <v>84.03</v>
      </c>
      <c r="D1308" s="64">
        <v>84.88</v>
      </c>
      <c r="E1308" s="64">
        <v>2461223</v>
      </c>
      <c r="F1308" s="64" t="s">
        <v>1306</v>
      </c>
      <c r="G1308" s="25">
        <f t="shared" si="18"/>
        <v>-8.4825636192271681E-3</v>
      </c>
    </row>
    <row r="1309" spans="1:7">
      <c r="A1309" s="64">
        <v>84.12</v>
      </c>
      <c r="B1309" s="64">
        <v>85.99</v>
      </c>
      <c r="C1309" s="64">
        <v>84.02</v>
      </c>
      <c r="D1309" s="64">
        <v>85.44</v>
      </c>
      <c r="E1309" s="64">
        <v>2549097</v>
      </c>
      <c r="F1309" s="64" t="s">
        <v>1307</v>
      </c>
      <c r="G1309" s="25">
        <f t="shared" si="18"/>
        <v>-1.544943820224709E-2</v>
      </c>
    </row>
    <row r="1310" spans="1:7">
      <c r="A1310" s="64">
        <v>85.41</v>
      </c>
      <c r="B1310" s="64">
        <v>86.55</v>
      </c>
      <c r="C1310" s="64">
        <v>85.19</v>
      </c>
      <c r="D1310" s="64">
        <v>85.2</v>
      </c>
      <c r="E1310" s="64">
        <v>2324611</v>
      </c>
      <c r="F1310" s="64" t="s">
        <v>1308</v>
      </c>
      <c r="G1310" s="25">
        <f t="shared" si="18"/>
        <v>2.4647887323943074E-3</v>
      </c>
    </row>
    <row r="1311" spans="1:7">
      <c r="A1311" s="64">
        <v>85.74</v>
      </c>
      <c r="B1311" s="64">
        <v>86.24</v>
      </c>
      <c r="C1311" s="64">
        <v>84.48</v>
      </c>
      <c r="D1311" s="64">
        <v>84.91</v>
      </c>
      <c r="E1311" s="64">
        <v>2555407</v>
      </c>
      <c r="F1311" s="64" t="s">
        <v>1309</v>
      </c>
      <c r="G1311" s="25">
        <f t="shared" si="18"/>
        <v>9.7750559415852312E-3</v>
      </c>
    </row>
    <row r="1312" spans="1:7">
      <c r="A1312" s="64">
        <v>83.84</v>
      </c>
      <c r="B1312" s="64">
        <v>84.44</v>
      </c>
      <c r="C1312" s="64">
        <v>83.12</v>
      </c>
      <c r="D1312" s="64">
        <v>83.98</v>
      </c>
      <c r="E1312" s="64">
        <v>2424066</v>
      </c>
      <c r="F1312" s="64" t="s">
        <v>1310</v>
      </c>
      <c r="G1312" s="25">
        <f t="shared" si="18"/>
        <v>-1.6670635865682071E-3</v>
      </c>
    </row>
    <row r="1313" spans="1:7">
      <c r="A1313" s="64">
        <v>83.64</v>
      </c>
      <c r="B1313" s="64">
        <v>84.33</v>
      </c>
      <c r="C1313" s="64">
        <v>83.17</v>
      </c>
      <c r="D1313" s="64">
        <v>83.35</v>
      </c>
      <c r="E1313" s="64">
        <v>3567596</v>
      </c>
      <c r="F1313" s="64" t="s">
        <v>1311</v>
      </c>
      <c r="G1313" s="25">
        <f t="shared" si="18"/>
        <v>3.4793041391723012E-3</v>
      </c>
    </row>
    <row r="1314" spans="1:7">
      <c r="A1314" s="64">
        <v>82.85</v>
      </c>
      <c r="B1314" s="64">
        <v>83.215000000000003</v>
      </c>
      <c r="C1314" s="64">
        <v>81.97</v>
      </c>
      <c r="D1314" s="64">
        <v>82.09</v>
      </c>
      <c r="E1314" s="64">
        <v>3001483</v>
      </c>
      <c r="F1314" s="64" t="s">
        <v>1312</v>
      </c>
      <c r="G1314" s="25">
        <f t="shared" si="18"/>
        <v>9.2581313192836578E-3</v>
      </c>
    </row>
    <row r="1315" spans="1:7">
      <c r="A1315" s="64">
        <v>82.43</v>
      </c>
      <c r="B1315" s="64">
        <v>83.18</v>
      </c>
      <c r="C1315" s="64">
        <v>81.2</v>
      </c>
      <c r="D1315" s="64">
        <v>82.14</v>
      </c>
      <c r="E1315" s="64">
        <v>2376108</v>
      </c>
      <c r="F1315" s="64" t="s">
        <v>1313</v>
      </c>
      <c r="G1315" s="25">
        <f t="shared" si="18"/>
        <v>3.5305575846116266E-3</v>
      </c>
    </row>
    <row r="1316" spans="1:7">
      <c r="A1316" s="64">
        <v>82.3</v>
      </c>
      <c r="B1316" s="64">
        <v>82.41</v>
      </c>
      <c r="C1316" s="64">
        <v>80.209999999999994</v>
      </c>
      <c r="D1316" s="64">
        <v>80.75</v>
      </c>
      <c r="E1316" s="64">
        <v>2784727</v>
      </c>
      <c r="F1316" s="64" t="s">
        <v>1314</v>
      </c>
      <c r="G1316" s="25">
        <f t="shared" si="18"/>
        <v>1.9195046439628438E-2</v>
      </c>
    </row>
    <row r="1317" spans="1:7">
      <c r="A1317" s="64">
        <v>80.55</v>
      </c>
      <c r="B1317" s="64">
        <v>80.8</v>
      </c>
      <c r="C1317" s="64">
        <v>79.3</v>
      </c>
      <c r="D1317" s="64">
        <v>80.33</v>
      </c>
      <c r="E1317" s="64">
        <v>2758499</v>
      </c>
      <c r="F1317" s="64" t="s">
        <v>1315</v>
      </c>
      <c r="G1317" s="25">
        <f t="shared" si="18"/>
        <v>2.7387028507406264E-3</v>
      </c>
    </row>
    <row r="1318" spans="1:7">
      <c r="A1318" s="64">
        <v>80.209999999999994</v>
      </c>
      <c r="B1318" s="64">
        <v>80.930000000000007</v>
      </c>
      <c r="C1318" s="64">
        <v>79.66</v>
      </c>
      <c r="D1318" s="64">
        <v>80</v>
      </c>
      <c r="E1318" s="64">
        <v>2494532</v>
      </c>
      <c r="F1318" s="64" t="s">
        <v>1316</v>
      </c>
      <c r="G1318" s="25">
        <f t="shared" si="18"/>
        <v>2.6249999999998774E-3</v>
      </c>
    </row>
    <row r="1319" spans="1:7">
      <c r="A1319" s="64">
        <v>79.77</v>
      </c>
      <c r="B1319" s="64">
        <v>80.81</v>
      </c>
      <c r="C1319" s="64">
        <v>79.31</v>
      </c>
      <c r="D1319" s="64">
        <v>79.69</v>
      </c>
      <c r="E1319" s="64">
        <v>2390843</v>
      </c>
      <c r="F1319" s="64" t="s">
        <v>1317</v>
      </c>
      <c r="G1319" s="25">
        <f t="shared" si="18"/>
        <v>1.003890074036784E-3</v>
      </c>
    </row>
    <row r="1320" spans="1:7">
      <c r="A1320" s="64">
        <v>79.66</v>
      </c>
      <c r="B1320" s="64">
        <v>80.42</v>
      </c>
      <c r="C1320" s="64">
        <v>78.8</v>
      </c>
      <c r="D1320" s="64">
        <v>78.989999999999995</v>
      </c>
      <c r="E1320" s="64">
        <v>2497138</v>
      </c>
      <c r="F1320" s="64" t="s">
        <v>1318</v>
      </c>
      <c r="G1320" s="25">
        <f t="shared" si="18"/>
        <v>8.4820863400429936E-3</v>
      </c>
    </row>
    <row r="1321" spans="1:7">
      <c r="A1321" s="64">
        <v>79.41</v>
      </c>
      <c r="B1321" s="64">
        <v>80.14</v>
      </c>
      <c r="C1321" s="64">
        <v>78.440200000000004</v>
      </c>
      <c r="D1321" s="64">
        <v>78.67</v>
      </c>
      <c r="E1321" s="64">
        <v>3508145</v>
      </c>
      <c r="F1321" s="64" t="s">
        <v>1319</v>
      </c>
      <c r="G1321" s="25">
        <f t="shared" si="18"/>
        <v>9.4063810855471441E-3</v>
      </c>
    </row>
    <row r="1322" spans="1:7">
      <c r="A1322" s="64">
        <v>78.680000000000007</v>
      </c>
      <c r="B1322" s="64">
        <v>80.2</v>
      </c>
      <c r="C1322" s="64">
        <v>78.58</v>
      </c>
      <c r="D1322" s="64">
        <v>80</v>
      </c>
      <c r="E1322" s="64">
        <v>2363322</v>
      </c>
      <c r="F1322" s="64" t="s">
        <v>1320</v>
      </c>
      <c r="G1322" s="25">
        <f t="shared" si="18"/>
        <v>-1.6499999999999959E-2</v>
      </c>
    </row>
    <row r="1323" spans="1:7">
      <c r="A1323" s="64">
        <v>80.38</v>
      </c>
      <c r="B1323" s="64">
        <v>81.209999999999994</v>
      </c>
      <c r="C1323" s="64">
        <v>79.72</v>
      </c>
      <c r="D1323" s="64">
        <v>81.010000000000005</v>
      </c>
      <c r="E1323" s="64">
        <v>2303903</v>
      </c>
      <c r="F1323" s="64" t="s">
        <v>1321</v>
      </c>
      <c r="G1323" s="25">
        <f t="shared" si="18"/>
        <v>-7.7768176768301389E-3</v>
      </c>
    </row>
    <row r="1324" spans="1:7">
      <c r="A1324" s="64">
        <v>81.260000000000005</v>
      </c>
      <c r="B1324" s="64">
        <v>82.18</v>
      </c>
      <c r="C1324" s="64">
        <v>80.62</v>
      </c>
      <c r="D1324" s="64">
        <v>81.31</v>
      </c>
      <c r="E1324" s="64">
        <v>2494875</v>
      </c>
      <c r="F1324" s="64" t="s">
        <v>1322</v>
      </c>
      <c r="G1324" s="25">
        <f t="shared" si="18"/>
        <v>-6.1493051285199662E-4</v>
      </c>
    </row>
    <row r="1325" spans="1:7">
      <c r="A1325" s="64">
        <v>81.14</v>
      </c>
      <c r="B1325" s="64">
        <v>82.094999999999999</v>
      </c>
      <c r="C1325" s="64">
        <v>80.790000000000006</v>
      </c>
      <c r="D1325" s="64">
        <v>81.66</v>
      </c>
      <c r="E1325" s="64">
        <v>3764037</v>
      </c>
      <c r="F1325" s="64" t="s">
        <v>1323</v>
      </c>
      <c r="G1325" s="25">
        <f t="shared" si="18"/>
        <v>-6.367866764633745E-3</v>
      </c>
    </row>
    <row r="1326" spans="1:7">
      <c r="A1326" s="64">
        <v>82.07</v>
      </c>
      <c r="B1326" s="64">
        <v>83.24</v>
      </c>
      <c r="C1326" s="64">
        <v>81.96</v>
      </c>
      <c r="D1326" s="64">
        <v>83.07</v>
      </c>
      <c r="E1326" s="64">
        <v>1865500</v>
      </c>
      <c r="F1326" s="64" t="s">
        <v>1324</v>
      </c>
      <c r="G1326" s="25">
        <f t="shared" si="18"/>
        <v>-1.2038040207054346E-2</v>
      </c>
    </row>
    <row r="1327" spans="1:7">
      <c r="A1327" s="64">
        <v>82.97</v>
      </c>
      <c r="B1327" s="64">
        <v>84.39</v>
      </c>
      <c r="C1327" s="64">
        <v>82.59</v>
      </c>
      <c r="D1327" s="64">
        <v>83.64</v>
      </c>
      <c r="E1327" s="64">
        <v>1996144</v>
      </c>
      <c r="F1327" s="64" t="s">
        <v>1325</v>
      </c>
      <c r="G1327" s="25">
        <f t="shared" si="18"/>
        <v>-8.010521281683447E-3</v>
      </c>
    </row>
    <row r="1328" spans="1:7">
      <c r="A1328" s="64">
        <v>82.98</v>
      </c>
      <c r="B1328" s="64">
        <v>84.96</v>
      </c>
      <c r="C1328" s="64">
        <v>82.25</v>
      </c>
      <c r="D1328" s="64">
        <v>82.58</v>
      </c>
      <c r="E1328" s="64">
        <v>2771827</v>
      </c>
      <c r="F1328" s="64" t="s">
        <v>1326</v>
      </c>
      <c r="G1328" s="25">
        <f t="shared" si="18"/>
        <v>4.8437878420926062E-3</v>
      </c>
    </row>
    <row r="1329" spans="1:7">
      <c r="A1329" s="64">
        <v>82.02</v>
      </c>
      <c r="B1329" s="64">
        <v>83.42</v>
      </c>
      <c r="C1329" s="64">
        <v>80.900000000000006</v>
      </c>
      <c r="D1329" s="64">
        <v>81.12</v>
      </c>
      <c r="E1329" s="64">
        <v>2293789</v>
      </c>
      <c r="F1329" s="64" t="s">
        <v>1327</v>
      </c>
      <c r="G1329" s="25">
        <f t="shared" si="18"/>
        <v>1.1094674556212825E-2</v>
      </c>
    </row>
    <row r="1330" spans="1:7">
      <c r="A1330" s="64">
        <v>80.319999999999993</v>
      </c>
      <c r="B1330" s="64">
        <v>82.38</v>
      </c>
      <c r="C1330" s="64">
        <v>80.290000000000006</v>
      </c>
      <c r="D1330" s="64">
        <v>81.37</v>
      </c>
      <c r="E1330" s="64">
        <v>2779857</v>
      </c>
      <c r="F1330" s="64" t="s">
        <v>1328</v>
      </c>
      <c r="G1330" s="25">
        <f t="shared" si="18"/>
        <v>-1.290401868010338E-2</v>
      </c>
    </row>
    <row r="1331" spans="1:7">
      <c r="A1331" s="64">
        <v>81.72</v>
      </c>
      <c r="B1331" s="64">
        <v>82.49</v>
      </c>
      <c r="C1331" s="64">
        <v>78.86</v>
      </c>
      <c r="D1331" s="64">
        <v>82.29</v>
      </c>
      <c r="E1331" s="64">
        <v>2771533</v>
      </c>
      <c r="F1331" s="64" t="s">
        <v>1329</v>
      </c>
      <c r="G1331" s="25">
        <f t="shared" si="18"/>
        <v>-6.926722566533039E-3</v>
      </c>
    </row>
    <row r="1332" spans="1:7">
      <c r="A1332" s="64">
        <v>81.88</v>
      </c>
      <c r="B1332" s="64">
        <v>84.88</v>
      </c>
      <c r="C1332" s="64">
        <v>81.23</v>
      </c>
      <c r="D1332" s="64">
        <v>84.25</v>
      </c>
      <c r="E1332" s="64">
        <v>2764010</v>
      </c>
      <c r="F1332" s="64" t="s">
        <v>1330</v>
      </c>
      <c r="G1332" s="25">
        <f t="shared" si="18"/>
        <v>-2.8130563798219654E-2</v>
      </c>
    </row>
    <row r="1333" spans="1:7">
      <c r="A1333" s="64">
        <v>84.25</v>
      </c>
      <c r="B1333" s="64">
        <v>86.41</v>
      </c>
      <c r="C1333" s="64">
        <v>84.24</v>
      </c>
      <c r="D1333" s="64">
        <v>85.78</v>
      </c>
      <c r="E1333" s="64">
        <v>2514292</v>
      </c>
      <c r="F1333" s="64" t="s">
        <v>1331</v>
      </c>
      <c r="G1333" s="25">
        <f t="shared" si="18"/>
        <v>-1.7836325483795767E-2</v>
      </c>
    </row>
    <row r="1334" spans="1:7">
      <c r="A1334" s="64">
        <v>86.28</v>
      </c>
      <c r="B1334" s="64">
        <v>86.88</v>
      </c>
      <c r="C1334" s="64">
        <v>85.48</v>
      </c>
      <c r="D1334" s="64">
        <v>86</v>
      </c>
      <c r="E1334" s="64">
        <v>3315772</v>
      </c>
      <c r="F1334" s="64" t="s">
        <v>1332</v>
      </c>
      <c r="G1334" s="25">
        <f t="shared" si="18"/>
        <v>3.2558139534883956E-3</v>
      </c>
    </row>
    <row r="1335" spans="1:7">
      <c r="A1335" s="64">
        <v>85.77</v>
      </c>
      <c r="B1335" s="64">
        <v>85.79</v>
      </c>
      <c r="C1335" s="64">
        <v>83.99</v>
      </c>
      <c r="D1335" s="64">
        <v>83.99</v>
      </c>
      <c r="E1335" s="64">
        <v>3184609</v>
      </c>
      <c r="F1335" s="64" t="s">
        <v>1333</v>
      </c>
      <c r="G1335" s="25">
        <f t="shared" si="18"/>
        <v>2.1192999166567361E-2</v>
      </c>
    </row>
    <row r="1336" spans="1:7">
      <c r="A1336" s="64">
        <v>83.1</v>
      </c>
      <c r="B1336" s="64">
        <v>84.35</v>
      </c>
      <c r="C1336" s="64">
        <v>82.71</v>
      </c>
      <c r="D1336" s="64">
        <v>84.35</v>
      </c>
      <c r="E1336" s="64">
        <v>2641873</v>
      </c>
      <c r="F1336" s="64" t="s">
        <v>1334</v>
      </c>
      <c r="G1336" s="25">
        <f t="shared" si="18"/>
        <v>-1.4819205690574933E-2</v>
      </c>
    </row>
    <row r="1337" spans="1:7">
      <c r="A1337" s="64">
        <v>83.97</v>
      </c>
      <c r="B1337" s="64">
        <v>85.09</v>
      </c>
      <c r="C1337" s="64">
        <v>82.92</v>
      </c>
      <c r="D1337" s="64">
        <v>84.15</v>
      </c>
      <c r="E1337" s="64">
        <v>2107297</v>
      </c>
      <c r="F1337" s="64" t="s">
        <v>1335</v>
      </c>
      <c r="G1337" s="25">
        <f t="shared" si="18"/>
        <v>-2.1390374331551332E-3</v>
      </c>
    </row>
    <row r="1338" spans="1:7">
      <c r="A1338" s="64">
        <v>84.45</v>
      </c>
      <c r="B1338" s="64">
        <v>86.08</v>
      </c>
      <c r="C1338" s="64">
        <v>84.44</v>
      </c>
      <c r="D1338" s="64">
        <v>85.28</v>
      </c>
      <c r="E1338" s="64">
        <v>1931845</v>
      </c>
      <c r="F1338" s="64" t="s">
        <v>1336</v>
      </c>
      <c r="G1338" s="25">
        <f t="shared" si="18"/>
        <v>-9.7326454033770382E-3</v>
      </c>
    </row>
    <row r="1339" spans="1:7">
      <c r="A1339" s="64">
        <v>85.22</v>
      </c>
      <c r="B1339" s="64">
        <v>85.63</v>
      </c>
      <c r="C1339" s="64">
        <v>82.44</v>
      </c>
      <c r="D1339" s="64">
        <v>83.63</v>
      </c>
      <c r="E1339" s="64">
        <v>4287451</v>
      </c>
      <c r="F1339" s="64" t="s">
        <v>1337</v>
      </c>
      <c r="G1339" s="25">
        <f t="shared" si="18"/>
        <v>1.901231615448995E-2</v>
      </c>
    </row>
    <row r="1340" spans="1:7">
      <c r="A1340" s="64">
        <v>83.34</v>
      </c>
      <c r="B1340" s="64">
        <v>84</v>
      </c>
      <c r="C1340" s="64">
        <v>82.76</v>
      </c>
      <c r="D1340" s="64">
        <v>83.81</v>
      </c>
      <c r="E1340" s="64">
        <v>3201144</v>
      </c>
      <c r="F1340" s="64" t="s">
        <v>1338</v>
      </c>
      <c r="G1340" s="25">
        <f t="shared" si="18"/>
        <v>-5.6079226822575157E-3</v>
      </c>
    </row>
    <row r="1341" spans="1:7">
      <c r="A1341" s="64">
        <v>84.31</v>
      </c>
      <c r="B1341" s="64">
        <v>85.814999999999998</v>
      </c>
      <c r="C1341" s="64">
        <v>83.99</v>
      </c>
      <c r="D1341" s="64">
        <v>85.59</v>
      </c>
      <c r="E1341" s="64">
        <v>4797491</v>
      </c>
      <c r="F1341" s="64" t="s">
        <v>1339</v>
      </c>
      <c r="G1341" s="25">
        <f t="shared" si="18"/>
        <v>-1.4955018109592211E-2</v>
      </c>
    </row>
    <row r="1342" spans="1:7">
      <c r="A1342" s="64">
        <v>85.24</v>
      </c>
      <c r="B1342" s="64">
        <v>86.1</v>
      </c>
      <c r="C1342" s="64">
        <v>83.26</v>
      </c>
      <c r="D1342" s="64">
        <v>84.44</v>
      </c>
      <c r="E1342" s="64">
        <v>2293702</v>
      </c>
      <c r="F1342" s="64" t="s">
        <v>1340</v>
      </c>
      <c r="G1342" s="25">
        <f t="shared" si="18"/>
        <v>9.4741828517290738E-3</v>
      </c>
    </row>
    <row r="1343" spans="1:7">
      <c r="A1343" s="64">
        <v>85.07</v>
      </c>
      <c r="B1343" s="64">
        <v>86.85</v>
      </c>
      <c r="C1343" s="64">
        <v>84.78</v>
      </c>
      <c r="D1343" s="64">
        <v>86.43</v>
      </c>
      <c r="E1343" s="64">
        <v>2399382</v>
      </c>
      <c r="F1343" s="64" t="s">
        <v>1341</v>
      </c>
      <c r="G1343" s="25">
        <f t="shared" ref="G1343:G1406" si="19">A1343/D1343-1</f>
        <v>-1.5735277102857936E-2</v>
      </c>
    </row>
    <row r="1344" spans="1:7">
      <c r="A1344" s="64">
        <v>86.98</v>
      </c>
      <c r="B1344" s="64">
        <v>88.2</v>
      </c>
      <c r="C1344" s="64">
        <v>86.13</v>
      </c>
      <c r="D1344" s="64">
        <v>88.2</v>
      </c>
      <c r="E1344" s="64">
        <v>2274523</v>
      </c>
      <c r="F1344" s="64" t="s">
        <v>1342</v>
      </c>
      <c r="G1344" s="25">
        <f t="shared" si="19"/>
        <v>-1.3832199546485291E-2</v>
      </c>
    </row>
    <row r="1345" spans="1:7">
      <c r="A1345" s="64">
        <v>87.65</v>
      </c>
      <c r="B1345" s="64">
        <v>87.82</v>
      </c>
      <c r="C1345" s="64">
        <v>86.68</v>
      </c>
      <c r="D1345" s="64">
        <v>87.27</v>
      </c>
      <c r="E1345" s="64">
        <v>2094049</v>
      </c>
      <c r="F1345" s="64" t="s">
        <v>1343</v>
      </c>
      <c r="G1345" s="25">
        <f t="shared" si="19"/>
        <v>4.3543027386274691E-3</v>
      </c>
    </row>
    <row r="1346" spans="1:7">
      <c r="A1346" s="64">
        <v>88.07</v>
      </c>
      <c r="B1346" s="64">
        <v>88.11</v>
      </c>
      <c r="C1346" s="64">
        <v>86.22</v>
      </c>
      <c r="D1346" s="64">
        <v>86.81</v>
      </c>
      <c r="E1346" s="64">
        <v>2220741</v>
      </c>
      <c r="F1346" s="64" t="s">
        <v>1344</v>
      </c>
      <c r="G1346" s="25">
        <f t="shared" si="19"/>
        <v>1.4514456859808567E-2</v>
      </c>
    </row>
    <row r="1347" spans="1:7">
      <c r="A1347" s="64">
        <v>86.39</v>
      </c>
      <c r="B1347" s="64">
        <v>86.74</v>
      </c>
      <c r="C1347" s="64">
        <v>85.62</v>
      </c>
      <c r="D1347" s="64">
        <v>86.01</v>
      </c>
      <c r="E1347" s="64">
        <v>2713615</v>
      </c>
      <c r="F1347" s="64" t="s">
        <v>1345</v>
      </c>
      <c r="G1347" s="25">
        <f t="shared" si="19"/>
        <v>4.4180909196605E-3</v>
      </c>
    </row>
    <row r="1348" spans="1:7">
      <c r="A1348" s="64">
        <v>85.8</v>
      </c>
      <c r="B1348" s="64">
        <v>86.93</v>
      </c>
      <c r="C1348" s="64">
        <v>85.37</v>
      </c>
      <c r="D1348" s="64">
        <v>86.3</v>
      </c>
      <c r="E1348" s="64">
        <v>1486189</v>
      </c>
      <c r="F1348" s="64" t="s">
        <v>1346</v>
      </c>
      <c r="G1348" s="25">
        <f t="shared" si="19"/>
        <v>-5.7937427578215184E-3</v>
      </c>
    </row>
    <row r="1349" spans="1:7">
      <c r="A1349" s="64">
        <v>86.08</v>
      </c>
      <c r="B1349" s="64">
        <v>86.3172</v>
      </c>
      <c r="C1349" s="64">
        <v>84.61</v>
      </c>
      <c r="D1349" s="64">
        <v>85.15</v>
      </c>
      <c r="E1349" s="64">
        <v>2167860</v>
      </c>
      <c r="F1349" s="64" t="s">
        <v>1347</v>
      </c>
      <c r="G1349" s="25">
        <f t="shared" si="19"/>
        <v>1.092190252495584E-2</v>
      </c>
    </row>
    <row r="1350" spans="1:7">
      <c r="A1350" s="64">
        <v>85.1</v>
      </c>
      <c r="B1350" s="64">
        <v>86.19</v>
      </c>
      <c r="C1350" s="64">
        <v>85.02</v>
      </c>
      <c r="D1350" s="64">
        <v>85.96</v>
      </c>
      <c r="E1350" s="64">
        <v>1969512</v>
      </c>
      <c r="F1350" s="64" t="s">
        <v>1348</v>
      </c>
      <c r="G1350" s="25">
        <f t="shared" si="19"/>
        <v>-1.0004653327128854E-2</v>
      </c>
    </row>
    <row r="1351" spans="1:7">
      <c r="A1351" s="64">
        <v>85.43</v>
      </c>
      <c r="B1351" s="64">
        <v>86.16</v>
      </c>
      <c r="C1351" s="64">
        <v>84.023399999999995</v>
      </c>
      <c r="D1351" s="64">
        <v>84.54</v>
      </c>
      <c r="E1351" s="64">
        <v>2441665</v>
      </c>
      <c r="F1351" s="64" t="s">
        <v>1349</v>
      </c>
      <c r="G1351" s="25">
        <f t="shared" si="19"/>
        <v>1.052756091790874E-2</v>
      </c>
    </row>
    <row r="1352" spans="1:7">
      <c r="A1352" s="64">
        <v>83.86</v>
      </c>
      <c r="B1352" s="64">
        <v>84.12</v>
      </c>
      <c r="C1352" s="64">
        <v>82.45</v>
      </c>
      <c r="D1352" s="64">
        <v>83.51</v>
      </c>
      <c r="E1352" s="64">
        <v>2174634</v>
      </c>
      <c r="F1352" s="64" t="s">
        <v>1350</v>
      </c>
      <c r="G1352" s="25">
        <f t="shared" si="19"/>
        <v>4.19111483654655E-3</v>
      </c>
    </row>
    <row r="1353" spans="1:7">
      <c r="A1353" s="64">
        <v>83.97</v>
      </c>
      <c r="B1353" s="64">
        <v>84.72</v>
      </c>
      <c r="C1353" s="64">
        <v>82.01</v>
      </c>
      <c r="D1353" s="64">
        <v>82.22</v>
      </c>
      <c r="E1353" s="64">
        <v>2515162</v>
      </c>
      <c r="F1353" s="64" t="s">
        <v>1351</v>
      </c>
      <c r="G1353" s="25">
        <f t="shared" si="19"/>
        <v>2.1284359036730649E-2</v>
      </c>
    </row>
    <row r="1354" spans="1:7">
      <c r="A1354" s="64">
        <v>81.92</v>
      </c>
      <c r="B1354" s="64">
        <v>83.87</v>
      </c>
      <c r="C1354" s="64">
        <v>81.849999999999994</v>
      </c>
      <c r="D1354" s="64">
        <v>83.54</v>
      </c>
      <c r="E1354" s="64">
        <v>2126074</v>
      </c>
      <c r="F1354" s="64" t="s">
        <v>1352</v>
      </c>
      <c r="G1354" s="25">
        <f t="shared" si="19"/>
        <v>-1.9391908067991404E-2</v>
      </c>
    </row>
    <row r="1355" spans="1:7">
      <c r="A1355" s="64">
        <v>82.58</v>
      </c>
      <c r="B1355" s="64">
        <v>83.5</v>
      </c>
      <c r="C1355" s="64">
        <v>81.62</v>
      </c>
      <c r="D1355" s="64">
        <v>83.01</v>
      </c>
      <c r="E1355" s="64">
        <v>4292147</v>
      </c>
      <c r="F1355" s="64" t="s">
        <v>1353</v>
      </c>
      <c r="G1355" s="25">
        <f t="shared" si="19"/>
        <v>-5.1800987832791856E-3</v>
      </c>
    </row>
    <row r="1356" spans="1:7">
      <c r="A1356" s="64">
        <v>83.38</v>
      </c>
      <c r="B1356" s="64">
        <v>85.6</v>
      </c>
      <c r="C1356" s="64">
        <v>82.01</v>
      </c>
      <c r="D1356" s="64">
        <v>82.06</v>
      </c>
      <c r="E1356" s="64">
        <v>5277398</v>
      </c>
      <c r="F1356" s="64" t="s">
        <v>1354</v>
      </c>
      <c r="G1356" s="25">
        <f t="shared" si="19"/>
        <v>1.6085790884718509E-2</v>
      </c>
    </row>
    <row r="1357" spans="1:7">
      <c r="A1357" s="64">
        <v>84.84</v>
      </c>
      <c r="B1357" s="64">
        <v>85.99</v>
      </c>
      <c r="C1357" s="64">
        <v>84.23</v>
      </c>
      <c r="D1357" s="64">
        <v>85.8</v>
      </c>
      <c r="E1357" s="64">
        <v>3290025</v>
      </c>
      <c r="F1357" s="64" t="s">
        <v>1355</v>
      </c>
      <c r="G1357" s="25">
        <f t="shared" si="19"/>
        <v>-1.1188811188811099E-2</v>
      </c>
    </row>
    <row r="1358" spans="1:7">
      <c r="A1358" s="64">
        <v>86.54</v>
      </c>
      <c r="B1358" s="64">
        <v>87.84</v>
      </c>
      <c r="C1358" s="64">
        <v>84.03</v>
      </c>
      <c r="D1358" s="64">
        <v>84.6</v>
      </c>
      <c r="E1358" s="64">
        <v>2186644</v>
      </c>
      <c r="F1358" s="64" t="s">
        <v>1356</v>
      </c>
      <c r="G1358" s="25">
        <f t="shared" si="19"/>
        <v>2.2931442080378339E-2</v>
      </c>
    </row>
    <row r="1359" spans="1:7">
      <c r="A1359" s="64">
        <v>85.89</v>
      </c>
      <c r="B1359" s="64">
        <v>86.31</v>
      </c>
      <c r="C1359" s="64">
        <v>84.6</v>
      </c>
      <c r="D1359" s="64">
        <v>85.39</v>
      </c>
      <c r="E1359" s="64">
        <v>3297685</v>
      </c>
      <c r="F1359" s="64" t="s">
        <v>1357</v>
      </c>
      <c r="G1359" s="25">
        <f t="shared" si="19"/>
        <v>5.8554865909357101E-3</v>
      </c>
    </row>
    <row r="1360" spans="1:7">
      <c r="A1360" s="64">
        <v>85.52</v>
      </c>
      <c r="B1360" s="64">
        <v>87.375</v>
      </c>
      <c r="C1360" s="64">
        <v>85.21</v>
      </c>
      <c r="D1360" s="64">
        <v>86.98</v>
      </c>
      <c r="E1360" s="64">
        <v>3278941</v>
      </c>
      <c r="F1360" s="64" t="s">
        <v>1358</v>
      </c>
      <c r="G1360" s="25">
        <f t="shared" si="19"/>
        <v>-1.6785467923660757E-2</v>
      </c>
    </row>
    <row r="1361" spans="1:7">
      <c r="A1361" s="64">
        <v>87.23</v>
      </c>
      <c r="B1361" s="64">
        <v>88.89</v>
      </c>
      <c r="C1361" s="64">
        <v>86.55</v>
      </c>
      <c r="D1361" s="64">
        <v>88.17</v>
      </c>
      <c r="E1361" s="64">
        <v>1796317</v>
      </c>
      <c r="F1361" s="64" t="s">
        <v>1359</v>
      </c>
      <c r="G1361" s="25">
        <f t="shared" si="19"/>
        <v>-1.0661222638085444E-2</v>
      </c>
    </row>
    <row r="1362" spans="1:7">
      <c r="A1362" s="64">
        <v>88.1</v>
      </c>
      <c r="B1362" s="64">
        <v>88.64</v>
      </c>
      <c r="C1362" s="64">
        <v>87.37</v>
      </c>
      <c r="D1362" s="64">
        <v>88.32</v>
      </c>
      <c r="E1362" s="64">
        <v>3561984</v>
      </c>
      <c r="F1362" s="64" t="s">
        <v>1360</v>
      </c>
      <c r="G1362" s="25">
        <f t="shared" si="19"/>
        <v>-2.4909420289854767E-3</v>
      </c>
    </row>
    <row r="1363" spans="1:7">
      <c r="A1363" s="64">
        <v>87.91</v>
      </c>
      <c r="B1363" s="64">
        <v>89.43</v>
      </c>
      <c r="C1363" s="64">
        <v>87.8</v>
      </c>
      <c r="D1363" s="64">
        <v>88.67</v>
      </c>
      <c r="E1363" s="64">
        <v>1976894</v>
      </c>
      <c r="F1363" s="64" t="s">
        <v>1361</v>
      </c>
      <c r="G1363" s="25">
        <f t="shared" si="19"/>
        <v>-8.5711063493854045E-3</v>
      </c>
    </row>
    <row r="1364" spans="1:7">
      <c r="A1364" s="64">
        <v>87.87</v>
      </c>
      <c r="B1364" s="64">
        <v>88.15</v>
      </c>
      <c r="C1364" s="64">
        <v>86.84</v>
      </c>
      <c r="D1364" s="64">
        <v>87.27</v>
      </c>
      <c r="E1364" s="64">
        <v>3128902</v>
      </c>
      <c r="F1364" s="64" t="s">
        <v>1362</v>
      </c>
      <c r="G1364" s="25">
        <f t="shared" si="19"/>
        <v>6.8752148504642729E-3</v>
      </c>
    </row>
    <row r="1365" spans="1:7">
      <c r="A1365" s="64">
        <v>87.49</v>
      </c>
      <c r="B1365" s="64">
        <v>89.65</v>
      </c>
      <c r="C1365" s="64">
        <v>87.3</v>
      </c>
      <c r="D1365" s="64">
        <v>89.31</v>
      </c>
      <c r="E1365" s="64">
        <v>2881337</v>
      </c>
      <c r="F1365" s="64" t="s">
        <v>1363</v>
      </c>
      <c r="G1365" s="25">
        <f t="shared" si="19"/>
        <v>-2.0378457059679889E-2</v>
      </c>
    </row>
    <row r="1366" spans="1:7">
      <c r="A1366" s="64">
        <v>89.26</v>
      </c>
      <c r="B1366" s="64">
        <v>89.52</v>
      </c>
      <c r="C1366" s="64">
        <v>87.35</v>
      </c>
      <c r="D1366" s="64">
        <v>87.55</v>
      </c>
      <c r="E1366" s="64">
        <v>1809624</v>
      </c>
      <c r="F1366" s="64" t="s">
        <v>1364</v>
      </c>
      <c r="G1366" s="25">
        <f t="shared" si="19"/>
        <v>1.9531696173615165E-2</v>
      </c>
    </row>
    <row r="1367" spans="1:7">
      <c r="A1367" s="64">
        <v>87.85</v>
      </c>
      <c r="B1367" s="64">
        <v>89.66</v>
      </c>
      <c r="C1367" s="64">
        <v>87.6</v>
      </c>
      <c r="D1367" s="64">
        <v>89.28</v>
      </c>
      <c r="E1367" s="64">
        <v>2193870</v>
      </c>
      <c r="F1367" s="64" t="s">
        <v>1365</v>
      </c>
      <c r="G1367" s="25">
        <f t="shared" si="19"/>
        <v>-1.6017025089605785E-2</v>
      </c>
    </row>
    <row r="1368" spans="1:7">
      <c r="A1368" s="64">
        <v>89.37</v>
      </c>
      <c r="B1368" s="64">
        <v>90.33</v>
      </c>
      <c r="C1368" s="64">
        <v>89.14</v>
      </c>
      <c r="D1368" s="64">
        <v>90.21</v>
      </c>
      <c r="E1368" s="64">
        <v>2107372</v>
      </c>
      <c r="F1368" s="64" t="s">
        <v>1366</v>
      </c>
      <c r="G1368" s="25">
        <f t="shared" si="19"/>
        <v>-9.311606252078386E-3</v>
      </c>
    </row>
    <row r="1369" spans="1:7">
      <c r="A1369" s="64">
        <v>90.67</v>
      </c>
      <c r="B1369" s="64">
        <v>91.37</v>
      </c>
      <c r="C1369" s="64">
        <v>89.62</v>
      </c>
      <c r="D1369" s="64">
        <v>90.04</v>
      </c>
      <c r="E1369" s="64">
        <v>1997716</v>
      </c>
      <c r="F1369" s="64" t="s">
        <v>1367</v>
      </c>
      <c r="G1369" s="25">
        <f t="shared" si="19"/>
        <v>6.9968902709907077E-3</v>
      </c>
    </row>
    <row r="1370" spans="1:7">
      <c r="A1370" s="64">
        <v>89.44</v>
      </c>
      <c r="B1370" s="64">
        <v>89.6</v>
      </c>
      <c r="C1370" s="64">
        <v>86.784999999999997</v>
      </c>
      <c r="D1370" s="64">
        <v>87.53</v>
      </c>
      <c r="E1370" s="64">
        <v>2494328</v>
      </c>
      <c r="F1370" s="64" t="s">
        <v>1368</v>
      </c>
      <c r="G1370" s="25">
        <f t="shared" si="19"/>
        <v>2.1821089912030134E-2</v>
      </c>
    </row>
    <row r="1371" spans="1:7">
      <c r="A1371" s="64">
        <v>87.2</v>
      </c>
      <c r="B1371" s="64">
        <v>88.45</v>
      </c>
      <c r="C1371" s="64">
        <v>86.6</v>
      </c>
      <c r="D1371" s="64">
        <v>87.68</v>
      </c>
      <c r="E1371" s="64">
        <v>3185752</v>
      </c>
      <c r="F1371" s="64" t="s">
        <v>1369</v>
      </c>
      <c r="G1371" s="25">
        <f t="shared" si="19"/>
        <v>-5.4744525547445466E-3</v>
      </c>
    </row>
    <row r="1372" spans="1:7">
      <c r="A1372" s="64">
        <v>88.44</v>
      </c>
      <c r="B1372" s="64">
        <v>89.42</v>
      </c>
      <c r="C1372" s="64">
        <v>88.01</v>
      </c>
      <c r="D1372" s="64">
        <v>88.85</v>
      </c>
      <c r="E1372" s="64">
        <v>2720516</v>
      </c>
      <c r="F1372" s="64" t="s">
        <v>1370</v>
      </c>
      <c r="G1372" s="25">
        <f t="shared" si="19"/>
        <v>-4.6145188519977065E-3</v>
      </c>
    </row>
    <row r="1373" spans="1:7">
      <c r="A1373" s="64">
        <v>88.92</v>
      </c>
      <c r="B1373" s="64">
        <v>91.73</v>
      </c>
      <c r="C1373" s="64">
        <v>87.876000000000005</v>
      </c>
      <c r="D1373" s="64">
        <v>91.5</v>
      </c>
      <c r="E1373" s="64">
        <v>2368175</v>
      </c>
      <c r="F1373" s="64" t="s">
        <v>1371</v>
      </c>
      <c r="G1373" s="25">
        <f t="shared" si="19"/>
        <v>-2.8196721311475437E-2</v>
      </c>
    </row>
    <row r="1374" spans="1:7">
      <c r="A1374" s="64">
        <v>91.23</v>
      </c>
      <c r="B1374" s="64">
        <v>91.332800000000006</v>
      </c>
      <c r="C1374" s="64">
        <v>89.37</v>
      </c>
      <c r="D1374" s="64">
        <v>89.76</v>
      </c>
      <c r="E1374" s="64">
        <v>1100285</v>
      </c>
      <c r="F1374" s="64" t="s">
        <v>1372</v>
      </c>
      <c r="G1374" s="25">
        <f t="shared" si="19"/>
        <v>1.6377005347593565E-2</v>
      </c>
    </row>
    <row r="1375" spans="1:7">
      <c r="A1375" s="64">
        <v>89.64</v>
      </c>
      <c r="B1375" s="64">
        <v>90.76</v>
      </c>
      <c r="C1375" s="64">
        <v>89.29</v>
      </c>
      <c r="D1375" s="64">
        <v>90.5</v>
      </c>
      <c r="E1375" s="64">
        <v>1115841</v>
      </c>
      <c r="F1375" s="64" t="s">
        <v>1373</v>
      </c>
      <c r="G1375" s="25">
        <f t="shared" si="19"/>
        <v>-9.5027624309391712E-3</v>
      </c>
    </row>
    <row r="1376" spans="1:7">
      <c r="A1376" s="64">
        <v>90</v>
      </c>
      <c r="B1376" s="64">
        <v>92.08</v>
      </c>
      <c r="C1376" s="64">
        <v>89.93</v>
      </c>
      <c r="D1376" s="64">
        <v>91.39</v>
      </c>
      <c r="E1376" s="64">
        <v>1476759</v>
      </c>
      <c r="F1376" s="64" t="s">
        <v>1374</v>
      </c>
      <c r="G1376" s="25">
        <f t="shared" si="19"/>
        <v>-1.520954152533105E-2</v>
      </c>
    </row>
    <row r="1377" spans="1:7">
      <c r="A1377" s="64">
        <v>90.58</v>
      </c>
      <c r="B1377" s="64">
        <v>90.78</v>
      </c>
      <c r="C1377" s="64">
        <v>88.89</v>
      </c>
      <c r="D1377" s="64">
        <v>88.89</v>
      </c>
      <c r="E1377" s="64">
        <v>1451445</v>
      </c>
      <c r="F1377" s="64" t="s">
        <v>1375</v>
      </c>
      <c r="G1377" s="25">
        <f t="shared" si="19"/>
        <v>1.9012262346720599E-2</v>
      </c>
    </row>
    <row r="1378" spans="1:7">
      <c r="A1378" s="64">
        <v>88.63</v>
      </c>
      <c r="B1378" s="64">
        <v>88.99</v>
      </c>
      <c r="C1378" s="64">
        <v>88.15</v>
      </c>
      <c r="D1378" s="64">
        <v>88.52</v>
      </c>
      <c r="E1378" s="64">
        <v>441507</v>
      </c>
      <c r="F1378" s="64" t="s">
        <v>1376</v>
      </c>
      <c r="G1378" s="25">
        <f t="shared" si="19"/>
        <v>1.2426570266605985E-3</v>
      </c>
    </row>
    <row r="1379" spans="1:7">
      <c r="A1379" s="64">
        <v>88.28</v>
      </c>
      <c r="B1379" s="64">
        <v>90.06</v>
      </c>
      <c r="C1379" s="64">
        <v>88.27</v>
      </c>
      <c r="D1379" s="64">
        <v>88.5</v>
      </c>
      <c r="E1379" s="64">
        <v>1598454</v>
      </c>
      <c r="F1379" s="64" t="s">
        <v>1377</v>
      </c>
      <c r="G1379" s="25">
        <f t="shared" si="19"/>
        <v>-2.4858757062147241E-3</v>
      </c>
    </row>
    <row r="1380" spans="1:7">
      <c r="A1380" s="64">
        <v>88</v>
      </c>
      <c r="B1380" s="64">
        <v>88.44</v>
      </c>
      <c r="C1380" s="64">
        <v>85.280100000000004</v>
      </c>
      <c r="D1380" s="64">
        <v>85.79</v>
      </c>
      <c r="E1380" s="64">
        <v>2183867</v>
      </c>
      <c r="F1380" s="64" t="s">
        <v>1378</v>
      </c>
      <c r="G1380" s="25">
        <f t="shared" si="19"/>
        <v>2.5760578155962222E-2</v>
      </c>
    </row>
    <row r="1381" spans="1:7">
      <c r="A1381" s="64">
        <v>85.64</v>
      </c>
      <c r="B1381" s="64">
        <v>85.75</v>
      </c>
      <c r="C1381" s="64">
        <v>83.215000000000003</v>
      </c>
      <c r="D1381" s="64">
        <v>85.19</v>
      </c>
      <c r="E1381" s="64">
        <v>2327420</v>
      </c>
      <c r="F1381" s="64" t="s">
        <v>1379</v>
      </c>
      <c r="G1381" s="25">
        <f t="shared" si="19"/>
        <v>5.2823101302970077E-3</v>
      </c>
    </row>
    <row r="1382" spans="1:7">
      <c r="A1382" s="64">
        <v>86.82</v>
      </c>
      <c r="B1382" s="64">
        <v>87.2</v>
      </c>
      <c r="C1382" s="64">
        <v>85.771699999999996</v>
      </c>
      <c r="D1382" s="64">
        <v>86.44</v>
      </c>
      <c r="E1382" s="64">
        <v>6067662</v>
      </c>
      <c r="F1382" s="64" t="s">
        <v>1380</v>
      </c>
      <c r="G1382" s="25">
        <f t="shared" si="19"/>
        <v>4.3961129106895314E-3</v>
      </c>
    </row>
    <row r="1383" spans="1:7">
      <c r="A1383" s="64">
        <v>86.52</v>
      </c>
      <c r="B1383" s="64">
        <v>86.59</v>
      </c>
      <c r="C1383" s="64">
        <v>84.66</v>
      </c>
      <c r="D1383" s="64">
        <v>85</v>
      </c>
      <c r="E1383" s="64">
        <v>1689031</v>
      </c>
      <c r="F1383" s="64" t="s">
        <v>1381</v>
      </c>
      <c r="G1383" s="25">
        <f t="shared" si="19"/>
        <v>1.788235294117646E-2</v>
      </c>
    </row>
    <row r="1384" spans="1:7">
      <c r="A1384" s="64">
        <v>85.09</v>
      </c>
      <c r="B1384" s="64">
        <v>86.08</v>
      </c>
      <c r="C1384" s="64">
        <v>83.72</v>
      </c>
      <c r="D1384" s="64">
        <v>83.88</v>
      </c>
      <c r="E1384" s="64">
        <v>1816482</v>
      </c>
      <c r="F1384" s="64" t="s">
        <v>1382</v>
      </c>
      <c r="G1384" s="25">
        <f t="shared" si="19"/>
        <v>1.4425369575584268E-2</v>
      </c>
    </row>
    <row r="1385" spans="1:7">
      <c r="A1385" s="64">
        <v>85.15</v>
      </c>
      <c r="B1385" s="64">
        <v>85.48</v>
      </c>
      <c r="C1385" s="64">
        <v>83.69</v>
      </c>
      <c r="D1385" s="64">
        <v>84.77</v>
      </c>
      <c r="E1385" s="64">
        <v>2739790</v>
      </c>
      <c r="F1385" s="64" t="s">
        <v>1383</v>
      </c>
      <c r="G1385" s="25">
        <f t="shared" si="19"/>
        <v>4.4827179426685237E-3</v>
      </c>
    </row>
    <row r="1386" spans="1:7">
      <c r="A1386" s="64">
        <v>83.57</v>
      </c>
      <c r="B1386" s="64">
        <v>85.8</v>
      </c>
      <c r="C1386" s="64">
        <v>83.51</v>
      </c>
      <c r="D1386" s="64">
        <v>84.53</v>
      </c>
      <c r="E1386" s="64">
        <v>2408450</v>
      </c>
      <c r="F1386" s="64" t="s">
        <v>1384</v>
      </c>
      <c r="G1386" s="25">
        <f t="shared" si="19"/>
        <v>-1.1356914704838572E-2</v>
      </c>
    </row>
    <row r="1387" spans="1:7">
      <c r="A1387" s="64">
        <v>84.18</v>
      </c>
      <c r="B1387" s="64">
        <v>86.27</v>
      </c>
      <c r="C1387" s="64">
        <v>83.65</v>
      </c>
      <c r="D1387" s="64">
        <v>86.2</v>
      </c>
      <c r="E1387" s="64">
        <v>2202263</v>
      </c>
      <c r="F1387" s="64" t="s">
        <v>1385</v>
      </c>
      <c r="G1387" s="25">
        <f t="shared" si="19"/>
        <v>-2.343387470997671E-2</v>
      </c>
    </row>
    <row r="1388" spans="1:7">
      <c r="A1388" s="64">
        <v>86.74</v>
      </c>
      <c r="B1388" s="64">
        <v>87.77</v>
      </c>
      <c r="C1388" s="64">
        <v>84.82</v>
      </c>
      <c r="D1388" s="64">
        <v>85.03</v>
      </c>
      <c r="E1388" s="64">
        <v>2631473</v>
      </c>
      <c r="F1388" s="64" t="s">
        <v>1386</v>
      </c>
      <c r="G1388" s="25">
        <f t="shared" si="19"/>
        <v>2.0110549217922991E-2</v>
      </c>
    </row>
    <row r="1389" spans="1:7">
      <c r="A1389" s="64">
        <v>85.03</v>
      </c>
      <c r="B1389" s="64">
        <v>86</v>
      </c>
      <c r="C1389" s="64">
        <v>83.9</v>
      </c>
      <c r="D1389" s="64">
        <v>85.5</v>
      </c>
      <c r="E1389" s="64">
        <v>2898703</v>
      </c>
      <c r="F1389" s="64" t="s">
        <v>1387</v>
      </c>
      <c r="G1389" s="25">
        <f t="shared" si="19"/>
        <v>-5.4970760233917781E-3</v>
      </c>
    </row>
    <row r="1390" spans="1:7">
      <c r="A1390" s="64">
        <v>85.4</v>
      </c>
      <c r="B1390" s="64">
        <v>86.07</v>
      </c>
      <c r="C1390" s="64">
        <v>84.32</v>
      </c>
      <c r="D1390" s="64">
        <v>85.98</v>
      </c>
      <c r="E1390" s="64">
        <v>1995363</v>
      </c>
      <c r="F1390" s="64" t="s">
        <v>1388</v>
      </c>
      <c r="G1390" s="25">
        <f t="shared" si="19"/>
        <v>-6.7457548267038092E-3</v>
      </c>
    </row>
    <row r="1391" spans="1:7">
      <c r="A1391" s="64">
        <v>86.06</v>
      </c>
      <c r="B1391" s="64">
        <v>86.54</v>
      </c>
      <c r="C1391" s="64">
        <v>85.14</v>
      </c>
      <c r="D1391" s="64">
        <v>85.7</v>
      </c>
      <c r="E1391" s="64">
        <v>2775105</v>
      </c>
      <c r="F1391" s="64" t="s">
        <v>1389</v>
      </c>
      <c r="G1391" s="25">
        <f t="shared" si="19"/>
        <v>4.2007001166861624E-3</v>
      </c>
    </row>
    <row r="1392" spans="1:7">
      <c r="A1392" s="64">
        <v>85.76</v>
      </c>
      <c r="B1392" s="64">
        <v>85.954999999999998</v>
      </c>
      <c r="C1392" s="64">
        <v>83.71</v>
      </c>
      <c r="D1392" s="64">
        <v>84.23</v>
      </c>
      <c r="E1392" s="64">
        <v>2413224</v>
      </c>
      <c r="F1392" s="64" t="s">
        <v>1390</v>
      </c>
      <c r="G1392" s="25">
        <f t="shared" si="19"/>
        <v>1.8164549447940104E-2</v>
      </c>
    </row>
    <row r="1393" spans="1:7">
      <c r="A1393" s="64">
        <v>83.65</v>
      </c>
      <c r="B1393" s="64">
        <v>84.78</v>
      </c>
      <c r="C1393" s="64">
        <v>83.38</v>
      </c>
      <c r="D1393" s="64">
        <v>83.9</v>
      </c>
      <c r="E1393" s="64">
        <v>1697299</v>
      </c>
      <c r="F1393" s="64" t="s">
        <v>1391</v>
      </c>
      <c r="G1393" s="25">
        <f t="shared" si="19"/>
        <v>-2.9797377830751426E-3</v>
      </c>
    </row>
    <row r="1394" spans="1:7">
      <c r="A1394" s="64">
        <v>84.47</v>
      </c>
      <c r="B1394" s="64">
        <v>84.81</v>
      </c>
      <c r="C1394" s="64">
        <v>83.17</v>
      </c>
      <c r="D1394" s="64">
        <v>83.67</v>
      </c>
      <c r="E1394" s="64">
        <v>1500478</v>
      </c>
      <c r="F1394" s="64" t="s">
        <v>1392</v>
      </c>
      <c r="G1394" s="25">
        <f t="shared" si="19"/>
        <v>9.5613720568901162E-3</v>
      </c>
    </row>
    <row r="1395" spans="1:7">
      <c r="A1395" s="64">
        <v>83.88</v>
      </c>
      <c r="B1395" s="64">
        <v>84.93</v>
      </c>
      <c r="C1395" s="64">
        <v>83.564999999999998</v>
      </c>
      <c r="D1395" s="64">
        <v>84.56</v>
      </c>
      <c r="E1395" s="64">
        <v>2529072</v>
      </c>
      <c r="F1395" s="64" t="s">
        <v>1393</v>
      </c>
      <c r="G1395" s="25">
        <f t="shared" si="19"/>
        <v>-8.0416272469253647E-3</v>
      </c>
    </row>
    <row r="1396" spans="1:7">
      <c r="A1396" s="64">
        <v>83.89</v>
      </c>
      <c r="B1396" s="64">
        <v>84.98</v>
      </c>
      <c r="C1396" s="64">
        <v>83.12</v>
      </c>
      <c r="D1396" s="64">
        <v>84.98</v>
      </c>
      <c r="E1396" s="64">
        <v>3948429</v>
      </c>
      <c r="F1396" s="64" t="s">
        <v>1394</v>
      </c>
      <c r="G1396" s="25">
        <f t="shared" si="19"/>
        <v>-1.2826547422923107E-2</v>
      </c>
    </row>
    <row r="1397" spans="1:7">
      <c r="A1397" s="64">
        <v>85.26</v>
      </c>
      <c r="B1397" s="64">
        <v>85.355000000000004</v>
      </c>
      <c r="C1397" s="64">
        <v>83.83</v>
      </c>
      <c r="D1397" s="64">
        <v>84.87</v>
      </c>
      <c r="E1397" s="64">
        <v>919782</v>
      </c>
      <c r="F1397" s="64" t="s">
        <v>1395</v>
      </c>
      <c r="G1397" s="25">
        <f t="shared" si="19"/>
        <v>4.5952633439378943E-3</v>
      </c>
    </row>
    <row r="1398" spans="1:7">
      <c r="A1398" s="64">
        <v>84.21</v>
      </c>
      <c r="B1398" s="64">
        <v>85.534999999999997</v>
      </c>
      <c r="C1398" s="64">
        <v>83.83</v>
      </c>
      <c r="D1398" s="64">
        <v>85.27</v>
      </c>
      <c r="E1398" s="64">
        <v>1712134</v>
      </c>
      <c r="F1398" s="64" t="s">
        <v>1396</v>
      </c>
      <c r="G1398" s="25">
        <f t="shared" si="19"/>
        <v>-1.2431101207927786E-2</v>
      </c>
    </row>
    <row r="1399" spans="1:7">
      <c r="A1399" s="64">
        <v>85.61</v>
      </c>
      <c r="B1399" s="64">
        <v>86.15</v>
      </c>
      <c r="C1399" s="64">
        <v>85.01</v>
      </c>
      <c r="D1399" s="64">
        <v>85.5</v>
      </c>
      <c r="E1399" s="64">
        <v>1903222</v>
      </c>
      <c r="F1399" s="64" t="s">
        <v>1397</v>
      </c>
      <c r="G1399" s="25">
        <f t="shared" si="19"/>
        <v>1.2865497076022248E-3</v>
      </c>
    </row>
    <row r="1400" spans="1:7">
      <c r="A1400" s="64">
        <v>84.7</v>
      </c>
      <c r="B1400" s="64">
        <v>85.81</v>
      </c>
      <c r="C1400" s="64">
        <v>83.86</v>
      </c>
      <c r="D1400" s="64">
        <v>84.95</v>
      </c>
      <c r="E1400" s="64">
        <v>1596587</v>
      </c>
      <c r="F1400" s="64" t="s">
        <v>1398</v>
      </c>
      <c r="G1400" s="25">
        <f t="shared" si="19"/>
        <v>-2.9429075927015491E-3</v>
      </c>
    </row>
    <row r="1401" spans="1:7">
      <c r="A1401" s="64">
        <v>84.53</v>
      </c>
      <c r="B1401" s="64">
        <v>85.39</v>
      </c>
      <c r="C1401" s="64">
        <v>84.36</v>
      </c>
      <c r="D1401" s="64">
        <v>85.03</v>
      </c>
      <c r="E1401" s="64">
        <v>2794802</v>
      </c>
      <c r="F1401" s="64" t="s">
        <v>1399</v>
      </c>
      <c r="G1401" s="25">
        <f t="shared" si="19"/>
        <v>-5.8802775491003656E-3</v>
      </c>
    </row>
    <row r="1402" spans="1:7">
      <c r="A1402" s="64">
        <v>85.24</v>
      </c>
      <c r="B1402" s="64">
        <v>85.544700000000006</v>
      </c>
      <c r="C1402" s="64">
        <v>84.07</v>
      </c>
      <c r="D1402" s="64">
        <v>84.45</v>
      </c>
      <c r="E1402" s="64">
        <v>2178723</v>
      </c>
      <c r="F1402" s="64" t="s">
        <v>1400</v>
      </c>
      <c r="G1402" s="25">
        <f t="shared" si="19"/>
        <v>9.3546477205446177E-3</v>
      </c>
    </row>
    <row r="1403" spans="1:7">
      <c r="A1403" s="64">
        <v>85.24</v>
      </c>
      <c r="B1403" s="64">
        <v>87.234999999999999</v>
      </c>
      <c r="C1403" s="64">
        <v>84.6</v>
      </c>
      <c r="D1403" s="64">
        <v>84.85</v>
      </c>
      <c r="E1403" s="64">
        <v>5012829</v>
      </c>
      <c r="F1403" s="64" t="s">
        <v>1401</v>
      </c>
      <c r="G1403" s="25">
        <f t="shared" si="19"/>
        <v>4.5963464938125753E-3</v>
      </c>
    </row>
    <row r="1404" spans="1:7">
      <c r="A1404" s="64">
        <v>85.18</v>
      </c>
      <c r="B1404" s="64">
        <v>88</v>
      </c>
      <c r="C1404" s="64">
        <v>83.89</v>
      </c>
      <c r="D1404" s="64">
        <v>85.25</v>
      </c>
      <c r="E1404" s="64">
        <v>4972666</v>
      </c>
      <c r="F1404" s="64" t="s">
        <v>1402</v>
      </c>
      <c r="G1404" s="25">
        <f t="shared" si="19"/>
        <v>-8.2111436950138561E-4</v>
      </c>
    </row>
    <row r="1405" spans="1:7">
      <c r="A1405" s="64">
        <v>82.17</v>
      </c>
      <c r="B1405" s="64">
        <v>83.2</v>
      </c>
      <c r="C1405" s="64">
        <v>81.13</v>
      </c>
      <c r="D1405" s="64">
        <v>82.9</v>
      </c>
      <c r="E1405" s="64">
        <v>1841002</v>
      </c>
      <c r="F1405" s="64" t="s">
        <v>1403</v>
      </c>
      <c r="G1405" s="25">
        <f t="shared" si="19"/>
        <v>-8.8057901085646373E-3</v>
      </c>
    </row>
    <row r="1406" spans="1:7">
      <c r="A1406" s="64">
        <v>81.78</v>
      </c>
      <c r="B1406" s="64">
        <v>82.28</v>
      </c>
      <c r="C1406" s="64">
        <v>79.89</v>
      </c>
      <c r="D1406" s="64">
        <v>80.34</v>
      </c>
      <c r="E1406" s="64">
        <v>2342127</v>
      </c>
      <c r="F1406" s="64" t="s">
        <v>1404</v>
      </c>
      <c r="G1406" s="25">
        <f t="shared" si="19"/>
        <v>1.7923823749066425E-2</v>
      </c>
    </row>
    <row r="1407" spans="1:7">
      <c r="A1407" s="64">
        <v>80.349999999999994</v>
      </c>
      <c r="B1407" s="64">
        <v>80.599999999999994</v>
      </c>
      <c r="C1407" s="64">
        <v>78.34</v>
      </c>
      <c r="D1407" s="64">
        <v>79.38</v>
      </c>
      <c r="E1407" s="64">
        <v>2437784</v>
      </c>
      <c r="F1407" s="64" t="s">
        <v>1405</v>
      </c>
      <c r="G1407" s="25">
        <f t="shared" ref="G1407:G1445" si="20">A1407/D1407-1</f>
        <v>1.2219702695893231E-2</v>
      </c>
    </row>
    <row r="1408" spans="1:7">
      <c r="A1408" s="64">
        <v>80.03</v>
      </c>
      <c r="B1408" s="64">
        <v>81.760000000000005</v>
      </c>
      <c r="C1408" s="64">
        <v>79.209999999999994</v>
      </c>
      <c r="D1408" s="64">
        <v>81.760000000000005</v>
      </c>
      <c r="E1408" s="64">
        <v>2468375</v>
      </c>
      <c r="F1408" s="64" t="s">
        <v>1406</v>
      </c>
      <c r="G1408" s="25">
        <f t="shared" si="20"/>
        <v>-2.1159491193737834E-2</v>
      </c>
    </row>
    <row r="1409" spans="1:7">
      <c r="A1409" s="64">
        <v>81.209999999999994</v>
      </c>
      <c r="B1409" s="64">
        <v>83.96</v>
      </c>
      <c r="C1409" s="64">
        <v>81</v>
      </c>
      <c r="D1409" s="64">
        <v>83.7</v>
      </c>
      <c r="E1409" s="64">
        <v>3365229</v>
      </c>
      <c r="F1409" s="64" t="s">
        <v>1407</v>
      </c>
      <c r="G1409" s="25">
        <f t="shared" si="20"/>
        <v>-2.97491039426524E-2</v>
      </c>
    </row>
    <row r="1410" spans="1:7">
      <c r="A1410" s="64">
        <v>84</v>
      </c>
      <c r="B1410" s="64">
        <v>85.83</v>
      </c>
      <c r="C1410" s="64">
        <v>81.594999999999999</v>
      </c>
      <c r="D1410" s="64">
        <v>82</v>
      </c>
      <c r="E1410" s="64">
        <v>4185306</v>
      </c>
      <c r="F1410" s="64" t="s">
        <v>1408</v>
      </c>
      <c r="G1410" s="25">
        <f t="shared" si="20"/>
        <v>2.4390243902439046E-2</v>
      </c>
    </row>
    <row r="1411" spans="1:7">
      <c r="A1411" s="64">
        <v>78.03</v>
      </c>
      <c r="B1411" s="64">
        <v>78.510000000000005</v>
      </c>
      <c r="C1411" s="64">
        <v>77.16</v>
      </c>
      <c r="D1411" s="64">
        <v>77.69</v>
      </c>
      <c r="E1411" s="64">
        <v>2585487</v>
      </c>
      <c r="F1411" s="64" t="s">
        <v>1409</v>
      </c>
      <c r="G1411" s="25">
        <f t="shared" si="20"/>
        <v>4.3763676148795838E-3</v>
      </c>
    </row>
    <row r="1412" spans="1:7">
      <c r="A1412" s="64">
        <v>77.55</v>
      </c>
      <c r="B1412" s="64">
        <v>78.44</v>
      </c>
      <c r="C1412" s="64">
        <v>76.14</v>
      </c>
      <c r="D1412" s="64">
        <v>76.959999999999994</v>
      </c>
      <c r="E1412" s="64">
        <v>2721757</v>
      </c>
      <c r="F1412" s="64" t="s">
        <v>1410</v>
      </c>
      <c r="G1412" s="25">
        <f t="shared" si="20"/>
        <v>7.6663201663202951E-3</v>
      </c>
    </row>
    <row r="1413" spans="1:7">
      <c r="A1413" s="64">
        <v>75.97</v>
      </c>
      <c r="B1413" s="64">
        <v>77.489999999999995</v>
      </c>
      <c r="C1413" s="64">
        <v>75.13</v>
      </c>
      <c r="D1413" s="64">
        <v>76.239999999999995</v>
      </c>
      <c r="E1413" s="64">
        <v>3241409</v>
      </c>
      <c r="F1413" s="64" t="s">
        <v>1411</v>
      </c>
      <c r="G1413" s="25">
        <f t="shared" si="20"/>
        <v>-3.5414480587617758E-3</v>
      </c>
    </row>
    <row r="1414" spans="1:7">
      <c r="A1414" s="64">
        <v>74.209999999999994</v>
      </c>
      <c r="B1414" s="64">
        <v>74.8</v>
      </c>
      <c r="C1414" s="64">
        <v>73.099999999999994</v>
      </c>
      <c r="D1414" s="64">
        <v>73.5</v>
      </c>
      <c r="E1414" s="64">
        <v>2518466</v>
      </c>
      <c r="F1414" s="64" t="s">
        <v>1412</v>
      </c>
      <c r="G1414" s="25">
        <f t="shared" si="20"/>
        <v>9.6598639455780511E-3</v>
      </c>
    </row>
    <row r="1415" spans="1:7">
      <c r="A1415" s="64">
        <v>72.599999999999994</v>
      </c>
      <c r="B1415" s="64">
        <v>73.84</v>
      </c>
      <c r="C1415" s="64">
        <v>72.14</v>
      </c>
      <c r="D1415" s="64">
        <v>73.11</v>
      </c>
      <c r="E1415" s="64">
        <v>2614842</v>
      </c>
      <c r="F1415" s="64" t="s">
        <v>1413</v>
      </c>
      <c r="G1415" s="25">
        <f t="shared" si="20"/>
        <v>-6.9757899056217543E-3</v>
      </c>
    </row>
    <row r="1416" spans="1:7">
      <c r="A1416" s="64">
        <v>71.69</v>
      </c>
      <c r="B1416" s="64">
        <v>72.81</v>
      </c>
      <c r="C1416" s="64">
        <v>70.92</v>
      </c>
      <c r="D1416" s="64">
        <v>72.48</v>
      </c>
      <c r="E1416" s="64">
        <v>3131454</v>
      </c>
      <c r="F1416" s="64" t="s">
        <v>1414</v>
      </c>
      <c r="G1416" s="25">
        <f t="shared" si="20"/>
        <v>-1.0899558498896345E-2</v>
      </c>
    </row>
    <row r="1417" spans="1:7">
      <c r="A1417" s="64">
        <v>72.91</v>
      </c>
      <c r="B1417" s="64">
        <v>73.989999999999995</v>
      </c>
      <c r="C1417" s="64">
        <v>72.099999999999994</v>
      </c>
      <c r="D1417" s="64">
        <v>73.42</v>
      </c>
      <c r="E1417" s="64">
        <v>2253711</v>
      </c>
      <c r="F1417" s="64" t="s">
        <v>1415</v>
      </c>
      <c r="G1417" s="25">
        <f t="shared" si="20"/>
        <v>-6.9463361481886254E-3</v>
      </c>
    </row>
    <row r="1418" spans="1:7">
      <c r="A1418" s="64">
        <v>73.260000000000005</v>
      </c>
      <c r="B1418" s="64">
        <v>75.4542</v>
      </c>
      <c r="C1418" s="64">
        <v>73.180000000000007</v>
      </c>
      <c r="D1418" s="64">
        <v>75.010000000000005</v>
      </c>
      <c r="E1418" s="64">
        <v>3192332</v>
      </c>
      <c r="F1418" s="64" t="s">
        <v>1416</v>
      </c>
      <c r="G1418" s="25">
        <f t="shared" si="20"/>
        <v>-2.3330222636981701E-2</v>
      </c>
    </row>
    <row r="1419" spans="1:7">
      <c r="A1419" s="64">
        <v>76.5</v>
      </c>
      <c r="B1419" s="64">
        <v>78.650000000000006</v>
      </c>
      <c r="C1419" s="64">
        <v>76.39</v>
      </c>
      <c r="D1419" s="64">
        <v>78.349999999999994</v>
      </c>
      <c r="E1419" s="64">
        <v>2661752</v>
      </c>
      <c r="F1419" s="64" t="s">
        <v>1417</v>
      </c>
      <c r="G1419" s="25">
        <f t="shared" si="20"/>
        <v>-2.361199744735154E-2</v>
      </c>
    </row>
    <row r="1420" spans="1:7">
      <c r="A1420" s="64">
        <v>78.08</v>
      </c>
      <c r="B1420" s="64">
        <v>79.52</v>
      </c>
      <c r="C1420" s="64">
        <v>77.319999999999993</v>
      </c>
      <c r="D1420" s="64">
        <v>79.23</v>
      </c>
      <c r="E1420" s="64">
        <v>2396946</v>
      </c>
      <c r="F1420" s="64" t="s">
        <v>1418</v>
      </c>
      <c r="G1420" s="25">
        <f t="shared" si="20"/>
        <v>-1.4514704026252767E-2</v>
      </c>
    </row>
    <row r="1421" spans="1:7">
      <c r="A1421" s="64">
        <v>80.41</v>
      </c>
      <c r="B1421" s="64">
        <v>80.52</v>
      </c>
      <c r="C1421" s="64">
        <v>79.069999999999993</v>
      </c>
      <c r="D1421" s="64">
        <v>79.86</v>
      </c>
      <c r="E1421" s="64">
        <v>2500571</v>
      </c>
      <c r="F1421" s="64" t="s">
        <v>1419</v>
      </c>
      <c r="G1421" s="25">
        <f t="shared" si="20"/>
        <v>6.8870523415978102E-3</v>
      </c>
    </row>
    <row r="1422" spans="1:7">
      <c r="A1422" s="64">
        <v>79.38</v>
      </c>
      <c r="B1422" s="64">
        <v>81</v>
      </c>
      <c r="C1422" s="64">
        <v>78.02</v>
      </c>
      <c r="D1422" s="64">
        <v>79.739999999999995</v>
      </c>
      <c r="E1422" s="64">
        <v>6111068</v>
      </c>
      <c r="F1422" s="64" t="s">
        <v>1420</v>
      </c>
      <c r="G1422" s="25">
        <f t="shared" si="20"/>
        <v>-4.5146726862302922E-3</v>
      </c>
    </row>
    <row r="1423" spans="1:7">
      <c r="A1423" s="64">
        <v>83.61</v>
      </c>
      <c r="B1423" s="64">
        <v>84.84</v>
      </c>
      <c r="C1423" s="64">
        <v>82.58</v>
      </c>
      <c r="D1423" s="64">
        <v>84.44</v>
      </c>
      <c r="E1423" s="64">
        <v>2149780</v>
      </c>
      <c r="F1423" s="64" t="s">
        <v>1421</v>
      </c>
      <c r="G1423" s="25">
        <f t="shared" si="20"/>
        <v>-9.8294647086688558E-3</v>
      </c>
    </row>
    <row r="1424" spans="1:7">
      <c r="A1424" s="64">
        <v>84.43</v>
      </c>
      <c r="B1424" s="64">
        <v>85.66</v>
      </c>
      <c r="C1424" s="64">
        <v>83.69</v>
      </c>
      <c r="D1424" s="64">
        <v>84.49</v>
      </c>
      <c r="E1424" s="64">
        <v>1415669</v>
      </c>
      <c r="F1424" s="64" t="s">
        <v>1422</v>
      </c>
      <c r="G1424" s="25">
        <f t="shared" si="20"/>
        <v>-7.101432122142981E-4</v>
      </c>
    </row>
    <row r="1425" spans="1:7">
      <c r="A1425" s="64">
        <v>84</v>
      </c>
      <c r="B1425" s="64">
        <v>86.73</v>
      </c>
      <c r="C1425" s="64">
        <v>83.23</v>
      </c>
      <c r="D1425" s="64">
        <v>85.5</v>
      </c>
      <c r="E1425" s="64">
        <v>1832939</v>
      </c>
      <c r="F1425" s="64" t="s">
        <v>1423</v>
      </c>
      <c r="G1425" s="25">
        <f t="shared" si="20"/>
        <v>-1.7543859649122862E-2</v>
      </c>
    </row>
    <row r="1426" spans="1:7">
      <c r="A1426" s="64">
        <v>85.33</v>
      </c>
      <c r="B1426" s="64">
        <v>86.98</v>
      </c>
      <c r="C1426" s="64">
        <v>85.2</v>
      </c>
      <c r="D1426" s="64">
        <v>85.87</v>
      </c>
      <c r="E1426" s="64">
        <v>1831137</v>
      </c>
      <c r="F1426" s="64" t="s">
        <v>1424</v>
      </c>
      <c r="G1426" s="25">
        <f t="shared" si="20"/>
        <v>-6.2885757540468434E-3</v>
      </c>
    </row>
    <row r="1427" spans="1:7">
      <c r="A1427" s="64">
        <v>85.32</v>
      </c>
      <c r="B1427" s="64">
        <v>85.87</v>
      </c>
      <c r="C1427" s="64">
        <v>83.49</v>
      </c>
      <c r="D1427" s="64">
        <v>83.83</v>
      </c>
      <c r="E1427" s="64">
        <v>2006295</v>
      </c>
      <c r="F1427" s="64" t="s">
        <v>1425</v>
      </c>
      <c r="G1427" s="25">
        <f t="shared" si="20"/>
        <v>1.7774066563282842E-2</v>
      </c>
    </row>
    <row r="1428" spans="1:7">
      <c r="A1428" s="64">
        <v>85.17</v>
      </c>
      <c r="B1428" s="64">
        <v>86.25</v>
      </c>
      <c r="C1428" s="64">
        <v>83.77</v>
      </c>
      <c r="D1428" s="64">
        <v>83.92</v>
      </c>
      <c r="E1428" s="64">
        <v>1805162</v>
      </c>
      <c r="F1428" s="64" t="s">
        <v>1426</v>
      </c>
      <c r="G1428" s="25">
        <f t="shared" si="20"/>
        <v>1.4895138226882709E-2</v>
      </c>
    </row>
    <row r="1429" spans="1:7">
      <c r="A1429" s="64">
        <v>83.94</v>
      </c>
      <c r="B1429" s="64">
        <v>85.01</v>
      </c>
      <c r="C1429" s="64">
        <v>83.2</v>
      </c>
      <c r="D1429" s="64">
        <v>84.04</v>
      </c>
      <c r="E1429" s="64">
        <v>1830861</v>
      </c>
      <c r="F1429" s="64" t="s">
        <v>1427</v>
      </c>
      <c r="G1429" s="25">
        <f t="shared" si="20"/>
        <v>-1.1899095668730375E-3</v>
      </c>
    </row>
    <row r="1430" spans="1:7">
      <c r="A1430" s="64">
        <v>85.02</v>
      </c>
      <c r="B1430" s="64">
        <v>85.47</v>
      </c>
      <c r="C1430" s="64">
        <v>83.18</v>
      </c>
      <c r="D1430" s="64">
        <v>84.44</v>
      </c>
      <c r="E1430" s="64">
        <v>2090271</v>
      </c>
      <c r="F1430" s="64" t="s">
        <v>1428</v>
      </c>
      <c r="G1430" s="25">
        <f t="shared" si="20"/>
        <v>6.8687825675035619E-3</v>
      </c>
    </row>
    <row r="1431" spans="1:7">
      <c r="A1431" s="64">
        <v>83.9</v>
      </c>
      <c r="B1431" s="64">
        <v>83.95</v>
      </c>
      <c r="C1431" s="64">
        <v>81.81</v>
      </c>
      <c r="D1431" s="64">
        <v>82.6</v>
      </c>
      <c r="E1431" s="64">
        <v>2229688</v>
      </c>
      <c r="F1431" s="64" t="s">
        <v>1429</v>
      </c>
      <c r="G1431" s="25">
        <f t="shared" si="20"/>
        <v>1.57384987893463E-2</v>
      </c>
    </row>
    <row r="1432" spans="1:7">
      <c r="A1432" s="64">
        <v>81.650000000000006</v>
      </c>
      <c r="B1432" s="64">
        <v>82.25</v>
      </c>
      <c r="C1432" s="64">
        <v>80.930000000000007</v>
      </c>
      <c r="D1432" s="64">
        <v>82</v>
      </c>
      <c r="E1432" s="64">
        <v>1804960</v>
      </c>
      <c r="F1432" s="64" t="s">
        <v>1430</v>
      </c>
      <c r="G1432" s="25">
        <f t="shared" si="20"/>
        <v>-4.268292682926722E-3</v>
      </c>
    </row>
    <row r="1433" spans="1:7">
      <c r="A1433" s="64">
        <v>81.5</v>
      </c>
      <c r="B1433" s="64">
        <v>81.72</v>
      </c>
      <c r="C1433" s="64">
        <v>79.452600000000004</v>
      </c>
      <c r="D1433" s="64">
        <v>79.58</v>
      </c>
      <c r="E1433" s="64">
        <v>1971232</v>
      </c>
      <c r="F1433" s="64" t="s">
        <v>1431</v>
      </c>
      <c r="G1433" s="25">
        <f t="shared" si="20"/>
        <v>2.412666499120375E-2</v>
      </c>
    </row>
    <row r="1434" spans="1:7">
      <c r="A1434" s="64">
        <v>78.59</v>
      </c>
      <c r="B1434" s="64">
        <v>80.430000000000007</v>
      </c>
      <c r="C1434" s="64">
        <v>78.474000000000004</v>
      </c>
      <c r="D1434" s="64">
        <v>80.28</v>
      </c>
      <c r="E1434" s="64">
        <v>1488363</v>
      </c>
      <c r="F1434" s="64" t="s">
        <v>1432</v>
      </c>
      <c r="G1434" s="25">
        <f t="shared" si="20"/>
        <v>-2.1051320378674632E-2</v>
      </c>
    </row>
    <row r="1435" spans="1:7">
      <c r="A1435" s="64">
        <v>80.150000000000006</v>
      </c>
      <c r="B1435" s="64">
        <v>80.5</v>
      </c>
      <c r="C1435" s="64">
        <v>79.040000000000006</v>
      </c>
      <c r="D1435" s="64">
        <v>79.12</v>
      </c>
      <c r="E1435" s="64">
        <v>1662214</v>
      </c>
      <c r="F1435" s="64" t="s">
        <v>1433</v>
      </c>
      <c r="G1435" s="25">
        <f t="shared" si="20"/>
        <v>1.301820020222455E-2</v>
      </c>
    </row>
    <row r="1436" spans="1:7">
      <c r="A1436" s="64">
        <v>78.81</v>
      </c>
      <c r="B1436" s="64">
        <v>79.92</v>
      </c>
      <c r="C1436" s="64">
        <v>77.67</v>
      </c>
      <c r="D1436" s="64">
        <v>77.95</v>
      </c>
      <c r="E1436" s="64">
        <v>1541585</v>
      </c>
      <c r="F1436" s="64" t="s">
        <v>1434</v>
      </c>
      <c r="G1436" s="25">
        <f t="shared" si="20"/>
        <v>1.1032713277742134E-2</v>
      </c>
    </row>
    <row r="1437" spans="1:7">
      <c r="A1437" s="64">
        <v>78.98</v>
      </c>
      <c r="B1437" s="64">
        <v>80.739900000000006</v>
      </c>
      <c r="C1437" s="64">
        <v>78.44</v>
      </c>
      <c r="D1437" s="64">
        <v>80.38</v>
      </c>
      <c r="E1437" s="64">
        <v>1994144</v>
      </c>
      <c r="F1437" s="64" t="s">
        <v>1435</v>
      </c>
      <c r="G1437" s="25">
        <f t="shared" si="20"/>
        <v>-1.741726797710863E-2</v>
      </c>
    </row>
    <row r="1438" spans="1:7">
      <c r="A1438" s="64">
        <v>79.819999999999993</v>
      </c>
      <c r="B1438" s="64">
        <v>80.989999999999995</v>
      </c>
      <c r="C1438" s="64">
        <v>78.319999999999993</v>
      </c>
      <c r="D1438" s="64">
        <v>78.33</v>
      </c>
      <c r="E1438" s="64">
        <v>3248371</v>
      </c>
      <c r="F1438" s="64" t="s">
        <v>1436</v>
      </c>
      <c r="G1438" s="25">
        <f t="shared" si="20"/>
        <v>1.9022086046214692E-2</v>
      </c>
    </row>
    <row r="1439" spans="1:7">
      <c r="A1439" s="64">
        <v>78.31</v>
      </c>
      <c r="B1439" s="64">
        <v>80.0321</v>
      </c>
      <c r="C1439" s="64">
        <v>77.970200000000006</v>
      </c>
      <c r="D1439" s="64">
        <v>78.34</v>
      </c>
      <c r="E1439" s="64">
        <v>2640704</v>
      </c>
      <c r="F1439" s="64" t="s">
        <v>1437</v>
      </c>
      <c r="G1439" s="25">
        <f t="shared" si="20"/>
        <v>-3.8294613224409968E-4</v>
      </c>
    </row>
    <row r="1440" spans="1:7">
      <c r="A1440" s="64">
        <v>77.709999999999994</v>
      </c>
      <c r="B1440" s="64">
        <v>78.72</v>
      </c>
      <c r="C1440" s="64">
        <v>77.489999999999995</v>
      </c>
      <c r="D1440" s="64">
        <v>78.349999999999994</v>
      </c>
      <c r="E1440" s="64">
        <v>2805633</v>
      </c>
      <c r="F1440" s="64" t="s">
        <v>1438</v>
      </c>
      <c r="G1440" s="25">
        <f t="shared" si="20"/>
        <v>-8.1684747925973022E-3</v>
      </c>
    </row>
    <row r="1441" spans="1:7">
      <c r="A1441" s="64">
        <v>77.45</v>
      </c>
      <c r="B1441" s="64">
        <v>77.489999999999995</v>
      </c>
      <c r="C1441" s="64">
        <v>74.064999999999998</v>
      </c>
      <c r="D1441" s="64">
        <v>74.180000000000007</v>
      </c>
      <c r="E1441" s="64">
        <v>2869200</v>
      </c>
      <c r="F1441" s="64" t="s">
        <v>1439</v>
      </c>
      <c r="G1441" s="25">
        <f t="shared" si="20"/>
        <v>4.4081962793205642E-2</v>
      </c>
    </row>
    <row r="1442" spans="1:7">
      <c r="A1442" s="64">
        <v>74.67</v>
      </c>
      <c r="B1442" s="64">
        <v>76.084000000000003</v>
      </c>
      <c r="C1442" s="64">
        <v>74.25</v>
      </c>
      <c r="D1442" s="64">
        <v>75.739999999999995</v>
      </c>
      <c r="E1442" s="64">
        <v>2575739</v>
      </c>
      <c r="F1442" s="64" t="s">
        <v>1440</v>
      </c>
      <c r="G1442" s="25">
        <f t="shared" si="20"/>
        <v>-1.4127277528386495E-2</v>
      </c>
    </row>
    <row r="1443" spans="1:7">
      <c r="A1443" s="64">
        <v>76.05</v>
      </c>
      <c r="B1443" s="64">
        <v>78.760000000000005</v>
      </c>
      <c r="C1443" s="64">
        <v>75.67</v>
      </c>
      <c r="D1443" s="64">
        <v>78.75</v>
      </c>
      <c r="E1443" s="64">
        <v>4254119</v>
      </c>
      <c r="F1443" s="64" t="s">
        <v>1441</v>
      </c>
      <c r="G1443" s="25">
        <f t="shared" si="20"/>
        <v>-3.4285714285714364E-2</v>
      </c>
    </row>
    <row r="1444" spans="1:7">
      <c r="A1444" s="64">
        <v>78.680000000000007</v>
      </c>
      <c r="B1444" s="64">
        <v>81.45</v>
      </c>
      <c r="C1444" s="64">
        <v>77.650000000000006</v>
      </c>
      <c r="D1444" s="64">
        <v>81.25</v>
      </c>
      <c r="E1444" s="64">
        <v>4061956</v>
      </c>
      <c r="F1444" s="64" t="s">
        <v>1442</v>
      </c>
      <c r="G1444" s="25">
        <f t="shared" si="20"/>
        <v>-3.1630769230769129E-2</v>
      </c>
    </row>
    <row r="1445" spans="1:7">
      <c r="A1445" s="64">
        <v>81.45</v>
      </c>
      <c r="B1445" s="64">
        <v>82.2</v>
      </c>
      <c r="C1445" s="64">
        <v>79.7</v>
      </c>
      <c r="D1445" s="64">
        <v>81.61</v>
      </c>
      <c r="E1445" s="64">
        <v>2164329</v>
      </c>
      <c r="F1445" s="64" t="s">
        <v>1443</v>
      </c>
      <c r="G1445" s="25">
        <f t="shared" si="20"/>
        <v>-1.9605440509741223E-3</v>
      </c>
    </row>
    <row r="1446" spans="1:7">
      <c r="G1446" s="25"/>
    </row>
    <row r="1447" spans="1:7">
      <c r="G1447" s="25"/>
    </row>
    <row r="1448" spans="1:7">
      <c r="G1448" s="25"/>
    </row>
    <row r="1449" spans="1:7">
      <c r="G1449" s="25"/>
    </row>
    <row r="1450" spans="1:7">
      <c r="G1450" s="25"/>
    </row>
    <row r="1451" spans="1:7">
      <c r="G1451" s="25"/>
    </row>
    <row r="1452" spans="1:7">
      <c r="G1452" s="25"/>
    </row>
    <row r="1453" spans="1:7">
      <c r="G1453" s="25"/>
    </row>
    <row r="1454" spans="1:7">
      <c r="G1454" s="25"/>
    </row>
    <row r="1455" spans="1:7">
      <c r="G1455" s="25"/>
    </row>
    <row r="1456" spans="1:7">
      <c r="G1456" s="25"/>
    </row>
    <row r="1457" spans="7:7">
      <c r="G1457" s="25"/>
    </row>
    <row r="1458" spans="7:7">
      <c r="G1458" s="25"/>
    </row>
    <row r="1459" spans="7:7">
      <c r="G1459" s="25"/>
    </row>
    <row r="1460" spans="7:7">
      <c r="G1460" s="25"/>
    </row>
    <row r="1461" spans="7:7">
      <c r="G1461" s="25"/>
    </row>
    <row r="1462" spans="7:7">
      <c r="G1462" s="25"/>
    </row>
    <row r="1463" spans="7:7">
      <c r="G1463" s="25"/>
    </row>
    <row r="1464" spans="7:7">
      <c r="G1464" s="25"/>
    </row>
    <row r="1465" spans="7:7">
      <c r="G1465" s="25"/>
    </row>
    <row r="1466" spans="7:7">
      <c r="G1466" s="25"/>
    </row>
    <row r="1467" spans="7:7">
      <c r="G1467" s="25"/>
    </row>
    <row r="1468" spans="7:7">
      <c r="G1468" s="25"/>
    </row>
    <row r="1469" spans="7:7">
      <c r="G1469" s="25"/>
    </row>
    <row r="1470" spans="7:7">
      <c r="G1470" s="25"/>
    </row>
    <row r="1471" spans="7:7">
      <c r="G1471" s="25"/>
    </row>
    <row r="1472" spans="7:7">
      <c r="G1472" s="25"/>
    </row>
    <row r="1473" spans="7:7">
      <c r="G1473" s="25"/>
    </row>
    <row r="1474" spans="7:7">
      <c r="G1474" s="25"/>
    </row>
    <row r="1475" spans="7:7">
      <c r="G1475" s="25"/>
    </row>
    <row r="1476" spans="7:7">
      <c r="G1476" s="25"/>
    </row>
    <row r="1477" spans="7:7">
      <c r="G1477" s="25"/>
    </row>
    <row r="1478" spans="7:7">
      <c r="G1478" s="25"/>
    </row>
    <row r="1479" spans="7:7">
      <c r="G1479" s="25"/>
    </row>
    <row r="1480" spans="7:7">
      <c r="G1480" s="25"/>
    </row>
    <row r="1481" spans="7:7">
      <c r="G1481" s="25"/>
    </row>
    <row r="1482" spans="7:7">
      <c r="G1482" s="25"/>
    </row>
    <row r="1483" spans="7:7">
      <c r="G1483" s="25"/>
    </row>
    <row r="1484" spans="7:7">
      <c r="G1484" s="25"/>
    </row>
    <row r="1485" spans="7:7">
      <c r="G1485" s="25"/>
    </row>
    <row r="1486" spans="7:7">
      <c r="G1486" s="25"/>
    </row>
    <row r="1487" spans="7:7">
      <c r="G1487" s="25"/>
    </row>
    <row r="1488" spans="7:7">
      <c r="G1488" s="25"/>
    </row>
    <row r="1489" spans="7:7">
      <c r="G1489" s="25"/>
    </row>
    <row r="1490" spans="7:7">
      <c r="G1490" s="25"/>
    </row>
    <row r="1491" spans="7:7">
      <c r="G1491" s="25"/>
    </row>
    <row r="1492" spans="7:7">
      <c r="G1492" s="25"/>
    </row>
    <row r="1493" spans="7:7">
      <c r="G1493" s="25"/>
    </row>
    <row r="1494" spans="7:7">
      <c r="G1494" s="25"/>
    </row>
    <row r="1495" spans="7:7">
      <c r="G1495" s="25"/>
    </row>
    <row r="1496" spans="7:7">
      <c r="G1496" s="25"/>
    </row>
    <row r="1497" spans="7:7">
      <c r="G1497" s="25"/>
    </row>
    <row r="1498" spans="7:7">
      <c r="G1498" s="25"/>
    </row>
    <row r="1499" spans="7:7">
      <c r="G1499" s="25"/>
    </row>
    <row r="1500" spans="7:7">
      <c r="G1500" s="25"/>
    </row>
    <row r="1501" spans="7:7">
      <c r="G1501" s="25"/>
    </row>
    <row r="1502" spans="7:7">
      <c r="G1502" s="25"/>
    </row>
    <row r="1503" spans="7:7">
      <c r="G1503" s="25"/>
    </row>
    <row r="1504" spans="7:7">
      <c r="G1504" s="25"/>
    </row>
    <row r="1505" spans="7:7">
      <c r="G1505" s="25"/>
    </row>
    <row r="1506" spans="7:7">
      <c r="G1506" s="25"/>
    </row>
    <row r="1507" spans="7:7">
      <c r="G1507" s="25"/>
    </row>
    <row r="1508" spans="7:7">
      <c r="G1508" s="25"/>
    </row>
    <row r="1509" spans="7:7">
      <c r="G1509" s="25"/>
    </row>
    <row r="1510" spans="7:7">
      <c r="G1510" s="25"/>
    </row>
    <row r="1511" spans="7:7">
      <c r="G1511" s="25"/>
    </row>
    <row r="1512" spans="7:7">
      <c r="G1512" s="25"/>
    </row>
    <row r="1513" spans="7:7">
      <c r="G1513" s="25"/>
    </row>
    <row r="1514" spans="7:7">
      <c r="G1514" s="25"/>
    </row>
    <row r="1515" spans="7:7">
      <c r="G1515" s="25"/>
    </row>
    <row r="1516" spans="7:7">
      <c r="G1516" s="25"/>
    </row>
    <row r="1517" spans="7:7">
      <c r="G1517" s="25"/>
    </row>
    <row r="1518" spans="7:7">
      <c r="G1518" s="25"/>
    </row>
    <row r="1519" spans="7:7">
      <c r="G1519" s="25"/>
    </row>
    <row r="1520" spans="7:7">
      <c r="G1520" s="25"/>
    </row>
    <row r="1521" spans="7:7">
      <c r="G1521" s="25"/>
    </row>
    <row r="1522" spans="7:7">
      <c r="G1522" s="25"/>
    </row>
    <row r="1523" spans="7:7">
      <c r="G1523" s="25"/>
    </row>
    <row r="1524" spans="7:7">
      <c r="G1524" s="25"/>
    </row>
    <row r="1525" spans="7:7">
      <c r="G1525" s="25"/>
    </row>
    <row r="1526" spans="7:7">
      <c r="G1526" s="25"/>
    </row>
    <row r="1527" spans="7:7">
      <c r="G1527" s="25"/>
    </row>
    <row r="1528" spans="7:7">
      <c r="G1528" s="25"/>
    </row>
    <row r="1529" spans="7:7">
      <c r="G1529" s="25"/>
    </row>
    <row r="1530" spans="7:7">
      <c r="G1530" s="25"/>
    </row>
    <row r="1531" spans="7:7">
      <c r="G1531" s="25"/>
    </row>
    <row r="1532" spans="7:7">
      <c r="G1532" s="25"/>
    </row>
    <row r="1533" spans="7:7">
      <c r="G1533" s="25"/>
    </row>
    <row r="1534" spans="7:7">
      <c r="G1534" s="25"/>
    </row>
    <row r="1535" spans="7:7">
      <c r="G1535" s="25"/>
    </row>
    <row r="1536" spans="7:7">
      <c r="G1536" s="25"/>
    </row>
    <row r="1537" spans="7:7">
      <c r="G1537" s="25"/>
    </row>
    <row r="1538" spans="7:7">
      <c r="G1538" s="25"/>
    </row>
    <row r="1539" spans="7:7">
      <c r="G1539" s="25"/>
    </row>
    <row r="1540" spans="7:7">
      <c r="G1540" s="25"/>
    </row>
    <row r="1541" spans="7:7">
      <c r="G1541" s="25"/>
    </row>
    <row r="1542" spans="7:7">
      <c r="G1542" s="25"/>
    </row>
    <row r="1543" spans="7:7">
      <c r="G1543" s="25"/>
    </row>
    <row r="1544" spans="7:7">
      <c r="G1544" s="25"/>
    </row>
    <row r="1545" spans="7:7">
      <c r="G1545" s="25"/>
    </row>
    <row r="1546" spans="7:7">
      <c r="G1546" s="25"/>
    </row>
    <row r="1547" spans="7:7">
      <c r="G1547" s="25"/>
    </row>
    <row r="1548" spans="7:7">
      <c r="G1548" s="25"/>
    </row>
    <row r="1549" spans="7:7">
      <c r="G1549" s="25"/>
    </row>
    <row r="1550" spans="7:7">
      <c r="G1550" s="25"/>
    </row>
    <row r="1551" spans="7:7">
      <c r="G1551" s="25"/>
    </row>
    <row r="1552" spans="7:7">
      <c r="G1552" s="25"/>
    </row>
    <row r="1553" spans="7:7">
      <c r="G1553" s="25"/>
    </row>
    <row r="1554" spans="7:7">
      <c r="G1554" s="25"/>
    </row>
    <row r="1555" spans="7:7">
      <c r="G1555" s="25"/>
    </row>
    <row r="1556" spans="7:7">
      <c r="G1556" s="25"/>
    </row>
    <row r="1557" spans="7:7">
      <c r="G1557" s="25"/>
    </row>
    <row r="1558" spans="7:7">
      <c r="G1558" s="25"/>
    </row>
    <row r="1559" spans="7:7">
      <c r="G1559" s="25"/>
    </row>
    <row r="1560" spans="7:7">
      <c r="G1560" s="25"/>
    </row>
  </sheetData>
  <sortState xmlns:xlrd2="http://schemas.microsoft.com/office/spreadsheetml/2017/richdata2" ref="I214:I252">
    <sortCondition ref="I214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activeCell="D15" sqref="D15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11</v>
      </c>
      <c r="C2" s="4"/>
      <c r="D2" s="4"/>
      <c r="E2" s="4"/>
      <c r="F2" s="4"/>
      <c r="G2" s="3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12</v>
      </c>
      <c r="C3" s="8"/>
      <c r="D3" s="8"/>
      <c r="E3" s="8"/>
      <c r="F3" s="9"/>
      <c r="G3" s="10" t="s">
        <v>13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12</v>
      </c>
      <c r="C4" s="13"/>
      <c r="D4" s="13"/>
      <c r="E4" s="13"/>
      <c r="F4" s="14"/>
      <c r="G4" s="15" t="s">
        <v>14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12</v>
      </c>
      <c r="C5" s="13"/>
      <c r="D5" s="13"/>
      <c r="E5" s="13"/>
      <c r="F5" s="14"/>
      <c r="G5" s="17" t="s">
        <v>13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12</v>
      </c>
      <c r="C6" s="13"/>
      <c r="D6" s="13"/>
      <c r="E6" s="13"/>
      <c r="F6" s="14"/>
      <c r="G6" s="15" t="s">
        <v>14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12</v>
      </c>
      <c r="C7" s="13"/>
      <c r="D7" s="13"/>
      <c r="E7" s="13"/>
      <c r="F7" s="14"/>
      <c r="G7" s="17" t="s">
        <v>13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12</v>
      </c>
      <c r="C8" s="20"/>
      <c r="D8" s="20"/>
      <c r="E8" s="20"/>
      <c r="F8" s="21"/>
      <c r="G8" s="22" t="s">
        <v>14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Notes | Quant Analysis</vt:lpstr>
      <vt:lpstr>Product Lines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2026-01-14T23:33:52Z</dcterms:modified>
</cp:coreProperties>
</file>