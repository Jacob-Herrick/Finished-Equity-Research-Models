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Health Care\MedTech\"/>
    </mc:Choice>
  </mc:AlternateContent>
  <xr:revisionPtr revIDLastSave="0" documentId="13_ncr:1_{D60BF1E5-B743-41CA-AC1A-C0C79345AE0C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" l="1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DI80" i="2"/>
  <c r="DI86" i="2"/>
  <c r="DI84" i="2"/>
  <c r="DI79" i="2"/>
  <c r="DF78" i="2"/>
  <c r="DD78" i="2"/>
  <c r="DC78" i="2"/>
  <c r="DA78" i="2"/>
  <c r="DA79" i="2" s="1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BS48" i="2"/>
  <c r="BR46" i="2"/>
  <c r="BQ46" i="2"/>
  <c r="CY46" i="2" s="1"/>
  <c r="BP46" i="2"/>
  <c r="BO46" i="2"/>
  <c r="BN46" i="2"/>
  <c r="BM46" i="2"/>
  <c r="BL46" i="2"/>
  <c r="BK46" i="2"/>
  <c r="BJ46" i="2"/>
  <c r="BI46" i="2"/>
  <c r="CW46" i="2" s="1"/>
  <c r="BH46" i="2"/>
  <c r="BG46" i="2"/>
  <c r="BF46" i="2"/>
  <c r="BE46" i="2"/>
  <c r="BD46" i="2"/>
  <c r="BC46" i="2"/>
  <c r="CV46" i="2" s="1"/>
  <c r="BB46" i="2"/>
  <c r="BA46" i="2"/>
  <c r="CU46" i="2" s="1"/>
  <c r="AZ46" i="2"/>
  <c r="AY46" i="2"/>
  <c r="BS46" i="2"/>
  <c r="CY26" i="2"/>
  <c r="CX26" i="2"/>
  <c r="CW26" i="2"/>
  <c r="CV26" i="2"/>
  <c r="CU26" i="2"/>
  <c r="CT26" i="2"/>
  <c r="CS26" i="2"/>
  <c r="CR26" i="2"/>
  <c r="CQ26" i="2"/>
  <c r="CP26" i="2"/>
  <c r="CO26" i="2"/>
  <c r="CN26" i="2"/>
  <c r="CM26" i="2"/>
  <c r="CL26" i="2"/>
  <c r="CK26" i="2"/>
  <c r="CJ26" i="2"/>
  <c r="CY25" i="2"/>
  <c r="CX25" i="2"/>
  <c r="CW25" i="2"/>
  <c r="CV25" i="2"/>
  <c r="CU25" i="2"/>
  <c r="CT25" i="2"/>
  <c r="CS25" i="2"/>
  <c r="CR25" i="2"/>
  <c r="CQ25" i="2"/>
  <c r="CP25" i="2"/>
  <c r="CO25" i="2"/>
  <c r="CN25" i="2"/>
  <c r="CM25" i="2"/>
  <c r="CL25" i="2"/>
  <c r="CK25" i="2"/>
  <c r="CJ25" i="2"/>
  <c r="CY24" i="2"/>
  <c r="CX24" i="2"/>
  <c r="CW24" i="2"/>
  <c r="CV24" i="2"/>
  <c r="CU24" i="2"/>
  <c r="CT24" i="2"/>
  <c r="CS24" i="2"/>
  <c r="CR24" i="2"/>
  <c r="CQ24" i="2"/>
  <c r="CP24" i="2"/>
  <c r="CO24" i="2"/>
  <c r="CN24" i="2"/>
  <c r="CM24" i="2"/>
  <c r="CL24" i="2"/>
  <c r="CK24" i="2"/>
  <c r="CJ24" i="2"/>
  <c r="CY23" i="2"/>
  <c r="CX23" i="2"/>
  <c r="CW23" i="2"/>
  <c r="CV23" i="2"/>
  <c r="CU23" i="2"/>
  <c r="CT23" i="2"/>
  <c r="CS23" i="2"/>
  <c r="CR23" i="2"/>
  <c r="CQ23" i="2"/>
  <c r="CP23" i="2"/>
  <c r="CO23" i="2"/>
  <c r="CN23" i="2"/>
  <c r="CM23" i="2"/>
  <c r="CL23" i="2"/>
  <c r="CK23" i="2"/>
  <c r="CJ23" i="2"/>
  <c r="CY22" i="2"/>
  <c r="CX22" i="2"/>
  <c r="CW22" i="2"/>
  <c r="CV22" i="2"/>
  <c r="CU22" i="2"/>
  <c r="CT22" i="2"/>
  <c r="CS22" i="2"/>
  <c r="CR22" i="2"/>
  <c r="CQ22" i="2"/>
  <c r="CP22" i="2"/>
  <c r="CO22" i="2"/>
  <c r="CN22" i="2"/>
  <c r="CM22" i="2"/>
  <c r="CL22" i="2"/>
  <c r="CK22" i="2"/>
  <c r="CJ22" i="2"/>
  <c r="CY21" i="2"/>
  <c r="CX21" i="2"/>
  <c r="CW21" i="2"/>
  <c r="CV21" i="2"/>
  <c r="CU21" i="2"/>
  <c r="CT21" i="2"/>
  <c r="CS21" i="2"/>
  <c r="CR21" i="2"/>
  <c r="CQ21" i="2"/>
  <c r="CP21" i="2"/>
  <c r="CO21" i="2"/>
  <c r="CN21" i="2"/>
  <c r="CM21" i="2"/>
  <c r="CL21" i="2"/>
  <c r="CK21" i="2"/>
  <c r="CJ21" i="2"/>
  <c r="CY20" i="2"/>
  <c r="CX20" i="2"/>
  <c r="CW20" i="2"/>
  <c r="CV20" i="2"/>
  <c r="CU20" i="2"/>
  <c r="CT20" i="2"/>
  <c r="CS20" i="2"/>
  <c r="CR20" i="2"/>
  <c r="CQ20" i="2"/>
  <c r="CP20" i="2"/>
  <c r="CO20" i="2"/>
  <c r="CN20" i="2"/>
  <c r="CM20" i="2"/>
  <c r="CL20" i="2"/>
  <c r="CK20" i="2"/>
  <c r="CJ20" i="2"/>
  <c r="CY19" i="2"/>
  <c r="CX19" i="2"/>
  <c r="CW19" i="2"/>
  <c r="CV19" i="2"/>
  <c r="CU19" i="2"/>
  <c r="CT19" i="2"/>
  <c r="CS19" i="2"/>
  <c r="CR19" i="2"/>
  <c r="CQ19" i="2"/>
  <c r="CP19" i="2"/>
  <c r="CO19" i="2"/>
  <c r="CN19" i="2"/>
  <c r="CM19" i="2"/>
  <c r="CL19" i="2"/>
  <c r="CK19" i="2"/>
  <c r="CJ19" i="2"/>
  <c r="CY18" i="2"/>
  <c r="CX18" i="2"/>
  <c r="CW18" i="2"/>
  <c r="CV18" i="2"/>
  <c r="CU18" i="2"/>
  <c r="CT18" i="2"/>
  <c r="CS18" i="2"/>
  <c r="CR18" i="2"/>
  <c r="CQ18" i="2"/>
  <c r="CP18" i="2"/>
  <c r="CO18" i="2"/>
  <c r="CN18" i="2"/>
  <c r="CM18" i="2"/>
  <c r="CL18" i="2"/>
  <c r="CK18" i="2"/>
  <c r="CJ18" i="2"/>
  <c r="CY17" i="2"/>
  <c r="CX17" i="2"/>
  <c r="CW17" i="2"/>
  <c r="CV17" i="2"/>
  <c r="CU17" i="2"/>
  <c r="CT17" i="2"/>
  <c r="CS17" i="2"/>
  <c r="CR17" i="2"/>
  <c r="CQ17" i="2"/>
  <c r="CP17" i="2"/>
  <c r="CO17" i="2"/>
  <c r="CN17" i="2"/>
  <c r="CM17" i="2"/>
  <c r="CL17" i="2"/>
  <c r="CK17" i="2"/>
  <c r="CJ17" i="2"/>
  <c r="DI26" i="2"/>
  <c r="DH26" i="2"/>
  <c r="DG26" i="2"/>
  <c r="DF26" i="2"/>
  <c r="DE26" i="2"/>
  <c r="DD26" i="2"/>
  <c r="DC26" i="2"/>
  <c r="DB26" i="2"/>
  <c r="DA26" i="2"/>
  <c r="CZ26" i="2"/>
  <c r="CI74" i="2"/>
  <c r="CJ74" i="2"/>
  <c r="CK74" i="2"/>
  <c r="CL74" i="2"/>
  <c r="CM74" i="2"/>
  <c r="CN74" i="2"/>
  <c r="CO74" i="2"/>
  <c r="CP74" i="2"/>
  <c r="CQ74" i="2"/>
  <c r="CR74" i="2"/>
  <c r="CS74" i="2"/>
  <c r="CT74" i="2"/>
  <c r="CU74" i="2"/>
  <c r="CV74" i="2"/>
  <c r="CW74" i="2"/>
  <c r="CX74" i="2"/>
  <c r="CY74" i="2"/>
  <c r="CX46" i="2"/>
  <c r="CT46" i="2"/>
  <c r="CS46" i="2"/>
  <c r="CR46" i="2"/>
  <c r="CQ46" i="2"/>
  <c r="CP46" i="2"/>
  <c r="CO46" i="2"/>
  <c r="CN46" i="2"/>
  <c r="CM46" i="2"/>
  <c r="CL46" i="2"/>
  <c r="CK46" i="2"/>
  <c r="CJ46" i="2"/>
  <c r="CI46" i="2"/>
  <c r="CY34" i="2"/>
  <c r="CX34" i="2"/>
  <c r="CW34" i="2"/>
  <c r="CV34" i="2"/>
  <c r="CU34" i="2"/>
  <c r="CT34" i="2"/>
  <c r="CS34" i="2"/>
  <c r="CR34" i="2"/>
  <c r="CQ34" i="2"/>
  <c r="CP34" i="2"/>
  <c r="CO34" i="2"/>
  <c r="CN34" i="2"/>
  <c r="CM34" i="2"/>
  <c r="CL34" i="2"/>
  <c r="CK34" i="2"/>
  <c r="CJ34" i="2"/>
  <c r="CI34" i="2"/>
  <c r="CY33" i="2"/>
  <c r="CX33" i="2"/>
  <c r="CW33" i="2"/>
  <c r="CV33" i="2"/>
  <c r="CU33" i="2"/>
  <c r="CT33" i="2"/>
  <c r="CS33" i="2"/>
  <c r="CR33" i="2"/>
  <c r="CQ33" i="2"/>
  <c r="CP33" i="2"/>
  <c r="CO33" i="2"/>
  <c r="CN33" i="2"/>
  <c r="CM33" i="2"/>
  <c r="CL33" i="2"/>
  <c r="CK33" i="2"/>
  <c r="CJ33" i="2"/>
  <c r="CI33" i="2"/>
  <c r="CY32" i="2"/>
  <c r="CX32" i="2"/>
  <c r="CW32" i="2"/>
  <c r="CV32" i="2"/>
  <c r="CU32" i="2"/>
  <c r="CT32" i="2"/>
  <c r="CS32" i="2"/>
  <c r="CR32" i="2"/>
  <c r="CQ32" i="2"/>
  <c r="CP32" i="2"/>
  <c r="CO32" i="2"/>
  <c r="CN32" i="2"/>
  <c r="CM32" i="2"/>
  <c r="CL32" i="2"/>
  <c r="CK32" i="2"/>
  <c r="CJ32" i="2"/>
  <c r="CI32" i="2"/>
  <c r="CY31" i="2"/>
  <c r="CX31" i="2"/>
  <c r="CW31" i="2"/>
  <c r="CV31" i="2"/>
  <c r="CU31" i="2"/>
  <c r="CT31" i="2"/>
  <c r="CS31" i="2"/>
  <c r="CR31" i="2"/>
  <c r="CQ31" i="2"/>
  <c r="CP31" i="2"/>
  <c r="CO31" i="2"/>
  <c r="CN31" i="2"/>
  <c r="CM31" i="2"/>
  <c r="CL31" i="2"/>
  <c r="CK31" i="2"/>
  <c r="CJ31" i="2"/>
  <c r="CI31" i="2"/>
  <c r="CY14" i="2"/>
  <c r="CX14" i="2"/>
  <c r="CW14" i="2"/>
  <c r="CV14" i="2"/>
  <c r="CU14" i="2"/>
  <c r="CT14" i="2"/>
  <c r="CS14" i="2"/>
  <c r="CR14" i="2"/>
  <c r="CQ14" i="2"/>
  <c r="CP14" i="2"/>
  <c r="CO14" i="2"/>
  <c r="CN14" i="2"/>
  <c r="CM14" i="2"/>
  <c r="CL14" i="2"/>
  <c r="CK14" i="2"/>
  <c r="CJ14" i="2"/>
  <c r="CI14" i="2"/>
  <c r="CY13" i="2"/>
  <c r="CZ13" i="2" s="1"/>
  <c r="DA13" i="2" s="1"/>
  <c r="DB13" i="2" s="1"/>
  <c r="DC13" i="2" s="1"/>
  <c r="DD13" i="2" s="1"/>
  <c r="DE13" i="2" s="1"/>
  <c r="DF13" i="2" s="1"/>
  <c r="DG13" i="2" s="1"/>
  <c r="DH13" i="2" s="1"/>
  <c r="DI13" i="2" s="1"/>
  <c r="CX13" i="2"/>
  <c r="CW13" i="2"/>
  <c r="CV13" i="2"/>
  <c r="CU13" i="2"/>
  <c r="CT13" i="2"/>
  <c r="CS13" i="2"/>
  <c r="CR13" i="2"/>
  <c r="CQ13" i="2"/>
  <c r="CP13" i="2"/>
  <c r="CO13" i="2"/>
  <c r="CN13" i="2"/>
  <c r="CM13" i="2"/>
  <c r="CL13" i="2"/>
  <c r="CK13" i="2"/>
  <c r="CJ13" i="2"/>
  <c r="CI13" i="2"/>
  <c r="CY12" i="2"/>
  <c r="CZ12" i="2" s="1"/>
  <c r="DA12" i="2" s="1"/>
  <c r="DB12" i="2" s="1"/>
  <c r="DC12" i="2" s="1"/>
  <c r="DD12" i="2" s="1"/>
  <c r="DE12" i="2" s="1"/>
  <c r="DF12" i="2" s="1"/>
  <c r="DG12" i="2" s="1"/>
  <c r="DH12" i="2" s="1"/>
  <c r="DI12" i="2" s="1"/>
  <c r="CX12" i="2"/>
  <c r="CW12" i="2"/>
  <c r="CV12" i="2"/>
  <c r="CU12" i="2"/>
  <c r="CT12" i="2"/>
  <c r="CS12" i="2"/>
  <c r="CR12" i="2"/>
  <c r="CQ12" i="2"/>
  <c r="CP12" i="2"/>
  <c r="CO12" i="2"/>
  <c r="CN12" i="2"/>
  <c r="CM12" i="2"/>
  <c r="CL12" i="2"/>
  <c r="CK12" i="2"/>
  <c r="CJ12" i="2"/>
  <c r="CI12" i="2"/>
  <c r="CY11" i="2"/>
  <c r="CZ11" i="2" s="1"/>
  <c r="DA11" i="2" s="1"/>
  <c r="DB11" i="2" s="1"/>
  <c r="DC11" i="2" s="1"/>
  <c r="DD11" i="2" s="1"/>
  <c r="DE11" i="2" s="1"/>
  <c r="DF11" i="2" s="1"/>
  <c r="DG11" i="2" s="1"/>
  <c r="DH11" i="2" s="1"/>
  <c r="DI11" i="2" s="1"/>
  <c r="CX11" i="2"/>
  <c r="CW11" i="2"/>
  <c r="CV11" i="2"/>
  <c r="CU11" i="2"/>
  <c r="CT11" i="2"/>
  <c r="CS11" i="2"/>
  <c r="CR11" i="2"/>
  <c r="CQ11" i="2"/>
  <c r="CP11" i="2"/>
  <c r="CO11" i="2"/>
  <c r="CN11" i="2"/>
  <c r="CM11" i="2"/>
  <c r="CL11" i="2"/>
  <c r="CK11" i="2"/>
  <c r="CJ11" i="2"/>
  <c r="CI11" i="2"/>
  <c r="CY10" i="2"/>
  <c r="CZ10" i="2" s="1"/>
  <c r="DA10" i="2" s="1"/>
  <c r="DB10" i="2" s="1"/>
  <c r="DC10" i="2" s="1"/>
  <c r="DD10" i="2" s="1"/>
  <c r="DE10" i="2" s="1"/>
  <c r="DF10" i="2" s="1"/>
  <c r="DG10" i="2" s="1"/>
  <c r="DH10" i="2" s="1"/>
  <c r="DI10" i="2" s="1"/>
  <c r="CX10" i="2"/>
  <c r="CW10" i="2"/>
  <c r="CV10" i="2"/>
  <c r="CU10" i="2"/>
  <c r="CT10" i="2"/>
  <c r="CS10" i="2"/>
  <c r="CR10" i="2"/>
  <c r="CQ10" i="2"/>
  <c r="CP10" i="2"/>
  <c r="CO10" i="2"/>
  <c r="CN10" i="2"/>
  <c r="CM10" i="2"/>
  <c r="CL10" i="2"/>
  <c r="CK10" i="2"/>
  <c r="CJ10" i="2"/>
  <c r="CI10" i="2"/>
  <c r="CY9" i="2"/>
  <c r="CZ9" i="2" s="1"/>
  <c r="DA9" i="2" s="1"/>
  <c r="DB9" i="2" s="1"/>
  <c r="DC9" i="2" s="1"/>
  <c r="DD9" i="2" s="1"/>
  <c r="DE9" i="2" s="1"/>
  <c r="DF9" i="2" s="1"/>
  <c r="DG9" i="2" s="1"/>
  <c r="DH9" i="2" s="1"/>
  <c r="DI9" i="2" s="1"/>
  <c r="CX9" i="2"/>
  <c r="CW9" i="2"/>
  <c r="CV9" i="2"/>
  <c r="CU9" i="2"/>
  <c r="CT9" i="2"/>
  <c r="CS9" i="2"/>
  <c r="CR9" i="2"/>
  <c r="CQ9" i="2"/>
  <c r="CP9" i="2"/>
  <c r="CO9" i="2"/>
  <c r="CN9" i="2"/>
  <c r="CM9" i="2"/>
  <c r="CL9" i="2"/>
  <c r="CK9" i="2"/>
  <c r="CJ9" i="2"/>
  <c r="CI9" i="2"/>
  <c r="CY8" i="2"/>
  <c r="CZ8" i="2" s="1"/>
  <c r="DA8" i="2" s="1"/>
  <c r="DB8" i="2" s="1"/>
  <c r="DC8" i="2" s="1"/>
  <c r="DD8" i="2" s="1"/>
  <c r="DE8" i="2" s="1"/>
  <c r="DF8" i="2" s="1"/>
  <c r="DG8" i="2" s="1"/>
  <c r="DH8" i="2" s="1"/>
  <c r="DI8" i="2" s="1"/>
  <c r="CX8" i="2"/>
  <c r="CW8" i="2"/>
  <c r="CV8" i="2"/>
  <c r="CU8" i="2"/>
  <c r="CT8" i="2"/>
  <c r="CS8" i="2"/>
  <c r="CR8" i="2"/>
  <c r="CQ8" i="2"/>
  <c r="CP8" i="2"/>
  <c r="CO8" i="2"/>
  <c r="CN8" i="2"/>
  <c r="CM8" i="2"/>
  <c r="CL8" i="2"/>
  <c r="CK8" i="2"/>
  <c r="CJ8" i="2"/>
  <c r="CI8" i="2"/>
  <c r="CY7" i="2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CX7" i="2"/>
  <c r="CW7" i="2"/>
  <c r="CV7" i="2"/>
  <c r="CU7" i="2"/>
  <c r="CT7" i="2"/>
  <c r="CS7" i="2"/>
  <c r="CR7" i="2"/>
  <c r="CQ7" i="2"/>
  <c r="CP7" i="2"/>
  <c r="CO7" i="2"/>
  <c r="CN7" i="2"/>
  <c r="CM7" i="2"/>
  <c r="CL7" i="2"/>
  <c r="CK7" i="2"/>
  <c r="CJ7" i="2"/>
  <c r="CI7" i="2"/>
  <c r="CY6" i="2"/>
  <c r="CX6" i="2"/>
  <c r="CW6" i="2"/>
  <c r="CV6" i="2"/>
  <c r="CU6" i="2"/>
  <c r="CT6" i="2"/>
  <c r="CS6" i="2"/>
  <c r="CR6" i="2"/>
  <c r="CQ6" i="2"/>
  <c r="CP6" i="2"/>
  <c r="CO6" i="2"/>
  <c r="CN6" i="2"/>
  <c r="CM6" i="2"/>
  <c r="CL6" i="2"/>
  <c r="CK6" i="2"/>
  <c r="CJ6" i="2"/>
  <c r="CI6" i="2"/>
  <c r="CY5" i="2"/>
  <c r="CZ5" i="2" s="1"/>
  <c r="DA5" i="2" s="1"/>
  <c r="DB5" i="2" s="1"/>
  <c r="DC5" i="2" s="1"/>
  <c r="DD5" i="2" s="1"/>
  <c r="DE5" i="2" s="1"/>
  <c r="DF5" i="2" s="1"/>
  <c r="DG5" i="2" s="1"/>
  <c r="DH5" i="2" s="1"/>
  <c r="DI5" i="2" s="1"/>
  <c r="CX5" i="2"/>
  <c r="CW5" i="2"/>
  <c r="CV5" i="2"/>
  <c r="CU5" i="2"/>
  <c r="CT5" i="2"/>
  <c r="CS5" i="2"/>
  <c r="CR5" i="2"/>
  <c r="CQ5" i="2"/>
  <c r="CP5" i="2"/>
  <c r="CO5" i="2"/>
  <c r="CN5" i="2"/>
  <c r="CM5" i="2"/>
  <c r="CL5" i="2"/>
  <c r="CK5" i="2"/>
  <c r="CJ5" i="2"/>
  <c r="CI5" i="2"/>
  <c r="CV4" i="2"/>
  <c r="CX4" i="2"/>
  <c r="CY4" i="2"/>
  <c r="CZ4" i="2" s="1"/>
  <c r="DA4" i="2" s="1"/>
  <c r="DB4" i="2" s="1"/>
  <c r="DC4" i="2" s="1"/>
  <c r="DD4" i="2" s="1"/>
  <c r="DE4" i="2" s="1"/>
  <c r="DF4" i="2" s="1"/>
  <c r="DG4" i="2" s="1"/>
  <c r="DH4" i="2" s="1"/>
  <c r="DI4" i="2" s="1"/>
  <c r="CW4" i="2"/>
  <c r="CU4" i="2"/>
  <c r="CU16" i="2" s="1"/>
  <c r="CT4" i="2"/>
  <c r="CS4" i="2"/>
  <c r="CR4" i="2"/>
  <c r="CQ4" i="2"/>
  <c r="CP4" i="2"/>
  <c r="CO4" i="2"/>
  <c r="CN4" i="2"/>
  <c r="CM4" i="2"/>
  <c r="CM16" i="2" s="1"/>
  <c r="CL4" i="2"/>
  <c r="CK4" i="2"/>
  <c r="CJ4" i="2"/>
  <c r="CK16" i="2" s="1"/>
  <c r="CI4" i="2"/>
  <c r="CJ3" i="2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EY3" i="2" s="1"/>
  <c r="EZ3" i="2" s="1"/>
  <c r="FA3" i="2" s="1"/>
  <c r="FB3" i="2" s="1"/>
  <c r="FC3" i="2" s="1"/>
  <c r="FD3" i="2" s="1"/>
  <c r="FE3" i="2" s="1"/>
  <c r="FF3" i="2" s="1"/>
  <c r="FG3" i="2" s="1"/>
  <c r="G187" i="3"/>
  <c r="K204" i="3" s="1"/>
  <c r="C7" i="1"/>
  <c r="C10" i="1" s="1"/>
  <c r="K200" i="3" l="1"/>
  <c r="K201" i="3"/>
  <c r="K202" i="3"/>
  <c r="K203" i="3"/>
  <c r="K205" i="3"/>
  <c r="DI81" i="2"/>
  <c r="DI83" i="2" s="1"/>
  <c r="DI85" i="2" s="1"/>
  <c r="DI87" i="2" s="1"/>
  <c r="DJ87" i="2" s="1"/>
  <c r="CN16" i="2"/>
  <c r="CQ16" i="2"/>
  <c r="CV16" i="2"/>
  <c r="CL16" i="2"/>
  <c r="CT16" i="2"/>
  <c r="CR16" i="2"/>
  <c r="CS16" i="2"/>
  <c r="CJ16" i="2"/>
  <c r="CW16" i="2"/>
  <c r="CO16" i="2"/>
  <c r="CP16" i="2"/>
  <c r="CX16" i="2"/>
  <c r="CZ6" i="2"/>
  <c r="DA6" i="2" s="1"/>
  <c r="DB6" i="2" s="1"/>
  <c r="DC6" i="2" s="1"/>
  <c r="DD6" i="2" s="1"/>
  <c r="DE6" i="2" s="1"/>
  <c r="DF6" i="2" s="1"/>
  <c r="DG6" i="2" s="1"/>
  <c r="DH6" i="2" s="1"/>
  <c r="DI6" i="2" s="1"/>
  <c r="DI14" i="2" s="1"/>
  <c r="CY16" i="2"/>
  <c r="CY28" i="2"/>
  <c r="M212" i="3" l="1"/>
  <c r="M220" i="3"/>
  <c r="M228" i="3"/>
  <c r="M236" i="3"/>
  <c r="M244" i="3"/>
  <c r="M211" i="3"/>
  <c r="M213" i="3"/>
  <c r="M221" i="3"/>
  <c r="M229" i="3"/>
  <c r="M237" i="3"/>
  <c r="M245" i="3"/>
  <c r="M214" i="3"/>
  <c r="M222" i="3"/>
  <c r="M230" i="3"/>
  <c r="M238" i="3"/>
  <c r="M246" i="3"/>
  <c r="M215" i="3"/>
  <c r="M223" i="3"/>
  <c r="M231" i="3"/>
  <c r="M239" i="3"/>
  <c r="M247" i="3"/>
  <c r="M216" i="3"/>
  <c r="M224" i="3"/>
  <c r="M232" i="3"/>
  <c r="M240" i="3"/>
  <c r="M248" i="3"/>
  <c r="M217" i="3"/>
  <c r="M225" i="3"/>
  <c r="M233" i="3"/>
  <c r="M241" i="3"/>
  <c r="M249" i="3"/>
  <c r="M218" i="3"/>
  <c r="M226" i="3"/>
  <c r="M234" i="3"/>
  <c r="M242" i="3"/>
  <c r="M250" i="3"/>
  <c r="M219" i="3"/>
  <c r="M227" i="3"/>
  <c r="M235" i="3"/>
  <c r="M243" i="3"/>
  <c r="M251" i="3"/>
  <c r="P222" i="3"/>
  <c r="DH88" i="2" a="1"/>
  <c r="DH88" i="2" s="1"/>
  <c r="DE14" i="2"/>
  <c r="DF14" i="2"/>
  <c r="DH14" i="2"/>
  <c r="CZ14" i="2"/>
  <c r="DB14" i="2"/>
  <c r="DG14" i="2"/>
  <c r="DC14" i="2"/>
  <c r="DA14" i="2"/>
  <c r="DD14" i="2"/>
  <c r="P212" i="3"/>
  <c r="P211" i="3"/>
  <c r="P214" i="3"/>
  <c r="P221" i="3"/>
  <c r="P213" i="3"/>
  <c r="P224" i="3"/>
  <c r="P220" i="3"/>
  <c r="P216" i="3"/>
  <c r="P219" i="3"/>
  <c r="P223" i="3"/>
  <c r="P218" i="3"/>
  <c r="P215" i="3"/>
  <c r="P21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<sst xmlns="http://schemas.openxmlformats.org/spreadsheetml/2006/main" count="1554" uniqueCount="1525">
  <si>
    <t>Master</t>
  </si>
  <si>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</si>
  <si>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</si>
  <si>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</si>
  <si>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</si>
  <si>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</si>
  <si>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</si>
  <si>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</si>
  <si>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</si>
  <si>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</si>
  <si>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</si>
  <si>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</si>
  <si>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</si>
  <si>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</si>
  <si>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</si>
  <si>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[Godel Snapshot]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</si>
  <si>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</si>
  <si>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</si>
  <si>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</si>
  <si>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</si>
  <si>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</si>
  <si>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</si>
  <si>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</si>
  <si>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</si>
  <si>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</si>
  <si>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</si>
  <si>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</si>
  <si>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</si>
  <si>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</si>
  <si>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</si>
  <si>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</si>
  <si>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</si>
  <si>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</si>
  <si>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</si>
  <si>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</si>
  <si>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</si>
  <si>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</si>
  <si>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</si>
  <si>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</si>
  <si>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</si>
  <si>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</si>
  <si>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</si>
  <si>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</si>
  <si>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</si>
  <si>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</si>
  <si>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Q2 2008</t>
  </si>
  <si>
    <t>Q3 2008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</si>
  <si>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</si>
  <si>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</si>
  <si>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</si>
  <si>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</si>
  <si>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</si>
  <si>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</si>
  <si>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</si>
  <si>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</si>
  <si>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</si>
  <si>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</si>
  <si>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</si>
  <si>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</si>
  <si>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</si>
  <si>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</si>
  <si>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</si>
  <si>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</si>
  <si>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</si>
  <si>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</si>
  <si>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</si>
  <si>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</si>
  <si>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</si>
  <si>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</si>
  <si>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</si>
  <si>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</si>
  <si>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</si>
  <si>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</si>
  <si>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</si>
  <si>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</si>
  <si>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</si>
  <si>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</si>
  <si>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</si>
  <si>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</si>
  <si>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</si>
  <si>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</si>
  <si>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</si>
  <si>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</si>
  <si>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</si>
  <si>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</si>
  <si>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</si>
  <si>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</si>
  <si>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</si>
  <si>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</si>
  <si>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</si>
  <si>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</si>
  <si>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</si>
  <si>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</si>
  <si>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</si>
  <si>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</si>
  <si>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</si>
  <si>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</si>
  <si>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</si>
  <si>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</si>
  <si>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</si>
  <si>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</si>
  <si>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</si>
  <si>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</si>
  <si>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</si>
  <si>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</si>
  <si>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</si>
  <si>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</si>
  <si>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</si>
  <si>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</si>
  <si>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</si>
  <si>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</si>
  <si>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</si>
  <si>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</si>
  <si>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</si>
  <si>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</si>
  <si>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</si>
  <si>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</si>
  <si>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</si>
  <si>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</si>
  <si>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</si>
  <si>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</si>
  <si>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</si>
  <si>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</si>
  <si>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Q1 2008</t>
  </si>
  <si>
    <t>Q4 2008</t>
  </si>
  <si>
    <t>Product D</t>
  </si>
  <si>
    <t>Product A</t>
  </si>
  <si>
    <t>Product B</t>
  </si>
  <si>
    <t>Product C</t>
  </si>
  <si>
    <t>Product E</t>
  </si>
  <si>
    <t>Product F</t>
  </si>
  <si>
    <t>Product G</t>
  </si>
  <si>
    <t>Product H</t>
  </si>
  <si>
    <t>Product I</t>
  </si>
  <si>
    <t>Product J</t>
  </si>
  <si>
    <t>[Segment A] % of Ttl Revenues</t>
  </si>
  <si>
    <t>[Segment B] % of Ttl Revenues</t>
  </si>
  <si>
    <t>Product A Growth Y/y</t>
  </si>
  <si>
    <t>Product B Growth Y/y</t>
  </si>
  <si>
    <t>Product C Growth Y/y</t>
  </si>
  <si>
    <t>Product D Growth Y/y</t>
  </si>
  <si>
    <t>Product E Growth Y/y</t>
  </si>
  <si>
    <t>Product F Growth Y/y</t>
  </si>
  <si>
    <t>Product J Growth Y/y</t>
  </si>
  <si>
    <t>Product H Growth Y/y</t>
  </si>
  <si>
    <t>Product G Growth Y/y</t>
  </si>
  <si>
    <t>Product I Growth Y/y</t>
  </si>
  <si>
    <t>U.S. Revenues</t>
  </si>
  <si>
    <t>[Region C] Revenues</t>
  </si>
  <si>
    <t>[Region B] Revenues</t>
  </si>
  <si>
    <t>[Region A] Revenues</t>
  </si>
  <si>
    <t>U.S. % of Revenues</t>
  </si>
  <si>
    <t>[Region A] Revenues % of Revenues</t>
  </si>
  <si>
    <t>[Region B] Revenues % of Revenues</t>
  </si>
  <si>
    <t>[Region C] Revenues % of Revenues</t>
  </si>
  <si>
    <t>[Region A] Revenue Growth Y/y</t>
  </si>
  <si>
    <t>[Region B] Revenue Growth Y/y</t>
  </si>
  <si>
    <t>U.S. Revenue Growth Y/y</t>
  </si>
  <si>
    <t>[Region C]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</si>
  <si>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</si>
  <si>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</si>
  <si>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</si>
  <si>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</si>
  <si>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</si>
  <si>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</si>
  <si>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</si>
  <si>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</si>
  <si>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</si>
  <si>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</si>
  <si>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Marketable Securities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</si>
  <si>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</si>
  <si>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</si>
  <si>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</si>
  <si>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</si>
  <si>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</si>
  <si>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</si>
  <si>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</si>
  <si>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</si>
  <si>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</si>
  <si>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</si>
  <si>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</si>
  <si>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</si>
  <si>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</si>
  <si>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Revenues:</t>
  </si>
  <si>
    <t>[Godel Snapshot of projected sales]</t>
  </si>
  <si>
    <t>Earnings Scope:</t>
  </si>
  <si>
    <t>[Godel Snapshot of projected earnings/EPS]</t>
  </si>
  <si>
    <t>Balance Sheet Scope:</t>
  </si>
  <si>
    <t>[Godel Snapshot of projected balances (assets, liabilities, equity)]</t>
  </si>
  <si>
    <t>[Equity Preformance Compared to Peers]</t>
  </si>
  <si>
    <t>Use Godel CMS command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</si>
  <si>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</si>
  <si>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</si>
  <si>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</si>
  <si>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</si>
  <si>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</si>
  <si>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</si>
  <si>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</si>
  <si>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</si>
  <si>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</si>
  <si>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EPS Growth</t>
  </si>
  <si>
    <t>&lt;- Sharpe Ratio (Risk Adjusted Return)</t>
  </si>
  <si>
    <t>Earnings Calls</t>
  </si>
  <si>
    <t>Equity Analysis</t>
  </si>
  <si>
    <t>https://app.godelterminal.com/</t>
  </si>
  <si>
    <t>Investors Relation Department</t>
  </si>
  <si>
    <t>Business Segments and Geographical Info:</t>
  </si>
  <si>
    <t>Employee Scope:</t>
  </si>
  <si>
    <t>Resources:</t>
  </si>
  <si>
    <t>Capital Structure Snapshot:</t>
  </si>
  <si>
    <t>Y/y Total Revenues, Net Income, FCF</t>
  </si>
  <si>
    <t>Q/q Total Revenues, Net Income, FCF</t>
  </si>
  <si>
    <t>Institutional Ownership Snapshot Q2'25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</si>
  <si>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</si>
  <si>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</si>
  <si>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</si>
  <si>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</si>
  <si>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</si>
  <si>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</si>
  <si>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</si>
  <si>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</si>
  <si>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</si>
  <si>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</si>
  <si>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</si>
  <si>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</si>
  <si>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</si>
  <si>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</si>
  <si>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</si>
  <si>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</si>
  <si>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</si>
  <si>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</si>
  <si>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</si>
  <si>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Change Δ</t>
  </si>
  <si>
    <t>Fri, 19 Sep 2025 00:00:00 GMT</t>
  </si>
  <si>
    <t>Thu, 18 Sep 2025 00:00:00 GMT</t>
  </si>
  <si>
    <t>Wed, 17 Sep 2025 00:00:00 GMT</t>
  </si>
  <si>
    <t>Tue, 16 Sep 2025 00:00:00 GMT</t>
  </si>
  <si>
    <t>Mon, 15 Sep 2025 00:00:00 GMT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</si>
  <si>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</si>
  <si>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</si>
  <si>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</si>
  <si>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</si>
  <si>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</si>
  <si>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</si>
  <si>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</si>
  <si>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</si>
  <si>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</si>
  <si>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</si>
  <si>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</si>
  <si>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</si>
  <si>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</si>
  <si>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</si>
  <si>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</si>
  <si>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</si>
  <si>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</si>
  <si>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</si>
  <si>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</si>
  <si>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</si>
  <si>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</si>
  <si>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</si>
  <si>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</si>
  <si>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</si>
  <si>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</si>
  <si>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</si>
  <si>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</si>
  <si>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</si>
  <si>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</si>
  <si>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</si>
  <si>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</si>
  <si>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</si>
  <si>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</si>
  <si>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</si>
  <si>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</si>
  <si>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</si>
  <si>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</si>
  <si>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</si>
  <si>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</si>
  <si>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</si>
  <si>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</si>
  <si>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</si>
  <si>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</si>
  <si>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</si>
  <si>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</si>
  <si>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</si>
  <si>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</si>
  <si>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</si>
  <si>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</si>
  <si>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</si>
  <si>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</si>
  <si>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</si>
  <si>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</si>
  <si>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</si>
  <si>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</si>
  <si>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</si>
  <si>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</si>
  <si>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</si>
  <si>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</si>
  <si>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</si>
  <si>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</si>
  <si>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</si>
  <si>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</si>
  <si>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</si>
  <si>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</si>
  <si>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</si>
  <si>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</si>
  <si>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</si>
  <si>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</si>
  <si>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</si>
  <si>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</si>
  <si>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</si>
  <si>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</si>
  <si>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</si>
  <si>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</si>
  <si>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</si>
  <si>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</si>
  <si>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</si>
  <si>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</si>
  <si>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</si>
  <si>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</si>
  <si>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</si>
  <si>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</si>
  <si>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</si>
  <si>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</si>
  <si>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</si>
  <si>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</si>
  <si>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</si>
  <si>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</si>
  <si>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</si>
  <si>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</si>
  <si>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</si>
  <si>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</si>
  <si>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</si>
  <si>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</si>
  <si>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</si>
  <si>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</si>
  <si>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</si>
  <si>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</si>
  <si>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</si>
  <si>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</si>
  <si>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</si>
  <si>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</si>
  <si>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</si>
  <si>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</si>
  <si>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</si>
  <si>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</si>
  <si>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</si>
  <si>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</si>
  <si>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</si>
  <si>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</si>
  <si>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</si>
  <si>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</si>
  <si>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</si>
  <si>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</si>
  <si>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</si>
  <si>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</si>
  <si>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</si>
  <si>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</si>
  <si>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</si>
  <si>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</si>
  <si>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</si>
  <si>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</si>
  <si>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</si>
  <si>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</si>
  <si>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</si>
  <si>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</si>
  <si>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</si>
  <si>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</si>
  <si>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</si>
  <si>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</si>
  <si>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</si>
  <si>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</si>
  <si>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</si>
  <si>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</si>
  <si>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</si>
  <si>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</si>
  <si>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</si>
  <si>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</si>
  <si>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</si>
  <si>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</si>
  <si>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</si>
  <si>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</si>
  <si>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</si>
  <si>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</si>
  <si>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</si>
  <si>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</si>
  <si>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</si>
  <si>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</si>
  <si>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</si>
  <si>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</si>
  <si>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</si>
  <si>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</si>
  <si>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</si>
  <si>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</si>
  <si>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</si>
  <si>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</si>
  <si>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</si>
  <si>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</si>
  <si>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</si>
  <si>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</si>
  <si>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</si>
  <si>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</si>
  <si>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</si>
  <si>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</si>
  <si>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</si>
  <si>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</si>
  <si>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</si>
  <si>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</si>
  <si>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</si>
  <si>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</si>
  <si>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</si>
  <si>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</si>
  <si>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</si>
  <si>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</si>
  <si>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</si>
  <si>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</si>
  <si>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</si>
  <si>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</si>
  <si>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</si>
  <si>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</si>
  <si>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</si>
  <si>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</si>
  <si>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</si>
  <si>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</si>
  <si>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</si>
  <si>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</si>
  <si>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</si>
  <si>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</si>
  <si>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</si>
  <si>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</si>
  <si>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</si>
  <si>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</si>
  <si>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</si>
  <si>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</si>
  <si>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</si>
  <si>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</si>
  <si>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</si>
  <si>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</si>
  <si>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</si>
  <si>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</si>
  <si>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</si>
  <si>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</si>
  <si>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</si>
  <si>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</si>
  <si>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</si>
  <si>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</si>
  <si>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</si>
  <si>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</si>
  <si>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</si>
  <si>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</si>
  <si>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</si>
  <si>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</si>
  <si>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</si>
  <si>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</si>
  <si>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</si>
  <si>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</si>
  <si>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</si>
  <si>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</si>
  <si>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</si>
  <si>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</si>
  <si>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</si>
  <si>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</si>
  <si>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</si>
  <si>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</si>
  <si>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</si>
  <si>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</si>
  <si>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</si>
  <si>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</si>
  <si>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</si>
  <si>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</si>
  <si>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</si>
  <si>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</si>
  <si>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</si>
  <si>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</si>
  <si>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</si>
  <si>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</si>
  <si>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</si>
  <si>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</si>
  <si>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</si>
  <si>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</si>
  <si>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</si>
  <si>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</si>
  <si>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</si>
  <si>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</si>
  <si>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</si>
  <si>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</si>
  <si>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</si>
  <si>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</si>
  <si>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</si>
  <si>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</si>
  <si>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</si>
  <si>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</si>
  <si>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</si>
  <si>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</si>
  <si>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</si>
  <si>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</si>
  <si>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</si>
  <si>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</si>
  <si>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</si>
  <si>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</si>
  <si>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</si>
  <si>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</si>
  <si>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</si>
  <si>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</si>
  <si>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</si>
  <si>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</si>
  <si>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</si>
  <si>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</si>
  <si>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</si>
  <si>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</si>
  <si>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</si>
  <si>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</si>
  <si>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</si>
  <si>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</si>
  <si>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</si>
  <si>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</si>
  <si>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</si>
  <si>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</si>
  <si>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</si>
  <si>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</si>
  <si>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</si>
  <si>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</si>
  <si>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</si>
  <si>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</si>
  <si>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</si>
  <si>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</si>
  <si>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</si>
  <si>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</si>
  <si>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</si>
  <si>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</si>
  <si>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</si>
  <si>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</si>
  <si>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</si>
  <si>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</si>
  <si>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</si>
  <si>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</si>
  <si>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</si>
  <si>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</si>
  <si>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</si>
  <si>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</si>
  <si>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</si>
  <si>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</si>
  <si>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</si>
  <si>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</si>
  <si>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</si>
  <si>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</si>
  <si>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</si>
  <si>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</si>
  <si>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</si>
  <si>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</si>
  <si>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</si>
  <si>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</si>
  <si>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</si>
  <si>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</si>
  <si>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</si>
  <si>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</si>
  <si>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</si>
  <si>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</si>
  <si>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</si>
  <si>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</si>
  <si>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</si>
  <si>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</si>
  <si>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</si>
  <si>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</si>
  <si>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</si>
  <si>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</si>
  <si>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</si>
  <si>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</si>
  <si>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</si>
  <si>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</si>
  <si>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</si>
  <si>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</si>
  <si>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</si>
  <si>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</si>
  <si>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</si>
  <si>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</si>
  <si>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</si>
  <si>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</si>
  <si>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</si>
  <si>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</si>
  <si>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</si>
  <si>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</si>
  <si>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</si>
  <si>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</si>
  <si>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</si>
  <si>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</si>
  <si>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</si>
  <si>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</si>
  <si>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</si>
  <si>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</si>
  <si>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</si>
  <si>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</si>
  <si>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</si>
  <si>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</si>
  <si>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</si>
  <si>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</si>
  <si>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</si>
  <si>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</si>
  <si>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</si>
  <si>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</si>
  <si>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</si>
  <si>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</si>
  <si>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</si>
  <si>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</si>
  <si>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</si>
  <si>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</si>
  <si>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</si>
  <si>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</si>
  <si>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</si>
  <si>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</si>
  <si>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</si>
  <si>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</si>
  <si>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</si>
  <si>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</si>
  <si>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</si>
  <si>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</si>
  <si>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</si>
  <si>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</si>
  <si>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</si>
  <si>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</si>
  <si>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</si>
  <si>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</si>
  <si>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</si>
  <si>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</si>
  <si>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</si>
  <si>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</si>
  <si>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</si>
  <si>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</si>
  <si>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</si>
  <si>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</si>
  <si>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</si>
  <si>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</si>
  <si>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</si>
  <si>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</si>
  <si>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</si>
  <si>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</si>
  <si>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</si>
  <si>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</si>
  <si>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</si>
  <si>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</si>
  <si>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</si>
  <si>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</si>
  <si>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</si>
  <si>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</si>
  <si>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</si>
  <si>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</si>
  <si>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</si>
  <si>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</si>
  <si>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</si>
  <si>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</si>
  <si>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</si>
  <si>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</si>
  <si>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</si>
  <si>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</si>
  <si>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</si>
  <si>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</si>
  <si>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</si>
  <si>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</si>
  <si>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</si>
  <si>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</si>
  <si>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</si>
  <si>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</si>
  <si>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</si>
  <si>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</si>
  <si>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</si>
  <si>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</si>
  <si>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</si>
  <si>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</si>
  <si>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</si>
  <si>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</si>
  <si>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</si>
  <si>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</si>
  <si>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</si>
  <si>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</si>
  <si>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</si>
  <si>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</si>
  <si>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</si>
  <si>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</si>
  <si>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</si>
  <si>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</si>
  <si>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</si>
  <si>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</si>
  <si>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</si>
  <si>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</si>
  <si>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</si>
  <si>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</si>
  <si>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</si>
  <si>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</si>
  <si>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</si>
  <si>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</si>
  <si>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</si>
  <si>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</si>
  <si>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</si>
  <si>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</si>
  <si>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</si>
  <si>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</si>
  <si>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</si>
  <si>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</si>
  <si>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</si>
  <si>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</si>
  <si>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</si>
  <si>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</si>
  <si>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</si>
  <si>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</si>
  <si>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</si>
  <si>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</si>
  <si>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</si>
  <si>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</si>
  <si>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</si>
  <si>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</si>
  <si>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</si>
  <si>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</si>
  <si>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</si>
  <si>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</si>
  <si>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</si>
  <si>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</si>
  <si>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</si>
  <si>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</si>
  <si>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</si>
  <si>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</si>
  <si>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</si>
  <si>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</si>
  <si>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</si>
  <si>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</si>
  <si>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</si>
  <si>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</si>
  <si>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</si>
  <si>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</si>
  <si>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</si>
  <si>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</si>
  <si>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</si>
  <si>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</si>
  <si>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</si>
  <si>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</si>
  <si>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</si>
  <si>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</si>
  <si>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</si>
  <si>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</si>
  <si>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</si>
  <si>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</si>
  <si>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</si>
  <si>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</si>
  <si>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</si>
  <si>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</si>
  <si>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</si>
  <si>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</si>
  <si>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</si>
  <si>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</si>
  <si>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</si>
  <si>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</si>
  <si>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</si>
  <si>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</si>
  <si>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</si>
  <si>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</si>
  <si>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</si>
  <si>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</si>
  <si>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</si>
  <si>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</si>
  <si>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</si>
  <si>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</si>
  <si>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</si>
  <si>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</si>
  <si>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</si>
  <si>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</si>
  <si>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</si>
  <si>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</si>
  <si>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</si>
  <si>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</si>
  <si>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</si>
  <si>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</si>
  <si>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</si>
  <si>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</si>
  <si>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</si>
  <si>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</si>
  <si>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</si>
  <si>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</si>
  <si>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</si>
  <si>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</si>
  <si>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</si>
  <si>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</si>
  <si>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</si>
  <si>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</si>
  <si>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</si>
  <si>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</si>
  <si>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</si>
  <si>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</si>
  <si>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</si>
  <si>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</si>
  <si>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</si>
  <si>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</si>
  <si>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</si>
  <si>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</si>
  <si>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</si>
  <si>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</si>
  <si>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</si>
  <si>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</si>
  <si>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</si>
  <si>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</si>
  <si>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</si>
  <si>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</si>
  <si>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</si>
  <si>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</si>
  <si>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</si>
  <si>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</si>
  <si>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</si>
  <si>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</si>
  <si>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</si>
  <si>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</si>
  <si>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</si>
  <si>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</si>
  <si>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</si>
  <si>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</si>
  <si>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</si>
  <si>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</si>
  <si>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</si>
  <si>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</si>
  <si>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</si>
  <si>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</si>
  <si>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</si>
  <si>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</si>
  <si>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</si>
  <si>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</si>
  <si>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</si>
  <si>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</si>
  <si>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</si>
  <si>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</si>
  <si>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</si>
  <si>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</si>
  <si>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</si>
  <si>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</si>
  <si>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</si>
  <si>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</si>
  <si>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</si>
  <si>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</si>
  <si>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</si>
  <si>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</si>
  <si>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</si>
  <si>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</si>
  <si>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</si>
  <si>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</si>
  <si>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</si>
  <si>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</si>
  <si>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</si>
  <si>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</si>
  <si>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</si>
  <si>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</si>
  <si>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</si>
  <si>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</si>
  <si>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</si>
  <si>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</si>
  <si>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</si>
  <si>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</si>
  <si>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</si>
  <si>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</si>
  <si>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</si>
  <si>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</si>
  <si>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</si>
  <si>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</si>
  <si>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</si>
  <si>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</si>
  <si>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</si>
  <si>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</si>
  <si>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</si>
  <si>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</si>
  <si>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</si>
  <si>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</si>
  <si>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</si>
  <si>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</si>
  <si>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</si>
  <si>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</si>
  <si>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</si>
  <si>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</si>
  <si>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</si>
  <si>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</si>
  <si>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</si>
  <si>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</si>
  <si>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</si>
  <si>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</si>
  <si>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</si>
  <si>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</si>
  <si>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</si>
  <si>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</si>
  <si>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</si>
  <si>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</si>
  <si>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</si>
  <si>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</si>
  <si>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</si>
  <si>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</si>
  <si>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</si>
  <si>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</si>
  <si>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</si>
  <si>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</si>
  <si>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</si>
  <si>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</si>
  <si>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</si>
  <si>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</si>
  <si>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</si>
  <si>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</si>
  <si>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</si>
  <si>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</si>
  <si>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</si>
  <si>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</si>
  <si>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</si>
  <si>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</si>
  <si>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</si>
  <si>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</si>
  <si>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</si>
  <si>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</si>
  <si>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</si>
  <si>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</si>
  <si>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</si>
  <si>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</si>
  <si>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</si>
  <si>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</si>
  <si>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</si>
  <si>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</si>
  <si>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</si>
  <si>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</si>
  <si>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</si>
  <si>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</si>
  <si>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</si>
  <si>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</si>
  <si>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</si>
  <si>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</si>
  <si>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</si>
  <si>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</si>
  <si>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</si>
  <si>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</si>
  <si>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</si>
  <si>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</si>
  <si>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</si>
  <si>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</si>
  <si>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</si>
  <si>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</si>
  <si>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</si>
  <si>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</si>
  <si>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</si>
  <si>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</si>
  <si>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</si>
  <si>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</si>
  <si>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</si>
  <si>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</si>
  <si>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</si>
  <si>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</si>
  <si>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</si>
  <si>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</si>
  <si>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</si>
  <si>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</si>
  <si>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</si>
  <si>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</si>
  <si>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</si>
  <si>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</si>
  <si>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</si>
  <si>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</si>
  <si>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</si>
  <si>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</si>
  <si>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</si>
  <si>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</si>
  <si>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</si>
  <si>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</si>
  <si>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</si>
  <si>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</si>
  <si>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</si>
  <si>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</si>
  <si>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</si>
  <si>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</si>
  <si>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</si>
  <si>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</si>
  <si>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</si>
  <si>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</si>
  <si>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</si>
  <si>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</si>
  <si>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</si>
  <si>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</si>
  <si>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</si>
  <si>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</si>
  <si>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</si>
  <si>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</si>
  <si>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</si>
  <si>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</si>
  <si>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</si>
  <si>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</si>
  <si>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</si>
  <si>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</si>
  <si>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</si>
  <si>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</si>
  <si>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</si>
  <si>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</si>
  <si>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</si>
  <si>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</si>
  <si>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</si>
  <si>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</si>
  <si>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</si>
  <si>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</si>
  <si>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</si>
  <si>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</si>
  <si>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</si>
  <si>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</si>
  <si>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</si>
  <si>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</si>
  <si>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</si>
  <si>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</si>
  <si>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</si>
  <si>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</si>
  <si>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</si>
  <si>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</si>
  <si>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</si>
  <si>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</si>
  <si>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</si>
  <si>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</si>
  <si>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</si>
  <si>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</si>
  <si>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</si>
  <si>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</si>
  <si>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</si>
  <si>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</si>
  <si>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</si>
  <si>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</si>
  <si>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</si>
  <si>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</si>
  <si>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</si>
  <si>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</si>
  <si>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</si>
  <si>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</si>
  <si>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</si>
  <si>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</si>
  <si>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</si>
  <si>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</si>
  <si>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</si>
  <si>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</si>
  <si>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</si>
  <si>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</si>
  <si>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</si>
  <si>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</si>
  <si>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</si>
  <si>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</si>
  <si>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</si>
  <si>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</si>
  <si>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</si>
  <si>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</si>
  <si>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</si>
  <si>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</si>
  <si>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</si>
  <si>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</si>
  <si>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</si>
  <si>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</si>
  <si>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</si>
  <si>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</si>
  <si>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</si>
  <si>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</si>
  <si>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</si>
  <si>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</si>
  <si>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</si>
  <si>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</si>
  <si>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</si>
  <si>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</si>
  <si>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</si>
  <si>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</si>
  <si>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</si>
  <si>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</si>
  <si>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</si>
  <si>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</si>
  <si>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</si>
  <si>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</si>
  <si>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</si>
  <si>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</si>
  <si>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</si>
  <si>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</si>
  <si>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</si>
  <si>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</si>
  <si>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</si>
  <si>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</si>
  <si>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</si>
  <si>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</si>
  <si>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</si>
  <si>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</si>
  <si>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</si>
  <si>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</si>
  <si>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</si>
  <si>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</si>
  <si>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</si>
  <si>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</si>
  <si>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</si>
  <si>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</si>
  <si>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</si>
  <si>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</si>
  <si>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</si>
  <si>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</si>
  <si>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</si>
  <si>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</si>
  <si>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</si>
  <si>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</si>
  <si>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</si>
  <si>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</si>
  <si>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</si>
  <si>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</si>
  <si>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</si>
  <si>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</si>
  <si>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</si>
  <si>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</si>
  <si>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</si>
  <si>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</si>
  <si>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</si>
  <si>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</si>
  <si>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</si>
  <si>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</si>
  <si>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</si>
  <si>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</si>
  <si>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</si>
  <si>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</si>
  <si>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</si>
  <si>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</si>
  <si>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</si>
  <si>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</si>
  <si>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</si>
  <si>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</si>
  <si>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</si>
  <si>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</si>
  <si>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</si>
  <si>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</si>
  <si>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</si>
  <si>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</si>
  <si>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</si>
  <si>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</si>
  <si>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</si>
  <si>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</si>
  <si>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</si>
  <si>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</si>
  <si>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</si>
  <si>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</si>
  <si>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</si>
  <si>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</si>
  <si>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</si>
  <si>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</si>
  <si>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</si>
  <si>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</si>
  <si>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</si>
  <si>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</si>
  <si>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</si>
  <si>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</si>
  <si>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</si>
  <si>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</si>
  <si>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</si>
  <si>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</si>
  <si>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</si>
  <si>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</si>
  <si>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</si>
  <si>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</si>
  <si>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</si>
  <si>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</si>
  <si>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</si>
  <si>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</si>
  <si>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</si>
  <si>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</si>
  <si>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</si>
  <si>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</si>
  <si>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</si>
  <si>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</si>
  <si>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</si>
  <si>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</si>
  <si>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</si>
  <si>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</si>
  <si>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</si>
  <si>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</si>
  <si>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</si>
  <si>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</si>
  <si>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</si>
  <si>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</si>
  <si>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</si>
  <si>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</si>
  <si>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</si>
  <si>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</si>
  <si>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</si>
  <si>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</si>
  <si>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</si>
  <si>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</si>
  <si>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</si>
  <si>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</si>
  <si>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</si>
  <si>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</si>
  <si>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</si>
  <si>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</si>
  <si>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</si>
  <si>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</si>
  <si>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</si>
  <si>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</si>
  <si>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</si>
  <si>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</si>
  <si>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</si>
  <si>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</si>
  <si>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</si>
  <si>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</si>
  <si>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</si>
  <si>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</si>
  <si>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</si>
  <si>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</si>
  <si>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</si>
  <si>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</si>
  <si>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</si>
  <si>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</si>
  <si>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</si>
  <si>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</si>
  <si>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</si>
  <si>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</si>
  <si>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</si>
  <si>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</si>
  <si>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</si>
  <si>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</si>
  <si>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</si>
  <si>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</si>
  <si>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</si>
  <si>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</si>
  <si>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</si>
  <si>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</si>
  <si>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</si>
  <si>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</si>
  <si>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</si>
  <si>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</si>
  <si>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</si>
  <si>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</si>
  <si>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</si>
  <si>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</si>
  <si>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</si>
  <si>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</si>
  <si>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</si>
  <si>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</si>
  <si>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</si>
  <si>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</si>
  <si>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</si>
  <si>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</si>
  <si>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</si>
  <si>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</si>
  <si>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</si>
  <si>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</si>
  <si>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</si>
  <si>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</si>
  <si>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</si>
  <si>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</si>
  <si>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</si>
  <si>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</si>
  <si>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</si>
  <si>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</si>
  <si>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</si>
  <si>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</si>
  <si>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</si>
  <si>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</si>
  <si>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</si>
  <si>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</si>
  <si>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</si>
  <si>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</si>
  <si>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</si>
  <si>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</si>
  <si>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</si>
  <si>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</si>
  <si>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</si>
  <si>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</si>
  <si>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</si>
  <si>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</si>
  <si>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</si>
  <si>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</si>
  <si>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</si>
  <si>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</si>
  <si>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</si>
  <si>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</si>
  <si>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</si>
  <si>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</si>
  <si>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</si>
  <si>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</si>
  <si>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</si>
  <si>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</si>
  <si>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</si>
  <si>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</si>
  <si>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</si>
  <si>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</si>
  <si>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</si>
  <si>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</si>
  <si>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</si>
  <si>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</si>
  <si>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</si>
  <si>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</si>
  <si>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</si>
  <si>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</si>
  <si>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</si>
  <si>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</si>
  <si>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</si>
  <si>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</si>
  <si>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</si>
  <si>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</si>
  <si>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</si>
  <si>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</si>
  <si>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</si>
  <si>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</si>
  <si>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</si>
  <si>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</si>
  <si>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</si>
  <si>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</si>
  <si>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</si>
  <si>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</si>
  <si>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</si>
  <si>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</si>
  <si>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</si>
  <si>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</si>
  <si>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</si>
  <si>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</si>
  <si>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</si>
  <si>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</si>
  <si>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</si>
  <si>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</si>
  <si>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</si>
  <si>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</si>
  <si>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</si>
  <si>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</si>
  <si>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</si>
  <si>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</si>
  <si>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</si>
  <si>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</si>
  <si>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</si>
  <si>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</si>
  <si>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</si>
  <si>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</si>
  <si>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</si>
  <si>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</si>
  <si>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</si>
  <si>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</si>
  <si>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</si>
  <si>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</si>
  <si>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</si>
  <si>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</si>
  <si>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</si>
  <si>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</si>
  <si>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</si>
  <si>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</si>
  <si>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</si>
  <si>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</si>
  <si>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</si>
  <si>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</si>
  <si>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</si>
  <si>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</si>
  <si>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</si>
  <si>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</si>
  <si>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</si>
  <si>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</si>
  <si>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</si>
  <si>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</si>
  <si>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</si>
  <si>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</si>
  <si>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</si>
  <si>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</si>
  <si>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</si>
  <si>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</si>
  <si>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</si>
  <si>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</si>
  <si>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</si>
  <si>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</si>
  <si>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</si>
  <si>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</si>
  <si>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</si>
  <si>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</si>
  <si>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</si>
  <si>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</si>
  <si>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</si>
  <si>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</si>
  <si>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</si>
  <si>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</si>
  <si>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</si>
  <si>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</si>
  <si>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</si>
  <si>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</si>
  <si>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</si>
  <si>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</si>
  <si>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</si>
  <si>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</si>
  <si>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</si>
  <si>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</si>
  <si>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</si>
  <si>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</si>
  <si>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</si>
  <si>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</si>
  <si>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</si>
  <si>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</si>
  <si>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</si>
  <si>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</si>
  <si>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</si>
  <si>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</si>
  <si>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</si>
  <si>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</si>
  <si>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</si>
  <si>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</si>
  <si>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</si>
  <si>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</si>
  <si>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</si>
  <si>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</si>
  <si>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</si>
  <si>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</si>
  <si>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</si>
  <si>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</si>
  <si>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</si>
  <si>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</si>
  <si>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</si>
  <si>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</si>
  <si>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</si>
  <si>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</si>
  <si>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</si>
  <si>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</si>
  <si>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</si>
  <si>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</si>
  <si>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</si>
  <si>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</si>
  <si>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</si>
  <si>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</si>
  <si>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</si>
  <si>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</si>
  <si>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</si>
  <si>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</si>
  <si>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</si>
  <si>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</si>
  <si>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</si>
  <si>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</si>
  <si>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</si>
  <si>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</si>
  <si>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</si>
  <si>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</si>
  <si>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</si>
  <si>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</si>
  <si>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</si>
  <si>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</si>
  <si>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</si>
  <si>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</si>
  <si>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</si>
  <si>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</si>
  <si>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</si>
  <si>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</si>
  <si>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</si>
  <si>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</si>
  <si>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</si>
  <si>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</si>
  <si>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</si>
  <si>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</si>
  <si>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</si>
  <si>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</si>
  <si>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</si>
  <si>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</si>
  <si>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</si>
  <si>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</si>
  <si>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</si>
  <si>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</si>
  <si>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</si>
  <si>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</si>
  <si>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</si>
  <si>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</si>
  <si>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</si>
  <si>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</si>
  <si>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</si>
  <si>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</si>
  <si>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</si>
  <si>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</si>
  <si>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</si>
  <si>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</si>
  <si>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</si>
  <si>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</si>
  <si>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</si>
  <si>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</si>
  <si>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</si>
  <si>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</si>
  <si>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</si>
  <si>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</si>
  <si>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</si>
  <si>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</si>
  <si>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</si>
  <si>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</si>
  <si>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</si>
  <si>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</si>
  <si>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</si>
  <si>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</si>
  <si>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</si>
  <si>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</si>
  <si>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</si>
  <si>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</si>
  <si>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</si>
  <si>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</si>
  <si>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</si>
  <si>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</si>
  <si>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</si>
  <si>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</si>
  <si>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</si>
  <si>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</si>
  <si>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</si>
  <si>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</si>
  <si>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</si>
  <si>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</si>
  <si>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t>1256 Trading Days? (From: 9/20/20 - 9/20/25)</t>
  </si>
  <si>
    <t>More</t>
  </si>
  <si>
    <t>EW</t>
  </si>
  <si>
    <t>9/19/25</t>
  </si>
  <si>
    <t>Edwards Lifesciences Corporation (EW)</t>
  </si>
  <si>
    <t>Founder(s): Albert Starr</t>
  </si>
  <si>
    <t>Founded: 1958</t>
  </si>
  <si>
    <t>IPO: April 1, 2000 -- Did not have a traditional IPO instead being spun out by Baxter</t>
  </si>
  <si>
    <t>Fiscal Year: [January - December]</t>
  </si>
  <si>
    <t>Current CEO: Bernard Zovighian</t>
  </si>
  <si>
    <t>Headquarters: Irvine, CA</t>
  </si>
  <si>
    <t>Employees: 15,800</t>
  </si>
  <si>
    <t>Industry: Medical Devices</t>
  </si>
  <si>
    <t>Sector: Healthcare</t>
  </si>
  <si>
    <t>Registered Exchange: NYSE</t>
  </si>
  <si>
    <t>Address: One Edwards Way, Irvine, CA 92614 U.S.</t>
  </si>
  <si>
    <t>(949) 250 - 2500</t>
  </si>
  <si>
    <t>https://www.edwards.com/</t>
  </si>
  <si>
    <t>https://ir.edwards.com/overview/default.aspx?_gl=1*1fidh4f*_gcl_au*NTkzODU3MDk4LjE3NTgzNjMxODM.</t>
  </si>
  <si>
    <t>https://www.sec.gov/edgar/browse/?CIK=1099800&amp;owner=exclude</t>
  </si>
  <si>
    <t>https://seekingalpha.com/symbol/EW/earnings/transcripts</t>
  </si>
  <si>
    <t>https://stockanalysis.com/stocks/ew/company/</t>
  </si>
  <si>
    <t>https://www.macrotrends.net/stocks/charts/EW/edwards-lifesciences/income-statement?freq=A</t>
  </si>
  <si>
    <t>https://www.gurufocus.com/term/wacc/EW</t>
  </si>
  <si>
    <t>and transcatheter heart valve repair and replacement products to treat mitral and tricuspid valve diseases under the PASCAL PRECISION and Cardioband brands</t>
  </si>
  <si>
    <t>It also provides surgical structural heart solutions, such as aortic surgical valve under the INSPIRIS brand name; INSPIRIS RESILIA aortic valve, which offers RESILIA tissue and VFit technology; KONECT RESILIA, a pre-assembled tissue valve conduit for complex combined procedures; and MITRIS RESILIA valve</t>
  </si>
  <si>
    <t>The Company distributes its products through a direct sales force and independent distributors</t>
  </si>
  <si>
    <t xml:space="preserve">The Company offers transcatheter heart valve replacement products for minimally invasive replacement of aortic heart valves under the Edwards SAPIEN family of valves system; </t>
  </si>
  <si>
    <t>Founded in 1958 and headquartered in Irvine, California, Edwards Lifesciences is a leading global medical technology company focused on innovative products for structural heart disease, critical care, and surgical monitoring</t>
  </si>
  <si>
    <t>The Company is widely recognized for its leadership in transcatheter heart valve replacement (TAVR) and repair technologies</t>
  </si>
  <si>
    <t>Experienced management team driving innovation and global market expansion</t>
  </si>
  <si>
    <t>Expanding product portfolio addressing multiple structural heart conditions beyond aortic stenosis</t>
  </si>
  <si>
    <t>Broadening addressable market through innovations in mitral and tricuspid valve therapies</t>
  </si>
  <si>
    <t xml:space="preserve">Revenue Breakdown by Segment </t>
  </si>
  <si>
    <t xml:space="preserve">Financial Stmts. Notes/Observations </t>
  </si>
  <si>
    <t xml:space="preserve">General Notes/Observations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</si>
</sst>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  <font>
      <u/>
      <sz val="11"/>
      <color rgb="FF00B0F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72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" fontId="2" fillId="0" borderId="0" xfId="0" applyNumberFormat="1" applyFont="1" applyAlignment="1">
      <alignment horizontal="left" indent="5"/>
    </xf>
    <xf numFmtId="164" fontId="2" fillId="0" borderId="0" xfId="2" applyNumberFormat="1" applyFont="1" applyAlignment="1">
      <alignment horizontal="right" indent="1"/>
    </xf>
    <xf numFmtId="164" fontId="2" fillId="0" borderId="0" xfId="0" applyNumberFormat="1" applyFont="1" applyAlignment="1">
      <alignment horizontal="right" indent="1"/>
    </xf>
    <xf numFmtId="0" fontId="16" fillId="0" borderId="0" xfId="3" applyFont="1"/>
    <xf numFmtId="9" fontId="13" fillId="0" borderId="0" xfId="0" applyNumberFormat="1" applyFont="1"/>
    <xf numFmtId="0" fontId="11" fillId="0" borderId="0" xfId="0" applyFont="1" applyAlignment="1">
      <alignment horizontal="left" indent="1"/>
    </xf>
    <xf numFmtId="9" fontId="12" fillId="0" borderId="0" xfId="0" applyNumberFormat="1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49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/>
    </xf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0" fontId="19" fillId="0" borderId="0" xfId="3" applyFont="1"/>
    <xf numFmtId="10" fontId="2" fillId="0" borderId="0" xfId="1" applyNumberFormat="1" applyFont="1"/>
    <xf numFmtId="0" fontId="17" fillId="0" borderId="0" xfId="0" applyFont="1" applyAlignment="1">
      <alignment horizontal="center"/>
    </xf>
  </cellXfs>
  <cellStyles count="4">
    <cellStyle name="Currency" xfId="2" builtinId="4"/>
    <cellStyle name="Hyperlink" xfId="3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(EW)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[1]Model!$B$6</c:f>
              <c:strCache>
                <c:ptCount val="1"/>
                <c:pt idx="0">
                  <c:v>Medical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[1]Model!$AW$6:$BQ$6</c:f>
              <c:numCache>
                <c:formatCode>General</c:formatCode>
                <c:ptCount val="21"/>
                <c:pt idx="0">
                  <c:v>600</c:v>
                </c:pt>
                <c:pt idx="1">
                  <c:v>705</c:v>
                </c:pt>
                <c:pt idx="2">
                  <c:v>622</c:v>
                </c:pt>
                <c:pt idx="3">
                  <c:v>640</c:v>
                </c:pt>
                <c:pt idx="4">
                  <c:v>636</c:v>
                </c:pt>
                <c:pt idx="5">
                  <c:v>709</c:v>
                </c:pt>
                <c:pt idx="6">
                  <c:v>664</c:v>
                </c:pt>
                <c:pt idx="7">
                  <c:v>666</c:v>
                </c:pt>
                <c:pt idx="8">
                  <c:v>765</c:v>
                </c:pt>
                <c:pt idx="9">
                  <c:v>936</c:v>
                </c:pt>
                <c:pt idx="10">
                  <c:v>778</c:v>
                </c:pt>
                <c:pt idx="11">
                  <c:v>841</c:v>
                </c:pt>
                <c:pt idx="12">
                  <c:v>798</c:v>
                </c:pt>
                <c:pt idx="13">
                  <c:v>1042</c:v>
                </c:pt>
                <c:pt idx="14">
                  <c:v>864</c:v>
                </c:pt>
                <c:pt idx="15">
                  <c:v>908</c:v>
                </c:pt>
                <c:pt idx="16">
                  <c:v>938</c:v>
                </c:pt>
                <c:pt idx="17">
                  <c:v>1142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3E-43B3-B662-D76C6E829219}"/>
            </c:ext>
          </c:extLst>
        </c:ser>
        <c:ser>
          <c:idx val="1"/>
          <c:order val="1"/>
          <c:tx>
            <c:strRef>
              <c:f>[1]Model!$B$12</c:f>
              <c:strCache>
                <c:ptCount val="1"/>
                <c:pt idx="0">
                  <c:v>Trauma and Extremities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[1]Model!$AW$12:$BQ$12</c:f>
              <c:numCache>
                <c:formatCode>General</c:formatCode>
                <c:ptCount val="21"/>
                <c:pt idx="0">
                  <c:v>430</c:v>
                </c:pt>
                <c:pt idx="1">
                  <c:v>570</c:v>
                </c:pt>
                <c:pt idx="2">
                  <c:v>640</c:v>
                </c:pt>
                <c:pt idx="3">
                  <c:v>674</c:v>
                </c:pt>
                <c:pt idx="4">
                  <c:v>639</c:v>
                </c:pt>
                <c:pt idx="5">
                  <c:v>711</c:v>
                </c:pt>
                <c:pt idx="6">
                  <c:v>685</c:v>
                </c:pt>
                <c:pt idx="7">
                  <c:v>676</c:v>
                </c:pt>
                <c:pt idx="8">
                  <c:v>672</c:v>
                </c:pt>
                <c:pt idx="9">
                  <c:v>774</c:v>
                </c:pt>
                <c:pt idx="10">
                  <c:v>769</c:v>
                </c:pt>
                <c:pt idx="11">
                  <c:v>766</c:v>
                </c:pt>
                <c:pt idx="12">
                  <c:v>752</c:v>
                </c:pt>
                <c:pt idx="13">
                  <c:v>860</c:v>
                </c:pt>
                <c:pt idx="14">
                  <c:v>830</c:v>
                </c:pt>
                <c:pt idx="15">
                  <c:v>832</c:v>
                </c:pt>
                <c:pt idx="16">
                  <c:v>849</c:v>
                </c:pt>
                <c:pt idx="17">
                  <c:v>996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3E-43B3-B662-D76C6E829219}"/>
            </c:ext>
          </c:extLst>
        </c:ser>
        <c:ser>
          <c:idx val="2"/>
          <c:order val="2"/>
          <c:tx>
            <c:strRef>
              <c:f>[1]Model!$B$5</c:f>
              <c:strCache>
                <c:ptCount val="1"/>
                <c:pt idx="0">
                  <c:v>Endoscopy</c:v>
                </c:pt>
              </c:strCache>
            </c:strRef>
          </c:tx>
          <c:spPr>
            <a:solidFill>
              <a:srgbClr val="5881CC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[1]Model!$AW$5:$BQ$5</c:f>
              <c:numCache>
                <c:formatCode>General</c:formatCode>
                <c:ptCount val="21"/>
                <c:pt idx="0">
                  <c:v>467</c:v>
                </c:pt>
                <c:pt idx="1">
                  <c:v>525</c:v>
                </c:pt>
                <c:pt idx="2">
                  <c:v>469</c:v>
                </c:pt>
                <c:pt idx="3">
                  <c:v>518</c:v>
                </c:pt>
                <c:pt idx="4">
                  <c:v>525</c:v>
                </c:pt>
                <c:pt idx="5">
                  <c:v>629</c:v>
                </c:pt>
                <c:pt idx="6">
                  <c:v>538</c:v>
                </c:pt>
                <c:pt idx="7">
                  <c:v>600</c:v>
                </c:pt>
                <c:pt idx="8">
                  <c:v>590</c:v>
                </c:pt>
                <c:pt idx="9">
                  <c:v>997</c:v>
                </c:pt>
                <c:pt idx="10">
                  <c:v>707</c:v>
                </c:pt>
                <c:pt idx="11">
                  <c:v>713</c:v>
                </c:pt>
                <c:pt idx="12">
                  <c:v>746</c:v>
                </c:pt>
                <c:pt idx="13">
                  <c:v>902</c:v>
                </c:pt>
                <c:pt idx="14">
                  <c:v>778</c:v>
                </c:pt>
                <c:pt idx="15">
                  <c:v>768</c:v>
                </c:pt>
                <c:pt idx="16">
                  <c:v>837</c:v>
                </c:pt>
                <c:pt idx="17">
                  <c:v>1006</c:v>
                </c:pt>
                <c:pt idx="18">
                  <c:v>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3E-43B3-B662-D76C6E829219}"/>
            </c:ext>
          </c:extLst>
        </c:ser>
        <c:ser>
          <c:idx val="3"/>
          <c:order val="3"/>
          <c:tx>
            <c:strRef>
              <c:f>[1]Model!$B$4</c:f>
              <c:strCache>
                <c:ptCount val="1"/>
                <c:pt idx="0">
                  <c:v>Instruments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[1]Model!$AW$4:$BQ$4</c:f>
              <c:numCache>
                <c:formatCode>General</c:formatCode>
                <c:ptCount val="21"/>
                <c:pt idx="0">
                  <c:v>467</c:v>
                </c:pt>
                <c:pt idx="1">
                  <c:v>555</c:v>
                </c:pt>
                <c:pt idx="2">
                  <c:v>469</c:v>
                </c:pt>
                <c:pt idx="3">
                  <c:v>517</c:v>
                </c:pt>
                <c:pt idx="4">
                  <c:v>525</c:v>
                </c:pt>
                <c:pt idx="5">
                  <c:v>600</c:v>
                </c:pt>
                <c:pt idx="6">
                  <c:v>528</c:v>
                </c:pt>
                <c:pt idx="7">
                  <c:v>563</c:v>
                </c:pt>
                <c:pt idx="8">
                  <c:v>535</c:v>
                </c:pt>
                <c:pt idx="9">
                  <c:v>653</c:v>
                </c:pt>
                <c:pt idx="10">
                  <c:v>566</c:v>
                </c:pt>
                <c:pt idx="11">
                  <c:v>622</c:v>
                </c:pt>
                <c:pt idx="12">
                  <c:v>620</c:v>
                </c:pt>
                <c:pt idx="13">
                  <c:v>726</c:v>
                </c:pt>
                <c:pt idx="14">
                  <c:v>667</c:v>
                </c:pt>
                <c:pt idx="15">
                  <c:v>698</c:v>
                </c:pt>
                <c:pt idx="16">
                  <c:v>679</c:v>
                </c:pt>
                <c:pt idx="17">
                  <c:v>790</c:v>
                </c:pt>
                <c:pt idx="18">
                  <c:v>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63E-43B3-B662-D76C6E829219}"/>
            </c:ext>
          </c:extLst>
        </c:ser>
        <c:ser>
          <c:idx val="4"/>
          <c:order val="4"/>
          <c:tx>
            <c:strRef>
              <c:f>[1]Model!$B$10</c:f>
              <c:strCache>
                <c:ptCount val="1"/>
                <c:pt idx="0">
                  <c:v>Knees</c:v>
                </c:pt>
              </c:strCache>
            </c:strRef>
          </c:tx>
          <c:spPr>
            <a:solidFill>
              <a:srgbClr val="CDE1F3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[1]Model!$AW$10:$BQ$10</c:f>
              <c:numCache>
                <c:formatCode>General</c:formatCode>
                <c:ptCount val="21"/>
                <c:pt idx="0">
                  <c:v>435</c:v>
                </c:pt>
                <c:pt idx="1">
                  <c:v>459</c:v>
                </c:pt>
                <c:pt idx="2">
                  <c:v>412</c:v>
                </c:pt>
                <c:pt idx="3">
                  <c:v>474</c:v>
                </c:pt>
                <c:pt idx="4">
                  <c:v>439</c:v>
                </c:pt>
                <c:pt idx="5">
                  <c:v>523</c:v>
                </c:pt>
                <c:pt idx="6">
                  <c:v>464</c:v>
                </c:pt>
                <c:pt idx="7">
                  <c:v>500</c:v>
                </c:pt>
                <c:pt idx="8">
                  <c:v>481</c:v>
                </c:pt>
                <c:pt idx="9">
                  <c:v>552</c:v>
                </c:pt>
                <c:pt idx="10">
                  <c:v>566</c:v>
                </c:pt>
                <c:pt idx="11">
                  <c:v>562</c:v>
                </c:pt>
                <c:pt idx="12">
                  <c:v>515</c:v>
                </c:pt>
                <c:pt idx="13">
                  <c:v>630</c:v>
                </c:pt>
                <c:pt idx="14">
                  <c:v>588</c:v>
                </c:pt>
                <c:pt idx="15">
                  <c:v>602</c:v>
                </c:pt>
                <c:pt idx="16">
                  <c:v>570</c:v>
                </c:pt>
                <c:pt idx="17">
                  <c:v>687</c:v>
                </c:pt>
                <c:pt idx="18">
                  <c:v>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63E-43B3-B662-D76C6E829219}"/>
            </c:ext>
          </c:extLst>
        </c:ser>
        <c:ser>
          <c:idx val="5"/>
          <c:order val="5"/>
          <c:tx>
            <c:strRef>
              <c:f>[1]Model!$B$8</c:f>
              <c:strCache>
                <c:ptCount val="1"/>
                <c:pt idx="0">
                  <c:v>Neuro Cranial</c:v>
                </c:pt>
              </c:strCache>
            </c:strRef>
          </c:tx>
          <c:spPr>
            <a:solidFill>
              <a:srgbClr val="94346D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[1]Model!$AW$8:$BQ$8</c:f>
              <c:numCache>
                <c:formatCode>General</c:formatCode>
                <c:ptCount val="21"/>
                <c:pt idx="0">
                  <c:v>518</c:v>
                </c:pt>
                <c:pt idx="1">
                  <c:v>312</c:v>
                </c:pt>
                <c:pt idx="2">
                  <c:v>281</c:v>
                </c:pt>
                <c:pt idx="3">
                  <c:v>310</c:v>
                </c:pt>
                <c:pt idx="4">
                  <c:v>299</c:v>
                </c:pt>
                <c:pt idx="5">
                  <c:v>324</c:v>
                </c:pt>
                <c:pt idx="6">
                  <c:v>323</c:v>
                </c:pt>
                <c:pt idx="7">
                  <c:v>337</c:v>
                </c:pt>
                <c:pt idx="8">
                  <c:v>332</c:v>
                </c:pt>
                <c:pt idx="9">
                  <c:v>384</c:v>
                </c:pt>
                <c:pt idx="10">
                  <c:v>355</c:v>
                </c:pt>
                <c:pt idx="11">
                  <c:v>373</c:v>
                </c:pt>
                <c:pt idx="12">
                  <c:v>384</c:v>
                </c:pt>
                <c:pt idx="13">
                  <c:v>764</c:v>
                </c:pt>
                <c:pt idx="14">
                  <c:v>478</c:v>
                </c:pt>
                <c:pt idx="15">
                  <c:v>416</c:v>
                </c:pt>
                <c:pt idx="16">
                  <c:v>441</c:v>
                </c:pt>
                <c:pt idx="17">
                  <c:v>801</c:v>
                </c:pt>
                <c:pt idx="18">
                  <c:v>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63E-43B3-B662-D76C6E829219}"/>
            </c:ext>
          </c:extLst>
        </c:ser>
        <c:ser>
          <c:idx val="6"/>
          <c:order val="6"/>
          <c:tx>
            <c:strRef>
              <c:f>[1]Model!$B$11</c:f>
              <c:strCache>
                <c:ptCount val="1"/>
                <c:pt idx="0">
                  <c:v>Hips</c:v>
                </c:pt>
              </c:strCache>
            </c:strRef>
          </c:tx>
          <c:spPr>
            <a:solidFill>
              <a:srgbClr val="B03E82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[1]Model!$AW$11:$BQ$11</c:f>
              <c:numCache>
                <c:formatCode>General</c:formatCode>
                <c:ptCount val="21"/>
                <c:pt idx="0">
                  <c:v>334</c:v>
                </c:pt>
                <c:pt idx="1">
                  <c:v>340</c:v>
                </c:pt>
                <c:pt idx="2">
                  <c:v>309</c:v>
                </c:pt>
                <c:pt idx="3">
                  <c:v>353</c:v>
                </c:pt>
                <c:pt idx="4">
                  <c:v>328</c:v>
                </c:pt>
                <c:pt idx="5">
                  <c:v>352</c:v>
                </c:pt>
                <c:pt idx="6">
                  <c:v>327</c:v>
                </c:pt>
                <c:pt idx="7">
                  <c:v>364</c:v>
                </c:pt>
                <c:pt idx="8">
                  <c:v>347</c:v>
                </c:pt>
                <c:pt idx="9">
                  <c:v>375</c:v>
                </c:pt>
                <c:pt idx="10">
                  <c:v>375</c:v>
                </c:pt>
                <c:pt idx="11">
                  <c:v>393</c:v>
                </c:pt>
                <c:pt idx="12">
                  <c:v>362</c:v>
                </c:pt>
                <c:pt idx="13">
                  <c:v>414</c:v>
                </c:pt>
                <c:pt idx="14">
                  <c:v>393</c:v>
                </c:pt>
                <c:pt idx="15">
                  <c:v>428</c:v>
                </c:pt>
                <c:pt idx="16">
                  <c:v>420</c:v>
                </c:pt>
                <c:pt idx="17">
                  <c:v>463</c:v>
                </c:pt>
                <c:pt idx="18">
                  <c:v>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3E-43B3-B662-D76C6E829219}"/>
            </c:ext>
          </c:extLst>
        </c:ser>
        <c:ser>
          <c:idx val="7"/>
          <c:order val="7"/>
          <c:tx>
            <c:strRef>
              <c:f>[1]Model!$B$7</c:f>
              <c:strCache>
                <c:ptCount val="1"/>
                <c:pt idx="0">
                  <c:v>Vascular</c:v>
                </c:pt>
              </c:strCache>
            </c:strRef>
          </c:tx>
          <c:spPr>
            <a:solidFill>
              <a:srgbClr val="CF73A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[1]Model!$AW$7:$BQ$7</c:f>
              <c:numCache>
                <c:formatCode>General</c:formatCode>
                <c:ptCount val="21"/>
                <c:pt idx="0">
                  <c:v>66</c:v>
                </c:pt>
                <c:pt idx="1">
                  <c:v>82</c:v>
                </c:pt>
                <c:pt idx="2">
                  <c:v>289</c:v>
                </c:pt>
                <c:pt idx="3">
                  <c:v>301</c:v>
                </c:pt>
                <c:pt idx="4">
                  <c:v>295</c:v>
                </c:pt>
                <c:pt idx="5">
                  <c:v>303</c:v>
                </c:pt>
                <c:pt idx="6">
                  <c:v>301</c:v>
                </c:pt>
                <c:pt idx="7">
                  <c:v>306</c:v>
                </c:pt>
                <c:pt idx="8">
                  <c:v>294</c:v>
                </c:pt>
                <c:pt idx="9">
                  <c:v>299</c:v>
                </c:pt>
                <c:pt idx="10">
                  <c:v>284</c:v>
                </c:pt>
                <c:pt idx="11">
                  <c:v>311</c:v>
                </c:pt>
                <c:pt idx="12">
                  <c:v>311</c:v>
                </c:pt>
                <c:pt idx="13">
                  <c:v>320</c:v>
                </c:pt>
                <c:pt idx="14">
                  <c:v>310</c:v>
                </c:pt>
                <c:pt idx="15">
                  <c:v>327</c:v>
                </c:pt>
                <c:pt idx="16">
                  <c:v>329</c:v>
                </c:pt>
                <c:pt idx="17">
                  <c:v>341</c:v>
                </c:pt>
                <c:pt idx="18">
                  <c:v>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8"/>
          <c:order val="8"/>
          <c:tx>
            <c:strRef>
              <c:f>[1]Model!$B$13</c:f>
              <c:strCache>
                <c:ptCount val="1"/>
                <c:pt idx="0">
                  <c:v>Spinal Implants</c:v>
                </c:pt>
              </c:strCache>
            </c:strRef>
          </c:tx>
          <c:spPr>
            <a:solidFill>
              <a:srgbClr val="E1A9C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[1]Model!$AW$13:$BQ$13</c:f>
              <c:numCache>
                <c:formatCode>General</c:formatCode>
                <c:ptCount val="21"/>
                <c:pt idx="0">
                  <c:v>302</c:v>
                </c:pt>
                <c:pt idx="1">
                  <c:v>307</c:v>
                </c:pt>
                <c:pt idx="2">
                  <c:v>278</c:v>
                </c:pt>
                <c:pt idx="3">
                  <c:v>307</c:v>
                </c:pt>
                <c:pt idx="4">
                  <c:v>282</c:v>
                </c:pt>
                <c:pt idx="5">
                  <c:v>300</c:v>
                </c:pt>
                <c:pt idx="6">
                  <c:v>279</c:v>
                </c:pt>
                <c:pt idx="7">
                  <c:v>290</c:v>
                </c:pt>
                <c:pt idx="8">
                  <c:v>280</c:v>
                </c:pt>
                <c:pt idx="9">
                  <c:v>297</c:v>
                </c:pt>
                <c:pt idx="10">
                  <c:v>284</c:v>
                </c:pt>
                <c:pt idx="11">
                  <c:v>296</c:v>
                </c:pt>
                <c:pt idx="12">
                  <c:v>291</c:v>
                </c:pt>
                <c:pt idx="13">
                  <c:v>122</c:v>
                </c:pt>
                <c:pt idx="14">
                  <c:v>171</c:v>
                </c:pt>
                <c:pt idx="15">
                  <c:v>307</c:v>
                </c:pt>
                <c:pt idx="16">
                  <c:v>304</c:v>
                </c:pt>
                <c:pt idx="17">
                  <c:v>85</c:v>
                </c:pt>
                <c:pt idx="18">
                  <c:v>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9"/>
          <c:tx>
            <c:strRef>
              <c:f>[1]Model!$B$14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F0D4E5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[1]Model!$AW$14:$BQ$14</c:f>
              <c:numCache>
                <c:formatCode>General</c:formatCode>
                <c:ptCount val="21"/>
                <c:pt idx="0">
                  <c:v>118</c:v>
                </c:pt>
                <c:pt idx="1">
                  <c:v>157</c:v>
                </c:pt>
                <c:pt idx="2">
                  <c:v>123</c:v>
                </c:pt>
                <c:pt idx="3">
                  <c:v>127</c:v>
                </c:pt>
                <c:pt idx="4">
                  <c:v>123</c:v>
                </c:pt>
                <c:pt idx="5">
                  <c:v>176</c:v>
                </c:pt>
                <c:pt idx="6">
                  <c:v>97</c:v>
                </c:pt>
                <c:pt idx="7">
                  <c:v>114</c:v>
                </c:pt>
                <c:pt idx="8">
                  <c:v>111</c:v>
                </c:pt>
                <c:pt idx="9">
                  <c:v>153</c:v>
                </c:pt>
                <c:pt idx="10">
                  <c:v>94</c:v>
                </c:pt>
                <c:pt idx="11">
                  <c:v>119</c:v>
                </c:pt>
                <c:pt idx="12">
                  <c:v>130</c:v>
                </c:pt>
                <c:pt idx="13">
                  <c:v>35</c:v>
                </c:pt>
                <c:pt idx="14">
                  <c:v>164</c:v>
                </c:pt>
                <c:pt idx="15">
                  <c:v>136</c:v>
                </c:pt>
                <c:pt idx="16">
                  <c:v>127</c:v>
                </c:pt>
                <c:pt idx="17">
                  <c:v>125</c:v>
                </c:pt>
                <c:pt idx="18">
                  <c:v>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(EW)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(EW) Historical Return Histogram + Normal Distribution Overlay</a:t>
            </a:r>
          </a:p>
        </c:rich>
      </c:tx>
      <c:layout>
        <c:manualLayout>
          <c:xMode val="edge"/>
          <c:yMode val="edge"/>
          <c:x val="0.30108591378517141"/>
          <c:y val="1.888894867004450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5152794667284949E-2"/>
          <c:y val="7.3102355294668728E-2"/>
          <c:w val="0.94945999344094489"/>
          <c:h val="0.8723512307833301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strRef>
              <c:f>'[1]Notes | Quant Analysis'!$I$182:$I$262</c:f>
              <c:strCache>
                <c:ptCount val="81"/>
                <c:pt idx="6">
                  <c:v>Notes:</c:v>
                </c:pt>
                <c:pt idx="42">
                  <c:v>Notes:</c:v>
                </c:pt>
              </c:strCache>
            </c:strRef>
          </c:xVal>
          <c:yVal>
            <c:numRef>
              <c:f>'[1]Notes | Quant Analysis'!$J$182:$J$262</c:f>
              <c:numCache>
                <c:formatCode>General</c:formatCode>
                <c:ptCount val="81"/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76">
                  <c:v>0</c:v>
                </c:pt>
                <c:pt idx="7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C8-46E7-8417-05DC731C65AA}"/>
            </c:ext>
          </c:extLst>
        </c:ser>
        <c:ser>
          <c:idx val="1"/>
          <c:order val="1"/>
          <c:tx>
            <c:strRef>
              <c:f>'[1]Notes | Quant Analysis'!$L$180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'[1]Notes | Quant Analysis'!$L$182:$L$264</c:f>
              <c:numCache>
                <c:formatCode>General</c:formatCode>
                <c:ptCount val="83"/>
              </c:numCache>
            </c:numRef>
          </c:xVal>
          <c:yVal>
            <c:numRef>
              <c:f>'[1]Notes | Quant Analysis'!$M$182:$M$264</c:f>
              <c:numCache>
                <c:formatCode>General</c:formatCode>
                <c:ptCount val="83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C8-46E7-8417-05DC731C65AA}"/>
            </c:ext>
          </c:extLst>
        </c:ser>
        <c:ser>
          <c:idx val="2"/>
          <c:order val="2"/>
          <c:tx>
            <c:strRef>
              <c:f>'[1]Notes | Quant Analysis'!$O$182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4C8-46E7-8417-05DC731C65AA}"/>
                </c:ext>
              </c:extLst>
            </c:dLbl>
            <c:dLbl>
              <c:idx val="1"/>
              <c:layout>
                <c:manualLayout>
                  <c:x val="-6.5761321986558208E-2"/>
                  <c:y val="-2.125000209153572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Analysis'!$P$182:$P$183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Analysis'!$Q$182:$Q$183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4C8-46E7-8417-05DC731C65AA}"/>
            </c:ext>
          </c:extLst>
        </c:ser>
        <c:ser>
          <c:idx val="3"/>
          <c:order val="3"/>
          <c:tx>
            <c:strRef>
              <c:f>'[1]Notes | Quant Analysis'!$O$184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4C8-46E7-8417-05DC731C65AA}"/>
                </c:ext>
              </c:extLst>
            </c:dLbl>
            <c:dLbl>
              <c:idx val="1"/>
              <c:layout>
                <c:manualLayout>
                  <c:x val="-4.0576134842769972E-2"/>
                  <c:y val="-4.9583338213583156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Analysis'!$P$184:$P$185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Analysis'!$Q$184:$Q$185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4C8-46E7-8417-05DC731C65AA}"/>
            </c:ext>
          </c:extLst>
        </c:ser>
        <c:ser>
          <c:idx val="4"/>
          <c:order val="4"/>
          <c:tx>
            <c:strRef>
              <c:f>'[1]Notes | Quant Analysis'!$O$186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4C8-46E7-8417-05DC731C65AA}"/>
                </c:ext>
              </c:extLst>
            </c:dLbl>
            <c:dLbl>
              <c:idx val="1"/>
              <c:layout>
                <c:manualLayout>
                  <c:x val="-5.3168728414664079E-2"/>
                  <c:y val="-3.5416670152559573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Analysis'!$P$186:$P$187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Analysis'!$Q$186:$Q$187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64C8-46E7-8417-05DC731C65AA}"/>
            </c:ext>
          </c:extLst>
        </c:ser>
        <c:ser>
          <c:idx val="5"/>
          <c:order val="5"/>
          <c:tx>
            <c:strRef>
              <c:f>'[1]Notes | Quant Analysis'!$O$188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4C8-46E7-8417-05DC731C65AA}"/>
                </c:ext>
              </c:extLst>
            </c:dLbl>
            <c:dLbl>
              <c:idx val="1"/>
              <c:layout>
                <c:manualLayout>
                  <c:x val="-9.5144040320977827E-2"/>
                  <c:y val="-2.125000209153572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Analysis'!$P$188:$P$189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Analysis'!$Q$188:$Q$189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64C8-46E7-8417-05DC731C65AA}"/>
            </c:ext>
          </c:extLst>
        </c:ser>
        <c:ser>
          <c:idx val="6"/>
          <c:order val="6"/>
          <c:tx>
            <c:strRef>
              <c:f>'[1]Notes | Quant Analysis'!$O$190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4C8-46E7-8417-05DC731C65AA}"/>
                </c:ext>
              </c:extLst>
            </c:dLbl>
            <c:dLbl>
              <c:idx val="1"/>
              <c:layout>
                <c:manualLayout>
                  <c:x val="-2.3786010080244464E-2"/>
                  <c:y val="-2.83333361220476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1201295968475098E-2"/>
                      <c:h val="4.927639373892762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Analysis'!$P$190:$P$191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Analysis'!$Q$190:$Q$191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64C8-46E7-8417-05DC731C65AA}"/>
            </c:ext>
          </c:extLst>
        </c:ser>
        <c:ser>
          <c:idx val="7"/>
          <c:order val="7"/>
          <c:tx>
            <c:strRef>
              <c:f>'[1]Notes | Quant Analysis'!$O$192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4C8-46E7-8417-05DC731C65AA}"/>
                </c:ext>
              </c:extLst>
            </c:dLbl>
            <c:dLbl>
              <c:idx val="1"/>
              <c:layout>
                <c:manualLayout>
                  <c:x val="-3.7777780715682475E-2"/>
                  <c:y val="-6.1388894931103132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Analysis'!$P$192:$P$193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Analysis'!$Q$192:$Q$193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64C8-46E7-8417-05DC731C65AA}"/>
            </c:ext>
          </c:extLst>
        </c:ser>
        <c:ser>
          <c:idx val="8"/>
          <c:order val="8"/>
          <c:tx>
            <c:strRef>
              <c:f>'[1]Notes | Quant Analysis'!$O$194</c:f>
              <c:strCache>
                <c:ptCount val="1"/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4C8-46E7-8417-05DC731C65AA}"/>
                </c:ext>
              </c:extLst>
            </c:dLbl>
            <c:dLbl>
              <c:idx val="1"/>
              <c:layout>
                <c:manualLayout>
                  <c:x val="-3.3580249525050995E-2"/>
                  <c:y val="-3.777778149606336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'[1]Notes | Quant Analysis'!$P$194:$P$195</c:f>
              <c:numCache>
                <c:formatCode>General</c:formatCode>
                <c:ptCount val="2"/>
              </c:numCache>
            </c:numRef>
          </c:xVal>
          <c:yVal>
            <c:numRef>
              <c:f>'[1]Notes | Quant Analysis'!$Q$194:$Q$195</c:f>
              <c:numCache>
                <c:formatCode>General</c:formatCode>
                <c:ptCount val="2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64C8-46E7-8417-05DC731C6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7843279"/>
        <c:axId val="1297840879"/>
      </c:scatterChart>
      <c:valAx>
        <c:axId val="1297843279"/>
        <c:scaling>
          <c:orientation val="minMax"/>
          <c:max val="4.5000000000000012E-2"/>
          <c:min val="-4.5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840879"/>
        <c:crosses val="autoZero"/>
        <c:crossBetween val="midCat"/>
        <c:majorUnit val="5.000000000000001E-3"/>
      </c:valAx>
      <c:valAx>
        <c:axId val="129784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843279"/>
        <c:crossesAt val="-1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(EW)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9524</xdr:colOff>
      <xdr:row>4</xdr:row>
      <xdr:rowOff>9525</xdr:rowOff>
    </xdr:from>
    <xdr:to>
      <xdr:col>8</xdr:col>
      <xdr:colOff>4481</xdr:colOff>
      <xdr:row>10</xdr:row>
      <xdr:rowOff>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5568C6-8352-CE67-4D9F-C69DC9964AE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396" r="3897"/>
        <a:stretch>
          <a:fillRect/>
        </a:stretch>
      </xdr:blipFill>
      <xdr:spPr>
        <a:xfrm>
          <a:off x="3162299" y="762000"/>
          <a:ext cx="1819275" cy="10764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0</xdr:colOff>
      <xdr:row>0</xdr:row>
      <xdr:rowOff>0</xdr:rowOff>
    </xdr:from>
    <xdr:to>
      <xdr:col>71</xdr:col>
      <xdr:colOff>0</xdr:colOff>
      <xdr:row>130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4700825" y="0"/>
          <a:ext cx="0" cy="237744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103</xdr:col>
      <xdr:colOff>0</xdr:colOff>
      <xdr:row>0</xdr:row>
      <xdr:rowOff>0</xdr:rowOff>
    </xdr:from>
    <xdr:to>
      <xdr:col>103</xdr:col>
      <xdr:colOff>0</xdr:colOff>
      <xdr:row>129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68</xdr:row>
      <xdr:rowOff>190499</xdr:rowOff>
    </xdr:from>
    <xdr:to>
      <xdr:col>23</xdr:col>
      <xdr:colOff>0</xdr:colOff>
      <xdr:row>99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105</xdr:row>
      <xdr:rowOff>0</xdr:rowOff>
    </xdr:from>
    <xdr:to>
      <xdr:col>23</xdr:col>
      <xdr:colOff>0</xdr:colOff>
      <xdr:row>133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170</xdr:row>
      <xdr:rowOff>0</xdr:rowOff>
    </xdr:from>
    <xdr:to>
      <xdr:col>23</xdr:col>
      <xdr:colOff>0</xdr:colOff>
      <xdr:row>198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138</xdr:row>
      <xdr:rowOff>0</xdr:rowOff>
    </xdr:from>
    <xdr:to>
      <xdr:col>23</xdr:col>
      <xdr:colOff>0</xdr:colOff>
      <xdr:row>166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SYK_Model.xlsx" TargetMode="External"/><Relationship Id="rId1" Type="http://schemas.openxmlformats.org/officeDocument/2006/relationships/externalLinkPath" Target="https://d.docs.live.net/Users/User/Desktop/Equity%20Research/Models/Health%20Care/MedTech/SYK_Mode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otes | Quant Analysis"/>
      <sheetName val="M&amp;A"/>
      <sheetName val="Management"/>
      <sheetName val="Markets | Product Lines"/>
      <sheetName val="Debt Schedule"/>
    </sheetNames>
    <sheetDataSet>
      <sheetData sheetId="0"/>
      <sheetData sheetId="1">
        <row r="1">
          <cell r="AY1" t="str">
            <v>Q1 2021</v>
          </cell>
          <cell r="BC1" t="str">
            <v>Q1 2022</v>
          </cell>
          <cell r="BG1" t="str">
            <v>Q1 2023</v>
          </cell>
          <cell r="BK1" t="str">
            <v>Q1 2024</v>
          </cell>
          <cell r="BO1" t="str">
            <v>Q1 2025</v>
          </cell>
        </row>
        <row r="4">
          <cell r="B4" t="str">
            <v>Instruments</v>
          </cell>
          <cell r="AW4">
            <v>467</v>
          </cell>
          <cell r="AX4">
            <v>555</v>
          </cell>
          <cell r="AY4">
            <v>469</v>
          </cell>
          <cell r="AZ4">
            <v>517</v>
          </cell>
          <cell r="BA4">
            <v>525</v>
          </cell>
          <cell r="BB4">
            <v>600</v>
          </cell>
          <cell r="BC4">
            <v>528</v>
          </cell>
          <cell r="BD4">
            <v>563</v>
          </cell>
          <cell r="BE4">
            <v>535</v>
          </cell>
          <cell r="BF4">
            <v>653</v>
          </cell>
          <cell r="BG4">
            <v>566</v>
          </cell>
          <cell r="BH4">
            <v>622</v>
          </cell>
          <cell r="BI4">
            <v>620</v>
          </cell>
          <cell r="BJ4">
            <v>726</v>
          </cell>
          <cell r="BK4">
            <v>667</v>
          </cell>
          <cell r="BL4">
            <v>698</v>
          </cell>
          <cell r="BM4">
            <v>679</v>
          </cell>
          <cell r="BN4">
            <v>790</v>
          </cell>
          <cell r="BO4">
            <v>730</v>
          </cell>
          <cell r="BP4"/>
          <cell r="BQ4"/>
        </row>
        <row r="5">
          <cell r="B5" t="str">
            <v>Endoscopy</v>
          </cell>
          <cell r="AW5">
            <v>467</v>
          </cell>
          <cell r="AX5">
            <v>525</v>
          </cell>
          <cell r="AY5">
            <v>469</v>
          </cell>
          <cell r="AZ5">
            <v>518</v>
          </cell>
          <cell r="BA5">
            <v>525</v>
          </cell>
          <cell r="BB5">
            <v>629</v>
          </cell>
          <cell r="BC5">
            <v>538</v>
          </cell>
          <cell r="BD5">
            <v>600</v>
          </cell>
          <cell r="BE5">
            <v>590</v>
          </cell>
          <cell r="BF5">
            <v>997</v>
          </cell>
          <cell r="BG5">
            <v>707</v>
          </cell>
          <cell r="BH5">
            <v>713</v>
          </cell>
          <cell r="BI5">
            <v>746</v>
          </cell>
          <cell r="BJ5">
            <v>902</v>
          </cell>
          <cell r="BK5">
            <v>778</v>
          </cell>
          <cell r="BL5">
            <v>768</v>
          </cell>
          <cell r="BM5">
            <v>837</v>
          </cell>
          <cell r="BN5">
            <v>1006</v>
          </cell>
          <cell r="BO5">
            <v>867</v>
          </cell>
          <cell r="BP5"/>
          <cell r="BQ5"/>
        </row>
        <row r="6">
          <cell r="B6" t="str">
            <v>Medical</v>
          </cell>
          <cell r="AW6">
            <v>600</v>
          </cell>
          <cell r="AX6">
            <v>705</v>
          </cell>
          <cell r="AY6">
            <v>622</v>
          </cell>
          <cell r="AZ6">
            <v>640</v>
          </cell>
          <cell r="BA6">
            <v>636</v>
          </cell>
          <cell r="BB6">
            <v>709</v>
          </cell>
          <cell r="BC6">
            <v>664</v>
          </cell>
          <cell r="BD6">
            <v>666</v>
          </cell>
          <cell r="BE6">
            <v>765</v>
          </cell>
          <cell r="BF6">
            <v>936</v>
          </cell>
          <cell r="BG6">
            <v>778</v>
          </cell>
          <cell r="BH6">
            <v>841</v>
          </cell>
          <cell r="BI6">
            <v>798</v>
          </cell>
          <cell r="BJ6">
            <v>1042</v>
          </cell>
          <cell r="BK6">
            <v>864</v>
          </cell>
          <cell r="BL6">
            <v>908</v>
          </cell>
          <cell r="BM6">
            <v>938</v>
          </cell>
          <cell r="BN6">
            <v>1142</v>
          </cell>
          <cell r="BO6">
            <v>945</v>
          </cell>
          <cell r="BP6"/>
          <cell r="BQ6"/>
        </row>
        <row r="7">
          <cell r="B7" t="str">
            <v>Vascular</v>
          </cell>
          <cell r="AW7">
            <v>66</v>
          </cell>
          <cell r="AX7">
            <v>82</v>
          </cell>
          <cell r="AY7">
            <v>289</v>
          </cell>
          <cell r="AZ7">
            <v>301</v>
          </cell>
          <cell r="BA7">
            <v>295</v>
          </cell>
          <cell r="BB7">
            <v>303</v>
          </cell>
          <cell r="BC7">
            <v>301</v>
          </cell>
          <cell r="BD7">
            <v>306</v>
          </cell>
          <cell r="BE7">
            <v>294</v>
          </cell>
          <cell r="BF7">
            <v>299</v>
          </cell>
          <cell r="BG7">
            <v>284</v>
          </cell>
          <cell r="BH7">
            <v>311</v>
          </cell>
          <cell r="BI7">
            <v>311</v>
          </cell>
          <cell r="BJ7">
            <v>320</v>
          </cell>
          <cell r="BK7">
            <v>310</v>
          </cell>
          <cell r="BL7">
            <v>327</v>
          </cell>
          <cell r="BM7">
            <v>329</v>
          </cell>
          <cell r="BN7">
            <v>341</v>
          </cell>
          <cell r="BO7">
            <v>406</v>
          </cell>
          <cell r="BP7"/>
          <cell r="BQ7"/>
        </row>
        <row r="8">
          <cell r="B8" t="str">
            <v>Neuro Cranial</v>
          </cell>
          <cell r="AW8">
            <v>518</v>
          </cell>
          <cell r="AX8">
            <v>312</v>
          </cell>
          <cell r="AY8">
            <v>281</v>
          </cell>
          <cell r="AZ8">
            <v>310</v>
          </cell>
          <cell r="BA8">
            <v>299</v>
          </cell>
          <cell r="BB8">
            <v>324</v>
          </cell>
          <cell r="BC8">
            <v>323</v>
          </cell>
          <cell r="BD8">
            <v>337</v>
          </cell>
          <cell r="BE8">
            <v>332</v>
          </cell>
          <cell r="BF8">
            <v>384</v>
          </cell>
          <cell r="BG8">
            <v>355</v>
          </cell>
          <cell r="BH8">
            <v>373</v>
          </cell>
          <cell r="BI8">
            <v>384</v>
          </cell>
          <cell r="BJ8">
            <v>764</v>
          </cell>
          <cell r="BK8">
            <v>478</v>
          </cell>
          <cell r="BL8">
            <v>416</v>
          </cell>
          <cell r="BM8">
            <v>441</v>
          </cell>
          <cell r="BN8">
            <v>801</v>
          </cell>
          <cell r="BO8">
            <v>563</v>
          </cell>
          <cell r="BP8"/>
          <cell r="BQ8"/>
        </row>
        <row r="10">
          <cell r="B10" t="str">
            <v>Knees</v>
          </cell>
          <cell r="AW10">
            <v>435</v>
          </cell>
          <cell r="AX10">
            <v>459</v>
          </cell>
          <cell r="AY10">
            <v>412</v>
          </cell>
          <cell r="AZ10">
            <v>474</v>
          </cell>
          <cell r="BA10">
            <v>439</v>
          </cell>
          <cell r="BB10">
            <v>523</v>
          </cell>
          <cell r="BC10">
            <v>464</v>
          </cell>
          <cell r="BD10">
            <v>500</v>
          </cell>
          <cell r="BE10">
            <v>481</v>
          </cell>
          <cell r="BF10">
            <v>552</v>
          </cell>
          <cell r="BG10">
            <v>566</v>
          </cell>
          <cell r="BH10">
            <v>562</v>
          </cell>
          <cell r="BI10">
            <v>515</v>
          </cell>
          <cell r="BJ10">
            <v>630</v>
          </cell>
          <cell r="BK10">
            <v>588</v>
          </cell>
          <cell r="BL10">
            <v>602</v>
          </cell>
          <cell r="BM10">
            <v>570</v>
          </cell>
          <cell r="BN10">
            <v>687</v>
          </cell>
          <cell r="BO10">
            <v>639</v>
          </cell>
          <cell r="BP10"/>
          <cell r="BQ10"/>
        </row>
        <row r="11">
          <cell r="B11" t="str">
            <v>Hips</v>
          </cell>
          <cell r="AW11">
            <v>334</v>
          </cell>
          <cell r="AX11">
            <v>340</v>
          </cell>
          <cell r="AY11">
            <v>309</v>
          </cell>
          <cell r="AZ11">
            <v>353</v>
          </cell>
          <cell r="BA11">
            <v>328</v>
          </cell>
          <cell r="BB11">
            <v>352</v>
          </cell>
          <cell r="BC11">
            <v>327</v>
          </cell>
          <cell r="BD11">
            <v>364</v>
          </cell>
          <cell r="BE11">
            <v>347</v>
          </cell>
          <cell r="BF11">
            <v>375</v>
          </cell>
          <cell r="BG11">
            <v>375</v>
          </cell>
          <cell r="BH11">
            <v>393</v>
          </cell>
          <cell r="BI11">
            <v>362</v>
          </cell>
          <cell r="BJ11">
            <v>414</v>
          </cell>
          <cell r="BK11">
            <v>393</v>
          </cell>
          <cell r="BL11">
            <v>428</v>
          </cell>
          <cell r="BM11">
            <v>420</v>
          </cell>
          <cell r="BN11">
            <v>463</v>
          </cell>
          <cell r="BO11">
            <v>443</v>
          </cell>
          <cell r="BP11"/>
          <cell r="BQ11"/>
        </row>
        <row r="12">
          <cell r="B12" t="str">
            <v>Trauma and Extremities</v>
          </cell>
          <cell r="AW12">
            <v>430</v>
          </cell>
          <cell r="AX12">
            <v>570</v>
          </cell>
          <cell r="AY12">
            <v>640</v>
          </cell>
          <cell r="AZ12">
            <v>674</v>
          </cell>
          <cell r="BA12">
            <v>639</v>
          </cell>
          <cell r="BB12">
            <v>711</v>
          </cell>
          <cell r="BC12">
            <v>685</v>
          </cell>
          <cell r="BD12">
            <v>676</v>
          </cell>
          <cell r="BE12">
            <v>672</v>
          </cell>
          <cell r="BF12">
            <v>774</v>
          </cell>
          <cell r="BG12">
            <v>769</v>
          </cell>
          <cell r="BH12">
            <v>766</v>
          </cell>
          <cell r="BI12">
            <v>752</v>
          </cell>
          <cell r="BJ12">
            <v>860</v>
          </cell>
          <cell r="BK12">
            <v>830</v>
          </cell>
          <cell r="BL12">
            <v>832</v>
          </cell>
          <cell r="BM12">
            <v>849</v>
          </cell>
          <cell r="BN12">
            <v>996</v>
          </cell>
          <cell r="BO12">
            <v>945</v>
          </cell>
          <cell r="BP12"/>
          <cell r="BQ12"/>
        </row>
        <row r="13">
          <cell r="B13" t="str">
            <v>Spinal Implants</v>
          </cell>
          <cell r="AW13">
            <v>302</v>
          </cell>
          <cell r="AX13">
            <v>307</v>
          </cell>
          <cell r="AY13">
            <v>278</v>
          </cell>
          <cell r="AZ13">
            <v>307</v>
          </cell>
          <cell r="BA13">
            <v>282</v>
          </cell>
          <cell r="BB13">
            <v>300</v>
          </cell>
          <cell r="BC13">
            <v>279</v>
          </cell>
          <cell r="BD13">
            <v>290</v>
          </cell>
          <cell r="BE13">
            <v>280</v>
          </cell>
          <cell r="BF13">
            <v>297</v>
          </cell>
          <cell r="BG13">
            <v>284</v>
          </cell>
          <cell r="BH13">
            <v>296</v>
          </cell>
          <cell r="BI13">
            <v>291</v>
          </cell>
          <cell r="BJ13">
            <v>122</v>
          </cell>
          <cell r="BK13">
            <v>171</v>
          </cell>
          <cell r="BL13">
            <v>307</v>
          </cell>
          <cell r="BM13">
            <v>304</v>
          </cell>
          <cell r="BN13">
            <v>85</v>
          </cell>
          <cell r="BO13">
            <v>166</v>
          </cell>
          <cell r="BP13"/>
          <cell r="BQ13"/>
        </row>
        <row r="14">
          <cell r="B14" t="str">
            <v>Other</v>
          </cell>
          <cell r="AW14">
            <v>118</v>
          </cell>
          <cell r="AX14">
            <v>157</v>
          </cell>
          <cell r="AY14">
            <v>123</v>
          </cell>
          <cell r="AZ14">
            <v>127</v>
          </cell>
          <cell r="BA14">
            <v>123</v>
          </cell>
          <cell r="BB14">
            <v>176</v>
          </cell>
          <cell r="BC14">
            <v>97</v>
          </cell>
          <cell r="BD14">
            <v>114</v>
          </cell>
          <cell r="BE14">
            <v>111</v>
          </cell>
          <cell r="BF14">
            <v>153</v>
          </cell>
          <cell r="BG14">
            <v>94</v>
          </cell>
          <cell r="BH14">
            <v>119</v>
          </cell>
          <cell r="BI14">
            <v>130</v>
          </cell>
          <cell r="BJ14">
            <v>35</v>
          </cell>
          <cell r="BK14">
            <v>164</v>
          </cell>
          <cell r="BL14">
            <v>136</v>
          </cell>
          <cell r="BM14">
            <v>127</v>
          </cell>
          <cell r="BN14">
            <v>125</v>
          </cell>
          <cell r="BO14">
            <v>162</v>
          </cell>
          <cell r="BP14"/>
          <cell r="BQ14"/>
        </row>
      </sheetData>
      <sheetData sheetId="2">
        <row r="188">
          <cell r="I188" t="str">
            <v>Notes:</v>
          </cell>
          <cell r="J188" t="str">
            <v>[X]</v>
          </cell>
        </row>
        <row r="189">
          <cell r="J189" t="str">
            <v>[Y]</v>
          </cell>
        </row>
        <row r="190">
          <cell r="J190" t="str">
            <v>[Z]</v>
          </cell>
        </row>
        <row r="224">
          <cell r="I224" t="str">
            <v>Notes:</v>
          </cell>
          <cell r="J224" t="str">
            <v>[X]</v>
          </cell>
        </row>
        <row r="225">
          <cell r="J225" t="str">
            <v>[Y]</v>
          </cell>
        </row>
        <row r="226">
          <cell r="J226" t="str">
            <v>[Z]</v>
          </cell>
        </row>
        <row r="258">
          <cell r="J258" t="str">
            <v xml:space="preserve">The return distribution fits a Gaussian curve well, implying that daily change follows a roughly normal distribution </v>
          </cell>
        </row>
        <row r="259">
          <cell r="J259" t="str">
            <v xml:space="preserve">There is slight implied upside to mean 1-day returns 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  <row r="50">
          <cell r="AW50">
            <v>2543</v>
          </cell>
          <cell r="AX50">
            <v>2003</v>
          </cell>
          <cell r="AY50">
            <v>2659</v>
          </cell>
          <cell r="AZ50">
            <v>2708</v>
          </cell>
          <cell r="BA50">
            <v>2752</v>
          </cell>
          <cell r="BB50">
            <v>3077</v>
          </cell>
          <cell r="BC50">
            <v>2932</v>
          </cell>
          <cell r="BD50">
            <v>3127</v>
          </cell>
          <cell r="BE50">
            <v>3026</v>
          </cell>
          <cell r="BF50">
            <v>3244</v>
          </cell>
          <cell r="BG50">
            <v>3170</v>
          </cell>
          <cell r="BH50">
            <v>3242</v>
          </cell>
          <cell r="BI50">
            <v>3389</v>
          </cell>
          <cell r="BJ50">
            <v>3599</v>
          </cell>
          <cell r="BK50">
            <v>3527</v>
          </cell>
          <cell r="BL50">
            <v>3725</v>
          </cell>
          <cell r="BM50">
            <v>3857</v>
          </cell>
          <cell r="BN50">
            <v>4120</v>
          </cell>
          <cell r="BO50">
            <v>4209</v>
          </cell>
          <cell r="BP50">
            <v>4561</v>
          </cell>
          <cell r="BQ50">
            <v>4663</v>
          </cell>
        </row>
        <row r="70">
          <cell r="AW70">
            <v>11</v>
          </cell>
          <cell r="AX70">
            <v>-152</v>
          </cell>
          <cell r="AY70">
            <v>-169</v>
          </cell>
          <cell r="AZ70">
            <v>196</v>
          </cell>
          <cell r="BA70">
            <v>327</v>
          </cell>
          <cell r="BB70">
            <v>172</v>
          </cell>
          <cell r="BC70">
            <v>405</v>
          </cell>
          <cell r="BD70">
            <v>80</v>
          </cell>
          <cell r="BE70">
            <v>97</v>
          </cell>
          <cell r="BF70">
            <v>246</v>
          </cell>
          <cell r="BG70">
            <v>174</v>
          </cell>
          <cell r="BH70">
            <v>124</v>
          </cell>
          <cell r="BI70">
            <v>300</v>
          </cell>
          <cell r="BJ70">
            <v>261</v>
          </cell>
          <cell r="BK70">
            <v>504</v>
          </cell>
          <cell r="BL70">
            <v>504</v>
          </cell>
          <cell r="BM70">
            <v>495</v>
          </cell>
          <cell r="BN70">
            <v>324</v>
          </cell>
          <cell r="BO70">
            <v>468</v>
          </cell>
          <cell r="BP70">
            <v>565</v>
          </cell>
          <cell r="BQ70">
            <v>674</v>
          </cell>
        </row>
        <row r="115">
          <cell r="AZ115">
            <v>1.4515077424612877</v>
          </cell>
          <cell r="BA115">
            <v>1.3834364868847628</v>
          </cell>
          <cell r="BB115">
            <v>1.3083722072182666</v>
          </cell>
          <cell r="BC115">
            <v>1.1499254102436598</v>
          </cell>
          <cell r="BD115">
            <v>1.1015679850222326</v>
          </cell>
          <cell r="BE115">
            <v>0.77889564810481982</v>
          </cell>
          <cell r="BF115">
            <v>0.85784187483904195</v>
          </cell>
          <cell r="BG115">
            <v>0.94561848408002258</v>
          </cell>
          <cell r="BH115">
            <v>1.0236655272153563</v>
          </cell>
          <cell r="BI115">
            <v>0.89468528043105555</v>
          </cell>
          <cell r="BJ115">
            <v>0.79701885138097328</v>
          </cell>
          <cell r="BK115">
            <v>0.89561039528281283</v>
          </cell>
          <cell r="BL115">
            <v>0.8169841913254966</v>
          </cell>
          <cell r="BM115">
            <v>1.1438161106590725</v>
          </cell>
          <cell r="BN115">
            <v>1.144906743185079</v>
          </cell>
          <cell r="BO115">
            <v>1.016579259008628</v>
          </cell>
          <cell r="BP115">
            <v>0.64223194748358858</v>
          </cell>
          <cell r="BQ115">
            <v>0.88335310399367339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dwards.com/" TargetMode="External"/><Relationship Id="rId2" Type="http://schemas.openxmlformats.org/officeDocument/2006/relationships/hyperlink" Target="EW_Model.xlsx" TargetMode="External"/><Relationship Id="rId1" Type="http://schemas.openxmlformats.org/officeDocument/2006/relationships/hyperlink" Target="https://app.godelterminal.com/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5"/>
  <sheetViews>
    <sheetView zoomScale="85" zoomScaleNormal="85" workbookViewId="0">
      <selection activeCell="B36" sqref="B36"/>
    </sheetView>
  </sheetViews>
  <sheetFormatPr defaultColWidth="9.140625" defaultRowHeight="14.25"/>
  <cols>
    <col min="1" max="1" width="3.42578125" style="1" customWidth="1"/>
    <col min="2" max="4" width="11.5703125" style="1" customWidth="1"/>
    <col min="5" max="16384" width="9.140625" style="1"/>
  </cols>
  <sheetData>
    <row r="1" spans="1:16" ht="15">
      <c r="A1" s="69" t="s">
        <v>0</v>
      </c>
    </row>
    <row r="2" spans="1:16" ht="15">
      <c r="A2" s="2" t="s">
        <v>209</v>
      </c>
    </row>
    <row r="4" spans="1:16" ht="15">
      <c r="B4" s="2" t="s">
        <v>1491</v>
      </c>
    </row>
    <row r="5" spans="1:16">
      <c r="B5" s="1" t="s">
        <v>1</v>
      </c>
      <c r="C5" s="44">
        <v>74.39</v>
      </c>
      <c r="D5" s="43" t="s">
        <v>1492</v>
      </c>
    </row>
    <row r="6" spans="1:16">
      <c r="B6" s="1" t="s">
        <v>2</v>
      </c>
      <c r="C6" s="45">
        <v>587.1</v>
      </c>
      <c r="D6" s="1" t="s">
        <v>229</v>
      </c>
    </row>
    <row r="7" spans="1:16">
      <c r="B7" s="1" t="s">
        <v>3</v>
      </c>
      <c r="C7" s="46">
        <f>C5*C6</f>
        <v>43674.368999999999</v>
      </c>
    </row>
    <row r="8" spans="1:16">
      <c r="B8" s="1" t="s">
        <v>4</v>
      </c>
      <c r="C8" s="47">
        <f>3272.8+789.4</f>
        <v>4062.2000000000003</v>
      </c>
      <c r="D8" s="1" t="s">
        <v>229</v>
      </c>
    </row>
    <row r="9" spans="1:16">
      <c r="B9" s="1" t="s">
        <v>5</v>
      </c>
      <c r="C9" s="47">
        <v>598</v>
      </c>
      <c r="D9" s="1" t="s">
        <v>229</v>
      </c>
    </row>
    <row r="10" spans="1:16">
      <c r="B10" s="1" t="s">
        <v>6</v>
      </c>
      <c r="C10" s="47">
        <f>C7-C8+C9</f>
        <v>40210.169000000002</v>
      </c>
    </row>
    <row r="12" spans="1:16" ht="15">
      <c r="B12" s="2" t="s">
        <v>1493</v>
      </c>
    </row>
    <row r="14" spans="1:16" ht="15">
      <c r="B14" s="1" t="s">
        <v>1494</v>
      </c>
      <c r="F14" s="1" t="s">
        <v>1503</v>
      </c>
      <c r="L14" s="1" t="s">
        <v>208</v>
      </c>
      <c r="O14" s="2"/>
    </row>
    <row r="15" spans="1:16">
      <c r="B15" s="1" t="s">
        <v>1495</v>
      </c>
      <c r="F15" s="1" t="s">
        <v>1504</v>
      </c>
      <c r="L15" s="1" t="s">
        <v>8</v>
      </c>
      <c r="O15" s="48" t="s">
        <v>1508</v>
      </c>
      <c r="P15" s="48"/>
    </row>
    <row r="16" spans="1:16">
      <c r="B16" s="1" t="s">
        <v>1499</v>
      </c>
      <c r="F16" s="1" t="s">
        <v>7</v>
      </c>
      <c r="L16" s="1" t="s">
        <v>214</v>
      </c>
      <c r="O16" s="48" t="s">
        <v>1506</v>
      </c>
      <c r="P16" s="48"/>
    </row>
    <row r="17" spans="1:16">
      <c r="B17" s="1" t="s">
        <v>1498</v>
      </c>
      <c r="F17" s="1" t="s">
        <v>205</v>
      </c>
      <c r="M17" s="1" t="s">
        <v>213</v>
      </c>
      <c r="O17" s="48"/>
      <c r="P17" s="48" t="s">
        <v>1507</v>
      </c>
    </row>
    <row r="18" spans="1:16">
      <c r="B18" s="1" t="s">
        <v>1500</v>
      </c>
      <c r="F18" s="1" t="s">
        <v>198</v>
      </c>
      <c r="G18" s="1" t="s">
        <v>1505</v>
      </c>
      <c r="I18" s="1" t="s">
        <v>199</v>
      </c>
      <c r="L18" s="1" t="s">
        <v>202</v>
      </c>
      <c r="O18" s="48" t="s">
        <v>1509</v>
      </c>
      <c r="P18" s="48"/>
    </row>
    <row r="19" spans="1:16">
      <c r="B19" s="1" t="s">
        <v>1501</v>
      </c>
      <c r="L19" s="1" t="s">
        <v>203</v>
      </c>
      <c r="O19" s="48" t="s">
        <v>1510</v>
      </c>
      <c r="P19" s="48"/>
    </row>
    <row r="20" spans="1:16">
      <c r="B20" s="1" t="s">
        <v>1502</v>
      </c>
      <c r="L20" s="1" t="s">
        <v>215</v>
      </c>
      <c r="O20" s="48" t="s">
        <v>1511</v>
      </c>
      <c r="P20" s="48"/>
    </row>
    <row r="21" spans="1:16">
      <c r="B21" s="1" t="s">
        <v>1496</v>
      </c>
      <c r="L21" s="1" t="s">
        <v>216</v>
      </c>
      <c r="O21" s="48" t="s">
        <v>1512</v>
      </c>
      <c r="P21" s="48"/>
    </row>
    <row r="22" spans="1:16">
      <c r="B22" s="1" t="s">
        <v>1497</v>
      </c>
      <c r="L22" s="1" t="s">
        <v>9</v>
      </c>
      <c r="O22" s="48" t="s">
        <v>204</v>
      </c>
    </row>
    <row r="24" spans="1:16" ht="15">
      <c r="A24" s="2" t="s">
        <v>10</v>
      </c>
    </row>
    <row r="25" spans="1:16">
      <c r="B25" s="1" t="s">
        <v>1517</v>
      </c>
    </row>
    <row r="26" spans="1:16">
      <c r="C26" s="1" t="s">
        <v>1519</v>
      </c>
    </row>
    <row r="27" spans="1:16">
      <c r="C27" s="1" t="s">
        <v>1515</v>
      </c>
    </row>
    <row r="28" spans="1:16">
      <c r="B28" s="1" t="s">
        <v>1516</v>
      </c>
    </row>
    <row r="29" spans="1:16">
      <c r="C29" s="1" t="s">
        <v>1513</v>
      </c>
    </row>
    <row r="30" spans="1:16">
      <c r="B30" s="1" t="s">
        <v>1514</v>
      </c>
    </row>
    <row r="31" spans="1:16">
      <c r="B31" s="1" t="s">
        <v>1518</v>
      </c>
    </row>
    <row r="32" spans="1:16">
      <c r="B32" s="1" t="s">
        <v>1520</v>
      </c>
    </row>
    <row r="33" spans="1:2">
      <c r="B33" s="1" t="s">
        <v>1521</v>
      </c>
    </row>
    <row r="35" spans="1:2" ht="15">
      <c r="A35" s="2" t="s">
        <v>206</v>
      </c>
    </row>
  </sheetData>
  <hyperlinks>
    <hyperlink ref="O22" r:id="rId1" xr:uid="{14375537-5C3D-4253-9650-337AB6789785}"/>
    <hyperlink ref="A1" r:id="rId2" xr:uid="{A60C4E25-8B3D-4DB3-A7CE-CCAABA8214EB}"/>
    <hyperlink ref="O16" r:id="rId3" xr:uid="{D2F8BFB3-31E6-4625-95BF-CF4C66ACE935}"/>
  </hyperlinks>
  <pageMargins left="0.7" right="0.7" top="0.75" bottom="0.75" header="0.3" footer="0.3"/>
  <ignoredErrors>
    <ignoredError sqref="D5" twoDigitTextYear="1"/>
  </ignoredErrors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J122"/>
  <sheetViews>
    <sheetView tabSelected="1" zoomScale="85" zoomScaleNormal="85" workbookViewId="0">
      <pane xSplit="2" ySplit="3" topLeftCell="CG4" activePane="bottomRight" state="frozen"/>
      <selection pane="topRight" activeCell="C1" sqref="C1"/>
      <selection pane="bottomLeft" activeCell="A4" sqref="A4"/>
      <selection pane="bottomRight" activeCell="CH71" sqref="CH71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4" width="9.140625" style="1" customWidth="1"/>
    <col min="5" max="71" width="9.140625" style="1"/>
    <col min="72" max="78" width="9.140625" style="35"/>
    <col min="79" max="103" width="9.140625" style="1"/>
    <col min="104" max="165" width="9.140625" style="35"/>
    <col min="166" max="16384" width="9.140625" style="1"/>
  </cols>
  <sheetData>
    <row r="1" spans="2:166" ht="15">
      <c r="B1" s="1" t="s">
        <v>119</v>
      </c>
      <c r="AY1" s="33" t="s">
        <v>91</v>
      </c>
      <c r="BC1" s="33" t="s">
        <v>95</v>
      </c>
      <c r="BG1" s="33" t="s">
        <v>99</v>
      </c>
      <c r="BK1" s="33" t="s">
        <v>103</v>
      </c>
      <c r="BO1" s="33" t="s">
        <v>107</v>
      </c>
      <c r="BS1" s="33" t="s">
        <v>111</v>
      </c>
    </row>
    <row r="2" spans="2:166">
      <c r="B2" s="1" t="s">
        <v>120</v>
      </c>
    </row>
    <row r="3" spans="2:166" ht="15">
      <c r="B3" s="2" t="s">
        <v>121</v>
      </c>
      <c r="C3" s="2" t="s">
        <v>123</v>
      </c>
      <c r="D3" s="33" t="s">
        <v>45</v>
      </c>
      <c r="E3" s="33" t="s">
        <v>46</v>
      </c>
      <c r="F3" s="33" t="s">
        <v>124</v>
      </c>
      <c r="G3" s="33" t="s">
        <v>47</v>
      </c>
      <c r="H3" s="33" t="s">
        <v>48</v>
      </c>
      <c r="I3" s="33" t="s">
        <v>49</v>
      </c>
      <c r="J3" s="33" t="s">
        <v>50</v>
      </c>
      <c r="K3" s="33" t="s">
        <v>51</v>
      </c>
      <c r="L3" s="33" t="s">
        <v>52</v>
      </c>
      <c r="M3" s="33" t="s">
        <v>53</v>
      </c>
      <c r="N3" s="33" t="s">
        <v>54</v>
      </c>
      <c r="O3" s="33" t="s">
        <v>55</v>
      </c>
      <c r="P3" s="33" t="s">
        <v>56</v>
      </c>
      <c r="Q3" s="33" t="s">
        <v>57</v>
      </c>
      <c r="R3" s="33" t="s">
        <v>58</v>
      </c>
      <c r="S3" s="33" t="s">
        <v>59</v>
      </c>
      <c r="T3" s="33" t="s">
        <v>60</v>
      </c>
      <c r="U3" s="33" t="s">
        <v>61</v>
      </c>
      <c r="V3" s="33" t="s">
        <v>62</v>
      </c>
      <c r="W3" s="33" t="s">
        <v>63</v>
      </c>
      <c r="X3" s="33" t="s">
        <v>64</v>
      </c>
      <c r="Y3" s="33" t="s">
        <v>65</v>
      </c>
      <c r="Z3" s="33" t="s">
        <v>66</v>
      </c>
      <c r="AA3" s="33" t="s">
        <v>67</v>
      </c>
      <c r="AB3" s="33" t="s">
        <v>68</v>
      </c>
      <c r="AC3" s="33" t="s">
        <v>69</v>
      </c>
      <c r="AD3" s="33" t="s">
        <v>70</v>
      </c>
      <c r="AE3" s="33" t="s">
        <v>71</v>
      </c>
      <c r="AF3" s="33" t="s">
        <v>72</v>
      </c>
      <c r="AG3" s="33" t="s">
        <v>73</v>
      </c>
      <c r="AH3" s="33" t="s">
        <v>74</v>
      </c>
      <c r="AI3" s="33" t="s">
        <v>75</v>
      </c>
      <c r="AJ3" s="33" t="s">
        <v>76</v>
      </c>
      <c r="AK3" s="33" t="s">
        <v>77</v>
      </c>
      <c r="AL3" s="33" t="s">
        <v>78</v>
      </c>
      <c r="AM3" s="33" t="s">
        <v>79</v>
      </c>
      <c r="AN3" s="33" t="s">
        <v>80</v>
      </c>
      <c r="AO3" s="33" t="s">
        <v>81</v>
      </c>
      <c r="AP3" s="33" t="s">
        <v>82</v>
      </c>
      <c r="AQ3" s="33" t="s">
        <v>83</v>
      </c>
      <c r="AR3" s="33" t="s">
        <v>84</v>
      </c>
      <c r="AS3" s="33" t="s">
        <v>85</v>
      </c>
      <c r="AT3" s="33" t="s">
        <v>86</v>
      </c>
      <c r="AU3" s="33" t="s">
        <v>87</v>
      </c>
      <c r="AV3" s="33" t="s">
        <v>88</v>
      </c>
      <c r="AW3" s="33" t="s">
        <v>89</v>
      </c>
      <c r="AX3" s="33" t="s">
        <v>90</v>
      </c>
      <c r="AY3" s="33" t="s">
        <v>91</v>
      </c>
      <c r="AZ3" s="33" t="s">
        <v>92</v>
      </c>
      <c r="BA3" s="33" t="s">
        <v>93</v>
      </c>
      <c r="BB3" s="33" t="s">
        <v>94</v>
      </c>
      <c r="BC3" s="33" t="s">
        <v>95</v>
      </c>
      <c r="BD3" s="33" t="s">
        <v>96</v>
      </c>
      <c r="BE3" s="33" t="s">
        <v>97</v>
      </c>
      <c r="BF3" s="33" t="s">
        <v>98</v>
      </c>
      <c r="BG3" s="33" t="s">
        <v>99</v>
      </c>
      <c r="BH3" s="33" t="s">
        <v>100</v>
      </c>
      <c r="BI3" s="33" t="s">
        <v>101</v>
      </c>
      <c r="BJ3" s="33" t="s">
        <v>102</v>
      </c>
      <c r="BK3" s="33" t="s">
        <v>103</v>
      </c>
      <c r="BL3" s="33" t="s">
        <v>104</v>
      </c>
      <c r="BM3" s="33" t="s">
        <v>105</v>
      </c>
      <c r="BN3" s="33" t="s">
        <v>106</v>
      </c>
      <c r="BO3" s="33" t="s">
        <v>107</v>
      </c>
      <c r="BP3" s="33" t="s">
        <v>108</v>
      </c>
      <c r="BQ3" s="33" t="s">
        <v>109</v>
      </c>
      <c r="BR3" s="33" t="s">
        <v>110</v>
      </c>
      <c r="BS3" s="33" t="s">
        <v>111</v>
      </c>
      <c r="BT3" s="34" t="s">
        <v>112</v>
      </c>
      <c r="BU3" s="34" t="s">
        <v>113</v>
      </c>
      <c r="BV3" s="34" t="s">
        <v>114</v>
      </c>
      <c r="BW3" s="34" t="s">
        <v>115</v>
      </c>
      <c r="BX3" s="34" t="s">
        <v>116</v>
      </c>
      <c r="BY3" s="34" t="s">
        <v>117</v>
      </c>
      <c r="BZ3" s="34" t="s">
        <v>118</v>
      </c>
      <c r="CI3" s="2">
        <v>2008</v>
      </c>
      <c r="CJ3" s="2">
        <f>CI3+1</f>
        <v>2009</v>
      </c>
      <c r="CK3" s="2">
        <f t="shared" ref="CK3:EV3" si="0">CJ3+1</f>
        <v>2010</v>
      </c>
      <c r="CL3" s="2">
        <f t="shared" si="0"/>
        <v>2011</v>
      </c>
      <c r="CM3" s="2">
        <f t="shared" si="0"/>
        <v>2012</v>
      </c>
      <c r="CN3" s="2">
        <f t="shared" si="0"/>
        <v>2013</v>
      </c>
      <c r="CO3" s="2">
        <f t="shared" si="0"/>
        <v>2014</v>
      </c>
      <c r="CP3" s="2">
        <f t="shared" si="0"/>
        <v>2015</v>
      </c>
      <c r="CQ3" s="2">
        <f t="shared" si="0"/>
        <v>2016</v>
      </c>
      <c r="CR3" s="2">
        <f t="shared" si="0"/>
        <v>2017</v>
      </c>
      <c r="CS3" s="2">
        <f t="shared" si="0"/>
        <v>2018</v>
      </c>
      <c r="CT3" s="2">
        <f t="shared" si="0"/>
        <v>2019</v>
      </c>
      <c r="CU3" s="2">
        <f t="shared" si="0"/>
        <v>2020</v>
      </c>
      <c r="CV3" s="2">
        <f t="shared" si="0"/>
        <v>2021</v>
      </c>
      <c r="CW3" s="2">
        <f t="shared" si="0"/>
        <v>2022</v>
      </c>
      <c r="CX3" s="2">
        <f t="shared" si="0"/>
        <v>2023</v>
      </c>
      <c r="CY3" s="2">
        <f t="shared" si="0"/>
        <v>2024</v>
      </c>
      <c r="CZ3" s="34">
        <f t="shared" si="0"/>
        <v>2025</v>
      </c>
      <c r="DA3" s="34">
        <f t="shared" si="0"/>
        <v>2026</v>
      </c>
      <c r="DB3" s="34">
        <f t="shared" si="0"/>
        <v>2027</v>
      </c>
      <c r="DC3" s="34">
        <f t="shared" si="0"/>
        <v>2028</v>
      </c>
      <c r="DD3" s="34">
        <f t="shared" si="0"/>
        <v>2029</v>
      </c>
      <c r="DE3" s="34">
        <f t="shared" si="0"/>
        <v>2030</v>
      </c>
      <c r="DF3" s="34">
        <f t="shared" si="0"/>
        <v>2031</v>
      </c>
      <c r="DG3" s="34">
        <f t="shared" si="0"/>
        <v>2032</v>
      </c>
      <c r="DH3" s="34">
        <f t="shared" si="0"/>
        <v>2033</v>
      </c>
      <c r="DI3" s="34">
        <f t="shared" si="0"/>
        <v>2034</v>
      </c>
      <c r="DJ3" s="34">
        <f t="shared" si="0"/>
        <v>2035</v>
      </c>
      <c r="DK3" s="34">
        <f t="shared" si="0"/>
        <v>2036</v>
      </c>
      <c r="DL3" s="34">
        <f t="shared" si="0"/>
        <v>2037</v>
      </c>
      <c r="DM3" s="34">
        <f t="shared" si="0"/>
        <v>2038</v>
      </c>
      <c r="DN3" s="34">
        <f t="shared" si="0"/>
        <v>2039</v>
      </c>
      <c r="DO3" s="34">
        <f t="shared" si="0"/>
        <v>2040</v>
      </c>
      <c r="DP3" s="34">
        <f t="shared" si="0"/>
        <v>2041</v>
      </c>
      <c r="DQ3" s="34">
        <f t="shared" si="0"/>
        <v>2042</v>
      </c>
      <c r="DR3" s="34">
        <f t="shared" si="0"/>
        <v>2043</v>
      </c>
      <c r="DS3" s="34">
        <f t="shared" si="0"/>
        <v>2044</v>
      </c>
      <c r="DT3" s="34">
        <f t="shared" si="0"/>
        <v>2045</v>
      </c>
      <c r="DU3" s="34">
        <f t="shared" si="0"/>
        <v>2046</v>
      </c>
      <c r="DV3" s="34">
        <f t="shared" si="0"/>
        <v>2047</v>
      </c>
      <c r="DW3" s="34">
        <f t="shared" si="0"/>
        <v>2048</v>
      </c>
      <c r="DX3" s="34">
        <f t="shared" si="0"/>
        <v>2049</v>
      </c>
      <c r="DY3" s="34">
        <f t="shared" si="0"/>
        <v>2050</v>
      </c>
      <c r="DZ3" s="34">
        <f t="shared" si="0"/>
        <v>2051</v>
      </c>
      <c r="EA3" s="34">
        <f t="shared" si="0"/>
        <v>2052</v>
      </c>
      <c r="EB3" s="34">
        <f t="shared" si="0"/>
        <v>2053</v>
      </c>
      <c r="EC3" s="34">
        <f t="shared" si="0"/>
        <v>2054</v>
      </c>
      <c r="ED3" s="34">
        <f t="shared" si="0"/>
        <v>2055</v>
      </c>
      <c r="EE3" s="34">
        <f t="shared" si="0"/>
        <v>2056</v>
      </c>
      <c r="EF3" s="34">
        <f t="shared" si="0"/>
        <v>2057</v>
      </c>
      <c r="EG3" s="34">
        <f t="shared" si="0"/>
        <v>2058</v>
      </c>
      <c r="EH3" s="34">
        <f t="shared" si="0"/>
        <v>2059</v>
      </c>
      <c r="EI3" s="34">
        <f t="shared" si="0"/>
        <v>2060</v>
      </c>
      <c r="EJ3" s="34">
        <f t="shared" si="0"/>
        <v>2061</v>
      </c>
      <c r="EK3" s="34">
        <f t="shared" si="0"/>
        <v>2062</v>
      </c>
      <c r="EL3" s="34">
        <f t="shared" si="0"/>
        <v>2063</v>
      </c>
      <c r="EM3" s="34">
        <f t="shared" si="0"/>
        <v>2064</v>
      </c>
      <c r="EN3" s="34">
        <f t="shared" si="0"/>
        <v>2065</v>
      </c>
      <c r="EO3" s="34">
        <f t="shared" si="0"/>
        <v>2066</v>
      </c>
      <c r="EP3" s="34">
        <f t="shared" si="0"/>
        <v>2067</v>
      </c>
      <c r="EQ3" s="34">
        <f t="shared" si="0"/>
        <v>2068</v>
      </c>
      <c r="ER3" s="34">
        <f t="shared" si="0"/>
        <v>2069</v>
      </c>
      <c r="ES3" s="34">
        <f t="shared" si="0"/>
        <v>2070</v>
      </c>
      <c r="ET3" s="34">
        <f t="shared" si="0"/>
        <v>2071</v>
      </c>
      <c r="EU3" s="34">
        <f t="shared" si="0"/>
        <v>2072</v>
      </c>
      <c r="EV3" s="34">
        <f t="shared" si="0"/>
        <v>2073</v>
      </c>
      <c r="EW3" s="34">
        <f t="shared" ref="EW3:FG3" si="1">EV3+1</f>
        <v>2074</v>
      </c>
      <c r="EX3" s="34">
        <f t="shared" si="1"/>
        <v>2075</v>
      </c>
      <c r="EY3" s="34">
        <f t="shared" si="1"/>
        <v>2076</v>
      </c>
      <c r="EZ3" s="34">
        <f t="shared" si="1"/>
        <v>2077</v>
      </c>
      <c r="FA3" s="34">
        <f t="shared" si="1"/>
        <v>2078</v>
      </c>
      <c r="FB3" s="34">
        <f t="shared" si="1"/>
        <v>2079</v>
      </c>
      <c r="FC3" s="34">
        <f t="shared" si="1"/>
        <v>2080</v>
      </c>
      <c r="FD3" s="34">
        <f t="shared" si="1"/>
        <v>2081</v>
      </c>
      <c r="FE3" s="34">
        <f t="shared" si="1"/>
        <v>2082</v>
      </c>
      <c r="FF3" s="34">
        <f t="shared" si="1"/>
        <v>2083</v>
      </c>
      <c r="FG3" s="34">
        <f t="shared" si="1"/>
        <v>2084</v>
      </c>
      <c r="FH3" s="34"/>
      <c r="FI3" s="34"/>
      <c r="FJ3" s="2"/>
    </row>
    <row r="4" spans="2:166">
      <c r="B4" s="36" t="s">
        <v>126</v>
      </c>
      <c r="CI4" s="1">
        <f>SUM(C4:F4)</f>
        <v>0</v>
      </c>
      <c r="CJ4" s="1">
        <f>SUM(G4:J4)</f>
        <v>0</v>
      </c>
      <c r="CK4" s="1">
        <f>SUM(K4:N4)</f>
        <v>0</v>
      </c>
      <c r="CL4" s="1">
        <f>SUM(O4:R4)</f>
        <v>0</v>
      </c>
      <c r="CM4" s="1">
        <f>SUM(S4:V4)</f>
        <v>0</v>
      </c>
      <c r="CN4" s="1">
        <f>SUM(W4:Z4)</f>
        <v>0</v>
      </c>
      <c r="CO4" s="1">
        <f>SUM(AA4:AD4)</f>
        <v>0</v>
      </c>
      <c r="CP4" s="1">
        <f>SUM(AE4:AH4)</f>
        <v>0</v>
      </c>
      <c r="CQ4" s="1">
        <f>SUM(AI4:AL4)</f>
        <v>0</v>
      </c>
      <c r="CR4" s="1">
        <f>SUM(AM4:AP4)</f>
        <v>0</v>
      </c>
      <c r="CS4" s="1">
        <f>SUM(AQ4:AT4)</f>
        <v>0</v>
      </c>
      <c r="CT4" s="1">
        <f>SUM(AU4:AX4)</f>
        <v>0</v>
      </c>
      <c r="CU4" s="1">
        <f>SUM(AY4:BB4)</f>
        <v>0</v>
      </c>
      <c r="CV4" s="1">
        <f>SUM(BC4:BF4)</f>
        <v>0</v>
      </c>
      <c r="CW4" s="1">
        <f>SUM(BG4:BJ4)</f>
        <v>0</v>
      </c>
      <c r="CX4" s="1">
        <f>SUM(BK4:BN4)</f>
        <v>0</v>
      </c>
      <c r="CY4" s="1">
        <f>SUM(BO4:BR4)</f>
        <v>0</v>
      </c>
      <c r="CZ4" s="35">
        <f t="shared" ref="CZ4:DI4" si="2">CY4*(1+CZ16)</f>
        <v>0</v>
      </c>
      <c r="DA4" s="35">
        <f t="shared" si="2"/>
        <v>0</v>
      </c>
      <c r="DB4" s="35">
        <f t="shared" si="2"/>
        <v>0</v>
      </c>
      <c r="DC4" s="35">
        <f t="shared" si="2"/>
        <v>0</v>
      </c>
      <c r="DD4" s="35">
        <f t="shared" si="2"/>
        <v>0</v>
      </c>
      <c r="DE4" s="35">
        <f t="shared" si="2"/>
        <v>0</v>
      </c>
      <c r="DF4" s="35">
        <f t="shared" si="2"/>
        <v>0</v>
      </c>
      <c r="DG4" s="35">
        <f t="shared" si="2"/>
        <v>0</v>
      </c>
      <c r="DH4" s="35">
        <f t="shared" si="2"/>
        <v>0</v>
      </c>
      <c r="DI4" s="35">
        <f t="shared" si="2"/>
        <v>0</v>
      </c>
    </row>
    <row r="5" spans="2:166">
      <c r="B5" s="36" t="s">
        <v>127</v>
      </c>
      <c r="CI5" s="1">
        <f t="shared" ref="CI5:CI14" si="3">SUM(C5:F5)</f>
        <v>0</v>
      </c>
      <c r="CJ5" s="1">
        <f t="shared" ref="CJ5:CJ14" si="4">SUM(G5:J5)</f>
        <v>0</v>
      </c>
      <c r="CK5" s="1">
        <f t="shared" ref="CK5:CK14" si="5">SUM(K5:N5)</f>
        <v>0</v>
      </c>
      <c r="CL5" s="1">
        <f t="shared" ref="CL5:CL14" si="6">SUM(O5:R5)</f>
        <v>0</v>
      </c>
      <c r="CM5" s="1">
        <f t="shared" ref="CM5:CM14" si="7">SUM(S5:V5)</f>
        <v>0</v>
      </c>
      <c r="CN5" s="1">
        <f t="shared" ref="CN5:CN14" si="8">SUM(W5:Z5)</f>
        <v>0</v>
      </c>
      <c r="CO5" s="1">
        <f t="shared" ref="CO5:CO14" si="9">SUM(AA5:AD5)</f>
        <v>0</v>
      </c>
      <c r="CP5" s="1">
        <f t="shared" ref="CP5:CP14" si="10">SUM(AE5:AH5)</f>
        <v>0</v>
      </c>
      <c r="CQ5" s="1">
        <f t="shared" ref="CQ5:CQ14" si="11">SUM(AI5:AL5)</f>
        <v>0</v>
      </c>
      <c r="CR5" s="1">
        <f t="shared" ref="CR5:CR14" si="12">SUM(AM5:AP5)</f>
        <v>0</v>
      </c>
      <c r="CS5" s="1">
        <f t="shared" ref="CS5:CS14" si="13">SUM(AQ5:AT5)</f>
        <v>0</v>
      </c>
      <c r="CT5" s="1">
        <f t="shared" ref="CT5:CT14" si="14">SUM(AU5:AX5)</f>
        <v>0</v>
      </c>
      <c r="CU5" s="1">
        <f t="shared" ref="CU5:CU14" si="15">SUM(AY5:BB5)</f>
        <v>0</v>
      </c>
      <c r="CV5" s="1">
        <f t="shared" ref="CV5:CV14" si="16">SUM(BC5:BF5)</f>
        <v>0</v>
      </c>
      <c r="CW5" s="1">
        <f t="shared" ref="CW5:CW14" si="17">SUM(BG5:BJ5)</f>
        <v>0</v>
      </c>
      <c r="CX5" s="1">
        <f t="shared" ref="CX5:CX14" si="18">SUM(BK5:BN5)</f>
        <v>0</v>
      </c>
      <c r="CY5" s="1">
        <f t="shared" ref="CY5:CY14" si="19">SUM(BO5:BR5)</f>
        <v>0</v>
      </c>
      <c r="CZ5" s="35">
        <f t="shared" ref="CZ5:DI5" si="20">CY5*(1+CZ17)</f>
        <v>0</v>
      </c>
      <c r="DA5" s="35">
        <f t="shared" si="20"/>
        <v>0</v>
      </c>
      <c r="DB5" s="35">
        <f t="shared" si="20"/>
        <v>0</v>
      </c>
      <c r="DC5" s="35">
        <f t="shared" si="20"/>
        <v>0</v>
      </c>
      <c r="DD5" s="35">
        <f t="shared" si="20"/>
        <v>0</v>
      </c>
      <c r="DE5" s="35">
        <f t="shared" si="20"/>
        <v>0</v>
      </c>
      <c r="DF5" s="35">
        <f t="shared" si="20"/>
        <v>0</v>
      </c>
      <c r="DG5" s="35">
        <f t="shared" si="20"/>
        <v>0</v>
      </c>
      <c r="DH5" s="35">
        <f t="shared" si="20"/>
        <v>0</v>
      </c>
      <c r="DI5" s="35">
        <f t="shared" si="20"/>
        <v>0</v>
      </c>
    </row>
    <row r="6" spans="2:166">
      <c r="B6" s="36" t="s">
        <v>128</v>
      </c>
      <c r="CI6" s="1">
        <f t="shared" si="3"/>
        <v>0</v>
      </c>
      <c r="CJ6" s="1">
        <f t="shared" si="4"/>
        <v>0</v>
      </c>
      <c r="CK6" s="1">
        <f t="shared" si="5"/>
        <v>0</v>
      </c>
      <c r="CL6" s="1">
        <f t="shared" si="6"/>
        <v>0</v>
      </c>
      <c r="CM6" s="1">
        <f t="shared" si="7"/>
        <v>0</v>
      </c>
      <c r="CN6" s="1">
        <f t="shared" si="8"/>
        <v>0</v>
      </c>
      <c r="CO6" s="1">
        <f t="shared" si="9"/>
        <v>0</v>
      </c>
      <c r="CP6" s="1">
        <f t="shared" si="10"/>
        <v>0</v>
      </c>
      <c r="CQ6" s="1">
        <f t="shared" si="11"/>
        <v>0</v>
      </c>
      <c r="CR6" s="1">
        <f t="shared" si="12"/>
        <v>0</v>
      </c>
      <c r="CS6" s="1">
        <f t="shared" si="13"/>
        <v>0</v>
      </c>
      <c r="CT6" s="1">
        <f t="shared" si="14"/>
        <v>0</v>
      </c>
      <c r="CU6" s="1">
        <f t="shared" si="15"/>
        <v>0</v>
      </c>
      <c r="CV6" s="1">
        <f t="shared" si="16"/>
        <v>0</v>
      </c>
      <c r="CW6" s="1">
        <f t="shared" si="17"/>
        <v>0</v>
      </c>
      <c r="CX6" s="1">
        <f t="shared" si="18"/>
        <v>0</v>
      </c>
      <c r="CY6" s="1">
        <f t="shared" si="19"/>
        <v>0</v>
      </c>
      <c r="CZ6" s="35">
        <f t="shared" ref="CZ6:DI6" si="21">CY6*(1+CZ18)</f>
        <v>0</v>
      </c>
      <c r="DA6" s="35">
        <f t="shared" si="21"/>
        <v>0</v>
      </c>
      <c r="DB6" s="35">
        <f t="shared" si="21"/>
        <v>0</v>
      </c>
      <c r="DC6" s="35">
        <f t="shared" si="21"/>
        <v>0</v>
      </c>
      <c r="DD6" s="35">
        <f t="shared" si="21"/>
        <v>0</v>
      </c>
      <c r="DE6" s="35">
        <f t="shared" si="21"/>
        <v>0</v>
      </c>
      <c r="DF6" s="35">
        <f t="shared" si="21"/>
        <v>0</v>
      </c>
      <c r="DG6" s="35">
        <f t="shared" si="21"/>
        <v>0</v>
      </c>
      <c r="DH6" s="35">
        <f t="shared" si="21"/>
        <v>0</v>
      </c>
      <c r="DI6" s="35">
        <f t="shared" si="21"/>
        <v>0</v>
      </c>
    </row>
    <row r="7" spans="2:166">
      <c r="B7" s="36" t="s">
        <v>125</v>
      </c>
      <c r="CI7" s="1">
        <f t="shared" si="3"/>
        <v>0</v>
      </c>
      <c r="CJ7" s="1">
        <f t="shared" si="4"/>
        <v>0</v>
      </c>
      <c r="CK7" s="1">
        <f t="shared" si="5"/>
        <v>0</v>
      </c>
      <c r="CL7" s="1">
        <f t="shared" si="6"/>
        <v>0</v>
      </c>
      <c r="CM7" s="1">
        <f t="shared" si="7"/>
        <v>0</v>
      </c>
      <c r="CN7" s="1">
        <f t="shared" si="8"/>
        <v>0</v>
      </c>
      <c r="CO7" s="1">
        <f t="shared" si="9"/>
        <v>0</v>
      </c>
      <c r="CP7" s="1">
        <f t="shared" si="10"/>
        <v>0</v>
      </c>
      <c r="CQ7" s="1">
        <f t="shared" si="11"/>
        <v>0</v>
      </c>
      <c r="CR7" s="1">
        <f t="shared" si="12"/>
        <v>0</v>
      </c>
      <c r="CS7" s="1">
        <f t="shared" si="13"/>
        <v>0</v>
      </c>
      <c r="CT7" s="1">
        <f t="shared" si="14"/>
        <v>0</v>
      </c>
      <c r="CU7" s="1">
        <f t="shared" si="15"/>
        <v>0</v>
      </c>
      <c r="CV7" s="1">
        <f t="shared" si="16"/>
        <v>0</v>
      </c>
      <c r="CW7" s="1">
        <f t="shared" si="17"/>
        <v>0</v>
      </c>
      <c r="CX7" s="1">
        <f t="shared" si="18"/>
        <v>0</v>
      </c>
      <c r="CY7" s="1">
        <f t="shared" si="19"/>
        <v>0</v>
      </c>
      <c r="CZ7" s="35">
        <f t="shared" ref="CZ7:DI7" si="22">CY7*(1+CZ19)</f>
        <v>0</v>
      </c>
      <c r="DA7" s="35">
        <f t="shared" si="22"/>
        <v>0</v>
      </c>
      <c r="DB7" s="35">
        <f t="shared" si="22"/>
        <v>0</v>
      </c>
      <c r="DC7" s="35">
        <f t="shared" si="22"/>
        <v>0</v>
      </c>
      <c r="DD7" s="35">
        <f t="shared" si="22"/>
        <v>0</v>
      </c>
      <c r="DE7" s="35">
        <f t="shared" si="22"/>
        <v>0</v>
      </c>
      <c r="DF7" s="35">
        <f t="shared" si="22"/>
        <v>0</v>
      </c>
      <c r="DG7" s="35">
        <f t="shared" si="22"/>
        <v>0</v>
      </c>
      <c r="DH7" s="35">
        <f t="shared" si="22"/>
        <v>0</v>
      </c>
      <c r="DI7" s="35">
        <f t="shared" si="22"/>
        <v>0</v>
      </c>
    </row>
    <row r="8" spans="2:166">
      <c r="B8" s="36" t="s">
        <v>129</v>
      </c>
      <c r="CI8" s="1">
        <f t="shared" si="3"/>
        <v>0</v>
      </c>
      <c r="CJ8" s="1">
        <f t="shared" si="4"/>
        <v>0</v>
      </c>
      <c r="CK8" s="1">
        <f t="shared" si="5"/>
        <v>0</v>
      </c>
      <c r="CL8" s="1">
        <f t="shared" si="6"/>
        <v>0</v>
      </c>
      <c r="CM8" s="1">
        <f t="shared" si="7"/>
        <v>0</v>
      </c>
      <c r="CN8" s="1">
        <f t="shared" si="8"/>
        <v>0</v>
      </c>
      <c r="CO8" s="1">
        <f t="shared" si="9"/>
        <v>0</v>
      </c>
      <c r="CP8" s="1">
        <f t="shared" si="10"/>
        <v>0</v>
      </c>
      <c r="CQ8" s="1">
        <f t="shared" si="11"/>
        <v>0</v>
      </c>
      <c r="CR8" s="1">
        <f t="shared" si="12"/>
        <v>0</v>
      </c>
      <c r="CS8" s="1">
        <f t="shared" si="13"/>
        <v>0</v>
      </c>
      <c r="CT8" s="1">
        <f t="shared" si="14"/>
        <v>0</v>
      </c>
      <c r="CU8" s="1">
        <f t="shared" si="15"/>
        <v>0</v>
      </c>
      <c r="CV8" s="1">
        <f t="shared" si="16"/>
        <v>0</v>
      </c>
      <c r="CW8" s="1">
        <f t="shared" si="17"/>
        <v>0</v>
      </c>
      <c r="CX8" s="1">
        <f t="shared" si="18"/>
        <v>0</v>
      </c>
      <c r="CY8" s="1">
        <f t="shared" si="19"/>
        <v>0</v>
      </c>
      <c r="CZ8" s="35">
        <f t="shared" ref="CZ8:DI8" si="23">CY8*(1+CZ20)</f>
        <v>0</v>
      </c>
      <c r="DA8" s="35">
        <f t="shared" si="23"/>
        <v>0</v>
      </c>
      <c r="DB8" s="35">
        <f t="shared" si="23"/>
        <v>0</v>
      </c>
      <c r="DC8" s="35">
        <f t="shared" si="23"/>
        <v>0</v>
      </c>
      <c r="DD8" s="35">
        <f t="shared" si="23"/>
        <v>0</v>
      </c>
      <c r="DE8" s="35">
        <f t="shared" si="23"/>
        <v>0</v>
      </c>
      <c r="DF8" s="35">
        <f t="shared" si="23"/>
        <v>0</v>
      </c>
      <c r="DG8" s="35">
        <f t="shared" si="23"/>
        <v>0</v>
      </c>
      <c r="DH8" s="35">
        <f t="shared" si="23"/>
        <v>0</v>
      </c>
      <c r="DI8" s="35">
        <f t="shared" si="23"/>
        <v>0</v>
      </c>
    </row>
    <row r="9" spans="2:166">
      <c r="B9" s="36" t="s">
        <v>130</v>
      </c>
      <c r="CI9" s="1">
        <f t="shared" si="3"/>
        <v>0</v>
      </c>
      <c r="CJ9" s="1">
        <f t="shared" si="4"/>
        <v>0</v>
      </c>
      <c r="CK9" s="1">
        <f t="shared" si="5"/>
        <v>0</v>
      </c>
      <c r="CL9" s="1">
        <f t="shared" si="6"/>
        <v>0</v>
      </c>
      <c r="CM9" s="1">
        <f t="shared" si="7"/>
        <v>0</v>
      </c>
      <c r="CN9" s="1">
        <f t="shared" si="8"/>
        <v>0</v>
      </c>
      <c r="CO9" s="1">
        <f t="shared" si="9"/>
        <v>0</v>
      </c>
      <c r="CP9" s="1">
        <f t="shared" si="10"/>
        <v>0</v>
      </c>
      <c r="CQ9" s="1">
        <f t="shared" si="11"/>
        <v>0</v>
      </c>
      <c r="CR9" s="1">
        <f t="shared" si="12"/>
        <v>0</v>
      </c>
      <c r="CS9" s="1">
        <f t="shared" si="13"/>
        <v>0</v>
      </c>
      <c r="CT9" s="1">
        <f t="shared" si="14"/>
        <v>0</v>
      </c>
      <c r="CU9" s="1">
        <f t="shared" si="15"/>
        <v>0</v>
      </c>
      <c r="CV9" s="1">
        <f t="shared" si="16"/>
        <v>0</v>
      </c>
      <c r="CW9" s="1">
        <f t="shared" si="17"/>
        <v>0</v>
      </c>
      <c r="CX9" s="1">
        <f t="shared" si="18"/>
        <v>0</v>
      </c>
      <c r="CY9" s="1">
        <f t="shared" si="19"/>
        <v>0</v>
      </c>
      <c r="CZ9" s="35">
        <f t="shared" ref="CZ9:DI9" si="24">CY9*(1+CZ21)</f>
        <v>0</v>
      </c>
      <c r="DA9" s="35">
        <f t="shared" si="24"/>
        <v>0</v>
      </c>
      <c r="DB9" s="35">
        <f t="shared" si="24"/>
        <v>0</v>
      </c>
      <c r="DC9" s="35">
        <f t="shared" si="24"/>
        <v>0</v>
      </c>
      <c r="DD9" s="35">
        <f t="shared" si="24"/>
        <v>0</v>
      </c>
      <c r="DE9" s="35">
        <f t="shared" si="24"/>
        <v>0</v>
      </c>
      <c r="DF9" s="35">
        <f t="shared" si="24"/>
        <v>0</v>
      </c>
      <c r="DG9" s="35">
        <f t="shared" si="24"/>
        <v>0</v>
      </c>
      <c r="DH9" s="35">
        <f t="shared" si="24"/>
        <v>0</v>
      </c>
      <c r="DI9" s="35">
        <f t="shared" si="24"/>
        <v>0</v>
      </c>
    </row>
    <row r="10" spans="2:166">
      <c r="B10" s="36" t="s">
        <v>131</v>
      </c>
      <c r="CI10" s="1">
        <f t="shared" si="3"/>
        <v>0</v>
      </c>
      <c r="CJ10" s="1">
        <f t="shared" si="4"/>
        <v>0</v>
      </c>
      <c r="CK10" s="1">
        <f t="shared" si="5"/>
        <v>0</v>
      </c>
      <c r="CL10" s="1">
        <f t="shared" si="6"/>
        <v>0</v>
      </c>
      <c r="CM10" s="1">
        <f t="shared" si="7"/>
        <v>0</v>
      </c>
      <c r="CN10" s="1">
        <f t="shared" si="8"/>
        <v>0</v>
      </c>
      <c r="CO10" s="1">
        <f t="shared" si="9"/>
        <v>0</v>
      </c>
      <c r="CP10" s="1">
        <f t="shared" si="10"/>
        <v>0</v>
      </c>
      <c r="CQ10" s="1">
        <f t="shared" si="11"/>
        <v>0</v>
      </c>
      <c r="CR10" s="1">
        <f t="shared" si="12"/>
        <v>0</v>
      </c>
      <c r="CS10" s="1">
        <f t="shared" si="13"/>
        <v>0</v>
      </c>
      <c r="CT10" s="1">
        <f t="shared" si="14"/>
        <v>0</v>
      </c>
      <c r="CU10" s="1">
        <f t="shared" si="15"/>
        <v>0</v>
      </c>
      <c r="CV10" s="1">
        <f t="shared" si="16"/>
        <v>0</v>
      </c>
      <c r="CW10" s="1">
        <f t="shared" si="17"/>
        <v>0</v>
      </c>
      <c r="CX10" s="1">
        <f t="shared" si="18"/>
        <v>0</v>
      </c>
      <c r="CY10" s="1">
        <f t="shared" si="19"/>
        <v>0</v>
      </c>
      <c r="CZ10" s="35">
        <f t="shared" ref="CZ10:DI10" si="25">CY10*(1+CZ22)</f>
        <v>0</v>
      </c>
      <c r="DA10" s="35">
        <f t="shared" si="25"/>
        <v>0</v>
      </c>
      <c r="DB10" s="35">
        <f t="shared" si="25"/>
        <v>0</v>
      </c>
      <c r="DC10" s="35">
        <f t="shared" si="25"/>
        <v>0</v>
      </c>
      <c r="DD10" s="35">
        <f t="shared" si="25"/>
        <v>0</v>
      </c>
      <c r="DE10" s="35">
        <f t="shared" si="25"/>
        <v>0</v>
      </c>
      <c r="DF10" s="35">
        <f t="shared" si="25"/>
        <v>0</v>
      </c>
      <c r="DG10" s="35">
        <f t="shared" si="25"/>
        <v>0</v>
      </c>
      <c r="DH10" s="35">
        <f t="shared" si="25"/>
        <v>0</v>
      </c>
      <c r="DI10" s="35">
        <f t="shared" si="25"/>
        <v>0</v>
      </c>
    </row>
    <row r="11" spans="2:166">
      <c r="B11" s="36" t="s">
        <v>132</v>
      </c>
      <c r="CI11" s="1">
        <f t="shared" si="3"/>
        <v>0</v>
      </c>
      <c r="CJ11" s="1">
        <f t="shared" si="4"/>
        <v>0</v>
      </c>
      <c r="CK11" s="1">
        <f t="shared" si="5"/>
        <v>0</v>
      </c>
      <c r="CL11" s="1">
        <f t="shared" si="6"/>
        <v>0</v>
      </c>
      <c r="CM11" s="1">
        <f t="shared" si="7"/>
        <v>0</v>
      </c>
      <c r="CN11" s="1">
        <f t="shared" si="8"/>
        <v>0</v>
      </c>
      <c r="CO11" s="1">
        <f t="shared" si="9"/>
        <v>0</v>
      </c>
      <c r="CP11" s="1">
        <f t="shared" si="10"/>
        <v>0</v>
      </c>
      <c r="CQ11" s="1">
        <f t="shared" si="11"/>
        <v>0</v>
      </c>
      <c r="CR11" s="1">
        <f t="shared" si="12"/>
        <v>0</v>
      </c>
      <c r="CS11" s="1">
        <f t="shared" si="13"/>
        <v>0</v>
      </c>
      <c r="CT11" s="1">
        <f t="shared" si="14"/>
        <v>0</v>
      </c>
      <c r="CU11" s="1">
        <f t="shared" si="15"/>
        <v>0</v>
      </c>
      <c r="CV11" s="1">
        <f t="shared" si="16"/>
        <v>0</v>
      </c>
      <c r="CW11" s="1">
        <f t="shared" si="17"/>
        <v>0</v>
      </c>
      <c r="CX11" s="1">
        <f t="shared" si="18"/>
        <v>0</v>
      </c>
      <c r="CY11" s="1">
        <f t="shared" si="19"/>
        <v>0</v>
      </c>
      <c r="CZ11" s="35">
        <f t="shared" ref="CZ11:DI11" si="26">CY11*(1+CZ23)</f>
        <v>0</v>
      </c>
      <c r="DA11" s="35">
        <f t="shared" si="26"/>
        <v>0</v>
      </c>
      <c r="DB11" s="35">
        <f t="shared" si="26"/>
        <v>0</v>
      </c>
      <c r="DC11" s="35">
        <f t="shared" si="26"/>
        <v>0</v>
      </c>
      <c r="DD11" s="35">
        <f t="shared" si="26"/>
        <v>0</v>
      </c>
      <c r="DE11" s="35">
        <f t="shared" si="26"/>
        <v>0</v>
      </c>
      <c r="DF11" s="35">
        <f t="shared" si="26"/>
        <v>0</v>
      </c>
      <c r="DG11" s="35">
        <f t="shared" si="26"/>
        <v>0</v>
      </c>
      <c r="DH11" s="35">
        <f t="shared" si="26"/>
        <v>0</v>
      </c>
      <c r="DI11" s="35">
        <f t="shared" si="26"/>
        <v>0</v>
      </c>
    </row>
    <row r="12" spans="2:166">
      <c r="B12" s="36" t="s">
        <v>133</v>
      </c>
      <c r="C12" s="36"/>
      <c r="CI12" s="1">
        <f t="shared" si="3"/>
        <v>0</v>
      </c>
      <c r="CJ12" s="1">
        <f t="shared" si="4"/>
        <v>0</v>
      </c>
      <c r="CK12" s="1">
        <f t="shared" si="5"/>
        <v>0</v>
      </c>
      <c r="CL12" s="1">
        <f t="shared" si="6"/>
        <v>0</v>
      </c>
      <c r="CM12" s="1">
        <f t="shared" si="7"/>
        <v>0</v>
      </c>
      <c r="CN12" s="1">
        <f t="shared" si="8"/>
        <v>0</v>
      </c>
      <c r="CO12" s="1">
        <f t="shared" si="9"/>
        <v>0</v>
      </c>
      <c r="CP12" s="1">
        <f t="shared" si="10"/>
        <v>0</v>
      </c>
      <c r="CQ12" s="1">
        <f t="shared" si="11"/>
        <v>0</v>
      </c>
      <c r="CR12" s="1">
        <f t="shared" si="12"/>
        <v>0</v>
      </c>
      <c r="CS12" s="1">
        <f t="shared" si="13"/>
        <v>0</v>
      </c>
      <c r="CT12" s="1">
        <f t="shared" si="14"/>
        <v>0</v>
      </c>
      <c r="CU12" s="1">
        <f t="shared" si="15"/>
        <v>0</v>
      </c>
      <c r="CV12" s="1">
        <f t="shared" si="16"/>
        <v>0</v>
      </c>
      <c r="CW12" s="1">
        <f t="shared" si="17"/>
        <v>0</v>
      </c>
      <c r="CX12" s="1">
        <f t="shared" si="18"/>
        <v>0</v>
      </c>
      <c r="CY12" s="1">
        <f t="shared" si="19"/>
        <v>0</v>
      </c>
      <c r="CZ12" s="35">
        <f t="shared" ref="CZ12:DI12" si="27">CY12*(1+CZ24)</f>
        <v>0</v>
      </c>
      <c r="DA12" s="35">
        <f t="shared" si="27"/>
        <v>0</v>
      </c>
      <c r="DB12" s="35">
        <f t="shared" si="27"/>
        <v>0</v>
      </c>
      <c r="DC12" s="35">
        <f t="shared" si="27"/>
        <v>0</v>
      </c>
      <c r="DD12" s="35">
        <f t="shared" si="27"/>
        <v>0</v>
      </c>
      <c r="DE12" s="35">
        <f t="shared" si="27"/>
        <v>0</v>
      </c>
      <c r="DF12" s="35">
        <f t="shared" si="27"/>
        <v>0</v>
      </c>
      <c r="DG12" s="35">
        <f t="shared" si="27"/>
        <v>0</v>
      </c>
      <c r="DH12" s="35">
        <f t="shared" si="27"/>
        <v>0</v>
      </c>
      <c r="DI12" s="35">
        <f t="shared" si="27"/>
        <v>0</v>
      </c>
    </row>
    <row r="13" spans="2:166">
      <c r="B13" s="36" t="s">
        <v>134</v>
      </c>
      <c r="C13" s="36"/>
      <c r="CI13" s="1">
        <f t="shared" si="3"/>
        <v>0</v>
      </c>
      <c r="CJ13" s="1">
        <f t="shared" si="4"/>
        <v>0</v>
      </c>
      <c r="CK13" s="1">
        <f t="shared" si="5"/>
        <v>0</v>
      </c>
      <c r="CL13" s="1">
        <f t="shared" si="6"/>
        <v>0</v>
      </c>
      <c r="CM13" s="1">
        <f t="shared" si="7"/>
        <v>0</v>
      </c>
      <c r="CN13" s="1">
        <f t="shared" si="8"/>
        <v>0</v>
      </c>
      <c r="CO13" s="1">
        <f t="shared" si="9"/>
        <v>0</v>
      </c>
      <c r="CP13" s="1">
        <f t="shared" si="10"/>
        <v>0</v>
      </c>
      <c r="CQ13" s="1">
        <f t="shared" si="11"/>
        <v>0</v>
      </c>
      <c r="CR13" s="1">
        <f t="shared" si="12"/>
        <v>0</v>
      </c>
      <c r="CS13" s="1">
        <f t="shared" si="13"/>
        <v>0</v>
      </c>
      <c r="CT13" s="1">
        <f t="shared" si="14"/>
        <v>0</v>
      </c>
      <c r="CU13" s="1">
        <f t="shared" si="15"/>
        <v>0</v>
      </c>
      <c r="CV13" s="1">
        <f t="shared" si="16"/>
        <v>0</v>
      </c>
      <c r="CW13" s="1">
        <f t="shared" si="17"/>
        <v>0</v>
      </c>
      <c r="CX13" s="1">
        <f t="shared" si="18"/>
        <v>0</v>
      </c>
      <c r="CY13" s="1">
        <f t="shared" si="19"/>
        <v>0</v>
      </c>
      <c r="CZ13" s="35">
        <f t="shared" ref="CZ13:DI13" si="28">CY13*(1+CZ25)</f>
        <v>0</v>
      </c>
      <c r="DA13" s="35">
        <f t="shared" si="28"/>
        <v>0</v>
      </c>
      <c r="DB13" s="35">
        <f t="shared" si="28"/>
        <v>0</v>
      </c>
      <c r="DC13" s="35">
        <f t="shared" si="28"/>
        <v>0</v>
      </c>
      <c r="DD13" s="35">
        <f t="shared" si="28"/>
        <v>0</v>
      </c>
      <c r="DE13" s="35">
        <f t="shared" si="28"/>
        <v>0</v>
      </c>
      <c r="DF13" s="35">
        <f t="shared" si="28"/>
        <v>0</v>
      </c>
      <c r="DG13" s="35">
        <f t="shared" si="28"/>
        <v>0</v>
      </c>
      <c r="DH13" s="35">
        <f t="shared" si="28"/>
        <v>0</v>
      </c>
      <c r="DI13" s="35">
        <f t="shared" si="28"/>
        <v>0</v>
      </c>
    </row>
    <row r="14" spans="2:166" s="2" customFormat="1" ht="15">
      <c r="B14" s="33" t="s">
        <v>122</v>
      </c>
      <c r="C14" s="50"/>
      <c r="BT14" s="34"/>
      <c r="BU14" s="34"/>
      <c r="BV14" s="34"/>
      <c r="BW14" s="34"/>
      <c r="BX14" s="34"/>
      <c r="BY14" s="34"/>
      <c r="BZ14" s="34"/>
      <c r="CI14" s="2">
        <f t="shared" si="3"/>
        <v>0</v>
      </c>
      <c r="CJ14" s="2">
        <f t="shared" si="4"/>
        <v>0</v>
      </c>
      <c r="CK14" s="2">
        <f t="shared" si="5"/>
        <v>0</v>
      </c>
      <c r="CL14" s="2">
        <f t="shared" si="6"/>
        <v>0</v>
      </c>
      <c r="CM14" s="2">
        <f t="shared" si="7"/>
        <v>0</v>
      </c>
      <c r="CN14" s="2">
        <f t="shared" si="8"/>
        <v>0</v>
      </c>
      <c r="CO14" s="2">
        <f t="shared" si="9"/>
        <v>0</v>
      </c>
      <c r="CP14" s="2">
        <f t="shared" si="10"/>
        <v>0</v>
      </c>
      <c r="CQ14" s="2">
        <f t="shared" si="11"/>
        <v>0</v>
      </c>
      <c r="CR14" s="2">
        <f t="shared" si="12"/>
        <v>0</v>
      </c>
      <c r="CS14" s="2">
        <f t="shared" si="13"/>
        <v>0</v>
      </c>
      <c r="CT14" s="2">
        <f t="shared" si="14"/>
        <v>0</v>
      </c>
      <c r="CU14" s="2">
        <f t="shared" si="15"/>
        <v>0</v>
      </c>
      <c r="CV14" s="2">
        <f t="shared" si="16"/>
        <v>0</v>
      </c>
      <c r="CW14" s="2">
        <f t="shared" si="17"/>
        <v>0</v>
      </c>
      <c r="CX14" s="2">
        <f t="shared" si="18"/>
        <v>0</v>
      </c>
      <c r="CY14" s="2">
        <f t="shared" si="19"/>
        <v>0</v>
      </c>
      <c r="CZ14" s="34">
        <f>SUM(CZ4:CZ13)</f>
        <v>0</v>
      </c>
      <c r="DA14" s="34">
        <f t="shared" ref="DA14:DI14" si="29">SUM(DA4:DA13)</f>
        <v>0</v>
      </c>
      <c r="DB14" s="34">
        <f t="shared" si="29"/>
        <v>0</v>
      </c>
      <c r="DC14" s="34">
        <f t="shared" si="29"/>
        <v>0</v>
      </c>
      <c r="DD14" s="34">
        <f t="shared" si="29"/>
        <v>0</v>
      </c>
      <c r="DE14" s="34">
        <f t="shared" si="29"/>
        <v>0</v>
      </c>
      <c r="DF14" s="34">
        <f t="shared" si="29"/>
        <v>0</v>
      </c>
      <c r="DG14" s="34">
        <f t="shared" si="29"/>
        <v>0</v>
      </c>
      <c r="DH14" s="34">
        <f t="shared" si="29"/>
        <v>0</v>
      </c>
      <c r="DI14" s="34">
        <f t="shared" si="29"/>
        <v>0</v>
      </c>
      <c r="DJ14" s="34"/>
      <c r="DK14" s="34"/>
      <c r="DL14" s="34"/>
      <c r="DM14" s="34"/>
      <c r="DN14" s="34"/>
      <c r="DO14" s="34"/>
      <c r="DP14" s="34"/>
      <c r="DQ14" s="34"/>
      <c r="DR14" s="34"/>
      <c r="DS14" s="34"/>
      <c r="DT14" s="34"/>
      <c r="DU14" s="34"/>
      <c r="DV14" s="34"/>
      <c r="DW14" s="34"/>
      <c r="DX14" s="34"/>
      <c r="DY14" s="34"/>
      <c r="DZ14" s="34"/>
      <c r="EA14" s="34"/>
      <c r="EB14" s="34"/>
      <c r="EC14" s="34"/>
      <c r="ED14" s="34"/>
      <c r="EE14" s="34"/>
      <c r="EF14" s="34"/>
      <c r="EG14" s="34"/>
      <c r="EH14" s="34"/>
      <c r="EI14" s="34"/>
      <c r="EJ14" s="34"/>
      <c r="EK14" s="34"/>
      <c r="EL14" s="34"/>
      <c r="EM14" s="34"/>
      <c r="EN14" s="34"/>
      <c r="EO14" s="34"/>
      <c r="EP14" s="34"/>
      <c r="EQ14" s="34"/>
      <c r="ER14" s="34"/>
      <c r="ES14" s="34"/>
      <c r="ET14" s="34"/>
      <c r="EU14" s="34"/>
      <c r="EV14" s="34"/>
      <c r="EW14" s="34"/>
      <c r="EX14" s="34"/>
      <c r="EY14" s="34"/>
      <c r="EZ14" s="34"/>
      <c r="FA14" s="34"/>
      <c r="FB14" s="34"/>
      <c r="FC14" s="34"/>
      <c r="FD14" s="34"/>
      <c r="FE14" s="34"/>
      <c r="FF14" s="34"/>
      <c r="FG14" s="34"/>
      <c r="FH14" s="34"/>
      <c r="FI14" s="34"/>
    </row>
    <row r="15" spans="2:166">
      <c r="B15" s="36"/>
      <c r="C15" s="36"/>
    </row>
    <row r="16" spans="2:166">
      <c r="B16" s="37" t="s">
        <v>137</v>
      </c>
      <c r="CJ16" s="1" t="e">
        <f t="shared" ref="CJ16:CY16" si="30">CJ4/CI4-1</f>
        <v>#DIV/0!</v>
      </c>
      <c r="CK16" s="1" t="e">
        <f t="shared" si="30"/>
        <v>#DIV/0!</v>
      </c>
      <c r="CL16" s="1" t="e">
        <f t="shared" si="30"/>
        <v>#DIV/0!</v>
      </c>
      <c r="CM16" s="1" t="e">
        <f t="shared" si="30"/>
        <v>#DIV/0!</v>
      </c>
      <c r="CN16" s="1" t="e">
        <f t="shared" si="30"/>
        <v>#DIV/0!</v>
      </c>
      <c r="CO16" s="1" t="e">
        <f t="shared" si="30"/>
        <v>#DIV/0!</v>
      </c>
      <c r="CP16" s="1" t="e">
        <f t="shared" si="30"/>
        <v>#DIV/0!</v>
      </c>
      <c r="CQ16" s="1" t="e">
        <f t="shared" si="30"/>
        <v>#DIV/0!</v>
      </c>
      <c r="CR16" s="1" t="e">
        <f t="shared" si="30"/>
        <v>#DIV/0!</v>
      </c>
      <c r="CS16" s="1" t="e">
        <f t="shared" si="30"/>
        <v>#DIV/0!</v>
      </c>
      <c r="CT16" s="1" t="e">
        <f t="shared" si="30"/>
        <v>#DIV/0!</v>
      </c>
      <c r="CU16" s="1" t="e">
        <f t="shared" si="30"/>
        <v>#DIV/0!</v>
      </c>
      <c r="CV16" s="1" t="e">
        <f t="shared" si="30"/>
        <v>#DIV/0!</v>
      </c>
      <c r="CW16" s="1" t="e">
        <f t="shared" si="30"/>
        <v>#DIV/0!</v>
      </c>
      <c r="CX16" s="1" t="e">
        <f t="shared" si="30"/>
        <v>#DIV/0!</v>
      </c>
      <c r="CY16" s="1" t="e">
        <f t="shared" si="30"/>
        <v>#DIV/0!</v>
      </c>
      <c r="CZ16" s="49">
        <v>1</v>
      </c>
      <c r="DA16" s="49">
        <v>1</v>
      </c>
      <c r="DB16" s="49">
        <v>1</v>
      </c>
      <c r="DC16" s="49">
        <v>1</v>
      </c>
      <c r="DD16" s="49">
        <v>1</v>
      </c>
      <c r="DE16" s="49">
        <v>1</v>
      </c>
      <c r="DF16" s="49">
        <v>1</v>
      </c>
      <c r="DG16" s="49">
        <v>1</v>
      </c>
      <c r="DH16" s="49">
        <v>1</v>
      </c>
      <c r="DI16" s="49">
        <v>1</v>
      </c>
    </row>
    <row r="17" spans="2:165">
      <c r="B17" s="37" t="s">
        <v>138</v>
      </c>
      <c r="CJ17" s="1" t="e">
        <f t="shared" ref="CJ17:CY17" si="31">CJ5/CI5-1</f>
        <v>#DIV/0!</v>
      </c>
      <c r="CK17" s="1" t="e">
        <f t="shared" si="31"/>
        <v>#DIV/0!</v>
      </c>
      <c r="CL17" s="1" t="e">
        <f t="shared" si="31"/>
        <v>#DIV/0!</v>
      </c>
      <c r="CM17" s="1" t="e">
        <f t="shared" si="31"/>
        <v>#DIV/0!</v>
      </c>
      <c r="CN17" s="1" t="e">
        <f t="shared" si="31"/>
        <v>#DIV/0!</v>
      </c>
      <c r="CO17" s="1" t="e">
        <f t="shared" si="31"/>
        <v>#DIV/0!</v>
      </c>
      <c r="CP17" s="1" t="e">
        <f t="shared" si="31"/>
        <v>#DIV/0!</v>
      </c>
      <c r="CQ17" s="1" t="e">
        <f t="shared" si="31"/>
        <v>#DIV/0!</v>
      </c>
      <c r="CR17" s="1" t="e">
        <f t="shared" si="31"/>
        <v>#DIV/0!</v>
      </c>
      <c r="CS17" s="1" t="e">
        <f t="shared" si="31"/>
        <v>#DIV/0!</v>
      </c>
      <c r="CT17" s="1" t="e">
        <f t="shared" si="31"/>
        <v>#DIV/0!</v>
      </c>
      <c r="CU17" s="1" t="e">
        <f t="shared" si="31"/>
        <v>#DIV/0!</v>
      </c>
      <c r="CV17" s="1" t="e">
        <f t="shared" si="31"/>
        <v>#DIV/0!</v>
      </c>
      <c r="CW17" s="1" t="e">
        <f t="shared" si="31"/>
        <v>#DIV/0!</v>
      </c>
      <c r="CX17" s="1" t="e">
        <f t="shared" si="31"/>
        <v>#DIV/0!</v>
      </c>
      <c r="CY17" s="1" t="e">
        <f t="shared" si="31"/>
        <v>#DIV/0!</v>
      </c>
      <c r="CZ17" s="49">
        <v>1</v>
      </c>
      <c r="DA17" s="49">
        <v>1</v>
      </c>
      <c r="DB17" s="49">
        <v>1</v>
      </c>
      <c r="DC17" s="49">
        <v>1</v>
      </c>
      <c r="DD17" s="49">
        <v>1</v>
      </c>
      <c r="DE17" s="49">
        <v>1</v>
      </c>
      <c r="DF17" s="49">
        <v>1</v>
      </c>
      <c r="DG17" s="49">
        <v>1</v>
      </c>
      <c r="DH17" s="49">
        <v>1</v>
      </c>
      <c r="DI17" s="49">
        <v>1</v>
      </c>
    </row>
    <row r="18" spans="2:165">
      <c r="B18" s="37" t="s">
        <v>139</v>
      </c>
      <c r="CJ18" s="1" t="e">
        <f t="shared" ref="CJ18:CY18" si="32">CJ6/CI6-1</f>
        <v>#DIV/0!</v>
      </c>
      <c r="CK18" s="1" t="e">
        <f t="shared" si="32"/>
        <v>#DIV/0!</v>
      </c>
      <c r="CL18" s="1" t="e">
        <f t="shared" si="32"/>
        <v>#DIV/0!</v>
      </c>
      <c r="CM18" s="1" t="e">
        <f t="shared" si="32"/>
        <v>#DIV/0!</v>
      </c>
      <c r="CN18" s="1" t="e">
        <f t="shared" si="32"/>
        <v>#DIV/0!</v>
      </c>
      <c r="CO18" s="1" t="e">
        <f t="shared" si="32"/>
        <v>#DIV/0!</v>
      </c>
      <c r="CP18" s="1" t="e">
        <f t="shared" si="32"/>
        <v>#DIV/0!</v>
      </c>
      <c r="CQ18" s="1" t="e">
        <f t="shared" si="32"/>
        <v>#DIV/0!</v>
      </c>
      <c r="CR18" s="1" t="e">
        <f t="shared" si="32"/>
        <v>#DIV/0!</v>
      </c>
      <c r="CS18" s="1" t="e">
        <f t="shared" si="32"/>
        <v>#DIV/0!</v>
      </c>
      <c r="CT18" s="1" t="e">
        <f t="shared" si="32"/>
        <v>#DIV/0!</v>
      </c>
      <c r="CU18" s="1" t="e">
        <f t="shared" si="32"/>
        <v>#DIV/0!</v>
      </c>
      <c r="CV18" s="1" t="e">
        <f t="shared" si="32"/>
        <v>#DIV/0!</v>
      </c>
      <c r="CW18" s="1" t="e">
        <f t="shared" si="32"/>
        <v>#DIV/0!</v>
      </c>
      <c r="CX18" s="1" t="e">
        <f t="shared" si="32"/>
        <v>#DIV/0!</v>
      </c>
      <c r="CY18" s="1" t="e">
        <f t="shared" si="32"/>
        <v>#DIV/0!</v>
      </c>
      <c r="CZ18" s="49">
        <v>1</v>
      </c>
      <c r="DA18" s="49">
        <v>1</v>
      </c>
      <c r="DB18" s="49">
        <v>1</v>
      </c>
      <c r="DC18" s="49">
        <v>1</v>
      </c>
      <c r="DD18" s="49">
        <v>1</v>
      </c>
      <c r="DE18" s="49">
        <v>1</v>
      </c>
      <c r="DF18" s="49">
        <v>1</v>
      </c>
      <c r="DG18" s="49">
        <v>1</v>
      </c>
      <c r="DH18" s="49">
        <v>1</v>
      </c>
      <c r="DI18" s="49">
        <v>1</v>
      </c>
    </row>
    <row r="19" spans="2:165">
      <c r="B19" s="37" t="s">
        <v>140</v>
      </c>
      <c r="CJ19" s="1" t="e">
        <f t="shared" ref="CJ19:CY19" si="33">CJ7/CI7-1</f>
        <v>#DIV/0!</v>
      </c>
      <c r="CK19" s="1" t="e">
        <f t="shared" si="33"/>
        <v>#DIV/0!</v>
      </c>
      <c r="CL19" s="1" t="e">
        <f t="shared" si="33"/>
        <v>#DIV/0!</v>
      </c>
      <c r="CM19" s="1" t="e">
        <f t="shared" si="33"/>
        <v>#DIV/0!</v>
      </c>
      <c r="CN19" s="1" t="e">
        <f t="shared" si="33"/>
        <v>#DIV/0!</v>
      </c>
      <c r="CO19" s="1" t="e">
        <f t="shared" si="33"/>
        <v>#DIV/0!</v>
      </c>
      <c r="CP19" s="1" t="e">
        <f t="shared" si="33"/>
        <v>#DIV/0!</v>
      </c>
      <c r="CQ19" s="1" t="e">
        <f t="shared" si="33"/>
        <v>#DIV/0!</v>
      </c>
      <c r="CR19" s="1" t="e">
        <f t="shared" si="33"/>
        <v>#DIV/0!</v>
      </c>
      <c r="CS19" s="1" t="e">
        <f t="shared" si="33"/>
        <v>#DIV/0!</v>
      </c>
      <c r="CT19" s="1" t="e">
        <f t="shared" si="33"/>
        <v>#DIV/0!</v>
      </c>
      <c r="CU19" s="1" t="e">
        <f t="shared" si="33"/>
        <v>#DIV/0!</v>
      </c>
      <c r="CV19" s="1" t="e">
        <f t="shared" si="33"/>
        <v>#DIV/0!</v>
      </c>
      <c r="CW19" s="1" t="e">
        <f t="shared" si="33"/>
        <v>#DIV/0!</v>
      </c>
      <c r="CX19" s="1" t="e">
        <f t="shared" si="33"/>
        <v>#DIV/0!</v>
      </c>
      <c r="CY19" s="1" t="e">
        <f t="shared" si="33"/>
        <v>#DIV/0!</v>
      </c>
      <c r="CZ19" s="49">
        <v>1</v>
      </c>
      <c r="DA19" s="49">
        <v>1</v>
      </c>
      <c r="DB19" s="49">
        <v>1</v>
      </c>
      <c r="DC19" s="49">
        <v>1</v>
      </c>
      <c r="DD19" s="49">
        <v>1</v>
      </c>
      <c r="DE19" s="49">
        <v>1</v>
      </c>
      <c r="DF19" s="49">
        <v>1</v>
      </c>
      <c r="DG19" s="49">
        <v>1</v>
      </c>
      <c r="DH19" s="49">
        <v>1</v>
      </c>
      <c r="DI19" s="49">
        <v>1</v>
      </c>
    </row>
    <row r="20" spans="2:165">
      <c r="B20" s="37" t="s">
        <v>141</v>
      </c>
      <c r="CJ20" s="1" t="e">
        <f t="shared" ref="CJ20:CY20" si="34">CJ8/CI8-1</f>
        <v>#DIV/0!</v>
      </c>
      <c r="CK20" s="1" t="e">
        <f t="shared" si="34"/>
        <v>#DIV/0!</v>
      </c>
      <c r="CL20" s="1" t="e">
        <f t="shared" si="34"/>
        <v>#DIV/0!</v>
      </c>
      <c r="CM20" s="1" t="e">
        <f t="shared" si="34"/>
        <v>#DIV/0!</v>
      </c>
      <c r="CN20" s="1" t="e">
        <f t="shared" si="34"/>
        <v>#DIV/0!</v>
      </c>
      <c r="CO20" s="1" t="e">
        <f t="shared" si="34"/>
        <v>#DIV/0!</v>
      </c>
      <c r="CP20" s="1" t="e">
        <f t="shared" si="34"/>
        <v>#DIV/0!</v>
      </c>
      <c r="CQ20" s="1" t="e">
        <f t="shared" si="34"/>
        <v>#DIV/0!</v>
      </c>
      <c r="CR20" s="1" t="e">
        <f t="shared" si="34"/>
        <v>#DIV/0!</v>
      </c>
      <c r="CS20" s="1" t="e">
        <f t="shared" si="34"/>
        <v>#DIV/0!</v>
      </c>
      <c r="CT20" s="1" t="e">
        <f t="shared" si="34"/>
        <v>#DIV/0!</v>
      </c>
      <c r="CU20" s="1" t="e">
        <f t="shared" si="34"/>
        <v>#DIV/0!</v>
      </c>
      <c r="CV20" s="1" t="e">
        <f t="shared" si="34"/>
        <v>#DIV/0!</v>
      </c>
      <c r="CW20" s="1" t="e">
        <f t="shared" si="34"/>
        <v>#DIV/0!</v>
      </c>
      <c r="CX20" s="1" t="e">
        <f t="shared" si="34"/>
        <v>#DIV/0!</v>
      </c>
      <c r="CY20" s="1" t="e">
        <f t="shared" si="34"/>
        <v>#DIV/0!</v>
      </c>
      <c r="CZ20" s="49">
        <v>1</v>
      </c>
      <c r="DA20" s="49">
        <v>1</v>
      </c>
      <c r="DB20" s="49">
        <v>1</v>
      </c>
      <c r="DC20" s="49">
        <v>1</v>
      </c>
      <c r="DD20" s="49">
        <v>1</v>
      </c>
      <c r="DE20" s="49">
        <v>1</v>
      </c>
      <c r="DF20" s="49">
        <v>1</v>
      </c>
      <c r="DG20" s="49">
        <v>1</v>
      </c>
      <c r="DH20" s="49">
        <v>1</v>
      </c>
      <c r="DI20" s="49">
        <v>1</v>
      </c>
    </row>
    <row r="21" spans="2:165">
      <c r="B21" s="37" t="s">
        <v>142</v>
      </c>
      <c r="CJ21" s="1" t="e">
        <f t="shared" ref="CJ21:CY21" si="35">CJ9/CI9-1</f>
        <v>#DIV/0!</v>
      </c>
      <c r="CK21" s="1" t="e">
        <f t="shared" si="35"/>
        <v>#DIV/0!</v>
      </c>
      <c r="CL21" s="1" t="e">
        <f t="shared" si="35"/>
        <v>#DIV/0!</v>
      </c>
      <c r="CM21" s="1" t="e">
        <f t="shared" si="35"/>
        <v>#DIV/0!</v>
      </c>
      <c r="CN21" s="1" t="e">
        <f t="shared" si="35"/>
        <v>#DIV/0!</v>
      </c>
      <c r="CO21" s="1" t="e">
        <f t="shared" si="35"/>
        <v>#DIV/0!</v>
      </c>
      <c r="CP21" s="1" t="e">
        <f t="shared" si="35"/>
        <v>#DIV/0!</v>
      </c>
      <c r="CQ21" s="1" t="e">
        <f t="shared" si="35"/>
        <v>#DIV/0!</v>
      </c>
      <c r="CR21" s="1" t="e">
        <f t="shared" si="35"/>
        <v>#DIV/0!</v>
      </c>
      <c r="CS21" s="1" t="e">
        <f t="shared" si="35"/>
        <v>#DIV/0!</v>
      </c>
      <c r="CT21" s="1" t="e">
        <f t="shared" si="35"/>
        <v>#DIV/0!</v>
      </c>
      <c r="CU21" s="1" t="e">
        <f t="shared" si="35"/>
        <v>#DIV/0!</v>
      </c>
      <c r="CV21" s="1" t="e">
        <f t="shared" si="35"/>
        <v>#DIV/0!</v>
      </c>
      <c r="CW21" s="1" t="e">
        <f t="shared" si="35"/>
        <v>#DIV/0!</v>
      </c>
      <c r="CX21" s="1" t="e">
        <f t="shared" si="35"/>
        <v>#DIV/0!</v>
      </c>
      <c r="CY21" s="1" t="e">
        <f t="shared" si="35"/>
        <v>#DIV/0!</v>
      </c>
      <c r="CZ21" s="49">
        <v>1</v>
      </c>
      <c r="DA21" s="49">
        <v>1</v>
      </c>
      <c r="DB21" s="49">
        <v>1</v>
      </c>
      <c r="DC21" s="49">
        <v>1</v>
      </c>
      <c r="DD21" s="49">
        <v>1</v>
      </c>
      <c r="DE21" s="49">
        <v>1</v>
      </c>
      <c r="DF21" s="49">
        <v>1</v>
      </c>
      <c r="DG21" s="49">
        <v>1</v>
      </c>
      <c r="DH21" s="49">
        <v>1</v>
      </c>
      <c r="DI21" s="49">
        <v>1</v>
      </c>
    </row>
    <row r="22" spans="2:165">
      <c r="B22" s="37" t="s">
        <v>145</v>
      </c>
      <c r="CJ22" s="1" t="e">
        <f t="shared" ref="CJ22:CY22" si="36">CJ10/CI10-1</f>
        <v>#DIV/0!</v>
      </c>
      <c r="CK22" s="1" t="e">
        <f t="shared" si="36"/>
        <v>#DIV/0!</v>
      </c>
      <c r="CL22" s="1" t="e">
        <f t="shared" si="36"/>
        <v>#DIV/0!</v>
      </c>
      <c r="CM22" s="1" t="e">
        <f t="shared" si="36"/>
        <v>#DIV/0!</v>
      </c>
      <c r="CN22" s="1" t="e">
        <f t="shared" si="36"/>
        <v>#DIV/0!</v>
      </c>
      <c r="CO22" s="1" t="e">
        <f t="shared" si="36"/>
        <v>#DIV/0!</v>
      </c>
      <c r="CP22" s="1" t="e">
        <f t="shared" si="36"/>
        <v>#DIV/0!</v>
      </c>
      <c r="CQ22" s="1" t="e">
        <f t="shared" si="36"/>
        <v>#DIV/0!</v>
      </c>
      <c r="CR22" s="1" t="e">
        <f t="shared" si="36"/>
        <v>#DIV/0!</v>
      </c>
      <c r="CS22" s="1" t="e">
        <f t="shared" si="36"/>
        <v>#DIV/0!</v>
      </c>
      <c r="CT22" s="1" t="e">
        <f t="shared" si="36"/>
        <v>#DIV/0!</v>
      </c>
      <c r="CU22" s="1" t="e">
        <f t="shared" si="36"/>
        <v>#DIV/0!</v>
      </c>
      <c r="CV22" s="1" t="e">
        <f t="shared" si="36"/>
        <v>#DIV/0!</v>
      </c>
      <c r="CW22" s="1" t="e">
        <f t="shared" si="36"/>
        <v>#DIV/0!</v>
      </c>
      <c r="CX22" s="1" t="e">
        <f t="shared" si="36"/>
        <v>#DIV/0!</v>
      </c>
      <c r="CY22" s="1" t="e">
        <f t="shared" si="36"/>
        <v>#DIV/0!</v>
      </c>
      <c r="CZ22" s="49">
        <v>1</v>
      </c>
      <c r="DA22" s="49">
        <v>1</v>
      </c>
      <c r="DB22" s="49">
        <v>1</v>
      </c>
      <c r="DC22" s="49">
        <v>1</v>
      </c>
      <c r="DD22" s="49">
        <v>1</v>
      </c>
      <c r="DE22" s="49">
        <v>1</v>
      </c>
      <c r="DF22" s="49">
        <v>1</v>
      </c>
      <c r="DG22" s="49">
        <v>1</v>
      </c>
      <c r="DH22" s="49">
        <v>1</v>
      </c>
      <c r="DI22" s="49">
        <v>1</v>
      </c>
    </row>
    <row r="23" spans="2:165">
      <c r="B23" s="37" t="s">
        <v>144</v>
      </c>
      <c r="CJ23" s="1" t="e">
        <f t="shared" ref="CJ23:CY23" si="37">CJ11/CI11-1</f>
        <v>#DIV/0!</v>
      </c>
      <c r="CK23" s="1" t="e">
        <f t="shared" si="37"/>
        <v>#DIV/0!</v>
      </c>
      <c r="CL23" s="1" t="e">
        <f t="shared" si="37"/>
        <v>#DIV/0!</v>
      </c>
      <c r="CM23" s="1" t="e">
        <f t="shared" si="37"/>
        <v>#DIV/0!</v>
      </c>
      <c r="CN23" s="1" t="e">
        <f t="shared" si="37"/>
        <v>#DIV/0!</v>
      </c>
      <c r="CO23" s="1" t="e">
        <f t="shared" si="37"/>
        <v>#DIV/0!</v>
      </c>
      <c r="CP23" s="1" t="e">
        <f t="shared" si="37"/>
        <v>#DIV/0!</v>
      </c>
      <c r="CQ23" s="1" t="e">
        <f t="shared" si="37"/>
        <v>#DIV/0!</v>
      </c>
      <c r="CR23" s="1" t="e">
        <f t="shared" si="37"/>
        <v>#DIV/0!</v>
      </c>
      <c r="CS23" s="1" t="e">
        <f t="shared" si="37"/>
        <v>#DIV/0!</v>
      </c>
      <c r="CT23" s="1" t="e">
        <f t="shared" si="37"/>
        <v>#DIV/0!</v>
      </c>
      <c r="CU23" s="1" t="e">
        <f t="shared" si="37"/>
        <v>#DIV/0!</v>
      </c>
      <c r="CV23" s="1" t="e">
        <f t="shared" si="37"/>
        <v>#DIV/0!</v>
      </c>
      <c r="CW23" s="1" t="e">
        <f t="shared" si="37"/>
        <v>#DIV/0!</v>
      </c>
      <c r="CX23" s="1" t="e">
        <f t="shared" si="37"/>
        <v>#DIV/0!</v>
      </c>
      <c r="CY23" s="1" t="e">
        <f t="shared" si="37"/>
        <v>#DIV/0!</v>
      </c>
      <c r="CZ23" s="49">
        <v>1</v>
      </c>
      <c r="DA23" s="49">
        <v>1</v>
      </c>
      <c r="DB23" s="49">
        <v>1</v>
      </c>
      <c r="DC23" s="49">
        <v>1</v>
      </c>
      <c r="DD23" s="49">
        <v>1</v>
      </c>
      <c r="DE23" s="49">
        <v>1</v>
      </c>
      <c r="DF23" s="49">
        <v>1</v>
      </c>
      <c r="DG23" s="49">
        <v>1</v>
      </c>
      <c r="DH23" s="49">
        <v>1</v>
      </c>
      <c r="DI23" s="49">
        <v>1</v>
      </c>
    </row>
    <row r="24" spans="2:165">
      <c r="B24" s="37" t="s">
        <v>146</v>
      </c>
      <c r="CJ24" s="1" t="e">
        <f t="shared" ref="CJ24:CY24" si="38">CJ12/CI12-1</f>
        <v>#DIV/0!</v>
      </c>
      <c r="CK24" s="1" t="e">
        <f t="shared" si="38"/>
        <v>#DIV/0!</v>
      </c>
      <c r="CL24" s="1" t="e">
        <f t="shared" si="38"/>
        <v>#DIV/0!</v>
      </c>
      <c r="CM24" s="1" t="e">
        <f t="shared" si="38"/>
        <v>#DIV/0!</v>
      </c>
      <c r="CN24" s="1" t="e">
        <f t="shared" si="38"/>
        <v>#DIV/0!</v>
      </c>
      <c r="CO24" s="1" t="e">
        <f t="shared" si="38"/>
        <v>#DIV/0!</v>
      </c>
      <c r="CP24" s="1" t="e">
        <f t="shared" si="38"/>
        <v>#DIV/0!</v>
      </c>
      <c r="CQ24" s="1" t="e">
        <f t="shared" si="38"/>
        <v>#DIV/0!</v>
      </c>
      <c r="CR24" s="1" t="e">
        <f t="shared" si="38"/>
        <v>#DIV/0!</v>
      </c>
      <c r="CS24" s="1" t="e">
        <f t="shared" si="38"/>
        <v>#DIV/0!</v>
      </c>
      <c r="CT24" s="1" t="e">
        <f t="shared" si="38"/>
        <v>#DIV/0!</v>
      </c>
      <c r="CU24" s="1" t="e">
        <f t="shared" si="38"/>
        <v>#DIV/0!</v>
      </c>
      <c r="CV24" s="1" t="e">
        <f t="shared" si="38"/>
        <v>#DIV/0!</v>
      </c>
      <c r="CW24" s="1" t="e">
        <f t="shared" si="38"/>
        <v>#DIV/0!</v>
      </c>
      <c r="CX24" s="1" t="e">
        <f t="shared" si="38"/>
        <v>#DIV/0!</v>
      </c>
      <c r="CY24" s="1" t="e">
        <f t="shared" si="38"/>
        <v>#DIV/0!</v>
      </c>
      <c r="CZ24" s="49">
        <v>1</v>
      </c>
      <c r="DA24" s="49">
        <v>1</v>
      </c>
      <c r="DB24" s="49">
        <v>1</v>
      </c>
      <c r="DC24" s="49">
        <v>1</v>
      </c>
      <c r="DD24" s="49">
        <v>1</v>
      </c>
      <c r="DE24" s="49">
        <v>1</v>
      </c>
      <c r="DF24" s="49">
        <v>1</v>
      </c>
      <c r="DG24" s="49">
        <v>1</v>
      </c>
      <c r="DH24" s="49">
        <v>1</v>
      </c>
      <c r="DI24" s="49">
        <v>1</v>
      </c>
    </row>
    <row r="25" spans="2:165">
      <c r="B25" s="37" t="s">
        <v>143</v>
      </c>
      <c r="CJ25" s="1" t="e">
        <f t="shared" ref="CJ25:CY25" si="39">CJ13/CI13-1</f>
        <v>#DIV/0!</v>
      </c>
      <c r="CK25" s="1" t="e">
        <f t="shared" si="39"/>
        <v>#DIV/0!</v>
      </c>
      <c r="CL25" s="1" t="e">
        <f t="shared" si="39"/>
        <v>#DIV/0!</v>
      </c>
      <c r="CM25" s="1" t="e">
        <f t="shared" si="39"/>
        <v>#DIV/0!</v>
      </c>
      <c r="CN25" s="1" t="e">
        <f t="shared" si="39"/>
        <v>#DIV/0!</v>
      </c>
      <c r="CO25" s="1" t="e">
        <f t="shared" si="39"/>
        <v>#DIV/0!</v>
      </c>
      <c r="CP25" s="1" t="e">
        <f t="shared" si="39"/>
        <v>#DIV/0!</v>
      </c>
      <c r="CQ25" s="1" t="e">
        <f t="shared" si="39"/>
        <v>#DIV/0!</v>
      </c>
      <c r="CR25" s="1" t="e">
        <f t="shared" si="39"/>
        <v>#DIV/0!</v>
      </c>
      <c r="CS25" s="1" t="e">
        <f t="shared" si="39"/>
        <v>#DIV/0!</v>
      </c>
      <c r="CT25" s="1" t="e">
        <f t="shared" si="39"/>
        <v>#DIV/0!</v>
      </c>
      <c r="CU25" s="1" t="e">
        <f t="shared" si="39"/>
        <v>#DIV/0!</v>
      </c>
      <c r="CV25" s="1" t="e">
        <f t="shared" si="39"/>
        <v>#DIV/0!</v>
      </c>
      <c r="CW25" s="1" t="e">
        <f t="shared" si="39"/>
        <v>#DIV/0!</v>
      </c>
      <c r="CX25" s="1" t="e">
        <f t="shared" si="39"/>
        <v>#DIV/0!</v>
      </c>
      <c r="CY25" s="1" t="e">
        <f t="shared" si="39"/>
        <v>#DIV/0!</v>
      </c>
      <c r="CZ25" s="49">
        <v>1</v>
      </c>
      <c r="DA25" s="49">
        <v>1</v>
      </c>
      <c r="DB25" s="49">
        <v>1</v>
      </c>
      <c r="DC25" s="49">
        <v>1</v>
      </c>
      <c r="DD25" s="49">
        <v>1</v>
      </c>
      <c r="DE25" s="49">
        <v>1</v>
      </c>
      <c r="DF25" s="49">
        <v>1</v>
      </c>
      <c r="DG25" s="49">
        <v>1</v>
      </c>
      <c r="DH25" s="49">
        <v>1</v>
      </c>
      <c r="DI25" s="49">
        <v>1</v>
      </c>
    </row>
    <row r="26" spans="2:165" s="2" customFormat="1" ht="15">
      <c r="B26" s="33" t="s">
        <v>217</v>
      </c>
      <c r="BT26" s="34"/>
      <c r="BU26" s="34"/>
      <c r="BV26" s="34"/>
      <c r="BW26" s="34"/>
      <c r="BX26" s="34"/>
      <c r="BY26" s="34"/>
      <c r="BZ26" s="34"/>
      <c r="CJ26" s="2" t="e">
        <f t="shared" ref="CJ26:CY26" si="40">CJ14/CI14-1</f>
        <v>#DIV/0!</v>
      </c>
      <c r="CK26" s="2" t="e">
        <f t="shared" si="40"/>
        <v>#DIV/0!</v>
      </c>
      <c r="CL26" s="2" t="e">
        <f t="shared" si="40"/>
        <v>#DIV/0!</v>
      </c>
      <c r="CM26" s="2" t="e">
        <f t="shared" si="40"/>
        <v>#DIV/0!</v>
      </c>
      <c r="CN26" s="2" t="e">
        <f t="shared" si="40"/>
        <v>#DIV/0!</v>
      </c>
      <c r="CO26" s="2" t="e">
        <f t="shared" si="40"/>
        <v>#DIV/0!</v>
      </c>
      <c r="CP26" s="2" t="e">
        <f t="shared" si="40"/>
        <v>#DIV/0!</v>
      </c>
      <c r="CQ26" s="2" t="e">
        <f t="shared" si="40"/>
        <v>#DIV/0!</v>
      </c>
      <c r="CR26" s="2" t="e">
        <f t="shared" si="40"/>
        <v>#DIV/0!</v>
      </c>
      <c r="CS26" s="2" t="e">
        <f t="shared" si="40"/>
        <v>#DIV/0!</v>
      </c>
      <c r="CT26" s="2" t="e">
        <f t="shared" si="40"/>
        <v>#DIV/0!</v>
      </c>
      <c r="CU26" s="2" t="e">
        <f t="shared" si="40"/>
        <v>#DIV/0!</v>
      </c>
      <c r="CV26" s="2" t="e">
        <f t="shared" si="40"/>
        <v>#DIV/0!</v>
      </c>
      <c r="CW26" s="2" t="e">
        <f t="shared" si="40"/>
        <v>#DIV/0!</v>
      </c>
      <c r="CX26" s="2" t="e">
        <f t="shared" si="40"/>
        <v>#DIV/0!</v>
      </c>
      <c r="CY26" s="2" t="e">
        <f t="shared" si="40"/>
        <v>#DIV/0!</v>
      </c>
      <c r="CZ26" s="51" t="e">
        <f>CZ14/CY14-1</f>
        <v>#DIV/0!</v>
      </c>
      <c r="DA26" s="51" t="e">
        <f t="shared" ref="DA26:DI26" si="41">DA14/CZ14-1</f>
        <v>#DIV/0!</v>
      </c>
      <c r="DB26" s="51" t="e">
        <f t="shared" si="41"/>
        <v>#DIV/0!</v>
      </c>
      <c r="DC26" s="51" t="e">
        <f t="shared" si="41"/>
        <v>#DIV/0!</v>
      </c>
      <c r="DD26" s="51" t="e">
        <f t="shared" si="41"/>
        <v>#DIV/0!</v>
      </c>
      <c r="DE26" s="51" t="e">
        <f t="shared" si="41"/>
        <v>#DIV/0!</v>
      </c>
      <c r="DF26" s="51" t="e">
        <f t="shared" si="41"/>
        <v>#DIV/0!</v>
      </c>
      <c r="DG26" s="51" t="e">
        <f t="shared" si="41"/>
        <v>#DIV/0!</v>
      </c>
      <c r="DH26" s="51" t="e">
        <f t="shared" si="41"/>
        <v>#DIV/0!</v>
      </c>
      <c r="DI26" s="51" t="e">
        <f t="shared" si="41"/>
        <v>#DIV/0!</v>
      </c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  <c r="FC26" s="34"/>
      <c r="FD26" s="34"/>
      <c r="FE26" s="34"/>
      <c r="FF26" s="34"/>
      <c r="FG26" s="34"/>
      <c r="FH26" s="34"/>
      <c r="FI26" s="34"/>
    </row>
    <row r="28" spans="2:165" ht="15">
      <c r="B28" s="33" t="s">
        <v>135</v>
      </c>
      <c r="CY28" s="1" t="e">
        <f>CY4/CY14</f>
        <v>#DIV/0!</v>
      </c>
    </row>
    <row r="29" spans="2:165" ht="15">
      <c r="B29" s="33" t="s">
        <v>136</v>
      </c>
    </row>
    <row r="31" spans="2:165">
      <c r="B31" s="1" t="s">
        <v>147</v>
      </c>
      <c r="CI31" s="1">
        <f t="shared" ref="CI31:CI34" si="42">SUM(C31:F31)</f>
        <v>0</v>
      </c>
      <c r="CJ31" s="1">
        <f t="shared" ref="CJ31:CJ34" si="43">SUM(G31:J31)</f>
        <v>0</v>
      </c>
      <c r="CK31" s="1">
        <f t="shared" ref="CK31:CK34" si="44">SUM(K31:N31)</f>
        <v>0</v>
      </c>
      <c r="CL31" s="1">
        <f t="shared" ref="CL31:CL34" si="45">SUM(O31:R31)</f>
        <v>0</v>
      </c>
      <c r="CM31" s="1">
        <f t="shared" ref="CM31:CM34" si="46">SUM(S31:V31)</f>
        <v>0</v>
      </c>
      <c r="CN31" s="1">
        <f t="shared" ref="CN31:CN34" si="47">SUM(W31:Z31)</f>
        <v>0</v>
      </c>
      <c r="CO31" s="1">
        <f t="shared" ref="CO31:CO34" si="48">SUM(AA31:AD31)</f>
        <v>0</v>
      </c>
      <c r="CP31" s="1">
        <f t="shared" ref="CP31:CP34" si="49">SUM(AE31:AH31)</f>
        <v>0</v>
      </c>
      <c r="CQ31" s="1">
        <f t="shared" ref="CQ31:CQ34" si="50">SUM(AI31:AL31)</f>
        <v>0</v>
      </c>
      <c r="CR31" s="1">
        <f t="shared" ref="CR31:CR34" si="51">SUM(AM31:AP31)</f>
        <v>0</v>
      </c>
      <c r="CS31" s="1">
        <f t="shared" ref="CS31:CS34" si="52">SUM(AQ31:AT31)</f>
        <v>0</v>
      </c>
      <c r="CT31" s="1">
        <f t="shared" ref="CT31:CT34" si="53">SUM(AU31:AX31)</f>
        <v>0</v>
      </c>
      <c r="CU31" s="1">
        <f t="shared" ref="CU31:CU34" si="54">SUM(AY31:BB31)</f>
        <v>0</v>
      </c>
      <c r="CV31" s="1">
        <f t="shared" ref="CV31:CV34" si="55">SUM(BC31:BF31)</f>
        <v>0</v>
      </c>
      <c r="CW31" s="1">
        <f t="shared" ref="CW31:CW34" si="56">SUM(BG31:BJ31)</f>
        <v>0</v>
      </c>
      <c r="CX31" s="1">
        <f t="shared" ref="CX31:CX34" si="57">SUM(BK31:BN31)</f>
        <v>0</v>
      </c>
      <c r="CY31" s="1">
        <f t="shared" ref="CY31:CY34" si="58">SUM(BO31:BR31)</f>
        <v>0</v>
      </c>
    </row>
    <row r="32" spans="2:165">
      <c r="B32" s="1" t="s">
        <v>150</v>
      </c>
      <c r="CI32" s="1">
        <f t="shared" si="42"/>
        <v>0</v>
      </c>
      <c r="CJ32" s="1">
        <f t="shared" si="43"/>
        <v>0</v>
      </c>
      <c r="CK32" s="1">
        <f t="shared" si="44"/>
        <v>0</v>
      </c>
      <c r="CL32" s="1">
        <f t="shared" si="45"/>
        <v>0</v>
      </c>
      <c r="CM32" s="1">
        <f t="shared" si="46"/>
        <v>0</v>
      </c>
      <c r="CN32" s="1">
        <f t="shared" si="47"/>
        <v>0</v>
      </c>
      <c r="CO32" s="1">
        <f t="shared" si="48"/>
        <v>0</v>
      </c>
      <c r="CP32" s="1">
        <f t="shared" si="49"/>
        <v>0</v>
      </c>
      <c r="CQ32" s="1">
        <f t="shared" si="50"/>
        <v>0</v>
      </c>
      <c r="CR32" s="1">
        <f t="shared" si="51"/>
        <v>0</v>
      </c>
      <c r="CS32" s="1">
        <f t="shared" si="52"/>
        <v>0</v>
      </c>
      <c r="CT32" s="1">
        <f t="shared" si="53"/>
        <v>0</v>
      </c>
      <c r="CU32" s="1">
        <f t="shared" si="54"/>
        <v>0</v>
      </c>
      <c r="CV32" s="1">
        <f t="shared" si="55"/>
        <v>0</v>
      </c>
      <c r="CW32" s="1">
        <f t="shared" si="56"/>
        <v>0</v>
      </c>
      <c r="CX32" s="1">
        <f t="shared" si="57"/>
        <v>0</v>
      </c>
      <c r="CY32" s="1">
        <f t="shared" si="58"/>
        <v>0</v>
      </c>
    </row>
    <row r="33" spans="2:165">
      <c r="B33" s="1" t="s">
        <v>149</v>
      </c>
      <c r="CI33" s="1">
        <f t="shared" si="42"/>
        <v>0</v>
      </c>
      <c r="CJ33" s="1">
        <f t="shared" si="43"/>
        <v>0</v>
      </c>
      <c r="CK33" s="1">
        <f t="shared" si="44"/>
        <v>0</v>
      </c>
      <c r="CL33" s="1">
        <f t="shared" si="45"/>
        <v>0</v>
      </c>
      <c r="CM33" s="1">
        <f t="shared" si="46"/>
        <v>0</v>
      </c>
      <c r="CN33" s="1">
        <f t="shared" si="47"/>
        <v>0</v>
      </c>
      <c r="CO33" s="1">
        <f t="shared" si="48"/>
        <v>0</v>
      </c>
      <c r="CP33" s="1">
        <f t="shared" si="49"/>
        <v>0</v>
      </c>
      <c r="CQ33" s="1">
        <f t="shared" si="50"/>
        <v>0</v>
      </c>
      <c r="CR33" s="1">
        <f t="shared" si="51"/>
        <v>0</v>
      </c>
      <c r="CS33" s="1">
        <f t="shared" si="52"/>
        <v>0</v>
      </c>
      <c r="CT33" s="1">
        <f t="shared" si="53"/>
        <v>0</v>
      </c>
      <c r="CU33" s="1">
        <f t="shared" si="54"/>
        <v>0</v>
      </c>
      <c r="CV33" s="1">
        <f t="shared" si="55"/>
        <v>0</v>
      </c>
      <c r="CW33" s="1">
        <f t="shared" si="56"/>
        <v>0</v>
      </c>
      <c r="CX33" s="1">
        <f t="shared" si="57"/>
        <v>0</v>
      </c>
      <c r="CY33" s="1">
        <f t="shared" si="58"/>
        <v>0</v>
      </c>
    </row>
    <row r="34" spans="2:165">
      <c r="B34" s="1" t="s">
        <v>148</v>
      </c>
      <c r="CI34" s="1">
        <f t="shared" si="42"/>
        <v>0</v>
      </c>
      <c r="CJ34" s="1">
        <f t="shared" si="43"/>
        <v>0</v>
      </c>
      <c r="CK34" s="1">
        <f t="shared" si="44"/>
        <v>0</v>
      </c>
      <c r="CL34" s="1">
        <f t="shared" si="45"/>
        <v>0</v>
      </c>
      <c r="CM34" s="1">
        <f t="shared" si="46"/>
        <v>0</v>
      </c>
      <c r="CN34" s="1">
        <f t="shared" si="47"/>
        <v>0</v>
      </c>
      <c r="CO34" s="1">
        <f t="shared" si="48"/>
        <v>0</v>
      </c>
      <c r="CP34" s="1">
        <f t="shared" si="49"/>
        <v>0</v>
      </c>
      <c r="CQ34" s="1">
        <f t="shared" si="50"/>
        <v>0</v>
      </c>
      <c r="CR34" s="1">
        <f t="shared" si="51"/>
        <v>0</v>
      </c>
      <c r="CS34" s="1">
        <f t="shared" si="52"/>
        <v>0</v>
      </c>
      <c r="CT34" s="1">
        <f t="shared" si="53"/>
        <v>0</v>
      </c>
      <c r="CU34" s="1">
        <f t="shared" si="54"/>
        <v>0</v>
      </c>
      <c r="CV34" s="1">
        <f t="shared" si="55"/>
        <v>0</v>
      </c>
      <c r="CW34" s="1">
        <f t="shared" si="56"/>
        <v>0</v>
      </c>
      <c r="CX34" s="1">
        <f t="shared" si="57"/>
        <v>0</v>
      </c>
      <c r="CY34" s="1">
        <f t="shared" si="58"/>
        <v>0</v>
      </c>
    </row>
    <row r="36" spans="2:165">
      <c r="B36" s="1" t="s">
        <v>157</v>
      </c>
    </row>
    <row r="37" spans="2:165">
      <c r="B37" s="1" t="s">
        <v>155</v>
      </c>
    </row>
    <row r="38" spans="2:165">
      <c r="B38" s="1" t="s">
        <v>156</v>
      </c>
    </row>
    <row r="39" spans="2:165">
      <c r="B39" s="1" t="s">
        <v>158</v>
      </c>
    </row>
    <row r="41" spans="2:165">
      <c r="B41" s="38" t="s">
        <v>151</v>
      </c>
    </row>
    <row r="42" spans="2:165">
      <c r="B42" s="1" t="s">
        <v>152</v>
      </c>
    </row>
    <row r="43" spans="2:165">
      <c r="B43" s="1" t="s">
        <v>153</v>
      </c>
    </row>
    <row r="44" spans="2:165">
      <c r="B44" s="1" t="s">
        <v>154</v>
      </c>
    </row>
    <row r="46" spans="2:165" s="2" customFormat="1" ht="15">
      <c r="B46" s="2" t="s">
        <v>121</v>
      </c>
      <c r="AY46" s="2">
        <f t="shared" ref="AY46:BR46" si="59">AY14</f>
        <v>0</v>
      </c>
      <c r="AZ46" s="2">
        <f t="shared" si="59"/>
        <v>0</v>
      </c>
      <c r="BA46" s="2">
        <f t="shared" si="59"/>
        <v>0</v>
      </c>
      <c r="BB46" s="2">
        <f t="shared" si="59"/>
        <v>0</v>
      </c>
      <c r="BC46" s="2">
        <f t="shared" si="59"/>
        <v>0</v>
      </c>
      <c r="BD46" s="2">
        <f t="shared" si="59"/>
        <v>0</v>
      </c>
      <c r="BE46" s="2">
        <f t="shared" si="59"/>
        <v>0</v>
      </c>
      <c r="BF46" s="2">
        <f t="shared" si="59"/>
        <v>0</v>
      </c>
      <c r="BG46" s="2">
        <f t="shared" si="59"/>
        <v>0</v>
      </c>
      <c r="BH46" s="2">
        <f t="shared" si="59"/>
        <v>0</v>
      </c>
      <c r="BI46" s="2">
        <f t="shared" si="59"/>
        <v>0</v>
      </c>
      <c r="BJ46" s="2">
        <f t="shared" si="59"/>
        <v>0</v>
      </c>
      <c r="BK46" s="2">
        <f t="shared" si="59"/>
        <v>0</v>
      </c>
      <c r="BL46" s="2">
        <f t="shared" si="59"/>
        <v>0</v>
      </c>
      <c r="BM46" s="2">
        <f t="shared" si="59"/>
        <v>0</v>
      </c>
      <c r="BN46" s="2">
        <f t="shared" si="59"/>
        <v>0</v>
      </c>
      <c r="BO46" s="2">
        <f t="shared" si="59"/>
        <v>0</v>
      </c>
      <c r="BP46" s="2">
        <f t="shared" si="59"/>
        <v>0</v>
      </c>
      <c r="BQ46" s="2">
        <f t="shared" si="59"/>
        <v>0</v>
      </c>
      <c r="BR46" s="2">
        <f t="shared" si="59"/>
        <v>0</v>
      </c>
      <c r="BS46" s="2">
        <f>BS14</f>
        <v>0</v>
      </c>
      <c r="BT46" s="34"/>
      <c r="BU46" s="34"/>
      <c r="BV46" s="34"/>
      <c r="BW46" s="34"/>
      <c r="BX46" s="34"/>
      <c r="BY46" s="34"/>
      <c r="BZ46" s="34"/>
      <c r="CI46" s="2">
        <f>SUM(C46:F46)</f>
        <v>0</v>
      </c>
      <c r="CJ46" s="2">
        <f>SUM(G46:J46)</f>
        <v>0</v>
      </c>
      <c r="CK46" s="2">
        <f>SUM(K46:N46)</f>
        <v>0</v>
      </c>
      <c r="CL46" s="2">
        <f>SUM(O46:R46)</f>
        <v>0</v>
      </c>
      <c r="CM46" s="2">
        <f>SUM(S46:V46)</f>
        <v>0</v>
      </c>
      <c r="CN46" s="2">
        <f>SUM(W46:Z46)</f>
        <v>0</v>
      </c>
      <c r="CO46" s="2">
        <f>SUM(AA46:AD46)</f>
        <v>0</v>
      </c>
      <c r="CP46" s="2">
        <f>SUM(AE46:AH46)</f>
        <v>0</v>
      </c>
      <c r="CQ46" s="2">
        <f>SUM(AI46:AL46)</f>
        <v>0</v>
      </c>
      <c r="CR46" s="2">
        <f>SUM(AM46:AP46)</f>
        <v>0</v>
      </c>
      <c r="CS46" s="2">
        <f>SUM(AQ46:AT46)</f>
        <v>0</v>
      </c>
      <c r="CT46" s="2">
        <f>SUM(AU46:AX46)</f>
        <v>0</v>
      </c>
      <c r="CU46" s="2">
        <f>SUM(AY46:BB46)</f>
        <v>0</v>
      </c>
      <c r="CV46" s="2">
        <f>SUM(BC46:BF46)</f>
        <v>0</v>
      </c>
      <c r="CW46" s="2">
        <f>SUM(BG46:BJ46)</f>
        <v>0</v>
      </c>
      <c r="CX46" s="2">
        <f>SUM(BK46:BN46)</f>
        <v>0</v>
      </c>
      <c r="CY46" s="2">
        <f>SUM(BO46:BR46)</f>
        <v>0</v>
      </c>
      <c r="CZ46" s="34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  <c r="DM46" s="34"/>
      <c r="DN46" s="34"/>
      <c r="DO46" s="34"/>
      <c r="DP46" s="34"/>
      <c r="DQ46" s="34"/>
      <c r="DR46" s="34"/>
      <c r="DS46" s="34"/>
      <c r="DT46" s="34"/>
      <c r="DU46" s="34"/>
      <c r="DV46" s="34"/>
      <c r="DW46" s="34"/>
      <c r="DX46" s="34"/>
      <c r="DY46" s="34"/>
      <c r="DZ46" s="34"/>
      <c r="EA46" s="34"/>
      <c r="EB46" s="34"/>
      <c r="EC46" s="34"/>
      <c r="ED46" s="34"/>
      <c r="EE46" s="34"/>
      <c r="EF46" s="34"/>
      <c r="EG46" s="34"/>
      <c r="EH46" s="34"/>
      <c r="EI46" s="34"/>
      <c r="EJ46" s="34"/>
      <c r="EK46" s="3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</row>
    <row r="47" spans="2:165">
      <c r="B47" s="1" t="s">
        <v>159</v>
      </c>
    </row>
    <row r="48" spans="2:165">
      <c r="B48" s="1" t="s">
        <v>160</v>
      </c>
      <c r="AY48" s="1">
        <f t="shared" ref="AY48:BR48" si="60">AY46-AY47</f>
        <v>0</v>
      </c>
      <c r="AZ48" s="1">
        <f t="shared" si="60"/>
        <v>0</v>
      </c>
      <c r="BA48" s="1">
        <f t="shared" si="60"/>
        <v>0</v>
      </c>
      <c r="BB48" s="1">
        <f t="shared" si="60"/>
        <v>0</v>
      </c>
      <c r="BC48" s="1">
        <f t="shared" si="60"/>
        <v>0</v>
      </c>
      <c r="BD48" s="1">
        <f t="shared" si="60"/>
        <v>0</v>
      </c>
      <c r="BE48" s="1">
        <f t="shared" si="60"/>
        <v>0</v>
      </c>
      <c r="BF48" s="1">
        <f t="shared" si="60"/>
        <v>0</v>
      </c>
      <c r="BG48" s="1">
        <f t="shared" si="60"/>
        <v>0</v>
      </c>
      <c r="BH48" s="1">
        <f t="shared" si="60"/>
        <v>0</v>
      </c>
      <c r="BI48" s="1">
        <f t="shared" si="60"/>
        <v>0</v>
      </c>
      <c r="BJ48" s="1">
        <f t="shared" si="60"/>
        <v>0</v>
      </c>
      <c r="BK48" s="1">
        <f t="shared" si="60"/>
        <v>0</v>
      </c>
      <c r="BL48" s="1">
        <f t="shared" si="60"/>
        <v>0</v>
      </c>
      <c r="BM48" s="1">
        <f t="shared" si="60"/>
        <v>0</v>
      </c>
      <c r="BN48" s="1">
        <f t="shared" si="60"/>
        <v>0</v>
      </c>
      <c r="BO48" s="1">
        <f t="shared" si="60"/>
        <v>0</v>
      </c>
      <c r="BP48" s="1">
        <f t="shared" si="60"/>
        <v>0</v>
      </c>
      <c r="BQ48" s="1">
        <f t="shared" si="60"/>
        <v>0</v>
      </c>
      <c r="BR48" s="1">
        <f t="shared" si="60"/>
        <v>0</v>
      </c>
      <c r="BS48" s="1">
        <f>BS46-BS47</f>
        <v>0</v>
      </c>
    </row>
    <row r="66" spans="2:114">
      <c r="B66" s="37" t="s">
        <v>161</v>
      </c>
    </row>
    <row r="67" spans="2:114">
      <c r="B67" s="37" t="s">
        <v>162</v>
      </c>
    </row>
    <row r="68" spans="2:114">
      <c r="B68" s="37" t="s">
        <v>163</v>
      </c>
    </row>
    <row r="69" spans="2:114">
      <c r="B69" s="37" t="s">
        <v>164</v>
      </c>
    </row>
    <row r="70" spans="2:114">
      <c r="B70" s="37" t="s">
        <v>165</v>
      </c>
    </row>
    <row r="71" spans="2:114">
      <c r="B71" s="37" t="s">
        <v>166</v>
      </c>
    </row>
    <row r="72" spans="2:114">
      <c r="B72" s="37" t="s">
        <v>200</v>
      </c>
    </row>
    <row r="74" spans="2:114">
      <c r="B74" s="1" t="s">
        <v>167</v>
      </c>
      <c r="CI74" s="1">
        <f>F74</f>
        <v>0</v>
      </c>
      <c r="CJ74" s="1">
        <f>J74</f>
        <v>0</v>
      </c>
      <c r="CK74" s="1">
        <f>N74</f>
        <v>0</v>
      </c>
      <c r="CL74" s="1">
        <f>R74</f>
        <v>0</v>
      </c>
      <c r="CM74" s="1">
        <f>V74</f>
        <v>0</v>
      </c>
      <c r="CN74" s="1">
        <f>Z74</f>
        <v>0</v>
      </c>
      <c r="CO74" s="1">
        <f>AD74</f>
        <v>0</v>
      </c>
      <c r="CP74" s="1">
        <f>AH74</f>
        <v>0</v>
      </c>
      <c r="CQ74" s="1">
        <f>AL74</f>
        <v>0</v>
      </c>
      <c r="CR74" s="1">
        <f>AP74</f>
        <v>0</v>
      </c>
      <c r="CS74" s="1">
        <f>AT74</f>
        <v>0</v>
      </c>
      <c r="CT74" s="1">
        <f>AX74</f>
        <v>0</v>
      </c>
      <c r="CU74" s="1">
        <f>BB74</f>
        <v>0</v>
      </c>
      <c r="CV74" s="1">
        <f>BF74</f>
        <v>0</v>
      </c>
      <c r="CW74" s="1">
        <f>BJ74</f>
        <v>0</v>
      </c>
      <c r="CX74" s="1">
        <f>BN74</f>
        <v>0</v>
      </c>
      <c r="CY74" s="1">
        <f>BR74</f>
        <v>0</v>
      </c>
    </row>
    <row r="75" spans="2:114">
      <c r="B75" s="1" t="s">
        <v>168</v>
      </c>
    </row>
    <row r="76" spans="2:114">
      <c r="B76" s="1" t="s">
        <v>169</v>
      </c>
      <c r="DA76" s="52" t="s">
        <v>218</v>
      </c>
      <c r="DB76" s="53"/>
      <c r="DC76" s="53"/>
      <c r="DD76" s="52" t="s">
        <v>219</v>
      </c>
      <c r="DE76" s="53"/>
      <c r="DF76" s="54" t="s">
        <v>220</v>
      </c>
      <c r="DG76" s="53"/>
      <c r="DH76" s="55" t="s">
        <v>221</v>
      </c>
      <c r="DI76" s="56">
        <v>0.06</v>
      </c>
      <c r="DJ76" s="53"/>
    </row>
    <row r="77" spans="2:114" ht="13.5" customHeight="1">
      <c r="DA77" s="53">
        <v>2025</v>
      </c>
      <c r="DB77" s="53"/>
      <c r="DC77" s="53">
        <v>2023</v>
      </c>
      <c r="DD77" s="53">
        <v>2024</v>
      </c>
      <c r="DE77" s="53"/>
      <c r="DF77" s="54" t="s">
        <v>222</v>
      </c>
      <c r="DG77" s="53"/>
      <c r="DH77" s="55" t="s">
        <v>223</v>
      </c>
      <c r="DI77" s="56">
        <v>2.5000000000000001E-2</v>
      </c>
      <c r="DJ77" s="53"/>
    </row>
    <row r="78" spans="2:114" ht="13.5" customHeight="1">
      <c r="DA78" s="57" t="e">
        <f>AVERAGE(CZ56)*(1-CZ70)</f>
        <v>#DIV/0!</v>
      </c>
      <c r="DB78" s="53"/>
      <c r="DC78" s="58">
        <f>SUM(CX73:CX78)-CX89+CX79+CX82+CX81</f>
        <v>0</v>
      </c>
      <c r="DD78" s="58">
        <f>SUM(CY73:CY78)-CY89+CY79+CY82+CY81</f>
        <v>0</v>
      </c>
      <c r="DE78" s="53"/>
      <c r="DF78" s="58">
        <f>AVERAGE(DC78:DD78)</f>
        <v>0</v>
      </c>
      <c r="DG78" s="53"/>
      <c r="DH78" s="55" t="s">
        <v>224</v>
      </c>
      <c r="DI78" s="56">
        <v>4.3400000000000001E-2</v>
      </c>
      <c r="DJ78" s="53"/>
    </row>
    <row r="79" spans="2:114" ht="13.5" customHeight="1">
      <c r="DA79" s="59" t="e">
        <f>DA78/DF78</f>
        <v>#DIV/0!</v>
      </c>
      <c r="DB79" s="53"/>
      <c r="DC79" s="53"/>
      <c r="DD79" s="53"/>
      <c r="DE79" s="53"/>
      <c r="DF79" s="53"/>
      <c r="DG79" s="53"/>
      <c r="DH79" s="55" t="s">
        <v>225</v>
      </c>
      <c r="DI79" s="56">
        <f>13.4%-DI78</f>
        <v>9.0600000000000014E-2</v>
      </c>
      <c r="DJ79" s="53"/>
    </row>
    <row r="80" spans="2:114" ht="13.5" customHeight="1">
      <c r="DA80" s="53"/>
      <c r="DB80" s="53"/>
      <c r="DC80" s="53"/>
      <c r="DD80" s="53"/>
      <c r="DE80" s="53"/>
      <c r="DF80" s="53"/>
      <c r="DG80" s="53"/>
      <c r="DH80" s="55" t="s">
        <v>226</v>
      </c>
      <c r="DI80" s="53">
        <f>'Notes | Quant Analysis'!K206</f>
        <v>1.07</v>
      </c>
      <c r="DJ80" s="53"/>
    </row>
    <row r="81" spans="105:114" ht="13.5" customHeight="1">
      <c r="DA81" s="53"/>
      <c r="DB81" s="53"/>
      <c r="DC81" s="53"/>
      <c r="DD81" s="53"/>
      <c r="DE81" s="53"/>
      <c r="DF81" s="53"/>
      <c r="DG81" s="53"/>
      <c r="DH81" s="55" t="s">
        <v>227</v>
      </c>
      <c r="DI81" s="56">
        <f>+DI78+(DI79*DI80)</f>
        <v>0.14034200000000002</v>
      </c>
      <c r="DJ81" s="60"/>
    </row>
    <row r="82" spans="105:114" ht="13.5" customHeight="1">
      <c r="DA82" s="60"/>
      <c r="DB82" s="60"/>
      <c r="DC82" s="60"/>
      <c r="DD82" s="60"/>
      <c r="DE82" s="60"/>
      <c r="DF82" s="60"/>
      <c r="DG82" s="60"/>
      <c r="DH82" s="55"/>
      <c r="DI82" s="53"/>
      <c r="DJ82" s="53"/>
    </row>
    <row r="83" spans="105:114" ht="13.5" customHeight="1">
      <c r="DA83" s="53"/>
      <c r="DB83" s="53"/>
      <c r="DC83" s="53"/>
      <c r="DD83" s="53"/>
      <c r="DE83" s="53"/>
      <c r="DF83" s="53"/>
      <c r="DG83" s="53"/>
      <c r="DH83" s="55" t="s">
        <v>228</v>
      </c>
      <c r="DI83" s="58">
        <f>NPV(DI81,CZ62:EW62)</f>
        <v>0</v>
      </c>
      <c r="DJ83" s="53"/>
    </row>
    <row r="84" spans="105:114" ht="13.5" customHeight="1">
      <c r="DA84" s="53"/>
      <c r="DB84" s="53"/>
      <c r="DC84" s="53"/>
      <c r="DD84" s="53"/>
      <c r="DE84" s="53"/>
      <c r="DF84" s="53"/>
      <c r="DG84" s="53"/>
      <c r="DH84" s="55" t="s">
        <v>181</v>
      </c>
      <c r="DI84" s="58">
        <f>Main!C6</f>
        <v>587.1</v>
      </c>
      <c r="DJ84" s="61" t="s">
        <v>229</v>
      </c>
    </row>
    <row r="85" spans="105:114" ht="13.5" customHeight="1">
      <c r="DA85" s="53"/>
      <c r="DB85" s="53"/>
      <c r="DC85" s="53"/>
      <c r="DD85" s="53"/>
      <c r="DE85" s="53"/>
      <c r="DF85" s="53"/>
      <c r="DG85" s="53"/>
      <c r="DH85" s="55" t="s">
        <v>230</v>
      </c>
      <c r="DI85" s="62">
        <f>DI83/DI84</f>
        <v>0</v>
      </c>
      <c r="DJ85" s="52"/>
    </row>
    <row r="86" spans="105:114" ht="13.5" customHeight="1">
      <c r="DA86" s="53"/>
      <c r="DB86" s="53"/>
      <c r="DC86" s="53"/>
      <c r="DD86" s="53"/>
      <c r="DE86" s="53"/>
      <c r="DF86" s="53"/>
      <c r="DG86" s="53"/>
      <c r="DH86" s="55" t="s">
        <v>231</v>
      </c>
      <c r="DI86" s="62">
        <f>Main!C5</f>
        <v>74.39</v>
      </c>
      <c r="DJ86" s="63"/>
    </row>
    <row r="87" spans="105:114" ht="13.5" customHeight="1">
      <c r="DA87" s="60"/>
      <c r="DB87" s="60"/>
      <c r="DC87" s="60"/>
      <c r="DD87" s="60"/>
      <c r="DE87" s="60"/>
      <c r="DF87" s="60"/>
      <c r="DG87" s="60"/>
      <c r="DH87" s="55" t="s">
        <v>232</v>
      </c>
      <c r="DI87" s="56">
        <f>DI85/DI86-1</f>
        <v>-1</v>
      </c>
      <c r="DJ87" s="64" t="str">
        <f>IF(DI87&gt;0,"Upside","Downside")</f>
        <v>Downside</v>
      </c>
    </row>
    <row r="88" spans="105:114" ht="13.5" customHeight="1">
      <c r="DH88" s="71" t="str" cm="1">
        <f t="array" ref="DH88">_xlfn.IFS(DI87&gt;=25%,"Strong Buy",DI87&gt;=10.00001%,"Buy",AND(DI87&lt;=10%,DI87&gt;=-4.9999%),"Hold",AND(DI87&lt;=-5%,DI87&gt;=-14.999999%),"Sell",DI87&lt;=-15%,"Strong Sell")</f>
        <v>Strong Sell</v>
      </c>
      <c r="DI88" s="71"/>
    </row>
    <row r="89" spans="105:114" ht="13.5" customHeight="1"/>
    <row r="90" spans="105:114" ht="13.5" customHeight="1"/>
    <row r="91" spans="105:114" ht="13.5" customHeight="1"/>
    <row r="92" spans="105:114" ht="13.5" customHeight="1"/>
    <row r="93" spans="105:114" ht="13.5" customHeight="1"/>
    <row r="108" spans="2:2">
      <c r="B108" s="1" t="s">
        <v>170</v>
      </c>
    </row>
    <row r="109" spans="2:2">
      <c r="B109" s="1" t="s">
        <v>171</v>
      </c>
    </row>
    <row r="110" spans="2:2">
      <c r="B110" s="1" t="s">
        <v>172</v>
      </c>
    </row>
    <row r="111" spans="2:2">
      <c r="B111" s="1" t="s">
        <v>173</v>
      </c>
    </row>
    <row r="112" spans="2:2">
      <c r="B112" s="1" t="s">
        <v>174</v>
      </c>
    </row>
    <row r="113" spans="2:2">
      <c r="B113" s="1" t="s">
        <v>175</v>
      </c>
    </row>
    <row r="114" spans="2:2">
      <c r="B114" s="1" t="s">
        <v>176</v>
      </c>
    </row>
    <row r="117" spans="2:2">
      <c r="B117" s="1" t="s">
        <v>177</v>
      </c>
    </row>
    <row r="118" spans="2:2">
      <c r="B118" s="1" t="s">
        <v>178</v>
      </c>
    </row>
    <row r="119" spans="2:2">
      <c r="B119" s="1" t="s">
        <v>179</v>
      </c>
    </row>
    <row r="120" spans="2:2">
      <c r="B120" s="1" t="s">
        <v>180</v>
      </c>
    </row>
    <row r="121" spans="2:2">
      <c r="B121" s="1" t="s">
        <v>181</v>
      </c>
    </row>
    <row r="122" spans="2:2">
      <c r="B122" s="1" t="s">
        <v>182</v>
      </c>
    </row>
  </sheetData>
  <mergeCells count="1">
    <mergeCell ref="DH88:DI88"/>
  </mergeCells>
  <conditionalFormatting sqref="DH8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Sell",DH88)))</formula>
    </cfRule>
    <cfRule type="containsText" dxfId="3" priority="3" operator="containsText" text="Sell">
      <formula>NOT(ISERROR(SEARCH("Sell",DH88)))</formula>
    </cfRule>
    <cfRule type="containsText" dxfId="2" priority="4" operator="containsText" text="Hold">
      <formula>NOT(ISERROR(SEARCH("Hold",DH88)))</formula>
    </cfRule>
    <cfRule type="beginsWith" dxfId="1" priority="5" operator="beginsWith" text="Buy">
      <formula>LEFT(DH88,LEN("Buy"))="Buy"</formula>
    </cfRule>
    <cfRule type="beginsWith" dxfId="0" priority="6" operator="beginsWith" text="Strong">
      <formula>LEFT(DH88,LEN("Strong"))="Strong"</formula>
    </cfRule>
  </conditionalFormatting>
  <pageMargins left="0.7" right="0.7" top="0.75" bottom="0.75" header="0.3" footer="0.3"/>
  <ignoredErrors>
    <ignoredError sqref="CZ26:DI26 CJ16:CY16 CJ17:CY28" evalError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A1557"/>
  <sheetViews>
    <sheetView topLeftCell="H165" zoomScale="55" zoomScaleNormal="55" workbookViewId="0">
      <selection activeCell="P211" sqref="P211:P224"/>
    </sheetView>
  </sheetViews>
  <sheetFormatPr defaultColWidth="9.140625" defaultRowHeight="14.25"/>
  <cols>
    <col min="1" max="7" width="0" style="1" hidden="1" customWidth="1"/>
    <col min="8" max="8" width="3.140625" style="1" customWidth="1"/>
    <col min="9" max="28" width="9.140625" style="1"/>
    <col min="29" max="29" width="2.85546875" style="1" customWidth="1"/>
    <col min="30" max="16384" width="9.140625" style="1"/>
  </cols>
  <sheetData>
    <row r="1" spans="8:79">
      <c r="CA1" s="1">
        <v>0</v>
      </c>
    </row>
    <row r="2" spans="8:79" ht="15">
      <c r="H2" s="2" t="s">
        <v>207</v>
      </c>
      <c r="AD2" s="2" t="s">
        <v>1524</v>
      </c>
    </row>
    <row r="35" spans="8:30" ht="15">
      <c r="AD35" s="2" t="s">
        <v>1523</v>
      </c>
    </row>
    <row r="36" spans="8:30" ht="15">
      <c r="H36" s="2" t="s">
        <v>212</v>
      </c>
      <c r="AD36" s="2" t="s">
        <v>183</v>
      </c>
    </row>
    <row r="37" spans="8:30">
      <c r="I37" s="1" t="s">
        <v>15</v>
      </c>
      <c r="AD37" s="1" t="s">
        <v>184</v>
      </c>
    </row>
    <row r="69" spans="8:30" ht="15">
      <c r="H69" s="2" t="s">
        <v>1522</v>
      </c>
      <c r="AD69" s="2" t="s">
        <v>185</v>
      </c>
    </row>
    <row r="70" spans="8:30">
      <c r="AD70" s="1" t="s">
        <v>186</v>
      </c>
    </row>
    <row r="101" spans="8:30">
      <c r="I101" s="1" t="s">
        <v>16</v>
      </c>
      <c r="J101" s="1" t="s">
        <v>17</v>
      </c>
    </row>
    <row r="102" spans="8:30">
      <c r="J102" s="1" t="s">
        <v>18</v>
      </c>
    </row>
    <row r="103" spans="8:30">
      <c r="J103" s="1" t="s">
        <v>19</v>
      </c>
    </row>
    <row r="105" spans="8:30" ht="15">
      <c r="H105" s="2" t="s">
        <v>211</v>
      </c>
      <c r="AD105" s="2" t="s">
        <v>187</v>
      </c>
    </row>
    <row r="106" spans="8:30">
      <c r="AD106" s="1" t="s">
        <v>188</v>
      </c>
    </row>
    <row r="134" spans="8:30">
      <c r="I134" s="1" t="s">
        <v>16</v>
      </c>
      <c r="J134" s="1" t="s">
        <v>17</v>
      </c>
    </row>
    <row r="135" spans="8:30">
      <c r="J135" s="1" t="s">
        <v>18</v>
      </c>
    </row>
    <row r="136" spans="8:30">
      <c r="J136" s="1" t="s">
        <v>19</v>
      </c>
    </row>
    <row r="138" spans="8:30" ht="15">
      <c r="H138" s="2" t="s">
        <v>210</v>
      </c>
      <c r="AD138" s="2" t="s">
        <v>189</v>
      </c>
    </row>
    <row r="139" spans="8:30">
      <c r="AD139" s="1" t="s">
        <v>190</v>
      </c>
    </row>
    <row r="154" ht="15" customHeight="1"/>
    <row r="167" spans="9:10">
      <c r="I167" s="1" t="s">
        <v>16</v>
      </c>
      <c r="J167" s="1" t="s">
        <v>17</v>
      </c>
    </row>
    <row r="168" spans="9:10">
      <c r="J168" s="1" t="s">
        <v>18</v>
      </c>
    </row>
    <row r="169" spans="9:10">
      <c r="J169" s="1" t="s">
        <v>19</v>
      </c>
    </row>
    <row r="185" spans="1:7">
      <c r="A185" s="1" t="s">
        <v>1489</v>
      </c>
    </row>
    <row r="186" spans="1:7">
      <c r="A186" s="24" t="s">
        <v>20</v>
      </c>
      <c r="B186" s="24" t="s">
        <v>21</v>
      </c>
      <c r="C186" s="24" t="s">
        <v>22</v>
      </c>
      <c r="D186" s="24" t="s">
        <v>23</v>
      </c>
      <c r="E186" s="24" t="s">
        <v>24</v>
      </c>
      <c r="F186" s="24" t="s">
        <v>25</v>
      </c>
      <c r="G186" s="24" t="s">
        <v>26</v>
      </c>
    </row>
    <row r="187" spans="1:7">
      <c r="A187" s="65">
        <v>74.41</v>
      </c>
      <c r="B187" s="65">
        <v>74.75</v>
      </c>
      <c r="C187" s="65">
        <v>74</v>
      </c>
      <c r="D187" s="65">
        <v>74.454999999999998</v>
      </c>
      <c r="E187" s="65">
        <v>8177895</v>
      </c>
      <c r="F187" s="65" t="s">
        <v>233</v>
      </c>
      <c r="G187" s="25">
        <f>A187/D187-1</f>
        <v>-6.043919145792831E-4</v>
      </c>
    </row>
    <row r="188" spans="1:7">
      <c r="A188" s="65">
        <v>74.55</v>
      </c>
      <c r="B188" s="65">
        <v>75.92</v>
      </c>
      <c r="C188" s="65">
        <v>73.05</v>
      </c>
      <c r="D188" s="65">
        <v>75.3</v>
      </c>
      <c r="E188" s="65">
        <v>8296722</v>
      </c>
      <c r="F188" s="65" t="s">
        <v>234</v>
      </c>
      <c r="G188" s="25">
        <f t="shared" ref="G188:G251" si="0">A188/D188-1</f>
        <v>-9.960159362549792E-3</v>
      </c>
    </row>
    <row r="189" spans="1:7">
      <c r="A189" s="65">
        <v>75.2</v>
      </c>
      <c r="B189" s="65">
        <v>76.430000000000007</v>
      </c>
      <c r="C189" s="65">
        <v>74.790000000000006</v>
      </c>
      <c r="D189" s="65">
        <v>75.42</v>
      </c>
      <c r="E189" s="65">
        <v>4845388</v>
      </c>
      <c r="F189" s="65" t="s">
        <v>235</v>
      </c>
      <c r="G189" s="25">
        <f t="shared" si="0"/>
        <v>-2.9169981437284775E-3</v>
      </c>
    </row>
    <row r="190" spans="1:7">
      <c r="A190" s="65">
        <v>75.09</v>
      </c>
      <c r="B190" s="65">
        <v>76.075000000000003</v>
      </c>
      <c r="C190" s="65">
        <v>74.89</v>
      </c>
      <c r="D190" s="65">
        <v>75.73</v>
      </c>
      <c r="E190" s="65">
        <v>5153724</v>
      </c>
      <c r="F190" s="65" t="s">
        <v>236</v>
      </c>
      <c r="G190" s="25">
        <f t="shared" si="0"/>
        <v>-8.4510761917337973E-3</v>
      </c>
    </row>
    <row r="191" spans="1:7">
      <c r="A191" s="65">
        <v>76.05</v>
      </c>
      <c r="B191" s="65">
        <v>78.099999999999994</v>
      </c>
      <c r="C191" s="65">
        <v>75.989999999999995</v>
      </c>
      <c r="D191" s="65">
        <v>77.64</v>
      </c>
      <c r="E191" s="65">
        <v>3711577</v>
      </c>
      <c r="F191" s="65" t="s">
        <v>237</v>
      </c>
      <c r="G191" s="25">
        <f t="shared" si="0"/>
        <v>-2.0479134466769744E-2</v>
      </c>
    </row>
    <row r="192" spans="1:7">
      <c r="A192" s="65">
        <v>77.569999999999993</v>
      </c>
      <c r="B192" s="65">
        <v>77.825000000000003</v>
      </c>
      <c r="C192" s="65">
        <v>76.489999999999995</v>
      </c>
      <c r="D192" s="65">
        <v>77.489999999999995</v>
      </c>
      <c r="E192" s="65">
        <v>5084666</v>
      </c>
      <c r="F192" s="65" t="s">
        <v>238</v>
      </c>
      <c r="G192" s="25">
        <f t="shared" si="0"/>
        <v>1.0323912762937315E-3</v>
      </c>
    </row>
    <row r="193" spans="1:13">
      <c r="A193" s="65">
        <v>78.010000000000005</v>
      </c>
      <c r="B193" s="65">
        <v>78.540000000000006</v>
      </c>
      <c r="C193" s="65">
        <v>77.14</v>
      </c>
      <c r="D193" s="65">
        <v>78.239999999999995</v>
      </c>
      <c r="E193" s="65">
        <v>4604465</v>
      </c>
      <c r="F193" s="65" t="s">
        <v>239</v>
      </c>
      <c r="G193" s="25">
        <f t="shared" si="0"/>
        <v>-2.9396728016358731E-3</v>
      </c>
    </row>
    <row r="194" spans="1:13">
      <c r="A194" s="65">
        <v>78.28</v>
      </c>
      <c r="B194" s="65">
        <v>80.45</v>
      </c>
      <c r="C194" s="65">
        <v>77.89</v>
      </c>
      <c r="D194" s="65">
        <v>80.174999999999997</v>
      </c>
      <c r="E194" s="65">
        <v>3897660</v>
      </c>
      <c r="F194" s="65" t="s">
        <v>240</v>
      </c>
      <c r="G194" s="25">
        <f t="shared" si="0"/>
        <v>-2.363579669473026E-2</v>
      </c>
    </row>
    <row r="195" spans="1:13">
      <c r="A195" s="65">
        <v>79.8</v>
      </c>
      <c r="B195" s="65">
        <v>80.734999999999999</v>
      </c>
      <c r="C195" s="65">
        <v>79.510000000000005</v>
      </c>
      <c r="D195" s="65">
        <v>80.180000000000007</v>
      </c>
      <c r="E195" s="65">
        <v>2293753</v>
      </c>
      <c r="F195" s="65" t="s">
        <v>241</v>
      </c>
      <c r="G195" s="25">
        <f t="shared" si="0"/>
        <v>-4.7393364928911552E-3</v>
      </c>
    </row>
    <row r="196" spans="1:13">
      <c r="A196" s="65">
        <v>80.209999999999994</v>
      </c>
      <c r="B196" s="65">
        <v>80.795000000000002</v>
      </c>
      <c r="C196" s="65">
        <v>79.53</v>
      </c>
      <c r="D196" s="65">
        <v>80.569999999999993</v>
      </c>
      <c r="E196" s="65">
        <v>3042349</v>
      </c>
      <c r="F196" s="65" t="s">
        <v>242</v>
      </c>
      <c r="G196" s="25">
        <f t="shared" si="0"/>
        <v>-4.4681643291547557E-3</v>
      </c>
    </row>
    <row r="197" spans="1:13">
      <c r="A197" s="65">
        <v>80.94</v>
      </c>
      <c r="B197" s="65">
        <v>81.64</v>
      </c>
      <c r="C197" s="65">
        <v>80.48</v>
      </c>
      <c r="D197" s="65">
        <v>80.78</v>
      </c>
      <c r="E197" s="65">
        <v>2218606</v>
      </c>
      <c r="F197" s="65" t="s">
        <v>243</v>
      </c>
      <c r="G197" s="25">
        <f t="shared" si="0"/>
        <v>1.9806882891804101E-3</v>
      </c>
    </row>
    <row r="198" spans="1:13">
      <c r="A198" s="65">
        <v>80.959999999999994</v>
      </c>
      <c r="B198" s="65">
        <v>81.569999999999993</v>
      </c>
      <c r="C198" s="65">
        <v>80.534999999999997</v>
      </c>
      <c r="D198" s="65">
        <v>81.010000000000005</v>
      </c>
      <c r="E198" s="65">
        <v>2482450</v>
      </c>
      <c r="F198" s="65" t="s">
        <v>244</v>
      </c>
      <c r="G198" s="25">
        <f t="shared" si="0"/>
        <v>-6.1720775212947832E-4</v>
      </c>
    </row>
    <row r="199" spans="1:13">
      <c r="A199" s="65">
        <v>81.22</v>
      </c>
      <c r="B199" s="65">
        <v>82.665000000000006</v>
      </c>
      <c r="C199" s="65">
        <v>80.08</v>
      </c>
      <c r="D199" s="65">
        <v>81.77</v>
      </c>
      <c r="E199" s="65">
        <v>3240097</v>
      </c>
      <c r="F199" s="65" t="s">
        <v>245</v>
      </c>
      <c r="G199" s="25">
        <f t="shared" si="0"/>
        <v>-6.7261831967714292E-3</v>
      </c>
    </row>
    <row r="200" spans="1:13">
      <c r="A200" s="65">
        <v>81.77</v>
      </c>
      <c r="B200" s="65">
        <v>82.05</v>
      </c>
      <c r="C200" s="65">
        <v>80.12</v>
      </c>
      <c r="D200" s="65">
        <v>80.75</v>
      </c>
      <c r="E200" s="65">
        <v>3296649</v>
      </c>
      <c r="F200" s="65" t="s">
        <v>246</v>
      </c>
      <c r="G200" s="25">
        <f t="shared" si="0"/>
        <v>1.2631578947368327E-2</v>
      </c>
      <c r="I200" s="26"/>
      <c r="J200" s="26" t="s">
        <v>27</v>
      </c>
      <c r="K200" s="27">
        <f>MIN(G187:G1442)</f>
        <v>-6.7333229182940157E-2</v>
      </c>
    </row>
    <row r="201" spans="1:13">
      <c r="A201" s="65">
        <v>81.34</v>
      </c>
      <c r="B201" s="65">
        <v>81.540000000000006</v>
      </c>
      <c r="C201" s="65">
        <v>80.7</v>
      </c>
      <c r="D201" s="65">
        <v>81.09</v>
      </c>
      <c r="E201" s="65">
        <v>2595801</v>
      </c>
      <c r="F201" s="65" t="s">
        <v>247</v>
      </c>
      <c r="G201" s="25">
        <f t="shared" si="0"/>
        <v>3.0829942039709568E-3</v>
      </c>
      <c r="I201" s="26"/>
      <c r="J201" s="26" t="s">
        <v>28</v>
      </c>
      <c r="K201" s="27">
        <f>MAX(G187:G1442)</f>
        <v>7.6124999999999998E-2</v>
      </c>
    </row>
    <row r="202" spans="1:13">
      <c r="A202" s="65">
        <v>81.23</v>
      </c>
      <c r="B202" s="65">
        <v>81.290000000000006</v>
      </c>
      <c r="C202" s="65">
        <v>80.02</v>
      </c>
      <c r="D202" s="65">
        <v>80.62</v>
      </c>
      <c r="E202" s="65">
        <v>3096682</v>
      </c>
      <c r="F202" s="65" t="s">
        <v>248</v>
      </c>
      <c r="G202" s="25">
        <f t="shared" si="0"/>
        <v>7.5663607045397541E-3</v>
      </c>
      <c r="I202" s="26"/>
      <c r="J202" s="26" t="s">
        <v>29</v>
      </c>
      <c r="K202" s="27">
        <f>AVERAGE(G187:G1442)</f>
        <v>2.9856020984032303E-4</v>
      </c>
    </row>
    <row r="203" spans="1:13">
      <c r="A203" s="65">
        <v>80.900000000000006</v>
      </c>
      <c r="B203" s="65">
        <v>81.7</v>
      </c>
      <c r="C203" s="65">
        <v>80.900000000000006</v>
      </c>
      <c r="D203" s="65">
        <v>81.37</v>
      </c>
      <c r="E203" s="65">
        <v>2806590</v>
      </c>
      <c r="F203" s="65" t="s">
        <v>249</v>
      </c>
      <c r="G203" s="25">
        <f t="shared" si="0"/>
        <v>-5.7760845520461457E-3</v>
      </c>
      <c r="I203" s="26"/>
      <c r="J203" s="26" t="s">
        <v>30</v>
      </c>
      <c r="K203" s="27">
        <f>MEDIAN(G187:G1442)</f>
        <v>2.7543868179946696E-4</v>
      </c>
    </row>
    <row r="204" spans="1:13" ht="15">
      <c r="A204" s="65">
        <v>81.27</v>
      </c>
      <c r="B204" s="65">
        <v>81.314999999999998</v>
      </c>
      <c r="C204" s="65">
        <v>80.510000000000005</v>
      </c>
      <c r="D204" s="65">
        <v>80.86</v>
      </c>
      <c r="E204" s="65">
        <v>4713933</v>
      </c>
      <c r="F204" s="65" t="s">
        <v>250</v>
      </c>
      <c r="G204" s="25">
        <f t="shared" si="0"/>
        <v>5.0704922087558835E-3</v>
      </c>
      <c r="I204" s="26"/>
      <c r="J204" s="26" t="s">
        <v>31</v>
      </c>
      <c r="K204" s="27">
        <f>_xlfn.STDEV.P(G187:G1442)</f>
        <v>1.5347304253278952E-2</v>
      </c>
      <c r="M204" s="2"/>
    </row>
    <row r="205" spans="1:13" ht="15">
      <c r="A205" s="65">
        <v>80.86</v>
      </c>
      <c r="B205" s="65">
        <v>82.23</v>
      </c>
      <c r="C205" s="65">
        <v>80.849999999999994</v>
      </c>
      <c r="D205" s="65">
        <v>81.760000000000005</v>
      </c>
      <c r="E205" s="65">
        <v>4393047</v>
      </c>
      <c r="F205" s="65" t="s">
        <v>251</v>
      </c>
      <c r="G205" s="25">
        <f t="shared" si="0"/>
        <v>-1.1007827788649727E-2</v>
      </c>
      <c r="I205" s="26"/>
      <c r="J205" s="28" t="s">
        <v>32</v>
      </c>
      <c r="K205" s="27">
        <f>3*K204</f>
        <v>4.6041912759836857E-2</v>
      </c>
      <c r="L205" s="26"/>
      <c r="M205" s="2" t="s">
        <v>201</v>
      </c>
    </row>
    <row r="206" spans="1:13" ht="15">
      <c r="A206" s="65">
        <v>81.83</v>
      </c>
      <c r="B206" s="65">
        <v>81.84</v>
      </c>
      <c r="C206" s="65">
        <v>80.349999999999994</v>
      </c>
      <c r="D206" s="65">
        <v>81.510000000000005</v>
      </c>
      <c r="E206" s="65">
        <v>2834998</v>
      </c>
      <c r="F206" s="65" t="s">
        <v>252</v>
      </c>
      <c r="G206" s="25">
        <f t="shared" si="0"/>
        <v>3.9258986627406234E-3</v>
      </c>
      <c r="I206" s="26"/>
      <c r="J206" s="28" t="s">
        <v>33</v>
      </c>
      <c r="K206" s="26">
        <v>1.07</v>
      </c>
      <c r="L206" s="26"/>
      <c r="M206" s="2" t="s">
        <v>34</v>
      </c>
    </row>
    <row r="207" spans="1:13">
      <c r="A207" s="65">
        <v>81.16</v>
      </c>
      <c r="B207" s="65">
        <v>82.254999999999995</v>
      </c>
      <c r="C207" s="65">
        <v>81.03</v>
      </c>
      <c r="D207" s="65">
        <v>81.39</v>
      </c>
      <c r="E207" s="65">
        <v>7510581</v>
      </c>
      <c r="F207" s="65" t="s">
        <v>253</v>
      </c>
      <c r="G207" s="25">
        <f t="shared" si="0"/>
        <v>-2.8258999877135427E-3</v>
      </c>
    </row>
    <row r="208" spans="1:13">
      <c r="A208" s="65">
        <v>81.39</v>
      </c>
      <c r="B208" s="65">
        <v>81.42</v>
      </c>
      <c r="C208" s="65">
        <v>79.424999999999997</v>
      </c>
      <c r="D208" s="65">
        <v>80</v>
      </c>
      <c r="E208" s="65">
        <v>5046467</v>
      </c>
      <c r="F208" s="65" t="s">
        <v>254</v>
      </c>
      <c r="G208" s="25">
        <f t="shared" si="0"/>
        <v>1.7374999999999918E-2</v>
      </c>
      <c r="I208" s="29" t="s">
        <v>35</v>
      </c>
      <c r="J208" s="30">
        <v>1256</v>
      </c>
    </row>
    <row r="209" spans="1:17" ht="15" thickBot="1">
      <c r="A209" s="65">
        <v>78.930000000000007</v>
      </c>
      <c r="B209" s="65">
        <v>79.344999999999999</v>
      </c>
      <c r="C209" s="65">
        <v>77.75</v>
      </c>
      <c r="D209" s="65">
        <v>77.75</v>
      </c>
      <c r="E209" s="65">
        <v>3792166</v>
      </c>
      <c r="F209" s="65" t="s">
        <v>255</v>
      </c>
      <c r="G209" s="25">
        <f t="shared" si="0"/>
        <v>1.5176848874598248E-2</v>
      </c>
      <c r="I209" s="1" t="s">
        <v>36</v>
      </c>
      <c r="L209" s="1" t="s">
        <v>37</v>
      </c>
      <c r="P209" s="1" t="s">
        <v>38</v>
      </c>
    </row>
    <row r="210" spans="1:17" ht="15" customHeight="1">
      <c r="A210" s="65">
        <v>78.3</v>
      </c>
      <c r="B210" s="65">
        <v>78.94</v>
      </c>
      <c r="C210" s="65">
        <v>77.650000000000006</v>
      </c>
      <c r="D210" s="65">
        <v>78.12</v>
      </c>
      <c r="E210" s="65">
        <v>4288108</v>
      </c>
      <c r="F210" s="65" t="s">
        <v>256</v>
      </c>
      <c r="G210" s="25">
        <f t="shared" si="0"/>
        <v>2.3041474654377225E-3</v>
      </c>
      <c r="I210" s="68" t="s">
        <v>39</v>
      </c>
      <c r="J210" s="68" t="s">
        <v>40</v>
      </c>
      <c r="L210" s="31" t="s">
        <v>41</v>
      </c>
      <c r="M210" s="32" t="s">
        <v>42</v>
      </c>
      <c r="P210" s="31" t="s">
        <v>43</v>
      </c>
      <c r="Q210" s="32" t="s">
        <v>44</v>
      </c>
    </row>
    <row r="211" spans="1:17" ht="15">
      <c r="A211" s="65">
        <v>78.260000000000005</v>
      </c>
      <c r="B211" s="65">
        <v>78.5</v>
      </c>
      <c r="C211" s="65">
        <v>77.575000000000003</v>
      </c>
      <c r="D211" s="65">
        <v>78.39</v>
      </c>
      <c r="E211" s="65">
        <v>2620553</v>
      </c>
      <c r="F211" s="65" t="s">
        <v>257</v>
      </c>
      <c r="G211" s="25">
        <f t="shared" si="0"/>
        <v>-1.6583747927031434E-3</v>
      </c>
      <c r="I211" s="66">
        <v>-4.7500000000000001E-2</v>
      </c>
      <c r="J211">
        <v>5</v>
      </c>
      <c r="L211" s="66">
        <v>-0.05</v>
      </c>
      <c r="M211" s="1">
        <f>_xlfn.NORM.DIST(L211,$K$202,$K$204,FALSE)</f>
        <v>0.12091709758752546</v>
      </c>
      <c r="O211" s="1" t="s">
        <v>191</v>
      </c>
      <c r="P211" s="70">
        <f>K202</f>
        <v>2.9856020984032303E-4</v>
      </c>
      <c r="Q211" s="1">
        <v>0</v>
      </c>
    </row>
    <row r="212" spans="1:17" ht="15">
      <c r="A212" s="65">
        <v>78.180000000000007</v>
      </c>
      <c r="B212" s="65">
        <v>78.23</v>
      </c>
      <c r="C212" s="65">
        <v>77.224999999999994</v>
      </c>
      <c r="D212" s="65">
        <v>77.53</v>
      </c>
      <c r="E212" s="65">
        <v>2810995</v>
      </c>
      <c r="F212" s="65" t="s">
        <v>258</v>
      </c>
      <c r="G212" s="25">
        <f t="shared" si="0"/>
        <v>8.3838514123566465E-3</v>
      </c>
      <c r="I212" s="66">
        <v>-4.4999999999999998E-2</v>
      </c>
      <c r="J212">
        <v>2</v>
      </c>
      <c r="L212" s="66">
        <v>-4.7500000000000001E-2</v>
      </c>
      <c r="M212" s="1">
        <f t="shared" ref="M212:M251" si="1">_xlfn.NORM.DIST(L212,$K$202,$K$204,FALSE)</f>
        <v>0.20350745795496969</v>
      </c>
      <c r="P212" s="70">
        <f>K202</f>
        <v>2.9856020984032303E-4</v>
      </c>
      <c r="Q212" s="1">
        <v>26</v>
      </c>
    </row>
    <row r="213" spans="1:17" ht="15">
      <c r="A213" s="65">
        <v>77.680000000000007</v>
      </c>
      <c r="B213" s="65">
        <v>78.02</v>
      </c>
      <c r="C213" s="65">
        <v>76.62</v>
      </c>
      <c r="D213" s="65">
        <v>77.2</v>
      </c>
      <c r="E213" s="65">
        <v>3477206</v>
      </c>
      <c r="F213" s="65" t="s">
        <v>259</v>
      </c>
      <c r="G213" s="25">
        <f t="shared" si="0"/>
        <v>6.2176165803109473E-3</v>
      </c>
      <c r="I213" s="66">
        <v>-4.2500000000000003E-2</v>
      </c>
      <c r="J213">
        <v>1</v>
      </c>
      <c r="L213" s="66">
        <v>-4.4999999999999998E-2</v>
      </c>
      <c r="M213" s="1">
        <f t="shared" si="1"/>
        <v>0.33354084740578577</v>
      </c>
      <c r="O213" s="39" t="s">
        <v>192</v>
      </c>
      <c r="P213" s="70">
        <f>($K$204*-3)+$K$202</f>
        <v>-4.5743352549996535E-2</v>
      </c>
      <c r="Q213" s="1">
        <v>0</v>
      </c>
    </row>
    <row r="214" spans="1:17" ht="15">
      <c r="A214" s="65">
        <v>76.930000000000007</v>
      </c>
      <c r="B214" s="65">
        <v>78.040000000000006</v>
      </c>
      <c r="C214" s="65">
        <v>76.069999999999993</v>
      </c>
      <c r="D214" s="65">
        <v>77.739999999999995</v>
      </c>
      <c r="E214" s="65">
        <v>3631200</v>
      </c>
      <c r="F214" s="65" t="s">
        <v>260</v>
      </c>
      <c r="G214" s="25">
        <f t="shared" si="0"/>
        <v>-1.0419346539747742E-2</v>
      </c>
      <c r="I214" s="66">
        <v>-0.04</v>
      </c>
      <c r="J214">
        <v>5</v>
      </c>
      <c r="L214" s="66">
        <v>-4.2500000000000003E-2</v>
      </c>
      <c r="M214" s="1">
        <f t="shared" si="1"/>
        <v>0.53234577193054944</v>
      </c>
      <c r="O214" s="40"/>
      <c r="P214" s="70">
        <f>($K$204*-3)+$K$202</f>
        <v>-4.5743352549996535E-2</v>
      </c>
      <c r="Q214" s="1">
        <v>2</v>
      </c>
    </row>
    <row r="215" spans="1:17" ht="15">
      <c r="A215" s="65">
        <v>78.16</v>
      </c>
      <c r="B215" s="65">
        <v>78.41</v>
      </c>
      <c r="C215" s="65">
        <v>77.545000000000002</v>
      </c>
      <c r="D215" s="65">
        <v>78.02</v>
      </c>
      <c r="E215" s="65">
        <v>2884764</v>
      </c>
      <c r="F215" s="65" t="s">
        <v>261</v>
      </c>
      <c r="G215" s="25">
        <f t="shared" si="0"/>
        <v>1.7944116893104933E-3</v>
      </c>
      <c r="I215" s="66">
        <v>-3.7499999999999999E-2</v>
      </c>
      <c r="J215">
        <v>3</v>
      </c>
      <c r="L215" s="66">
        <v>-0.04</v>
      </c>
      <c r="M215" s="1">
        <f t="shared" si="1"/>
        <v>0.82739839358786682</v>
      </c>
      <c r="O215" s="39" t="s">
        <v>193</v>
      </c>
      <c r="P215" s="70">
        <f>($K$204*-2)+$K$202</f>
        <v>-3.0396048296717583E-2</v>
      </c>
      <c r="Q215" s="1">
        <v>0</v>
      </c>
    </row>
    <row r="216" spans="1:17" ht="15">
      <c r="A216" s="65">
        <v>78.349999999999994</v>
      </c>
      <c r="B216" s="65">
        <v>78.56</v>
      </c>
      <c r="C216" s="65">
        <v>77.41</v>
      </c>
      <c r="D216" s="65">
        <v>77.819999999999993</v>
      </c>
      <c r="E216" s="65">
        <v>2877353</v>
      </c>
      <c r="F216" s="65" t="s">
        <v>262</v>
      </c>
      <c r="G216" s="25">
        <f t="shared" si="0"/>
        <v>6.8105885376510411E-3</v>
      </c>
      <c r="I216" s="66">
        <v>-3.5000000000000003E-2</v>
      </c>
      <c r="J216">
        <v>2</v>
      </c>
      <c r="L216" s="66">
        <v>-3.7499999999999999E-2</v>
      </c>
      <c r="M216" s="1">
        <f t="shared" si="1"/>
        <v>1.2523093427166656</v>
      </c>
      <c r="O216" s="40"/>
      <c r="P216" s="70">
        <f>($K$204*-2)+$K$202</f>
        <v>-3.0396048296717583E-2</v>
      </c>
      <c r="Q216" s="1">
        <v>6</v>
      </c>
    </row>
    <row r="217" spans="1:17" ht="15">
      <c r="A217" s="65">
        <v>77.930000000000007</v>
      </c>
      <c r="B217" s="65">
        <v>79.400000000000006</v>
      </c>
      <c r="C217" s="65">
        <v>77.22</v>
      </c>
      <c r="D217" s="65">
        <v>79.06</v>
      </c>
      <c r="E217" s="65">
        <v>3238558</v>
      </c>
      <c r="F217" s="65" t="s">
        <v>263</v>
      </c>
      <c r="G217" s="25">
        <f t="shared" si="0"/>
        <v>-1.4292942069314418E-2</v>
      </c>
      <c r="I217" s="66">
        <v>-3.2500000000000001E-2</v>
      </c>
      <c r="J217">
        <v>4</v>
      </c>
      <c r="L217" s="66">
        <v>-3.5000000000000003E-2</v>
      </c>
      <c r="M217" s="1">
        <f t="shared" si="1"/>
        <v>1.8458000388851896</v>
      </c>
      <c r="O217" s="41" t="s">
        <v>194</v>
      </c>
      <c r="P217" s="70">
        <f>($K$204*-1)+$K$202</f>
        <v>-1.5048744043438629E-2</v>
      </c>
      <c r="Q217" s="1">
        <v>0</v>
      </c>
    </row>
    <row r="218" spans="1:17" ht="15">
      <c r="A218" s="65">
        <v>78.61</v>
      </c>
      <c r="B218" s="65">
        <v>79.63</v>
      </c>
      <c r="C218" s="65">
        <v>77.64</v>
      </c>
      <c r="D218" s="65">
        <v>79.165000000000006</v>
      </c>
      <c r="E218" s="65">
        <v>3963656</v>
      </c>
      <c r="F218" s="65" t="s">
        <v>264</v>
      </c>
      <c r="G218" s="25">
        <f t="shared" si="0"/>
        <v>-7.010673908924514E-3</v>
      </c>
      <c r="I218" s="66">
        <v>-0.03</v>
      </c>
      <c r="J218">
        <v>7</v>
      </c>
      <c r="L218" s="66">
        <v>-3.2500000000000001E-2</v>
      </c>
      <c r="M218" s="1">
        <f t="shared" si="1"/>
        <v>2.6493160100187918</v>
      </c>
      <c r="P218" s="70">
        <f>($K$204*-1)+$K$202</f>
        <v>-1.5048744043438629E-2</v>
      </c>
      <c r="Q218" s="1">
        <v>14</v>
      </c>
    </row>
    <row r="219" spans="1:17" ht="15">
      <c r="A219" s="65">
        <v>79.239999999999995</v>
      </c>
      <c r="B219" s="65">
        <v>80.5</v>
      </c>
      <c r="C219" s="65">
        <v>78.760000000000005</v>
      </c>
      <c r="D219" s="65">
        <v>80.06</v>
      </c>
      <c r="E219" s="65">
        <v>4047115</v>
      </c>
      <c r="F219" s="65" t="s">
        <v>265</v>
      </c>
      <c r="G219" s="25">
        <f t="shared" si="0"/>
        <v>-1.0242318261304062E-2</v>
      </c>
      <c r="I219" s="66">
        <v>-2.75E-2</v>
      </c>
      <c r="J219">
        <v>18</v>
      </c>
      <c r="L219" s="66">
        <v>-0.03</v>
      </c>
      <c r="M219" s="1">
        <f t="shared" si="1"/>
        <v>3.7030447476628825</v>
      </c>
      <c r="O219" s="1" t="s">
        <v>195</v>
      </c>
      <c r="P219" s="70">
        <f>($K$204*1)+$K$202</f>
        <v>1.5645864463119274E-2</v>
      </c>
      <c r="Q219" s="1">
        <v>0</v>
      </c>
    </row>
    <row r="220" spans="1:17" ht="15">
      <c r="A220" s="65">
        <v>80.09</v>
      </c>
      <c r="B220" s="65">
        <v>80.11</v>
      </c>
      <c r="C220" s="65">
        <v>78.564999999999998</v>
      </c>
      <c r="D220" s="65">
        <v>79.63</v>
      </c>
      <c r="E220" s="65">
        <v>3171790</v>
      </c>
      <c r="F220" s="65" t="s">
        <v>266</v>
      </c>
      <c r="G220" s="25">
        <f t="shared" si="0"/>
        <v>5.7767173175939934E-3</v>
      </c>
      <c r="I220" s="66">
        <v>-2.5000000000000001E-2</v>
      </c>
      <c r="J220">
        <v>13</v>
      </c>
      <c r="L220" s="66">
        <v>-2.75E-2</v>
      </c>
      <c r="M220" s="1">
        <f t="shared" si="1"/>
        <v>5.0403447132000787</v>
      </c>
      <c r="P220" s="70">
        <f>($K$204*1)+$K$202</f>
        <v>1.5645864463119274E-2</v>
      </c>
      <c r="Q220" s="1">
        <v>14</v>
      </c>
    </row>
    <row r="221" spans="1:17" ht="15">
      <c r="A221" s="65">
        <v>79.33</v>
      </c>
      <c r="B221" s="65">
        <v>79.73</v>
      </c>
      <c r="C221" s="65">
        <v>77.959999999999994</v>
      </c>
      <c r="D221" s="65">
        <v>79.02</v>
      </c>
      <c r="E221" s="65">
        <v>3152852</v>
      </c>
      <c r="F221" s="65" t="s">
        <v>267</v>
      </c>
      <c r="G221" s="25">
        <f t="shared" si="0"/>
        <v>3.9230574538091645E-3</v>
      </c>
      <c r="I221" s="66">
        <v>-2.2499999999999999E-2</v>
      </c>
      <c r="J221">
        <v>22</v>
      </c>
      <c r="L221" s="66">
        <v>-2.5000000000000001E-2</v>
      </c>
      <c r="M221" s="1">
        <f t="shared" si="1"/>
        <v>6.6809404585486689</v>
      </c>
      <c r="O221" s="42" t="s">
        <v>196</v>
      </c>
      <c r="P221" s="70">
        <f>($K$204*2)+$K$202</f>
        <v>3.0993168716398227E-2</v>
      </c>
      <c r="Q221" s="1">
        <v>0</v>
      </c>
    </row>
    <row r="222" spans="1:17" ht="15">
      <c r="A222" s="65">
        <v>79.31</v>
      </c>
      <c r="B222" s="65">
        <v>81.045000000000002</v>
      </c>
      <c r="C222" s="65">
        <v>79.02</v>
      </c>
      <c r="D222" s="65">
        <v>80.78</v>
      </c>
      <c r="E222" s="65">
        <v>5077065</v>
      </c>
      <c r="F222" s="65" t="s">
        <v>268</v>
      </c>
      <c r="G222" s="25">
        <f t="shared" si="0"/>
        <v>-1.8197573656845711E-2</v>
      </c>
      <c r="I222" s="66">
        <v>-0.02</v>
      </c>
      <c r="J222">
        <v>24</v>
      </c>
      <c r="L222" s="66">
        <v>-2.2499999999999999E-2</v>
      </c>
      <c r="M222" s="1">
        <f t="shared" si="1"/>
        <v>8.6236484992663147</v>
      </c>
      <c r="P222" s="70">
        <f>($K$204*2)+$K$202</f>
        <v>3.0993168716398227E-2</v>
      </c>
      <c r="Q222" s="1">
        <v>6</v>
      </c>
    </row>
    <row r="223" spans="1:17" ht="15">
      <c r="A223" s="65">
        <v>81.16</v>
      </c>
      <c r="B223" s="65">
        <v>81.88</v>
      </c>
      <c r="C223" s="65">
        <v>80.45</v>
      </c>
      <c r="D223" s="65">
        <v>80.92</v>
      </c>
      <c r="E223" s="65">
        <v>5834197</v>
      </c>
      <c r="F223" s="65" t="s">
        <v>269</v>
      </c>
      <c r="G223" s="25">
        <f t="shared" si="0"/>
        <v>2.9658922392485909E-3</v>
      </c>
      <c r="I223" s="66">
        <v>-1.7500000000000002E-2</v>
      </c>
      <c r="J223">
        <v>28</v>
      </c>
      <c r="L223" s="66">
        <v>-0.02</v>
      </c>
      <c r="M223" s="1">
        <f t="shared" si="1"/>
        <v>10.839782653403358</v>
      </c>
      <c r="O223" s="42" t="s">
        <v>197</v>
      </c>
      <c r="P223" s="70">
        <f>($K$204*3)+$K$202</f>
        <v>4.6340472969677179E-2</v>
      </c>
      <c r="Q223" s="1">
        <v>0</v>
      </c>
    </row>
    <row r="224" spans="1:17" ht="15">
      <c r="A224" s="65">
        <v>80.47</v>
      </c>
      <c r="B224" s="65">
        <v>80.53</v>
      </c>
      <c r="C224" s="65">
        <v>79.11</v>
      </c>
      <c r="D224" s="65">
        <v>79.489999999999995</v>
      </c>
      <c r="E224" s="65">
        <v>6360392</v>
      </c>
      <c r="F224" s="65" t="s">
        <v>270</v>
      </c>
      <c r="G224" s="25">
        <f t="shared" si="0"/>
        <v>1.2328594791797709E-2</v>
      </c>
      <c r="I224" s="66">
        <v>-1.4999999999999999E-2</v>
      </c>
      <c r="J224">
        <v>35</v>
      </c>
      <c r="L224" s="66">
        <v>-1.7500000000000002E-2</v>
      </c>
      <c r="M224" s="1">
        <f t="shared" si="1"/>
        <v>13.268633100576757</v>
      </c>
      <c r="O224" s="42"/>
      <c r="P224" s="70">
        <f>($K$204*3)+$K$202</f>
        <v>4.6340472969677179E-2</v>
      </c>
      <c r="Q224" s="1">
        <v>2</v>
      </c>
    </row>
    <row r="225" spans="1:13" ht="15">
      <c r="A225" s="65">
        <v>78.489999999999995</v>
      </c>
      <c r="B225" s="65">
        <v>80.73</v>
      </c>
      <c r="C225" s="65">
        <v>78.37</v>
      </c>
      <c r="D225" s="65">
        <v>80.45</v>
      </c>
      <c r="E225" s="65">
        <v>5960515</v>
      </c>
      <c r="F225" s="65" t="s">
        <v>271</v>
      </c>
      <c r="G225" s="25">
        <f t="shared" si="0"/>
        <v>-2.4362958359229414E-2</v>
      </c>
      <c r="I225" s="66">
        <v>-1.2500000000000001E-2</v>
      </c>
      <c r="J225">
        <v>56</v>
      </c>
      <c r="L225" s="66">
        <v>-1.4999999999999999E-2</v>
      </c>
      <c r="M225" s="1">
        <f t="shared" si="1"/>
        <v>15.816408718776922</v>
      </c>
    </row>
    <row r="226" spans="1:13" ht="15">
      <c r="A226" s="65">
        <v>80</v>
      </c>
      <c r="B226" s="65">
        <v>83</v>
      </c>
      <c r="C226" s="65">
        <v>77.52</v>
      </c>
      <c r="D226" s="65">
        <v>81.5</v>
      </c>
      <c r="E226" s="65">
        <v>14566283</v>
      </c>
      <c r="F226" s="65" t="s">
        <v>272</v>
      </c>
      <c r="G226" s="25">
        <f t="shared" si="0"/>
        <v>-1.8404907975460127E-2</v>
      </c>
      <c r="I226" s="66">
        <v>-0.01</v>
      </c>
      <c r="J226">
        <v>64</v>
      </c>
      <c r="L226" s="66">
        <v>-1.2500000000000001E-2</v>
      </c>
      <c r="M226" s="1">
        <f t="shared" si="1"/>
        <v>18.359703198702395</v>
      </c>
    </row>
    <row r="227" spans="1:13" ht="15">
      <c r="A227" s="65">
        <v>75.8</v>
      </c>
      <c r="B227" s="65">
        <v>77.082499999999996</v>
      </c>
      <c r="C227" s="65">
        <v>75.39</v>
      </c>
      <c r="D227" s="65">
        <v>76.86</v>
      </c>
      <c r="E227" s="65">
        <v>7545772</v>
      </c>
      <c r="F227" s="65" t="s">
        <v>273</v>
      </c>
      <c r="G227" s="25">
        <f t="shared" si="0"/>
        <v>-1.3791308873276065E-2</v>
      </c>
      <c r="I227" s="66">
        <v>-7.4999999999999997E-3</v>
      </c>
      <c r="J227">
        <v>71</v>
      </c>
      <c r="L227" s="66">
        <v>-0.01</v>
      </c>
      <c r="M227" s="1">
        <f t="shared" si="1"/>
        <v>20.753890262084507</v>
      </c>
    </row>
    <row r="228" spans="1:13" ht="15">
      <c r="A228" s="65">
        <v>76.91</v>
      </c>
      <c r="B228" s="65">
        <v>77.540000000000006</v>
      </c>
      <c r="C228" s="65">
        <v>76.58</v>
      </c>
      <c r="D228" s="65">
        <v>77.069999999999993</v>
      </c>
      <c r="E228" s="65">
        <v>5237337</v>
      </c>
      <c r="F228" s="65" t="s">
        <v>274</v>
      </c>
      <c r="G228" s="25">
        <f t="shared" si="0"/>
        <v>-2.0760347735824247E-3</v>
      </c>
      <c r="I228" s="66">
        <v>-5.0000000000000001E-3</v>
      </c>
      <c r="J228">
        <v>81</v>
      </c>
      <c r="L228" s="66">
        <v>-7.4999999999999997E-3</v>
      </c>
      <c r="M228" s="1">
        <f t="shared" si="1"/>
        <v>22.845962462497859</v>
      </c>
    </row>
    <row r="229" spans="1:13" ht="15">
      <c r="A229" s="65">
        <v>76.3</v>
      </c>
      <c r="B229" s="65">
        <v>77.02</v>
      </c>
      <c r="C229" s="65">
        <v>76.069999999999993</v>
      </c>
      <c r="D229" s="65">
        <v>76.47</v>
      </c>
      <c r="E229" s="65">
        <v>4835562</v>
      </c>
      <c r="F229" s="65" t="s">
        <v>275</v>
      </c>
      <c r="G229" s="25">
        <f t="shared" si="0"/>
        <v>-2.2230940238001651E-3</v>
      </c>
      <c r="I229" s="66">
        <v>-2.5000000000000001E-3</v>
      </c>
      <c r="J229">
        <v>88</v>
      </c>
      <c r="L229" s="66">
        <v>-5.0000000000000001E-3</v>
      </c>
      <c r="M229" s="1">
        <f t="shared" si="1"/>
        <v>24.49037779393641</v>
      </c>
    </row>
    <row r="230" spans="1:13" ht="15">
      <c r="A230" s="65">
        <v>76.56</v>
      </c>
      <c r="B230" s="65">
        <v>77.569999999999993</v>
      </c>
      <c r="C230" s="65">
        <v>76.52</v>
      </c>
      <c r="D230" s="65">
        <v>76.98</v>
      </c>
      <c r="E230" s="65">
        <v>2838779</v>
      </c>
      <c r="F230" s="65" t="s">
        <v>276</v>
      </c>
      <c r="G230" s="25">
        <f t="shared" si="0"/>
        <v>-5.4559625876851037E-3</v>
      </c>
      <c r="I230" s="66">
        <v>0</v>
      </c>
      <c r="J230">
        <v>92</v>
      </c>
      <c r="L230" s="66">
        <v>-2.5000000000000001E-3</v>
      </c>
      <c r="M230" s="1">
        <f t="shared" si="1"/>
        <v>25.565694412554969</v>
      </c>
    </row>
    <row r="231" spans="1:13" ht="15">
      <c r="A231" s="65">
        <v>76.489999999999995</v>
      </c>
      <c r="B231" s="65">
        <v>77.36</v>
      </c>
      <c r="C231" s="65">
        <v>76.37</v>
      </c>
      <c r="D231" s="65">
        <v>76.5</v>
      </c>
      <c r="E231" s="65">
        <v>4507306</v>
      </c>
      <c r="F231" s="65" t="s">
        <v>277</v>
      </c>
      <c r="G231" s="25">
        <f t="shared" si="0"/>
        <v>-1.3071895424843216E-4</v>
      </c>
      <c r="I231" s="66">
        <v>2.5000000000000001E-3</v>
      </c>
      <c r="J231">
        <v>77</v>
      </c>
      <c r="L231" s="66">
        <v>0</v>
      </c>
      <c r="M231" s="1">
        <f t="shared" si="1"/>
        <v>25.989371986609481</v>
      </c>
    </row>
    <row r="232" spans="1:13" ht="15">
      <c r="A232" s="65">
        <v>76.180000000000007</v>
      </c>
      <c r="B232" s="65">
        <v>76.56</v>
      </c>
      <c r="C232" s="65">
        <v>75.44</v>
      </c>
      <c r="D232" s="65">
        <v>76.180000000000007</v>
      </c>
      <c r="E232" s="65">
        <v>4110835</v>
      </c>
      <c r="F232" s="65" t="s">
        <v>278</v>
      </c>
      <c r="G232" s="25">
        <f t="shared" si="0"/>
        <v>0</v>
      </c>
      <c r="I232" s="66">
        <v>5.0000000000000001E-3</v>
      </c>
      <c r="J232">
        <v>103</v>
      </c>
      <c r="L232" s="66">
        <v>2.5000000000000001E-3</v>
      </c>
      <c r="M232" s="1">
        <f t="shared" si="1"/>
        <v>25.728238912750889</v>
      </c>
    </row>
    <row r="233" spans="1:13" ht="15">
      <c r="A233" s="65">
        <v>76.14</v>
      </c>
      <c r="B233" s="65">
        <v>77.034999999999997</v>
      </c>
      <c r="C233" s="65">
        <v>75.295000000000002</v>
      </c>
      <c r="D233" s="65">
        <v>77.03</v>
      </c>
      <c r="E233" s="65">
        <v>5028422</v>
      </c>
      <c r="F233" s="65" t="s">
        <v>279</v>
      </c>
      <c r="G233" s="25">
        <f t="shared" si="0"/>
        <v>-1.1553940023367515E-2</v>
      </c>
      <c r="I233" s="66">
        <v>7.4999999999999997E-3</v>
      </c>
      <c r="J233">
        <v>73</v>
      </c>
      <c r="L233" s="66">
        <v>5.0000000000000001E-3</v>
      </c>
      <c r="M233" s="1">
        <f t="shared" si="1"/>
        <v>24.802783228436152</v>
      </c>
    </row>
    <row r="234" spans="1:13" ht="15">
      <c r="A234" s="65">
        <v>76.81</v>
      </c>
      <c r="B234" s="65">
        <v>78.73</v>
      </c>
      <c r="C234" s="65">
        <v>76.81</v>
      </c>
      <c r="D234" s="65">
        <v>78.69</v>
      </c>
      <c r="E234" s="65">
        <v>3957183</v>
      </c>
      <c r="F234" s="65" t="s">
        <v>280</v>
      </c>
      <c r="G234" s="25">
        <f t="shared" si="0"/>
        <v>-2.3891218706315831E-2</v>
      </c>
      <c r="I234" s="66">
        <v>0.01</v>
      </c>
      <c r="J234">
        <v>82</v>
      </c>
      <c r="L234" s="66">
        <v>7.4999999999999997E-3</v>
      </c>
      <c r="M234" s="1">
        <f t="shared" si="1"/>
        <v>23.284496877044944</v>
      </c>
    </row>
    <row r="235" spans="1:13" ht="15">
      <c r="A235" s="65">
        <v>78.28</v>
      </c>
      <c r="B235" s="65">
        <v>78.805000000000007</v>
      </c>
      <c r="C235" s="65">
        <v>77.805000000000007</v>
      </c>
      <c r="D235" s="65">
        <v>77.94</v>
      </c>
      <c r="E235" s="65">
        <v>4769767</v>
      </c>
      <c r="F235" s="65" t="s">
        <v>281</v>
      </c>
      <c r="G235" s="25">
        <f t="shared" si="0"/>
        <v>4.3623299974340224E-3</v>
      </c>
      <c r="I235" s="66">
        <v>1.2500000000000001E-2</v>
      </c>
      <c r="J235">
        <v>66</v>
      </c>
      <c r="L235" s="66">
        <v>0.01</v>
      </c>
      <c r="M235" s="1">
        <f t="shared" si="1"/>
        <v>21.286751090715182</v>
      </c>
    </row>
    <row r="236" spans="1:13" ht="15">
      <c r="A236" s="65">
        <v>78.05</v>
      </c>
      <c r="B236" s="65">
        <v>78.385000000000005</v>
      </c>
      <c r="C236" s="65">
        <v>77.05</v>
      </c>
      <c r="D236" s="65">
        <v>78.260000000000005</v>
      </c>
      <c r="E236" s="65">
        <v>3665157</v>
      </c>
      <c r="F236" s="65" t="s">
        <v>282</v>
      </c>
      <c r="G236" s="25">
        <f t="shared" si="0"/>
        <v>-2.6833631484795006E-3</v>
      </c>
      <c r="I236" s="66">
        <v>1.4999999999999999E-2</v>
      </c>
      <c r="J236">
        <v>49</v>
      </c>
      <c r="L236" s="66">
        <v>1.2500000000000001E-2</v>
      </c>
      <c r="M236" s="1">
        <f t="shared" si="1"/>
        <v>18.950819210992371</v>
      </c>
    </row>
    <row r="237" spans="1:13" ht="15">
      <c r="A237" s="65">
        <v>78.8</v>
      </c>
      <c r="B237" s="65">
        <v>78.900000000000006</v>
      </c>
      <c r="C237" s="65">
        <v>77.209999999999994</v>
      </c>
      <c r="D237" s="65">
        <v>77.650000000000006</v>
      </c>
      <c r="E237" s="65">
        <v>4265155</v>
      </c>
      <c r="F237" s="65" t="s">
        <v>283</v>
      </c>
      <c r="G237" s="25">
        <f t="shared" si="0"/>
        <v>1.4810045074050038E-2</v>
      </c>
      <c r="I237" s="66">
        <v>1.7500000000000002E-2</v>
      </c>
      <c r="J237">
        <v>40</v>
      </c>
      <c r="L237" s="66">
        <v>1.4999999999999999E-2</v>
      </c>
      <c r="M237" s="1">
        <f t="shared" si="1"/>
        <v>16.429436874149609</v>
      </c>
    </row>
    <row r="238" spans="1:13" ht="15">
      <c r="A238" s="65">
        <v>77.19</v>
      </c>
      <c r="B238" s="65">
        <v>77.355000000000004</v>
      </c>
      <c r="C238" s="65">
        <v>75.84</v>
      </c>
      <c r="D238" s="65">
        <v>76.790000000000006</v>
      </c>
      <c r="E238" s="65">
        <v>2553211</v>
      </c>
      <c r="F238" s="65" t="s">
        <v>284</v>
      </c>
      <c r="G238" s="25">
        <f t="shared" si="0"/>
        <v>5.2090115900507161E-3</v>
      </c>
      <c r="I238" s="66">
        <v>0.02</v>
      </c>
      <c r="J238">
        <v>32</v>
      </c>
      <c r="L238" s="66">
        <v>1.7500000000000002E-2</v>
      </c>
      <c r="M238" s="1">
        <f t="shared" si="1"/>
        <v>13.870542602374115</v>
      </c>
    </row>
    <row r="239" spans="1:13" ht="15">
      <c r="A239" s="65">
        <v>76.39</v>
      </c>
      <c r="B239" s="65">
        <v>77.3</v>
      </c>
      <c r="C239" s="65">
        <v>76.155000000000001</v>
      </c>
      <c r="D239" s="65">
        <v>76.680000000000007</v>
      </c>
      <c r="E239" s="65">
        <v>2411973</v>
      </c>
      <c r="F239" s="65" t="s">
        <v>285</v>
      </c>
      <c r="G239" s="25">
        <f t="shared" si="0"/>
        <v>-3.7819509650496297E-3</v>
      </c>
      <c r="I239" s="66">
        <v>2.2499999999999999E-2</v>
      </c>
      <c r="J239">
        <v>34</v>
      </c>
      <c r="L239" s="66">
        <v>0.02</v>
      </c>
      <c r="M239" s="1">
        <f t="shared" si="1"/>
        <v>11.403556169918335</v>
      </c>
    </row>
    <row r="240" spans="1:13" ht="15">
      <c r="A240" s="65">
        <v>76.69</v>
      </c>
      <c r="B240" s="65">
        <v>77.424999999999997</v>
      </c>
      <c r="C240" s="65">
        <v>76.03</v>
      </c>
      <c r="D240" s="65">
        <v>76.8</v>
      </c>
      <c r="E240" s="65">
        <v>2471082</v>
      </c>
      <c r="F240" s="65" t="s">
        <v>286</v>
      </c>
      <c r="G240" s="25">
        <f t="shared" si="0"/>
        <v>-1.4322916666666963E-3</v>
      </c>
      <c r="I240" s="66">
        <v>2.5000000000000001E-2</v>
      </c>
      <c r="J240">
        <v>19</v>
      </c>
      <c r="L240" s="66">
        <v>2.2499999999999999E-2</v>
      </c>
      <c r="M240" s="1">
        <f t="shared" si="1"/>
        <v>9.1298416383888394</v>
      </c>
    </row>
    <row r="241" spans="1:13" ht="15">
      <c r="A241" s="65">
        <v>76.790000000000006</v>
      </c>
      <c r="B241" s="65">
        <v>77.430000000000007</v>
      </c>
      <c r="C241" s="65">
        <v>76.5</v>
      </c>
      <c r="D241" s="65">
        <v>77.209999999999994</v>
      </c>
      <c r="E241" s="65">
        <v>1679364</v>
      </c>
      <c r="F241" s="65" t="s">
        <v>287</v>
      </c>
      <c r="G241" s="25">
        <f t="shared" si="0"/>
        <v>-5.4397098821394874E-3</v>
      </c>
      <c r="I241" s="66">
        <v>2.75E-2</v>
      </c>
      <c r="J241">
        <v>16</v>
      </c>
      <c r="L241" s="66">
        <v>2.5000000000000001E-2</v>
      </c>
      <c r="M241" s="1">
        <f t="shared" si="1"/>
        <v>7.1180701865497609</v>
      </c>
    </row>
    <row r="242" spans="1:13" ht="15">
      <c r="A242" s="65">
        <v>77.02</v>
      </c>
      <c r="B242" s="65">
        <v>78.069999999999993</v>
      </c>
      <c r="C242" s="65">
        <v>76.3</v>
      </c>
      <c r="D242" s="65">
        <v>76.790000000000006</v>
      </c>
      <c r="E242" s="65">
        <v>3079617</v>
      </c>
      <c r="F242" s="65" t="s">
        <v>288</v>
      </c>
      <c r="G242" s="25">
        <f t="shared" si="0"/>
        <v>2.9951816642790341E-3</v>
      </c>
      <c r="I242" s="66">
        <v>0.03</v>
      </c>
      <c r="J242">
        <v>14</v>
      </c>
      <c r="L242" s="66">
        <v>2.75E-2</v>
      </c>
      <c r="M242" s="1">
        <f t="shared" si="1"/>
        <v>5.404274130304545</v>
      </c>
    </row>
    <row r="243" spans="1:13" ht="15">
      <c r="A243" s="65">
        <v>77.180000000000007</v>
      </c>
      <c r="B243" s="65">
        <v>78.03</v>
      </c>
      <c r="C243" s="65">
        <v>76.92</v>
      </c>
      <c r="D243" s="65">
        <v>77.7</v>
      </c>
      <c r="E243" s="65">
        <v>3124144</v>
      </c>
      <c r="F243" s="65" t="s">
        <v>289</v>
      </c>
      <c r="G243" s="25">
        <f t="shared" si="0"/>
        <v>-6.6924066924066716E-3</v>
      </c>
      <c r="I243" s="66">
        <v>3.2500000000000001E-2</v>
      </c>
      <c r="J243">
        <v>7</v>
      </c>
      <c r="L243" s="66">
        <v>0.03</v>
      </c>
      <c r="M243" s="1">
        <f t="shared" si="1"/>
        <v>3.9956602920456645</v>
      </c>
    </row>
    <row r="244" spans="1:13" ht="15">
      <c r="A244" s="65">
        <v>78.209999999999994</v>
      </c>
      <c r="B244" s="65">
        <v>78.525000000000006</v>
      </c>
      <c r="C244" s="65">
        <v>77.6691</v>
      </c>
      <c r="D244" s="65">
        <v>78.06</v>
      </c>
      <c r="E244" s="65">
        <v>3050107</v>
      </c>
      <c r="F244" s="65" t="s">
        <v>290</v>
      </c>
      <c r="G244" s="25">
        <f t="shared" si="0"/>
        <v>1.9215987701766135E-3</v>
      </c>
      <c r="I244" s="66">
        <v>3.5000000000000003E-2</v>
      </c>
      <c r="J244">
        <v>6</v>
      </c>
      <c r="L244" s="66">
        <v>3.2500000000000001E-2</v>
      </c>
      <c r="M244" s="1">
        <f t="shared" si="1"/>
        <v>2.8768407915038936</v>
      </c>
    </row>
    <row r="245" spans="1:13" ht="15">
      <c r="A245" s="65">
        <v>78.209999999999994</v>
      </c>
      <c r="B245" s="65">
        <v>78.25</v>
      </c>
      <c r="C245" s="65">
        <v>76.94</v>
      </c>
      <c r="D245" s="65">
        <v>77.25</v>
      </c>
      <c r="E245" s="65">
        <v>6205587</v>
      </c>
      <c r="F245" s="65" t="s">
        <v>291</v>
      </c>
      <c r="G245" s="25">
        <f t="shared" si="0"/>
        <v>1.2427184466019314E-2</v>
      </c>
      <c r="I245" s="66">
        <v>3.7499999999999999E-2</v>
      </c>
      <c r="J245">
        <v>1</v>
      </c>
      <c r="L245" s="66">
        <v>3.5000000000000003E-2</v>
      </c>
      <c r="M245" s="1">
        <f t="shared" si="1"/>
        <v>2.0170616921338169</v>
      </c>
    </row>
    <row r="246" spans="1:13" ht="15">
      <c r="A246" s="65">
        <v>77.150000000000006</v>
      </c>
      <c r="B246" s="65">
        <v>77.900000000000006</v>
      </c>
      <c r="C246" s="65">
        <v>76.67</v>
      </c>
      <c r="D246" s="65">
        <v>76.989999999999995</v>
      </c>
      <c r="E246" s="65">
        <v>4814246</v>
      </c>
      <c r="F246" s="65" t="s">
        <v>292</v>
      </c>
      <c r="G246" s="25">
        <f t="shared" si="0"/>
        <v>2.0781919729835341E-3</v>
      </c>
      <c r="I246" s="66">
        <v>0.04</v>
      </c>
      <c r="J246">
        <v>3</v>
      </c>
      <c r="L246" s="66">
        <v>3.7499999999999999E-2</v>
      </c>
      <c r="M246" s="1">
        <f t="shared" si="1"/>
        <v>1.3772050852647613</v>
      </c>
    </row>
    <row r="247" spans="1:13" ht="15">
      <c r="A247" s="65">
        <v>76.97</v>
      </c>
      <c r="B247" s="65">
        <v>77.27</v>
      </c>
      <c r="C247" s="65">
        <v>75.67</v>
      </c>
      <c r="D247" s="65">
        <v>75.790000000000006</v>
      </c>
      <c r="E247" s="65">
        <v>3724559</v>
      </c>
      <c r="F247" s="65" t="s">
        <v>293</v>
      </c>
      <c r="G247" s="25">
        <f t="shared" si="0"/>
        <v>1.5569336324053218E-2</v>
      </c>
      <c r="I247" s="66">
        <v>4.2500000000000003E-2</v>
      </c>
      <c r="J247">
        <v>1</v>
      </c>
      <c r="L247" s="66">
        <v>0.04</v>
      </c>
      <c r="M247" s="1">
        <f t="shared" si="1"/>
        <v>0.91570194549064809</v>
      </c>
    </row>
    <row r="248" spans="1:13" ht="15">
      <c r="A248" s="65">
        <v>75.849999999999994</v>
      </c>
      <c r="B248" s="65">
        <v>76.63</v>
      </c>
      <c r="C248" s="65">
        <v>74.12</v>
      </c>
      <c r="D248" s="65">
        <v>75.709999999999994</v>
      </c>
      <c r="E248" s="65">
        <v>4651025</v>
      </c>
      <c r="F248" s="65" t="s">
        <v>294</v>
      </c>
      <c r="G248" s="25">
        <f t="shared" si="0"/>
        <v>1.8491612732796092E-3</v>
      </c>
      <c r="I248" s="66">
        <v>4.4999999999999998E-2</v>
      </c>
      <c r="J248">
        <v>5</v>
      </c>
      <c r="L248" s="66">
        <v>4.2500000000000003E-2</v>
      </c>
      <c r="M248" s="1">
        <f t="shared" si="1"/>
        <v>0.59290585503643323</v>
      </c>
    </row>
    <row r="249" spans="1:13" ht="15">
      <c r="A249" s="65">
        <v>75.319999999999993</v>
      </c>
      <c r="B249" s="65">
        <v>75.69</v>
      </c>
      <c r="C249" s="65">
        <v>73.38</v>
      </c>
      <c r="D249" s="65">
        <v>73.709999999999994</v>
      </c>
      <c r="E249" s="65">
        <v>3673671</v>
      </c>
      <c r="F249" s="65" t="s">
        <v>295</v>
      </c>
      <c r="G249" s="25">
        <f t="shared" si="0"/>
        <v>2.1842355175688555E-2</v>
      </c>
      <c r="I249" s="66">
        <v>4.7500000000000001E-2</v>
      </c>
      <c r="J249">
        <v>0</v>
      </c>
      <c r="L249" s="66">
        <v>4.4999999999999998E-2</v>
      </c>
      <c r="M249" s="1">
        <f t="shared" si="1"/>
        <v>0.37384659054440417</v>
      </c>
    </row>
    <row r="250" spans="1:13" ht="15.75" thickBot="1">
      <c r="A250" s="65">
        <v>73.83</v>
      </c>
      <c r="B250" s="65">
        <v>74.75</v>
      </c>
      <c r="C250" s="65">
        <v>73.349999999999994</v>
      </c>
      <c r="D250" s="65">
        <v>74.430000000000007</v>
      </c>
      <c r="E250" s="65">
        <v>6998282</v>
      </c>
      <c r="F250" s="65" t="s">
        <v>296</v>
      </c>
      <c r="G250" s="25">
        <f t="shared" si="0"/>
        <v>-8.0612656187022402E-3</v>
      </c>
      <c r="I250" s="67" t="s">
        <v>1490</v>
      </c>
      <c r="J250" s="67">
        <v>7</v>
      </c>
      <c r="L250" s="66">
        <v>4.7500000000000001E-2</v>
      </c>
      <c r="M250" s="1">
        <f t="shared" si="1"/>
        <v>0.22954994466203918</v>
      </c>
    </row>
    <row r="251" spans="1:13" ht="15">
      <c r="A251" s="65">
        <v>73.98</v>
      </c>
      <c r="B251" s="65">
        <v>74.555000000000007</v>
      </c>
      <c r="C251" s="65">
        <v>72.421899999999994</v>
      </c>
      <c r="D251" s="65">
        <v>72.775000000000006</v>
      </c>
      <c r="E251" s="65">
        <v>3983296</v>
      </c>
      <c r="F251" s="65" t="s">
        <v>297</v>
      </c>
      <c r="G251" s="25">
        <f t="shared" si="0"/>
        <v>1.6557883888697944E-2</v>
      </c>
      <c r="L251" s="66">
        <v>0.05</v>
      </c>
      <c r="M251" s="1">
        <f t="shared" si="1"/>
        <v>0.13725780312197255</v>
      </c>
    </row>
    <row r="252" spans="1:13">
      <c r="A252" s="65">
        <v>73.27</v>
      </c>
      <c r="B252" s="65">
        <v>74.53</v>
      </c>
      <c r="C252" s="65">
        <v>72.98</v>
      </c>
      <c r="D252" s="65">
        <v>74.319999999999993</v>
      </c>
      <c r="E252" s="65">
        <v>3013112</v>
      </c>
      <c r="F252" s="65" t="s">
        <v>298</v>
      </c>
      <c r="G252" s="25">
        <f t="shared" ref="G252:G315" si="2">A252/D252-1</f>
        <v>-1.4128094725511242E-2</v>
      </c>
    </row>
    <row r="253" spans="1:13">
      <c r="A253" s="65">
        <v>74.819999999999993</v>
      </c>
      <c r="B253" s="65">
        <v>75.81</v>
      </c>
      <c r="C253" s="65">
        <v>74.540000000000006</v>
      </c>
      <c r="D253" s="65">
        <v>75.150000000000006</v>
      </c>
      <c r="E253" s="65">
        <v>2925588</v>
      </c>
      <c r="F253" s="65" t="s">
        <v>299</v>
      </c>
      <c r="G253" s="25">
        <f t="shared" si="2"/>
        <v>-4.3912175648703755E-3</v>
      </c>
    </row>
    <row r="254" spans="1:13">
      <c r="A254" s="65">
        <v>75.150000000000006</v>
      </c>
      <c r="B254" s="65">
        <v>75.92</v>
      </c>
      <c r="C254" s="65">
        <v>75.010000000000005</v>
      </c>
      <c r="D254" s="65">
        <v>75.2</v>
      </c>
      <c r="E254" s="65">
        <v>2497689</v>
      </c>
      <c r="F254" s="65" t="s">
        <v>300</v>
      </c>
      <c r="G254" s="25">
        <f t="shared" si="2"/>
        <v>-6.6489361702126715E-4</v>
      </c>
    </row>
    <row r="255" spans="1:13">
      <c r="A255" s="65">
        <v>75.89</v>
      </c>
      <c r="B255" s="65">
        <v>76.62</v>
      </c>
      <c r="C255" s="65">
        <v>75.260000000000005</v>
      </c>
      <c r="D255" s="65">
        <v>75.28</v>
      </c>
      <c r="E255" s="65">
        <v>2851414</v>
      </c>
      <c r="F255" s="65" t="s">
        <v>301</v>
      </c>
      <c r="G255" s="25">
        <f t="shared" si="2"/>
        <v>8.1030818278426953E-3</v>
      </c>
    </row>
    <row r="256" spans="1:13">
      <c r="A256" s="65">
        <v>75.47</v>
      </c>
      <c r="B256" s="65">
        <v>76.150000000000006</v>
      </c>
      <c r="C256" s="65">
        <v>75.3</v>
      </c>
      <c r="D256" s="65">
        <v>75.81</v>
      </c>
      <c r="E256" s="65">
        <v>4874587</v>
      </c>
      <c r="F256" s="65" t="s">
        <v>302</v>
      </c>
      <c r="G256" s="25">
        <f t="shared" si="2"/>
        <v>-4.4848964516555068E-3</v>
      </c>
    </row>
    <row r="257" spans="1:7">
      <c r="A257" s="65">
        <v>75.8</v>
      </c>
      <c r="B257" s="65">
        <v>76.55</v>
      </c>
      <c r="C257" s="65">
        <v>75.474999999999994</v>
      </c>
      <c r="D257" s="65">
        <v>75.98</v>
      </c>
      <c r="E257" s="65">
        <v>2857717</v>
      </c>
      <c r="F257" s="65" t="s">
        <v>303</v>
      </c>
      <c r="G257" s="25">
        <f t="shared" si="2"/>
        <v>-2.369044485390992E-3</v>
      </c>
    </row>
    <row r="258" spans="1:7">
      <c r="A258" s="65">
        <v>76.36</v>
      </c>
      <c r="B258" s="65">
        <v>77.37</v>
      </c>
      <c r="C258" s="65">
        <v>75.275000000000006</v>
      </c>
      <c r="D258" s="65">
        <v>77.25</v>
      </c>
      <c r="E258" s="65">
        <v>2460121</v>
      </c>
      <c r="F258" s="65" t="s">
        <v>304</v>
      </c>
      <c r="G258" s="25">
        <f t="shared" si="2"/>
        <v>-1.1521035598705542E-2</v>
      </c>
    </row>
    <row r="259" spans="1:7">
      <c r="A259" s="65">
        <v>77.52</v>
      </c>
      <c r="B259" s="65">
        <v>77.799199999999999</v>
      </c>
      <c r="C259" s="65">
        <v>76.540000000000006</v>
      </c>
      <c r="D259" s="65">
        <v>77.22</v>
      </c>
      <c r="E259" s="65">
        <v>2591366</v>
      </c>
      <c r="F259" s="65" t="s">
        <v>305</v>
      </c>
      <c r="G259" s="25">
        <f t="shared" si="2"/>
        <v>3.8850038850037905E-3</v>
      </c>
    </row>
    <row r="260" spans="1:7">
      <c r="A260" s="65">
        <v>77.77</v>
      </c>
      <c r="B260" s="65">
        <v>78.27</v>
      </c>
      <c r="C260" s="65">
        <v>77.37</v>
      </c>
      <c r="D260" s="65">
        <v>77.75</v>
      </c>
      <c r="E260" s="65">
        <v>2161207</v>
      </c>
      <c r="F260" s="65" t="s">
        <v>306</v>
      </c>
      <c r="G260" s="25">
        <f t="shared" si="2"/>
        <v>2.5723472668803815E-4</v>
      </c>
    </row>
    <row r="261" spans="1:7">
      <c r="A261" s="65">
        <v>77.849999999999994</v>
      </c>
      <c r="B261" s="65">
        <v>78.459999999999994</v>
      </c>
      <c r="C261" s="65">
        <v>77.05</v>
      </c>
      <c r="D261" s="65">
        <v>77.05</v>
      </c>
      <c r="E261" s="65">
        <v>3376073</v>
      </c>
      <c r="F261" s="65" t="s">
        <v>307</v>
      </c>
      <c r="G261" s="25">
        <f t="shared" si="2"/>
        <v>1.0382868267358791E-2</v>
      </c>
    </row>
    <row r="262" spans="1:7">
      <c r="A262" s="65">
        <v>77.72</v>
      </c>
      <c r="B262" s="65">
        <v>78.37</v>
      </c>
      <c r="C262" s="65">
        <v>77.13</v>
      </c>
      <c r="D262" s="65">
        <v>77.37</v>
      </c>
      <c r="E262" s="65">
        <v>4039196</v>
      </c>
      <c r="F262" s="65" t="s">
        <v>308</v>
      </c>
      <c r="G262" s="25">
        <f t="shared" si="2"/>
        <v>4.5237172030501149E-3</v>
      </c>
    </row>
    <row r="263" spans="1:7">
      <c r="A263" s="65">
        <v>78.099999999999994</v>
      </c>
      <c r="B263" s="65">
        <v>78.135000000000005</v>
      </c>
      <c r="C263" s="65">
        <v>76.25</v>
      </c>
      <c r="D263" s="65">
        <v>77.489999999999995</v>
      </c>
      <c r="E263" s="65">
        <v>3302004</v>
      </c>
      <c r="F263" s="65" t="s">
        <v>309</v>
      </c>
      <c r="G263" s="25">
        <f t="shared" si="2"/>
        <v>7.871983481739564E-3</v>
      </c>
    </row>
    <row r="264" spans="1:7">
      <c r="A264" s="65">
        <v>78.22</v>
      </c>
      <c r="B264" s="65">
        <v>78.3</v>
      </c>
      <c r="C264" s="65">
        <v>76.930000000000007</v>
      </c>
      <c r="D264" s="65">
        <v>77.599999999999994</v>
      </c>
      <c r="E264" s="65">
        <v>9010307</v>
      </c>
      <c r="F264" s="65" t="s">
        <v>310</v>
      </c>
      <c r="G264" s="25">
        <f t="shared" si="2"/>
        <v>7.9896907216494562E-3</v>
      </c>
    </row>
    <row r="265" spans="1:7">
      <c r="A265" s="65">
        <v>77.73</v>
      </c>
      <c r="B265" s="65">
        <v>78</v>
      </c>
      <c r="C265" s="65">
        <v>76.44</v>
      </c>
      <c r="D265" s="65">
        <v>76.819999999999993</v>
      </c>
      <c r="E265" s="65">
        <v>4110866</v>
      </c>
      <c r="F265" s="65" t="s">
        <v>311</v>
      </c>
      <c r="G265" s="25">
        <f t="shared" si="2"/>
        <v>1.1845873470450519E-2</v>
      </c>
    </row>
    <row r="266" spans="1:7">
      <c r="A266" s="65">
        <v>76.66</v>
      </c>
      <c r="B266" s="65">
        <v>78.75</v>
      </c>
      <c r="C266" s="65">
        <v>76.31</v>
      </c>
      <c r="D266" s="65">
        <v>77.010000000000005</v>
      </c>
      <c r="E266" s="65">
        <v>6027339</v>
      </c>
      <c r="F266" s="65" t="s">
        <v>312</v>
      </c>
      <c r="G266" s="25">
        <f t="shared" si="2"/>
        <v>-4.544864303337337E-3</v>
      </c>
    </row>
    <row r="267" spans="1:7">
      <c r="A267" s="65">
        <v>76.22</v>
      </c>
      <c r="B267" s="65">
        <v>76.47</v>
      </c>
      <c r="C267" s="65">
        <v>75.28</v>
      </c>
      <c r="D267" s="65">
        <v>75.459999999999994</v>
      </c>
      <c r="E267" s="65">
        <v>3460257</v>
      </c>
      <c r="F267" s="65" t="s">
        <v>313</v>
      </c>
      <c r="G267" s="25">
        <f t="shared" si="2"/>
        <v>1.0071561091969272E-2</v>
      </c>
    </row>
    <row r="268" spans="1:7">
      <c r="A268" s="65">
        <v>74.989999999999995</v>
      </c>
      <c r="B268" s="65">
        <v>75.150000000000006</v>
      </c>
      <c r="C268" s="65">
        <v>74.2</v>
      </c>
      <c r="D268" s="65">
        <v>74.8</v>
      </c>
      <c r="E268" s="65">
        <v>3738141</v>
      </c>
      <c r="F268" s="65" t="s">
        <v>314</v>
      </c>
      <c r="G268" s="25">
        <f t="shared" si="2"/>
        <v>2.540106951871568E-3</v>
      </c>
    </row>
    <row r="269" spans="1:7">
      <c r="A269" s="65">
        <v>74.790000000000006</v>
      </c>
      <c r="B269" s="65">
        <v>76.17</v>
      </c>
      <c r="C269" s="65">
        <v>74.69</v>
      </c>
      <c r="D269" s="65">
        <v>76</v>
      </c>
      <c r="E269" s="65">
        <v>4287603</v>
      </c>
      <c r="F269" s="65" t="s">
        <v>315</v>
      </c>
      <c r="G269" s="25">
        <f t="shared" si="2"/>
        <v>-1.5921052631578836E-2</v>
      </c>
    </row>
    <row r="270" spans="1:7">
      <c r="A270" s="65">
        <v>76.099999999999994</v>
      </c>
      <c r="B270" s="65">
        <v>77.77</v>
      </c>
      <c r="C270" s="65">
        <v>75.430000000000007</v>
      </c>
      <c r="D270" s="65">
        <v>77.55</v>
      </c>
      <c r="E270" s="65">
        <v>4412954</v>
      </c>
      <c r="F270" s="65" t="s">
        <v>316</v>
      </c>
      <c r="G270" s="25">
        <f t="shared" si="2"/>
        <v>-1.8697614442295341E-2</v>
      </c>
    </row>
    <row r="271" spans="1:7">
      <c r="A271" s="65">
        <v>77.83</v>
      </c>
      <c r="B271" s="65">
        <v>78.368499999999997</v>
      </c>
      <c r="C271" s="65">
        <v>77.540000000000006</v>
      </c>
      <c r="D271" s="65">
        <v>78</v>
      </c>
      <c r="E271" s="65">
        <v>5333455</v>
      </c>
      <c r="F271" s="65" t="s">
        <v>317</v>
      </c>
      <c r="G271" s="25">
        <f t="shared" si="2"/>
        <v>-2.1794871794872384E-3</v>
      </c>
    </row>
    <row r="272" spans="1:7">
      <c r="A272" s="65">
        <v>78.040000000000006</v>
      </c>
      <c r="B272" s="65">
        <v>78.260000000000005</v>
      </c>
      <c r="C272" s="65">
        <v>77.2</v>
      </c>
      <c r="D272" s="65">
        <v>77.739999999999995</v>
      </c>
      <c r="E272" s="65">
        <v>5518454</v>
      </c>
      <c r="F272" s="65" t="s">
        <v>318</v>
      </c>
      <c r="G272" s="25">
        <f t="shared" si="2"/>
        <v>3.859017236943707E-3</v>
      </c>
    </row>
    <row r="273" spans="1:7">
      <c r="A273" s="65">
        <v>78</v>
      </c>
      <c r="B273" s="65">
        <v>78.28</v>
      </c>
      <c r="C273" s="65">
        <v>76.84</v>
      </c>
      <c r="D273" s="65">
        <v>76.855000000000004</v>
      </c>
      <c r="E273" s="65">
        <v>4985844</v>
      </c>
      <c r="F273" s="65" t="s">
        <v>319</v>
      </c>
      <c r="G273" s="25">
        <f t="shared" si="2"/>
        <v>1.4898184893630706E-2</v>
      </c>
    </row>
    <row r="274" spans="1:7">
      <c r="A274" s="65">
        <v>76.88</v>
      </c>
      <c r="B274" s="65">
        <v>77.27</v>
      </c>
      <c r="C274" s="65">
        <v>76.11</v>
      </c>
      <c r="D274" s="65">
        <v>76.930000000000007</v>
      </c>
      <c r="E274" s="65">
        <v>4542593</v>
      </c>
      <c r="F274" s="65" t="s">
        <v>320</v>
      </c>
      <c r="G274" s="25">
        <f t="shared" si="2"/>
        <v>-6.4994150526465067E-4</v>
      </c>
    </row>
    <row r="275" spans="1:7">
      <c r="A275" s="65">
        <v>76.75</v>
      </c>
      <c r="B275" s="65">
        <v>77.239999999999995</v>
      </c>
      <c r="C275" s="65">
        <v>75.349999999999994</v>
      </c>
      <c r="D275" s="65">
        <v>75.44</v>
      </c>
      <c r="E275" s="65">
        <v>7672175</v>
      </c>
      <c r="F275" s="65" t="s">
        <v>321</v>
      </c>
      <c r="G275" s="25">
        <f t="shared" si="2"/>
        <v>1.7364793213149543E-2</v>
      </c>
    </row>
    <row r="276" spans="1:7">
      <c r="A276" s="65">
        <v>75.5</v>
      </c>
      <c r="B276" s="65">
        <v>75.94</v>
      </c>
      <c r="C276" s="65">
        <v>74.08</v>
      </c>
      <c r="D276" s="65">
        <v>74.88</v>
      </c>
      <c r="E276" s="65">
        <v>5657622</v>
      </c>
      <c r="F276" s="65" t="s">
        <v>322</v>
      </c>
      <c r="G276" s="25">
        <f t="shared" si="2"/>
        <v>8.2799145299146115E-3</v>
      </c>
    </row>
    <row r="277" spans="1:7">
      <c r="A277" s="65">
        <v>74.8</v>
      </c>
      <c r="B277" s="65">
        <v>74.84</v>
      </c>
      <c r="C277" s="65">
        <v>73.680000000000007</v>
      </c>
      <c r="D277" s="65">
        <v>74.400000000000006</v>
      </c>
      <c r="E277" s="65">
        <v>3789134</v>
      </c>
      <c r="F277" s="65" t="s">
        <v>323</v>
      </c>
      <c r="G277" s="25">
        <f t="shared" si="2"/>
        <v>5.3763440860215006E-3</v>
      </c>
    </row>
    <row r="278" spans="1:7">
      <c r="A278" s="65">
        <v>73.680000000000007</v>
      </c>
      <c r="B278" s="65">
        <v>74.91</v>
      </c>
      <c r="C278" s="65">
        <v>73.61</v>
      </c>
      <c r="D278" s="65">
        <v>74.67</v>
      </c>
      <c r="E278" s="65">
        <v>3814735</v>
      </c>
      <c r="F278" s="65" t="s">
        <v>324</v>
      </c>
      <c r="G278" s="25">
        <f t="shared" si="2"/>
        <v>-1.3258336681398086E-2</v>
      </c>
    </row>
    <row r="279" spans="1:7">
      <c r="A279" s="65">
        <v>74.63</v>
      </c>
      <c r="B279" s="65">
        <v>76.13</v>
      </c>
      <c r="C279" s="65">
        <v>74.510000000000005</v>
      </c>
      <c r="D279" s="65">
        <v>75.430000000000007</v>
      </c>
      <c r="E279" s="65">
        <v>3743904</v>
      </c>
      <c r="F279" s="65" t="s">
        <v>325</v>
      </c>
      <c r="G279" s="25">
        <f t="shared" si="2"/>
        <v>-1.0605859737505163E-2</v>
      </c>
    </row>
    <row r="280" spans="1:7">
      <c r="A280" s="65">
        <v>75.040000000000006</v>
      </c>
      <c r="B280" s="65">
        <v>75.75</v>
      </c>
      <c r="C280" s="65">
        <v>74.41</v>
      </c>
      <c r="D280" s="65">
        <v>74.83</v>
      </c>
      <c r="E280" s="65">
        <v>2419966</v>
      </c>
      <c r="F280" s="65" t="s">
        <v>326</v>
      </c>
      <c r="G280" s="25">
        <f t="shared" si="2"/>
        <v>2.8063610851263299E-3</v>
      </c>
    </row>
    <row r="281" spans="1:7">
      <c r="A281" s="65">
        <v>74.92</v>
      </c>
      <c r="B281" s="65">
        <v>75.36</v>
      </c>
      <c r="C281" s="65">
        <v>74.245000000000005</v>
      </c>
      <c r="D281" s="65">
        <v>74.41</v>
      </c>
      <c r="E281" s="65">
        <v>2433651</v>
      </c>
      <c r="F281" s="65" t="s">
        <v>327</v>
      </c>
      <c r="G281" s="25">
        <f t="shared" si="2"/>
        <v>6.8539174842092709E-3</v>
      </c>
    </row>
    <row r="282" spans="1:7">
      <c r="A282" s="65">
        <v>75.11</v>
      </c>
      <c r="B282" s="65">
        <v>75.534999999999997</v>
      </c>
      <c r="C282" s="65">
        <v>74.64</v>
      </c>
      <c r="D282" s="65">
        <v>75.12</v>
      </c>
      <c r="E282" s="65">
        <v>2457639</v>
      </c>
      <c r="F282" s="65" t="s">
        <v>328</v>
      </c>
      <c r="G282" s="25">
        <f t="shared" si="2"/>
        <v>-1.3312034078816204E-4</v>
      </c>
    </row>
    <row r="283" spans="1:7">
      <c r="A283" s="65">
        <v>75.650000000000006</v>
      </c>
      <c r="B283" s="65">
        <v>77.12</v>
      </c>
      <c r="C283" s="65">
        <v>75.41</v>
      </c>
      <c r="D283" s="65">
        <v>76.58</v>
      </c>
      <c r="E283" s="65">
        <v>3286833</v>
      </c>
      <c r="F283" s="65" t="s">
        <v>329</v>
      </c>
      <c r="G283" s="25">
        <f t="shared" si="2"/>
        <v>-1.2144162966831962E-2</v>
      </c>
    </row>
    <row r="284" spans="1:7">
      <c r="A284" s="65">
        <v>75.180000000000007</v>
      </c>
      <c r="B284" s="65">
        <v>75.814999999999998</v>
      </c>
      <c r="C284" s="65">
        <v>74.150000000000006</v>
      </c>
      <c r="D284" s="65">
        <v>75.540000000000006</v>
      </c>
      <c r="E284" s="65">
        <v>5139692</v>
      </c>
      <c r="F284" s="65" t="s">
        <v>330</v>
      </c>
      <c r="G284" s="25">
        <f t="shared" si="2"/>
        <v>-4.7656870532167828E-3</v>
      </c>
    </row>
    <row r="285" spans="1:7">
      <c r="A285" s="65">
        <v>75.489999999999995</v>
      </c>
      <c r="B285" s="65">
        <v>76.349999999999994</v>
      </c>
      <c r="C285" s="65">
        <v>74.52</v>
      </c>
      <c r="D285" s="65">
        <v>76.180000000000007</v>
      </c>
      <c r="E285" s="65">
        <v>4900288</v>
      </c>
      <c r="F285" s="65" t="s">
        <v>331</v>
      </c>
      <c r="G285" s="25">
        <f t="shared" si="2"/>
        <v>-9.0574954056183987E-3</v>
      </c>
    </row>
    <row r="286" spans="1:7">
      <c r="A286" s="65">
        <v>76.28</v>
      </c>
      <c r="B286" s="65">
        <v>76.58</v>
      </c>
      <c r="C286" s="65">
        <v>74.959999999999994</v>
      </c>
      <c r="D286" s="65">
        <v>75.5</v>
      </c>
      <c r="E286" s="65">
        <v>4491197</v>
      </c>
      <c r="F286" s="65" t="s">
        <v>332</v>
      </c>
      <c r="G286" s="25">
        <f t="shared" si="2"/>
        <v>1.033112582781448E-2</v>
      </c>
    </row>
    <row r="287" spans="1:7">
      <c r="A287" s="65">
        <v>75.540000000000006</v>
      </c>
      <c r="B287" s="65">
        <v>76.599999999999994</v>
      </c>
      <c r="C287" s="65">
        <v>74.94</v>
      </c>
      <c r="D287" s="65">
        <v>76.38</v>
      </c>
      <c r="E287" s="65">
        <v>5002041</v>
      </c>
      <c r="F287" s="65" t="s">
        <v>333</v>
      </c>
      <c r="G287" s="25">
        <f t="shared" si="2"/>
        <v>-1.0997643362136489E-2</v>
      </c>
    </row>
    <row r="288" spans="1:7">
      <c r="A288" s="65">
        <v>76.040000000000006</v>
      </c>
      <c r="B288" s="65">
        <v>76.099999999999994</v>
      </c>
      <c r="C288" s="65">
        <v>74.099999999999994</v>
      </c>
      <c r="D288" s="65">
        <v>74.819999999999993</v>
      </c>
      <c r="E288" s="65">
        <v>6330188</v>
      </c>
      <c r="F288" s="65" t="s">
        <v>334</v>
      </c>
      <c r="G288" s="25">
        <f t="shared" si="2"/>
        <v>1.630580058807829E-2</v>
      </c>
    </row>
    <row r="289" spans="1:7">
      <c r="A289" s="65">
        <v>75.13</v>
      </c>
      <c r="B289" s="65">
        <v>76.290000000000006</v>
      </c>
      <c r="C289" s="65">
        <v>72.935000000000002</v>
      </c>
      <c r="D289" s="65">
        <v>74.2</v>
      </c>
      <c r="E289" s="65">
        <v>11705382</v>
      </c>
      <c r="F289" s="65" t="s">
        <v>335</v>
      </c>
      <c r="G289" s="25">
        <f t="shared" si="2"/>
        <v>1.2533692722371814E-2</v>
      </c>
    </row>
    <row r="290" spans="1:7">
      <c r="A290" s="65">
        <v>70.459999999999994</v>
      </c>
      <c r="B290" s="65">
        <v>72.75</v>
      </c>
      <c r="C290" s="65">
        <v>69.84</v>
      </c>
      <c r="D290" s="65">
        <v>71.97</v>
      </c>
      <c r="E290" s="65">
        <v>7500112</v>
      </c>
      <c r="F290" s="65" t="s">
        <v>336</v>
      </c>
      <c r="G290" s="25">
        <f t="shared" si="2"/>
        <v>-2.0980964290676751E-2</v>
      </c>
    </row>
    <row r="291" spans="1:7">
      <c r="A291" s="65">
        <v>70.599999999999994</v>
      </c>
      <c r="B291" s="65">
        <v>70.790000000000006</v>
      </c>
      <c r="C291" s="65">
        <v>69.209999999999994</v>
      </c>
      <c r="D291" s="65">
        <v>69.8</v>
      </c>
      <c r="E291" s="65">
        <v>3005617</v>
      </c>
      <c r="F291" s="65" t="s">
        <v>337</v>
      </c>
      <c r="G291" s="25">
        <f t="shared" si="2"/>
        <v>1.1461318051575908E-2</v>
      </c>
    </row>
    <row r="292" spans="1:7">
      <c r="A292" s="65">
        <v>69.2</v>
      </c>
      <c r="B292" s="65">
        <v>71.2</v>
      </c>
      <c r="C292" s="65">
        <v>68.63</v>
      </c>
      <c r="D292" s="65">
        <v>71.2</v>
      </c>
      <c r="E292" s="65">
        <v>3767363</v>
      </c>
      <c r="F292" s="65" t="s">
        <v>338</v>
      </c>
      <c r="G292" s="25">
        <f t="shared" si="2"/>
        <v>-2.8089887640449396E-2</v>
      </c>
    </row>
    <row r="293" spans="1:7">
      <c r="A293" s="65">
        <v>71.53</v>
      </c>
      <c r="B293" s="65">
        <v>72.150000000000006</v>
      </c>
      <c r="C293" s="65">
        <v>70.55</v>
      </c>
      <c r="D293" s="65">
        <v>71.28</v>
      </c>
      <c r="E293" s="65">
        <v>3252323</v>
      </c>
      <c r="F293" s="65" t="s">
        <v>339</v>
      </c>
      <c r="G293" s="25">
        <f t="shared" si="2"/>
        <v>3.5072951739618663E-3</v>
      </c>
    </row>
    <row r="294" spans="1:7">
      <c r="A294" s="65">
        <v>71.2</v>
      </c>
      <c r="B294" s="65">
        <v>71.91</v>
      </c>
      <c r="C294" s="65">
        <v>70.52</v>
      </c>
      <c r="D294" s="65">
        <v>70.87</v>
      </c>
      <c r="E294" s="65">
        <v>4222101</v>
      </c>
      <c r="F294" s="65" t="s">
        <v>340</v>
      </c>
      <c r="G294" s="25">
        <f t="shared" si="2"/>
        <v>4.6564131508395334E-3</v>
      </c>
    </row>
    <row r="295" spans="1:7">
      <c r="A295" s="65">
        <v>70.760000000000005</v>
      </c>
      <c r="B295" s="65">
        <v>70.989999999999995</v>
      </c>
      <c r="C295" s="65">
        <v>69.95</v>
      </c>
      <c r="D295" s="65">
        <v>70.33</v>
      </c>
      <c r="E295" s="65">
        <v>3669240</v>
      </c>
      <c r="F295" s="65" t="s">
        <v>341</v>
      </c>
      <c r="G295" s="25">
        <f t="shared" si="2"/>
        <v>6.1140338404663819E-3</v>
      </c>
    </row>
    <row r="296" spans="1:7">
      <c r="A296" s="65">
        <v>69.87</v>
      </c>
      <c r="B296" s="65">
        <v>70.3</v>
      </c>
      <c r="C296" s="65">
        <v>69.36</v>
      </c>
      <c r="D296" s="65">
        <v>69.97</v>
      </c>
      <c r="E296" s="65">
        <v>3576195</v>
      </c>
      <c r="F296" s="65" t="s">
        <v>342</v>
      </c>
      <c r="G296" s="25">
        <f t="shared" si="2"/>
        <v>-1.4291839359724667E-3</v>
      </c>
    </row>
    <row r="297" spans="1:7">
      <c r="A297" s="65">
        <v>69.400000000000006</v>
      </c>
      <c r="B297" s="65">
        <v>69.825000000000003</v>
      </c>
      <c r="C297" s="65">
        <v>67.13</v>
      </c>
      <c r="D297" s="65">
        <v>68.7</v>
      </c>
      <c r="E297" s="65">
        <v>4890113</v>
      </c>
      <c r="F297" s="65" t="s">
        <v>343</v>
      </c>
      <c r="G297" s="25">
        <f t="shared" si="2"/>
        <v>1.0189228529839944E-2</v>
      </c>
    </row>
    <row r="298" spans="1:7">
      <c r="A298" s="65">
        <v>68.260000000000005</v>
      </c>
      <c r="B298" s="65">
        <v>69.344999999999999</v>
      </c>
      <c r="C298" s="65">
        <v>66.77</v>
      </c>
      <c r="D298" s="65">
        <v>69.28</v>
      </c>
      <c r="E298" s="65">
        <v>5423518</v>
      </c>
      <c r="F298" s="65" t="s">
        <v>344</v>
      </c>
      <c r="G298" s="25">
        <f t="shared" si="2"/>
        <v>-1.4722863741339465E-2</v>
      </c>
    </row>
    <row r="299" spans="1:7">
      <c r="A299" s="65">
        <v>69.900000000000006</v>
      </c>
      <c r="B299" s="65">
        <v>70.5</v>
      </c>
      <c r="C299" s="65">
        <v>65.94</v>
      </c>
      <c r="D299" s="65">
        <v>66.58</v>
      </c>
      <c r="E299" s="65">
        <v>8766357</v>
      </c>
      <c r="F299" s="65" t="s">
        <v>345</v>
      </c>
      <c r="G299" s="25">
        <f t="shared" si="2"/>
        <v>4.9864824271553143E-2</v>
      </c>
    </row>
    <row r="300" spans="1:7">
      <c r="A300" s="65">
        <v>67.069999999999993</v>
      </c>
      <c r="B300" s="65">
        <v>70.78</v>
      </c>
      <c r="C300" s="65">
        <v>66.420699999999997</v>
      </c>
      <c r="D300" s="65">
        <v>70.25</v>
      </c>
      <c r="E300" s="65">
        <v>5839541</v>
      </c>
      <c r="F300" s="65" t="s">
        <v>346</v>
      </c>
      <c r="G300" s="25">
        <f t="shared" si="2"/>
        <v>-4.5266903914590872E-2</v>
      </c>
    </row>
    <row r="301" spans="1:7">
      <c r="A301" s="65">
        <v>69</v>
      </c>
      <c r="B301" s="65">
        <v>71.22</v>
      </c>
      <c r="C301" s="65">
        <v>66.86</v>
      </c>
      <c r="D301" s="65">
        <v>67.98</v>
      </c>
      <c r="E301" s="65">
        <v>5654606</v>
      </c>
      <c r="F301" s="65" t="s">
        <v>347</v>
      </c>
      <c r="G301" s="25">
        <f t="shared" si="2"/>
        <v>1.5004413062665423E-2</v>
      </c>
    </row>
    <row r="302" spans="1:7">
      <c r="A302" s="65">
        <v>69.36</v>
      </c>
      <c r="B302" s="65">
        <v>71.72</v>
      </c>
      <c r="C302" s="65">
        <v>68.825000000000003</v>
      </c>
      <c r="D302" s="65">
        <v>71.430000000000007</v>
      </c>
      <c r="E302" s="65">
        <v>7511794</v>
      </c>
      <c r="F302" s="65" t="s">
        <v>348</v>
      </c>
      <c r="G302" s="25">
        <f t="shared" si="2"/>
        <v>-2.897942041159185E-2</v>
      </c>
    </row>
    <row r="303" spans="1:7">
      <c r="A303" s="65">
        <v>72.98</v>
      </c>
      <c r="B303" s="65">
        <v>73.260000000000005</v>
      </c>
      <c r="C303" s="65">
        <v>70.819999999999993</v>
      </c>
      <c r="D303" s="65">
        <v>71</v>
      </c>
      <c r="E303" s="65">
        <v>6930527</v>
      </c>
      <c r="F303" s="65" t="s">
        <v>349</v>
      </c>
      <c r="G303" s="25">
        <f t="shared" si="2"/>
        <v>2.7887323943662112E-2</v>
      </c>
    </row>
    <row r="304" spans="1:7">
      <c r="A304" s="65">
        <v>72.05</v>
      </c>
      <c r="B304" s="65">
        <v>72.364999999999995</v>
      </c>
      <c r="C304" s="65">
        <v>70.733400000000003</v>
      </c>
      <c r="D304" s="65">
        <v>70.819999999999993</v>
      </c>
      <c r="E304" s="65">
        <v>2865718</v>
      </c>
      <c r="F304" s="65" t="s">
        <v>350</v>
      </c>
      <c r="G304" s="25">
        <f t="shared" si="2"/>
        <v>1.7367975148263159E-2</v>
      </c>
    </row>
    <row r="305" spans="1:7">
      <c r="A305" s="65">
        <v>71.87</v>
      </c>
      <c r="B305" s="65">
        <v>72.45</v>
      </c>
      <c r="C305" s="65">
        <v>71.23</v>
      </c>
      <c r="D305" s="65">
        <v>72.180000000000007</v>
      </c>
      <c r="E305" s="65">
        <v>3130440</v>
      </c>
      <c r="F305" s="65" t="s">
        <v>351</v>
      </c>
      <c r="G305" s="25">
        <f t="shared" si="2"/>
        <v>-4.2948185092823721E-3</v>
      </c>
    </row>
    <row r="306" spans="1:7">
      <c r="A306" s="65">
        <v>72.48</v>
      </c>
      <c r="B306" s="65">
        <v>72.739999999999995</v>
      </c>
      <c r="C306" s="65">
        <v>70.33</v>
      </c>
      <c r="D306" s="65">
        <v>70.39</v>
      </c>
      <c r="E306" s="65">
        <v>5036073</v>
      </c>
      <c r="F306" s="65" t="s">
        <v>352</v>
      </c>
      <c r="G306" s="25">
        <f t="shared" si="2"/>
        <v>2.9691717573518961E-2</v>
      </c>
    </row>
    <row r="307" spans="1:7">
      <c r="A307" s="65">
        <v>70.91</v>
      </c>
      <c r="B307" s="65">
        <v>71.66</v>
      </c>
      <c r="C307" s="65">
        <v>70.63</v>
      </c>
      <c r="D307" s="65">
        <v>70.92</v>
      </c>
      <c r="E307" s="65">
        <v>4513876</v>
      </c>
      <c r="F307" s="65" t="s">
        <v>353</v>
      </c>
      <c r="G307" s="25">
        <f t="shared" si="2"/>
        <v>-1.4100394811067396E-4</v>
      </c>
    </row>
    <row r="308" spans="1:7">
      <c r="A308" s="65">
        <v>71.19</v>
      </c>
      <c r="B308" s="65">
        <v>71.564999999999998</v>
      </c>
      <c r="C308" s="65">
        <v>70.319999999999993</v>
      </c>
      <c r="D308" s="65">
        <v>70.83</v>
      </c>
      <c r="E308" s="65">
        <v>3079159</v>
      </c>
      <c r="F308" s="65" t="s">
        <v>354</v>
      </c>
      <c r="G308" s="25">
        <f t="shared" si="2"/>
        <v>5.0825921219821435E-3</v>
      </c>
    </row>
    <row r="309" spans="1:7">
      <c r="A309" s="65">
        <v>71.09</v>
      </c>
      <c r="B309" s="65">
        <v>71.42</v>
      </c>
      <c r="C309" s="65">
        <v>70.39</v>
      </c>
      <c r="D309" s="65">
        <v>71.02</v>
      </c>
      <c r="E309" s="65">
        <v>3487917</v>
      </c>
      <c r="F309" s="65" t="s">
        <v>355</v>
      </c>
      <c r="G309" s="25">
        <f t="shared" si="2"/>
        <v>9.8563784849359237E-4</v>
      </c>
    </row>
    <row r="310" spans="1:7">
      <c r="A310" s="65">
        <v>71.239999999999995</v>
      </c>
      <c r="B310" s="65">
        <v>72.290000000000006</v>
      </c>
      <c r="C310" s="65">
        <v>70.78</v>
      </c>
      <c r="D310" s="65">
        <v>71.459999999999994</v>
      </c>
      <c r="E310" s="65">
        <v>6112450</v>
      </c>
      <c r="F310" s="65" t="s">
        <v>356</v>
      </c>
      <c r="G310" s="25">
        <f t="shared" si="2"/>
        <v>-3.0786453960257587E-3</v>
      </c>
    </row>
    <row r="311" spans="1:7">
      <c r="A311" s="65">
        <v>71.349999999999994</v>
      </c>
      <c r="B311" s="65">
        <v>72.239999999999995</v>
      </c>
      <c r="C311" s="65">
        <v>70.63</v>
      </c>
      <c r="D311" s="65">
        <v>70.83</v>
      </c>
      <c r="E311" s="65">
        <v>3603111</v>
      </c>
      <c r="F311" s="65" t="s">
        <v>357</v>
      </c>
      <c r="G311" s="25">
        <f t="shared" si="2"/>
        <v>7.341521953974306E-3</v>
      </c>
    </row>
    <row r="312" spans="1:7">
      <c r="A312" s="65">
        <v>70.459999999999994</v>
      </c>
      <c r="B312" s="65">
        <v>70.935000000000002</v>
      </c>
      <c r="C312" s="65">
        <v>69.820999999999998</v>
      </c>
      <c r="D312" s="65">
        <v>70.62</v>
      </c>
      <c r="E312" s="65">
        <v>7144372</v>
      </c>
      <c r="F312" s="65" t="s">
        <v>358</v>
      </c>
      <c r="G312" s="25">
        <f t="shared" si="2"/>
        <v>-2.2656471254604016E-3</v>
      </c>
    </row>
    <row r="313" spans="1:7">
      <c r="A313" s="65">
        <v>70.95</v>
      </c>
      <c r="B313" s="65">
        <v>71.849999999999994</v>
      </c>
      <c r="C313" s="65">
        <v>70.16</v>
      </c>
      <c r="D313" s="65">
        <v>70.67</v>
      </c>
      <c r="E313" s="65">
        <v>4052941</v>
      </c>
      <c r="F313" s="65" t="s">
        <v>359</v>
      </c>
      <c r="G313" s="25">
        <f t="shared" si="2"/>
        <v>3.9620772605066801E-3</v>
      </c>
    </row>
    <row r="314" spans="1:7">
      <c r="A314" s="65">
        <v>70.900000000000006</v>
      </c>
      <c r="B314" s="65">
        <v>71.2</v>
      </c>
      <c r="C314" s="65">
        <v>69.954999999999998</v>
      </c>
      <c r="D314" s="65">
        <v>70.38</v>
      </c>
      <c r="E314" s="65">
        <v>5201499</v>
      </c>
      <c r="F314" s="65" t="s">
        <v>360</v>
      </c>
      <c r="G314" s="25">
        <f t="shared" si="2"/>
        <v>7.3884626314295598E-3</v>
      </c>
    </row>
    <row r="315" spans="1:7">
      <c r="A315" s="65">
        <v>70.34</v>
      </c>
      <c r="B315" s="65">
        <v>71.075000000000003</v>
      </c>
      <c r="C315" s="65">
        <v>70.02</v>
      </c>
      <c r="D315" s="65">
        <v>70.39</v>
      </c>
      <c r="E315" s="65">
        <v>3717546</v>
      </c>
      <c r="F315" s="65" t="s">
        <v>361</v>
      </c>
      <c r="G315" s="25">
        <f t="shared" si="2"/>
        <v>-7.1032817161520434E-4</v>
      </c>
    </row>
    <row r="316" spans="1:7">
      <c r="A316" s="65">
        <v>70.63</v>
      </c>
      <c r="B316" s="65">
        <v>71.05</v>
      </c>
      <c r="C316" s="65">
        <v>68.64</v>
      </c>
      <c r="D316" s="65">
        <v>68.86</v>
      </c>
      <c r="E316" s="65">
        <v>5653044</v>
      </c>
      <c r="F316" s="65" t="s">
        <v>362</v>
      </c>
      <c r="G316" s="25">
        <f t="shared" ref="G316:G379" si="3">A316/D316-1</f>
        <v>2.5704327621260514E-2</v>
      </c>
    </row>
    <row r="317" spans="1:7">
      <c r="A317" s="65">
        <v>69.290000000000006</v>
      </c>
      <c r="B317" s="65">
        <v>69.658000000000001</v>
      </c>
      <c r="C317" s="65">
        <v>67.78</v>
      </c>
      <c r="D317" s="65">
        <v>68.430000000000007</v>
      </c>
      <c r="E317" s="65">
        <v>3587135</v>
      </c>
      <c r="F317" s="65" t="s">
        <v>363</v>
      </c>
      <c r="G317" s="25">
        <f t="shared" si="3"/>
        <v>1.2567587315504891E-2</v>
      </c>
    </row>
    <row r="318" spans="1:7">
      <c r="A318" s="65">
        <v>67.95</v>
      </c>
      <c r="B318" s="65">
        <v>68.92</v>
      </c>
      <c r="C318" s="65">
        <v>67.319999999999993</v>
      </c>
      <c r="D318" s="65">
        <v>68.739999999999995</v>
      </c>
      <c r="E318" s="65">
        <v>5694649</v>
      </c>
      <c r="F318" s="65" t="s">
        <v>364</v>
      </c>
      <c r="G318" s="25">
        <f t="shared" si="3"/>
        <v>-1.1492580739016489E-2</v>
      </c>
    </row>
    <row r="319" spans="1:7">
      <c r="A319" s="65">
        <v>68.510000000000005</v>
      </c>
      <c r="B319" s="65">
        <v>70.739900000000006</v>
      </c>
      <c r="C319" s="65">
        <v>68.33</v>
      </c>
      <c r="D319" s="65">
        <v>69.11</v>
      </c>
      <c r="E319" s="65">
        <v>5312290</v>
      </c>
      <c r="F319" s="65" t="s">
        <v>365</v>
      </c>
      <c r="G319" s="25">
        <f t="shared" si="3"/>
        <v>-8.6818116046880611E-3</v>
      </c>
    </row>
    <row r="320" spans="1:7">
      <c r="A320" s="65">
        <v>68.39</v>
      </c>
      <c r="B320" s="65">
        <v>69.023499999999999</v>
      </c>
      <c r="C320" s="65">
        <v>67.8</v>
      </c>
      <c r="D320" s="65">
        <v>68.239999999999995</v>
      </c>
      <c r="E320" s="65">
        <v>4250091</v>
      </c>
      <c r="F320" s="65" t="s">
        <v>366</v>
      </c>
      <c r="G320" s="25">
        <f t="shared" si="3"/>
        <v>2.1981242672919343E-3</v>
      </c>
    </row>
    <row r="321" spans="1:7">
      <c r="A321" s="65">
        <v>68.53</v>
      </c>
      <c r="B321" s="65">
        <v>69.97</v>
      </c>
      <c r="C321" s="65">
        <v>68.180000000000007</v>
      </c>
      <c r="D321" s="65">
        <v>69.48</v>
      </c>
      <c r="E321" s="65">
        <v>4773489</v>
      </c>
      <c r="F321" s="65" t="s">
        <v>367</v>
      </c>
      <c r="G321" s="25">
        <f t="shared" si="3"/>
        <v>-1.3672999424294785E-2</v>
      </c>
    </row>
    <row r="322" spans="1:7">
      <c r="A322" s="65">
        <v>70.33</v>
      </c>
      <c r="B322" s="65">
        <v>71.53</v>
      </c>
      <c r="C322" s="65">
        <v>69.325000000000003</v>
      </c>
      <c r="D322" s="65">
        <v>70.83</v>
      </c>
      <c r="E322" s="65">
        <v>5207844</v>
      </c>
      <c r="F322" s="65" t="s">
        <v>368</v>
      </c>
      <c r="G322" s="25">
        <f t="shared" si="3"/>
        <v>-7.0591557249752857E-3</v>
      </c>
    </row>
    <row r="323" spans="1:7">
      <c r="A323" s="65">
        <v>71.8</v>
      </c>
      <c r="B323" s="65">
        <v>73.099999999999994</v>
      </c>
      <c r="C323" s="65">
        <v>71.450100000000006</v>
      </c>
      <c r="D323" s="65">
        <v>72.06</v>
      </c>
      <c r="E323" s="65">
        <v>5028690</v>
      </c>
      <c r="F323" s="65" t="s">
        <v>369</v>
      </c>
      <c r="G323" s="25">
        <f t="shared" si="3"/>
        <v>-3.6081043574799354E-3</v>
      </c>
    </row>
    <row r="324" spans="1:7">
      <c r="A324" s="65">
        <v>72.849999999999994</v>
      </c>
      <c r="B324" s="65">
        <v>73.194999999999993</v>
      </c>
      <c r="C324" s="65">
        <v>70.95</v>
      </c>
      <c r="D324" s="65">
        <v>71.33</v>
      </c>
      <c r="E324" s="65">
        <v>4821945</v>
      </c>
      <c r="F324" s="65" t="s">
        <v>370</v>
      </c>
      <c r="G324" s="25">
        <f t="shared" si="3"/>
        <v>2.1309406981634638E-2</v>
      </c>
    </row>
    <row r="325" spans="1:7">
      <c r="A325" s="65">
        <v>71.38</v>
      </c>
      <c r="B325" s="65">
        <v>71.69</v>
      </c>
      <c r="C325" s="65">
        <v>69.87</v>
      </c>
      <c r="D325" s="65">
        <v>71.53</v>
      </c>
      <c r="E325" s="65">
        <v>6279854</v>
      </c>
      <c r="F325" s="65" t="s">
        <v>371</v>
      </c>
      <c r="G325" s="25">
        <f t="shared" si="3"/>
        <v>-2.0970222284356632E-3</v>
      </c>
    </row>
    <row r="326" spans="1:7">
      <c r="A326" s="65">
        <v>71.39</v>
      </c>
      <c r="B326" s="65">
        <v>72.989999999999995</v>
      </c>
      <c r="C326" s="65">
        <v>71.150000000000006</v>
      </c>
      <c r="D326" s="65">
        <v>72.16</v>
      </c>
      <c r="E326" s="65">
        <v>3174021</v>
      </c>
      <c r="F326" s="65" t="s">
        <v>372</v>
      </c>
      <c r="G326" s="25">
        <f t="shared" si="3"/>
        <v>-1.0670731707317027E-2</v>
      </c>
    </row>
    <row r="327" spans="1:7">
      <c r="A327" s="65">
        <v>71.62</v>
      </c>
      <c r="B327" s="65">
        <v>71.77</v>
      </c>
      <c r="C327" s="65">
        <v>70.14</v>
      </c>
      <c r="D327" s="65">
        <v>71.47</v>
      </c>
      <c r="E327" s="65">
        <v>5955822</v>
      </c>
      <c r="F327" s="65" t="s">
        <v>373</v>
      </c>
      <c r="G327" s="25">
        <f t="shared" si="3"/>
        <v>2.0987827060305886E-3</v>
      </c>
    </row>
    <row r="328" spans="1:7">
      <c r="A328" s="65">
        <v>71.400000000000006</v>
      </c>
      <c r="B328" s="65">
        <v>72.64</v>
      </c>
      <c r="C328" s="65">
        <v>71.375</v>
      </c>
      <c r="D328" s="65">
        <v>71.66</v>
      </c>
      <c r="E328" s="65">
        <v>2993185</v>
      </c>
      <c r="F328" s="65" t="s">
        <v>374</v>
      </c>
      <c r="G328" s="25">
        <f t="shared" si="3"/>
        <v>-3.6282444878592557E-3</v>
      </c>
    </row>
    <row r="329" spans="1:7">
      <c r="A329" s="65">
        <v>71.959999999999994</v>
      </c>
      <c r="B329" s="65">
        <v>72.400000000000006</v>
      </c>
      <c r="C329" s="65">
        <v>71.209999999999994</v>
      </c>
      <c r="D329" s="65">
        <v>71.55</v>
      </c>
      <c r="E329" s="65">
        <v>2316112</v>
      </c>
      <c r="F329" s="65" t="s">
        <v>375</v>
      </c>
      <c r="G329" s="25">
        <f t="shared" si="3"/>
        <v>5.7302585604472878E-3</v>
      </c>
    </row>
    <row r="330" spans="1:7">
      <c r="A330" s="65">
        <v>71.45</v>
      </c>
      <c r="B330" s="65">
        <v>73.12</v>
      </c>
      <c r="C330" s="65">
        <v>70.55</v>
      </c>
      <c r="D330" s="65">
        <v>72.94</v>
      </c>
      <c r="E330" s="65">
        <v>6406855</v>
      </c>
      <c r="F330" s="65" t="s">
        <v>376</v>
      </c>
      <c r="G330" s="25">
        <f t="shared" si="3"/>
        <v>-2.0427748834658588E-2</v>
      </c>
    </row>
    <row r="331" spans="1:7">
      <c r="A331" s="65">
        <v>72.760000000000005</v>
      </c>
      <c r="B331" s="65">
        <v>73.894999999999996</v>
      </c>
      <c r="C331" s="65">
        <v>72.206699999999998</v>
      </c>
      <c r="D331" s="65">
        <v>73.61</v>
      </c>
      <c r="E331" s="65">
        <v>5725387</v>
      </c>
      <c r="F331" s="65" t="s">
        <v>377</v>
      </c>
      <c r="G331" s="25">
        <f t="shared" si="3"/>
        <v>-1.1547344110854452E-2</v>
      </c>
    </row>
    <row r="332" spans="1:7">
      <c r="A332" s="65">
        <v>73.3</v>
      </c>
      <c r="B332" s="65">
        <v>74.66</v>
      </c>
      <c r="C332" s="65">
        <v>73.2</v>
      </c>
      <c r="D332" s="65">
        <v>74.31</v>
      </c>
      <c r="E332" s="65">
        <v>2843657</v>
      </c>
      <c r="F332" s="65" t="s">
        <v>378</v>
      </c>
      <c r="G332" s="25">
        <f t="shared" si="3"/>
        <v>-1.3591710402368506E-2</v>
      </c>
    </row>
    <row r="333" spans="1:7">
      <c r="A333" s="65">
        <v>74.709999999999994</v>
      </c>
      <c r="B333" s="65">
        <v>75.209999999999994</v>
      </c>
      <c r="C333" s="65">
        <v>74.25</v>
      </c>
      <c r="D333" s="65">
        <v>74.400000000000006</v>
      </c>
      <c r="E333" s="65">
        <v>2517569</v>
      </c>
      <c r="F333" s="65" t="s">
        <v>379</v>
      </c>
      <c r="G333" s="25">
        <f t="shared" si="3"/>
        <v>4.1666666666664298E-3</v>
      </c>
    </row>
    <row r="334" spans="1:7">
      <c r="A334" s="65">
        <v>74.67</v>
      </c>
      <c r="B334" s="65">
        <v>76.5</v>
      </c>
      <c r="C334" s="65">
        <v>74.56</v>
      </c>
      <c r="D334" s="65">
        <v>75.489999999999995</v>
      </c>
      <c r="E334" s="65">
        <v>3023279</v>
      </c>
      <c r="F334" s="65" t="s">
        <v>380</v>
      </c>
      <c r="G334" s="25">
        <f t="shared" si="3"/>
        <v>-1.0862365876274871E-2</v>
      </c>
    </row>
    <row r="335" spans="1:7">
      <c r="A335" s="65">
        <v>75.67</v>
      </c>
      <c r="B335" s="65">
        <v>76.665999999999997</v>
      </c>
      <c r="C335" s="65">
        <v>75.56</v>
      </c>
      <c r="D335" s="65">
        <v>75.86</v>
      </c>
      <c r="E335" s="65">
        <v>4938322</v>
      </c>
      <c r="F335" s="65" t="s">
        <v>381</v>
      </c>
      <c r="G335" s="25">
        <f t="shared" si="3"/>
        <v>-2.5046137621934639E-3</v>
      </c>
    </row>
    <row r="336" spans="1:7">
      <c r="A336" s="65">
        <v>76.19</v>
      </c>
      <c r="B336" s="65">
        <v>76.73</v>
      </c>
      <c r="C336" s="65">
        <v>75.739999999999995</v>
      </c>
      <c r="D336" s="65">
        <v>76.2</v>
      </c>
      <c r="E336" s="65">
        <v>3899214</v>
      </c>
      <c r="F336" s="65" t="s">
        <v>382</v>
      </c>
      <c r="G336" s="25">
        <f t="shared" si="3"/>
        <v>-1.3123359580058391E-4</v>
      </c>
    </row>
    <row r="337" spans="1:7">
      <c r="A337" s="65">
        <v>76</v>
      </c>
      <c r="B337" s="65">
        <v>76.709999999999994</v>
      </c>
      <c r="C337" s="65">
        <v>74.849999999999994</v>
      </c>
      <c r="D337" s="65">
        <v>76.34</v>
      </c>
      <c r="E337" s="65">
        <v>4771399</v>
      </c>
      <c r="F337" s="65" t="s">
        <v>383</v>
      </c>
      <c r="G337" s="25">
        <f t="shared" si="3"/>
        <v>-4.4537594969872307E-3</v>
      </c>
    </row>
    <row r="338" spans="1:7">
      <c r="A338" s="65">
        <v>75.819999999999993</v>
      </c>
      <c r="B338" s="65">
        <v>76</v>
      </c>
      <c r="C338" s="65">
        <v>73.89</v>
      </c>
      <c r="D338" s="65">
        <v>74</v>
      </c>
      <c r="E338" s="65">
        <v>9353191</v>
      </c>
      <c r="F338" s="65" t="s">
        <v>384</v>
      </c>
      <c r="G338" s="25">
        <f t="shared" si="3"/>
        <v>2.4594594594594454E-2</v>
      </c>
    </row>
    <row r="339" spans="1:7">
      <c r="A339" s="65">
        <v>70.91</v>
      </c>
      <c r="B339" s="65">
        <v>71.05</v>
      </c>
      <c r="C339" s="65">
        <v>70.319999999999993</v>
      </c>
      <c r="D339" s="65">
        <v>70.73</v>
      </c>
      <c r="E339" s="65">
        <v>3464627</v>
      </c>
      <c r="F339" s="65" t="s">
        <v>385</v>
      </c>
      <c r="G339" s="25">
        <f t="shared" si="3"/>
        <v>2.5448890145622904E-3</v>
      </c>
    </row>
    <row r="340" spans="1:7">
      <c r="A340" s="65">
        <v>71.099999999999994</v>
      </c>
      <c r="B340" s="65">
        <v>71.31</v>
      </c>
      <c r="C340" s="65">
        <v>70.096500000000006</v>
      </c>
      <c r="D340" s="65">
        <v>70.63</v>
      </c>
      <c r="E340" s="65">
        <v>2743460</v>
      </c>
      <c r="F340" s="65" t="s">
        <v>386</v>
      </c>
      <c r="G340" s="25">
        <f t="shared" si="3"/>
        <v>6.6543961489451409E-3</v>
      </c>
    </row>
    <row r="341" spans="1:7">
      <c r="A341" s="65">
        <v>70.349999999999994</v>
      </c>
      <c r="B341" s="65">
        <v>71.680000000000007</v>
      </c>
      <c r="C341" s="65">
        <v>70.319999999999993</v>
      </c>
      <c r="D341" s="65">
        <v>71.19</v>
      </c>
      <c r="E341" s="65">
        <v>3695667</v>
      </c>
      <c r="F341" s="65" t="s">
        <v>387</v>
      </c>
      <c r="G341" s="25">
        <f t="shared" si="3"/>
        <v>-1.179941002949858E-2</v>
      </c>
    </row>
    <row r="342" spans="1:7">
      <c r="A342" s="65">
        <v>70.989999999999995</v>
      </c>
      <c r="B342" s="65">
        <v>71.900000000000006</v>
      </c>
      <c r="C342" s="65">
        <v>70.715000000000003</v>
      </c>
      <c r="D342" s="65">
        <v>71.78</v>
      </c>
      <c r="E342" s="65">
        <v>4179122</v>
      </c>
      <c r="F342" s="65" t="s">
        <v>388</v>
      </c>
      <c r="G342" s="25">
        <f t="shared" si="3"/>
        <v>-1.1005851212036899E-2</v>
      </c>
    </row>
    <row r="343" spans="1:7">
      <c r="A343" s="65">
        <v>72.099999999999994</v>
      </c>
      <c r="B343" s="65">
        <v>72.364999999999995</v>
      </c>
      <c r="C343" s="65">
        <v>71.45</v>
      </c>
      <c r="D343" s="65">
        <v>72</v>
      </c>
      <c r="E343" s="65">
        <v>3772799</v>
      </c>
      <c r="F343" s="65" t="s">
        <v>389</v>
      </c>
      <c r="G343" s="25">
        <f t="shared" si="3"/>
        <v>1.388888888888884E-3</v>
      </c>
    </row>
    <row r="344" spans="1:7">
      <c r="A344" s="65">
        <v>71.33</v>
      </c>
      <c r="B344" s="65">
        <v>71.430000000000007</v>
      </c>
      <c r="C344" s="65">
        <v>70.650000000000006</v>
      </c>
      <c r="D344" s="65">
        <v>70.849999999999994</v>
      </c>
      <c r="E344" s="65">
        <v>3852498</v>
      </c>
      <c r="F344" s="65" t="s">
        <v>390</v>
      </c>
      <c r="G344" s="25">
        <f t="shared" si="3"/>
        <v>6.7748764996471422E-3</v>
      </c>
    </row>
    <row r="345" spans="1:7">
      <c r="A345" s="65">
        <v>71.38</v>
      </c>
      <c r="B345" s="65">
        <v>72.36</v>
      </c>
      <c r="C345" s="65">
        <v>71.25</v>
      </c>
      <c r="D345" s="65">
        <v>71.53</v>
      </c>
      <c r="E345" s="65">
        <v>3410708</v>
      </c>
      <c r="F345" s="65" t="s">
        <v>391</v>
      </c>
      <c r="G345" s="25">
        <f t="shared" si="3"/>
        <v>-2.0970222284356632E-3</v>
      </c>
    </row>
    <row r="346" spans="1:7">
      <c r="A346" s="65">
        <v>72.45</v>
      </c>
      <c r="B346" s="65">
        <v>73.47</v>
      </c>
      <c r="C346" s="65">
        <v>72.39</v>
      </c>
      <c r="D346" s="65">
        <v>73.33</v>
      </c>
      <c r="E346" s="65">
        <v>3238447</v>
      </c>
      <c r="F346" s="65" t="s">
        <v>392</v>
      </c>
      <c r="G346" s="25">
        <f t="shared" si="3"/>
        <v>-1.200054547933993E-2</v>
      </c>
    </row>
    <row r="347" spans="1:7">
      <c r="A347" s="65">
        <v>73.22</v>
      </c>
      <c r="B347" s="65">
        <v>73.88</v>
      </c>
      <c r="C347" s="65">
        <v>72.63</v>
      </c>
      <c r="D347" s="65">
        <v>73.11</v>
      </c>
      <c r="E347" s="65">
        <v>4946293</v>
      </c>
      <c r="F347" s="65" t="s">
        <v>393</v>
      </c>
      <c r="G347" s="25">
        <f t="shared" si="3"/>
        <v>1.5045821365067269E-3</v>
      </c>
    </row>
    <row r="348" spans="1:7">
      <c r="A348" s="65">
        <v>71.13</v>
      </c>
      <c r="B348" s="65">
        <v>72.989999999999995</v>
      </c>
      <c r="C348" s="65">
        <v>71.11</v>
      </c>
      <c r="D348" s="65">
        <v>72.5</v>
      </c>
      <c r="E348" s="65">
        <v>4669933</v>
      </c>
      <c r="F348" s="65" t="s">
        <v>394</v>
      </c>
      <c r="G348" s="25">
        <f t="shared" si="3"/>
        <v>-1.8896551724137955E-2</v>
      </c>
    </row>
    <row r="349" spans="1:7">
      <c r="A349" s="65">
        <v>72.56</v>
      </c>
      <c r="B349" s="65">
        <v>72.739999999999995</v>
      </c>
      <c r="C349" s="65">
        <v>69</v>
      </c>
      <c r="D349" s="65">
        <v>69.48</v>
      </c>
      <c r="E349" s="65">
        <v>7623873</v>
      </c>
      <c r="F349" s="65" t="s">
        <v>395</v>
      </c>
      <c r="G349" s="25">
        <f t="shared" si="3"/>
        <v>4.4329303396660968E-2</v>
      </c>
    </row>
    <row r="350" spans="1:7">
      <c r="A350" s="65">
        <v>69.2</v>
      </c>
      <c r="B350" s="65">
        <v>69.42</v>
      </c>
      <c r="C350" s="65">
        <v>68.42</v>
      </c>
      <c r="D350" s="65">
        <v>68.790000000000006</v>
      </c>
      <c r="E350" s="65">
        <v>5171158</v>
      </c>
      <c r="F350" s="65" t="s">
        <v>396</v>
      </c>
      <c r="G350" s="25">
        <f t="shared" si="3"/>
        <v>5.9601686291612666E-3</v>
      </c>
    </row>
    <row r="351" spans="1:7">
      <c r="A351" s="65">
        <v>68.989999999999995</v>
      </c>
      <c r="B351" s="65">
        <v>69.64</v>
      </c>
      <c r="C351" s="65">
        <v>68.400000000000006</v>
      </c>
      <c r="D351" s="65">
        <v>68.64</v>
      </c>
      <c r="E351" s="65">
        <v>5528234</v>
      </c>
      <c r="F351" s="65" t="s">
        <v>397</v>
      </c>
      <c r="G351" s="25">
        <f t="shared" si="3"/>
        <v>5.0990675990674195E-3</v>
      </c>
    </row>
    <row r="352" spans="1:7">
      <c r="A352" s="65">
        <v>68.930000000000007</v>
      </c>
      <c r="B352" s="65">
        <v>69.400000000000006</v>
      </c>
      <c r="C352" s="65">
        <v>68.34</v>
      </c>
      <c r="D352" s="65">
        <v>69.05</v>
      </c>
      <c r="E352" s="65">
        <v>5220958</v>
      </c>
      <c r="F352" s="65" t="s">
        <v>398</v>
      </c>
      <c r="G352" s="25">
        <f t="shared" si="3"/>
        <v>-1.7378711078926967E-3</v>
      </c>
    </row>
    <row r="353" spans="1:7">
      <c r="A353" s="65">
        <v>69.040000000000006</v>
      </c>
      <c r="B353" s="65">
        <v>70.239999999999995</v>
      </c>
      <c r="C353" s="65">
        <v>68.23</v>
      </c>
      <c r="D353" s="65">
        <v>69.44</v>
      </c>
      <c r="E353" s="65">
        <v>6023584</v>
      </c>
      <c r="F353" s="65" t="s">
        <v>399</v>
      </c>
      <c r="G353" s="25">
        <f t="shared" si="3"/>
        <v>-5.7603686635943063E-3</v>
      </c>
    </row>
    <row r="354" spans="1:7">
      <c r="A354" s="65">
        <v>69.97</v>
      </c>
      <c r="B354" s="65">
        <v>70.674999999999997</v>
      </c>
      <c r="C354" s="65">
        <v>69.2</v>
      </c>
      <c r="D354" s="65">
        <v>70.2</v>
      </c>
      <c r="E354" s="65">
        <v>4786286</v>
      </c>
      <c r="F354" s="65" t="s">
        <v>400</v>
      </c>
      <c r="G354" s="25">
        <f t="shared" si="3"/>
        <v>-3.2763532763533387E-3</v>
      </c>
    </row>
    <row r="355" spans="1:7">
      <c r="A355" s="65">
        <v>69.78</v>
      </c>
      <c r="B355" s="65">
        <v>70.28</v>
      </c>
      <c r="C355" s="65">
        <v>69.099699999999999</v>
      </c>
      <c r="D355" s="65">
        <v>69.959999999999994</v>
      </c>
      <c r="E355" s="65">
        <v>5031238</v>
      </c>
      <c r="F355" s="65" t="s">
        <v>401</v>
      </c>
      <c r="G355" s="25">
        <f t="shared" si="3"/>
        <v>-2.572898799313772E-3</v>
      </c>
    </row>
    <row r="356" spans="1:7">
      <c r="A356" s="65">
        <v>69.86</v>
      </c>
      <c r="B356" s="65">
        <v>70</v>
      </c>
      <c r="C356" s="65">
        <v>68.234999999999999</v>
      </c>
      <c r="D356" s="65">
        <v>68.95</v>
      </c>
      <c r="E356" s="65">
        <v>5723576</v>
      </c>
      <c r="F356" s="65" t="s">
        <v>402</v>
      </c>
      <c r="G356" s="25">
        <f t="shared" si="3"/>
        <v>1.3197969543147225E-2</v>
      </c>
    </row>
    <row r="357" spans="1:7">
      <c r="A357" s="65">
        <v>70.28</v>
      </c>
      <c r="B357" s="65">
        <v>72.094999999999999</v>
      </c>
      <c r="C357" s="65">
        <v>70.194999999999993</v>
      </c>
      <c r="D357" s="65">
        <v>71.430000000000007</v>
      </c>
      <c r="E357" s="65">
        <v>3519496</v>
      </c>
      <c r="F357" s="65" t="s">
        <v>403</v>
      </c>
      <c r="G357" s="25">
        <f t="shared" si="3"/>
        <v>-1.6099678006439966E-2</v>
      </c>
    </row>
    <row r="358" spans="1:7">
      <c r="A358" s="65">
        <v>71.040000000000006</v>
      </c>
      <c r="B358" s="65">
        <v>71.715000000000003</v>
      </c>
      <c r="C358" s="65">
        <v>70.540000000000006</v>
      </c>
      <c r="D358" s="65">
        <v>71.34</v>
      </c>
      <c r="E358" s="65">
        <v>3228813</v>
      </c>
      <c r="F358" s="65" t="s">
        <v>404</v>
      </c>
      <c r="G358" s="25">
        <f t="shared" si="3"/>
        <v>-4.20521446593769E-3</v>
      </c>
    </row>
    <row r="359" spans="1:7">
      <c r="A359" s="65">
        <v>71.09</v>
      </c>
      <c r="B359" s="65">
        <v>72.34</v>
      </c>
      <c r="C359" s="65">
        <v>69.778599999999997</v>
      </c>
      <c r="D359" s="65">
        <v>70.540000000000006</v>
      </c>
      <c r="E359" s="65">
        <v>5366680</v>
      </c>
      <c r="F359" s="65" t="s">
        <v>405</v>
      </c>
      <c r="G359" s="25">
        <f t="shared" si="3"/>
        <v>7.7969946129854417E-3</v>
      </c>
    </row>
    <row r="360" spans="1:7">
      <c r="A360" s="65">
        <v>73.42</v>
      </c>
      <c r="B360" s="65">
        <v>74.099999999999994</v>
      </c>
      <c r="C360" s="65">
        <v>72.89</v>
      </c>
      <c r="D360" s="65">
        <v>73.430000000000007</v>
      </c>
      <c r="E360" s="65">
        <v>3473379</v>
      </c>
      <c r="F360" s="65" t="s">
        <v>406</v>
      </c>
      <c r="G360" s="25">
        <f t="shared" si="3"/>
        <v>-1.3618412093152621E-4</v>
      </c>
    </row>
    <row r="361" spans="1:7">
      <c r="A361" s="65">
        <v>74.150000000000006</v>
      </c>
      <c r="B361" s="65">
        <v>74.739999999999995</v>
      </c>
      <c r="C361" s="65">
        <v>73.33</v>
      </c>
      <c r="D361" s="65">
        <v>73.62</v>
      </c>
      <c r="E361" s="65">
        <v>3447118</v>
      </c>
      <c r="F361" s="65" t="s">
        <v>407</v>
      </c>
      <c r="G361" s="25">
        <f t="shared" si="3"/>
        <v>7.1991306710132985E-3</v>
      </c>
    </row>
    <row r="362" spans="1:7">
      <c r="A362" s="65">
        <v>73.64</v>
      </c>
      <c r="B362" s="65">
        <v>74.44</v>
      </c>
      <c r="C362" s="65">
        <v>73.41</v>
      </c>
      <c r="D362" s="65">
        <v>73.73</v>
      </c>
      <c r="E362" s="65">
        <v>3093941</v>
      </c>
      <c r="F362" s="65" t="s">
        <v>408</v>
      </c>
      <c r="G362" s="25">
        <f t="shared" si="3"/>
        <v>-1.2206700122067149E-3</v>
      </c>
    </row>
    <row r="363" spans="1:7">
      <c r="A363" s="65">
        <v>73.540000000000006</v>
      </c>
      <c r="B363" s="65">
        <v>74.33</v>
      </c>
      <c r="C363" s="65">
        <v>73.180000000000007</v>
      </c>
      <c r="D363" s="65">
        <v>74</v>
      </c>
      <c r="E363" s="65">
        <v>4102477</v>
      </c>
      <c r="F363" s="65" t="s">
        <v>409</v>
      </c>
      <c r="G363" s="25">
        <f t="shared" si="3"/>
        <v>-6.2162162162161527E-3</v>
      </c>
    </row>
    <row r="364" spans="1:7">
      <c r="A364" s="65">
        <v>73.91</v>
      </c>
      <c r="B364" s="65">
        <v>74</v>
      </c>
      <c r="C364" s="65">
        <v>72.150000000000006</v>
      </c>
      <c r="D364" s="65">
        <v>72.81</v>
      </c>
      <c r="E364" s="65">
        <v>3997406</v>
      </c>
      <c r="F364" s="65" t="s">
        <v>410</v>
      </c>
      <c r="G364" s="25">
        <f t="shared" si="3"/>
        <v>1.5107814860596092E-2</v>
      </c>
    </row>
    <row r="365" spans="1:7">
      <c r="A365" s="65">
        <v>72.59</v>
      </c>
      <c r="B365" s="65">
        <v>74.5</v>
      </c>
      <c r="C365" s="65">
        <v>71.97</v>
      </c>
      <c r="D365" s="65">
        <v>74.31</v>
      </c>
      <c r="E365" s="65">
        <v>5547884</v>
      </c>
      <c r="F365" s="65" t="s">
        <v>411</v>
      </c>
      <c r="G365" s="25">
        <f t="shared" si="3"/>
        <v>-2.314627910106315E-2</v>
      </c>
    </row>
    <row r="366" spans="1:7">
      <c r="A366" s="65">
        <v>74.03</v>
      </c>
      <c r="B366" s="65">
        <v>75.36</v>
      </c>
      <c r="C366" s="65">
        <v>73.819999999999993</v>
      </c>
      <c r="D366" s="65">
        <v>74.66</v>
      </c>
      <c r="E366" s="65">
        <v>2722136</v>
      </c>
      <c r="F366" s="65" t="s">
        <v>412</v>
      </c>
      <c r="G366" s="25">
        <f t="shared" si="3"/>
        <v>-8.4382534154834321E-3</v>
      </c>
    </row>
    <row r="367" spans="1:7">
      <c r="A367" s="65">
        <v>74.239999999999995</v>
      </c>
      <c r="B367" s="65">
        <v>75.349999999999994</v>
      </c>
      <c r="C367" s="65">
        <v>74.076800000000006</v>
      </c>
      <c r="D367" s="65">
        <v>74.67</v>
      </c>
      <c r="E367" s="65">
        <v>2414104</v>
      </c>
      <c r="F367" s="65" t="s">
        <v>413</v>
      </c>
      <c r="G367" s="25">
        <f t="shared" si="3"/>
        <v>-5.7586714878801182E-3</v>
      </c>
    </row>
    <row r="368" spans="1:7">
      <c r="A368" s="65">
        <v>75.650000000000006</v>
      </c>
      <c r="B368" s="65">
        <v>76.23</v>
      </c>
      <c r="C368" s="65">
        <v>75.11</v>
      </c>
      <c r="D368" s="65">
        <v>75.290000000000006</v>
      </c>
      <c r="E368" s="65">
        <v>6102806</v>
      </c>
      <c r="F368" s="65" t="s">
        <v>414</v>
      </c>
      <c r="G368" s="25">
        <f t="shared" si="3"/>
        <v>4.7815114889095955E-3</v>
      </c>
    </row>
    <row r="369" spans="1:7">
      <c r="A369" s="65">
        <v>75.92</v>
      </c>
      <c r="B369" s="65">
        <v>75.95</v>
      </c>
      <c r="C369" s="65">
        <v>74.921800000000005</v>
      </c>
      <c r="D369" s="65">
        <v>75</v>
      </c>
      <c r="E369" s="65">
        <v>3146818</v>
      </c>
      <c r="F369" s="65" t="s">
        <v>415</v>
      </c>
      <c r="G369" s="25">
        <f t="shared" si="3"/>
        <v>1.2266666666666648E-2</v>
      </c>
    </row>
    <row r="370" spans="1:7">
      <c r="A370" s="65">
        <v>75.38</v>
      </c>
      <c r="B370" s="65">
        <v>75.38</v>
      </c>
      <c r="C370" s="65">
        <v>74.430000000000007</v>
      </c>
      <c r="D370" s="65">
        <v>74.930000000000007</v>
      </c>
      <c r="E370" s="65">
        <v>1687362</v>
      </c>
      <c r="F370" s="65" t="s">
        <v>416</v>
      </c>
      <c r="G370" s="25">
        <f t="shared" si="3"/>
        <v>6.0056052315493602E-3</v>
      </c>
    </row>
    <row r="371" spans="1:7">
      <c r="A371" s="65">
        <v>74.81</v>
      </c>
      <c r="B371" s="65">
        <v>74.900000000000006</v>
      </c>
      <c r="C371" s="65">
        <v>73.435000000000002</v>
      </c>
      <c r="D371" s="65">
        <v>74.459999999999994</v>
      </c>
      <c r="E371" s="65">
        <v>4228782</v>
      </c>
      <c r="F371" s="65" t="s">
        <v>417</v>
      </c>
      <c r="G371" s="25">
        <f t="shared" si="3"/>
        <v>4.7005103411228433E-3</v>
      </c>
    </row>
    <row r="372" spans="1:7">
      <c r="A372" s="65">
        <v>74.81</v>
      </c>
      <c r="B372" s="65">
        <v>75.27</v>
      </c>
      <c r="C372" s="65">
        <v>72.97</v>
      </c>
      <c r="D372" s="65">
        <v>73.3</v>
      </c>
      <c r="E372" s="65">
        <v>14210482</v>
      </c>
      <c r="F372" s="65" t="s">
        <v>418</v>
      </c>
      <c r="G372" s="25">
        <f t="shared" si="3"/>
        <v>2.0600272851296175E-2</v>
      </c>
    </row>
    <row r="373" spans="1:7">
      <c r="A373" s="65">
        <v>73.930000000000007</v>
      </c>
      <c r="B373" s="65">
        <v>74</v>
      </c>
      <c r="C373" s="65">
        <v>72.290000000000006</v>
      </c>
      <c r="D373" s="65">
        <v>72.900000000000006</v>
      </c>
      <c r="E373" s="65">
        <v>8719293</v>
      </c>
      <c r="F373" s="65" t="s">
        <v>419</v>
      </c>
      <c r="G373" s="25">
        <f t="shared" si="3"/>
        <v>1.4128943758573431E-2</v>
      </c>
    </row>
    <row r="374" spans="1:7">
      <c r="A374" s="65">
        <v>72.81</v>
      </c>
      <c r="B374" s="65">
        <v>74.31</v>
      </c>
      <c r="C374" s="65">
        <v>72.61</v>
      </c>
      <c r="D374" s="65">
        <v>73.849999999999994</v>
      </c>
      <c r="E374" s="65">
        <v>7721021</v>
      </c>
      <c r="F374" s="65" t="s">
        <v>420</v>
      </c>
      <c r="G374" s="25">
        <f t="shared" si="3"/>
        <v>-1.4082599864590262E-2</v>
      </c>
    </row>
    <row r="375" spans="1:7">
      <c r="A375" s="65">
        <v>74.12</v>
      </c>
      <c r="B375" s="65">
        <v>74.38</v>
      </c>
      <c r="C375" s="65">
        <v>73.400000000000006</v>
      </c>
      <c r="D375" s="65">
        <v>73.5</v>
      </c>
      <c r="E375" s="65">
        <v>7070144</v>
      </c>
      <c r="F375" s="65" t="s">
        <v>421</v>
      </c>
      <c r="G375" s="25">
        <f t="shared" si="3"/>
        <v>8.4353741496598911E-3</v>
      </c>
    </row>
    <row r="376" spans="1:7">
      <c r="A376" s="65">
        <v>73.91</v>
      </c>
      <c r="B376" s="65">
        <v>74.575000000000003</v>
      </c>
      <c r="C376" s="65">
        <v>72.91</v>
      </c>
      <c r="D376" s="65">
        <v>74.13</v>
      </c>
      <c r="E376" s="65">
        <v>5992937</v>
      </c>
      <c r="F376" s="65" t="s">
        <v>422</v>
      </c>
      <c r="G376" s="25">
        <f t="shared" si="3"/>
        <v>-2.9677593416970183E-3</v>
      </c>
    </row>
    <row r="377" spans="1:7">
      <c r="A377" s="65">
        <v>73.319999999999993</v>
      </c>
      <c r="B377" s="65">
        <v>74.28</v>
      </c>
      <c r="C377" s="65">
        <v>72.489999999999995</v>
      </c>
      <c r="D377" s="65">
        <v>73.91</v>
      </c>
      <c r="E377" s="65">
        <v>3092539</v>
      </c>
      <c r="F377" s="65" t="s">
        <v>423</v>
      </c>
      <c r="G377" s="25">
        <f t="shared" si="3"/>
        <v>-7.9826816398322897E-3</v>
      </c>
    </row>
    <row r="378" spans="1:7">
      <c r="A378" s="65">
        <v>73.97</v>
      </c>
      <c r="B378" s="65">
        <v>74.790000000000006</v>
      </c>
      <c r="C378" s="65">
        <v>73.010000000000005</v>
      </c>
      <c r="D378" s="65">
        <v>73.27</v>
      </c>
      <c r="E378" s="65">
        <v>3852282</v>
      </c>
      <c r="F378" s="65" t="s">
        <v>424</v>
      </c>
      <c r="G378" s="25">
        <f t="shared" si="3"/>
        <v>9.5537054729084581E-3</v>
      </c>
    </row>
    <row r="379" spans="1:7">
      <c r="A379" s="65">
        <v>73.81</v>
      </c>
      <c r="B379" s="65">
        <v>74.31</v>
      </c>
      <c r="C379" s="65">
        <v>72.900000000000006</v>
      </c>
      <c r="D379" s="65">
        <v>73.2</v>
      </c>
      <c r="E379" s="65">
        <v>3593943</v>
      </c>
      <c r="F379" s="65" t="s">
        <v>425</v>
      </c>
      <c r="G379" s="25">
        <f t="shared" si="3"/>
        <v>8.3333333333333037E-3</v>
      </c>
    </row>
    <row r="380" spans="1:7">
      <c r="A380" s="65">
        <v>73.39</v>
      </c>
      <c r="B380" s="65">
        <v>74.16</v>
      </c>
      <c r="C380" s="65">
        <v>71.06</v>
      </c>
      <c r="D380" s="65">
        <v>71.215000000000003</v>
      </c>
      <c r="E380" s="65">
        <v>7313520</v>
      </c>
      <c r="F380" s="65" t="s">
        <v>426</v>
      </c>
      <c r="G380" s="25">
        <f t="shared" ref="G380:G443" si="4">A380/D380-1</f>
        <v>3.0541318542441909E-2</v>
      </c>
    </row>
    <row r="381" spans="1:7">
      <c r="A381" s="65">
        <v>70.900000000000006</v>
      </c>
      <c r="B381" s="65">
        <v>72.5</v>
      </c>
      <c r="C381" s="65">
        <v>70.59</v>
      </c>
      <c r="D381" s="65">
        <v>71.599999999999994</v>
      </c>
      <c r="E381" s="65">
        <v>4145577</v>
      </c>
      <c r="F381" s="65" t="s">
        <v>427</v>
      </c>
      <c r="G381" s="25">
        <f t="shared" si="4"/>
        <v>-9.7765363128490268E-3</v>
      </c>
    </row>
    <row r="382" spans="1:7">
      <c r="A382" s="65">
        <v>71.53</v>
      </c>
      <c r="B382" s="65">
        <v>73.739999999999995</v>
      </c>
      <c r="C382" s="65">
        <v>71.52</v>
      </c>
      <c r="D382" s="65">
        <v>72.709999999999994</v>
      </c>
      <c r="E382" s="65">
        <v>3667095</v>
      </c>
      <c r="F382" s="65" t="s">
        <v>428</v>
      </c>
      <c r="G382" s="25">
        <f t="shared" si="4"/>
        <v>-1.6228854352908662E-2</v>
      </c>
    </row>
    <row r="383" spans="1:7">
      <c r="A383" s="65">
        <v>72.430000000000007</v>
      </c>
      <c r="B383" s="65">
        <v>74.36</v>
      </c>
      <c r="C383" s="65">
        <v>71.900300000000001</v>
      </c>
      <c r="D383" s="65">
        <v>73.41</v>
      </c>
      <c r="E383" s="65">
        <v>4559520</v>
      </c>
      <c r="F383" s="65" t="s">
        <v>429</v>
      </c>
      <c r="G383" s="25">
        <f t="shared" si="4"/>
        <v>-1.3349679880125143E-2</v>
      </c>
    </row>
    <row r="384" spans="1:7">
      <c r="A384" s="65">
        <v>74.2</v>
      </c>
      <c r="B384" s="65">
        <v>74.680000000000007</v>
      </c>
      <c r="C384" s="65">
        <v>71.66</v>
      </c>
      <c r="D384" s="65">
        <v>72.010000000000005</v>
      </c>
      <c r="E384" s="65">
        <v>6702450</v>
      </c>
      <c r="F384" s="65" t="s">
        <v>430</v>
      </c>
      <c r="G384" s="25">
        <f t="shared" si="4"/>
        <v>3.041244271628929E-2</v>
      </c>
    </row>
    <row r="385" spans="1:7">
      <c r="A385" s="65">
        <v>70.2</v>
      </c>
      <c r="B385" s="65">
        <v>70.569999999999993</v>
      </c>
      <c r="C385" s="65">
        <v>69.599999999999994</v>
      </c>
      <c r="D385" s="65">
        <v>70.510000000000005</v>
      </c>
      <c r="E385" s="65">
        <v>5808909</v>
      </c>
      <c r="F385" s="65" t="s">
        <v>431</v>
      </c>
      <c r="G385" s="25">
        <f t="shared" si="4"/>
        <v>-4.3965394979436079E-3</v>
      </c>
    </row>
    <row r="386" spans="1:7">
      <c r="A386" s="65">
        <v>70.53</v>
      </c>
      <c r="B386" s="65">
        <v>70.53</v>
      </c>
      <c r="C386" s="65">
        <v>69.349999999999994</v>
      </c>
      <c r="D386" s="65">
        <v>70.27</v>
      </c>
      <c r="E386" s="65">
        <v>6509833</v>
      </c>
      <c r="F386" s="65" t="s">
        <v>432</v>
      </c>
      <c r="G386" s="25">
        <f t="shared" si="4"/>
        <v>3.7000142308241113E-3</v>
      </c>
    </row>
    <row r="387" spans="1:7">
      <c r="A387" s="65">
        <v>71.349999999999994</v>
      </c>
      <c r="B387" s="65">
        <v>71.709999999999994</v>
      </c>
      <c r="C387" s="65">
        <v>70.23</v>
      </c>
      <c r="D387" s="65">
        <v>71.569999999999993</v>
      </c>
      <c r="E387" s="65">
        <v>2125966</v>
      </c>
      <c r="F387" s="65" t="s">
        <v>433</v>
      </c>
      <c r="G387" s="25">
        <f t="shared" si="4"/>
        <v>-3.073913650971094E-3</v>
      </c>
    </row>
    <row r="388" spans="1:7">
      <c r="A388" s="65">
        <v>72.069999999999993</v>
      </c>
      <c r="B388" s="65">
        <v>72.63</v>
      </c>
      <c r="C388" s="65">
        <v>71.319999999999993</v>
      </c>
      <c r="D388" s="65">
        <v>71.319999999999993</v>
      </c>
      <c r="E388" s="65">
        <v>2753319</v>
      </c>
      <c r="F388" s="65" t="s">
        <v>434</v>
      </c>
      <c r="G388" s="25">
        <f t="shared" si="4"/>
        <v>1.051598429613021E-2</v>
      </c>
    </row>
    <row r="389" spans="1:7">
      <c r="A389" s="65">
        <v>71.55</v>
      </c>
      <c r="B389" s="65">
        <v>72.44</v>
      </c>
      <c r="C389" s="65">
        <v>70.760000000000005</v>
      </c>
      <c r="D389" s="65">
        <v>71.5</v>
      </c>
      <c r="E389" s="65">
        <v>4643385</v>
      </c>
      <c r="F389" s="65" t="s">
        <v>435</v>
      </c>
      <c r="G389" s="25">
        <f t="shared" si="4"/>
        <v>6.993006993005757E-4</v>
      </c>
    </row>
    <row r="390" spans="1:7">
      <c r="A390" s="65">
        <v>71.27</v>
      </c>
      <c r="B390" s="65">
        <v>71.41</v>
      </c>
      <c r="C390" s="65">
        <v>70.144999999999996</v>
      </c>
      <c r="D390" s="65">
        <v>71</v>
      </c>
      <c r="E390" s="65">
        <v>6645758</v>
      </c>
      <c r="F390" s="65" t="s">
        <v>436</v>
      </c>
      <c r="G390" s="25">
        <f t="shared" si="4"/>
        <v>3.802816901408379E-3</v>
      </c>
    </row>
    <row r="391" spans="1:7">
      <c r="A391" s="65">
        <v>70.48</v>
      </c>
      <c r="B391" s="65">
        <v>71</v>
      </c>
      <c r="C391" s="65">
        <v>69.959999999999994</v>
      </c>
      <c r="D391" s="65">
        <v>70.31</v>
      </c>
      <c r="E391" s="65">
        <v>2711639</v>
      </c>
      <c r="F391" s="65" t="s">
        <v>437</v>
      </c>
      <c r="G391" s="25">
        <f t="shared" si="4"/>
        <v>2.4178637462666241E-3</v>
      </c>
    </row>
    <row r="392" spans="1:7">
      <c r="A392" s="65">
        <v>70.38</v>
      </c>
      <c r="B392" s="65">
        <v>70.88</v>
      </c>
      <c r="C392" s="65">
        <v>69.16</v>
      </c>
      <c r="D392" s="65">
        <v>69.650000000000006</v>
      </c>
      <c r="E392" s="65">
        <v>3734694</v>
      </c>
      <c r="F392" s="65" t="s">
        <v>438</v>
      </c>
      <c r="G392" s="25">
        <f t="shared" si="4"/>
        <v>1.0480976310121903E-2</v>
      </c>
    </row>
    <row r="393" spans="1:7">
      <c r="A393" s="65">
        <v>69.540000000000006</v>
      </c>
      <c r="B393" s="65">
        <v>70.61</v>
      </c>
      <c r="C393" s="65">
        <v>68.45</v>
      </c>
      <c r="D393" s="65">
        <v>70.55</v>
      </c>
      <c r="E393" s="65">
        <v>4305476</v>
      </c>
      <c r="F393" s="65" t="s">
        <v>439</v>
      </c>
      <c r="G393" s="25">
        <f t="shared" si="4"/>
        <v>-1.4316087880935413E-2</v>
      </c>
    </row>
    <row r="394" spans="1:7">
      <c r="A394" s="65">
        <v>70.2</v>
      </c>
      <c r="B394" s="65">
        <v>70.260000000000005</v>
      </c>
      <c r="C394" s="65">
        <v>68.3</v>
      </c>
      <c r="D394" s="65">
        <v>69.150000000000006</v>
      </c>
      <c r="E394" s="65">
        <v>4914800</v>
      </c>
      <c r="F394" s="65" t="s">
        <v>440</v>
      </c>
      <c r="G394" s="25">
        <f t="shared" si="4"/>
        <v>1.5184381778741818E-2</v>
      </c>
    </row>
    <row r="395" spans="1:7">
      <c r="A395" s="65">
        <v>69.89</v>
      </c>
      <c r="B395" s="65">
        <v>71.08</v>
      </c>
      <c r="C395" s="65">
        <v>67.58</v>
      </c>
      <c r="D395" s="65">
        <v>67.63</v>
      </c>
      <c r="E395" s="65">
        <v>7061382</v>
      </c>
      <c r="F395" s="65" t="s">
        <v>441</v>
      </c>
      <c r="G395" s="25">
        <f t="shared" si="4"/>
        <v>3.3417122578737413E-2</v>
      </c>
    </row>
    <row r="396" spans="1:7">
      <c r="A396" s="65">
        <v>67.760000000000005</v>
      </c>
      <c r="B396" s="65">
        <v>67.83</v>
      </c>
      <c r="C396" s="65">
        <v>65.31</v>
      </c>
      <c r="D396" s="65">
        <v>65.31</v>
      </c>
      <c r="E396" s="65">
        <v>7530072</v>
      </c>
      <c r="F396" s="65" t="s">
        <v>442</v>
      </c>
      <c r="G396" s="25">
        <f t="shared" si="4"/>
        <v>3.7513397642015001E-2</v>
      </c>
    </row>
    <row r="397" spans="1:7">
      <c r="A397" s="65">
        <v>66.16</v>
      </c>
      <c r="B397" s="65">
        <v>67.680000000000007</v>
      </c>
      <c r="C397" s="65">
        <v>65.83</v>
      </c>
      <c r="D397" s="65">
        <v>66.39</v>
      </c>
      <c r="E397" s="65">
        <v>4005607</v>
      </c>
      <c r="F397" s="65" t="s">
        <v>443</v>
      </c>
      <c r="G397" s="25">
        <f t="shared" si="4"/>
        <v>-3.4643771652358435E-3</v>
      </c>
    </row>
    <row r="398" spans="1:7">
      <c r="A398" s="65">
        <v>66.52</v>
      </c>
      <c r="B398" s="65">
        <v>66.89</v>
      </c>
      <c r="C398" s="65">
        <v>65.31</v>
      </c>
      <c r="D398" s="65">
        <v>65.819999999999993</v>
      </c>
      <c r="E398" s="65">
        <v>3655784</v>
      </c>
      <c r="F398" s="65" t="s">
        <v>444</v>
      </c>
      <c r="G398" s="25">
        <f t="shared" si="4"/>
        <v>1.0635065329687166E-2</v>
      </c>
    </row>
    <row r="399" spans="1:7">
      <c r="A399" s="65">
        <v>65.81</v>
      </c>
      <c r="B399" s="65">
        <v>66.790000000000006</v>
      </c>
      <c r="C399" s="65">
        <v>64.89</v>
      </c>
      <c r="D399" s="65">
        <v>66.5</v>
      </c>
      <c r="E399" s="65">
        <v>5087780</v>
      </c>
      <c r="F399" s="65" t="s">
        <v>445</v>
      </c>
      <c r="G399" s="25">
        <f t="shared" si="4"/>
        <v>-1.0375939849624038E-2</v>
      </c>
    </row>
    <row r="400" spans="1:7">
      <c r="A400" s="65">
        <v>66.7</v>
      </c>
      <c r="B400" s="65">
        <v>67.09</v>
      </c>
      <c r="C400" s="65">
        <v>66.349999999999994</v>
      </c>
      <c r="D400" s="65">
        <v>66.42</v>
      </c>
      <c r="E400" s="65">
        <v>5600379</v>
      </c>
      <c r="F400" s="65" t="s">
        <v>446</v>
      </c>
      <c r="G400" s="25">
        <f t="shared" si="4"/>
        <v>4.2155977115327925E-3</v>
      </c>
    </row>
    <row r="401" spans="1:7">
      <c r="A401" s="65">
        <v>66.23</v>
      </c>
      <c r="B401" s="65">
        <v>66.775000000000006</v>
      </c>
      <c r="C401" s="65">
        <v>65.48</v>
      </c>
      <c r="D401" s="65">
        <v>66.33</v>
      </c>
      <c r="E401" s="65">
        <v>3088441</v>
      </c>
      <c r="F401" s="65" t="s">
        <v>447</v>
      </c>
      <c r="G401" s="25">
        <f t="shared" si="4"/>
        <v>-1.5076134479118375E-3</v>
      </c>
    </row>
    <row r="402" spans="1:7">
      <c r="A402" s="65">
        <v>65.84</v>
      </c>
      <c r="B402" s="65">
        <v>66.33</v>
      </c>
      <c r="C402" s="65">
        <v>65.254999999999995</v>
      </c>
      <c r="D402" s="65">
        <v>66.02</v>
      </c>
      <c r="E402" s="65">
        <v>3856412</v>
      </c>
      <c r="F402" s="65" t="s">
        <v>448</v>
      </c>
      <c r="G402" s="25">
        <f t="shared" si="4"/>
        <v>-2.7264465313540098E-3</v>
      </c>
    </row>
    <row r="403" spans="1:7">
      <c r="A403" s="65">
        <v>65.75</v>
      </c>
      <c r="B403" s="65">
        <v>68.27</v>
      </c>
      <c r="C403" s="65">
        <v>65.61</v>
      </c>
      <c r="D403" s="65">
        <v>68.27</v>
      </c>
      <c r="E403" s="65">
        <v>5340541</v>
      </c>
      <c r="F403" s="65" t="s">
        <v>449</v>
      </c>
      <c r="G403" s="25">
        <f t="shared" si="4"/>
        <v>-3.6912260143547648E-2</v>
      </c>
    </row>
    <row r="404" spans="1:7">
      <c r="A404" s="65">
        <v>66.69</v>
      </c>
      <c r="B404" s="65">
        <v>66.72</v>
      </c>
      <c r="C404" s="65">
        <v>65.510000000000005</v>
      </c>
      <c r="D404" s="65">
        <v>66.17</v>
      </c>
      <c r="E404" s="65">
        <v>3822121</v>
      </c>
      <c r="F404" s="65" t="s">
        <v>450</v>
      </c>
      <c r="G404" s="25">
        <f t="shared" si="4"/>
        <v>7.8585461689586467E-3</v>
      </c>
    </row>
    <row r="405" spans="1:7">
      <c r="A405" s="65">
        <v>66.47</v>
      </c>
      <c r="B405" s="65">
        <v>67.84</v>
      </c>
      <c r="C405" s="65">
        <v>66.180000000000007</v>
      </c>
      <c r="D405" s="65">
        <v>67.62</v>
      </c>
      <c r="E405" s="65">
        <v>3970717</v>
      </c>
      <c r="F405" s="65" t="s">
        <v>451</v>
      </c>
      <c r="G405" s="25">
        <f t="shared" si="4"/>
        <v>-1.7006802721088565E-2</v>
      </c>
    </row>
    <row r="406" spans="1:7">
      <c r="A406" s="65">
        <v>67.540000000000006</v>
      </c>
      <c r="B406" s="65">
        <v>68.584999999999994</v>
      </c>
      <c r="C406" s="65">
        <v>66.67</v>
      </c>
      <c r="D406" s="65">
        <v>67.16</v>
      </c>
      <c r="E406" s="65">
        <v>4040810</v>
      </c>
      <c r="F406" s="65" t="s">
        <v>452</v>
      </c>
      <c r="G406" s="25">
        <f t="shared" si="4"/>
        <v>5.658129839190229E-3</v>
      </c>
    </row>
    <row r="407" spans="1:7">
      <c r="A407" s="65">
        <v>67.010000000000005</v>
      </c>
      <c r="B407" s="65">
        <v>68.37</v>
      </c>
      <c r="C407" s="65">
        <v>67</v>
      </c>
      <c r="D407" s="65">
        <v>68.37</v>
      </c>
      <c r="E407" s="65">
        <v>6307344</v>
      </c>
      <c r="F407" s="65" t="s">
        <v>453</v>
      </c>
      <c r="G407" s="25">
        <f t="shared" si="4"/>
        <v>-1.9891765394178695E-2</v>
      </c>
    </row>
    <row r="408" spans="1:7">
      <c r="A408" s="65">
        <v>68.63</v>
      </c>
      <c r="B408" s="65">
        <v>70.650000000000006</v>
      </c>
      <c r="C408" s="65">
        <v>66.150000000000006</v>
      </c>
      <c r="D408" s="65">
        <v>68.52</v>
      </c>
      <c r="E408" s="65">
        <v>8123866</v>
      </c>
      <c r="F408" s="65" t="s">
        <v>454</v>
      </c>
      <c r="G408" s="25">
        <f t="shared" si="4"/>
        <v>1.6053706946876911E-3</v>
      </c>
    </row>
    <row r="409" spans="1:7">
      <c r="A409" s="65">
        <v>69.37</v>
      </c>
      <c r="B409" s="65">
        <v>71.094999999999999</v>
      </c>
      <c r="C409" s="65">
        <v>68.59</v>
      </c>
      <c r="D409" s="65">
        <v>68.63</v>
      </c>
      <c r="E409" s="65">
        <v>6297531</v>
      </c>
      <c r="F409" s="65" t="s">
        <v>455</v>
      </c>
      <c r="G409" s="25">
        <f t="shared" si="4"/>
        <v>1.0782456651610151E-2</v>
      </c>
    </row>
    <row r="410" spans="1:7">
      <c r="A410" s="65">
        <v>68.52</v>
      </c>
      <c r="B410" s="65">
        <v>72.150000000000006</v>
      </c>
      <c r="C410" s="65">
        <v>66.930000000000007</v>
      </c>
      <c r="D410" s="65">
        <v>70</v>
      </c>
      <c r="E410" s="65">
        <v>8899637</v>
      </c>
      <c r="F410" s="65" t="s">
        <v>456</v>
      </c>
      <c r="G410" s="25">
        <f t="shared" si="4"/>
        <v>-2.1142857142857241E-2</v>
      </c>
    </row>
    <row r="411" spans="1:7">
      <c r="A411" s="65">
        <v>69.38</v>
      </c>
      <c r="B411" s="65">
        <v>70.489999999999995</v>
      </c>
      <c r="C411" s="65">
        <v>68.069999999999993</v>
      </c>
      <c r="D411" s="65">
        <v>68.88</v>
      </c>
      <c r="E411" s="65">
        <v>8171703</v>
      </c>
      <c r="F411" s="65" t="s">
        <v>457</v>
      </c>
      <c r="G411" s="25">
        <f t="shared" si="4"/>
        <v>7.2590011614401817E-3</v>
      </c>
    </row>
    <row r="412" spans="1:7">
      <c r="A412" s="65">
        <v>70.349999999999994</v>
      </c>
      <c r="B412" s="65">
        <v>71.58</v>
      </c>
      <c r="C412" s="65">
        <v>70.150000000000006</v>
      </c>
      <c r="D412" s="65">
        <v>71</v>
      </c>
      <c r="E412" s="65">
        <v>6742230</v>
      </c>
      <c r="F412" s="65" t="s">
        <v>458</v>
      </c>
      <c r="G412" s="25">
        <f t="shared" si="4"/>
        <v>-9.1549295774648876E-3</v>
      </c>
    </row>
    <row r="413" spans="1:7">
      <c r="A413" s="65">
        <v>70.61</v>
      </c>
      <c r="B413" s="65">
        <v>70.680000000000007</v>
      </c>
      <c r="C413" s="65">
        <v>68.87</v>
      </c>
      <c r="D413" s="65">
        <v>68.87</v>
      </c>
      <c r="E413" s="65">
        <v>5360174</v>
      </c>
      <c r="F413" s="65" t="s">
        <v>459</v>
      </c>
      <c r="G413" s="25">
        <f t="shared" si="4"/>
        <v>2.5264992013939169E-2</v>
      </c>
    </row>
    <row r="414" spans="1:7">
      <c r="A414" s="65">
        <v>69.239999999999995</v>
      </c>
      <c r="B414" s="65">
        <v>70.004999999999995</v>
      </c>
      <c r="C414" s="65">
        <v>69.14</v>
      </c>
      <c r="D414" s="65">
        <v>69.89</v>
      </c>
      <c r="E414" s="65">
        <v>3338971</v>
      </c>
      <c r="F414" s="65" t="s">
        <v>460</v>
      </c>
      <c r="G414" s="25">
        <f t="shared" si="4"/>
        <v>-9.3003290885678158E-3</v>
      </c>
    </row>
    <row r="415" spans="1:7">
      <c r="A415" s="65">
        <v>70.05</v>
      </c>
      <c r="B415" s="65">
        <v>70.239999999999995</v>
      </c>
      <c r="C415" s="65">
        <v>69.150000000000006</v>
      </c>
      <c r="D415" s="65">
        <v>70</v>
      </c>
      <c r="E415" s="65">
        <v>3842990</v>
      </c>
      <c r="F415" s="65" t="s">
        <v>461</v>
      </c>
      <c r="G415" s="25">
        <f t="shared" si="4"/>
        <v>7.1428571428566734E-4</v>
      </c>
    </row>
    <row r="416" spans="1:7">
      <c r="A416" s="65">
        <v>70.27</v>
      </c>
      <c r="B416" s="65">
        <v>70.42</v>
      </c>
      <c r="C416" s="65">
        <v>68.59</v>
      </c>
      <c r="D416" s="65">
        <v>68.84</v>
      </c>
      <c r="E416" s="65">
        <v>5424803</v>
      </c>
      <c r="F416" s="65" t="s">
        <v>462</v>
      </c>
      <c r="G416" s="25">
        <f t="shared" si="4"/>
        <v>2.0772806507844077E-2</v>
      </c>
    </row>
    <row r="417" spans="1:7">
      <c r="A417" s="65">
        <v>68.47</v>
      </c>
      <c r="B417" s="65">
        <v>69.150000000000006</v>
      </c>
      <c r="C417" s="65">
        <v>68.19</v>
      </c>
      <c r="D417" s="65">
        <v>68.8</v>
      </c>
      <c r="E417" s="65">
        <v>2989738</v>
      </c>
      <c r="F417" s="65" t="s">
        <v>463</v>
      </c>
      <c r="G417" s="25">
        <f t="shared" si="4"/>
        <v>-4.796511627906952E-3</v>
      </c>
    </row>
    <row r="418" spans="1:7">
      <c r="A418" s="65">
        <v>68.3</v>
      </c>
      <c r="B418" s="65">
        <v>68.73</v>
      </c>
      <c r="C418" s="65">
        <v>67.650000000000006</v>
      </c>
      <c r="D418" s="65">
        <v>68.73</v>
      </c>
      <c r="E418" s="65">
        <v>3786253</v>
      </c>
      <c r="F418" s="65" t="s">
        <v>464</v>
      </c>
      <c r="G418" s="25">
        <f t="shared" si="4"/>
        <v>-6.2563654881421238E-3</v>
      </c>
    </row>
    <row r="419" spans="1:7">
      <c r="A419" s="65">
        <v>68.900000000000006</v>
      </c>
      <c r="B419" s="65">
        <v>69.8</v>
      </c>
      <c r="C419" s="65">
        <v>68.765000000000001</v>
      </c>
      <c r="D419" s="65">
        <v>69.47</v>
      </c>
      <c r="E419" s="65">
        <v>4023846</v>
      </c>
      <c r="F419" s="65" t="s">
        <v>465</v>
      </c>
      <c r="G419" s="25">
        <f t="shared" si="4"/>
        <v>-8.2049805671512432E-3</v>
      </c>
    </row>
    <row r="420" spans="1:7">
      <c r="A420" s="65">
        <v>69.63</v>
      </c>
      <c r="B420" s="65">
        <v>69.790000000000006</v>
      </c>
      <c r="C420" s="65">
        <v>68.37</v>
      </c>
      <c r="D420" s="65">
        <v>68.709999999999994</v>
      </c>
      <c r="E420" s="65">
        <v>5919523</v>
      </c>
      <c r="F420" s="65" t="s">
        <v>466</v>
      </c>
      <c r="G420" s="25">
        <f t="shared" si="4"/>
        <v>1.3389608499490668E-2</v>
      </c>
    </row>
    <row r="421" spans="1:7">
      <c r="A421" s="65">
        <v>68.13</v>
      </c>
      <c r="B421" s="65">
        <v>69.64</v>
      </c>
      <c r="C421" s="65">
        <v>67.959999999999994</v>
      </c>
      <c r="D421" s="65">
        <v>68.44</v>
      </c>
      <c r="E421" s="65">
        <v>4185884</v>
      </c>
      <c r="F421" s="65" t="s">
        <v>467</v>
      </c>
      <c r="G421" s="25">
        <f t="shared" si="4"/>
        <v>-4.5295149035652349E-3</v>
      </c>
    </row>
    <row r="422" spans="1:7">
      <c r="A422" s="65">
        <v>68.260000000000005</v>
      </c>
      <c r="B422" s="65">
        <v>68.52</v>
      </c>
      <c r="C422" s="65">
        <v>67.59</v>
      </c>
      <c r="D422" s="65">
        <v>67.650000000000006</v>
      </c>
      <c r="E422" s="65">
        <v>2873015</v>
      </c>
      <c r="F422" s="65" t="s">
        <v>468</v>
      </c>
      <c r="G422" s="25">
        <f t="shared" si="4"/>
        <v>9.0169992609017147E-3</v>
      </c>
    </row>
    <row r="423" spans="1:7">
      <c r="A423" s="65">
        <v>68.02</v>
      </c>
      <c r="B423" s="65">
        <v>69.02</v>
      </c>
      <c r="C423" s="65">
        <v>67.745000000000005</v>
      </c>
      <c r="D423" s="65">
        <v>68.72</v>
      </c>
      <c r="E423" s="65">
        <v>4744178</v>
      </c>
      <c r="F423" s="65" t="s">
        <v>469</v>
      </c>
      <c r="G423" s="25">
        <f t="shared" si="4"/>
        <v>-1.0186263096624071E-2</v>
      </c>
    </row>
    <row r="424" spans="1:7">
      <c r="A424" s="65">
        <v>68.540000000000006</v>
      </c>
      <c r="B424" s="65">
        <v>68.89</v>
      </c>
      <c r="C424" s="65">
        <v>64.510000000000005</v>
      </c>
      <c r="D424" s="65">
        <v>64.819999999999993</v>
      </c>
      <c r="E424" s="65">
        <v>10542219</v>
      </c>
      <c r="F424" s="65" t="s">
        <v>470</v>
      </c>
      <c r="G424" s="25">
        <f t="shared" si="4"/>
        <v>5.7389694538722891E-2</v>
      </c>
    </row>
    <row r="425" spans="1:7">
      <c r="A425" s="65">
        <v>64.540000000000006</v>
      </c>
      <c r="B425" s="65">
        <v>65.19</v>
      </c>
      <c r="C425" s="65">
        <v>64.004999999999995</v>
      </c>
      <c r="D425" s="65">
        <v>65.05</v>
      </c>
      <c r="E425" s="65">
        <v>3567229</v>
      </c>
      <c r="F425" s="65" t="s">
        <v>471</v>
      </c>
      <c r="G425" s="25">
        <f t="shared" si="4"/>
        <v>-7.8401229823211738E-3</v>
      </c>
    </row>
    <row r="426" spans="1:7">
      <c r="A426" s="65">
        <v>65.489999999999995</v>
      </c>
      <c r="B426" s="65">
        <v>65.834999999999994</v>
      </c>
      <c r="C426" s="65">
        <v>64.05</v>
      </c>
      <c r="D426" s="65">
        <v>65.790000000000006</v>
      </c>
      <c r="E426" s="65">
        <v>5959707</v>
      </c>
      <c r="F426" s="65" t="s">
        <v>472</v>
      </c>
      <c r="G426" s="25">
        <f t="shared" si="4"/>
        <v>-4.5599635202919764E-3</v>
      </c>
    </row>
    <row r="427" spans="1:7">
      <c r="A427" s="65">
        <v>65.37</v>
      </c>
      <c r="B427" s="65">
        <v>66.040000000000006</v>
      </c>
      <c r="C427" s="65">
        <v>64.08</v>
      </c>
      <c r="D427" s="65">
        <v>64.86</v>
      </c>
      <c r="E427" s="65">
        <v>6050063</v>
      </c>
      <c r="F427" s="65" t="s">
        <v>473</v>
      </c>
      <c r="G427" s="25">
        <f t="shared" si="4"/>
        <v>7.8630897317299997E-3</v>
      </c>
    </row>
    <row r="428" spans="1:7">
      <c r="A428" s="65">
        <v>65.150000000000006</v>
      </c>
      <c r="B428" s="65">
        <v>65.77</v>
      </c>
      <c r="C428" s="65">
        <v>64.56</v>
      </c>
      <c r="D428" s="65">
        <v>64.91</v>
      </c>
      <c r="E428" s="65">
        <v>10919083</v>
      </c>
      <c r="F428" s="65" t="s">
        <v>474</v>
      </c>
      <c r="G428" s="25">
        <f t="shared" si="4"/>
        <v>3.6974272069019154E-3</v>
      </c>
    </row>
    <row r="429" spans="1:7">
      <c r="A429" s="65">
        <v>65.099999999999994</v>
      </c>
      <c r="B429" s="65">
        <v>66.319999999999993</v>
      </c>
      <c r="C429" s="65">
        <v>64.989999999999995</v>
      </c>
      <c r="D429" s="65">
        <v>66.08</v>
      </c>
      <c r="E429" s="65">
        <v>5786724</v>
      </c>
      <c r="F429" s="65" t="s">
        <v>475</v>
      </c>
      <c r="G429" s="25">
        <f t="shared" si="4"/>
        <v>-1.4830508474576343E-2</v>
      </c>
    </row>
    <row r="430" spans="1:7">
      <c r="A430" s="65">
        <v>65.989999999999995</v>
      </c>
      <c r="B430" s="65">
        <v>66.75</v>
      </c>
      <c r="C430" s="65">
        <v>65.2</v>
      </c>
      <c r="D430" s="65">
        <v>66.180000000000007</v>
      </c>
      <c r="E430" s="65">
        <v>7310898</v>
      </c>
      <c r="F430" s="65" t="s">
        <v>476</v>
      </c>
      <c r="G430" s="25">
        <f t="shared" si="4"/>
        <v>-2.870957993351686E-3</v>
      </c>
    </row>
    <row r="431" spans="1:7">
      <c r="A431" s="65">
        <v>66.58</v>
      </c>
      <c r="B431" s="65">
        <v>67.319999999999993</v>
      </c>
      <c r="C431" s="65">
        <v>65.849999999999994</v>
      </c>
      <c r="D431" s="65">
        <v>66.2</v>
      </c>
      <c r="E431" s="65">
        <v>5167078</v>
      </c>
      <c r="F431" s="65" t="s">
        <v>477</v>
      </c>
      <c r="G431" s="25">
        <f t="shared" si="4"/>
        <v>5.7401812688822051E-3</v>
      </c>
    </row>
    <row r="432" spans="1:7">
      <c r="A432" s="65">
        <v>65.77</v>
      </c>
      <c r="B432" s="65">
        <v>66</v>
      </c>
      <c r="C432" s="65">
        <v>64.540000000000006</v>
      </c>
      <c r="D432" s="65">
        <v>65.959999999999994</v>
      </c>
      <c r="E432" s="65">
        <v>11259604</v>
      </c>
      <c r="F432" s="65" t="s">
        <v>478</v>
      </c>
      <c r="G432" s="25">
        <f t="shared" si="4"/>
        <v>-2.8805336567616635E-3</v>
      </c>
    </row>
    <row r="433" spans="1:7">
      <c r="A433" s="65">
        <v>65.41</v>
      </c>
      <c r="B433" s="65">
        <v>66.819999999999993</v>
      </c>
      <c r="C433" s="65">
        <v>65.09</v>
      </c>
      <c r="D433" s="65">
        <v>66.510000000000005</v>
      </c>
      <c r="E433" s="65">
        <v>8737278</v>
      </c>
      <c r="F433" s="65" t="s">
        <v>479</v>
      </c>
      <c r="G433" s="25">
        <f t="shared" si="4"/>
        <v>-1.6538866335889413E-2</v>
      </c>
    </row>
    <row r="434" spans="1:7">
      <c r="A434" s="65">
        <v>66.33</v>
      </c>
      <c r="B434" s="65">
        <v>67.3</v>
      </c>
      <c r="C434" s="65">
        <v>66.14</v>
      </c>
      <c r="D434" s="65">
        <v>67.19</v>
      </c>
      <c r="E434" s="65">
        <v>6242656</v>
      </c>
      <c r="F434" s="65" t="s">
        <v>480</v>
      </c>
      <c r="G434" s="25">
        <f t="shared" si="4"/>
        <v>-1.2799523738651564E-2</v>
      </c>
    </row>
    <row r="435" spans="1:7">
      <c r="A435" s="65">
        <v>67.36</v>
      </c>
      <c r="B435" s="65">
        <v>67.77</v>
      </c>
      <c r="C435" s="65">
        <v>66.52</v>
      </c>
      <c r="D435" s="65">
        <v>66.83</v>
      </c>
      <c r="E435" s="65">
        <v>6250356</v>
      </c>
      <c r="F435" s="65" t="s">
        <v>481</v>
      </c>
      <c r="G435" s="25">
        <f t="shared" si="4"/>
        <v>7.9305701032470477E-3</v>
      </c>
    </row>
    <row r="436" spans="1:7">
      <c r="A436" s="65">
        <v>66.83</v>
      </c>
      <c r="B436" s="65">
        <v>67.67</v>
      </c>
      <c r="C436" s="65">
        <v>66.38</v>
      </c>
      <c r="D436" s="65">
        <v>66.88</v>
      </c>
      <c r="E436" s="65">
        <v>10864672</v>
      </c>
      <c r="F436" s="65" t="s">
        <v>482</v>
      </c>
      <c r="G436" s="25">
        <f t="shared" si="4"/>
        <v>-7.4760765550230257E-4</v>
      </c>
    </row>
    <row r="437" spans="1:7">
      <c r="A437" s="65">
        <v>67.260000000000005</v>
      </c>
      <c r="B437" s="65">
        <v>69.08</v>
      </c>
      <c r="C437" s="65">
        <v>67.135000000000005</v>
      </c>
      <c r="D437" s="65">
        <v>68.849999999999994</v>
      </c>
      <c r="E437" s="65">
        <v>7114378</v>
      </c>
      <c r="F437" s="65" t="s">
        <v>483</v>
      </c>
      <c r="G437" s="25">
        <f t="shared" si="4"/>
        <v>-2.3093681917211173E-2</v>
      </c>
    </row>
    <row r="438" spans="1:7">
      <c r="A438" s="65">
        <v>67.53</v>
      </c>
      <c r="B438" s="65">
        <v>68.7</v>
      </c>
      <c r="C438" s="65">
        <v>65.5</v>
      </c>
      <c r="D438" s="65">
        <v>66.95</v>
      </c>
      <c r="E438" s="65">
        <v>9585632</v>
      </c>
      <c r="F438" s="65" t="s">
        <v>484</v>
      </c>
      <c r="G438" s="25">
        <f t="shared" si="4"/>
        <v>8.6631814787154759E-3</v>
      </c>
    </row>
    <row r="439" spans="1:7">
      <c r="A439" s="65">
        <v>67.23</v>
      </c>
      <c r="B439" s="65">
        <v>71.7</v>
      </c>
      <c r="C439" s="65">
        <v>66.69</v>
      </c>
      <c r="D439" s="65">
        <v>69.11</v>
      </c>
      <c r="E439" s="65">
        <v>11849143</v>
      </c>
      <c r="F439" s="65" t="s">
        <v>485</v>
      </c>
      <c r="G439" s="25">
        <f t="shared" si="4"/>
        <v>-2.7203009694689584E-2</v>
      </c>
    </row>
    <row r="440" spans="1:7">
      <c r="A440" s="65">
        <v>69.36</v>
      </c>
      <c r="B440" s="65">
        <v>71.069999999999993</v>
      </c>
      <c r="C440" s="65">
        <v>68.64</v>
      </c>
      <c r="D440" s="65">
        <v>68.64</v>
      </c>
      <c r="E440" s="65">
        <v>8730397</v>
      </c>
      <c r="F440" s="65" t="s">
        <v>486</v>
      </c>
      <c r="G440" s="25">
        <f t="shared" si="4"/>
        <v>1.0489510489510412E-2</v>
      </c>
    </row>
    <row r="441" spans="1:7">
      <c r="A441" s="65">
        <v>68.52</v>
      </c>
      <c r="B441" s="65">
        <v>70.430000000000007</v>
      </c>
      <c r="C441" s="65">
        <v>67.72</v>
      </c>
      <c r="D441" s="65">
        <v>68.040000000000006</v>
      </c>
      <c r="E441" s="65">
        <v>11862886</v>
      </c>
      <c r="F441" s="65" t="s">
        <v>487</v>
      </c>
      <c r="G441" s="25">
        <f t="shared" si="4"/>
        <v>7.0546737213401656E-3</v>
      </c>
    </row>
    <row r="442" spans="1:7">
      <c r="A442" s="65">
        <v>68.13</v>
      </c>
      <c r="B442" s="65">
        <v>68.424999999999997</v>
      </c>
      <c r="C442" s="65">
        <v>66.734999999999999</v>
      </c>
      <c r="D442" s="65">
        <v>68.11</v>
      </c>
      <c r="E442" s="65">
        <v>4446705</v>
      </c>
      <c r="F442" s="65" t="s">
        <v>488</v>
      </c>
      <c r="G442" s="25">
        <f t="shared" si="4"/>
        <v>2.9364263691089576E-4</v>
      </c>
    </row>
    <row r="443" spans="1:7">
      <c r="A443" s="65">
        <v>68.25</v>
      </c>
      <c r="B443" s="65">
        <v>68.400000000000006</v>
      </c>
      <c r="C443" s="65">
        <v>66.16</v>
      </c>
      <c r="D443" s="65">
        <v>67</v>
      </c>
      <c r="E443" s="65">
        <v>4314396</v>
      </c>
      <c r="F443" s="65" t="s">
        <v>489</v>
      </c>
      <c r="G443" s="25">
        <f t="shared" si="4"/>
        <v>1.8656716417910557E-2</v>
      </c>
    </row>
    <row r="444" spans="1:7">
      <c r="A444" s="65">
        <v>67.14</v>
      </c>
      <c r="B444" s="65">
        <v>67.3</v>
      </c>
      <c r="C444" s="65">
        <v>65.540000000000006</v>
      </c>
      <c r="D444" s="65">
        <v>65.55</v>
      </c>
      <c r="E444" s="65">
        <v>5696723</v>
      </c>
      <c r="F444" s="65" t="s">
        <v>490</v>
      </c>
      <c r="G444" s="25">
        <f t="shared" ref="G444:G507" si="5">A444/D444-1</f>
        <v>2.4256292906178478E-2</v>
      </c>
    </row>
    <row r="445" spans="1:7">
      <c r="A445" s="65">
        <v>65.709999999999994</v>
      </c>
      <c r="B445" s="65">
        <v>67.41</v>
      </c>
      <c r="C445" s="65">
        <v>65.495000000000005</v>
      </c>
      <c r="D445" s="65">
        <v>67.17</v>
      </c>
      <c r="E445" s="65">
        <v>6409500</v>
      </c>
      <c r="F445" s="65" t="s">
        <v>491</v>
      </c>
      <c r="G445" s="25">
        <f t="shared" si="5"/>
        <v>-2.1735894000297851E-2</v>
      </c>
    </row>
    <row r="446" spans="1:7">
      <c r="A446" s="65">
        <v>66.81</v>
      </c>
      <c r="B446" s="65">
        <v>67.040000000000006</v>
      </c>
      <c r="C446" s="65">
        <v>65.47</v>
      </c>
      <c r="D446" s="65">
        <v>66.23</v>
      </c>
      <c r="E446" s="65">
        <v>8174841</v>
      </c>
      <c r="F446" s="65" t="s">
        <v>492</v>
      </c>
      <c r="G446" s="25">
        <f t="shared" si="5"/>
        <v>8.757360712667861E-3</v>
      </c>
    </row>
    <row r="447" spans="1:7">
      <c r="A447" s="65">
        <v>66.02</v>
      </c>
      <c r="B447" s="65">
        <v>69.099900000000005</v>
      </c>
      <c r="C447" s="65">
        <v>64.7</v>
      </c>
      <c r="D447" s="65">
        <v>68.81</v>
      </c>
      <c r="E447" s="65">
        <v>10225963</v>
      </c>
      <c r="F447" s="65" t="s">
        <v>493</v>
      </c>
      <c r="G447" s="25">
        <f t="shared" si="5"/>
        <v>-4.0546432204621508E-2</v>
      </c>
    </row>
    <row r="448" spans="1:7">
      <c r="A448" s="65">
        <v>68.930000000000007</v>
      </c>
      <c r="B448" s="65">
        <v>69.92</v>
      </c>
      <c r="C448" s="65">
        <v>68.239999999999995</v>
      </c>
      <c r="D448" s="65">
        <v>68.75</v>
      </c>
      <c r="E448" s="65">
        <v>3935242</v>
      </c>
      <c r="F448" s="65" t="s">
        <v>494</v>
      </c>
      <c r="G448" s="25">
        <f t="shared" si="5"/>
        <v>2.6181818181818528E-3</v>
      </c>
    </row>
    <row r="449" spans="1:7">
      <c r="A449" s="65">
        <v>68.75</v>
      </c>
      <c r="B449" s="65">
        <v>69.959999999999994</v>
      </c>
      <c r="C449" s="65">
        <v>67.94</v>
      </c>
      <c r="D449" s="65">
        <v>69.709999999999994</v>
      </c>
      <c r="E449" s="65">
        <v>5303881</v>
      </c>
      <c r="F449" s="65" t="s">
        <v>495</v>
      </c>
      <c r="G449" s="25">
        <f t="shared" si="5"/>
        <v>-1.3771338401950883E-2</v>
      </c>
    </row>
    <row r="450" spans="1:7">
      <c r="A450" s="65">
        <v>69.959999999999994</v>
      </c>
      <c r="B450" s="65">
        <v>71.13</v>
      </c>
      <c r="C450" s="65">
        <v>69.63</v>
      </c>
      <c r="D450" s="65">
        <v>70.33</v>
      </c>
      <c r="E450" s="65">
        <v>6521766</v>
      </c>
      <c r="F450" s="65" t="s">
        <v>496</v>
      </c>
      <c r="G450" s="25">
        <f t="shared" si="5"/>
        <v>-5.2609128394711657E-3</v>
      </c>
    </row>
    <row r="451" spans="1:7">
      <c r="A451" s="65">
        <v>70.12</v>
      </c>
      <c r="B451" s="65">
        <v>71.42</v>
      </c>
      <c r="C451" s="65">
        <v>68.709999999999994</v>
      </c>
      <c r="D451" s="65">
        <v>69.25</v>
      </c>
      <c r="E451" s="65">
        <v>6807371</v>
      </c>
      <c r="F451" s="65" t="s">
        <v>497</v>
      </c>
      <c r="G451" s="25">
        <f t="shared" si="5"/>
        <v>1.2563176895306949E-2</v>
      </c>
    </row>
    <row r="452" spans="1:7">
      <c r="A452" s="65">
        <v>68.650000000000006</v>
      </c>
      <c r="B452" s="65">
        <v>69.989999999999995</v>
      </c>
      <c r="C452" s="65">
        <v>68.349999999999994</v>
      </c>
      <c r="D452" s="65">
        <v>69.62</v>
      </c>
      <c r="E452" s="65">
        <v>5071378</v>
      </c>
      <c r="F452" s="65" t="s">
        <v>498</v>
      </c>
      <c r="G452" s="25">
        <f t="shared" si="5"/>
        <v>-1.3932777937374352E-2</v>
      </c>
    </row>
    <row r="453" spans="1:7">
      <c r="A453" s="65">
        <v>69.63</v>
      </c>
      <c r="B453" s="65">
        <v>69.66</v>
      </c>
      <c r="C453" s="65">
        <v>68.06</v>
      </c>
      <c r="D453" s="65">
        <v>68.63</v>
      </c>
      <c r="E453" s="65">
        <v>4280643</v>
      </c>
      <c r="F453" s="65" t="s">
        <v>499</v>
      </c>
      <c r="G453" s="25">
        <f t="shared" si="5"/>
        <v>1.4570887367040708E-2</v>
      </c>
    </row>
    <row r="454" spans="1:7">
      <c r="A454" s="65">
        <v>68.75</v>
      </c>
      <c r="B454" s="65">
        <v>70.88</v>
      </c>
      <c r="C454" s="65">
        <v>68.66</v>
      </c>
      <c r="D454" s="65">
        <v>70.7</v>
      </c>
      <c r="E454" s="65">
        <v>5220699</v>
      </c>
      <c r="F454" s="65" t="s">
        <v>500</v>
      </c>
      <c r="G454" s="25">
        <f t="shared" si="5"/>
        <v>-2.758132956152759E-2</v>
      </c>
    </row>
    <row r="455" spans="1:7">
      <c r="A455" s="65">
        <v>70.88</v>
      </c>
      <c r="B455" s="65">
        <v>71.8</v>
      </c>
      <c r="C455" s="65">
        <v>70.25</v>
      </c>
      <c r="D455" s="65">
        <v>71.41</v>
      </c>
      <c r="E455" s="65">
        <v>3707599</v>
      </c>
      <c r="F455" s="65" t="s">
        <v>501</v>
      </c>
      <c r="G455" s="25">
        <f t="shared" si="5"/>
        <v>-7.4219297017225072E-3</v>
      </c>
    </row>
    <row r="456" spans="1:7">
      <c r="A456" s="65">
        <v>71.3</v>
      </c>
      <c r="B456" s="65">
        <v>71.75</v>
      </c>
      <c r="C456" s="65">
        <v>70.515000000000001</v>
      </c>
      <c r="D456" s="65">
        <v>71</v>
      </c>
      <c r="E456" s="65">
        <v>5022471</v>
      </c>
      <c r="F456" s="65" t="s">
        <v>502</v>
      </c>
      <c r="G456" s="25">
        <f t="shared" si="5"/>
        <v>4.2253521126760507E-3</v>
      </c>
    </row>
    <row r="457" spans="1:7">
      <c r="A457" s="65">
        <v>70.09</v>
      </c>
      <c r="B457" s="65">
        <v>70.319999999999993</v>
      </c>
      <c r="C457" s="65">
        <v>68.95</v>
      </c>
      <c r="D457" s="65">
        <v>69.31</v>
      </c>
      <c r="E457" s="65">
        <v>3561224</v>
      </c>
      <c r="F457" s="65" t="s">
        <v>503</v>
      </c>
      <c r="G457" s="25">
        <f t="shared" si="5"/>
        <v>1.1253787332275333E-2</v>
      </c>
    </row>
    <row r="458" spans="1:7">
      <c r="A458" s="65">
        <v>69.38</v>
      </c>
      <c r="B458" s="65">
        <v>70.2</v>
      </c>
      <c r="C458" s="65">
        <v>68.260000000000005</v>
      </c>
      <c r="D458" s="65">
        <v>68.260000000000005</v>
      </c>
      <c r="E458" s="65">
        <v>4930288</v>
      </c>
      <c r="F458" s="65" t="s">
        <v>504</v>
      </c>
      <c r="G458" s="25">
        <f t="shared" si="5"/>
        <v>1.6407852329328954E-2</v>
      </c>
    </row>
    <row r="459" spans="1:7">
      <c r="A459" s="65">
        <v>68.260000000000005</v>
      </c>
      <c r="B459" s="65">
        <v>69.52</v>
      </c>
      <c r="C459" s="65">
        <v>67.66</v>
      </c>
      <c r="D459" s="65">
        <v>68.86</v>
      </c>
      <c r="E459" s="65">
        <v>6538891</v>
      </c>
      <c r="F459" s="65" t="s">
        <v>505</v>
      </c>
      <c r="G459" s="25">
        <f t="shared" si="5"/>
        <v>-8.7133313970373383E-3</v>
      </c>
    </row>
    <row r="460" spans="1:7">
      <c r="A460" s="65">
        <v>68.92</v>
      </c>
      <c r="B460" s="65">
        <v>69.334999999999994</v>
      </c>
      <c r="C460" s="65">
        <v>67.930000000000007</v>
      </c>
      <c r="D460" s="65">
        <v>68.14</v>
      </c>
      <c r="E460" s="65">
        <v>4648649</v>
      </c>
      <c r="F460" s="65" t="s">
        <v>506</v>
      </c>
      <c r="G460" s="25">
        <f t="shared" si="5"/>
        <v>1.1447020839448152E-2</v>
      </c>
    </row>
    <row r="461" spans="1:7">
      <c r="A461" s="65">
        <v>68.12</v>
      </c>
      <c r="B461" s="65">
        <v>68.22</v>
      </c>
      <c r="C461" s="65">
        <v>66.716300000000004</v>
      </c>
      <c r="D461" s="65">
        <v>67.17</v>
      </c>
      <c r="E461" s="65">
        <v>5482082</v>
      </c>
      <c r="F461" s="65" t="s">
        <v>507</v>
      </c>
      <c r="G461" s="25">
        <f t="shared" si="5"/>
        <v>1.4143218698823956E-2</v>
      </c>
    </row>
    <row r="462" spans="1:7">
      <c r="A462" s="65">
        <v>66.5</v>
      </c>
      <c r="B462" s="65">
        <v>66.78</v>
      </c>
      <c r="C462" s="65">
        <v>65.53</v>
      </c>
      <c r="D462" s="65">
        <v>66.45</v>
      </c>
      <c r="E462" s="65">
        <v>5798809</v>
      </c>
      <c r="F462" s="65" t="s">
        <v>508</v>
      </c>
      <c r="G462" s="25">
        <f t="shared" si="5"/>
        <v>7.5244544770503019E-4</v>
      </c>
    </row>
    <row r="463" spans="1:7">
      <c r="A463" s="65">
        <v>66.349999999999994</v>
      </c>
      <c r="B463" s="65">
        <v>67.16</v>
      </c>
      <c r="C463" s="65">
        <v>65.47</v>
      </c>
      <c r="D463" s="65">
        <v>65.73</v>
      </c>
      <c r="E463" s="65">
        <v>5400727</v>
      </c>
      <c r="F463" s="65" t="s">
        <v>509</v>
      </c>
      <c r="G463" s="25">
        <f t="shared" si="5"/>
        <v>9.4325270044117726E-3</v>
      </c>
    </row>
    <row r="464" spans="1:7">
      <c r="A464" s="65">
        <v>65.540000000000006</v>
      </c>
      <c r="B464" s="65">
        <v>65.56</v>
      </c>
      <c r="C464" s="65">
        <v>64.27</v>
      </c>
      <c r="D464" s="65">
        <v>64.739999999999995</v>
      </c>
      <c r="E464" s="65">
        <v>4366178</v>
      </c>
      <c r="F464" s="65" t="s">
        <v>510</v>
      </c>
      <c r="G464" s="25">
        <f t="shared" si="5"/>
        <v>1.2357120790855936E-2</v>
      </c>
    </row>
    <row r="465" spans="1:7">
      <c r="A465" s="65">
        <v>64.64</v>
      </c>
      <c r="B465" s="65">
        <v>64.819999999999993</v>
      </c>
      <c r="C465" s="65">
        <v>62.880099999999999</v>
      </c>
      <c r="D465" s="65">
        <v>63.09</v>
      </c>
      <c r="E465" s="65">
        <v>5985117</v>
      </c>
      <c r="F465" s="65" t="s">
        <v>511</v>
      </c>
      <c r="G465" s="25">
        <f t="shared" si="5"/>
        <v>2.4568077349817585E-2</v>
      </c>
    </row>
    <row r="466" spans="1:7">
      <c r="A466" s="65">
        <v>63.29</v>
      </c>
      <c r="B466" s="65">
        <v>63.63</v>
      </c>
      <c r="C466" s="65">
        <v>61.33</v>
      </c>
      <c r="D466" s="65">
        <v>61.54</v>
      </c>
      <c r="E466" s="65">
        <v>6967305</v>
      </c>
      <c r="F466" s="65" t="s">
        <v>512</v>
      </c>
      <c r="G466" s="25">
        <f t="shared" si="5"/>
        <v>2.8436789080273028E-2</v>
      </c>
    </row>
    <row r="467" spans="1:7">
      <c r="A467" s="65">
        <v>61.07</v>
      </c>
      <c r="B467" s="65">
        <v>63.32</v>
      </c>
      <c r="C467" s="65">
        <v>60.88</v>
      </c>
      <c r="D467" s="65">
        <v>62.01</v>
      </c>
      <c r="E467" s="65">
        <v>6795990</v>
      </c>
      <c r="F467" s="65" t="s">
        <v>513</v>
      </c>
      <c r="G467" s="25">
        <f t="shared" si="5"/>
        <v>-1.5158845347524541E-2</v>
      </c>
    </row>
    <row r="468" spans="1:7">
      <c r="A468" s="65">
        <v>62.01</v>
      </c>
      <c r="B468" s="65">
        <v>63.38</v>
      </c>
      <c r="C468" s="65">
        <v>60.34</v>
      </c>
      <c r="D468" s="65">
        <v>60.71</v>
      </c>
      <c r="E468" s="65">
        <v>6928942</v>
      </c>
      <c r="F468" s="65" t="s">
        <v>514</v>
      </c>
      <c r="G468" s="25">
        <f t="shared" si="5"/>
        <v>2.1413276231263323E-2</v>
      </c>
    </row>
    <row r="469" spans="1:7">
      <c r="A469" s="65">
        <v>60.7</v>
      </c>
      <c r="B469" s="65">
        <v>62.04</v>
      </c>
      <c r="C469" s="65">
        <v>59.41</v>
      </c>
      <c r="D469" s="65">
        <v>59.63</v>
      </c>
      <c r="E469" s="65">
        <v>7175493</v>
      </c>
      <c r="F469" s="65" t="s">
        <v>515</v>
      </c>
      <c r="G469" s="25">
        <f t="shared" si="5"/>
        <v>1.794398792554075E-2</v>
      </c>
    </row>
    <row r="470" spans="1:7">
      <c r="A470" s="65">
        <v>60.83</v>
      </c>
      <c r="B470" s="65">
        <v>62.1</v>
      </c>
      <c r="C470" s="65">
        <v>60.15</v>
      </c>
      <c r="D470" s="65">
        <v>61.71</v>
      </c>
      <c r="E470" s="65">
        <v>6789806</v>
      </c>
      <c r="F470" s="65" t="s">
        <v>516</v>
      </c>
      <c r="G470" s="25">
        <f t="shared" si="5"/>
        <v>-1.4260249554367221E-2</v>
      </c>
    </row>
    <row r="471" spans="1:7">
      <c r="A471" s="65">
        <v>61.86</v>
      </c>
      <c r="B471" s="65">
        <v>63.61</v>
      </c>
      <c r="C471" s="65">
        <v>61.45</v>
      </c>
      <c r="D471" s="65">
        <v>63.05</v>
      </c>
      <c r="E471" s="65">
        <v>10039354</v>
      </c>
      <c r="F471" s="65" t="s">
        <v>517</v>
      </c>
      <c r="G471" s="25">
        <f t="shared" si="5"/>
        <v>-1.8873909595559013E-2</v>
      </c>
    </row>
    <row r="472" spans="1:7">
      <c r="A472" s="65">
        <v>63.05</v>
      </c>
      <c r="B472" s="65">
        <v>64.2</v>
      </c>
      <c r="C472" s="65">
        <v>62.15</v>
      </c>
      <c r="D472" s="65">
        <v>63.7</v>
      </c>
      <c r="E472" s="65">
        <v>7166074</v>
      </c>
      <c r="F472" s="65" t="s">
        <v>518</v>
      </c>
      <c r="G472" s="25">
        <f t="shared" si="5"/>
        <v>-1.0204081632653184E-2</v>
      </c>
    </row>
    <row r="473" spans="1:7">
      <c r="A473" s="65">
        <v>63.64</v>
      </c>
      <c r="B473" s="65">
        <v>64.33</v>
      </c>
      <c r="C473" s="65">
        <v>61.91</v>
      </c>
      <c r="D473" s="65">
        <v>62.77</v>
      </c>
      <c r="E473" s="65">
        <v>9088778</v>
      </c>
      <c r="F473" s="65" t="s">
        <v>519</v>
      </c>
      <c r="G473" s="25">
        <f t="shared" si="5"/>
        <v>1.386012426318306E-2</v>
      </c>
    </row>
    <row r="474" spans="1:7">
      <c r="A474" s="65">
        <v>63.74</v>
      </c>
      <c r="B474" s="65">
        <v>64.39</v>
      </c>
      <c r="C474" s="65">
        <v>62.31</v>
      </c>
      <c r="D474" s="65">
        <v>63.96</v>
      </c>
      <c r="E474" s="65">
        <v>9888927</v>
      </c>
      <c r="F474" s="65" t="s">
        <v>520</v>
      </c>
      <c r="G474" s="25">
        <f t="shared" si="5"/>
        <v>-3.4396497811132187E-3</v>
      </c>
    </row>
    <row r="475" spans="1:7">
      <c r="A475" s="65">
        <v>62.37</v>
      </c>
      <c r="B475" s="65">
        <v>63.8</v>
      </c>
      <c r="C475" s="65">
        <v>60.28</v>
      </c>
      <c r="D475" s="65">
        <v>61.56</v>
      </c>
      <c r="E475" s="65">
        <v>14111391</v>
      </c>
      <c r="F475" s="65" t="s">
        <v>521</v>
      </c>
      <c r="G475" s="25">
        <f t="shared" si="5"/>
        <v>1.3157894736842035E-2</v>
      </c>
    </row>
    <row r="476" spans="1:7">
      <c r="A476" s="65">
        <v>59.7</v>
      </c>
      <c r="B476" s="65">
        <v>67.8</v>
      </c>
      <c r="C476" s="65">
        <v>58.93</v>
      </c>
      <c r="D476" s="65">
        <v>64.010000000000005</v>
      </c>
      <c r="E476" s="65">
        <v>45982108</v>
      </c>
      <c r="F476" s="65" t="s">
        <v>522</v>
      </c>
      <c r="G476" s="25">
        <f t="shared" si="5"/>
        <v>-6.7333229182940157E-2</v>
      </c>
    </row>
    <row r="477" spans="1:7">
      <c r="A477" s="65">
        <v>86.95</v>
      </c>
      <c r="B477" s="65">
        <v>87.6</v>
      </c>
      <c r="C477" s="65">
        <v>86.22</v>
      </c>
      <c r="D477" s="65">
        <v>86.97</v>
      </c>
      <c r="E477" s="65">
        <v>4091051</v>
      </c>
      <c r="F477" s="65" t="s">
        <v>523</v>
      </c>
      <c r="G477" s="25">
        <f t="shared" si="5"/>
        <v>-2.2996435552480321E-4</v>
      </c>
    </row>
    <row r="478" spans="1:7">
      <c r="A478" s="65">
        <v>87.05</v>
      </c>
      <c r="B478" s="65">
        <v>88.28</v>
      </c>
      <c r="C478" s="65">
        <v>86.76</v>
      </c>
      <c r="D478" s="65">
        <v>87.67</v>
      </c>
      <c r="E478" s="65">
        <v>2633450</v>
      </c>
      <c r="F478" s="65" t="s">
        <v>524</v>
      </c>
      <c r="G478" s="25">
        <f t="shared" si="5"/>
        <v>-7.0719744496406944E-3</v>
      </c>
    </row>
    <row r="479" spans="1:7">
      <c r="A479" s="65">
        <v>87.99</v>
      </c>
      <c r="B479" s="65">
        <v>88.5</v>
      </c>
      <c r="C479" s="65">
        <v>86.5</v>
      </c>
      <c r="D479" s="65">
        <v>86.68</v>
      </c>
      <c r="E479" s="65">
        <v>2741891</v>
      </c>
      <c r="F479" s="65" t="s">
        <v>525</v>
      </c>
      <c r="G479" s="25">
        <f t="shared" si="5"/>
        <v>1.5113059529302975E-2</v>
      </c>
    </row>
    <row r="480" spans="1:7">
      <c r="A480" s="65">
        <v>86.5</v>
      </c>
      <c r="B480" s="65">
        <v>87.5</v>
      </c>
      <c r="C480" s="65">
        <v>85.75</v>
      </c>
      <c r="D480" s="65">
        <v>87.04</v>
      </c>
      <c r="E480" s="65">
        <v>2433949</v>
      </c>
      <c r="F480" s="65" t="s">
        <v>526</v>
      </c>
      <c r="G480" s="25">
        <f t="shared" si="5"/>
        <v>-6.2040441176470784E-3</v>
      </c>
    </row>
    <row r="481" spans="1:7">
      <c r="A481" s="65">
        <v>85.81</v>
      </c>
      <c r="B481" s="65">
        <v>88.56</v>
      </c>
      <c r="C481" s="65">
        <v>84.91</v>
      </c>
      <c r="D481" s="65">
        <v>86.8</v>
      </c>
      <c r="E481" s="65">
        <v>3557905</v>
      </c>
      <c r="F481" s="65" t="s">
        <v>527</v>
      </c>
      <c r="G481" s="25">
        <f t="shared" si="5"/>
        <v>-1.1405529953916971E-2</v>
      </c>
    </row>
    <row r="482" spans="1:7">
      <c r="A482" s="65">
        <v>87.31</v>
      </c>
      <c r="B482" s="65">
        <v>88.61</v>
      </c>
      <c r="C482" s="65">
        <v>86.65</v>
      </c>
      <c r="D482" s="65">
        <v>87.99</v>
      </c>
      <c r="E482" s="65">
        <v>4220622</v>
      </c>
      <c r="F482" s="65" t="s">
        <v>528</v>
      </c>
      <c r="G482" s="25">
        <f t="shared" si="5"/>
        <v>-7.7281509262415726E-3</v>
      </c>
    </row>
    <row r="483" spans="1:7">
      <c r="A483" s="65">
        <v>87.73</v>
      </c>
      <c r="B483" s="65">
        <v>89.86</v>
      </c>
      <c r="C483" s="65">
        <v>87.1</v>
      </c>
      <c r="D483" s="65">
        <v>89.59</v>
      </c>
      <c r="E483" s="65">
        <v>4499281</v>
      </c>
      <c r="F483" s="65" t="s">
        <v>529</v>
      </c>
      <c r="G483" s="25">
        <f t="shared" si="5"/>
        <v>-2.0761245674740469E-2</v>
      </c>
    </row>
    <row r="484" spans="1:7">
      <c r="A484" s="65">
        <v>89.5</v>
      </c>
      <c r="B484" s="65">
        <v>91.49</v>
      </c>
      <c r="C484" s="65">
        <v>88.9</v>
      </c>
      <c r="D484" s="65">
        <v>91.49</v>
      </c>
      <c r="E484" s="65">
        <v>3052411</v>
      </c>
      <c r="F484" s="65" t="s">
        <v>530</v>
      </c>
      <c r="G484" s="25">
        <f t="shared" si="5"/>
        <v>-2.1751011039457757E-2</v>
      </c>
    </row>
    <row r="485" spans="1:7">
      <c r="A485" s="65">
        <v>90.99</v>
      </c>
      <c r="B485" s="65">
        <v>92.88</v>
      </c>
      <c r="C485" s="65">
        <v>90.89</v>
      </c>
      <c r="D485" s="65">
        <v>92.8</v>
      </c>
      <c r="E485" s="65">
        <v>3488075</v>
      </c>
      <c r="F485" s="65" t="s">
        <v>531</v>
      </c>
      <c r="G485" s="25">
        <f t="shared" si="5"/>
        <v>-1.950431034482758E-2</v>
      </c>
    </row>
    <row r="486" spans="1:7">
      <c r="A486" s="65">
        <v>92.85</v>
      </c>
      <c r="B486" s="65">
        <v>95.25</v>
      </c>
      <c r="C486" s="65">
        <v>92.81</v>
      </c>
      <c r="D486" s="65">
        <v>94.18</v>
      </c>
      <c r="E486" s="65">
        <v>3057105</v>
      </c>
      <c r="F486" s="65" t="s">
        <v>532</v>
      </c>
      <c r="G486" s="25">
        <f t="shared" si="5"/>
        <v>-1.4121894245062827E-2</v>
      </c>
    </row>
    <row r="487" spans="1:7">
      <c r="A487" s="65">
        <v>93.78</v>
      </c>
      <c r="B487" s="65">
        <v>94.1</v>
      </c>
      <c r="C487" s="65">
        <v>92.1</v>
      </c>
      <c r="D487" s="65">
        <v>93.62</v>
      </c>
      <c r="E487" s="65">
        <v>2419738</v>
      </c>
      <c r="F487" s="65" t="s">
        <v>533</v>
      </c>
      <c r="G487" s="25">
        <f t="shared" si="5"/>
        <v>1.7090365306557942E-3</v>
      </c>
    </row>
    <row r="488" spans="1:7">
      <c r="A488" s="65">
        <v>93.48</v>
      </c>
      <c r="B488" s="65">
        <v>93.66</v>
      </c>
      <c r="C488" s="65">
        <v>91.42</v>
      </c>
      <c r="D488" s="65">
        <v>92.24</v>
      </c>
      <c r="E488" s="65">
        <v>2227138</v>
      </c>
      <c r="F488" s="65" t="s">
        <v>534</v>
      </c>
      <c r="G488" s="25">
        <f t="shared" si="5"/>
        <v>1.3443191673894184E-2</v>
      </c>
    </row>
    <row r="489" spans="1:7">
      <c r="A489" s="65">
        <v>91.84</v>
      </c>
      <c r="B489" s="65">
        <v>92.49</v>
      </c>
      <c r="C489" s="65">
        <v>91.67</v>
      </c>
      <c r="D489" s="65">
        <v>92.16</v>
      </c>
      <c r="E489" s="65">
        <v>1941280</v>
      </c>
      <c r="F489" s="65" t="s">
        <v>535</v>
      </c>
      <c r="G489" s="25">
        <f t="shared" si="5"/>
        <v>-3.4722222222220989E-3</v>
      </c>
    </row>
    <row r="490" spans="1:7">
      <c r="A490" s="65">
        <v>92.32</v>
      </c>
      <c r="B490" s="65">
        <v>92.45</v>
      </c>
      <c r="C490" s="65">
        <v>90.623099999999994</v>
      </c>
      <c r="D490" s="65">
        <v>91.24</v>
      </c>
      <c r="E490" s="65">
        <v>1515155</v>
      </c>
      <c r="F490" s="65" t="s">
        <v>536</v>
      </c>
      <c r="G490" s="25">
        <f t="shared" si="5"/>
        <v>1.1836913634370783E-2</v>
      </c>
    </row>
    <row r="491" spans="1:7">
      <c r="A491" s="65">
        <v>91.08</v>
      </c>
      <c r="B491" s="65">
        <v>92.11</v>
      </c>
      <c r="C491" s="65">
        <v>90.61</v>
      </c>
      <c r="D491" s="65">
        <v>91.21</v>
      </c>
      <c r="E491" s="65">
        <v>1497118</v>
      </c>
      <c r="F491" s="65" t="s">
        <v>537</v>
      </c>
      <c r="G491" s="25">
        <f t="shared" si="5"/>
        <v>-1.4252823155355143E-3</v>
      </c>
    </row>
    <row r="492" spans="1:7">
      <c r="A492" s="65">
        <v>91.23</v>
      </c>
      <c r="B492" s="65">
        <v>91.36</v>
      </c>
      <c r="C492" s="65">
        <v>89.8</v>
      </c>
      <c r="D492" s="65">
        <v>90</v>
      </c>
      <c r="E492" s="65">
        <v>1908916</v>
      </c>
      <c r="F492" s="65" t="s">
        <v>538</v>
      </c>
      <c r="G492" s="25">
        <f t="shared" si="5"/>
        <v>1.3666666666666716E-2</v>
      </c>
    </row>
    <row r="493" spans="1:7">
      <c r="A493" s="65">
        <v>90.25</v>
      </c>
      <c r="B493" s="65">
        <v>93</v>
      </c>
      <c r="C493" s="65">
        <v>90.18</v>
      </c>
      <c r="D493" s="65">
        <v>90.3</v>
      </c>
      <c r="E493" s="65">
        <v>3277669</v>
      </c>
      <c r="F493" s="65" t="s">
        <v>539</v>
      </c>
      <c r="G493" s="25">
        <f t="shared" si="5"/>
        <v>-5.5370985603542255E-4</v>
      </c>
    </row>
    <row r="494" spans="1:7">
      <c r="A494" s="65">
        <v>92.37</v>
      </c>
      <c r="B494" s="65">
        <v>93.99</v>
      </c>
      <c r="C494" s="65">
        <v>92.18</v>
      </c>
      <c r="D494" s="65">
        <v>93.59</v>
      </c>
      <c r="E494" s="65">
        <v>11670925</v>
      </c>
      <c r="F494" s="65" t="s">
        <v>540</v>
      </c>
      <c r="G494" s="25">
        <f t="shared" si="5"/>
        <v>-1.3035580724436335E-2</v>
      </c>
    </row>
    <row r="495" spans="1:7">
      <c r="A495" s="65">
        <v>93.34</v>
      </c>
      <c r="B495" s="65">
        <v>93.62</v>
      </c>
      <c r="C495" s="65">
        <v>92.16</v>
      </c>
      <c r="D495" s="65">
        <v>92.16</v>
      </c>
      <c r="E495" s="65">
        <v>3309489</v>
      </c>
      <c r="F495" s="65" t="s">
        <v>541</v>
      </c>
      <c r="G495" s="25">
        <f t="shared" si="5"/>
        <v>1.280381944444442E-2</v>
      </c>
    </row>
    <row r="496" spans="1:7">
      <c r="A496" s="65">
        <v>91.56</v>
      </c>
      <c r="B496" s="65">
        <v>92.14</v>
      </c>
      <c r="C496" s="65">
        <v>90.18</v>
      </c>
      <c r="D496" s="65">
        <v>90.72</v>
      </c>
      <c r="E496" s="65">
        <v>2854523</v>
      </c>
      <c r="F496" s="65" t="s">
        <v>542</v>
      </c>
      <c r="G496" s="25">
        <f t="shared" si="5"/>
        <v>9.2592592592593004E-3</v>
      </c>
    </row>
    <row r="497" spans="1:7">
      <c r="A497" s="65">
        <v>91.08</v>
      </c>
      <c r="B497" s="65">
        <v>91.15</v>
      </c>
      <c r="C497" s="65">
        <v>89.52</v>
      </c>
      <c r="D497" s="65">
        <v>90.36</v>
      </c>
      <c r="E497" s="65">
        <v>2747944</v>
      </c>
      <c r="F497" s="65" t="s">
        <v>543</v>
      </c>
      <c r="G497" s="25">
        <f t="shared" si="5"/>
        <v>7.9681274900398336E-3</v>
      </c>
    </row>
    <row r="498" spans="1:7">
      <c r="A498" s="65">
        <v>90.17</v>
      </c>
      <c r="B498" s="65">
        <v>92.16</v>
      </c>
      <c r="C498" s="65">
        <v>90.15</v>
      </c>
      <c r="D498" s="65">
        <v>90.9</v>
      </c>
      <c r="E498" s="65">
        <v>2718933</v>
      </c>
      <c r="F498" s="65" t="s">
        <v>544</v>
      </c>
      <c r="G498" s="25">
        <f t="shared" si="5"/>
        <v>-8.0308030803081243E-3</v>
      </c>
    </row>
    <row r="499" spans="1:7">
      <c r="A499" s="65">
        <v>90.9</v>
      </c>
      <c r="B499" s="65">
        <v>90.965000000000003</v>
      </c>
      <c r="C499" s="65">
        <v>88.86</v>
      </c>
      <c r="D499" s="65">
        <v>89.61</v>
      </c>
      <c r="E499" s="65">
        <v>5269002</v>
      </c>
      <c r="F499" s="65" t="s">
        <v>545</v>
      </c>
      <c r="G499" s="25">
        <f t="shared" si="5"/>
        <v>1.4395714763977274E-2</v>
      </c>
    </row>
    <row r="500" spans="1:7">
      <c r="A500" s="65">
        <v>88.84</v>
      </c>
      <c r="B500" s="65">
        <v>90.49</v>
      </c>
      <c r="C500" s="65">
        <v>87.06</v>
      </c>
      <c r="D500" s="65">
        <v>88.08</v>
      </c>
      <c r="E500" s="65">
        <v>5442858</v>
      </c>
      <c r="F500" s="65" t="s">
        <v>546</v>
      </c>
      <c r="G500" s="25">
        <f t="shared" si="5"/>
        <v>8.6285195277020499E-3</v>
      </c>
    </row>
    <row r="501" spans="1:7">
      <c r="A501" s="65">
        <v>88.52</v>
      </c>
      <c r="B501" s="65">
        <v>89</v>
      </c>
      <c r="C501" s="65">
        <v>86.2</v>
      </c>
      <c r="D501" s="65">
        <v>86.89</v>
      </c>
      <c r="E501" s="65">
        <v>3709988</v>
      </c>
      <c r="F501" s="65" t="s">
        <v>547</v>
      </c>
      <c r="G501" s="25">
        <f t="shared" si="5"/>
        <v>1.8759350903441163E-2</v>
      </c>
    </row>
    <row r="502" spans="1:7">
      <c r="A502" s="65">
        <v>86.87</v>
      </c>
      <c r="B502" s="65">
        <v>87.11</v>
      </c>
      <c r="C502" s="65">
        <v>85.12</v>
      </c>
      <c r="D502" s="65">
        <v>85.2</v>
      </c>
      <c r="E502" s="65">
        <v>2093528</v>
      </c>
      <c r="F502" s="65" t="s">
        <v>548</v>
      </c>
      <c r="G502" s="25">
        <f t="shared" si="5"/>
        <v>1.9600938967136106E-2</v>
      </c>
    </row>
    <row r="503" spans="1:7">
      <c r="A503" s="65">
        <v>87.29</v>
      </c>
      <c r="B503" s="65">
        <v>87.72</v>
      </c>
      <c r="C503" s="65">
        <v>86.75</v>
      </c>
      <c r="D503" s="65">
        <v>87.5</v>
      </c>
      <c r="E503" s="65">
        <v>1527650</v>
      </c>
      <c r="F503" s="65" t="s">
        <v>549</v>
      </c>
      <c r="G503" s="25">
        <f t="shared" si="5"/>
        <v>-2.3999999999999577E-3</v>
      </c>
    </row>
    <row r="504" spans="1:7">
      <c r="A504" s="65">
        <v>87.67</v>
      </c>
      <c r="B504" s="65">
        <v>87.94</v>
      </c>
      <c r="C504" s="65">
        <v>86.67</v>
      </c>
      <c r="D504" s="65">
        <v>87.32</v>
      </c>
      <c r="E504" s="65">
        <v>1805187</v>
      </c>
      <c r="F504" s="65" t="s">
        <v>550</v>
      </c>
      <c r="G504" s="25">
        <f t="shared" si="5"/>
        <v>4.0082455336694078E-3</v>
      </c>
    </row>
    <row r="505" spans="1:7">
      <c r="A505" s="65">
        <v>87.77</v>
      </c>
      <c r="B505" s="65">
        <v>89.03</v>
      </c>
      <c r="C505" s="65">
        <v>87.05</v>
      </c>
      <c r="D505" s="65">
        <v>87.4</v>
      </c>
      <c r="E505" s="65">
        <v>2460665</v>
      </c>
      <c r="F505" s="65" t="s">
        <v>551</v>
      </c>
      <c r="G505" s="25">
        <f t="shared" si="5"/>
        <v>4.2334096109839514E-3</v>
      </c>
    </row>
    <row r="506" spans="1:7">
      <c r="A506" s="65">
        <v>87</v>
      </c>
      <c r="B506" s="65">
        <v>87.6</v>
      </c>
      <c r="C506" s="65">
        <v>85.38</v>
      </c>
      <c r="D506" s="65">
        <v>86.01</v>
      </c>
      <c r="E506" s="65">
        <v>2241876</v>
      </c>
      <c r="F506" s="65" t="s">
        <v>552</v>
      </c>
      <c r="G506" s="25">
        <f t="shared" si="5"/>
        <v>1.1510289501220683E-2</v>
      </c>
    </row>
    <row r="507" spans="1:7">
      <c r="A507" s="65">
        <v>86.1</v>
      </c>
      <c r="B507" s="65">
        <v>87.86</v>
      </c>
      <c r="C507" s="65">
        <v>85.6</v>
      </c>
      <c r="D507" s="65">
        <v>87.71</v>
      </c>
      <c r="E507" s="65">
        <v>2229429</v>
      </c>
      <c r="F507" s="65" t="s">
        <v>553</v>
      </c>
      <c r="G507" s="25">
        <f t="shared" si="5"/>
        <v>-1.8355945730247347E-2</v>
      </c>
    </row>
    <row r="508" spans="1:7">
      <c r="A508" s="65">
        <v>88.14</v>
      </c>
      <c r="B508" s="65">
        <v>88.25</v>
      </c>
      <c r="C508" s="65">
        <v>86.62</v>
      </c>
      <c r="D508" s="65">
        <v>87.41</v>
      </c>
      <c r="E508" s="65">
        <v>2427051</v>
      </c>
      <c r="F508" s="65" t="s">
        <v>554</v>
      </c>
      <c r="G508" s="25">
        <f t="shared" ref="G508:G571" si="6">A508/D508-1</f>
        <v>8.3514472028372033E-3</v>
      </c>
    </row>
    <row r="509" spans="1:7">
      <c r="A509" s="65">
        <v>87.68</v>
      </c>
      <c r="B509" s="65">
        <v>88.06</v>
      </c>
      <c r="C509" s="65">
        <v>86.405000000000001</v>
      </c>
      <c r="D509" s="65">
        <v>86.9</v>
      </c>
      <c r="E509" s="65">
        <v>1680361</v>
      </c>
      <c r="F509" s="65" t="s">
        <v>555</v>
      </c>
      <c r="G509" s="25">
        <f t="shared" si="6"/>
        <v>8.9758342922900969E-3</v>
      </c>
    </row>
    <row r="510" spans="1:7">
      <c r="A510" s="65">
        <v>87.07</v>
      </c>
      <c r="B510" s="65">
        <v>87.9</v>
      </c>
      <c r="C510" s="65">
        <v>86.64</v>
      </c>
      <c r="D510" s="65">
        <v>87.46</v>
      </c>
      <c r="E510" s="65">
        <v>1712914</v>
      </c>
      <c r="F510" s="65" t="s">
        <v>556</v>
      </c>
      <c r="G510" s="25">
        <f t="shared" si="6"/>
        <v>-4.4591813400411962E-3</v>
      </c>
    </row>
    <row r="511" spans="1:7">
      <c r="A511" s="65">
        <v>87.41</v>
      </c>
      <c r="B511" s="65">
        <v>88.14</v>
      </c>
      <c r="C511" s="65">
        <v>86.95</v>
      </c>
      <c r="D511" s="65">
        <v>87.92</v>
      </c>
      <c r="E511" s="65">
        <v>1825440</v>
      </c>
      <c r="F511" s="65" t="s">
        <v>557</v>
      </c>
      <c r="G511" s="25">
        <f t="shared" si="6"/>
        <v>-5.8007279344859386E-3</v>
      </c>
    </row>
    <row r="512" spans="1:7">
      <c r="A512" s="65">
        <v>87.86</v>
      </c>
      <c r="B512" s="65">
        <v>88.855000000000004</v>
      </c>
      <c r="C512" s="65">
        <v>86.79</v>
      </c>
      <c r="D512" s="65">
        <v>88.41</v>
      </c>
      <c r="E512" s="65">
        <v>2658162</v>
      </c>
      <c r="F512" s="65" t="s">
        <v>558</v>
      </c>
      <c r="G512" s="25">
        <f t="shared" si="6"/>
        <v>-6.2210157222033491E-3</v>
      </c>
    </row>
    <row r="513" spans="1:7">
      <c r="A513" s="65">
        <v>86.89</v>
      </c>
      <c r="B513" s="65">
        <v>87.91</v>
      </c>
      <c r="C513" s="65">
        <v>85.79</v>
      </c>
      <c r="D513" s="65">
        <v>87.68</v>
      </c>
      <c r="E513" s="65">
        <v>4619581</v>
      </c>
      <c r="F513" s="65" t="s">
        <v>559</v>
      </c>
      <c r="G513" s="25">
        <f t="shared" si="6"/>
        <v>-9.0100364963504598E-3</v>
      </c>
    </row>
    <row r="514" spans="1:7">
      <c r="A514" s="65">
        <v>87.89</v>
      </c>
      <c r="B514" s="65">
        <v>88.63</v>
      </c>
      <c r="C514" s="65">
        <v>87.415000000000006</v>
      </c>
      <c r="D514" s="65">
        <v>87.68</v>
      </c>
      <c r="E514" s="65">
        <v>2343408</v>
      </c>
      <c r="F514" s="65" t="s">
        <v>560</v>
      </c>
      <c r="G514" s="25">
        <f t="shared" si="6"/>
        <v>2.3950729927006975E-3</v>
      </c>
    </row>
    <row r="515" spans="1:7">
      <c r="A515" s="65">
        <v>87.03</v>
      </c>
      <c r="B515" s="65">
        <v>87.63</v>
      </c>
      <c r="C515" s="65">
        <v>86.03</v>
      </c>
      <c r="D515" s="65">
        <v>86.1</v>
      </c>
      <c r="E515" s="65">
        <v>2065712</v>
      </c>
      <c r="F515" s="65" t="s">
        <v>561</v>
      </c>
      <c r="G515" s="25">
        <f t="shared" si="6"/>
        <v>1.0801393728222974E-2</v>
      </c>
    </row>
    <row r="516" spans="1:7">
      <c r="A516" s="65">
        <v>87.04</v>
      </c>
      <c r="B516" s="65">
        <v>88.2</v>
      </c>
      <c r="C516" s="65">
        <v>86.57</v>
      </c>
      <c r="D516" s="65">
        <v>87.8</v>
      </c>
      <c r="E516" s="65">
        <v>2592054</v>
      </c>
      <c r="F516" s="65" t="s">
        <v>562</v>
      </c>
      <c r="G516" s="25">
        <f t="shared" si="6"/>
        <v>-8.656036446469173E-3</v>
      </c>
    </row>
    <row r="517" spans="1:7">
      <c r="A517" s="65">
        <v>87.98</v>
      </c>
      <c r="B517" s="65">
        <v>88.32</v>
      </c>
      <c r="C517" s="65">
        <v>87.31</v>
      </c>
      <c r="D517" s="65">
        <v>87.66</v>
      </c>
      <c r="E517" s="65">
        <v>1786623</v>
      </c>
      <c r="F517" s="65" t="s">
        <v>563</v>
      </c>
      <c r="G517" s="25">
        <f t="shared" si="6"/>
        <v>3.6504677161761645E-3</v>
      </c>
    </row>
    <row r="518" spans="1:7">
      <c r="A518" s="65">
        <v>87.46</v>
      </c>
      <c r="B518" s="65">
        <v>90.2</v>
      </c>
      <c r="C518" s="65">
        <v>87.05</v>
      </c>
      <c r="D518" s="65">
        <v>90.18</v>
      </c>
      <c r="E518" s="65">
        <v>2635310</v>
      </c>
      <c r="F518" s="65" t="s">
        <v>564</v>
      </c>
      <c r="G518" s="25">
        <f t="shared" si="6"/>
        <v>-3.0161898425371647E-2</v>
      </c>
    </row>
    <row r="519" spans="1:7">
      <c r="A519" s="65">
        <v>90.21</v>
      </c>
      <c r="B519" s="65">
        <v>91.94</v>
      </c>
      <c r="C519" s="65">
        <v>90.03</v>
      </c>
      <c r="D519" s="65">
        <v>90.95</v>
      </c>
      <c r="E519" s="65">
        <v>2266268</v>
      </c>
      <c r="F519" s="65" t="s">
        <v>565</v>
      </c>
      <c r="G519" s="25">
        <f t="shared" si="6"/>
        <v>-8.1363386476086541E-3</v>
      </c>
    </row>
    <row r="520" spans="1:7">
      <c r="A520" s="65">
        <v>90.34</v>
      </c>
      <c r="B520" s="65">
        <v>90.73</v>
      </c>
      <c r="C520" s="65">
        <v>90.01</v>
      </c>
      <c r="D520" s="65">
        <v>90.21</v>
      </c>
      <c r="E520" s="65">
        <v>2345993</v>
      </c>
      <c r="F520" s="65" t="s">
        <v>566</v>
      </c>
      <c r="G520" s="25">
        <f t="shared" si="6"/>
        <v>1.4410819199646152E-3</v>
      </c>
    </row>
    <row r="521" spans="1:7">
      <c r="A521" s="65">
        <v>89.78</v>
      </c>
      <c r="B521" s="65">
        <v>89.915000000000006</v>
      </c>
      <c r="C521" s="65">
        <v>89</v>
      </c>
      <c r="D521" s="65">
        <v>89.33</v>
      </c>
      <c r="E521" s="65">
        <v>1668141</v>
      </c>
      <c r="F521" s="65" t="s">
        <v>567</v>
      </c>
      <c r="G521" s="25">
        <f t="shared" si="6"/>
        <v>5.0375013993060325E-3</v>
      </c>
    </row>
    <row r="522" spans="1:7">
      <c r="A522" s="65">
        <v>89.14</v>
      </c>
      <c r="B522" s="65">
        <v>90.48</v>
      </c>
      <c r="C522" s="65">
        <v>88.58</v>
      </c>
      <c r="D522" s="65">
        <v>90.28</v>
      </c>
      <c r="E522" s="65">
        <v>2070779</v>
      </c>
      <c r="F522" s="65" t="s">
        <v>568</v>
      </c>
      <c r="G522" s="25">
        <f t="shared" si="6"/>
        <v>-1.2627381479840549E-2</v>
      </c>
    </row>
    <row r="523" spans="1:7">
      <c r="A523" s="65">
        <v>90.11</v>
      </c>
      <c r="B523" s="65">
        <v>90.98</v>
      </c>
      <c r="C523" s="65">
        <v>89.944999999999993</v>
      </c>
      <c r="D523" s="65">
        <v>90.09</v>
      </c>
      <c r="E523" s="65">
        <v>2204301</v>
      </c>
      <c r="F523" s="65" t="s">
        <v>569</v>
      </c>
      <c r="G523" s="25">
        <f t="shared" si="6"/>
        <v>2.2200022200014047E-4</v>
      </c>
    </row>
    <row r="524" spans="1:7">
      <c r="A524" s="65">
        <v>90.16</v>
      </c>
      <c r="B524" s="65">
        <v>90.37</v>
      </c>
      <c r="C524" s="65">
        <v>86.79</v>
      </c>
      <c r="D524" s="65">
        <v>87.23</v>
      </c>
      <c r="E524" s="65">
        <v>3111296</v>
      </c>
      <c r="F524" s="65" t="s">
        <v>570</v>
      </c>
      <c r="G524" s="25">
        <f t="shared" si="6"/>
        <v>3.3589361458213896E-2</v>
      </c>
    </row>
    <row r="525" spans="1:7">
      <c r="A525" s="65">
        <v>86.46</v>
      </c>
      <c r="B525" s="65">
        <v>86.555000000000007</v>
      </c>
      <c r="C525" s="65">
        <v>85.16</v>
      </c>
      <c r="D525" s="65">
        <v>85.84</v>
      </c>
      <c r="E525" s="65">
        <v>2127401</v>
      </c>
      <c r="F525" s="65" t="s">
        <v>571</v>
      </c>
      <c r="G525" s="25">
        <f t="shared" si="6"/>
        <v>7.2227399813604709E-3</v>
      </c>
    </row>
    <row r="526" spans="1:7">
      <c r="A526" s="65">
        <v>84.7</v>
      </c>
      <c r="B526" s="65">
        <v>87.09</v>
      </c>
      <c r="C526" s="65">
        <v>84.67</v>
      </c>
      <c r="D526" s="65">
        <v>87.034999999999997</v>
      </c>
      <c r="E526" s="65">
        <v>2579306</v>
      </c>
      <c r="F526" s="65" t="s">
        <v>572</v>
      </c>
      <c r="G526" s="25">
        <f t="shared" si="6"/>
        <v>-2.6828287470557766E-2</v>
      </c>
    </row>
    <row r="527" spans="1:7">
      <c r="A527" s="65">
        <v>86.72</v>
      </c>
      <c r="B527" s="65">
        <v>88.09</v>
      </c>
      <c r="C527" s="65">
        <v>86.53</v>
      </c>
      <c r="D527" s="65">
        <v>87.63</v>
      </c>
      <c r="E527" s="65">
        <v>1988029</v>
      </c>
      <c r="F527" s="65" t="s">
        <v>573</v>
      </c>
      <c r="G527" s="25">
        <f t="shared" si="6"/>
        <v>-1.0384571493780581E-2</v>
      </c>
    </row>
    <row r="528" spans="1:7">
      <c r="A528" s="65">
        <v>87.42</v>
      </c>
      <c r="B528" s="65">
        <v>87.79</v>
      </c>
      <c r="C528" s="65">
        <v>85.01</v>
      </c>
      <c r="D528" s="65">
        <v>85.31</v>
      </c>
      <c r="E528" s="65">
        <v>3421901</v>
      </c>
      <c r="F528" s="65" t="s">
        <v>574</v>
      </c>
      <c r="G528" s="25">
        <f t="shared" si="6"/>
        <v>2.4733325518696558E-2</v>
      </c>
    </row>
    <row r="529" spans="1:7">
      <c r="A529" s="65">
        <v>85.09</v>
      </c>
      <c r="B529" s="65">
        <v>86.32</v>
      </c>
      <c r="C529" s="65">
        <v>84.82</v>
      </c>
      <c r="D529" s="65">
        <v>85.73</v>
      </c>
      <c r="E529" s="65">
        <v>1727855</v>
      </c>
      <c r="F529" s="65" t="s">
        <v>575</v>
      </c>
      <c r="G529" s="25">
        <f t="shared" si="6"/>
        <v>-7.4652980286947779E-3</v>
      </c>
    </row>
    <row r="530" spans="1:7">
      <c r="A530" s="65">
        <v>85.84</v>
      </c>
      <c r="B530" s="65">
        <v>86.19</v>
      </c>
      <c r="C530" s="65">
        <v>85.01</v>
      </c>
      <c r="D530" s="65">
        <v>85.6</v>
      </c>
      <c r="E530" s="65">
        <v>1836563</v>
      </c>
      <c r="F530" s="65" t="s">
        <v>576</v>
      </c>
      <c r="G530" s="25">
        <f t="shared" si="6"/>
        <v>2.803738317757043E-3</v>
      </c>
    </row>
    <row r="531" spans="1:7">
      <c r="A531" s="65">
        <v>85.09</v>
      </c>
      <c r="B531" s="65">
        <v>86</v>
      </c>
      <c r="C531" s="65">
        <v>84.81</v>
      </c>
      <c r="D531" s="65">
        <v>85.83</v>
      </c>
      <c r="E531" s="65">
        <v>2449673</v>
      </c>
      <c r="F531" s="65" t="s">
        <v>577</v>
      </c>
      <c r="G531" s="25">
        <f t="shared" si="6"/>
        <v>-8.6216940463706981E-3</v>
      </c>
    </row>
    <row r="532" spans="1:7">
      <c r="A532" s="65">
        <v>85.25</v>
      </c>
      <c r="B532" s="65">
        <v>86.95</v>
      </c>
      <c r="C532" s="65">
        <v>85.2</v>
      </c>
      <c r="D532" s="65">
        <v>85.85</v>
      </c>
      <c r="E532" s="65">
        <v>2327197</v>
      </c>
      <c r="F532" s="65" t="s">
        <v>578</v>
      </c>
      <c r="G532" s="25">
        <f t="shared" si="6"/>
        <v>-6.988934187536322E-3</v>
      </c>
    </row>
    <row r="533" spans="1:7">
      <c r="A533" s="65">
        <v>85.06</v>
      </c>
      <c r="B533" s="65">
        <v>85.44</v>
      </c>
      <c r="C533" s="65">
        <v>83.81</v>
      </c>
      <c r="D533" s="65">
        <v>84.9</v>
      </c>
      <c r="E533" s="65">
        <v>1942855</v>
      </c>
      <c r="F533" s="65" t="s">
        <v>579</v>
      </c>
      <c r="G533" s="25">
        <f t="shared" si="6"/>
        <v>1.8845700824499101E-3</v>
      </c>
    </row>
    <row r="534" spans="1:7">
      <c r="A534" s="65">
        <v>84.3</v>
      </c>
      <c r="B534" s="65">
        <v>85.724999999999994</v>
      </c>
      <c r="C534" s="65">
        <v>83.5</v>
      </c>
      <c r="D534" s="65">
        <v>84.1</v>
      </c>
      <c r="E534" s="65">
        <v>2203110</v>
      </c>
      <c r="F534" s="65" t="s">
        <v>580</v>
      </c>
      <c r="G534" s="25">
        <f t="shared" si="6"/>
        <v>2.3781212841855748E-3</v>
      </c>
    </row>
    <row r="535" spans="1:7">
      <c r="A535" s="65">
        <v>84.67</v>
      </c>
      <c r="B535" s="65">
        <v>86.530799999999999</v>
      </c>
      <c r="C535" s="65">
        <v>84.49</v>
      </c>
      <c r="D535" s="65">
        <v>85.35</v>
      </c>
      <c r="E535" s="65">
        <v>3097564</v>
      </c>
      <c r="F535" s="65" t="s">
        <v>581</v>
      </c>
      <c r="G535" s="25">
        <f t="shared" si="6"/>
        <v>-7.967193907439829E-3</v>
      </c>
    </row>
    <row r="536" spans="1:7">
      <c r="A536" s="65">
        <v>85.95</v>
      </c>
      <c r="B536" s="65">
        <v>87.21</v>
      </c>
      <c r="C536" s="65">
        <v>85.13</v>
      </c>
      <c r="D536" s="65">
        <v>86.43</v>
      </c>
      <c r="E536" s="65">
        <v>3497796</v>
      </c>
      <c r="F536" s="65" t="s">
        <v>582</v>
      </c>
      <c r="G536" s="25">
        <f t="shared" si="6"/>
        <v>-5.5536272127734154E-3</v>
      </c>
    </row>
    <row r="537" spans="1:7">
      <c r="A537" s="65">
        <v>86.43</v>
      </c>
      <c r="B537" s="65">
        <v>88.38</v>
      </c>
      <c r="C537" s="65">
        <v>84.71</v>
      </c>
      <c r="D537" s="65">
        <v>87</v>
      </c>
      <c r="E537" s="65">
        <v>4979943</v>
      </c>
      <c r="F537" s="65" t="s">
        <v>583</v>
      </c>
      <c r="G537" s="25">
        <f t="shared" si="6"/>
        <v>-6.5517241379309255E-3</v>
      </c>
    </row>
    <row r="538" spans="1:7">
      <c r="A538" s="65">
        <v>88.01</v>
      </c>
      <c r="B538" s="65">
        <v>88.73</v>
      </c>
      <c r="C538" s="65">
        <v>86.66</v>
      </c>
      <c r="D538" s="65">
        <v>88</v>
      </c>
      <c r="E538" s="65">
        <v>4295297</v>
      </c>
      <c r="F538" s="65" t="s">
        <v>584</v>
      </c>
      <c r="G538" s="25">
        <f t="shared" si="6"/>
        <v>1.1363636363648233E-4</v>
      </c>
    </row>
    <row r="539" spans="1:7">
      <c r="A539" s="65">
        <v>88.61</v>
      </c>
      <c r="B539" s="65">
        <v>89.17</v>
      </c>
      <c r="C539" s="65">
        <v>87.7</v>
      </c>
      <c r="D539" s="65">
        <v>87.88</v>
      </c>
      <c r="E539" s="65">
        <v>3234988</v>
      </c>
      <c r="F539" s="65" t="s">
        <v>585</v>
      </c>
      <c r="G539" s="25">
        <f t="shared" si="6"/>
        <v>8.306781975421007E-3</v>
      </c>
    </row>
    <row r="540" spans="1:7">
      <c r="A540" s="65">
        <v>87.75</v>
      </c>
      <c r="B540" s="65">
        <v>87.93</v>
      </c>
      <c r="C540" s="65">
        <v>86.76</v>
      </c>
      <c r="D540" s="65">
        <v>87.4</v>
      </c>
      <c r="E540" s="65">
        <v>2663641</v>
      </c>
      <c r="F540" s="65" t="s">
        <v>586</v>
      </c>
      <c r="G540" s="25">
        <f t="shared" si="6"/>
        <v>4.004576659038861E-3</v>
      </c>
    </row>
    <row r="541" spans="1:7">
      <c r="A541" s="65">
        <v>86.96</v>
      </c>
      <c r="B541" s="65">
        <v>87.11</v>
      </c>
      <c r="C541" s="65">
        <v>85.73</v>
      </c>
      <c r="D541" s="65">
        <v>86.54</v>
      </c>
      <c r="E541" s="65">
        <v>2408082</v>
      </c>
      <c r="F541" s="65" t="s">
        <v>587</v>
      </c>
      <c r="G541" s="25">
        <f t="shared" si="6"/>
        <v>4.8532470533855232E-3</v>
      </c>
    </row>
    <row r="542" spans="1:7">
      <c r="A542" s="65">
        <v>85.94</v>
      </c>
      <c r="B542" s="65">
        <v>87.2</v>
      </c>
      <c r="C542" s="65">
        <v>85.38</v>
      </c>
      <c r="D542" s="65">
        <v>87.2</v>
      </c>
      <c r="E542" s="65">
        <v>3895701</v>
      </c>
      <c r="F542" s="65" t="s">
        <v>588</v>
      </c>
      <c r="G542" s="25">
        <f t="shared" si="6"/>
        <v>-1.4449541284403677E-2</v>
      </c>
    </row>
    <row r="543" spans="1:7">
      <c r="A543" s="65">
        <v>86.45</v>
      </c>
      <c r="B543" s="65">
        <v>87.35</v>
      </c>
      <c r="C543" s="65">
        <v>85.98</v>
      </c>
      <c r="D543" s="65">
        <v>87.35</v>
      </c>
      <c r="E543" s="65">
        <v>3122037</v>
      </c>
      <c r="F543" s="65" t="s">
        <v>589</v>
      </c>
      <c r="G543" s="25">
        <f t="shared" si="6"/>
        <v>-1.030337721808805E-2</v>
      </c>
    </row>
    <row r="544" spans="1:7">
      <c r="A544" s="65">
        <v>87.24</v>
      </c>
      <c r="B544" s="65">
        <v>89.89</v>
      </c>
      <c r="C544" s="65">
        <v>86.45</v>
      </c>
      <c r="D544" s="65">
        <v>89.89</v>
      </c>
      <c r="E544" s="65">
        <v>2878118</v>
      </c>
      <c r="F544" s="65" t="s">
        <v>590</v>
      </c>
      <c r="G544" s="25">
        <f t="shared" si="6"/>
        <v>-2.9480476137501488E-2</v>
      </c>
    </row>
    <row r="545" spans="1:7">
      <c r="A545" s="65">
        <v>90.05</v>
      </c>
      <c r="B545" s="65">
        <v>90.4</v>
      </c>
      <c r="C545" s="65">
        <v>87.87</v>
      </c>
      <c r="D545" s="65">
        <v>89.09</v>
      </c>
      <c r="E545" s="65">
        <v>2640500</v>
      </c>
      <c r="F545" s="65" t="s">
        <v>591</v>
      </c>
      <c r="G545" s="25">
        <f t="shared" si="6"/>
        <v>1.0775620159389376E-2</v>
      </c>
    </row>
    <row r="546" spans="1:7">
      <c r="A546" s="65">
        <v>89.2</v>
      </c>
      <c r="B546" s="65">
        <v>91.73</v>
      </c>
      <c r="C546" s="65">
        <v>88.96</v>
      </c>
      <c r="D546" s="65">
        <v>91.35</v>
      </c>
      <c r="E546" s="65">
        <v>2863151</v>
      </c>
      <c r="F546" s="65" t="s">
        <v>592</v>
      </c>
      <c r="G546" s="25">
        <f t="shared" si="6"/>
        <v>-2.3535851122057916E-2</v>
      </c>
    </row>
    <row r="547" spans="1:7">
      <c r="A547" s="65">
        <v>90.28</v>
      </c>
      <c r="B547" s="65">
        <v>90.78</v>
      </c>
      <c r="C547" s="65">
        <v>89.38</v>
      </c>
      <c r="D547" s="65">
        <v>90.78</v>
      </c>
      <c r="E547" s="65">
        <v>3155519</v>
      </c>
      <c r="F547" s="65" t="s">
        <v>593</v>
      </c>
      <c r="G547" s="25">
        <f t="shared" si="6"/>
        <v>-5.5078211059704785E-3</v>
      </c>
    </row>
    <row r="548" spans="1:7">
      <c r="A548" s="65">
        <v>91.41</v>
      </c>
      <c r="B548" s="65">
        <v>92.99</v>
      </c>
      <c r="C548" s="65">
        <v>91.02</v>
      </c>
      <c r="D548" s="65">
        <v>92.83</v>
      </c>
      <c r="E548" s="65">
        <v>2453586</v>
      </c>
      <c r="F548" s="65" t="s">
        <v>594</v>
      </c>
      <c r="G548" s="25">
        <f t="shared" si="6"/>
        <v>-1.5296779058494026E-2</v>
      </c>
    </row>
    <row r="549" spans="1:7">
      <c r="A549" s="65">
        <v>91.51</v>
      </c>
      <c r="B549" s="65">
        <v>91.89</v>
      </c>
      <c r="C549" s="65">
        <v>90.81</v>
      </c>
      <c r="D549" s="65">
        <v>91.73</v>
      </c>
      <c r="E549" s="65">
        <v>2836459</v>
      </c>
      <c r="F549" s="65" t="s">
        <v>595</v>
      </c>
      <c r="G549" s="25">
        <f t="shared" si="6"/>
        <v>-2.3983429630437536E-3</v>
      </c>
    </row>
    <row r="550" spans="1:7">
      <c r="A550" s="65">
        <v>93.05</v>
      </c>
      <c r="B550" s="65">
        <v>93.11</v>
      </c>
      <c r="C550" s="65">
        <v>91.17</v>
      </c>
      <c r="D550" s="65">
        <v>92.34</v>
      </c>
      <c r="E550" s="65">
        <v>2633591</v>
      </c>
      <c r="F550" s="65" t="s">
        <v>596</v>
      </c>
      <c r="G550" s="25">
        <f t="shared" si="6"/>
        <v>7.688975525232733E-3</v>
      </c>
    </row>
    <row r="551" spans="1:7">
      <c r="A551" s="65">
        <v>92.34</v>
      </c>
      <c r="B551" s="65">
        <v>92.855000000000004</v>
      </c>
      <c r="C551" s="65">
        <v>91.57</v>
      </c>
      <c r="D551" s="65">
        <v>92.61</v>
      </c>
      <c r="E551" s="65">
        <v>2667004</v>
      </c>
      <c r="F551" s="65" t="s">
        <v>597</v>
      </c>
      <c r="G551" s="25">
        <f t="shared" si="6"/>
        <v>-2.9154518950437192E-3</v>
      </c>
    </row>
    <row r="552" spans="1:7">
      <c r="A552" s="65">
        <v>92.7</v>
      </c>
      <c r="B552" s="65">
        <v>92.924999999999997</v>
      </c>
      <c r="C552" s="65">
        <v>90.86</v>
      </c>
      <c r="D552" s="65">
        <v>91.4</v>
      </c>
      <c r="E552" s="65">
        <v>2563322</v>
      </c>
      <c r="F552" s="65" t="s">
        <v>598</v>
      </c>
      <c r="G552" s="25">
        <f t="shared" si="6"/>
        <v>1.4223194748358869E-2</v>
      </c>
    </row>
    <row r="553" spans="1:7">
      <c r="A553" s="65">
        <v>91.2</v>
      </c>
      <c r="B553" s="65">
        <v>94.37</v>
      </c>
      <c r="C553" s="65">
        <v>91.11</v>
      </c>
      <c r="D553" s="65">
        <v>93.68</v>
      </c>
      <c r="E553" s="65">
        <v>3929048</v>
      </c>
      <c r="F553" s="65" t="s">
        <v>599</v>
      </c>
      <c r="G553" s="25">
        <f t="shared" si="6"/>
        <v>-2.6473099914602893E-2</v>
      </c>
    </row>
    <row r="554" spans="1:7">
      <c r="A554" s="65">
        <v>93.02</v>
      </c>
      <c r="B554" s="65">
        <v>95.064999999999998</v>
      </c>
      <c r="C554" s="65">
        <v>92.77</v>
      </c>
      <c r="D554" s="65">
        <v>93.95</v>
      </c>
      <c r="E554" s="65">
        <v>3189401</v>
      </c>
      <c r="F554" s="65" t="s">
        <v>600</v>
      </c>
      <c r="G554" s="25">
        <f t="shared" si="6"/>
        <v>-9.8988823842469653E-3</v>
      </c>
    </row>
    <row r="555" spans="1:7">
      <c r="A555" s="65">
        <v>94.31</v>
      </c>
      <c r="B555" s="65">
        <v>94.41</v>
      </c>
      <c r="C555" s="65">
        <v>92.37</v>
      </c>
      <c r="D555" s="65">
        <v>93.45</v>
      </c>
      <c r="E555" s="65">
        <v>2727538</v>
      </c>
      <c r="F555" s="65" t="s">
        <v>601</v>
      </c>
      <c r="G555" s="25">
        <f t="shared" si="6"/>
        <v>9.2027822364901812E-3</v>
      </c>
    </row>
    <row r="556" spans="1:7">
      <c r="A556" s="65">
        <v>94.25</v>
      </c>
      <c r="B556" s="65">
        <v>95.73</v>
      </c>
      <c r="C556" s="65">
        <v>93.27</v>
      </c>
      <c r="D556" s="65">
        <v>95.73</v>
      </c>
      <c r="E556" s="65">
        <v>3506293</v>
      </c>
      <c r="F556" s="65" t="s">
        <v>602</v>
      </c>
      <c r="G556" s="25">
        <f t="shared" si="6"/>
        <v>-1.5460148333855672E-2</v>
      </c>
    </row>
    <row r="557" spans="1:7">
      <c r="A557" s="65">
        <v>95.56</v>
      </c>
      <c r="B557" s="65">
        <v>96.12</v>
      </c>
      <c r="C557" s="65">
        <v>94.87</v>
      </c>
      <c r="D557" s="65">
        <v>95.48</v>
      </c>
      <c r="E557" s="65">
        <v>4007477</v>
      </c>
      <c r="F557" s="65" t="s">
        <v>603</v>
      </c>
      <c r="G557" s="25">
        <f t="shared" si="6"/>
        <v>8.3787180561367691E-4</v>
      </c>
    </row>
    <row r="558" spans="1:7">
      <c r="A558" s="65">
        <v>95.15</v>
      </c>
      <c r="B558" s="65">
        <v>95.35</v>
      </c>
      <c r="C558" s="65">
        <v>93.587199999999996</v>
      </c>
      <c r="D558" s="65">
        <v>93.75</v>
      </c>
      <c r="E558" s="65">
        <v>3656907</v>
      </c>
      <c r="F558" s="65" t="s">
        <v>604</v>
      </c>
      <c r="G558" s="25">
        <f t="shared" si="6"/>
        <v>1.4933333333333465E-2</v>
      </c>
    </row>
    <row r="559" spans="1:7">
      <c r="A559" s="65">
        <v>93.42</v>
      </c>
      <c r="B559" s="65">
        <v>94.33</v>
      </c>
      <c r="C559" s="65">
        <v>93.22</v>
      </c>
      <c r="D559" s="65">
        <v>93.47</v>
      </c>
      <c r="E559" s="65">
        <v>2750083</v>
      </c>
      <c r="F559" s="65" t="s">
        <v>605</v>
      </c>
      <c r="G559" s="25">
        <f t="shared" si="6"/>
        <v>-5.3493099390178322E-4</v>
      </c>
    </row>
    <row r="560" spans="1:7">
      <c r="A560" s="65">
        <v>93.16</v>
      </c>
      <c r="B560" s="65">
        <v>94.5</v>
      </c>
      <c r="C560" s="65">
        <v>92.96</v>
      </c>
      <c r="D560" s="65">
        <v>93.93</v>
      </c>
      <c r="E560" s="65">
        <v>2497213</v>
      </c>
      <c r="F560" s="65" t="s">
        <v>606</v>
      </c>
      <c r="G560" s="25">
        <f t="shared" si="6"/>
        <v>-8.197593952943838E-3</v>
      </c>
    </row>
    <row r="561" spans="1:7">
      <c r="A561" s="65">
        <v>93.79</v>
      </c>
      <c r="B561" s="65">
        <v>95.08</v>
      </c>
      <c r="C561" s="65">
        <v>93.2</v>
      </c>
      <c r="D561" s="65">
        <v>94.46</v>
      </c>
      <c r="E561" s="65">
        <v>2452996</v>
      </c>
      <c r="F561" s="65" t="s">
        <v>607</v>
      </c>
      <c r="G561" s="25">
        <f t="shared" si="6"/>
        <v>-7.0929493965697921E-3</v>
      </c>
    </row>
    <row r="562" spans="1:7">
      <c r="A562" s="65">
        <v>94.68</v>
      </c>
      <c r="B562" s="65">
        <v>95.18</v>
      </c>
      <c r="C562" s="65">
        <v>93.88</v>
      </c>
      <c r="D562" s="65">
        <v>93.9</v>
      </c>
      <c r="E562" s="65">
        <v>3731873</v>
      </c>
      <c r="F562" s="65" t="s">
        <v>608</v>
      </c>
      <c r="G562" s="25">
        <f t="shared" si="6"/>
        <v>8.3067092651756269E-3</v>
      </c>
    </row>
    <row r="563" spans="1:7">
      <c r="A563" s="65">
        <v>93.04</v>
      </c>
      <c r="B563" s="65">
        <v>94.4</v>
      </c>
      <c r="C563" s="65">
        <v>91.98</v>
      </c>
      <c r="D563" s="65">
        <v>94.26</v>
      </c>
      <c r="E563" s="65">
        <v>3385235</v>
      </c>
      <c r="F563" s="65" t="s">
        <v>609</v>
      </c>
      <c r="G563" s="25">
        <f t="shared" si="6"/>
        <v>-1.2942923827710562E-2</v>
      </c>
    </row>
    <row r="564" spans="1:7">
      <c r="A564" s="65">
        <v>94.31</v>
      </c>
      <c r="B564" s="65">
        <v>94.44</v>
      </c>
      <c r="C564" s="65">
        <v>92.32</v>
      </c>
      <c r="D564" s="65">
        <v>93.14</v>
      </c>
      <c r="E564" s="65">
        <v>3893551</v>
      </c>
      <c r="F564" s="65" t="s">
        <v>610</v>
      </c>
      <c r="G564" s="25">
        <f t="shared" si="6"/>
        <v>1.256173502254665E-2</v>
      </c>
    </row>
    <row r="565" spans="1:7">
      <c r="A565" s="65">
        <v>92.85</v>
      </c>
      <c r="B565" s="65">
        <v>93.04</v>
      </c>
      <c r="C565" s="65">
        <v>91.95</v>
      </c>
      <c r="D565" s="65">
        <v>92.48</v>
      </c>
      <c r="E565" s="65">
        <v>2899689</v>
      </c>
      <c r="F565" s="65" t="s">
        <v>611</v>
      </c>
      <c r="G565" s="25">
        <f t="shared" si="6"/>
        <v>4.000865051903002E-3</v>
      </c>
    </row>
    <row r="566" spans="1:7">
      <c r="A566" s="65">
        <v>92.31</v>
      </c>
      <c r="B566" s="65">
        <v>94</v>
      </c>
      <c r="C566" s="65">
        <v>92.16</v>
      </c>
      <c r="D566" s="65">
        <v>92.46</v>
      </c>
      <c r="E566" s="65">
        <v>5700263</v>
      </c>
      <c r="F566" s="65" t="s">
        <v>612</v>
      </c>
      <c r="G566" s="25">
        <f t="shared" si="6"/>
        <v>-1.6223231667746862E-3</v>
      </c>
    </row>
    <row r="567" spans="1:7">
      <c r="A567" s="65">
        <v>93.36</v>
      </c>
      <c r="B567" s="65">
        <v>95.27</v>
      </c>
      <c r="C567" s="65">
        <v>92.47</v>
      </c>
      <c r="D567" s="65">
        <v>93.03</v>
      </c>
      <c r="E567" s="65">
        <v>5066707</v>
      </c>
      <c r="F567" s="65" t="s">
        <v>613</v>
      </c>
      <c r="G567" s="25">
        <f t="shared" si="6"/>
        <v>3.5472428248952692E-3</v>
      </c>
    </row>
    <row r="568" spans="1:7">
      <c r="A568" s="65">
        <v>92.93</v>
      </c>
      <c r="B568" s="65">
        <v>93.3</v>
      </c>
      <c r="C568" s="65">
        <v>90.09</v>
      </c>
      <c r="D568" s="65">
        <v>90.91</v>
      </c>
      <c r="E568" s="65">
        <v>7036488</v>
      </c>
      <c r="F568" s="65" t="s">
        <v>614</v>
      </c>
      <c r="G568" s="25">
        <f t="shared" si="6"/>
        <v>2.2219777802222174E-2</v>
      </c>
    </row>
    <row r="569" spans="1:7">
      <c r="A569" s="65">
        <v>90.91</v>
      </c>
      <c r="B569" s="65">
        <v>91.15</v>
      </c>
      <c r="C569" s="65">
        <v>89.79</v>
      </c>
      <c r="D569" s="65">
        <v>90.58</v>
      </c>
      <c r="E569" s="65">
        <v>2323870</v>
      </c>
      <c r="F569" s="65" t="s">
        <v>615</v>
      </c>
      <c r="G569" s="25">
        <f t="shared" si="6"/>
        <v>3.6431883417973321E-3</v>
      </c>
    </row>
    <row r="570" spans="1:7">
      <c r="A570" s="65">
        <v>90.83</v>
      </c>
      <c r="B570" s="65">
        <v>92.04</v>
      </c>
      <c r="C570" s="65">
        <v>90.7</v>
      </c>
      <c r="D570" s="65">
        <v>91.73</v>
      </c>
      <c r="E570" s="65">
        <v>2974007</v>
      </c>
      <c r="F570" s="65" t="s">
        <v>616</v>
      </c>
      <c r="G570" s="25">
        <f t="shared" si="6"/>
        <v>-9.8114030306334366E-3</v>
      </c>
    </row>
    <row r="571" spans="1:7">
      <c r="A571" s="65">
        <v>92.14</v>
      </c>
      <c r="B571" s="65">
        <v>94.204999999999998</v>
      </c>
      <c r="C571" s="65">
        <v>91.91</v>
      </c>
      <c r="D571" s="65">
        <v>93.34</v>
      </c>
      <c r="E571" s="65">
        <v>5909408</v>
      </c>
      <c r="F571" s="65" t="s">
        <v>617</v>
      </c>
      <c r="G571" s="25">
        <f t="shared" si="6"/>
        <v>-1.2856224555388929E-2</v>
      </c>
    </row>
    <row r="572" spans="1:7">
      <c r="A572" s="65">
        <v>93.81</v>
      </c>
      <c r="B572" s="65">
        <v>93.892499999999998</v>
      </c>
      <c r="C572" s="65">
        <v>90.74</v>
      </c>
      <c r="D572" s="65">
        <v>90.98</v>
      </c>
      <c r="E572" s="65">
        <v>6846629</v>
      </c>
      <c r="F572" s="65" t="s">
        <v>618</v>
      </c>
      <c r="G572" s="25">
        <f t="shared" ref="G572:G635" si="7">A572/D572-1</f>
        <v>3.1105737524730781E-2</v>
      </c>
    </row>
    <row r="573" spans="1:7">
      <c r="A573" s="65">
        <v>88.33</v>
      </c>
      <c r="B573" s="65">
        <v>88.653999999999996</v>
      </c>
      <c r="C573" s="65">
        <v>86.28</v>
      </c>
      <c r="D573" s="65">
        <v>86.43</v>
      </c>
      <c r="E573" s="65">
        <v>3552002</v>
      </c>
      <c r="F573" s="65" t="s">
        <v>619</v>
      </c>
      <c r="G573" s="25">
        <f t="shared" si="7"/>
        <v>2.1983107717227668E-2</v>
      </c>
    </row>
    <row r="574" spans="1:7">
      <c r="A574" s="65">
        <v>86.1</v>
      </c>
      <c r="B574" s="65">
        <v>87.4</v>
      </c>
      <c r="C574" s="65">
        <v>85.655000000000001</v>
      </c>
      <c r="D574" s="65">
        <v>86.79</v>
      </c>
      <c r="E574" s="65">
        <v>2226179</v>
      </c>
      <c r="F574" s="65" t="s">
        <v>620</v>
      </c>
      <c r="G574" s="25">
        <f t="shared" si="7"/>
        <v>-7.9502246802628518E-3</v>
      </c>
    </row>
    <row r="575" spans="1:7">
      <c r="A575" s="65">
        <v>87.02</v>
      </c>
      <c r="B575" s="65">
        <v>87.59</v>
      </c>
      <c r="C575" s="65">
        <v>85.32</v>
      </c>
      <c r="D575" s="65">
        <v>85.36</v>
      </c>
      <c r="E575" s="65">
        <v>6772501</v>
      </c>
      <c r="F575" s="65" t="s">
        <v>621</v>
      </c>
      <c r="G575" s="25">
        <f t="shared" si="7"/>
        <v>1.9447047797563233E-2</v>
      </c>
    </row>
    <row r="576" spans="1:7">
      <c r="A576" s="65">
        <v>85.22</v>
      </c>
      <c r="B576" s="65">
        <v>85.74</v>
      </c>
      <c r="C576" s="65">
        <v>83.61</v>
      </c>
      <c r="D576" s="65">
        <v>84.4</v>
      </c>
      <c r="E576" s="65">
        <v>3296234</v>
      </c>
      <c r="F576" s="65" t="s">
        <v>622</v>
      </c>
      <c r="G576" s="25">
        <f t="shared" si="7"/>
        <v>9.7156398104265573E-3</v>
      </c>
    </row>
    <row r="577" spans="1:7">
      <c r="A577" s="65">
        <v>84.87</v>
      </c>
      <c r="B577" s="65">
        <v>86.03</v>
      </c>
      <c r="C577" s="65">
        <v>84.43</v>
      </c>
      <c r="D577" s="65">
        <v>86</v>
      </c>
      <c r="E577" s="65">
        <v>5175059</v>
      </c>
      <c r="F577" s="65" t="s">
        <v>623</v>
      </c>
      <c r="G577" s="25">
        <f t="shared" si="7"/>
        <v>-1.3139534883720883E-2</v>
      </c>
    </row>
    <row r="578" spans="1:7">
      <c r="A578" s="65">
        <v>86</v>
      </c>
      <c r="B578" s="65">
        <v>86.62</v>
      </c>
      <c r="C578" s="65">
        <v>85.474999999999994</v>
      </c>
      <c r="D578" s="65">
        <v>86.32</v>
      </c>
      <c r="E578" s="65">
        <v>2635365</v>
      </c>
      <c r="F578" s="65" t="s">
        <v>624</v>
      </c>
      <c r="G578" s="25">
        <f t="shared" si="7"/>
        <v>-3.707136237256603E-3</v>
      </c>
    </row>
    <row r="579" spans="1:7">
      <c r="A579" s="65">
        <v>86.51</v>
      </c>
      <c r="B579" s="65">
        <v>86.72</v>
      </c>
      <c r="C579" s="65">
        <v>85.41</v>
      </c>
      <c r="D579" s="65">
        <v>86.12</v>
      </c>
      <c r="E579" s="65">
        <v>4069696</v>
      </c>
      <c r="F579" s="65" t="s">
        <v>625</v>
      </c>
      <c r="G579" s="25">
        <f t="shared" si="7"/>
        <v>4.5285647933117623E-3</v>
      </c>
    </row>
    <row r="580" spans="1:7">
      <c r="A580" s="65">
        <v>86.15</v>
      </c>
      <c r="B580" s="65">
        <v>87.73</v>
      </c>
      <c r="C580" s="65">
        <v>85.84</v>
      </c>
      <c r="D580" s="65">
        <v>87.39</v>
      </c>
      <c r="E580" s="65">
        <v>6366033</v>
      </c>
      <c r="F580" s="65" t="s">
        <v>626</v>
      </c>
      <c r="G580" s="25">
        <f t="shared" si="7"/>
        <v>-1.4189266506465237E-2</v>
      </c>
    </row>
    <row r="581" spans="1:7">
      <c r="A581" s="65">
        <v>87.74</v>
      </c>
      <c r="B581" s="65">
        <v>88.33</v>
      </c>
      <c r="C581" s="65">
        <v>87.37</v>
      </c>
      <c r="D581" s="65">
        <v>87.92</v>
      </c>
      <c r="E581" s="65">
        <v>2797860</v>
      </c>
      <c r="F581" s="65" t="s">
        <v>627</v>
      </c>
      <c r="G581" s="25">
        <f t="shared" si="7"/>
        <v>-2.0473157415833443E-3</v>
      </c>
    </row>
    <row r="582" spans="1:7">
      <c r="A582" s="65">
        <v>87.62</v>
      </c>
      <c r="B582" s="65">
        <v>87.76</v>
      </c>
      <c r="C582" s="65">
        <v>85.49</v>
      </c>
      <c r="D582" s="65">
        <v>86.36</v>
      </c>
      <c r="E582" s="65">
        <v>2460753</v>
      </c>
      <c r="F582" s="65" t="s">
        <v>628</v>
      </c>
      <c r="G582" s="25">
        <f t="shared" si="7"/>
        <v>1.4590088003705537E-2</v>
      </c>
    </row>
    <row r="583" spans="1:7">
      <c r="A583" s="65">
        <v>86.65</v>
      </c>
      <c r="B583" s="65">
        <v>87.16</v>
      </c>
      <c r="C583" s="65">
        <v>86.2</v>
      </c>
      <c r="D583" s="65">
        <v>87.02</v>
      </c>
      <c r="E583" s="65">
        <v>2142405</v>
      </c>
      <c r="F583" s="65" t="s">
        <v>629</v>
      </c>
      <c r="G583" s="25">
        <f t="shared" si="7"/>
        <v>-4.2518961158353186E-3</v>
      </c>
    </row>
    <row r="584" spans="1:7">
      <c r="A584" s="65">
        <v>86.9</v>
      </c>
      <c r="B584" s="65">
        <v>87</v>
      </c>
      <c r="C584" s="65">
        <v>85.3</v>
      </c>
      <c r="D584" s="65">
        <v>85.8</v>
      </c>
      <c r="E584" s="65">
        <v>3235818</v>
      </c>
      <c r="F584" s="65" t="s">
        <v>630</v>
      </c>
      <c r="G584" s="25">
        <f t="shared" si="7"/>
        <v>1.2820512820512997E-2</v>
      </c>
    </row>
    <row r="585" spans="1:7">
      <c r="A585" s="65">
        <v>86.1</v>
      </c>
      <c r="B585" s="65">
        <v>87.25</v>
      </c>
      <c r="C585" s="65">
        <v>85.43</v>
      </c>
      <c r="D585" s="65">
        <v>85.84</v>
      </c>
      <c r="E585" s="65">
        <v>2122134</v>
      </c>
      <c r="F585" s="65" t="s">
        <v>631</v>
      </c>
      <c r="G585" s="25">
        <f t="shared" si="7"/>
        <v>3.0288909599254232E-3</v>
      </c>
    </row>
    <row r="586" spans="1:7">
      <c r="A586" s="65">
        <v>86.04</v>
      </c>
      <c r="B586" s="65">
        <v>86.71</v>
      </c>
      <c r="C586" s="65">
        <v>85.38</v>
      </c>
      <c r="D586" s="65">
        <v>86.3</v>
      </c>
      <c r="E586" s="65">
        <v>2727306</v>
      </c>
      <c r="F586" s="65" t="s">
        <v>632</v>
      </c>
      <c r="G586" s="25">
        <f t="shared" si="7"/>
        <v>-3.0127462340671096E-3</v>
      </c>
    </row>
    <row r="587" spans="1:7">
      <c r="A587" s="65">
        <v>86.04</v>
      </c>
      <c r="B587" s="65">
        <v>87.28</v>
      </c>
      <c r="C587" s="65">
        <v>85.03</v>
      </c>
      <c r="D587" s="65">
        <v>86.62</v>
      </c>
      <c r="E587" s="65">
        <v>4976605</v>
      </c>
      <c r="F587" s="65" t="s">
        <v>633</v>
      </c>
      <c r="G587" s="25">
        <f t="shared" si="7"/>
        <v>-6.6959131840221842E-3</v>
      </c>
    </row>
    <row r="588" spans="1:7">
      <c r="A588" s="65">
        <v>86.26</v>
      </c>
      <c r="B588" s="65">
        <v>87.48</v>
      </c>
      <c r="C588" s="65">
        <v>85.305000000000007</v>
      </c>
      <c r="D588" s="65">
        <v>86</v>
      </c>
      <c r="E588" s="65">
        <v>4012986</v>
      </c>
      <c r="F588" s="65" t="s">
        <v>634</v>
      </c>
      <c r="G588" s="25">
        <f t="shared" si="7"/>
        <v>3.0232558139535737E-3</v>
      </c>
    </row>
    <row r="589" spans="1:7">
      <c r="A589" s="65">
        <v>87.12</v>
      </c>
      <c r="B589" s="65">
        <v>87.47</v>
      </c>
      <c r="C589" s="65">
        <v>84.44</v>
      </c>
      <c r="D589" s="65">
        <v>84.83</v>
      </c>
      <c r="E589" s="65">
        <v>3826186</v>
      </c>
      <c r="F589" s="65" t="s">
        <v>635</v>
      </c>
      <c r="G589" s="25">
        <f t="shared" si="7"/>
        <v>2.699516680419678E-2</v>
      </c>
    </row>
    <row r="590" spans="1:7">
      <c r="A590" s="65">
        <v>85.01</v>
      </c>
      <c r="B590" s="65">
        <v>86.69</v>
      </c>
      <c r="C590" s="65">
        <v>84.89</v>
      </c>
      <c r="D590" s="65">
        <v>86.08</v>
      </c>
      <c r="E590" s="65">
        <v>3052186</v>
      </c>
      <c r="F590" s="65" t="s">
        <v>636</v>
      </c>
      <c r="G590" s="25">
        <f t="shared" si="7"/>
        <v>-1.2430297397769463E-2</v>
      </c>
    </row>
    <row r="591" spans="1:7">
      <c r="A591" s="65">
        <v>85.8</v>
      </c>
      <c r="B591" s="65">
        <v>86.644999999999996</v>
      </c>
      <c r="C591" s="65">
        <v>85.21</v>
      </c>
      <c r="D591" s="65">
        <v>86.45</v>
      </c>
      <c r="E591" s="65">
        <v>3723162</v>
      </c>
      <c r="F591" s="65" t="s">
        <v>637</v>
      </c>
      <c r="G591" s="25">
        <f t="shared" si="7"/>
        <v>-7.5187969924812581E-3</v>
      </c>
    </row>
    <row r="592" spans="1:7">
      <c r="A592" s="65">
        <v>86.61</v>
      </c>
      <c r="B592" s="65">
        <v>89.44</v>
      </c>
      <c r="C592" s="65">
        <v>82.53</v>
      </c>
      <c r="D592" s="65">
        <v>89.44</v>
      </c>
      <c r="E592" s="65">
        <v>7386808</v>
      </c>
      <c r="F592" s="65" t="s">
        <v>638</v>
      </c>
      <c r="G592" s="25">
        <f t="shared" si="7"/>
        <v>-3.164132379248652E-2</v>
      </c>
    </row>
    <row r="593" spans="1:7">
      <c r="A593" s="65">
        <v>88.25</v>
      </c>
      <c r="B593" s="65">
        <v>88.83</v>
      </c>
      <c r="C593" s="65">
        <v>85</v>
      </c>
      <c r="D593" s="65">
        <v>86.13</v>
      </c>
      <c r="E593" s="65">
        <v>7193564</v>
      </c>
      <c r="F593" s="65" t="s">
        <v>639</v>
      </c>
      <c r="G593" s="25">
        <f t="shared" si="7"/>
        <v>2.4613955648438379E-2</v>
      </c>
    </row>
    <row r="594" spans="1:7">
      <c r="A594" s="65">
        <v>86.06</v>
      </c>
      <c r="B594" s="65">
        <v>90.2</v>
      </c>
      <c r="C594" s="65">
        <v>85.99</v>
      </c>
      <c r="D594" s="65">
        <v>88</v>
      </c>
      <c r="E594" s="65">
        <v>10824780</v>
      </c>
      <c r="F594" s="65" t="s">
        <v>640</v>
      </c>
      <c r="G594" s="25">
        <f t="shared" si="7"/>
        <v>-2.2045454545454479E-2</v>
      </c>
    </row>
    <row r="595" spans="1:7">
      <c r="A595" s="65">
        <v>86.09</v>
      </c>
      <c r="B595" s="65">
        <v>86.47</v>
      </c>
      <c r="C595" s="65">
        <v>79.715000000000003</v>
      </c>
      <c r="D595" s="65">
        <v>80</v>
      </c>
      <c r="E595" s="65">
        <v>11803023</v>
      </c>
      <c r="F595" s="65" t="s">
        <v>641</v>
      </c>
      <c r="G595" s="25">
        <f t="shared" si="7"/>
        <v>7.6124999999999998E-2</v>
      </c>
    </row>
    <row r="596" spans="1:7">
      <c r="A596" s="65">
        <v>78.709999999999994</v>
      </c>
      <c r="B596" s="65">
        <v>78.91</v>
      </c>
      <c r="C596" s="65">
        <v>77.11</v>
      </c>
      <c r="D596" s="65">
        <v>78.290000000000006</v>
      </c>
      <c r="E596" s="65">
        <v>5020840</v>
      </c>
      <c r="F596" s="65" t="s">
        <v>642</v>
      </c>
      <c r="G596" s="25">
        <f t="shared" si="7"/>
        <v>5.3646698173455132E-3</v>
      </c>
    </row>
    <row r="597" spans="1:7">
      <c r="A597" s="65">
        <v>78.47</v>
      </c>
      <c r="B597" s="65">
        <v>79.930000000000007</v>
      </c>
      <c r="C597" s="65">
        <v>77.194999999999993</v>
      </c>
      <c r="D597" s="65">
        <v>77.760000000000005</v>
      </c>
      <c r="E597" s="65">
        <v>9470520</v>
      </c>
      <c r="F597" s="65" t="s">
        <v>643</v>
      </c>
      <c r="G597" s="25">
        <f t="shared" si="7"/>
        <v>9.1306584362138565E-3</v>
      </c>
    </row>
    <row r="598" spans="1:7">
      <c r="A598" s="65">
        <v>73.900000000000006</v>
      </c>
      <c r="B598" s="65">
        <v>74.48</v>
      </c>
      <c r="C598" s="65">
        <v>73.680000000000007</v>
      </c>
      <c r="D598" s="65">
        <v>74.36</v>
      </c>
      <c r="E598" s="65">
        <v>2118650</v>
      </c>
      <c r="F598" s="65" t="s">
        <v>644</v>
      </c>
      <c r="G598" s="25">
        <f t="shared" si="7"/>
        <v>-6.1861215707368356E-3</v>
      </c>
    </row>
    <row r="599" spans="1:7">
      <c r="A599" s="65">
        <v>74.569999999999993</v>
      </c>
      <c r="B599" s="65">
        <v>74.62</v>
      </c>
      <c r="C599" s="65">
        <v>72.707099999999997</v>
      </c>
      <c r="D599" s="65">
        <v>72.98</v>
      </c>
      <c r="E599" s="65">
        <v>2685701</v>
      </c>
      <c r="F599" s="65" t="s">
        <v>645</v>
      </c>
      <c r="G599" s="25">
        <f t="shared" si="7"/>
        <v>2.1786790901616726E-2</v>
      </c>
    </row>
    <row r="600" spans="1:7">
      <c r="A600" s="65">
        <v>73.239999999999995</v>
      </c>
      <c r="B600" s="65">
        <v>73.805000000000007</v>
      </c>
      <c r="C600" s="65">
        <v>72.97</v>
      </c>
      <c r="D600" s="65">
        <v>73.55</v>
      </c>
      <c r="E600" s="65">
        <v>2812092</v>
      </c>
      <c r="F600" s="65" t="s">
        <v>646</v>
      </c>
      <c r="G600" s="25">
        <f t="shared" si="7"/>
        <v>-4.2148198504419199E-3</v>
      </c>
    </row>
    <row r="601" spans="1:7">
      <c r="A601" s="65">
        <v>73.55</v>
      </c>
      <c r="B601" s="65">
        <v>73.78</v>
      </c>
      <c r="C601" s="65">
        <v>71.92</v>
      </c>
      <c r="D601" s="65">
        <v>73.33</v>
      </c>
      <c r="E601" s="65">
        <v>4588601</v>
      </c>
      <c r="F601" s="65" t="s">
        <v>647</v>
      </c>
      <c r="G601" s="25">
        <f t="shared" si="7"/>
        <v>3.0001363698348715E-3</v>
      </c>
    </row>
    <row r="602" spans="1:7">
      <c r="A602" s="65">
        <v>72.540000000000006</v>
      </c>
      <c r="B602" s="65">
        <v>75.19</v>
      </c>
      <c r="C602" s="65">
        <v>72.47</v>
      </c>
      <c r="D602" s="65">
        <v>75.16</v>
      </c>
      <c r="E602" s="65">
        <v>4457582</v>
      </c>
      <c r="F602" s="65" t="s">
        <v>648</v>
      </c>
      <c r="G602" s="25">
        <f t="shared" si="7"/>
        <v>-3.4858967535923213E-2</v>
      </c>
    </row>
    <row r="603" spans="1:7">
      <c r="A603" s="65">
        <v>74.83</v>
      </c>
      <c r="B603" s="65">
        <v>75.86</v>
      </c>
      <c r="C603" s="65">
        <v>74.13</v>
      </c>
      <c r="D603" s="65">
        <v>75.59</v>
      </c>
      <c r="E603" s="65">
        <v>2410194</v>
      </c>
      <c r="F603" s="65" t="s">
        <v>649</v>
      </c>
      <c r="G603" s="25">
        <f t="shared" si="7"/>
        <v>-1.0054239978833257E-2</v>
      </c>
    </row>
    <row r="604" spans="1:7">
      <c r="A604" s="65">
        <v>75.16</v>
      </c>
      <c r="B604" s="65">
        <v>76.540000000000006</v>
      </c>
      <c r="C604" s="65">
        <v>74.609700000000004</v>
      </c>
      <c r="D604" s="65">
        <v>74.75</v>
      </c>
      <c r="E604" s="65">
        <v>3408110</v>
      </c>
      <c r="F604" s="65" t="s">
        <v>650</v>
      </c>
      <c r="G604" s="25">
        <f t="shared" si="7"/>
        <v>5.4849498327758095E-3</v>
      </c>
    </row>
    <row r="605" spans="1:7">
      <c r="A605" s="65">
        <v>74.31</v>
      </c>
      <c r="B605" s="65">
        <v>74.75</v>
      </c>
      <c r="C605" s="65">
        <v>73.53</v>
      </c>
      <c r="D605" s="65">
        <v>74.64</v>
      </c>
      <c r="E605" s="65">
        <v>3581190</v>
      </c>
      <c r="F605" s="65" t="s">
        <v>651</v>
      </c>
      <c r="G605" s="25">
        <f t="shared" si="7"/>
        <v>-4.4212218649517521E-3</v>
      </c>
    </row>
    <row r="606" spans="1:7">
      <c r="A606" s="65">
        <v>74.44</v>
      </c>
      <c r="B606" s="65">
        <v>74.55</v>
      </c>
      <c r="C606" s="65">
        <v>73.38</v>
      </c>
      <c r="D606" s="65">
        <v>73.930000000000007</v>
      </c>
      <c r="E606" s="65">
        <v>3822650</v>
      </c>
      <c r="F606" s="65" t="s">
        <v>652</v>
      </c>
      <c r="G606" s="25">
        <f t="shared" si="7"/>
        <v>6.89841742188535E-3</v>
      </c>
    </row>
    <row r="607" spans="1:7">
      <c r="A607" s="65">
        <v>73.819999999999993</v>
      </c>
      <c r="B607" s="65">
        <v>73.94</v>
      </c>
      <c r="C607" s="65">
        <v>72.81</v>
      </c>
      <c r="D607" s="65">
        <v>73.59</v>
      </c>
      <c r="E607" s="65">
        <v>2763274</v>
      </c>
      <c r="F607" s="65" t="s">
        <v>653</v>
      </c>
      <c r="G607" s="25">
        <f t="shared" si="7"/>
        <v>3.1254246500882488E-3</v>
      </c>
    </row>
    <row r="608" spans="1:7">
      <c r="A608" s="65">
        <v>73.989999999999995</v>
      </c>
      <c r="B608" s="65">
        <v>74.265000000000001</v>
      </c>
      <c r="C608" s="65">
        <v>72.989999999999995</v>
      </c>
      <c r="D608" s="65">
        <v>73.430000000000007</v>
      </c>
      <c r="E608" s="65">
        <v>4298167</v>
      </c>
      <c r="F608" s="65" t="s">
        <v>654</v>
      </c>
      <c r="G608" s="25">
        <f t="shared" si="7"/>
        <v>7.6263107721636914E-3</v>
      </c>
    </row>
    <row r="609" spans="1:7">
      <c r="A609" s="65">
        <v>74.03</v>
      </c>
      <c r="B609" s="65">
        <v>76.010000000000005</v>
      </c>
      <c r="C609" s="65">
        <v>73.89</v>
      </c>
      <c r="D609" s="65">
        <v>75.64</v>
      </c>
      <c r="E609" s="65">
        <v>2756461</v>
      </c>
      <c r="F609" s="65" t="s">
        <v>655</v>
      </c>
      <c r="G609" s="25">
        <f t="shared" si="7"/>
        <v>-2.1285034373347389E-2</v>
      </c>
    </row>
    <row r="610" spans="1:7">
      <c r="A610" s="65">
        <v>75.14</v>
      </c>
      <c r="B610" s="65">
        <v>76.12</v>
      </c>
      <c r="C610" s="65">
        <v>74.8</v>
      </c>
      <c r="D610" s="65">
        <v>76.03</v>
      </c>
      <c r="E610" s="65">
        <v>2650358</v>
      </c>
      <c r="F610" s="65" t="s">
        <v>656</v>
      </c>
      <c r="G610" s="25">
        <f t="shared" si="7"/>
        <v>-1.17059055635933E-2</v>
      </c>
    </row>
    <row r="611" spans="1:7">
      <c r="A611" s="65">
        <v>76.12</v>
      </c>
      <c r="B611" s="65">
        <v>76.61</v>
      </c>
      <c r="C611" s="65">
        <v>75.25</v>
      </c>
      <c r="D611" s="65">
        <v>76.2</v>
      </c>
      <c r="E611" s="65">
        <v>2548487</v>
      </c>
      <c r="F611" s="65" t="s">
        <v>657</v>
      </c>
      <c r="G611" s="25">
        <f t="shared" si="7"/>
        <v>-1.0498687664042272E-3</v>
      </c>
    </row>
    <row r="612" spans="1:7">
      <c r="A612" s="65">
        <v>75.83</v>
      </c>
      <c r="B612" s="65">
        <v>76.650000000000006</v>
      </c>
      <c r="C612" s="65">
        <v>75.08</v>
      </c>
      <c r="D612" s="65">
        <v>75.209999999999994</v>
      </c>
      <c r="E612" s="65">
        <v>2630462</v>
      </c>
      <c r="F612" s="65" t="s">
        <v>658</v>
      </c>
      <c r="G612" s="25">
        <f t="shared" si="7"/>
        <v>8.2435846297035376E-3</v>
      </c>
    </row>
    <row r="613" spans="1:7">
      <c r="A613" s="65">
        <v>75.67</v>
      </c>
      <c r="B613" s="65">
        <v>75.72</v>
      </c>
      <c r="C613" s="65">
        <v>72.5</v>
      </c>
      <c r="D613" s="65">
        <v>73.17</v>
      </c>
      <c r="E613" s="65">
        <v>3060637</v>
      </c>
      <c r="F613" s="65" t="s">
        <v>659</v>
      </c>
      <c r="G613" s="25">
        <f t="shared" si="7"/>
        <v>3.4167008336750015E-2</v>
      </c>
    </row>
    <row r="614" spans="1:7">
      <c r="A614" s="65">
        <v>72.849999999999994</v>
      </c>
      <c r="B614" s="65">
        <v>73.61</v>
      </c>
      <c r="C614" s="65">
        <v>72.394999999999996</v>
      </c>
      <c r="D614" s="65">
        <v>73.17</v>
      </c>
      <c r="E614" s="65">
        <v>2694304</v>
      </c>
      <c r="F614" s="65" t="s">
        <v>660</v>
      </c>
      <c r="G614" s="25">
        <f t="shared" si="7"/>
        <v>-4.3733770671040562E-3</v>
      </c>
    </row>
    <row r="615" spans="1:7">
      <c r="A615" s="65">
        <v>73.52</v>
      </c>
      <c r="B615" s="65">
        <v>73.83</v>
      </c>
      <c r="C615" s="65">
        <v>71.67</v>
      </c>
      <c r="D615" s="65">
        <v>71.97</v>
      </c>
      <c r="E615" s="65">
        <v>3705930</v>
      </c>
      <c r="F615" s="65" t="s">
        <v>661</v>
      </c>
      <c r="G615" s="25">
        <f t="shared" si="7"/>
        <v>2.1536751424204414E-2</v>
      </c>
    </row>
    <row r="616" spans="1:7">
      <c r="A616" s="65">
        <v>73.13</v>
      </c>
      <c r="B616" s="65">
        <v>75.260000000000005</v>
      </c>
      <c r="C616" s="65">
        <v>72.97</v>
      </c>
      <c r="D616" s="65">
        <v>75.260000000000005</v>
      </c>
      <c r="E616" s="65">
        <v>3057922</v>
      </c>
      <c r="F616" s="65" t="s">
        <v>662</v>
      </c>
      <c r="G616" s="25">
        <f t="shared" si="7"/>
        <v>-2.8301886792452935E-2</v>
      </c>
    </row>
    <row r="617" spans="1:7">
      <c r="A617" s="65">
        <v>75.569999999999993</v>
      </c>
      <c r="B617" s="65">
        <v>76.680000000000007</v>
      </c>
      <c r="C617" s="65">
        <v>74.959999999999994</v>
      </c>
      <c r="D617" s="65">
        <v>75.69</v>
      </c>
      <c r="E617" s="65">
        <v>2677623</v>
      </c>
      <c r="F617" s="65" t="s">
        <v>663</v>
      </c>
      <c r="G617" s="25">
        <f t="shared" si="7"/>
        <v>-1.5854141894570128E-3</v>
      </c>
    </row>
    <row r="618" spans="1:7">
      <c r="A618" s="65">
        <v>76.25</v>
      </c>
      <c r="B618" s="65">
        <v>76.77</v>
      </c>
      <c r="C618" s="65">
        <v>76.14</v>
      </c>
      <c r="D618" s="65">
        <v>76.650000000000006</v>
      </c>
      <c r="E618" s="65">
        <v>1905679</v>
      </c>
      <c r="F618" s="65" t="s">
        <v>664</v>
      </c>
      <c r="G618" s="25">
        <f t="shared" si="7"/>
        <v>-5.2185257664710827E-3</v>
      </c>
    </row>
    <row r="619" spans="1:7">
      <c r="A619" s="65">
        <v>76.709999999999994</v>
      </c>
      <c r="B619" s="65">
        <v>77.2</v>
      </c>
      <c r="C619" s="65">
        <v>76.094999999999999</v>
      </c>
      <c r="D619" s="65">
        <v>76.3</v>
      </c>
      <c r="E619" s="65">
        <v>1982815</v>
      </c>
      <c r="F619" s="65" t="s">
        <v>665</v>
      </c>
      <c r="G619" s="25">
        <f t="shared" si="7"/>
        <v>5.3735255570117602E-3</v>
      </c>
    </row>
    <row r="620" spans="1:7">
      <c r="A620" s="65">
        <v>76.209999999999994</v>
      </c>
      <c r="B620" s="65">
        <v>76.63</v>
      </c>
      <c r="C620" s="65">
        <v>75.819999999999993</v>
      </c>
      <c r="D620" s="65">
        <v>76.08</v>
      </c>
      <c r="E620" s="65">
        <v>2152641</v>
      </c>
      <c r="F620" s="65" t="s">
        <v>666</v>
      </c>
      <c r="G620" s="25">
        <f t="shared" si="7"/>
        <v>1.7087276550997732E-3</v>
      </c>
    </row>
    <row r="621" spans="1:7">
      <c r="A621" s="65">
        <v>76.28</v>
      </c>
      <c r="B621" s="65">
        <v>76.63</v>
      </c>
      <c r="C621" s="65">
        <v>75.497799999999998</v>
      </c>
      <c r="D621" s="65">
        <v>75.75</v>
      </c>
      <c r="E621" s="65">
        <v>2191446</v>
      </c>
      <c r="F621" s="65" t="s">
        <v>667</v>
      </c>
      <c r="G621" s="25">
        <f t="shared" si="7"/>
        <v>6.9966996699670769E-3</v>
      </c>
    </row>
    <row r="622" spans="1:7">
      <c r="A622" s="65">
        <v>75.83</v>
      </c>
      <c r="B622" s="65">
        <v>76.27</v>
      </c>
      <c r="C622" s="65">
        <v>75.08</v>
      </c>
      <c r="D622" s="65">
        <v>75.290000000000006</v>
      </c>
      <c r="E622" s="65">
        <v>3002372</v>
      </c>
      <c r="F622" s="65" t="s">
        <v>668</v>
      </c>
      <c r="G622" s="25">
        <f t="shared" si="7"/>
        <v>7.1722672333642823E-3</v>
      </c>
    </row>
    <row r="623" spans="1:7">
      <c r="A623" s="65">
        <v>74.95</v>
      </c>
      <c r="B623" s="65">
        <v>75.52</v>
      </c>
      <c r="C623" s="65">
        <v>74.37</v>
      </c>
      <c r="D623" s="65">
        <v>74.37</v>
      </c>
      <c r="E623" s="65">
        <v>3509397</v>
      </c>
      <c r="F623" s="65" t="s">
        <v>669</v>
      </c>
      <c r="G623" s="25">
        <f t="shared" si="7"/>
        <v>7.7988436197391486E-3</v>
      </c>
    </row>
    <row r="624" spans="1:7">
      <c r="A624" s="65">
        <v>74.12</v>
      </c>
      <c r="B624" s="65">
        <v>76.09</v>
      </c>
      <c r="C624" s="65">
        <v>74.034999999999997</v>
      </c>
      <c r="D624" s="65">
        <v>75.2</v>
      </c>
      <c r="E624" s="65">
        <v>4275575</v>
      </c>
      <c r="F624" s="65" t="s">
        <v>670</v>
      </c>
      <c r="G624" s="25">
        <f t="shared" si="7"/>
        <v>-1.4361702127659526E-2</v>
      </c>
    </row>
    <row r="625" spans="1:7">
      <c r="A625" s="65">
        <v>75.31</v>
      </c>
      <c r="B625" s="65">
        <v>76.08</v>
      </c>
      <c r="C625" s="65">
        <v>75.150000000000006</v>
      </c>
      <c r="D625" s="65">
        <v>75.239999999999995</v>
      </c>
      <c r="E625" s="65">
        <v>5135330</v>
      </c>
      <c r="F625" s="65" t="s">
        <v>671</v>
      </c>
      <c r="G625" s="25">
        <f t="shared" si="7"/>
        <v>9.3035619351411469E-4</v>
      </c>
    </row>
    <row r="626" spans="1:7">
      <c r="A626" s="65">
        <v>74.88</v>
      </c>
      <c r="B626" s="65">
        <v>77.260000000000005</v>
      </c>
      <c r="C626" s="65">
        <v>74.819999999999993</v>
      </c>
      <c r="D626" s="65">
        <v>76.849999999999994</v>
      </c>
      <c r="E626" s="65">
        <v>5090008</v>
      </c>
      <c r="F626" s="65" t="s">
        <v>672</v>
      </c>
      <c r="G626" s="25">
        <f t="shared" si="7"/>
        <v>-2.5634352635003244E-2</v>
      </c>
    </row>
    <row r="627" spans="1:7">
      <c r="A627" s="65">
        <v>76.900000000000006</v>
      </c>
      <c r="B627" s="65">
        <v>78.349999999999994</v>
      </c>
      <c r="C627" s="65">
        <v>76.84</v>
      </c>
      <c r="D627" s="65">
        <v>77.69</v>
      </c>
      <c r="E627" s="65">
        <v>11292856</v>
      </c>
      <c r="F627" s="65" t="s">
        <v>673</v>
      </c>
      <c r="G627" s="25">
        <f t="shared" si="7"/>
        <v>-1.0168618869867307E-2</v>
      </c>
    </row>
    <row r="628" spans="1:7">
      <c r="A628" s="65">
        <v>77.760000000000005</v>
      </c>
      <c r="B628" s="65">
        <v>79.05</v>
      </c>
      <c r="C628" s="65">
        <v>76</v>
      </c>
      <c r="D628" s="65">
        <v>76.069999999999993</v>
      </c>
      <c r="E628" s="65">
        <v>8705925</v>
      </c>
      <c r="F628" s="65" t="s">
        <v>674</v>
      </c>
      <c r="G628" s="25">
        <f t="shared" si="7"/>
        <v>2.2216379650322304E-2</v>
      </c>
    </row>
    <row r="629" spans="1:7">
      <c r="A629" s="65">
        <v>75.22</v>
      </c>
      <c r="B629" s="65">
        <v>75.989999999999995</v>
      </c>
      <c r="C629" s="65">
        <v>71.81</v>
      </c>
      <c r="D629" s="65">
        <v>72.064999999999998</v>
      </c>
      <c r="E629" s="65">
        <v>8097631</v>
      </c>
      <c r="F629" s="65" t="s">
        <v>675</v>
      </c>
      <c r="G629" s="25">
        <f t="shared" si="7"/>
        <v>4.3779920904738701E-2</v>
      </c>
    </row>
    <row r="630" spans="1:7">
      <c r="A630" s="65">
        <v>72.180000000000007</v>
      </c>
      <c r="B630" s="65">
        <v>72.45</v>
      </c>
      <c r="C630" s="65">
        <v>70.14</v>
      </c>
      <c r="D630" s="65">
        <v>70.510000000000005</v>
      </c>
      <c r="E630" s="65">
        <v>6581302</v>
      </c>
      <c r="F630" s="65" t="s">
        <v>676</v>
      </c>
      <c r="G630" s="25">
        <f t="shared" si="7"/>
        <v>2.3684583746986343E-2</v>
      </c>
    </row>
    <row r="631" spans="1:7">
      <c r="A631" s="65">
        <v>70.31</v>
      </c>
      <c r="B631" s="65">
        <v>70.319999999999993</v>
      </c>
      <c r="C631" s="65">
        <v>68.94</v>
      </c>
      <c r="D631" s="65">
        <v>68.94</v>
      </c>
      <c r="E631" s="65">
        <v>4642419</v>
      </c>
      <c r="F631" s="65" t="s">
        <v>677</v>
      </c>
      <c r="G631" s="25">
        <f t="shared" si="7"/>
        <v>1.9872352770525126E-2</v>
      </c>
    </row>
    <row r="632" spans="1:7">
      <c r="A632" s="65">
        <v>69.180000000000007</v>
      </c>
      <c r="B632" s="65">
        <v>69.97</v>
      </c>
      <c r="C632" s="65">
        <v>68</v>
      </c>
      <c r="D632" s="65">
        <v>68.63</v>
      </c>
      <c r="E632" s="65">
        <v>5901812</v>
      </c>
      <c r="F632" s="65" t="s">
        <v>678</v>
      </c>
      <c r="G632" s="25">
        <f t="shared" si="7"/>
        <v>8.0139880518725892E-3</v>
      </c>
    </row>
    <row r="633" spans="1:7">
      <c r="A633" s="65">
        <v>68.260000000000005</v>
      </c>
      <c r="B633" s="65">
        <v>70.87</v>
      </c>
      <c r="C633" s="65">
        <v>66.86</v>
      </c>
      <c r="D633" s="65">
        <v>70.36</v>
      </c>
      <c r="E633" s="65">
        <v>6138881</v>
      </c>
      <c r="F633" s="65" t="s">
        <v>679</v>
      </c>
      <c r="G633" s="25">
        <f t="shared" si="7"/>
        <v>-2.9846503695281301E-2</v>
      </c>
    </row>
    <row r="634" spans="1:7">
      <c r="A634" s="65">
        <v>69.489999999999995</v>
      </c>
      <c r="B634" s="65">
        <v>70.180000000000007</v>
      </c>
      <c r="C634" s="65">
        <v>68.34</v>
      </c>
      <c r="D634" s="65">
        <v>68.72</v>
      </c>
      <c r="E634" s="65">
        <v>4710545</v>
      </c>
      <c r="F634" s="65" t="s">
        <v>680</v>
      </c>
      <c r="G634" s="25">
        <f t="shared" si="7"/>
        <v>1.1204889406286389E-2</v>
      </c>
    </row>
    <row r="635" spans="1:7">
      <c r="A635" s="65">
        <v>68.849999999999994</v>
      </c>
      <c r="B635" s="65">
        <v>69.569999999999993</v>
      </c>
      <c r="C635" s="65">
        <v>68.040000000000006</v>
      </c>
      <c r="D635" s="65">
        <v>68.709999999999994</v>
      </c>
      <c r="E635" s="65">
        <v>4509546</v>
      </c>
      <c r="F635" s="65" t="s">
        <v>681</v>
      </c>
      <c r="G635" s="25">
        <f t="shared" si="7"/>
        <v>2.0375491194877249E-3</v>
      </c>
    </row>
    <row r="636" spans="1:7">
      <c r="A636" s="65">
        <v>69.180000000000007</v>
      </c>
      <c r="B636" s="65">
        <v>69.97</v>
      </c>
      <c r="C636" s="65">
        <v>68.03</v>
      </c>
      <c r="D636" s="65">
        <v>68.36</v>
      </c>
      <c r="E636" s="65">
        <v>4426968</v>
      </c>
      <c r="F636" s="65" t="s">
        <v>682</v>
      </c>
      <c r="G636" s="25">
        <f t="shared" ref="G636:G699" si="8">A636/D636-1</f>
        <v>1.1995318899941543E-2</v>
      </c>
    </row>
    <row r="637" spans="1:7">
      <c r="A637" s="65">
        <v>68.36</v>
      </c>
      <c r="B637" s="65">
        <v>68.59</v>
      </c>
      <c r="C637" s="65">
        <v>67.08</v>
      </c>
      <c r="D637" s="65">
        <v>67.459999999999994</v>
      </c>
      <c r="E637" s="65">
        <v>4207618</v>
      </c>
      <c r="F637" s="65" t="s">
        <v>683</v>
      </c>
      <c r="G637" s="25">
        <f t="shared" si="8"/>
        <v>1.3341239252890658E-2</v>
      </c>
    </row>
    <row r="638" spans="1:7">
      <c r="A638" s="65">
        <v>67.709999999999994</v>
      </c>
      <c r="B638" s="65">
        <v>67.739999999999995</v>
      </c>
      <c r="C638" s="65">
        <v>66.400000000000006</v>
      </c>
      <c r="D638" s="65">
        <v>67.5</v>
      </c>
      <c r="E638" s="65">
        <v>7548445</v>
      </c>
      <c r="F638" s="65" t="s">
        <v>684</v>
      </c>
      <c r="G638" s="25">
        <f t="shared" si="8"/>
        <v>3.1111111111110645E-3</v>
      </c>
    </row>
    <row r="639" spans="1:7">
      <c r="A639" s="65">
        <v>67.430000000000007</v>
      </c>
      <c r="B639" s="65">
        <v>68.305000000000007</v>
      </c>
      <c r="C639" s="65">
        <v>67.135000000000005</v>
      </c>
      <c r="D639" s="65">
        <v>67.55</v>
      </c>
      <c r="E639" s="65">
        <v>3148699</v>
      </c>
      <c r="F639" s="65" t="s">
        <v>685</v>
      </c>
      <c r="G639" s="25">
        <f t="shared" si="8"/>
        <v>-1.7764618800887311E-3</v>
      </c>
    </row>
    <row r="640" spans="1:7">
      <c r="A640" s="65">
        <v>67.099999999999994</v>
      </c>
      <c r="B640" s="65">
        <v>67.27</v>
      </c>
      <c r="C640" s="65">
        <v>65.12</v>
      </c>
      <c r="D640" s="65">
        <v>65.599999999999994</v>
      </c>
      <c r="E640" s="65">
        <v>5196060</v>
      </c>
      <c r="F640" s="65" t="s">
        <v>686</v>
      </c>
      <c r="G640" s="25">
        <f t="shared" si="8"/>
        <v>2.2865853658536661E-2</v>
      </c>
    </row>
    <row r="641" spans="1:7">
      <c r="A641" s="65">
        <v>67.16</v>
      </c>
      <c r="B641" s="65">
        <v>67.894999999999996</v>
      </c>
      <c r="C641" s="65">
        <v>66.930000000000007</v>
      </c>
      <c r="D641" s="65">
        <v>67.59</v>
      </c>
      <c r="E641" s="65">
        <v>2797376</v>
      </c>
      <c r="F641" s="65" t="s">
        <v>687</v>
      </c>
      <c r="G641" s="25">
        <f t="shared" si="8"/>
        <v>-6.3618878532327727E-3</v>
      </c>
    </row>
    <row r="642" spans="1:7">
      <c r="A642" s="65">
        <v>67.900000000000006</v>
      </c>
      <c r="B642" s="65">
        <v>67.91</v>
      </c>
      <c r="C642" s="65">
        <v>67</v>
      </c>
      <c r="D642" s="65">
        <v>67</v>
      </c>
      <c r="E642" s="65">
        <v>2053739</v>
      </c>
      <c r="F642" s="65" t="s">
        <v>688</v>
      </c>
      <c r="G642" s="25">
        <f t="shared" si="8"/>
        <v>1.3432835820895717E-2</v>
      </c>
    </row>
    <row r="643" spans="1:7">
      <c r="A643" s="65">
        <v>67.06</v>
      </c>
      <c r="B643" s="65">
        <v>67.77</v>
      </c>
      <c r="C643" s="65">
        <v>66.91</v>
      </c>
      <c r="D643" s="65">
        <v>67.23</v>
      </c>
      <c r="E643" s="65">
        <v>3488861</v>
      </c>
      <c r="F643" s="65" t="s">
        <v>689</v>
      </c>
      <c r="G643" s="25">
        <f t="shared" si="8"/>
        <v>-2.5286330507213739E-3</v>
      </c>
    </row>
    <row r="644" spans="1:7">
      <c r="A644" s="65">
        <v>66.959999999999994</v>
      </c>
      <c r="B644" s="65">
        <v>67.87</v>
      </c>
      <c r="C644" s="65">
        <v>66.575000000000003</v>
      </c>
      <c r="D644" s="65">
        <v>67.739999999999995</v>
      </c>
      <c r="E644" s="65">
        <v>3497130</v>
      </c>
      <c r="F644" s="65" t="s">
        <v>690</v>
      </c>
      <c r="G644" s="25">
        <f t="shared" si="8"/>
        <v>-1.1514614703277304E-2</v>
      </c>
    </row>
    <row r="645" spans="1:7">
      <c r="A645" s="65">
        <v>67.19</v>
      </c>
      <c r="B645" s="65">
        <v>67.489999999999995</v>
      </c>
      <c r="C645" s="65">
        <v>66.5</v>
      </c>
      <c r="D645" s="65">
        <v>66.56</v>
      </c>
      <c r="E645" s="65">
        <v>4328331</v>
      </c>
      <c r="F645" s="65" t="s">
        <v>691</v>
      </c>
      <c r="G645" s="25">
        <f t="shared" si="8"/>
        <v>9.4651442307691624E-3</v>
      </c>
    </row>
    <row r="646" spans="1:7">
      <c r="A646" s="65">
        <v>66.900000000000006</v>
      </c>
      <c r="B646" s="65">
        <v>68.05</v>
      </c>
      <c r="C646" s="65">
        <v>66.655000000000001</v>
      </c>
      <c r="D646" s="65">
        <v>67.78</v>
      </c>
      <c r="E646" s="65">
        <v>3368696</v>
      </c>
      <c r="F646" s="65" t="s">
        <v>692</v>
      </c>
      <c r="G646" s="25">
        <f t="shared" si="8"/>
        <v>-1.2983180879315381E-2</v>
      </c>
    </row>
    <row r="647" spans="1:7">
      <c r="A647" s="65">
        <v>67.47</v>
      </c>
      <c r="B647" s="65">
        <v>67.62</v>
      </c>
      <c r="C647" s="65">
        <v>66.78</v>
      </c>
      <c r="D647" s="65">
        <v>67.2</v>
      </c>
      <c r="E647" s="65">
        <v>3720905</v>
      </c>
      <c r="F647" s="65" t="s">
        <v>693</v>
      </c>
      <c r="G647" s="25">
        <f t="shared" si="8"/>
        <v>4.0178571428570731E-3</v>
      </c>
    </row>
    <row r="648" spans="1:7">
      <c r="A648" s="65">
        <v>67.010000000000005</v>
      </c>
      <c r="B648" s="65">
        <v>67.48</v>
      </c>
      <c r="C648" s="65">
        <v>65.37</v>
      </c>
      <c r="D648" s="65">
        <v>65.88</v>
      </c>
      <c r="E648" s="65">
        <v>6288467</v>
      </c>
      <c r="F648" s="65" t="s">
        <v>694</v>
      </c>
      <c r="G648" s="25">
        <f t="shared" si="8"/>
        <v>1.7152398299939531E-2</v>
      </c>
    </row>
    <row r="649" spans="1:7">
      <c r="A649" s="65">
        <v>65.790000000000006</v>
      </c>
      <c r="B649" s="65">
        <v>66.56</v>
      </c>
      <c r="C649" s="65">
        <v>65.099999999999994</v>
      </c>
      <c r="D649" s="65">
        <v>65.7</v>
      </c>
      <c r="E649" s="65">
        <v>4608326</v>
      </c>
      <c r="F649" s="65" t="s">
        <v>695</v>
      </c>
      <c r="G649" s="25">
        <f t="shared" si="8"/>
        <v>1.36986301369868E-3</v>
      </c>
    </row>
    <row r="650" spans="1:7">
      <c r="A650" s="65">
        <v>64.599999999999994</v>
      </c>
      <c r="B650" s="65">
        <v>66.22</v>
      </c>
      <c r="C650" s="65">
        <v>64.069999999999993</v>
      </c>
      <c r="D650" s="65">
        <v>65.83</v>
      </c>
      <c r="E650" s="65">
        <v>5709800</v>
      </c>
      <c r="F650" s="65" t="s">
        <v>696</v>
      </c>
      <c r="G650" s="25">
        <f t="shared" si="8"/>
        <v>-1.868449035394204E-2</v>
      </c>
    </row>
    <row r="651" spans="1:7">
      <c r="A651" s="65">
        <v>64.209999999999994</v>
      </c>
      <c r="B651" s="65">
        <v>65.099999999999994</v>
      </c>
      <c r="C651" s="65">
        <v>63.88</v>
      </c>
      <c r="D651" s="65">
        <v>65.099999999999994</v>
      </c>
      <c r="E651" s="65">
        <v>10060993</v>
      </c>
      <c r="F651" s="65" t="s">
        <v>697</v>
      </c>
      <c r="G651" s="25">
        <f t="shared" si="8"/>
        <v>-1.367127496159759E-2</v>
      </c>
    </row>
    <row r="652" spans="1:7">
      <c r="A652" s="65">
        <v>64.650000000000006</v>
      </c>
      <c r="B652" s="65">
        <v>66.709999999999994</v>
      </c>
      <c r="C652" s="65">
        <v>64.599999999999994</v>
      </c>
      <c r="D652" s="65">
        <v>66.42</v>
      </c>
      <c r="E652" s="65">
        <v>3196913</v>
      </c>
      <c r="F652" s="65" t="s">
        <v>698</v>
      </c>
      <c r="G652" s="25">
        <f t="shared" si="8"/>
        <v>-2.6648599819331431E-2</v>
      </c>
    </row>
    <row r="653" spans="1:7">
      <c r="A653" s="65">
        <v>66.239999999999995</v>
      </c>
      <c r="B653" s="65">
        <v>67.23</v>
      </c>
      <c r="C653" s="65">
        <v>65.94</v>
      </c>
      <c r="D653" s="65">
        <v>67</v>
      </c>
      <c r="E653" s="65">
        <v>2600161</v>
      </c>
      <c r="F653" s="65" t="s">
        <v>699</v>
      </c>
      <c r="G653" s="25">
        <f t="shared" si="8"/>
        <v>-1.1343283582089581E-2</v>
      </c>
    </row>
    <row r="654" spans="1:7">
      <c r="A654" s="65">
        <v>66.53</v>
      </c>
      <c r="B654" s="65">
        <v>67.67</v>
      </c>
      <c r="C654" s="65">
        <v>66.17</v>
      </c>
      <c r="D654" s="65">
        <v>67.48</v>
      </c>
      <c r="E654" s="65">
        <v>3315612</v>
      </c>
      <c r="F654" s="65" t="s">
        <v>700</v>
      </c>
      <c r="G654" s="25">
        <f t="shared" si="8"/>
        <v>-1.4078245406046297E-2</v>
      </c>
    </row>
    <row r="655" spans="1:7">
      <c r="A655" s="65">
        <v>67.099999999999994</v>
      </c>
      <c r="B655" s="65">
        <v>67.819999999999993</v>
      </c>
      <c r="C655" s="65">
        <v>67.02</v>
      </c>
      <c r="D655" s="65">
        <v>67.22</v>
      </c>
      <c r="E655" s="65">
        <v>3260810</v>
      </c>
      <c r="F655" s="65" t="s">
        <v>701</v>
      </c>
      <c r="G655" s="25">
        <f t="shared" si="8"/>
        <v>-1.7851829812556286E-3</v>
      </c>
    </row>
    <row r="656" spans="1:7">
      <c r="A656" s="65">
        <v>67.069999999999993</v>
      </c>
      <c r="B656" s="65">
        <v>67.599999999999994</v>
      </c>
      <c r="C656" s="65">
        <v>66.62</v>
      </c>
      <c r="D656" s="65">
        <v>66.650000000000006</v>
      </c>
      <c r="E656" s="65">
        <v>3806040</v>
      </c>
      <c r="F656" s="65" t="s">
        <v>702</v>
      </c>
      <c r="G656" s="25">
        <f t="shared" si="8"/>
        <v>6.3015753938482355E-3</v>
      </c>
    </row>
    <row r="657" spans="1:7">
      <c r="A657" s="65">
        <v>65.53</v>
      </c>
      <c r="B657" s="65">
        <v>65.73</v>
      </c>
      <c r="C657" s="65">
        <v>64.075000000000003</v>
      </c>
      <c r="D657" s="65">
        <v>64.56</v>
      </c>
      <c r="E657" s="65">
        <v>3809322</v>
      </c>
      <c r="F657" s="65" t="s">
        <v>703</v>
      </c>
      <c r="G657" s="25">
        <f t="shared" si="8"/>
        <v>1.5024783147459697E-2</v>
      </c>
    </row>
    <row r="658" spans="1:7">
      <c r="A658" s="65">
        <v>63.83</v>
      </c>
      <c r="B658" s="65">
        <v>64.12</v>
      </c>
      <c r="C658" s="65">
        <v>62.52</v>
      </c>
      <c r="D658" s="65">
        <v>63.5</v>
      </c>
      <c r="E658" s="65">
        <v>5164769</v>
      </c>
      <c r="F658" s="65" t="s">
        <v>704</v>
      </c>
      <c r="G658" s="25">
        <f t="shared" si="8"/>
        <v>5.1968503937007693E-3</v>
      </c>
    </row>
    <row r="659" spans="1:7">
      <c r="A659" s="65">
        <v>63.72</v>
      </c>
      <c r="B659" s="65">
        <v>64.25</v>
      </c>
      <c r="C659" s="65">
        <v>62.33</v>
      </c>
      <c r="D659" s="65">
        <v>62.4</v>
      </c>
      <c r="E659" s="65">
        <v>6504923</v>
      </c>
      <c r="F659" s="65" t="s">
        <v>705</v>
      </c>
      <c r="G659" s="25">
        <f t="shared" si="8"/>
        <v>2.1153846153846079E-2</v>
      </c>
    </row>
    <row r="660" spans="1:7">
      <c r="A660" s="65">
        <v>62.36</v>
      </c>
      <c r="B660" s="65">
        <v>62.47</v>
      </c>
      <c r="C660" s="65">
        <v>60.57</v>
      </c>
      <c r="D660" s="65">
        <v>62.06</v>
      </c>
      <c r="E660" s="65">
        <v>4865544</v>
      </c>
      <c r="F660" s="65" t="s">
        <v>706</v>
      </c>
      <c r="G660" s="25">
        <f t="shared" si="8"/>
        <v>4.8340315823396374E-3</v>
      </c>
    </row>
    <row r="661" spans="1:7">
      <c r="A661" s="65">
        <v>61.71</v>
      </c>
      <c r="B661" s="65">
        <v>64.150000000000006</v>
      </c>
      <c r="C661" s="65">
        <v>61.01</v>
      </c>
      <c r="D661" s="65">
        <v>63.1</v>
      </c>
      <c r="E661" s="65">
        <v>7053924</v>
      </c>
      <c r="F661" s="65" t="s">
        <v>707</v>
      </c>
      <c r="G661" s="25">
        <f t="shared" si="8"/>
        <v>-2.2028526148969885E-2</v>
      </c>
    </row>
    <row r="662" spans="1:7">
      <c r="A662" s="65">
        <v>62.78</v>
      </c>
      <c r="B662" s="65">
        <v>64.56</v>
      </c>
      <c r="C662" s="65">
        <v>61.5</v>
      </c>
      <c r="D662" s="65">
        <v>62.5</v>
      </c>
      <c r="E662" s="65">
        <v>10377340</v>
      </c>
      <c r="F662" s="65" t="s">
        <v>708</v>
      </c>
      <c r="G662" s="25">
        <f t="shared" si="8"/>
        <v>4.4800000000000395E-3</v>
      </c>
    </row>
    <row r="663" spans="1:7">
      <c r="A663" s="65">
        <v>68.34</v>
      </c>
      <c r="B663" s="65">
        <v>70.319999999999993</v>
      </c>
      <c r="C663" s="65">
        <v>67.680000000000007</v>
      </c>
      <c r="D663" s="65">
        <v>70.12</v>
      </c>
      <c r="E663" s="65">
        <v>6398340</v>
      </c>
      <c r="F663" s="65" t="s">
        <v>709</v>
      </c>
      <c r="G663" s="25">
        <f t="shared" si="8"/>
        <v>-2.538505419281234E-2</v>
      </c>
    </row>
    <row r="664" spans="1:7">
      <c r="A664" s="65">
        <v>70.489999999999995</v>
      </c>
      <c r="B664" s="65">
        <v>73.259399999999999</v>
      </c>
      <c r="C664" s="65">
        <v>66.66</v>
      </c>
      <c r="D664" s="65">
        <v>68.89</v>
      </c>
      <c r="E664" s="65">
        <v>10547283</v>
      </c>
      <c r="F664" s="65" t="s">
        <v>710</v>
      </c>
      <c r="G664" s="25">
        <f t="shared" si="8"/>
        <v>2.322543184787329E-2</v>
      </c>
    </row>
    <row r="665" spans="1:7">
      <c r="A665" s="65">
        <v>69.05</v>
      </c>
      <c r="B665" s="65">
        <v>69.73</v>
      </c>
      <c r="C665" s="65">
        <v>68.209999999999994</v>
      </c>
      <c r="D665" s="65">
        <v>69.22</v>
      </c>
      <c r="E665" s="65">
        <v>3761734</v>
      </c>
      <c r="F665" s="65" t="s">
        <v>711</v>
      </c>
      <c r="G665" s="25">
        <f t="shared" si="8"/>
        <v>-2.4559375902918346E-3</v>
      </c>
    </row>
    <row r="666" spans="1:7">
      <c r="A666" s="65">
        <v>69.48</v>
      </c>
      <c r="B666" s="65">
        <v>69.760000000000005</v>
      </c>
      <c r="C666" s="65">
        <v>68.709999999999994</v>
      </c>
      <c r="D666" s="65">
        <v>69.02</v>
      </c>
      <c r="E666" s="65">
        <v>3254673</v>
      </c>
      <c r="F666" s="65" t="s">
        <v>712</v>
      </c>
      <c r="G666" s="25">
        <f t="shared" si="8"/>
        <v>6.6647348594610634E-3</v>
      </c>
    </row>
    <row r="667" spans="1:7">
      <c r="A667" s="65">
        <v>69.08</v>
      </c>
      <c r="B667" s="65">
        <v>69.95</v>
      </c>
      <c r="C667" s="65">
        <v>68.8</v>
      </c>
      <c r="D667" s="65">
        <v>69.8</v>
      </c>
      <c r="E667" s="65">
        <v>2845347</v>
      </c>
      <c r="F667" s="65" t="s">
        <v>713</v>
      </c>
      <c r="G667" s="25">
        <f t="shared" si="8"/>
        <v>-1.0315186246418362E-2</v>
      </c>
    </row>
    <row r="668" spans="1:7">
      <c r="A668" s="65">
        <v>69.709999999999994</v>
      </c>
      <c r="B668" s="65">
        <v>70.8</v>
      </c>
      <c r="C668" s="65">
        <v>69.56</v>
      </c>
      <c r="D668" s="65">
        <v>70.55</v>
      </c>
      <c r="E668" s="65">
        <v>3425834</v>
      </c>
      <c r="F668" s="65" t="s">
        <v>714</v>
      </c>
      <c r="G668" s="25">
        <f t="shared" si="8"/>
        <v>-1.1906449326718693E-2</v>
      </c>
    </row>
    <row r="669" spans="1:7">
      <c r="A669" s="65">
        <v>70.33</v>
      </c>
      <c r="B669" s="65">
        <v>71.959999999999994</v>
      </c>
      <c r="C669" s="65">
        <v>70.13</v>
      </c>
      <c r="D669" s="65">
        <v>70.89</v>
      </c>
      <c r="E669" s="65">
        <v>2440387</v>
      </c>
      <c r="F669" s="65" t="s">
        <v>715</v>
      </c>
      <c r="G669" s="25">
        <f t="shared" si="8"/>
        <v>-7.8995627027790283E-3</v>
      </c>
    </row>
    <row r="670" spans="1:7">
      <c r="A670" s="65">
        <v>71.27</v>
      </c>
      <c r="B670" s="65">
        <v>71.8</v>
      </c>
      <c r="C670" s="65">
        <v>69.959999999999994</v>
      </c>
      <c r="D670" s="65">
        <v>70.47</v>
      </c>
      <c r="E670" s="65">
        <v>3676479</v>
      </c>
      <c r="F670" s="65" t="s">
        <v>716</v>
      </c>
      <c r="G670" s="25">
        <f t="shared" si="8"/>
        <v>1.1352348517099431E-2</v>
      </c>
    </row>
    <row r="671" spans="1:7">
      <c r="A671" s="65">
        <v>70.78</v>
      </c>
      <c r="B671" s="65">
        <v>70.834999999999994</v>
      </c>
      <c r="C671" s="65">
        <v>68.91</v>
      </c>
      <c r="D671" s="65">
        <v>69.28</v>
      </c>
      <c r="E671" s="65">
        <v>3362800</v>
      </c>
      <c r="F671" s="65" t="s">
        <v>717</v>
      </c>
      <c r="G671" s="25">
        <f t="shared" si="8"/>
        <v>2.165127020785218E-2</v>
      </c>
    </row>
    <row r="672" spans="1:7">
      <c r="A672" s="65">
        <v>69.92</v>
      </c>
      <c r="B672" s="65">
        <v>71.715000000000003</v>
      </c>
      <c r="C672" s="65">
        <v>69.88</v>
      </c>
      <c r="D672" s="65">
        <v>71.290000000000006</v>
      </c>
      <c r="E672" s="65">
        <v>4536442</v>
      </c>
      <c r="F672" s="65" t="s">
        <v>718</v>
      </c>
      <c r="G672" s="25">
        <f t="shared" si="8"/>
        <v>-1.9217281526160868E-2</v>
      </c>
    </row>
    <row r="673" spans="1:7">
      <c r="A673" s="65">
        <v>71.14</v>
      </c>
      <c r="B673" s="65">
        <v>72.569999999999993</v>
      </c>
      <c r="C673" s="65">
        <v>69.2</v>
      </c>
      <c r="D673" s="65">
        <v>72.510000000000005</v>
      </c>
      <c r="E673" s="65">
        <v>4111579</v>
      </c>
      <c r="F673" s="65" t="s">
        <v>719</v>
      </c>
      <c r="G673" s="25">
        <f t="shared" si="8"/>
        <v>-1.8893945662667333E-2</v>
      </c>
    </row>
    <row r="674" spans="1:7">
      <c r="A674" s="65">
        <v>72.91</v>
      </c>
      <c r="B674" s="65">
        <v>73.319999999999993</v>
      </c>
      <c r="C674" s="65">
        <v>71.010000000000005</v>
      </c>
      <c r="D674" s="65">
        <v>72.680000000000007</v>
      </c>
      <c r="E674" s="65">
        <v>5807229</v>
      </c>
      <c r="F674" s="65" t="s">
        <v>720</v>
      </c>
      <c r="G674" s="25">
        <f t="shared" si="8"/>
        <v>3.1645569620251113E-3</v>
      </c>
    </row>
    <row r="675" spans="1:7">
      <c r="A675" s="65">
        <v>72.900000000000006</v>
      </c>
      <c r="B675" s="65">
        <v>73.53</v>
      </c>
      <c r="C675" s="65">
        <v>72.17</v>
      </c>
      <c r="D675" s="65">
        <v>73.17</v>
      </c>
      <c r="E675" s="65">
        <v>3527310</v>
      </c>
      <c r="F675" s="65" t="s">
        <v>721</v>
      </c>
      <c r="G675" s="25">
        <f t="shared" si="8"/>
        <v>-3.6900369003689537E-3</v>
      </c>
    </row>
    <row r="676" spans="1:7">
      <c r="A676" s="65">
        <v>73.7</v>
      </c>
      <c r="B676" s="65">
        <v>74.37</v>
      </c>
      <c r="C676" s="65">
        <v>72.03</v>
      </c>
      <c r="D676" s="65">
        <v>72.03</v>
      </c>
      <c r="E676" s="65">
        <v>4670605</v>
      </c>
      <c r="F676" s="65" t="s">
        <v>722</v>
      </c>
      <c r="G676" s="25">
        <f t="shared" si="8"/>
        <v>2.3184784117728841E-2</v>
      </c>
    </row>
    <row r="677" spans="1:7">
      <c r="A677" s="65">
        <v>72.2</v>
      </c>
      <c r="B677" s="65">
        <v>72.540000000000006</v>
      </c>
      <c r="C677" s="65">
        <v>70.924999999999997</v>
      </c>
      <c r="D677" s="65">
        <v>71.239999999999995</v>
      </c>
      <c r="E677" s="65">
        <v>4718230</v>
      </c>
      <c r="F677" s="65" t="s">
        <v>723</v>
      </c>
      <c r="G677" s="25">
        <f t="shared" si="8"/>
        <v>1.3475575519371175E-2</v>
      </c>
    </row>
    <row r="678" spans="1:7">
      <c r="A678" s="65">
        <v>71.27</v>
      </c>
      <c r="B678" s="65">
        <v>71.38</v>
      </c>
      <c r="C678" s="65">
        <v>69.13</v>
      </c>
      <c r="D678" s="65">
        <v>69.790000000000006</v>
      </c>
      <c r="E678" s="65">
        <v>5147287</v>
      </c>
      <c r="F678" s="65" t="s">
        <v>724</v>
      </c>
      <c r="G678" s="25">
        <f t="shared" si="8"/>
        <v>2.1206476572574795E-2</v>
      </c>
    </row>
    <row r="679" spans="1:7">
      <c r="A679" s="65">
        <v>69.599999999999994</v>
      </c>
      <c r="B679" s="65">
        <v>70.174999999999997</v>
      </c>
      <c r="C679" s="65">
        <v>68.61</v>
      </c>
      <c r="D679" s="65">
        <v>68.61</v>
      </c>
      <c r="E679" s="65">
        <v>4559036</v>
      </c>
      <c r="F679" s="65" t="s">
        <v>725</v>
      </c>
      <c r="G679" s="25">
        <f t="shared" si="8"/>
        <v>1.4429383471797008E-2</v>
      </c>
    </row>
    <row r="680" spans="1:7">
      <c r="A680" s="65">
        <v>69.180000000000007</v>
      </c>
      <c r="B680" s="65">
        <v>69.22</v>
      </c>
      <c r="C680" s="65">
        <v>68.39</v>
      </c>
      <c r="D680" s="65">
        <v>68.86</v>
      </c>
      <c r="E680" s="65">
        <v>3154513</v>
      </c>
      <c r="F680" s="65" t="s">
        <v>726</v>
      </c>
      <c r="G680" s="25">
        <f t="shared" si="8"/>
        <v>4.6471100784200026E-3</v>
      </c>
    </row>
    <row r="681" spans="1:7">
      <c r="A681" s="65">
        <v>69.28</v>
      </c>
      <c r="B681" s="65">
        <v>70.44</v>
      </c>
      <c r="C681" s="65">
        <v>69.105000000000004</v>
      </c>
      <c r="D681" s="65">
        <v>70.31</v>
      </c>
      <c r="E681" s="65">
        <v>3608730</v>
      </c>
      <c r="F681" s="65" t="s">
        <v>727</v>
      </c>
      <c r="G681" s="25">
        <f t="shared" si="8"/>
        <v>-1.4649409756791409E-2</v>
      </c>
    </row>
    <row r="682" spans="1:7">
      <c r="A682" s="65">
        <v>69.959999999999994</v>
      </c>
      <c r="B682" s="65">
        <v>70.3</v>
      </c>
      <c r="C682" s="65">
        <v>69.12</v>
      </c>
      <c r="D682" s="65">
        <v>70.06</v>
      </c>
      <c r="E682" s="65">
        <v>5230690</v>
      </c>
      <c r="F682" s="65" t="s">
        <v>728</v>
      </c>
      <c r="G682" s="25">
        <f t="shared" si="8"/>
        <v>-1.4273479874394868E-3</v>
      </c>
    </row>
    <row r="683" spans="1:7">
      <c r="A683" s="65">
        <v>70.11</v>
      </c>
      <c r="B683" s="65">
        <v>71.86</v>
      </c>
      <c r="C683" s="65">
        <v>69.55</v>
      </c>
      <c r="D683" s="65">
        <v>70.98</v>
      </c>
      <c r="E683" s="65">
        <v>2972470</v>
      </c>
      <c r="F683" s="65" t="s">
        <v>729</v>
      </c>
      <c r="G683" s="25">
        <f t="shared" si="8"/>
        <v>-1.2256973795435444E-2</v>
      </c>
    </row>
    <row r="684" spans="1:7">
      <c r="A684" s="65">
        <v>70.37</v>
      </c>
      <c r="B684" s="65">
        <v>70.97</v>
      </c>
      <c r="C684" s="65">
        <v>69.325000000000003</v>
      </c>
      <c r="D684" s="65">
        <v>69.41</v>
      </c>
      <c r="E684" s="65">
        <v>4219134</v>
      </c>
      <c r="F684" s="65" t="s">
        <v>730</v>
      </c>
      <c r="G684" s="25">
        <f t="shared" si="8"/>
        <v>1.3830860106613052E-2</v>
      </c>
    </row>
    <row r="685" spans="1:7">
      <c r="A685" s="65">
        <v>69.459999999999994</v>
      </c>
      <c r="B685" s="65">
        <v>69.69</v>
      </c>
      <c r="C685" s="65">
        <v>68.95</v>
      </c>
      <c r="D685" s="65">
        <v>69.349999999999994</v>
      </c>
      <c r="E685" s="65">
        <v>3139240</v>
      </c>
      <c r="F685" s="65" t="s">
        <v>731</v>
      </c>
      <c r="G685" s="25">
        <f t="shared" si="8"/>
        <v>1.5861571737563196E-3</v>
      </c>
    </row>
    <row r="686" spans="1:7">
      <c r="A686" s="65">
        <v>69.66</v>
      </c>
      <c r="B686" s="65">
        <v>70.734999999999999</v>
      </c>
      <c r="C686" s="65">
        <v>69.53</v>
      </c>
      <c r="D686" s="65">
        <v>70.5</v>
      </c>
      <c r="E686" s="65">
        <v>3077771</v>
      </c>
      <c r="F686" s="65" t="s">
        <v>732</v>
      </c>
      <c r="G686" s="25">
        <f t="shared" si="8"/>
        <v>-1.191489361702136E-2</v>
      </c>
    </row>
    <row r="687" spans="1:7">
      <c r="A687" s="65">
        <v>70.180000000000007</v>
      </c>
      <c r="B687" s="65">
        <v>71.89</v>
      </c>
      <c r="C687" s="65">
        <v>70.034999999999997</v>
      </c>
      <c r="D687" s="65">
        <v>71.790000000000006</v>
      </c>
      <c r="E687" s="65">
        <v>3012181</v>
      </c>
      <c r="F687" s="65" t="s">
        <v>733</v>
      </c>
      <c r="G687" s="25">
        <f t="shared" si="8"/>
        <v>-2.2426521799693511E-2</v>
      </c>
    </row>
    <row r="688" spans="1:7">
      <c r="A688" s="65">
        <v>71.95</v>
      </c>
      <c r="B688" s="65">
        <v>73.525000000000006</v>
      </c>
      <c r="C688" s="65">
        <v>71.92</v>
      </c>
      <c r="D688" s="65">
        <v>73.36</v>
      </c>
      <c r="E688" s="65">
        <v>3286668</v>
      </c>
      <c r="F688" s="65" t="s">
        <v>734</v>
      </c>
      <c r="G688" s="25">
        <f t="shared" si="8"/>
        <v>-1.9220283533260552E-2</v>
      </c>
    </row>
    <row r="689" spans="1:7">
      <c r="A689" s="65">
        <v>73.02</v>
      </c>
      <c r="B689" s="65">
        <v>73.239999999999995</v>
      </c>
      <c r="C689" s="65">
        <v>71.72</v>
      </c>
      <c r="D689" s="65">
        <v>72.25</v>
      </c>
      <c r="E689" s="65">
        <v>2971530</v>
      </c>
      <c r="F689" s="65" t="s">
        <v>735</v>
      </c>
      <c r="G689" s="25">
        <f t="shared" si="8"/>
        <v>1.0657439446366768E-2</v>
      </c>
    </row>
    <row r="690" spans="1:7">
      <c r="A690" s="65">
        <v>72.94</v>
      </c>
      <c r="B690" s="65">
        <v>73.11</v>
      </c>
      <c r="C690" s="65">
        <v>71.73</v>
      </c>
      <c r="D690" s="65">
        <v>72.34</v>
      </c>
      <c r="E690" s="65">
        <v>4076437</v>
      </c>
      <c r="F690" s="65" t="s">
        <v>736</v>
      </c>
      <c r="G690" s="25">
        <f t="shared" si="8"/>
        <v>8.2941664362730094E-3</v>
      </c>
    </row>
    <row r="691" spans="1:7">
      <c r="A691" s="65">
        <v>73.2</v>
      </c>
      <c r="B691" s="65">
        <v>74.53</v>
      </c>
      <c r="C691" s="65">
        <v>73.13</v>
      </c>
      <c r="D691" s="65">
        <v>73.88</v>
      </c>
      <c r="E691" s="65">
        <v>3985765</v>
      </c>
      <c r="F691" s="65" t="s">
        <v>737</v>
      </c>
      <c r="G691" s="25">
        <f t="shared" si="8"/>
        <v>-9.2041147807253587E-3</v>
      </c>
    </row>
    <row r="692" spans="1:7">
      <c r="A692" s="65">
        <v>74.02</v>
      </c>
      <c r="B692" s="65">
        <v>74.599999999999994</v>
      </c>
      <c r="C692" s="65">
        <v>73.084999999999994</v>
      </c>
      <c r="D692" s="65">
        <v>73.709999999999994</v>
      </c>
      <c r="E692" s="65">
        <v>2810578</v>
      </c>
      <c r="F692" s="65" t="s">
        <v>738</v>
      </c>
      <c r="G692" s="25">
        <f t="shared" si="8"/>
        <v>4.2056708723374747E-3</v>
      </c>
    </row>
    <row r="693" spans="1:7">
      <c r="A693" s="65">
        <v>73.17</v>
      </c>
      <c r="B693" s="65">
        <v>73.53</v>
      </c>
      <c r="C693" s="65">
        <v>72.760000000000005</v>
      </c>
      <c r="D693" s="65">
        <v>73.010000000000005</v>
      </c>
      <c r="E693" s="65">
        <v>3031374</v>
      </c>
      <c r="F693" s="65" t="s">
        <v>739</v>
      </c>
      <c r="G693" s="25">
        <f t="shared" si="8"/>
        <v>2.1914806190932445E-3</v>
      </c>
    </row>
    <row r="694" spans="1:7">
      <c r="A694" s="65">
        <v>73.37</v>
      </c>
      <c r="B694" s="65">
        <v>74.944999999999993</v>
      </c>
      <c r="C694" s="65">
        <v>73.06</v>
      </c>
      <c r="D694" s="65">
        <v>74.47</v>
      </c>
      <c r="E694" s="65">
        <v>3237862</v>
      </c>
      <c r="F694" s="65" t="s">
        <v>740</v>
      </c>
      <c r="G694" s="25">
        <f t="shared" si="8"/>
        <v>-1.477104874446078E-2</v>
      </c>
    </row>
    <row r="695" spans="1:7">
      <c r="A695" s="65">
        <v>74.87</v>
      </c>
      <c r="B695" s="65">
        <v>75.39</v>
      </c>
      <c r="C695" s="65">
        <v>73.989999999999995</v>
      </c>
      <c r="D695" s="65">
        <v>74.010000000000005</v>
      </c>
      <c r="E695" s="65">
        <v>3103432</v>
      </c>
      <c r="F695" s="65" t="s">
        <v>741</v>
      </c>
      <c r="G695" s="25">
        <f t="shared" si="8"/>
        <v>1.1620051344412907E-2</v>
      </c>
    </row>
    <row r="696" spans="1:7">
      <c r="A696" s="65">
        <v>74.069999999999993</v>
      </c>
      <c r="B696" s="65">
        <v>76</v>
      </c>
      <c r="C696" s="65">
        <v>73.94</v>
      </c>
      <c r="D696" s="65">
        <v>76</v>
      </c>
      <c r="E696" s="65">
        <v>3779762</v>
      </c>
      <c r="F696" s="65" t="s">
        <v>742</v>
      </c>
      <c r="G696" s="25">
        <f t="shared" si="8"/>
        <v>-2.5394736842105359E-2</v>
      </c>
    </row>
    <row r="697" spans="1:7">
      <c r="A697" s="65">
        <v>76.09</v>
      </c>
      <c r="B697" s="65">
        <v>77.41</v>
      </c>
      <c r="C697" s="65">
        <v>75.88</v>
      </c>
      <c r="D697" s="65">
        <v>77.03</v>
      </c>
      <c r="E697" s="65">
        <v>3275776</v>
      </c>
      <c r="F697" s="65" t="s">
        <v>743</v>
      </c>
      <c r="G697" s="25">
        <f t="shared" si="8"/>
        <v>-1.2203037777489212E-2</v>
      </c>
    </row>
    <row r="698" spans="1:7">
      <c r="A698" s="65">
        <v>76.959999999999994</v>
      </c>
      <c r="B698" s="65">
        <v>77.16</v>
      </c>
      <c r="C698" s="65">
        <v>75.78</v>
      </c>
      <c r="D698" s="65">
        <v>76.14</v>
      </c>
      <c r="E698" s="65">
        <v>3396297</v>
      </c>
      <c r="F698" s="65" t="s">
        <v>744</v>
      </c>
      <c r="G698" s="25">
        <f t="shared" si="8"/>
        <v>1.0769634883109891E-2</v>
      </c>
    </row>
    <row r="699" spans="1:7">
      <c r="A699" s="65">
        <v>75.97</v>
      </c>
      <c r="B699" s="65">
        <v>76.400000000000006</v>
      </c>
      <c r="C699" s="65">
        <v>75.34</v>
      </c>
      <c r="D699" s="65">
        <v>76.27</v>
      </c>
      <c r="E699" s="65">
        <v>4630193</v>
      </c>
      <c r="F699" s="65" t="s">
        <v>745</v>
      </c>
      <c r="G699" s="25">
        <f t="shared" si="8"/>
        <v>-3.9333945194702791E-3</v>
      </c>
    </row>
    <row r="700" spans="1:7">
      <c r="A700" s="65">
        <v>76.38</v>
      </c>
      <c r="B700" s="65">
        <v>77.2</v>
      </c>
      <c r="C700" s="65">
        <v>75.849999999999994</v>
      </c>
      <c r="D700" s="65">
        <v>77.180000000000007</v>
      </c>
      <c r="E700" s="65">
        <v>2388904</v>
      </c>
      <c r="F700" s="65" t="s">
        <v>746</v>
      </c>
      <c r="G700" s="25">
        <f t="shared" ref="G700:G763" si="9">A700/D700-1</f>
        <v>-1.0365379632029215E-2</v>
      </c>
    </row>
    <row r="701" spans="1:7">
      <c r="A701" s="65">
        <v>76.47</v>
      </c>
      <c r="B701" s="65">
        <v>78.040000000000006</v>
      </c>
      <c r="C701" s="65">
        <v>76.42</v>
      </c>
      <c r="D701" s="65">
        <v>77.790000000000006</v>
      </c>
      <c r="E701" s="65">
        <v>2739517</v>
      </c>
      <c r="F701" s="65" t="s">
        <v>747</v>
      </c>
      <c r="G701" s="25">
        <f t="shared" si="9"/>
        <v>-1.6968762051677633E-2</v>
      </c>
    </row>
    <row r="702" spans="1:7">
      <c r="A702" s="65">
        <v>77.819999999999993</v>
      </c>
      <c r="B702" s="65">
        <v>78.619</v>
      </c>
      <c r="C702" s="65">
        <v>77.760000000000005</v>
      </c>
      <c r="D702" s="65">
        <v>77.88</v>
      </c>
      <c r="E702" s="65">
        <v>2263089</v>
      </c>
      <c r="F702" s="65" t="s">
        <v>748</v>
      </c>
      <c r="G702" s="25">
        <f t="shared" si="9"/>
        <v>-7.7041602465333092E-4</v>
      </c>
    </row>
    <row r="703" spans="1:7">
      <c r="A703" s="65">
        <v>77.83</v>
      </c>
      <c r="B703" s="65">
        <v>77.88</v>
      </c>
      <c r="C703" s="65">
        <v>76.03</v>
      </c>
      <c r="D703" s="65">
        <v>76.260000000000005</v>
      </c>
      <c r="E703" s="65">
        <v>3265328</v>
      </c>
      <c r="F703" s="65" t="s">
        <v>749</v>
      </c>
      <c r="G703" s="25">
        <f t="shared" si="9"/>
        <v>2.0587463939155448E-2</v>
      </c>
    </row>
    <row r="704" spans="1:7">
      <c r="A704" s="65">
        <v>76.03</v>
      </c>
      <c r="B704" s="65">
        <v>77.5</v>
      </c>
      <c r="C704" s="65">
        <v>75.52</v>
      </c>
      <c r="D704" s="65">
        <v>77.239999999999995</v>
      </c>
      <c r="E704" s="65">
        <v>2793382</v>
      </c>
      <c r="F704" s="65" t="s">
        <v>750</v>
      </c>
      <c r="G704" s="25">
        <f t="shared" si="9"/>
        <v>-1.5665458311755476E-2</v>
      </c>
    </row>
    <row r="705" spans="1:7">
      <c r="A705" s="65">
        <v>76.17</v>
      </c>
      <c r="B705" s="65">
        <v>76.260000000000005</v>
      </c>
      <c r="C705" s="65">
        <v>74.900000000000006</v>
      </c>
      <c r="D705" s="65">
        <v>75.31</v>
      </c>
      <c r="E705" s="65">
        <v>2112785</v>
      </c>
      <c r="F705" s="65" t="s">
        <v>751</v>
      </c>
      <c r="G705" s="25">
        <f t="shared" si="9"/>
        <v>1.1419466206347151E-2</v>
      </c>
    </row>
    <row r="706" spans="1:7">
      <c r="A706" s="65">
        <v>75.010000000000005</v>
      </c>
      <c r="B706" s="65">
        <v>76.489999999999995</v>
      </c>
      <c r="C706" s="65">
        <v>74.959999999999994</v>
      </c>
      <c r="D706" s="65">
        <v>76.25</v>
      </c>
      <c r="E706" s="65">
        <v>2793650</v>
      </c>
      <c r="F706" s="65" t="s">
        <v>752</v>
      </c>
      <c r="G706" s="25">
        <f t="shared" si="9"/>
        <v>-1.6262295081967193E-2</v>
      </c>
    </row>
    <row r="707" spans="1:7">
      <c r="A707" s="65">
        <v>75.900000000000006</v>
      </c>
      <c r="B707" s="65">
        <v>76.459999999999994</v>
      </c>
      <c r="C707" s="65">
        <v>75.349999999999994</v>
      </c>
      <c r="D707" s="65">
        <v>76.22</v>
      </c>
      <c r="E707" s="65">
        <v>3556215</v>
      </c>
      <c r="F707" s="65" t="s">
        <v>753</v>
      </c>
      <c r="G707" s="25">
        <f t="shared" si="9"/>
        <v>-4.1983731304118255E-3</v>
      </c>
    </row>
    <row r="708" spans="1:7">
      <c r="A708" s="65">
        <v>75.97</v>
      </c>
      <c r="B708" s="65">
        <v>76.42</v>
      </c>
      <c r="C708" s="65">
        <v>75.56</v>
      </c>
      <c r="D708" s="65">
        <v>76.03</v>
      </c>
      <c r="E708" s="65">
        <v>3440968</v>
      </c>
      <c r="F708" s="65" t="s">
        <v>754</v>
      </c>
      <c r="G708" s="25">
        <f t="shared" si="9"/>
        <v>-7.8916217282654078E-4</v>
      </c>
    </row>
    <row r="709" spans="1:7">
      <c r="A709" s="65">
        <v>76.33</v>
      </c>
      <c r="B709" s="65">
        <v>76.97</v>
      </c>
      <c r="C709" s="65">
        <v>75.665000000000006</v>
      </c>
      <c r="D709" s="65">
        <v>76.83</v>
      </c>
      <c r="E709" s="65">
        <v>3315554</v>
      </c>
      <c r="F709" s="65" t="s">
        <v>755</v>
      </c>
      <c r="G709" s="25">
        <f t="shared" si="9"/>
        <v>-6.5078745281791361E-3</v>
      </c>
    </row>
    <row r="710" spans="1:7">
      <c r="A710" s="65">
        <v>76.58</v>
      </c>
      <c r="B710" s="65">
        <v>77.19</v>
      </c>
      <c r="C710" s="65">
        <v>76.025000000000006</v>
      </c>
      <c r="D710" s="65">
        <v>76.5</v>
      </c>
      <c r="E710" s="65">
        <v>3156480</v>
      </c>
      <c r="F710" s="65" t="s">
        <v>756</v>
      </c>
      <c r="G710" s="25">
        <f t="shared" si="9"/>
        <v>1.0457516339870132E-3</v>
      </c>
    </row>
    <row r="711" spans="1:7">
      <c r="A711" s="65">
        <v>76.83</v>
      </c>
      <c r="B711" s="65">
        <v>78.78</v>
      </c>
      <c r="C711" s="65">
        <v>76.7</v>
      </c>
      <c r="D711" s="65">
        <v>78.75</v>
      </c>
      <c r="E711" s="65">
        <v>2980519</v>
      </c>
      <c r="F711" s="65" t="s">
        <v>757</v>
      </c>
      <c r="G711" s="25">
        <f t="shared" si="9"/>
        <v>-2.4380952380952392E-2</v>
      </c>
    </row>
    <row r="712" spans="1:7">
      <c r="A712" s="65">
        <v>78.790000000000006</v>
      </c>
      <c r="B712" s="65">
        <v>79.98</v>
      </c>
      <c r="C712" s="65">
        <v>78.709999999999994</v>
      </c>
      <c r="D712" s="65">
        <v>79.22</v>
      </c>
      <c r="E712" s="65">
        <v>4524344</v>
      </c>
      <c r="F712" s="65" t="s">
        <v>758</v>
      </c>
      <c r="G712" s="25">
        <f t="shared" si="9"/>
        <v>-5.427922241858063E-3</v>
      </c>
    </row>
    <row r="713" spans="1:7">
      <c r="A713" s="65">
        <v>79.86</v>
      </c>
      <c r="B713" s="65">
        <v>80.8</v>
      </c>
      <c r="C713" s="65">
        <v>79.77</v>
      </c>
      <c r="D713" s="65">
        <v>80.47</v>
      </c>
      <c r="E713" s="65">
        <v>4122320</v>
      </c>
      <c r="F713" s="65" t="s">
        <v>759</v>
      </c>
      <c r="G713" s="25">
        <f t="shared" si="9"/>
        <v>-7.5804647694792671E-3</v>
      </c>
    </row>
    <row r="714" spans="1:7">
      <c r="A714" s="65">
        <v>80.53</v>
      </c>
      <c r="B714" s="65">
        <v>80.63</v>
      </c>
      <c r="C714" s="65">
        <v>79.290000000000006</v>
      </c>
      <c r="D714" s="65">
        <v>79.3</v>
      </c>
      <c r="E714" s="65">
        <v>4097323</v>
      </c>
      <c r="F714" s="65" t="s">
        <v>760</v>
      </c>
      <c r="G714" s="25">
        <f t="shared" si="9"/>
        <v>1.5510718789407463E-2</v>
      </c>
    </row>
    <row r="715" spans="1:7">
      <c r="A715" s="65">
        <v>79.41</v>
      </c>
      <c r="B715" s="65">
        <v>79.584999999999994</v>
      </c>
      <c r="C715" s="65">
        <v>77.900000000000006</v>
      </c>
      <c r="D715" s="65">
        <v>78</v>
      </c>
      <c r="E715" s="65">
        <v>3898399</v>
      </c>
      <c r="F715" s="65" t="s">
        <v>761</v>
      </c>
      <c r="G715" s="25">
        <f t="shared" si="9"/>
        <v>1.8076923076923102E-2</v>
      </c>
    </row>
    <row r="716" spans="1:7">
      <c r="A716" s="65">
        <v>78.28</v>
      </c>
      <c r="B716" s="65">
        <v>79.08</v>
      </c>
      <c r="C716" s="65">
        <v>77.935000000000002</v>
      </c>
      <c r="D716" s="65">
        <v>78</v>
      </c>
      <c r="E716" s="65">
        <v>3015823</v>
      </c>
      <c r="F716" s="65" t="s">
        <v>762</v>
      </c>
      <c r="G716" s="25">
        <f t="shared" si="9"/>
        <v>3.5897435897436214E-3</v>
      </c>
    </row>
    <row r="717" spans="1:7">
      <c r="A717" s="65">
        <v>77.97</v>
      </c>
      <c r="B717" s="65">
        <v>79.239999999999995</v>
      </c>
      <c r="C717" s="65">
        <v>77.694999999999993</v>
      </c>
      <c r="D717" s="65">
        <v>78.44</v>
      </c>
      <c r="E717" s="65">
        <v>3159336</v>
      </c>
      <c r="F717" s="65" t="s">
        <v>763</v>
      </c>
      <c r="G717" s="25">
        <f t="shared" si="9"/>
        <v>-5.991840897501266E-3</v>
      </c>
    </row>
    <row r="718" spans="1:7">
      <c r="A718" s="65">
        <v>78.59</v>
      </c>
      <c r="B718" s="65">
        <v>79</v>
      </c>
      <c r="C718" s="65">
        <v>77.16</v>
      </c>
      <c r="D718" s="65">
        <v>79</v>
      </c>
      <c r="E718" s="65">
        <v>4598094</v>
      </c>
      <c r="F718" s="65" t="s">
        <v>764</v>
      </c>
      <c r="G718" s="25">
        <f t="shared" si="9"/>
        <v>-5.18987341772148E-3</v>
      </c>
    </row>
    <row r="719" spans="1:7">
      <c r="A719" s="65">
        <v>79.84</v>
      </c>
      <c r="B719" s="65">
        <v>80.62</v>
      </c>
      <c r="C719" s="65">
        <v>79.48</v>
      </c>
      <c r="D719" s="65">
        <v>79.94</v>
      </c>
      <c r="E719" s="65">
        <v>2612148</v>
      </c>
      <c r="F719" s="65" t="s">
        <v>765</v>
      </c>
      <c r="G719" s="25">
        <f t="shared" si="9"/>
        <v>-1.2509382036526295E-3</v>
      </c>
    </row>
    <row r="720" spans="1:7">
      <c r="A720" s="65">
        <v>79.55</v>
      </c>
      <c r="B720" s="65">
        <v>80.37</v>
      </c>
      <c r="C720" s="65">
        <v>79.325000000000003</v>
      </c>
      <c r="D720" s="65">
        <v>79.69</v>
      </c>
      <c r="E720" s="65">
        <v>3309261</v>
      </c>
      <c r="F720" s="65" t="s">
        <v>766</v>
      </c>
      <c r="G720" s="25">
        <f t="shared" si="9"/>
        <v>-1.7568076295645385E-3</v>
      </c>
    </row>
    <row r="721" spans="1:7">
      <c r="A721" s="65">
        <v>80</v>
      </c>
      <c r="B721" s="65">
        <v>80.643799999999999</v>
      </c>
      <c r="C721" s="65">
        <v>79.3</v>
      </c>
      <c r="D721" s="65">
        <v>80.17</v>
      </c>
      <c r="E721" s="65">
        <v>3131139</v>
      </c>
      <c r="F721" s="65" t="s">
        <v>767</v>
      </c>
      <c r="G721" s="25">
        <f t="shared" si="9"/>
        <v>-2.1204939503555176E-3</v>
      </c>
    </row>
    <row r="722" spans="1:7">
      <c r="A722" s="65">
        <v>80.38</v>
      </c>
      <c r="B722" s="65">
        <v>81.98</v>
      </c>
      <c r="C722" s="65">
        <v>80.290000000000006</v>
      </c>
      <c r="D722" s="65">
        <v>81.45</v>
      </c>
      <c r="E722" s="65">
        <v>3495406</v>
      </c>
      <c r="F722" s="65" t="s">
        <v>768</v>
      </c>
      <c r="G722" s="25">
        <f t="shared" si="9"/>
        <v>-1.3136893799877369E-2</v>
      </c>
    </row>
    <row r="723" spans="1:7">
      <c r="A723" s="65">
        <v>82.05</v>
      </c>
      <c r="B723" s="65">
        <v>82.1</v>
      </c>
      <c r="C723" s="65">
        <v>81.05</v>
      </c>
      <c r="D723" s="65">
        <v>81.5</v>
      </c>
      <c r="E723" s="65">
        <v>3753445</v>
      </c>
      <c r="F723" s="65" t="s">
        <v>769</v>
      </c>
      <c r="G723" s="25">
        <f t="shared" si="9"/>
        <v>6.7484662576686727E-3</v>
      </c>
    </row>
    <row r="724" spans="1:7">
      <c r="A724" s="65">
        <v>82.07</v>
      </c>
      <c r="B724" s="65">
        <v>84.5</v>
      </c>
      <c r="C724" s="65">
        <v>81.819999999999993</v>
      </c>
      <c r="D724" s="65">
        <v>84.35</v>
      </c>
      <c r="E724" s="65">
        <v>4302839</v>
      </c>
      <c r="F724" s="65" t="s">
        <v>770</v>
      </c>
      <c r="G724" s="25">
        <f t="shared" si="9"/>
        <v>-2.7030231179608788E-2</v>
      </c>
    </row>
    <row r="725" spans="1:7">
      <c r="A725" s="65">
        <v>83.74</v>
      </c>
      <c r="B725" s="65">
        <v>84.81</v>
      </c>
      <c r="C725" s="65">
        <v>82.1</v>
      </c>
      <c r="D725" s="65">
        <v>82.94</v>
      </c>
      <c r="E725" s="65">
        <v>5128514</v>
      </c>
      <c r="F725" s="65" t="s">
        <v>771</v>
      </c>
      <c r="G725" s="25">
        <f t="shared" si="9"/>
        <v>9.6455268869062305E-3</v>
      </c>
    </row>
    <row r="726" spans="1:7">
      <c r="A726" s="65">
        <v>82.67</v>
      </c>
      <c r="B726" s="65">
        <v>87.24</v>
      </c>
      <c r="C726" s="65">
        <v>82.570999999999998</v>
      </c>
      <c r="D726" s="65">
        <v>87</v>
      </c>
      <c r="E726" s="65">
        <v>11588723</v>
      </c>
      <c r="F726" s="65" t="s">
        <v>772</v>
      </c>
      <c r="G726" s="25">
        <f t="shared" si="9"/>
        <v>-4.9770114942528698E-2</v>
      </c>
    </row>
    <row r="727" spans="1:7">
      <c r="A727" s="65">
        <v>91.63</v>
      </c>
      <c r="B727" s="65">
        <v>91.94</v>
      </c>
      <c r="C727" s="65">
        <v>90.88</v>
      </c>
      <c r="D727" s="65">
        <v>91.27</v>
      </c>
      <c r="E727" s="65">
        <v>3264052</v>
      </c>
      <c r="F727" s="65" t="s">
        <v>773</v>
      </c>
      <c r="G727" s="25">
        <f t="shared" si="9"/>
        <v>3.9443409663635354E-3</v>
      </c>
    </row>
    <row r="728" spans="1:7">
      <c r="A728" s="65">
        <v>91.68</v>
      </c>
      <c r="B728" s="65">
        <v>92.2</v>
      </c>
      <c r="C728" s="65">
        <v>91.2</v>
      </c>
      <c r="D728" s="65">
        <v>91.39</v>
      </c>
      <c r="E728" s="65">
        <v>2509656</v>
      </c>
      <c r="F728" s="65" t="s">
        <v>774</v>
      </c>
      <c r="G728" s="25">
        <f t="shared" si="9"/>
        <v>3.1732136995294979E-3</v>
      </c>
    </row>
    <row r="729" spans="1:7">
      <c r="A729" s="65">
        <v>91.4</v>
      </c>
      <c r="B729" s="65">
        <v>92.93</v>
      </c>
      <c r="C729" s="65">
        <v>91.35</v>
      </c>
      <c r="D729" s="65">
        <v>92.76</v>
      </c>
      <c r="E729" s="65">
        <v>2860121</v>
      </c>
      <c r="F729" s="65" t="s">
        <v>775</v>
      </c>
      <c r="G729" s="25">
        <f t="shared" si="9"/>
        <v>-1.4661492022423506E-2</v>
      </c>
    </row>
    <row r="730" spans="1:7">
      <c r="A730" s="65">
        <v>92.57</v>
      </c>
      <c r="B730" s="65">
        <v>92.944999999999993</v>
      </c>
      <c r="C730" s="65">
        <v>91.864999999999995</v>
      </c>
      <c r="D730" s="65">
        <v>92.56</v>
      </c>
      <c r="E730" s="65">
        <v>2048765</v>
      </c>
      <c r="F730" s="65" t="s">
        <v>776</v>
      </c>
      <c r="G730" s="25">
        <f t="shared" si="9"/>
        <v>1.0803802938630369E-4</v>
      </c>
    </row>
    <row r="731" spans="1:7">
      <c r="A731" s="65">
        <v>92.65</v>
      </c>
      <c r="B731" s="65">
        <v>93.34</v>
      </c>
      <c r="C731" s="65">
        <v>91.394999999999996</v>
      </c>
      <c r="D731" s="65">
        <v>91.44</v>
      </c>
      <c r="E731" s="65">
        <v>2336983</v>
      </c>
      <c r="F731" s="65" t="s">
        <v>777</v>
      </c>
      <c r="G731" s="25">
        <f t="shared" si="9"/>
        <v>1.3232720909886364E-2</v>
      </c>
    </row>
    <row r="732" spans="1:7">
      <c r="A732" s="65">
        <v>91.62</v>
      </c>
      <c r="B732" s="65">
        <v>93.5</v>
      </c>
      <c r="C732" s="65">
        <v>90.96</v>
      </c>
      <c r="D732" s="65">
        <v>92.91</v>
      </c>
      <c r="E732" s="65">
        <v>2212274</v>
      </c>
      <c r="F732" s="65" t="s">
        <v>778</v>
      </c>
      <c r="G732" s="25">
        <f t="shared" si="9"/>
        <v>-1.3884404262189176E-2</v>
      </c>
    </row>
    <row r="733" spans="1:7">
      <c r="A733" s="65">
        <v>91.99</v>
      </c>
      <c r="B733" s="65">
        <v>92.33</v>
      </c>
      <c r="C733" s="65">
        <v>91.459000000000003</v>
      </c>
      <c r="D733" s="65">
        <v>92.29</v>
      </c>
      <c r="E733" s="65">
        <v>2299458</v>
      </c>
      <c r="F733" s="65" t="s">
        <v>779</v>
      </c>
      <c r="G733" s="25">
        <f t="shared" si="9"/>
        <v>-3.2506230360820343E-3</v>
      </c>
    </row>
    <row r="734" spans="1:7">
      <c r="A734" s="65">
        <v>92.65</v>
      </c>
      <c r="B734" s="65">
        <v>93.534999999999997</v>
      </c>
      <c r="C734" s="65">
        <v>92.29</v>
      </c>
      <c r="D734" s="65">
        <v>92.9</v>
      </c>
      <c r="E734" s="65">
        <v>1591088</v>
      </c>
      <c r="F734" s="65" t="s">
        <v>780</v>
      </c>
      <c r="G734" s="25">
        <f t="shared" si="9"/>
        <v>-2.6910656620021678E-3</v>
      </c>
    </row>
    <row r="735" spans="1:7">
      <c r="A735" s="65">
        <v>93.38</v>
      </c>
      <c r="B735" s="65">
        <v>94.34</v>
      </c>
      <c r="C735" s="65">
        <v>92.61</v>
      </c>
      <c r="D735" s="65">
        <v>93.36</v>
      </c>
      <c r="E735" s="65">
        <v>2599388</v>
      </c>
      <c r="F735" s="65" t="s">
        <v>781</v>
      </c>
      <c r="G735" s="25">
        <f t="shared" si="9"/>
        <v>2.1422450728358911E-4</v>
      </c>
    </row>
    <row r="736" spans="1:7">
      <c r="A736" s="65">
        <v>93.09</v>
      </c>
      <c r="B736" s="65">
        <v>93.87</v>
      </c>
      <c r="C736" s="65">
        <v>92.65</v>
      </c>
      <c r="D736" s="65">
        <v>93.61</v>
      </c>
      <c r="E736" s="65">
        <v>2456340</v>
      </c>
      <c r="F736" s="65" t="s">
        <v>782</v>
      </c>
      <c r="G736" s="25">
        <f t="shared" si="9"/>
        <v>-5.5549620767011421E-3</v>
      </c>
    </row>
    <row r="737" spans="1:7">
      <c r="A737" s="65">
        <v>93.1</v>
      </c>
      <c r="B737" s="65">
        <v>93.48</v>
      </c>
      <c r="C737" s="65">
        <v>92.27</v>
      </c>
      <c r="D737" s="65">
        <v>93.29</v>
      </c>
      <c r="E737" s="65">
        <v>2619967</v>
      </c>
      <c r="F737" s="65" t="s">
        <v>783</v>
      </c>
      <c r="G737" s="25">
        <f t="shared" si="9"/>
        <v>-2.0366598778005507E-3</v>
      </c>
    </row>
    <row r="738" spans="1:7">
      <c r="A738" s="65">
        <v>92.44</v>
      </c>
      <c r="B738" s="65">
        <v>92.61</v>
      </c>
      <c r="C738" s="65">
        <v>91.61</v>
      </c>
      <c r="D738" s="65">
        <v>91.67</v>
      </c>
      <c r="E738" s="65">
        <v>1859105</v>
      </c>
      <c r="F738" s="65" t="s">
        <v>784</v>
      </c>
      <c r="G738" s="25">
        <f t="shared" si="9"/>
        <v>8.3996945565616432E-3</v>
      </c>
    </row>
    <row r="739" spans="1:7">
      <c r="A739" s="65">
        <v>91.64</v>
      </c>
      <c r="B739" s="65">
        <v>92.17</v>
      </c>
      <c r="C739" s="65">
        <v>90.36</v>
      </c>
      <c r="D739" s="65">
        <v>90.52</v>
      </c>
      <c r="E739" s="65">
        <v>3119723</v>
      </c>
      <c r="F739" s="65" t="s">
        <v>785</v>
      </c>
      <c r="G739" s="25">
        <f t="shared" si="9"/>
        <v>1.2372956252761913E-2</v>
      </c>
    </row>
    <row r="740" spans="1:7">
      <c r="A740" s="65">
        <v>90.26</v>
      </c>
      <c r="B740" s="65">
        <v>91.01</v>
      </c>
      <c r="C740" s="65">
        <v>89.65</v>
      </c>
      <c r="D740" s="65">
        <v>90.02</v>
      </c>
      <c r="E740" s="65">
        <v>4082651</v>
      </c>
      <c r="F740" s="65" t="s">
        <v>786</v>
      </c>
      <c r="G740" s="25">
        <f t="shared" si="9"/>
        <v>2.6660742057320608E-3</v>
      </c>
    </row>
    <row r="741" spans="1:7">
      <c r="A741" s="65">
        <v>90.46</v>
      </c>
      <c r="B741" s="65">
        <v>90.88</v>
      </c>
      <c r="C741" s="65">
        <v>89.39</v>
      </c>
      <c r="D741" s="65">
        <v>90</v>
      </c>
      <c r="E741" s="65">
        <v>2289546</v>
      </c>
      <c r="F741" s="65" t="s">
        <v>787</v>
      </c>
      <c r="G741" s="25">
        <f t="shared" si="9"/>
        <v>5.1111111111110663E-3</v>
      </c>
    </row>
    <row r="742" spans="1:7">
      <c r="A742" s="65">
        <v>90.96</v>
      </c>
      <c r="B742" s="65">
        <v>91.65</v>
      </c>
      <c r="C742" s="65">
        <v>90.08</v>
      </c>
      <c r="D742" s="65">
        <v>91.03</v>
      </c>
      <c r="E742" s="65">
        <v>2370841</v>
      </c>
      <c r="F742" s="65" t="s">
        <v>788</v>
      </c>
      <c r="G742" s="25">
        <f t="shared" si="9"/>
        <v>-7.6897726024394153E-4</v>
      </c>
    </row>
    <row r="743" spans="1:7">
      <c r="A743" s="65">
        <v>91.49</v>
      </c>
      <c r="B743" s="65">
        <v>93.665000000000006</v>
      </c>
      <c r="C743" s="65">
        <v>90.76</v>
      </c>
      <c r="D743" s="65">
        <v>93.62</v>
      </c>
      <c r="E743" s="65">
        <v>1725482</v>
      </c>
      <c r="F743" s="65" t="s">
        <v>789</v>
      </c>
      <c r="G743" s="25">
        <f t="shared" si="9"/>
        <v>-2.2751548814356037E-2</v>
      </c>
    </row>
    <row r="744" spans="1:7">
      <c r="A744" s="65">
        <v>94.33</v>
      </c>
      <c r="B744" s="65">
        <v>94.87</v>
      </c>
      <c r="C744" s="65">
        <v>93.13</v>
      </c>
      <c r="D744" s="65">
        <v>93.27</v>
      </c>
      <c r="E744" s="65">
        <v>4479401</v>
      </c>
      <c r="F744" s="65" t="s">
        <v>790</v>
      </c>
      <c r="G744" s="25">
        <f t="shared" si="9"/>
        <v>1.1364854722847761E-2</v>
      </c>
    </row>
    <row r="745" spans="1:7">
      <c r="A745" s="65">
        <v>92.02</v>
      </c>
      <c r="B745" s="65">
        <v>92.06</v>
      </c>
      <c r="C745" s="65">
        <v>90.26</v>
      </c>
      <c r="D745" s="65">
        <v>90.41</v>
      </c>
      <c r="E745" s="65">
        <v>2710782</v>
      </c>
      <c r="F745" s="65" t="s">
        <v>791</v>
      </c>
      <c r="G745" s="25">
        <f t="shared" si="9"/>
        <v>1.7807764627806755E-2</v>
      </c>
    </row>
    <row r="746" spans="1:7">
      <c r="A746" s="65">
        <v>90.44</v>
      </c>
      <c r="B746" s="65">
        <v>90.64</v>
      </c>
      <c r="C746" s="65">
        <v>89.69</v>
      </c>
      <c r="D746" s="65">
        <v>90.05</v>
      </c>
      <c r="E746" s="65">
        <v>1512397</v>
      </c>
      <c r="F746" s="65" t="s">
        <v>792</v>
      </c>
      <c r="G746" s="25">
        <f t="shared" si="9"/>
        <v>4.3309272626319562E-3</v>
      </c>
    </row>
    <row r="747" spans="1:7">
      <c r="A747" s="65">
        <v>90.19</v>
      </c>
      <c r="B747" s="65">
        <v>90.4</v>
      </c>
      <c r="C747" s="65">
        <v>89.087500000000006</v>
      </c>
      <c r="D747" s="65">
        <v>90.15</v>
      </c>
      <c r="E747" s="65">
        <v>2005455</v>
      </c>
      <c r="F747" s="65" t="s">
        <v>793</v>
      </c>
      <c r="G747" s="25">
        <f t="shared" si="9"/>
        <v>4.4370493621737062E-4</v>
      </c>
    </row>
    <row r="748" spans="1:7">
      <c r="A748" s="65">
        <v>89.49</v>
      </c>
      <c r="B748" s="65">
        <v>90.389499999999998</v>
      </c>
      <c r="C748" s="65">
        <v>88.66</v>
      </c>
      <c r="D748" s="65">
        <v>90.25</v>
      </c>
      <c r="E748" s="65">
        <v>1945447</v>
      </c>
      <c r="F748" s="65" t="s">
        <v>794</v>
      </c>
      <c r="G748" s="25">
        <f t="shared" si="9"/>
        <v>-8.4210526315789958E-3</v>
      </c>
    </row>
    <row r="749" spans="1:7">
      <c r="A749" s="65">
        <v>90.34</v>
      </c>
      <c r="B749" s="65">
        <v>91.004999999999995</v>
      </c>
      <c r="C749" s="65">
        <v>90.18</v>
      </c>
      <c r="D749" s="65">
        <v>90.67</v>
      </c>
      <c r="E749" s="65">
        <v>3346076</v>
      </c>
      <c r="F749" s="65" t="s">
        <v>795</v>
      </c>
      <c r="G749" s="25">
        <f t="shared" si="9"/>
        <v>-3.6395720745561189E-3</v>
      </c>
    </row>
    <row r="750" spans="1:7">
      <c r="A750" s="65">
        <v>91.33</v>
      </c>
      <c r="B750" s="65">
        <v>91.38</v>
      </c>
      <c r="C750" s="65">
        <v>90.55</v>
      </c>
      <c r="D750" s="65">
        <v>91.3</v>
      </c>
      <c r="E750" s="65">
        <v>1889187</v>
      </c>
      <c r="F750" s="65" t="s">
        <v>796</v>
      </c>
      <c r="G750" s="25">
        <f t="shared" si="9"/>
        <v>3.2858707557514855E-4</v>
      </c>
    </row>
    <row r="751" spans="1:7">
      <c r="A751" s="65">
        <v>91.09</v>
      </c>
      <c r="B751" s="65">
        <v>92.25</v>
      </c>
      <c r="C751" s="65">
        <v>90.33</v>
      </c>
      <c r="D751" s="65">
        <v>91.52</v>
      </c>
      <c r="E751" s="65">
        <v>2177188</v>
      </c>
      <c r="F751" s="65" t="s">
        <v>797</v>
      </c>
      <c r="G751" s="25">
        <f t="shared" si="9"/>
        <v>-4.6984265734264508E-3</v>
      </c>
    </row>
    <row r="752" spans="1:7">
      <c r="A752" s="65">
        <v>91.91</v>
      </c>
      <c r="B752" s="65">
        <v>92.06</v>
      </c>
      <c r="C752" s="65">
        <v>89.57</v>
      </c>
      <c r="D752" s="65">
        <v>90.07</v>
      </c>
      <c r="E752" s="65">
        <v>2694539</v>
      </c>
      <c r="F752" s="65" t="s">
        <v>798</v>
      </c>
      <c r="G752" s="25">
        <f t="shared" si="9"/>
        <v>2.0428555567891582E-2</v>
      </c>
    </row>
    <row r="753" spans="1:7">
      <c r="A753" s="65">
        <v>91.94</v>
      </c>
      <c r="B753" s="65">
        <v>92.93</v>
      </c>
      <c r="C753" s="65">
        <v>91.62</v>
      </c>
      <c r="D753" s="65">
        <v>91.98</v>
      </c>
      <c r="E753" s="65">
        <v>6597770</v>
      </c>
      <c r="F753" s="65" t="s">
        <v>799</v>
      </c>
      <c r="G753" s="25">
        <f t="shared" si="9"/>
        <v>-4.3487714720602533E-4</v>
      </c>
    </row>
    <row r="754" spans="1:7">
      <c r="A754" s="65">
        <v>91.29</v>
      </c>
      <c r="B754" s="65">
        <v>91.64</v>
      </c>
      <c r="C754" s="65">
        <v>89.13</v>
      </c>
      <c r="D754" s="65">
        <v>90.2</v>
      </c>
      <c r="E754" s="65">
        <v>3577671</v>
      </c>
      <c r="F754" s="65" t="s">
        <v>800</v>
      </c>
      <c r="G754" s="25">
        <f t="shared" si="9"/>
        <v>1.2084257206208537E-2</v>
      </c>
    </row>
    <row r="755" spans="1:7">
      <c r="A755" s="65">
        <v>90.53</v>
      </c>
      <c r="B755" s="65">
        <v>92.484999999999999</v>
      </c>
      <c r="C755" s="65">
        <v>89.4</v>
      </c>
      <c r="D755" s="65">
        <v>89.77</v>
      </c>
      <c r="E755" s="65">
        <v>5316921</v>
      </c>
      <c r="F755" s="65" t="s">
        <v>801</v>
      </c>
      <c r="G755" s="25">
        <f t="shared" si="9"/>
        <v>8.4660799821767441E-3</v>
      </c>
    </row>
    <row r="756" spans="1:7">
      <c r="A756" s="65">
        <v>87.4</v>
      </c>
      <c r="B756" s="65">
        <v>87.5</v>
      </c>
      <c r="C756" s="65">
        <v>85.72</v>
      </c>
      <c r="D756" s="65">
        <v>85.75</v>
      </c>
      <c r="E756" s="65">
        <v>2615251</v>
      </c>
      <c r="F756" s="65" t="s">
        <v>802</v>
      </c>
      <c r="G756" s="25">
        <f t="shared" si="9"/>
        <v>1.9241982507288702E-2</v>
      </c>
    </row>
    <row r="757" spans="1:7">
      <c r="A757" s="65">
        <v>85.57</v>
      </c>
      <c r="B757" s="65">
        <v>85.79</v>
      </c>
      <c r="C757" s="65">
        <v>83.61</v>
      </c>
      <c r="D757" s="65">
        <v>83.79</v>
      </c>
      <c r="E757" s="65">
        <v>2581914</v>
      </c>
      <c r="F757" s="65" t="s">
        <v>803</v>
      </c>
      <c r="G757" s="25">
        <f t="shared" si="9"/>
        <v>2.1243585153359446E-2</v>
      </c>
    </row>
    <row r="758" spans="1:7">
      <c r="A758" s="65">
        <v>84.1</v>
      </c>
      <c r="B758" s="65">
        <v>84.55</v>
      </c>
      <c r="C758" s="65">
        <v>83.24</v>
      </c>
      <c r="D758" s="65">
        <v>84.55</v>
      </c>
      <c r="E758" s="65">
        <v>2150028</v>
      </c>
      <c r="F758" s="65" t="s">
        <v>804</v>
      </c>
      <c r="G758" s="25">
        <f t="shared" si="9"/>
        <v>-5.3222945002957545E-3</v>
      </c>
    </row>
    <row r="759" spans="1:7">
      <c r="A759" s="65">
        <v>83.96</v>
      </c>
      <c r="B759" s="65">
        <v>84.32</v>
      </c>
      <c r="C759" s="65">
        <v>83.04</v>
      </c>
      <c r="D759" s="65">
        <v>83.48</v>
      </c>
      <c r="E759" s="65">
        <v>1562309</v>
      </c>
      <c r="F759" s="65" t="s">
        <v>805</v>
      </c>
      <c r="G759" s="25">
        <f t="shared" si="9"/>
        <v>5.7498802108288949E-3</v>
      </c>
    </row>
    <row r="760" spans="1:7">
      <c r="A760" s="65">
        <v>83.48</v>
      </c>
      <c r="B760" s="65">
        <v>85.47</v>
      </c>
      <c r="C760" s="65">
        <v>82.69</v>
      </c>
      <c r="D760" s="65">
        <v>85.355000000000004</v>
      </c>
      <c r="E760" s="65">
        <v>2255249</v>
      </c>
      <c r="F760" s="65" t="s">
        <v>806</v>
      </c>
      <c r="G760" s="25">
        <f t="shared" si="9"/>
        <v>-2.1967078671431106E-2</v>
      </c>
    </row>
    <row r="761" spans="1:7">
      <c r="A761" s="65">
        <v>85.18</v>
      </c>
      <c r="B761" s="65">
        <v>86.76</v>
      </c>
      <c r="C761" s="65">
        <v>84.85</v>
      </c>
      <c r="D761" s="65">
        <v>86.43</v>
      </c>
      <c r="E761" s="65">
        <v>1782289</v>
      </c>
      <c r="F761" s="65" t="s">
        <v>807</v>
      </c>
      <c r="G761" s="25">
        <f t="shared" si="9"/>
        <v>-1.4462570866597191E-2</v>
      </c>
    </row>
    <row r="762" spans="1:7">
      <c r="A762" s="65">
        <v>85.94</v>
      </c>
      <c r="B762" s="65">
        <v>85.97</v>
      </c>
      <c r="C762" s="65">
        <v>84.86</v>
      </c>
      <c r="D762" s="65">
        <v>84.94</v>
      </c>
      <c r="E762" s="65">
        <v>1831831</v>
      </c>
      <c r="F762" s="65" t="s">
        <v>808</v>
      </c>
      <c r="G762" s="25">
        <f t="shared" si="9"/>
        <v>1.1773016246762413E-2</v>
      </c>
    </row>
    <row r="763" spans="1:7">
      <c r="A763" s="65">
        <v>85.34</v>
      </c>
      <c r="B763" s="65">
        <v>85.88</v>
      </c>
      <c r="C763" s="65">
        <v>84.8</v>
      </c>
      <c r="D763" s="65">
        <v>85.62</v>
      </c>
      <c r="E763" s="65">
        <v>2042845</v>
      </c>
      <c r="F763" s="65" t="s">
        <v>809</v>
      </c>
      <c r="G763" s="25">
        <f t="shared" si="9"/>
        <v>-3.2702639570193481E-3</v>
      </c>
    </row>
    <row r="764" spans="1:7">
      <c r="A764" s="65">
        <v>85.23</v>
      </c>
      <c r="B764" s="65">
        <v>85.24</v>
      </c>
      <c r="C764" s="65">
        <v>82.974999999999994</v>
      </c>
      <c r="D764" s="65">
        <v>84.06</v>
      </c>
      <c r="E764" s="65">
        <v>2548587</v>
      </c>
      <c r="F764" s="65" t="s">
        <v>810</v>
      </c>
      <c r="G764" s="25">
        <f t="shared" ref="G764:G827" si="10">A764/D764-1</f>
        <v>1.3918629550321304E-2</v>
      </c>
    </row>
    <row r="765" spans="1:7">
      <c r="A765" s="65">
        <v>84.23</v>
      </c>
      <c r="B765" s="65">
        <v>84.72</v>
      </c>
      <c r="C765" s="65">
        <v>81.3</v>
      </c>
      <c r="D765" s="65">
        <v>81.89</v>
      </c>
      <c r="E765" s="65">
        <v>6117605</v>
      </c>
      <c r="F765" s="65" t="s">
        <v>811</v>
      </c>
      <c r="G765" s="25">
        <f t="shared" si="10"/>
        <v>2.8574917572353309E-2</v>
      </c>
    </row>
    <row r="766" spans="1:7">
      <c r="A766" s="65">
        <v>81.41</v>
      </c>
      <c r="B766" s="65">
        <v>82.3</v>
      </c>
      <c r="C766" s="65">
        <v>81.03</v>
      </c>
      <c r="D766" s="65">
        <v>82.21</v>
      </c>
      <c r="E766" s="65">
        <v>2768538</v>
      </c>
      <c r="F766" s="65" t="s">
        <v>812</v>
      </c>
      <c r="G766" s="25">
        <f t="shared" si="10"/>
        <v>-9.7311762559298964E-3</v>
      </c>
    </row>
    <row r="767" spans="1:7">
      <c r="A767" s="65">
        <v>82.01</v>
      </c>
      <c r="B767" s="65">
        <v>82.1</v>
      </c>
      <c r="C767" s="65">
        <v>81.3</v>
      </c>
      <c r="D767" s="65">
        <v>81.540000000000006</v>
      </c>
      <c r="E767" s="65">
        <v>2308782</v>
      </c>
      <c r="F767" s="65" t="s">
        <v>813</v>
      </c>
      <c r="G767" s="25">
        <f t="shared" si="10"/>
        <v>5.7640421878832893E-3</v>
      </c>
    </row>
    <row r="768" spans="1:7">
      <c r="A768" s="65">
        <v>81.650000000000006</v>
      </c>
      <c r="B768" s="65">
        <v>84.01</v>
      </c>
      <c r="C768" s="65">
        <v>80.94</v>
      </c>
      <c r="D768" s="65">
        <v>84</v>
      </c>
      <c r="E768" s="65">
        <v>3438923</v>
      </c>
      <c r="F768" s="65" t="s">
        <v>814</v>
      </c>
      <c r="G768" s="25">
        <f t="shared" si="10"/>
        <v>-2.7976190476190377E-2</v>
      </c>
    </row>
    <row r="769" spans="1:7">
      <c r="A769" s="65">
        <v>83.84</v>
      </c>
      <c r="B769" s="65">
        <v>84.44</v>
      </c>
      <c r="C769" s="65">
        <v>83.58</v>
      </c>
      <c r="D769" s="65">
        <v>84.23</v>
      </c>
      <c r="E769" s="65">
        <v>2012634</v>
      </c>
      <c r="F769" s="65" t="s">
        <v>815</v>
      </c>
      <c r="G769" s="25">
        <f t="shared" si="10"/>
        <v>-4.6301792710435885E-3</v>
      </c>
    </row>
    <row r="770" spans="1:7">
      <c r="A770" s="65">
        <v>84.74</v>
      </c>
      <c r="B770" s="65">
        <v>89.14</v>
      </c>
      <c r="C770" s="65">
        <v>84.045000000000002</v>
      </c>
      <c r="D770" s="65">
        <v>88.52</v>
      </c>
      <c r="E770" s="65">
        <v>3061661</v>
      </c>
      <c r="F770" s="65" t="s">
        <v>816</v>
      </c>
      <c r="G770" s="25">
        <f t="shared" si="10"/>
        <v>-4.2702214188883869E-2</v>
      </c>
    </row>
    <row r="771" spans="1:7">
      <c r="A771" s="65">
        <v>89.16</v>
      </c>
      <c r="B771" s="65">
        <v>89.4</v>
      </c>
      <c r="C771" s="65">
        <v>87.64</v>
      </c>
      <c r="D771" s="65">
        <v>87.82</v>
      </c>
      <c r="E771" s="65">
        <v>1812356</v>
      </c>
      <c r="F771" s="65" t="s">
        <v>817</v>
      </c>
      <c r="G771" s="25">
        <f t="shared" si="10"/>
        <v>1.5258483261216149E-2</v>
      </c>
    </row>
    <row r="772" spans="1:7">
      <c r="A772" s="65">
        <v>87.93</v>
      </c>
      <c r="B772" s="65">
        <v>88.31</v>
      </c>
      <c r="C772" s="65">
        <v>87.194999999999993</v>
      </c>
      <c r="D772" s="65">
        <v>87.76</v>
      </c>
      <c r="E772" s="65">
        <v>3004292</v>
      </c>
      <c r="F772" s="65" t="s">
        <v>818</v>
      </c>
      <c r="G772" s="25">
        <f t="shared" si="10"/>
        <v>1.937101185050194E-3</v>
      </c>
    </row>
    <row r="773" spans="1:7">
      <c r="A773" s="65">
        <v>87.41</v>
      </c>
      <c r="B773" s="65">
        <v>88.14</v>
      </c>
      <c r="C773" s="65">
        <v>86.59</v>
      </c>
      <c r="D773" s="65">
        <v>87.94</v>
      </c>
      <c r="E773" s="65">
        <v>2893906</v>
      </c>
      <c r="F773" s="65" t="s">
        <v>819</v>
      </c>
      <c r="G773" s="25">
        <f t="shared" si="10"/>
        <v>-6.0268364794178186E-3</v>
      </c>
    </row>
    <row r="774" spans="1:7">
      <c r="A774" s="65">
        <v>87.66</v>
      </c>
      <c r="B774" s="65">
        <v>88.96</v>
      </c>
      <c r="C774" s="65">
        <v>86.26</v>
      </c>
      <c r="D774" s="65">
        <v>88.7</v>
      </c>
      <c r="E774" s="65">
        <v>2414147</v>
      </c>
      <c r="F774" s="65" t="s">
        <v>820</v>
      </c>
      <c r="G774" s="25">
        <f t="shared" si="10"/>
        <v>-1.1724915445321393E-2</v>
      </c>
    </row>
    <row r="775" spans="1:7">
      <c r="A775" s="65">
        <v>88.66</v>
      </c>
      <c r="B775" s="65">
        <v>89.12</v>
      </c>
      <c r="C775" s="65">
        <v>88.43</v>
      </c>
      <c r="D775" s="65">
        <v>88.79</v>
      </c>
      <c r="E775" s="65">
        <v>1407888</v>
      </c>
      <c r="F775" s="65" t="s">
        <v>821</v>
      </c>
      <c r="G775" s="25">
        <f t="shared" si="10"/>
        <v>-1.4641288433383526E-3</v>
      </c>
    </row>
    <row r="776" spans="1:7">
      <c r="A776" s="65">
        <v>88.92</v>
      </c>
      <c r="B776" s="65">
        <v>89.72</v>
      </c>
      <c r="C776" s="65">
        <v>88.51</v>
      </c>
      <c r="D776" s="65">
        <v>89.12</v>
      </c>
      <c r="E776" s="65">
        <v>2291544</v>
      </c>
      <c r="F776" s="65" t="s">
        <v>822</v>
      </c>
      <c r="G776" s="25">
        <f t="shared" si="10"/>
        <v>-2.244165170556589E-3</v>
      </c>
    </row>
    <row r="777" spans="1:7">
      <c r="A777" s="65">
        <v>89.18</v>
      </c>
      <c r="B777" s="65">
        <v>89.25</v>
      </c>
      <c r="C777" s="65">
        <v>88.39</v>
      </c>
      <c r="D777" s="65">
        <v>88.74</v>
      </c>
      <c r="E777" s="65">
        <v>1565425</v>
      </c>
      <c r="F777" s="65" t="s">
        <v>823</v>
      </c>
      <c r="G777" s="25">
        <f t="shared" si="10"/>
        <v>4.9583051611450379E-3</v>
      </c>
    </row>
    <row r="778" spans="1:7">
      <c r="A778" s="65">
        <v>88.78</v>
      </c>
      <c r="B778" s="65">
        <v>89.35</v>
      </c>
      <c r="C778" s="65">
        <v>88.23</v>
      </c>
      <c r="D778" s="65">
        <v>89.05</v>
      </c>
      <c r="E778" s="65">
        <v>1744497</v>
      </c>
      <c r="F778" s="65" t="s">
        <v>824</v>
      </c>
      <c r="G778" s="25">
        <f t="shared" si="10"/>
        <v>-3.0320044918584754E-3</v>
      </c>
    </row>
    <row r="779" spans="1:7">
      <c r="A779" s="65">
        <v>88.85</v>
      </c>
      <c r="B779" s="65">
        <v>89.58</v>
      </c>
      <c r="C779" s="65">
        <v>87.8</v>
      </c>
      <c r="D779" s="65">
        <v>89.22</v>
      </c>
      <c r="E779" s="65">
        <v>2398323</v>
      </c>
      <c r="F779" s="65" t="s">
        <v>825</v>
      </c>
      <c r="G779" s="25">
        <f t="shared" si="10"/>
        <v>-4.1470522304416502E-3</v>
      </c>
    </row>
    <row r="780" spans="1:7">
      <c r="A780" s="65">
        <v>88.7</v>
      </c>
      <c r="B780" s="65">
        <v>89.17</v>
      </c>
      <c r="C780" s="65">
        <v>88.35</v>
      </c>
      <c r="D780" s="65">
        <v>88.68</v>
      </c>
      <c r="E780" s="65">
        <v>1585320</v>
      </c>
      <c r="F780" s="65" t="s">
        <v>826</v>
      </c>
      <c r="G780" s="25">
        <f t="shared" si="10"/>
        <v>2.2552999548941521E-4</v>
      </c>
    </row>
    <row r="781" spans="1:7">
      <c r="A781" s="65">
        <v>89.02</v>
      </c>
      <c r="B781" s="65">
        <v>89.18</v>
      </c>
      <c r="C781" s="65">
        <v>87.95</v>
      </c>
      <c r="D781" s="65">
        <v>88.22</v>
      </c>
      <c r="E781" s="65">
        <v>2148220</v>
      </c>
      <c r="F781" s="65" t="s">
        <v>827</v>
      </c>
      <c r="G781" s="25">
        <f t="shared" si="10"/>
        <v>9.0682384946723094E-3</v>
      </c>
    </row>
    <row r="782" spans="1:7">
      <c r="A782" s="65">
        <v>88.74</v>
      </c>
      <c r="B782" s="65">
        <v>88.85</v>
      </c>
      <c r="C782" s="65">
        <v>87.784999999999997</v>
      </c>
      <c r="D782" s="65">
        <v>88.51</v>
      </c>
      <c r="E782" s="65">
        <v>1567443</v>
      </c>
      <c r="F782" s="65" t="s">
        <v>828</v>
      </c>
      <c r="G782" s="25">
        <f t="shared" si="10"/>
        <v>2.5985764320415328E-3</v>
      </c>
    </row>
    <row r="783" spans="1:7">
      <c r="A783" s="65">
        <v>87.9</v>
      </c>
      <c r="B783" s="65">
        <v>88.68</v>
      </c>
      <c r="C783" s="65">
        <v>87.26</v>
      </c>
      <c r="D783" s="65">
        <v>87.5</v>
      </c>
      <c r="E783" s="65">
        <v>1797744</v>
      </c>
      <c r="F783" s="65" t="s">
        <v>829</v>
      </c>
      <c r="G783" s="25">
        <f t="shared" si="10"/>
        <v>4.5714285714286707E-3</v>
      </c>
    </row>
    <row r="784" spans="1:7">
      <c r="A784" s="65">
        <v>88.1</v>
      </c>
      <c r="B784" s="65">
        <v>89.26</v>
      </c>
      <c r="C784" s="65">
        <v>87.93</v>
      </c>
      <c r="D784" s="65">
        <v>88.69</v>
      </c>
      <c r="E784" s="65">
        <v>2153784</v>
      </c>
      <c r="F784" s="65" t="s">
        <v>830</v>
      </c>
      <c r="G784" s="25">
        <f t="shared" si="10"/>
        <v>-6.6523847107904377E-3</v>
      </c>
    </row>
    <row r="785" spans="1:7">
      <c r="A785" s="65">
        <v>87.81</v>
      </c>
      <c r="B785" s="65">
        <v>88.89</v>
      </c>
      <c r="C785" s="65">
        <v>87.42</v>
      </c>
      <c r="D785" s="65">
        <v>87.99</v>
      </c>
      <c r="E785" s="65">
        <v>3086007</v>
      </c>
      <c r="F785" s="65" t="s">
        <v>831</v>
      </c>
      <c r="G785" s="25">
        <f t="shared" si="10"/>
        <v>-2.0456870098873869E-3</v>
      </c>
    </row>
    <row r="786" spans="1:7">
      <c r="A786" s="65">
        <v>87.55</v>
      </c>
      <c r="B786" s="65">
        <v>88.34</v>
      </c>
      <c r="C786" s="65">
        <v>86.87</v>
      </c>
      <c r="D786" s="65">
        <v>87.52</v>
      </c>
      <c r="E786" s="65">
        <v>2204025</v>
      </c>
      <c r="F786" s="65" t="s">
        <v>832</v>
      </c>
      <c r="G786" s="25">
        <f t="shared" si="10"/>
        <v>3.4277879341870765E-4</v>
      </c>
    </row>
    <row r="787" spans="1:7">
      <c r="A787" s="65">
        <v>87.98</v>
      </c>
      <c r="B787" s="65">
        <v>88.54</v>
      </c>
      <c r="C787" s="65">
        <v>86.67</v>
      </c>
      <c r="D787" s="65">
        <v>87.2</v>
      </c>
      <c r="E787" s="65">
        <v>3306211</v>
      </c>
      <c r="F787" s="65" t="s">
        <v>833</v>
      </c>
      <c r="G787" s="25">
        <f t="shared" si="10"/>
        <v>8.9449541284403189E-3</v>
      </c>
    </row>
    <row r="788" spans="1:7">
      <c r="A788" s="65">
        <v>86.72</v>
      </c>
      <c r="B788" s="65">
        <v>87.07</v>
      </c>
      <c r="C788" s="65">
        <v>83</v>
      </c>
      <c r="D788" s="65">
        <v>85</v>
      </c>
      <c r="E788" s="65">
        <v>3983349</v>
      </c>
      <c r="F788" s="65" t="s">
        <v>834</v>
      </c>
      <c r="G788" s="25">
        <f t="shared" si="10"/>
        <v>2.0235294117647129E-2</v>
      </c>
    </row>
    <row r="789" spans="1:7">
      <c r="A789" s="65">
        <v>87.41</v>
      </c>
      <c r="B789" s="65">
        <v>87.99</v>
      </c>
      <c r="C789" s="65">
        <v>86.91</v>
      </c>
      <c r="D789" s="65">
        <v>87.74</v>
      </c>
      <c r="E789" s="65">
        <v>3089768</v>
      </c>
      <c r="F789" s="65" t="s">
        <v>835</v>
      </c>
      <c r="G789" s="25">
        <f t="shared" si="10"/>
        <v>-3.7611123774788924E-3</v>
      </c>
    </row>
    <row r="790" spans="1:7">
      <c r="A790" s="65">
        <v>87.77</v>
      </c>
      <c r="B790" s="65">
        <v>88.85</v>
      </c>
      <c r="C790" s="65">
        <v>87.65</v>
      </c>
      <c r="D790" s="65">
        <v>88.47</v>
      </c>
      <c r="E790" s="65">
        <v>3148697</v>
      </c>
      <c r="F790" s="65" t="s">
        <v>836</v>
      </c>
      <c r="G790" s="25">
        <f t="shared" si="10"/>
        <v>-7.912286650842093E-3</v>
      </c>
    </row>
    <row r="791" spans="1:7">
      <c r="A791" s="65">
        <v>88.79</v>
      </c>
      <c r="B791" s="65">
        <v>88.84</v>
      </c>
      <c r="C791" s="65">
        <v>86.887500000000003</v>
      </c>
      <c r="D791" s="65">
        <v>87</v>
      </c>
      <c r="E791" s="65">
        <v>4105042</v>
      </c>
      <c r="F791" s="65" t="s">
        <v>837</v>
      </c>
      <c r="G791" s="25">
        <f t="shared" si="10"/>
        <v>2.0574712643678161E-2</v>
      </c>
    </row>
    <row r="792" spans="1:7">
      <c r="A792" s="65">
        <v>86.54</v>
      </c>
      <c r="B792" s="65">
        <v>87</v>
      </c>
      <c r="C792" s="65">
        <v>85.98</v>
      </c>
      <c r="D792" s="65">
        <v>86.25</v>
      </c>
      <c r="E792" s="65">
        <v>2736684</v>
      </c>
      <c r="F792" s="65" t="s">
        <v>838</v>
      </c>
      <c r="G792" s="25">
        <f t="shared" si="10"/>
        <v>3.3623188405798032E-3</v>
      </c>
    </row>
    <row r="793" spans="1:7">
      <c r="A793" s="65">
        <v>85.73</v>
      </c>
      <c r="B793" s="65">
        <v>87.08</v>
      </c>
      <c r="C793" s="65">
        <v>85.35</v>
      </c>
      <c r="D793" s="65">
        <v>86.55</v>
      </c>
      <c r="E793" s="65">
        <v>4271329</v>
      </c>
      <c r="F793" s="65" t="s">
        <v>839</v>
      </c>
      <c r="G793" s="25">
        <f t="shared" si="10"/>
        <v>-9.4742923165799242E-3</v>
      </c>
    </row>
    <row r="794" spans="1:7">
      <c r="A794" s="65">
        <v>86.5</v>
      </c>
      <c r="B794" s="65">
        <v>87.1</v>
      </c>
      <c r="C794" s="65">
        <v>84.7</v>
      </c>
      <c r="D794" s="65">
        <v>84.95</v>
      </c>
      <c r="E794" s="65">
        <v>5562762</v>
      </c>
      <c r="F794" s="65" t="s">
        <v>840</v>
      </c>
      <c r="G794" s="25">
        <f t="shared" si="10"/>
        <v>1.824602707474976E-2</v>
      </c>
    </row>
    <row r="795" spans="1:7">
      <c r="A795" s="65">
        <v>84.35</v>
      </c>
      <c r="B795" s="65">
        <v>84.57</v>
      </c>
      <c r="C795" s="65">
        <v>83.75</v>
      </c>
      <c r="D795" s="65">
        <v>84.57</v>
      </c>
      <c r="E795" s="65">
        <v>2008734</v>
      </c>
      <c r="F795" s="65" t="s">
        <v>841</v>
      </c>
      <c r="G795" s="25">
        <f t="shared" si="10"/>
        <v>-2.6013952938394036E-3</v>
      </c>
    </row>
    <row r="796" spans="1:7">
      <c r="A796" s="65">
        <v>84.05</v>
      </c>
      <c r="B796" s="65">
        <v>84.85</v>
      </c>
      <c r="C796" s="65">
        <v>83.45</v>
      </c>
      <c r="D796" s="65">
        <v>84.71</v>
      </c>
      <c r="E796" s="65">
        <v>1636872</v>
      </c>
      <c r="F796" s="65" t="s">
        <v>842</v>
      </c>
      <c r="G796" s="25">
        <f t="shared" si="10"/>
        <v>-7.791287923503698E-3</v>
      </c>
    </row>
    <row r="797" spans="1:7">
      <c r="A797" s="65">
        <v>84.36</v>
      </c>
      <c r="B797" s="65">
        <v>84.94</v>
      </c>
      <c r="C797" s="65">
        <v>83.415000000000006</v>
      </c>
      <c r="D797" s="65">
        <v>84.35</v>
      </c>
      <c r="E797" s="65">
        <v>2487283</v>
      </c>
      <c r="F797" s="65" t="s">
        <v>843</v>
      </c>
      <c r="G797" s="25">
        <f t="shared" si="10"/>
        <v>1.1855364552459946E-4</v>
      </c>
    </row>
    <row r="798" spans="1:7">
      <c r="A798" s="65">
        <v>84.66</v>
      </c>
      <c r="B798" s="65">
        <v>84.71</v>
      </c>
      <c r="C798" s="65">
        <v>82.936000000000007</v>
      </c>
      <c r="D798" s="65">
        <v>83.37</v>
      </c>
      <c r="E798" s="65">
        <v>2011040</v>
      </c>
      <c r="F798" s="65" t="s">
        <v>844</v>
      </c>
      <c r="G798" s="25">
        <f t="shared" si="10"/>
        <v>1.5473191795609909E-2</v>
      </c>
    </row>
    <row r="799" spans="1:7">
      <c r="A799" s="65">
        <v>82.92</v>
      </c>
      <c r="B799" s="65">
        <v>83.745000000000005</v>
      </c>
      <c r="C799" s="65">
        <v>82.21</v>
      </c>
      <c r="D799" s="65">
        <v>82.64</v>
      </c>
      <c r="E799" s="65">
        <v>3015403</v>
      </c>
      <c r="F799" s="65" t="s">
        <v>845</v>
      </c>
      <c r="G799" s="25">
        <f t="shared" si="10"/>
        <v>3.3881897386254245E-3</v>
      </c>
    </row>
    <row r="800" spans="1:7">
      <c r="A800" s="65">
        <v>82.2</v>
      </c>
      <c r="B800" s="65">
        <v>83.17</v>
      </c>
      <c r="C800" s="65">
        <v>82.05</v>
      </c>
      <c r="D800" s="65">
        <v>82.635000000000005</v>
      </c>
      <c r="E800" s="65">
        <v>2341406</v>
      </c>
      <c r="F800" s="65" t="s">
        <v>846</v>
      </c>
      <c r="G800" s="25">
        <f t="shared" si="10"/>
        <v>-5.264113269195847E-3</v>
      </c>
    </row>
    <row r="801" spans="1:7">
      <c r="A801" s="65">
        <v>82.75</v>
      </c>
      <c r="B801" s="65">
        <v>83.33</v>
      </c>
      <c r="C801" s="65">
        <v>81.78</v>
      </c>
      <c r="D801" s="65">
        <v>83.33</v>
      </c>
      <c r="E801" s="65">
        <v>2256908</v>
      </c>
      <c r="F801" s="65" t="s">
        <v>847</v>
      </c>
      <c r="G801" s="25">
        <f t="shared" si="10"/>
        <v>-6.9602784111364446E-3</v>
      </c>
    </row>
    <row r="802" spans="1:7">
      <c r="A802" s="65">
        <v>83.88</v>
      </c>
      <c r="B802" s="65">
        <v>83.92</v>
      </c>
      <c r="C802" s="65">
        <v>82.765000000000001</v>
      </c>
      <c r="D802" s="65">
        <v>83.42</v>
      </c>
      <c r="E802" s="65">
        <v>1594880</v>
      </c>
      <c r="F802" s="65" t="s">
        <v>848</v>
      </c>
      <c r="G802" s="25">
        <f t="shared" si="10"/>
        <v>5.5142651642290375E-3</v>
      </c>
    </row>
    <row r="803" spans="1:7">
      <c r="A803" s="65">
        <v>83.45</v>
      </c>
      <c r="B803" s="65">
        <v>83.63</v>
      </c>
      <c r="C803" s="65">
        <v>82.758700000000005</v>
      </c>
      <c r="D803" s="65">
        <v>83.52</v>
      </c>
      <c r="E803" s="65">
        <v>2375140</v>
      </c>
      <c r="F803" s="65" t="s">
        <v>849</v>
      </c>
      <c r="G803" s="25">
        <f t="shared" si="10"/>
        <v>-8.3812260536386685E-4</v>
      </c>
    </row>
    <row r="804" spans="1:7">
      <c r="A804" s="65">
        <v>83.2</v>
      </c>
      <c r="B804" s="65">
        <v>83.59</v>
      </c>
      <c r="C804" s="65">
        <v>82.18</v>
      </c>
      <c r="D804" s="65">
        <v>82.49</v>
      </c>
      <c r="E804" s="65">
        <v>2777991</v>
      </c>
      <c r="F804" s="65" t="s">
        <v>850</v>
      </c>
      <c r="G804" s="25">
        <f t="shared" si="10"/>
        <v>8.6071038913808628E-3</v>
      </c>
    </row>
    <row r="805" spans="1:7">
      <c r="A805" s="65">
        <v>82.17</v>
      </c>
      <c r="B805" s="65">
        <v>82.73</v>
      </c>
      <c r="C805" s="65">
        <v>81.64</v>
      </c>
      <c r="D805" s="65">
        <v>82.31</v>
      </c>
      <c r="E805" s="65">
        <v>2294966</v>
      </c>
      <c r="F805" s="65" t="s">
        <v>851</v>
      </c>
      <c r="G805" s="25">
        <f t="shared" si="10"/>
        <v>-1.7008868910217689E-3</v>
      </c>
    </row>
    <row r="806" spans="1:7">
      <c r="A806" s="65">
        <v>82.73</v>
      </c>
      <c r="B806" s="65">
        <v>82.78</v>
      </c>
      <c r="C806" s="65">
        <v>81.39</v>
      </c>
      <c r="D806" s="65">
        <v>82.04</v>
      </c>
      <c r="E806" s="65">
        <v>2878736</v>
      </c>
      <c r="F806" s="65" t="s">
        <v>852</v>
      </c>
      <c r="G806" s="25">
        <f t="shared" si="10"/>
        <v>8.4105314480740212E-3</v>
      </c>
    </row>
    <row r="807" spans="1:7">
      <c r="A807" s="65">
        <v>81.569999999999993</v>
      </c>
      <c r="B807" s="65">
        <v>82.6</v>
      </c>
      <c r="C807" s="65">
        <v>81.05</v>
      </c>
      <c r="D807" s="65">
        <v>82.48</v>
      </c>
      <c r="E807" s="65">
        <v>1701436</v>
      </c>
      <c r="F807" s="65" t="s">
        <v>853</v>
      </c>
      <c r="G807" s="25">
        <f t="shared" si="10"/>
        <v>-1.1032977691561752E-2</v>
      </c>
    </row>
    <row r="808" spans="1:7">
      <c r="A808" s="65">
        <v>81.64</v>
      </c>
      <c r="B808" s="65">
        <v>81.66</v>
      </c>
      <c r="C808" s="65">
        <v>80.849999999999994</v>
      </c>
      <c r="D808" s="65">
        <v>81</v>
      </c>
      <c r="E808" s="65">
        <v>2196971</v>
      </c>
      <c r="F808" s="65" t="s">
        <v>854</v>
      </c>
      <c r="G808" s="25">
        <f t="shared" si="10"/>
        <v>7.9012345679012608E-3</v>
      </c>
    </row>
    <row r="809" spans="1:7">
      <c r="A809" s="65">
        <v>80.489999999999995</v>
      </c>
      <c r="B809" s="65">
        <v>81.474999999999994</v>
      </c>
      <c r="C809" s="65">
        <v>80.180000000000007</v>
      </c>
      <c r="D809" s="65">
        <v>80.75</v>
      </c>
      <c r="E809" s="65">
        <v>3092045</v>
      </c>
      <c r="F809" s="65" t="s">
        <v>855</v>
      </c>
      <c r="G809" s="25">
        <f t="shared" si="10"/>
        <v>-3.2198142414860964E-3</v>
      </c>
    </row>
    <row r="810" spans="1:7">
      <c r="A810" s="65">
        <v>80.92</v>
      </c>
      <c r="B810" s="65">
        <v>82.2</v>
      </c>
      <c r="C810" s="65">
        <v>80.739999999999995</v>
      </c>
      <c r="D810" s="65">
        <v>81.459999999999994</v>
      </c>
      <c r="E810" s="65">
        <v>3149775</v>
      </c>
      <c r="F810" s="65" t="s">
        <v>856</v>
      </c>
      <c r="G810" s="25">
        <f t="shared" si="10"/>
        <v>-6.6290203780995371E-3</v>
      </c>
    </row>
    <row r="811" spans="1:7">
      <c r="A811" s="65">
        <v>80.760000000000005</v>
      </c>
      <c r="B811" s="65">
        <v>81.02</v>
      </c>
      <c r="C811" s="65">
        <v>79.37</v>
      </c>
      <c r="D811" s="65">
        <v>79.55</v>
      </c>
      <c r="E811" s="65">
        <v>2759103</v>
      </c>
      <c r="F811" s="65" t="s">
        <v>857</v>
      </c>
      <c r="G811" s="25">
        <f t="shared" si="10"/>
        <v>1.5210559396606094E-2</v>
      </c>
    </row>
    <row r="812" spans="1:7">
      <c r="A812" s="65">
        <v>79.55</v>
      </c>
      <c r="B812" s="65">
        <v>81.16</v>
      </c>
      <c r="C812" s="65">
        <v>78.875</v>
      </c>
      <c r="D812" s="65">
        <v>79.989999999999995</v>
      </c>
      <c r="E812" s="65">
        <v>2701262</v>
      </c>
      <c r="F812" s="65" t="s">
        <v>858</v>
      </c>
      <c r="G812" s="25">
        <f t="shared" si="10"/>
        <v>-5.5006875859482385E-3</v>
      </c>
    </row>
    <row r="813" spans="1:7">
      <c r="A813" s="65">
        <v>79.41</v>
      </c>
      <c r="B813" s="65">
        <v>81.89</v>
      </c>
      <c r="C813" s="65">
        <v>79.38</v>
      </c>
      <c r="D813" s="65">
        <v>81.760000000000005</v>
      </c>
      <c r="E813" s="65">
        <v>3259451</v>
      </c>
      <c r="F813" s="65" t="s">
        <v>859</v>
      </c>
      <c r="G813" s="25">
        <f t="shared" si="10"/>
        <v>-2.8742661448140971E-2</v>
      </c>
    </row>
    <row r="814" spans="1:7">
      <c r="A814" s="65">
        <v>81.73</v>
      </c>
      <c r="B814" s="65">
        <v>82.46</v>
      </c>
      <c r="C814" s="65">
        <v>81.03</v>
      </c>
      <c r="D814" s="65">
        <v>81.260000000000005</v>
      </c>
      <c r="E814" s="65">
        <v>4227472</v>
      </c>
      <c r="F814" s="65" t="s">
        <v>860</v>
      </c>
      <c r="G814" s="25">
        <f t="shared" si="10"/>
        <v>5.7839035195668131E-3</v>
      </c>
    </row>
    <row r="815" spans="1:7">
      <c r="A815" s="65">
        <v>81.08</v>
      </c>
      <c r="B815" s="65">
        <v>81.709999999999994</v>
      </c>
      <c r="C815" s="65">
        <v>80.02</v>
      </c>
      <c r="D815" s="65">
        <v>80.63</v>
      </c>
      <c r="E815" s="65">
        <v>3866816</v>
      </c>
      <c r="F815" s="65" t="s">
        <v>861</v>
      </c>
      <c r="G815" s="25">
        <f t="shared" si="10"/>
        <v>5.5810492372565523E-3</v>
      </c>
    </row>
    <row r="816" spans="1:7">
      <c r="A816" s="65">
        <v>80.739999999999995</v>
      </c>
      <c r="B816" s="65">
        <v>82.7</v>
      </c>
      <c r="C816" s="65">
        <v>80.28</v>
      </c>
      <c r="D816" s="65">
        <v>82.7</v>
      </c>
      <c r="E816" s="65">
        <v>4710224</v>
      </c>
      <c r="F816" s="65" t="s">
        <v>862</v>
      </c>
      <c r="G816" s="25">
        <f t="shared" si="10"/>
        <v>-2.3700120918984324E-2</v>
      </c>
    </row>
    <row r="817" spans="1:7">
      <c r="A817" s="65">
        <v>81.91</v>
      </c>
      <c r="B817" s="65">
        <v>82.245000000000005</v>
      </c>
      <c r="C817" s="65">
        <v>78.56</v>
      </c>
      <c r="D817" s="65">
        <v>78.87</v>
      </c>
      <c r="E817" s="65">
        <v>4780492</v>
      </c>
      <c r="F817" s="65" t="s">
        <v>863</v>
      </c>
      <c r="G817" s="25">
        <f t="shared" si="10"/>
        <v>3.8544440218080345E-2</v>
      </c>
    </row>
    <row r="818" spans="1:7">
      <c r="A818" s="65">
        <v>79.48</v>
      </c>
      <c r="B818" s="65">
        <v>79.540000000000006</v>
      </c>
      <c r="C818" s="65">
        <v>77</v>
      </c>
      <c r="D818" s="65">
        <v>77.459999999999994</v>
      </c>
      <c r="E818" s="65">
        <v>3695193</v>
      </c>
      <c r="F818" s="65" t="s">
        <v>864</v>
      </c>
      <c r="G818" s="25">
        <f t="shared" si="10"/>
        <v>2.6077975729408953E-2</v>
      </c>
    </row>
    <row r="819" spans="1:7">
      <c r="A819" s="65">
        <v>78.2</v>
      </c>
      <c r="B819" s="65">
        <v>78.25</v>
      </c>
      <c r="C819" s="65">
        <v>76.599999999999994</v>
      </c>
      <c r="D819" s="65">
        <v>77.87</v>
      </c>
      <c r="E819" s="65">
        <v>8343632</v>
      </c>
      <c r="F819" s="65" t="s">
        <v>865</v>
      </c>
      <c r="G819" s="25">
        <f t="shared" si="10"/>
        <v>4.237832284576859E-3</v>
      </c>
    </row>
    <row r="820" spans="1:7">
      <c r="A820" s="65">
        <v>76.62</v>
      </c>
      <c r="B820" s="65">
        <v>77.03</v>
      </c>
      <c r="C820" s="65">
        <v>73.540000000000006</v>
      </c>
      <c r="D820" s="65">
        <v>74.25</v>
      </c>
      <c r="E820" s="65">
        <v>5851696</v>
      </c>
      <c r="F820" s="65" t="s">
        <v>866</v>
      </c>
      <c r="G820" s="25">
        <f t="shared" si="10"/>
        <v>3.1919191919191903E-2</v>
      </c>
    </row>
    <row r="821" spans="1:7">
      <c r="A821" s="65">
        <v>74.34</v>
      </c>
      <c r="B821" s="65">
        <v>76.150000000000006</v>
      </c>
      <c r="C821" s="65">
        <v>74.040000000000006</v>
      </c>
      <c r="D821" s="65">
        <v>76.150000000000006</v>
      </c>
      <c r="E821" s="65">
        <v>4097678</v>
      </c>
      <c r="F821" s="65" t="s">
        <v>867</v>
      </c>
      <c r="G821" s="25">
        <f t="shared" si="10"/>
        <v>-2.3768877216021056E-2</v>
      </c>
    </row>
    <row r="822" spans="1:7">
      <c r="A822" s="65">
        <v>76.03</v>
      </c>
      <c r="B822" s="65">
        <v>78.125</v>
      </c>
      <c r="C822" s="65">
        <v>75.95</v>
      </c>
      <c r="D822" s="65">
        <v>77.81</v>
      </c>
      <c r="E822" s="65">
        <v>2490861</v>
      </c>
      <c r="F822" s="65" t="s">
        <v>868</v>
      </c>
      <c r="G822" s="25">
        <f t="shared" si="10"/>
        <v>-2.2876236987533716E-2</v>
      </c>
    </row>
    <row r="823" spans="1:7">
      <c r="A823" s="65">
        <v>77.27</v>
      </c>
      <c r="B823" s="65">
        <v>77.5</v>
      </c>
      <c r="C823" s="65">
        <v>76.11</v>
      </c>
      <c r="D823" s="65">
        <v>77.14</v>
      </c>
      <c r="E823" s="65">
        <v>3318566</v>
      </c>
      <c r="F823" s="65" t="s">
        <v>869</v>
      </c>
      <c r="G823" s="25">
        <f t="shared" si="10"/>
        <v>1.6852476017630291E-3</v>
      </c>
    </row>
    <row r="824" spans="1:7">
      <c r="A824" s="65">
        <v>78.92</v>
      </c>
      <c r="B824" s="65">
        <v>80.010000000000005</v>
      </c>
      <c r="C824" s="65">
        <v>78.760000000000005</v>
      </c>
      <c r="D824" s="65">
        <v>78.849999999999994</v>
      </c>
      <c r="E824" s="65">
        <v>3494980</v>
      </c>
      <c r="F824" s="65" t="s">
        <v>870</v>
      </c>
      <c r="G824" s="25">
        <f t="shared" si="10"/>
        <v>8.8776157260639366E-4</v>
      </c>
    </row>
    <row r="825" spans="1:7">
      <c r="A825" s="65">
        <v>78.8</v>
      </c>
      <c r="B825" s="65">
        <v>81.34</v>
      </c>
      <c r="C825" s="65">
        <v>78.584999999999994</v>
      </c>
      <c r="D825" s="65">
        <v>81.27</v>
      </c>
      <c r="E825" s="65">
        <v>4371625</v>
      </c>
      <c r="F825" s="65" t="s">
        <v>871</v>
      </c>
      <c r="G825" s="25">
        <f t="shared" si="10"/>
        <v>-3.0392518764611798E-2</v>
      </c>
    </row>
    <row r="826" spans="1:7">
      <c r="A826" s="65">
        <v>81.92</v>
      </c>
      <c r="B826" s="65">
        <v>82.16</v>
      </c>
      <c r="C826" s="65">
        <v>80.760000000000005</v>
      </c>
      <c r="D826" s="65">
        <v>81.17</v>
      </c>
      <c r="E826" s="65">
        <v>2598696</v>
      </c>
      <c r="F826" s="65" t="s">
        <v>872</v>
      </c>
      <c r="G826" s="25">
        <f t="shared" si="10"/>
        <v>9.2398669459159422E-3</v>
      </c>
    </row>
    <row r="827" spans="1:7">
      <c r="A827" s="65">
        <v>80.23</v>
      </c>
      <c r="B827" s="65">
        <v>80.86</v>
      </c>
      <c r="C827" s="65">
        <v>79</v>
      </c>
      <c r="D827" s="65">
        <v>79.099999999999994</v>
      </c>
      <c r="E827" s="65">
        <v>3525293</v>
      </c>
      <c r="F827" s="65" t="s">
        <v>873</v>
      </c>
      <c r="G827" s="25">
        <f t="shared" si="10"/>
        <v>1.4285714285714457E-2</v>
      </c>
    </row>
    <row r="828" spans="1:7">
      <c r="A828" s="65">
        <v>79.849999999999994</v>
      </c>
      <c r="B828" s="65">
        <v>80.08</v>
      </c>
      <c r="C828" s="65">
        <v>78.69</v>
      </c>
      <c r="D828" s="65">
        <v>80.08</v>
      </c>
      <c r="E828" s="65">
        <v>4022786</v>
      </c>
      <c r="F828" s="65" t="s">
        <v>874</v>
      </c>
      <c r="G828" s="25">
        <f t="shared" ref="G828:G891" si="11">A828/D828-1</f>
        <v>-2.872127872127872E-3</v>
      </c>
    </row>
    <row r="829" spans="1:7">
      <c r="A829" s="65">
        <v>80.44</v>
      </c>
      <c r="B829" s="65">
        <v>80.984800000000007</v>
      </c>
      <c r="C829" s="65">
        <v>77.11</v>
      </c>
      <c r="D829" s="65">
        <v>77.11</v>
      </c>
      <c r="E829" s="65">
        <v>5902094</v>
      </c>
      <c r="F829" s="65" t="s">
        <v>875</v>
      </c>
      <c r="G829" s="25">
        <f t="shared" si="11"/>
        <v>4.3185060303462475E-2</v>
      </c>
    </row>
    <row r="830" spans="1:7">
      <c r="A830" s="65">
        <v>77.34</v>
      </c>
      <c r="B830" s="65">
        <v>78.36</v>
      </c>
      <c r="C830" s="65">
        <v>76.81</v>
      </c>
      <c r="D830" s="65">
        <v>76.989999999999995</v>
      </c>
      <c r="E830" s="65">
        <v>3437267</v>
      </c>
      <c r="F830" s="65" t="s">
        <v>876</v>
      </c>
      <c r="G830" s="25">
        <f t="shared" si="11"/>
        <v>4.5460449409016057E-3</v>
      </c>
    </row>
    <row r="831" spans="1:7">
      <c r="A831" s="65">
        <v>76.25</v>
      </c>
      <c r="B831" s="65">
        <v>77.290000000000006</v>
      </c>
      <c r="C831" s="65">
        <v>75.87</v>
      </c>
      <c r="D831" s="65">
        <v>76.959999999999994</v>
      </c>
      <c r="E831" s="65">
        <v>3388465</v>
      </c>
      <c r="F831" s="65" t="s">
        <v>877</v>
      </c>
      <c r="G831" s="25">
        <f t="shared" si="11"/>
        <v>-9.2255717255715908E-3</v>
      </c>
    </row>
    <row r="832" spans="1:7">
      <c r="A832" s="65">
        <v>77.58</v>
      </c>
      <c r="B832" s="65">
        <v>77.665000000000006</v>
      </c>
      <c r="C832" s="65">
        <v>75.575000000000003</v>
      </c>
      <c r="D832" s="65">
        <v>76.040000000000006</v>
      </c>
      <c r="E832" s="65">
        <v>3206999</v>
      </c>
      <c r="F832" s="65" t="s">
        <v>878</v>
      </c>
      <c r="G832" s="25">
        <f t="shared" si="11"/>
        <v>2.0252498684902642E-2</v>
      </c>
    </row>
    <row r="833" spans="1:7">
      <c r="A833" s="65">
        <v>75.430000000000007</v>
      </c>
      <c r="B833" s="65">
        <v>76.56</v>
      </c>
      <c r="C833" s="65">
        <v>75.349999999999994</v>
      </c>
      <c r="D833" s="65">
        <v>75.58</v>
      </c>
      <c r="E833" s="65">
        <v>4271745</v>
      </c>
      <c r="F833" s="65" t="s">
        <v>879</v>
      </c>
      <c r="G833" s="25">
        <f t="shared" si="11"/>
        <v>-1.9846520243449461E-3</v>
      </c>
    </row>
    <row r="834" spans="1:7">
      <c r="A834" s="65">
        <v>75.55</v>
      </c>
      <c r="B834" s="65">
        <v>77.849999999999994</v>
      </c>
      <c r="C834" s="65">
        <v>75.334999999999994</v>
      </c>
      <c r="D834" s="65">
        <v>77.790000000000006</v>
      </c>
      <c r="E834" s="65">
        <v>4025767</v>
      </c>
      <c r="F834" s="65" t="s">
        <v>880</v>
      </c>
      <c r="G834" s="25">
        <f t="shared" si="11"/>
        <v>-2.8795474996786363E-2</v>
      </c>
    </row>
    <row r="835" spans="1:7">
      <c r="A835" s="65">
        <v>78.510000000000005</v>
      </c>
      <c r="B835" s="65">
        <v>78.569999999999993</v>
      </c>
      <c r="C835" s="65">
        <v>76.174999999999997</v>
      </c>
      <c r="D835" s="65">
        <v>76.41</v>
      </c>
      <c r="E835" s="65">
        <v>3817056</v>
      </c>
      <c r="F835" s="65" t="s">
        <v>881</v>
      </c>
      <c r="G835" s="25">
        <f t="shared" si="11"/>
        <v>2.7483313702395096E-2</v>
      </c>
    </row>
    <row r="836" spans="1:7">
      <c r="A836" s="65">
        <v>77.28</v>
      </c>
      <c r="B836" s="65">
        <v>78.319999999999993</v>
      </c>
      <c r="C836" s="65">
        <v>76.424199999999999</v>
      </c>
      <c r="D836" s="65">
        <v>76.59</v>
      </c>
      <c r="E836" s="65">
        <v>2610099</v>
      </c>
      <c r="F836" s="65" t="s">
        <v>882</v>
      </c>
      <c r="G836" s="25">
        <f t="shared" si="11"/>
        <v>9.009009009008917E-3</v>
      </c>
    </row>
    <row r="837" spans="1:7">
      <c r="A837" s="65">
        <v>77.92</v>
      </c>
      <c r="B837" s="65">
        <v>77.95</v>
      </c>
      <c r="C837" s="65">
        <v>76.010000000000005</v>
      </c>
      <c r="D837" s="65">
        <v>76.010000000000005</v>
      </c>
      <c r="E837" s="65">
        <v>2078708</v>
      </c>
      <c r="F837" s="65" t="s">
        <v>883</v>
      </c>
      <c r="G837" s="25">
        <f t="shared" si="11"/>
        <v>2.5128272595711154E-2</v>
      </c>
    </row>
    <row r="838" spans="1:7">
      <c r="A838" s="65">
        <v>76.59</v>
      </c>
      <c r="B838" s="65">
        <v>78.139099999999999</v>
      </c>
      <c r="C838" s="65">
        <v>76.28</v>
      </c>
      <c r="D838" s="65">
        <v>77.63</v>
      </c>
      <c r="E838" s="65">
        <v>2914045</v>
      </c>
      <c r="F838" s="65" t="s">
        <v>884</v>
      </c>
      <c r="G838" s="25">
        <f t="shared" si="11"/>
        <v>-1.3396882648460506E-2</v>
      </c>
    </row>
    <row r="839" spans="1:7">
      <c r="A839" s="65">
        <v>77.61</v>
      </c>
      <c r="B839" s="65">
        <v>77.930000000000007</v>
      </c>
      <c r="C839" s="65">
        <v>76.88</v>
      </c>
      <c r="D839" s="65">
        <v>77.55</v>
      </c>
      <c r="E839" s="65">
        <v>1989488</v>
      </c>
      <c r="F839" s="65" t="s">
        <v>885</v>
      </c>
      <c r="G839" s="25">
        <f t="shared" si="11"/>
        <v>7.7369439071572899E-4</v>
      </c>
    </row>
    <row r="840" spans="1:7">
      <c r="A840" s="65">
        <v>77.2</v>
      </c>
      <c r="B840" s="65">
        <v>78.03</v>
      </c>
      <c r="C840" s="65">
        <v>76.803799999999995</v>
      </c>
      <c r="D840" s="65">
        <v>76.97</v>
      </c>
      <c r="E840" s="65">
        <v>2597583</v>
      </c>
      <c r="F840" s="65" t="s">
        <v>886</v>
      </c>
      <c r="G840" s="25">
        <f t="shared" si="11"/>
        <v>2.9881772119007E-3</v>
      </c>
    </row>
    <row r="841" spans="1:7">
      <c r="A841" s="65">
        <v>77.28</v>
      </c>
      <c r="B841" s="65">
        <v>78.95</v>
      </c>
      <c r="C841" s="65">
        <v>77.165000000000006</v>
      </c>
      <c r="D841" s="65">
        <v>78.010000000000005</v>
      </c>
      <c r="E841" s="65">
        <v>3781889</v>
      </c>
      <c r="F841" s="65" t="s">
        <v>887</v>
      </c>
      <c r="G841" s="25">
        <f t="shared" si="11"/>
        <v>-9.3577746442764509E-3</v>
      </c>
    </row>
    <row r="842" spans="1:7">
      <c r="A842" s="65">
        <v>78.08</v>
      </c>
      <c r="B842" s="65">
        <v>80.05</v>
      </c>
      <c r="C842" s="65">
        <v>77.989999999999995</v>
      </c>
      <c r="D842" s="65">
        <v>79.86</v>
      </c>
      <c r="E842" s="65">
        <v>3762678</v>
      </c>
      <c r="F842" s="65" t="s">
        <v>888</v>
      </c>
      <c r="G842" s="25">
        <f t="shared" si="11"/>
        <v>-2.2289005760080194E-2</v>
      </c>
    </row>
    <row r="843" spans="1:7">
      <c r="A843" s="65">
        <v>80.040000000000006</v>
      </c>
      <c r="B843" s="65">
        <v>80.23</v>
      </c>
      <c r="C843" s="65">
        <v>78.66</v>
      </c>
      <c r="D843" s="65">
        <v>79.12</v>
      </c>
      <c r="E843" s="65">
        <v>3593802</v>
      </c>
      <c r="F843" s="65" t="s">
        <v>889</v>
      </c>
      <c r="G843" s="25">
        <f t="shared" si="11"/>
        <v>1.1627906976744207E-2</v>
      </c>
    </row>
    <row r="844" spans="1:7">
      <c r="A844" s="65">
        <v>79.09</v>
      </c>
      <c r="B844" s="65">
        <v>81.069999999999993</v>
      </c>
      <c r="C844" s="65">
        <v>78.69</v>
      </c>
      <c r="D844" s="65">
        <v>80.75</v>
      </c>
      <c r="E844" s="65">
        <v>3999339</v>
      </c>
      <c r="F844" s="65" t="s">
        <v>890</v>
      </c>
      <c r="G844" s="25">
        <f t="shared" si="11"/>
        <v>-2.055727554179565E-2</v>
      </c>
    </row>
    <row r="845" spans="1:7">
      <c r="A845" s="65">
        <v>82.12</v>
      </c>
      <c r="B845" s="65">
        <v>84.14</v>
      </c>
      <c r="C845" s="65">
        <v>81.39</v>
      </c>
      <c r="D845" s="65">
        <v>83.52</v>
      </c>
      <c r="E845" s="65">
        <v>4743766</v>
      </c>
      <c r="F845" s="65" t="s">
        <v>891</v>
      </c>
      <c r="G845" s="25">
        <f t="shared" si="11"/>
        <v>-1.6762452107279557E-2</v>
      </c>
    </row>
    <row r="846" spans="1:7">
      <c r="A846" s="65">
        <v>84.51</v>
      </c>
      <c r="B846" s="65">
        <v>84.85</v>
      </c>
      <c r="C846" s="65">
        <v>81.75</v>
      </c>
      <c r="D846" s="65">
        <v>82.06</v>
      </c>
      <c r="E846" s="65">
        <v>5586853</v>
      </c>
      <c r="F846" s="65" t="s">
        <v>892</v>
      </c>
      <c r="G846" s="25">
        <f t="shared" si="11"/>
        <v>2.9856202778454799E-2</v>
      </c>
    </row>
    <row r="847" spans="1:7">
      <c r="A847" s="65">
        <v>81.48</v>
      </c>
      <c r="B847" s="65">
        <v>81.534999999999997</v>
      </c>
      <c r="C847" s="65">
        <v>77.757499999999993</v>
      </c>
      <c r="D847" s="65">
        <v>79.11</v>
      </c>
      <c r="E847" s="65">
        <v>7456586</v>
      </c>
      <c r="F847" s="65" t="s">
        <v>893</v>
      </c>
      <c r="G847" s="25">
        <f t="shared" si="11"/>
        <v>2.9958285930982154E-2</v>
      </c>
    </row>
    <row r="848" spans="1:7">
      <c r="A848" s="65">
        <v>76.7</v>
      </c>
      <c r="B848" s="65">
        <v>76.849999999999994</v>
      </c>
      <c r="C848" s="65">
        <v>74.959999999999994</v>
      </c>
      <c r="D848" s="65">
        <v>74.97</v>
      </c>
      <c r="E848" s="65">
        <v>6280413</v>
      </c>
      <c r="F848" s="65" t="s">
        <v>894</v>
      </c>
      <c r="G848" s="25">
        <f t="shared" si="11"/>
        <v>2.3075897025476966E-2</v>
      </c>
    </row>
    <row r="849" spans="1:7">
      <c r="A849" s="65">
        <v>76.06</v>
      </c>
      <c r="B849" s="65">
        <v>77.61</v>
      </c>
      <c r="C849" s="65">
        <v>75.89</v>
      </c>
      <c r="D849" s="65">
        <v>76.48</v>
      </c>
      <c r="E849" s="65">
        <v>3418502</v>
      </c>
      <c r="F849" s="65" t="s">
        <v>895</v>
      </c>
      <c r="G849" s="25">
        <f t="shared" si="11"/>
        <v>-5.4916317991632324E-3</v>
      </c>
    </row>
    <row r="850" spans="1:7">
      <c r="A850" s="65">
        <v>78.14</v>
      </c>
      <c r="B850" s="65">
        <v>78.84</v>
      </c>
      <c r="C850" s="65">
        <v>77.81</v>
      </c>
      <c r="D850" s="65">
        <v>78.38</v>
      </c>
      <c r="E850" s="65">
        <v>2623157</v>
      </c>
      <c r="F850" s="65" t="s">
        <v>896</v>
      </c>
      <c r="G850" s="25">
        <f t="shared" si="11"/>
        <v>-3.0620056136768659E-3</v>
      </c>
    </row>
    <row r="851" spans="1:7">
      <c r="A851" s="65">
        <v>78.209999999999994</v>
      </c>
      <c r="B851" s="65">
        <v>78.55</v>
      </c>
      <c r="C851" s="65">
        <v>77.290000000000006</v>
      </c>
      <c r="D851" s="65">
        <v>78.5</v>
      </c>
      <c r="E851" s="65">
        <v>2360360</v>
      </c>
      <c r="F851" s="65" t="s">
        <v>897</v>
      </c>
      <c r="G851" s="25">
        <f t="shared" si="11"/>
        <v>-3.6942675159236105E-3</v>
      </c>
    </row>
    <row r="852" spans="1:7">
      <c r="A852" s="65">
        <v>77.69</v>
      </c>
      <c r="B852" s="65">
        <v>77.739999999999995</v>
      </c>
      <c r="C852" s="65">
        <v>75.56</v>
      </c>
      <c r="D852" s="65">
        <v>76.13</v>
      </c>
      <c r="E852" s="65">
        <v>2593205</v>
      </c>
      <c r="F852" s="65" t="s">
        <v>898</v>
      </c>
      <c r="G852" s="25">
        <f t="shared" si="11"/>
        <v>2.0491264941547405E-2</v>
      </c>
    </row>
    <row r="853" spans="1:7">
      <c r="A853" s="65">
        <v>77.11</v>
      </c>
      <c r="B853" s="65">
        <v>80.11</v>
      </c>
      <c r="C853" s="65">
        <v>77.03</v>
      </c>
      <c r="D853" s="65">
        <v>79.47</v>
      </c>
      <c r="E853" s="65">
        <v>2434995</v>
      </c>
      <c r="F853" s="65" t="s">
        <v>899</v>
      </c>
      <c r="G853" s="25">
        <f t="shared" si="11"/>
        <v>-2.9696740908518926E-2</v>
      </c>
    </row>
    <row r="854" spans="1:7">
      <c r="A854" s="65">
        <v>80.06</v>
      </c>
      <c r="B854" s="65">
        <v>80.78</v>
      </c>
      <c r="C854" s="65">
        <v>78.984999999999999</v>
      </c>
      <c r="D854" s="65">
        <v>79.34</v>
      </c>
      <c r="E854" s="65">
        <v>2349797</v>
      </c>
      <c r="F854" s="65" t="s">
        <v>900</v>
      </c>
      <c r="G854" s="25">
        <f t="shared" si="11"/>
        <v>9.074867658179997E-3</v>
      </c>
    </row>
    <row r="855" spans="1:7">
      <c r="A855" s="65">
        <v>79.290000000000006</v>
      </c>
      <c r="B855" s="65">
        <v>79.44</v>
      </c>
      <c r="C855" s="65">
        <v>77.69</v>
      </c>
      <c r="D855" s="65">
        <v>78.91</v>
      </c>
      <c r="E855" s="65">
        <v>2887600</v>
      </c>
      <c r="F855" s="65" t="s">
        <v>901</v>
      </c>
      <c r="G855" s="25">
        <f t="shared" si="11"/>
        <v>4.8156127233558443E-3</v>
      </c>
    </row>
    <row r="856" spans="1:7">
      <c r="A856" s="65">
        <v>78.47</v>
      </c>
      <c r="B856" s="65">
        <v>78.924999999999997</v>
      </c>
      <c r="C856" s="65">
        <v>77.31</v>
      </c>
      <c r="D856" s="65">
        <v>77.87</v>
      </c>
      <c r="E856" s="65">
        <v>2980224</v>
      </c>
      <c r="F856" s="65" t="s">
        <v>902</v>
      </c>
      <c r="G856" s="25">
        <f t="shared" si="11"/>
        <v>7.705149608321582E-3</v>
      </c>
    </row>
    <row r="857" spans="1:7">
      <c r="A857" s="65">
        <v>78.31</v>
      </c>
      <c r="B857" s="65">
        <v>79.45</v>
      </c>
      <c r="C857" s="65">
        <v>78.150000000000006</v>
      </c>
      <c r="D857" s="65">
        <v>79</v>
      </c>
      <c r="E857" s="65">
        <v>2929483</v>
      </c>
      <c r="F857" s="65" t="s">
        <v>903</v>
      </c>
      <c r="G857" s="25">
        <f t="shared" si="11"/>
        <v>-8.7341772151898756E-3</v>
      </c>
    </row>
    <row r="858" spans="1:7">
      <c r="A858" s="65">
        <v>78.86</v>
      </c>
      <c r="B858" s="65">
        <v>78.989999999999995</v>
      </c>
      <c r="C858" s="65">
        <v>77.5</v>
      </c>
      <c r="D858" s="65">
        <v>78</v>
      </c>
      <c r="E858" s="65">
        <v>3689281</v>
      </c>
      <c r="F858" s="65" t="s">
        <v>904</v>
      </c>
      <c r="G858" s="25">
        <f t="shared" si="11"/>
        <v>1.1025641025641075E-2</v>
      </c>
    </row>
    <row r="859" spans="1:7">
      <c r="A859" s="65">
        <v>78.31</v>
      </c>
      <c r="B859" s="65">
        <v>78.42</v>
      </c>
      <c r="C859" s="65">
        <v>77.44</v>
      </c>
      <c r="D859" s="65">
        <v>77.44</v>
      </c>
      <c r="E859" s="65">
        <v>2031958</v>
      </c>
      <c r="F859" s="65" t="s">
        <v>905</v>
      </c>
      <c r="G859" s="25">
        <f t="shared" si="11"/>
        <v>1.1234504132231482E-2</v>
      </c>
    </row>
    <row r="860" spans="1:7">
      <c r="A860" s="65">
        <v>77.75</v>
      </c>
      <c r="B860" s="65">
        <v>78.489999999999995</v>
      </c>
      <c r="C860" s="65">
        <v>76.78</v>
      </c>
      <c r="D860" s="65">
        <v>78.17</v>
      </c>
      <c r="E860" s="65">
        <v>2815334</v>
      </c>
      <c r="F860" s="65" t="s">
        <v>906</v>
      </c>
      <c r="G860" s="25">
        <f t="shared" si="11"/>
        <v>-5.372905206601053E-3</v>
      </c>
    </row>
    <row r="861" spans="1:7">
      <c r="A861" s="65">
        <v>77.709999999999994</v>
      </c>
      <c r="B861" s="65">
        <v>78.5</v>
      </c>
      <c r="C861" s="65">
        <v>76.694999999999993</v>
      </c>
      <c r="D861" s="65">
        <v>78.11</v>
      </c>
      <c r="E861" s="65">
        <v>4227846</v>
      </c>
      <c r="F861" s="65" t="s">
        <v>907</v>
      </c>
      <c r="G861" s="25">
        <f t="shared" si="11"/>
        <v>-5.1209832287799628E-3</v>
      </c>
    </row>
    <row r="862" spans="1:7">
      <c r="A862" s="65">
        <v>77.02</v>
      </c>
      <c r="B862" s="65">
        <v>77.553899999999999</v>
      </c>
      <c r="C862" s="65">
        <v>76.09</v>
      </c>
      <c r="D862" s="65">
        <v>76.34</v>
      </c>
      <c r="E862" s="65">
        <v>3267524</v>
      </c>
      <c r="F862" s="65" t="s">
        <v>908</v>
      </c>
      <c r="G862" s="25">
        <f t="shared" si="11"/>
        <v>8.9075189939742394E-3</v>
      </c>
    </row>
    <row r="863" spans="1:7">
      <c r="A863" s="65">
        <v>76.349999999999994</v>
      </c>
      <c r="B863" s="65">
        <v>78.260000000000005</v>
      </c>
      <c r="C863" s="65">
        <v>76.33</v>
      </c>
      <c r="D863" s="65">
        <v>77.5</v>
      </c>
      <c r="E863" s="65">
        <v>3316497</v>
      </c>
      <c r="F863" s="65" t="s">
        <v>909</v>
      </c>
      <c r="G863" s="25">
        <f t="shared" si="11"/>
        <v>-1.4838709677419404E-2</v>
      </c>
    </row>
    <row r="864" spans="1:7">
      <c r="A864" s="65">
        <v>77.010000000000005</v>
      </c>
      <c r="B864" s="65">
        <v>77.13</v>
      </c>
      <c r="C864" s="65">
        <v>74.25</v>
      </c>
      <c r="D864" s="65">
        <v>75.87</v>
      </c>
      <c r="E864" s="65">
        <v>3610360</v>
      </c>
      <c r="F864" s="65" t="s">
        <v>910</v>
      </c>
      <c r="G864" s="25">
        <f t="shared" si="11"/>
        <v>1.5025701858442098E-2</v>
      </c>
    </row>
    <row r="865" spans="1:7">
      <c r="A865" s="65">
        <v>75.180000000000007</v>
      </c>
      <c r="B865" s="65">
        <v>76.48</v>
      </c>
      <c r="C865" s="65">
        <v>75.03</v>
      </c>
      <c r="D865" s="65">
        <v>76.099999999999994</v>
      </c>
      <c r="E865" s="65">
        <v>2691896</v>
      </c>
      <c r="F865" s="65" t="s">
        <v>911</v>
      </c>
      <c r="G865" s="25">
        <f t="shared" si="11"/>
        <v>-1.2089356110380867E-2</v>
      </c>
    </row>
    <row r="866" spans="1:7">
      <c r="A866" s="65">
        <v>76.47</v>
      </c>
      <c r="B866" s="65">
        <v>76.55</v>
      </c>
      <c r="C866" s="65">
        <v>74.52</v>
      </c>
      <c r="D866" s="65">
        <v>75.13</v>
      </c>
      <c r="E866" s="65">
        <v>3071069</v>
      </c>
      <c r="F866" s="65" t="s">
        <v>912</v>
      </c>
      <c r="G866" s="25">
        <f t="shared" si="11"/>
        <v>1.7835751364301933E-2</v>
      </c>
    </row>
    <row r="867" spans="1:7">
      <c r="A867" s="65">
        <v>74.27</v>
      </c>
      <c r="B867" s="65">
        <v>76.94</v>
      </c>
      <c r="C867" s="65">
        <v>73.95</v>
      </c>
      <c r="D867" s="65">
        <v>76.010000000000005</v>
      </c>
      <c r="E867" s="65">
        <v>3197672</v>
      </c>
      <c r="F867" s="65" t="s">
        <v>913</v>
      </c>
      <c r="G867" s="25">
        <f t="shared" si="11"/>
        <v>-2.2891724773056343E-2</v>
      </c>
    </row>
    <row r="868" spans="1:7">
      <c r="A868" s="65">
        <v>74.61</v>
      </c>
      <c r="B868" s="65">
        <v>74.930000000000007</v>
      </c>
      <c r="C868" s="65">
        <v>73.47</v>
      </c>
      <c r="D868" s="65">
        <v>74.58</v>
      </c>
      <c r="E868" s="65">
        <v>2378820</v>
      </c>
      <c r="F868" s="65" t="s">
        <v>914</v>
      </c>
      <c r="G868" s="25">
        <f t="shared" si="11"/>
        <v>4.0225261464210682E-4</v>
      </c>
    </row>
    <row r="869" spans="1:7">
      <c r="A869" s="65">
        <v>75.209999999999994</v>
      </c>
      <c r="B869" s="65">
        <v>75.430000000000007</v>
      </c>
      <c r="C869" s="65">
        <v>73.48</v>
      </c>
      <c r="D869" s="65">
        <v>73.86</v>
      </c>
      <c r="E869" s="65">
        <v>3683066</v>
      </c>
      <c r="F869" s="65" t="s">
        <v>915</v>
      </c>
      <c r="G869" s="25">
        <f t="shared" si="11"/>
        <v>1.8277822908204566E-2</v>
      </c>
    </row>
    <row r="870" spans="1:7">
      <c r="A870" s="65">
        <v>73.11</v>
      </c>
      <c r="B870" s="65">
        <v>74.52</v>
      </c>
      <c r="C870" s="65">
        <v>73.09</v>
      </c>
      <c r="D870" s="65">
        <v>73.95</v>
      </c>
      <c r="E870" s="65">
        <v>1793694</v>
      </c>
      <c r="F870" s="65" t="s">
        <v>916</v>
      </c>
      <c r="G870" s="25">
        <f t="shared" si="11"/>
        <v>-1.1359026369168412E-2</v>
      </c>
    </row>
    <row r="871" spans="1:7">
      <c r="A871" s="65">
        <v>73.59</v>
      </c>
      <c r="B871" s="65">
        <v>74.37</v>
      </c>
      <c r="C871" s="65">
        <v>72.61</v>
      </c>
      <c r="D871" s="65">
        <v>73.709999999999994</v>
      </c>
      <c r="E871" s="65">
        <v>2050858</v>
      </c>
      <c r="F871" s="65" t="s">
        <v>917</v>
      </c>
      <c r="G871" s="25">
        <f t="shared" si="11"/>
        <v>-1.6280016280014742E-3</v>
      </c>
    </row>
    <row r="872" spans="1:7">
      <c r="A872" s="65">
        <v>74.19</v>
      </c>
      <c r="B872" s="65">
        <v>74.680000000000007</v>
      </c>
      <c r="C872" s="65">
        <v>73.510000000000005</v>
      </c>
      <c r="D872" s="65">
        <v>74</v>
      </c>
      <c r="E872" s="65">
        <v>2304611</v>
      </c>
      <c r="F872" s="65" t="s">
        <v>918</v>
      </c>
      <c r="G872" s="25">
        <f t="shared" si="11"/>
        <v>2.5675675675675969E-3</v>
      </c>
    </row>
    <row r="873" spans="1:7">
      <c r="A873" s="65">
        <v>74.45</v>
      </c>
      <c r="B873" s="65">
        <v>74.709999999999994</v>
      </c>
      <c r="C873" s="65">
        <v>72.915000000000006</v>
      </c>
      <c r="D873" s="65">
        <v>74.37</v>
      </c>
      <c r="E873" s="65">
        <v>4006293</v>
      </c>
      <c r="F873" s="65" t="s">
        <v>919</v>
      </c>
      <c r="G873" s="25">
        <f t="shared" si="11"/>
        <v>1.0757025682399668E-3</v>
      </c>
    </row>
    <row r="874" spans="1:7">
      <c r="A874" s="65">
        <v>74.760000000000005</v>
      </c>
      <c r="B874" s="65">
        <v>75.19</v>
      </c>
      <c r="C874" s="65">
        <v>73.510000000000005</v>
      </c>
      <c r="D874" s="65">
        <v>73.739999999999995</v>
      </c>
      <c r="E874" s="65">
        <v>3616504</v>
      </c>
      <c r="F874" s="65" t="s">
        <v>920</v>
      </c>
      <c r="G874" s="25">
        <f t="shared" si="11"/>
        <v>1.3832384052075097E-2</v>
      </c>
    </row>
    <row r="875" spans="1:7">
      <c r="A875" s="65">
        <v>73.42</v>
      </c>
      <c r="B875" s="65">
        <v>74.489999999999995</v>
      </c>
      <c r="C875" s="65">
        <v>72.95</v>
      </c>
      <c r="D875" s="65">
        <v>73.02</v>
      </c>
      <c r="E875" s="65">
        <v>4066264</v>
      </c>
      <c r="F875" s="65" t="s">
        <v>921</v>
      </c>
      <c r="G875" s="25">
        <f t="shared" si="11"/>
        <v>5.4779512462339586E-3</v>
      </c>
    </row>
    <row r="876" spans="1:7">
      <c r="A876" s="65">
        <v>73.430000000000007</v>
      </c>
      <c r="B876" s="65">
        <v>74.12</v>
      </c>
      <c r="C876" s="65">
        <v>72.25</v>
      </c>
      <c r="D876" s="65">
        <v>72.8</v>
      </c>
      <c r="E876" s="65">
        <v>3757756</v>
      </c>
      <c r="F876" s="65" t="s">
        <v>922</v>
      </c>
      <c r="G876" s="25">
        <f t="shared" si="11"/>
        <v>8.6538461538463451E-3</v>
      </c>
    </row>
    <row r="877" spans="1:7">
      <c r="A877" s="65">
        <v>73.010000000000005</v>
      </c>
      <c r="B877" s="65">
        <v>73.63</v>
      </c>
      <c r="C877" s="65">
        <v>72.569999999999993</v>
      </c>
      <c r="D877" s="65">
        <v>73.41</v>
      </c>
      <c r="E877" s="65">
        <v>9059692</v>
      </c>
      <c r="F877" s="65" t="s">
        <v>923</v>
      </c>
      <c r="G877" s="25">
        <f t="shared" si="11"/>
        <v>-5.4488489306633303E-3</v>
      </c>
    </row>
    <row r="878" spans="1:7">
      <c r="A878" s="65">
        <v>73.55</v>
      </c>
      <c r="B878" s="65">
        <v>75.459999999999994</v>
      </c>
      <c r="C878" s="65">
        <v>73.36</v>
      </c>
      <c r="D878" s="65">
        <v>74.8</v>
      </c>
      <c r="E878" s="65">
        <v>5151328</v>
      </c>
      <c r="F878" s="65" t="s">
        <v>924</v>
      </c>
      <c r="G878" s="25">
        <f t="shared" si="11"/>
        <v>-1.6711229946524075E-2</v>
      </c>
    </row>
    <row r="879" spans="1:7">
      <c r="A879" s="65">
        <v>75.819999999999993</v>
      </c>
      <c r="B879" s="65">
        <v>77.58</v>
      </c>
      <c r="C879" s="65">
        <v>75.390100000000004</v>
      </c>
      <c r="D879" s="65">
        <v>75.95</v>
      </c>
      <c r="E879" s="65">
        <v>5055801</v>
      </c>
      <c r="F879" s="65" t="s">
        <v>925</v>
      </c>
      <c r="G879" s="25">
        <f t="shared" si="11"/>
        <v>-1.7116524028967239E-3</v>
      </c>
    </row>
    <row r="880" spans="1:7">
      <c r="A880" s="65">
        <v>75.959999999999994</v>
      </c>
      <c r="B880" s="65">
        <v>77.66</v>
      </c>
      <c r="C880" s="65">
        <v>74.8</v>
      </c>
      <c r="D880" s="65">
        <v>76.900000000000006</v>
      </c>
      <c r="E880" s="65">
        <v>4041920</v>
      </c>
      <c r="F880" s="65" t="s">
        <v>926</v>
      </c>
      <c r="G880" s="25">
        <f t="shared" si="11"/>
        <v>-1.2223667100130231E-2</v>
      </c>
    </row>
    <row r="881" spans="1:7">
      <c r="A881" s="65">
        <v>75.319999999999993</v>
      </c>
      <c r="B881" s="65">
        <v>75.959999999999994</v>
      </c>
      <c r="C881" s="65">
        <v>74</v>
      </c>
      <c r="D881" s="65">
        <v>74.319999999999993</v>
      </c>
      <c r="E881" s="65">
        <v>4783395</v>
      </c>
      <c r="F881" s="65" t="s">
        <v>927</v>
      </c>
      <c r="G881" s="25">
        <f t="shared" si="11"/>
        <v>1.3455328310010728E-2</v>
      </c>
    </row>
    <row r="882" spans="1:7">
      <c r="A882" s="65">
        <v>74.010000000000005</v>
      </c>
      <c r="B882" s="65">
        <v>74.510000000000005</v>
      </c>
      <c r="C882" s="65">
        <v>72.03</v>
      </c>
      <c r="D882" s="65">
        <v>72.22</v>
      </c>
      <c r="E882" s="65">
        <v>6135172</v>
      </c>
      <c r="F882" s="65" t="s">
        <v>928</v>
      </c>
      <c r="G882" s="25">
        <f t="shared" si="11"/>
        <v>2.4785378011631165E-2</v>
      </c>
    </row>
    <row r="883" spans="1:7">
      <c r="A883" s="65">
        <v>72.48</v>
      </c>
      <c r="B883" s="65">
        <v>73.805000000000007</v>
      </c>
      <c r="C883" s="65">
        <v>71.02</v>
      </c>
      <c r="D883" s="65">
        <v>73.650000000000006</v>
      </c>
      <c r="E883" s="65">
        <v>7249806</v>
      </c>
      <c r="F883" s="65" t="s">
        <v>929</v>
      </c>
      <c r="G883" s="25">
        <f t="shared" si="11"/>
        <v>-1.5885947046843207E-2</v>
      </c>
    </row>
    <row r="884" spans="1:7">
      <c r="A884" s="65">
        <v>72.58</v>
      </c>
      <c r="B884" s="65">
        <v>73.05</v>
      </c>
      <c r="C884" s="65">
        <v>72.040000000000006</v>
      </c>
      <c r="D884" s="65">
        <v>72.23</v>
      </c>
      <c r="E884" s="65">
        <v>7678790</v>
      </c>
      <c r="F884" s="65" t="s">
        <v>930</v>
      </c>
      <c r="G884" s="25">
        <f t="shared" si="11"/>
        <v>4.8456320088605676E-3</v>
      </c>
    </row>
    <row r="885" spans="1:7">
      <c r="A885" s="65">
        <v>72.27</v>
      </c>
      <c r="B885" s="65">
        <v>72.92</v>
      </c>
      <c r="C885" s="65">
        <v>71.75</v>
      </c>
      <c r="D885" s="65">
        <v>72.344999999999999</v>
      </c>
      <c r="E885" s="65">
        <v>7374524</v>
      </c>
      <c r="F885" s="65" t="s">
        <v>931</v>
      </c>
      <c r="G885" s="25">
        <f t="shared" si="11"/>
        <v>-1.0366991499067835E-3</v>
      </c>
    </row>
    <row r="886" spans="1:7">
      <c r="A886" s="65">
        <v>73.849999999999994</v>
      </c>
      <c r="B886" s="65">
        <v>76.135000000000005</v>
      </c>
      <c r="C886" s="65">
        <v>73.78</v>
      </c>
      <c r="D886" s="65">
        <v>75.72</v>
      </c>
      <c r="E886" s="65">
        <v>11782417</v>
      </c>
      <c r="F886" s="65" t="s">
        <v>932</v>
      </c>
      <c r="G886" s="25">
        <f t="shared" si="11"/>
        <v>-2.4696249339672516E-2</v>
      </c>
    </row>
    <row r="887" spans="1:7">
      <c r="A887" s="65">
        <v>76.55</v>
      </c>
      <c r="B887" s="65">
        <v>76.98</v>
      </c>
      <c r="C887" s="65">
        <v>75.02</v>
      </c>
      <c r="D887" s="65">
        <v>76.42</v>
      </c>
      <c r="E887" s="65">
        <v>3156845</v>
      </c>
      <c r="F887" s="65" t="s">
        <v>933</v>
      </c>
      <c r="G887" s="25">
        <f t="shared" si="11"/>
        <v>1.7011253598533393E-3</v>
      </c>
    </row>
    <row r="888" spans="1:7">
      <c r="A888" s="65">
        <v>77.56</v>
      </c>
      <c r="B888" s="65">
        <v>78.540000000000006</v>
      </c>
      <c r="C888" s="65">
        <v>77.040000000000006</v>
      </c>
      <c r="D888" s="65">
        <v>78</v>
      </c>
      <c r="E888" s="65">
        <v>4397856</v>
      </c>
      <c r="F888" s="65" t="s">
        <v>934</v>
      </c>
      <c r="G888" s="25">
        <f t="shared" si="11"/>
        <v>-5.6410256410256432E-3</v>
      </c>
    </row>
    <row r="889" spans="1:7">
      <c r="A889" s="65">
        <v>77.25</v>
      </c>
      <c r="B889" s="65">
        <v>77.25</v>
      </c>
      <c r="C889" s="65">
        <v>74.38</v>
      </c>
      <c r="D889" s="65">
        <v>75.36</v>
      </c>
      <c r="E889" s="65">
        <v>7007415</v>
      </c>
      <c r="F889" s="65" t="s">
        <v>935</v>
      </c>
      <c r="G889" s="25">
        <f t="shared" si="11"/>
        <v>2.507961783439483E-2</v>
      </c>
    </row>
    <row r="890" spans="1:7">
      <c r="A890" s="65">
        <v>74.849999999999994</v>
      </c>
      <c r="B890" s="65">
        <v>76.61</v>
      </c>
      <c r="C890" s="65">
        <v>74.66</v>
      </c>
      <c r="D890" s="65">
        <v>76.03</v>
      </c>
      <c r="E890" s="65">
        <v>6380238</v>
      </c>
      <c r="F890" s="65" t="s">
        <v>936</v>
      </c>
      <c r="G890" s="25">
        <f t="shared" si="11"/>
        <v>-1.5520189398921524E-2</v>
      </c>
    </row>
    <row r="891" spans="1:7">
      <c r="A891" s="65">
        <v>75.78</v>
      </c>
      <c r="B891" s="65">
        <v>76.66</v>
      </c>
      <c r="C891" s="65">
        <v>75.290000000000006</v>
      </c>
      <c r="D891" s="65">
        <v>75.709999999999994</v>
      </c>
      <c r="E891" s="65">
        <v>3643331</v>
      </c>
      <c r="F891" s="65" t="s">
        <v>937</v>
      </c>
      <c r="G891" s="25">
        <f t="shared" si="11"/>
        <v>9.2458063663980461E-4</v>
      </c>
    </row>
    <row r="892" spans="1:7">
      <c r="A892" s="65">
        <v>76.36</v>
      </c>
      <c r="B892" s="65">
        <v>76.47</v>
      </c>
      <c r="C892" s="65">
        <v>75.569999999999993</v>
      </c>
      <c r="D892" s="65">
        <v>75.95</v>
      </c>
      <c r="E892" s="65">
        <v>1566760</v>
      </c>
      <c r="F892" s="65" t="s">
        <v>938</v>
      </c>
      <c r="G892" s="25">
        <f t="shared" ref="G892:G955" si="12">A892/D892-1</f>
        <v>5.3982883475971466E-3</v>
      </c>
    </row>
    <row r="893" spans="1:7">
      <c r="A893" s="65">
        <v>75.91</v>
      </c>
      <c r="B893" s="65">
        <v>76.194999999999993</v>
      </c>
      <c r="C893" s="65">
        <v>74.55</v>
      </c>
      <c r="D893" s="65">
        <v>74.61</v>
      </c>
      <c r="E893" s="65">
        <v>3466270</v>
      </c>
      <c r="F893" s="65" t="s">
        <v>939</v>
      </c>
      <c r="G893" s="25">
        <f t="shared" si="12"/>
        <v>1.7423937809945E-2</v>
      </c>
    </row>
    <row r="894" spans="1:7">
      <c r="A894" s="65">
        <v>74.31</v>
      </c>
      <c r="B894" s="65">
        <v>74.599999999999994</v>
      </c>
      <c r="C894" s="65">
        <v>72.92</v>
      </c>
      <c r="D894" s="65">
        <v>74</v>
      </c>
      <c r="E894" s="65">
        <v>3982016</v>
      </c>
      <c r="F894" s="65" t="s">
        <v>940</v>
      </c>
      <c r="G894" s="25">
        <f t="shared" si="12"/>
        <v>4.1891891891892019E-3</v>
      </c>
    </row>
    <row r="895" spans="1:7">
      <c r="A895" s="65">
        <v>74.099999999999994</v>
      </c>
      <c r="B895" s="65">
        <v>74.77</v>
      </c>
      <c r="C895" s="65">
        <v>73.900000000000006</v>
      </c>
      <c r="D895" s="65">
        <v>74.180000000000007</v>
      </c>
      <c r="E895" s="65">
        <v>6162777</v>
      </c>
      <c r="F895" s="65" t="s">
        <v>941</v>
      </c>
      <c r="G895" s="25">
        <f t="shared" si="12"/>
        <v>-1.0784578053385507E-3</v>
      </c>
    </row>
    <row r="896" spans="1:7">
      <c r="A896" s="65">
        <v>75.040000000000006</v>
      </c>
      <c r="B896" s="65">
        <v>75.496600000000001</v>
      </c>
      <c r="C896" s="65">
        <v>74.45</v>
      </c>
      <c r="D896" s="65">
        <v>74.91</v>
      </c>
      <c r="E896" s="65">
        <v>3519694</v>
      </c>
      <c r="F896" s="65" t="s">
        <v>942</v>
      </c>
      <c r="G896" s="25">
        <f t="shared" si="12"/>
        <v>1.7354158323321656E-3</v>
      </c>
    </row>
    <row r="897" spans="1:7">
      <c r="A897" s="65">
        <v>73.72</v>
      </c>
      <c r="B897" s="65">
        <v>74.400000000000006</v>
      </c>
      <c r="C897" s="65">
        <v>73.430000000000007</v>
      </c>
      <c r="D897" s="65">
        <v>74.150000000000006</v>
      </c>
      <c r="E897" s="65">
        <v>3413277</v>
      </c>
      <c r="F897" s="65" t="s">
        <v>943</v>
      </c>
      <c r="G897" s="25">
        <f t="shared" si="12"/>
        <v>-5.7990559676333042E-3</v>
      </c>
    </row>
    <row r="898" spans="1:7">
      <c r="A898" s="65">
        <v>75.03</v>
      </c>
      <c r="B898" s="65">
        <v>76.81</v>
      </c>
      <c r="C898" s="65">
        <v>74.88</v>
      </c>
      <c r="D898" s="65">
        <v>76.099999999999994</v>
      </c>
      <c r="E898" s="65">
        <v>5152034</v>
      </c>
      <c r="F898" s="65" t="s">
        <v>944</v>
      </c>
      <c r="G898" s="25">
        <f t="shared" si="12"/>
        <v>-1.406044678055185E-2</v>
      </c>
    </row>
    <row r="899" spans="1:7">
      <c r="A899" s="65">
        <v>75.959999999999994</v>
      </c>
      <c r="B899" s="65">
        <v>76.45</v>
      </c>
      <c r="C899" s="65">
        <v>74.180000000000007</v>
      </c>
      <c r="D899" s="65">
        <v>74.180000000000007</v>
      </c>
      <c r="E899" s="65">
        <v>7599707</v>
      </c>
      <c r="F899" s="65" t="s">
        <v>945</v>
      </c>
      <c r="G899" s="25">
        <f t="shared" si="12"/>
        <v>2.3995686168778452E-2</v>
      </c>
    </row>
    <row r="900" spans="1:7">
      <c r="A900" s="65">
        <v>73.510000000000005</v>
      </c>
      <c r="B900" s="65">
        <v>75.555000000000007</v>
      </c>
      <c r="C900" s="65">
        <v>73.39</v>
      </c>
      <c r="D900" s="65">
        <v>74.39</v>
      </c>
      <c r="E900" s="65">
        <v>4621025</v>
      </c>
      <c r="F900" s="65" t="s">
        <v>946</v>
      </c>
      <c r="G900" s="25">
        <f t="shared" si="12"/>
        <v>-1.1829546982121242E-2</v>
      </c>
    </row>
    <row r="901" spans="1:7">
      <c r="A901" s="65">
        <v>74.650000000000006</v>
      </c>
      <c r="B901" s="65">
        <v>75.8</v>
      </c>
      <c r="C901" s="65">
        <v>73.2</v>
      </c>
      <c r="D901" s="65">
        <v>73.39</v>
      </c>
      <c r="E901" s="65">
        <v>4984504</v>
      </c>
      <c r="F901" s="65" t="s">
        <v>947</v>
      </c>
      <c r="G901" s="25">
        <f t="shared" si="12"/>
        <v>1.7168551573784052E-2</v>
      </c>
    </row>
    <row r="902" spans="1:7">
      <c r="A902" s="65">
        <v>72.55</v>
      </c>
      <c r="B902" s="65">
        <v>73.66</v>
      </c>
      <c r="C902" s="65">
        <v>71.08</v>
      </c>
      <c r="D902" s="65">
        <v>72.709999999999994</v>
      </c>
      <c r="E902" s="65">
        <v>4030779</v>
      </c>
      <c r="F902" s="65" t="s">
        <v>948</v>
      </c>
      <c r="G902" s="25">
        <f t="shared" si="12"/>
        <v>-2.2005226241231801E-3</v>
      </c>
    </row>
    <row r="903" spans="1:7">
      <c r="A903" s="65">
        <v>69.989999999999995</v>
      </c>
      <c r="B903" s="65">
        <v>71.48</v>
      </c>
      <c r="C903" s="65">
        <v>69.239999999999995</v>
      </c>
      <c r="D903" s="65">
        <v>69.55</v>
      </c>
      <c r="E903" s="65">
        <v>10835834</v>
      </c>
      <c r="F903" s="65" t="s">
        <v>949</v>
      </c>
      <c r="G903" s="25">
        <f t="shared" si="12"/>
        <v>6.3263838964773278E-3</v>
      </c>
    </row>
    <row r="904" spans="1:7">
      <c r="A904" s="65">
        <v>69.69</v>
      </c>
      <c r="B904" s="65">
        <v>69.959999999999994</v>
      </c>
      <c r="C904" s="65">
        <v>67.13</v>
      </c>
      <c r="D904" s="65">
        <v>68.459999999999994</v>
      </c>
      <c r="E904" s="65">
        <v>12586440</v>
      </c>
      <c r="F904" s="65" t="s">
        <v>950</v>
      </c>
      <c r="G904" s="25">
        <f t="shared" si="12"/>
        <v>1.796669588080646E-2</v>
      </c>
    </row>
    <row r="905" spans="1:7">
      <c r="A905" s="65">
        <v>68.77</v>
      </c>
      <c r="B905" s="65">
        <v>70.119399999999999</v>
      </c>
      <c r="C905" s="65">
        <v>68.23</v>
      </c>
      <c r="D905" s="65">
        <v>69.03</v>
      </c>
      <c r="E905" s="65">
        <v>5785246</v>
      </c>
      <c r="F905" s="65" t="s">
        <v>951</v>
      </c>
      <c r="G905" s="25">
        <f t="shared" si="12"/>
        <v>-3.7664783427495685E-3</v>
      </c>
    </row>
    <row r="906" spans="1:7">
      <c r="A906" s="65">
        <v>68.540000000000006</v>
      </c>
      <c r="B906" s="65">
        <v>69.98</v>
      </c>
      <c r="C906" s="65">
        <v>67.37</v>
      </c>
      <c r="D906" s="65">
        <v>69.86</v>
      </c>
      <c r="E906" s="65">
        <v>6172620</v>
      </c>
      <c r="F906" s="65" t="s">
        <v>952</v>
      </c>
      <c r="G906" s="25">
        <f t="shared" si="12"/>
        <v>-1.8894932722587909E-2</v>
      </c>
    </row>
    <row r="907" spans="1:7">
      <c r="A907" s="65">
        <v>68.66</v>
      </c>
      <c r="B907" s="65">
        <v>69.8</v>
      </c>
      <c r="C907" s="65">
        <v>68.03</v>
      </c>
      <c r="D907" s="65">
        <v>69.510000000000005</v>
      </c>
      <c r="E907" s="65">
        <v>12897637</v>
      </c>
      <c r="F907" s="65" t="s">
        <v>953</v>
      </c>
      <c r="G907" s="25">
        <f t="shared" si="12"/>
        <v>-1.2228456337217808E-2</v>
      </c>
    </row>
    <row r="908" spans="1:7">
      <c r="A908" s="65">
        <v>70.31</v>
      </c>
      <c r="B908" s="65">
        <v>73.87</v>
      </c>
      <c r="C908" s="65">
        <v>70.3</v>
      </c>
      <c r="D908" s="65">
        <v>72.59</v>
      </c>
      <c r="E908" s="65">
        <v>11861195</v>
      </c>
      <c r="F908" s="65" t="s">
        <v>954</v>
      </c>
      <c r="G908" s="25">
        <f t="shared" si="12"/>
        <v>-3.1409285025485567E-2</v>
      </c>
    </row>
    <row r="909" spans="1:7">
      <c r="A909" s="65">
        <v>72.59</v>
      </c>
      <c r="B909" s="65">
        <v>74.05</v>
      </c>
      <c r="C909" s="65">
        <v>70.849999999999994</v>
      </c>
      <c r="D909" s="65">
        <v>73.36</v>
      </c>
      <c r="E909" s="65">
        <v>7691438</v>
      </c>
      <c r="F909" s="65" t="s">
        <v>955</v>
      </c>
      <c r="G909" s="25">
        <f t="shared" si="12"/>
        <v>-1.0496183206106791E-2</v>
      </c>
    </row>
    <row r="910" spans="1:7">
      <c r="A910" s="65">
        <v>72.430000000000007</v>
      </c>
      <c r="B910" s="65">
        <v>73.040000000000006</v>
      </c>
      <c r="C910" s="65">
        <v>70.2</v>
      </c>
      <c r="D910" s="65">
        <v>70.5</v>
      </c>
      <c r="E910" s="65">
        <v>8015614</v>
      </c>
      <c r="F910" s="65" t="s">
        <v>956</v>
      </c>
      <c r="G910" s="25">
        <f t="shared" si="12"/>
        <v>2.7375886524822812E-2</v>
      </c>
    </row>
    <row r="911" spans="1:7">
      <c r="A911" s="65">
        <v>70.87</v>
      </c>
      <c r="B911" s="65">
        <v>74</v>
      </c>
      <c r="C911" s="65">
        <v>69.7</v>
      </c>
      <c r="D911" s="65">
        <v>72.61</v>
      </c>
      <c r="E911" s="65">
        <v>18719682</v>
      </c>
      <c r="F911" s="65" t="s">
        <v>957</v>
      </c>
      <c r="G911" s="25">
        <f t="shared" si="12"/>
        <v>-2.3963641371711808E-2</v>
      </c>
    </row>
    <row r="912" spans="1:7">
      <c r="A912" s="65">
        <v>86.3</v>
      </c>
      <c r="B912" s="65">
        <v>87.32</v>
      </c>
      <c r="C912" s="65">
        <v>84.57</v>
      </c>
      <c r="D912" s="65">
        <v>87.13</v>
      </c>
      <c r="E912" s="65">
        <v>4338679</v>
      </c>
      <c r="F912" s="65" t="s">
        <v>958</v>
      </c>
      <c r="G912" s="25">
        <f t="shared" si="12"/>
        <v>-9.5259956387008238E-3</v>
      </c>
    </row>
    <row r="913" spans="1:7">
      <c r="A913" s="65">
        <v>86.76</v>
      </c>
      <c r="B913" s="65">
        <v>89.17</v>
      </c>
      <c r="C913" s="65">
        <v>85.91</v>
      </c>
      <c r="D913" s="65">
        <v>86.34</v>
      </c>
      <c r="E913" s="65">
        <v>4502454</v>
      </c>
      <c r="F913" s="65" t="s">
        <v>959</v>
      </c>
      <c r="G913" s="25">
        <f t="shared" si="12"/>
        <v>4.8644892286309194E-3</v>
      </c>
    </row>
    <row r="914" spans="1:7">
      <c r="A914" s="65">
        <v>85.7</v>
      </c>
      <c r="B914" s="65">
        <v>86.555000000000007</v>
      </c>
      <c r="C914" s="65">
        <v>84.995000000000005</v>
      </c>
      <c r="D914" s="65">
        <v>85.05</v>
      </c>
      <c r="E914" s="65">
        <v>6208024</v>
      </c>
      <c r="F914" s="65" t="s">
        <v>960</v>
      </c>
      <c r="G914" s="25">
        <f t="shared" si="12"/>
        <v>7.6425631981187347E-3</v>
      </c>
    </row>
    <row r="915" spans="1:7">
      <c r="A915" s="65">
        <v>84.91</v>
      </c>
      <c r="B915" s="65">
        <v>86.204999999999998</v>
      </c>
      <c r="C915" s="65">
        <v>84.61</v>
      </c>
      <c r="D915" s="65">
        <v>85.71</v>
      </c>
      <c r="E915" s="65">
        <v>3569551</v>
      </c>
      <c r="F915" s="65" t="s">
        <v>961</v>
      </c>
      <c r="G915" s="25">
        <f t="shared" si="12"/>
        <v>-9.3338000233345042E-3</v>
      </c>
    </row>
    <row r="916" spans="1:7">
      <c r="A916" s="65">
        <v>84.81</v>
      </c>
      <c r="B916" s="65">
        <v>85.08</v>
      </c>
      <c r="C916" s="65">
        <v>82.14</v>
      </c>
      <c r="D916" s="65">
        <v>83.82</v>
      </c>
      <c r="E916" s="65">
        <v>4236936</v>
      </c>
      <c r="F916" s="65" t="s">
        <v>962</v>
      </c>
      <c r="G916" s="25">
        <f t="shared" si="12"/>
        <v>1.1811023622047445E-2</v>
      </c>
    </row>
    <row r="917" spans="1:7">
      <c r="A917" s="65">
        <v>83.68</v>
      </c>
      <c r="B917" s="65">
        <v>86.06</v>
      </c>
      <c r="C917" s="65">
        <v>83.405000000000001</v>
      </c>
      <c r="D917" s="65">
        <v>85.72</v>
      </c>
      <c r="E917" s="65">
        <v>3838907</v>
      </c>
      <c r="F917" s="65" t="s">
        <v>963</v>
      </c>
      <c r="G917" s="25">
        <f t="shared" si="12"/>
        <v>-2.3798413439103938E-2</v>
      </c>
    </row>
    <row r="918" spans="1:7">
      <c r="A918" s="65">
        <v>85.95</v>
      </c>
      <c r="B918" s="65">
        <v>86.77</v>
      </c>
      <c r="C918" s="65">
        <v>85</v>
      </c>
      <c r="D918" s="65">
        <v>85.52</v>
      </c>
      <c r="E918" s="65">
        <v>2000839</v>
      </c>
      <c r="F918" s="65" t="s">
        <v>964</v>
      </c>
      <c r="G918" s="25">
        <f t="shared" si="12"/>
        <v>5.0280636108512855E-3</v>
      </c>
    </row>
    <row r="919" spans="1:7">
      <c r="A919" s="65">
        <v>86.26</v>
      </c>
      <c r="B919" s="65">
        <v>88.49</v>
      </c>
      <c r="C919" s="65">
        <v>85.7</v>
      </c>
      <c r="D919" s="65">
        <v>87.56</v>
      </c>
      <c r="E919" s="65">
        <v>2977285</v>
      </c>
      <c r="F919" s="65" t="s">
        <v>965</v>
      </c>
      <c r="G919" s="25">
        <f t="shared" si="12"/>
        <v>-1.4846962083142956E-2</v>
      </c>
    </row>
    <row r="920" spans="1:7">
      <c r="A920" s="65">
        <v>85.49</v>
      </c>
      <c r="B920" s="65">
        <v>85.76</v>
      </c>
      <c r="C920" s="65">
        <v>83.174999999999997</v>
      </c>
      <c r="D920" s="65">
        <v>83.79</v>
      </c>
      <c r="E920" s="65">
        <v>3224783</v>
      </c>
      <c r="F920" s="65" t="s">
        <v>966</v>
      </c>
      <c r="G920" s="25">
        <f t="shared" si="12"/>
        <v>2.0288817281298277E-2</v>
      </c>
    </row>
    <row r="921" spans="1:7">
      <c r="A921" s="65">
        <v>82.42</v>
      </c>
      <c r="B921" s="65">
        <v>85.8</v>
      </c>
      <c r="C921" s="65">
        <v>81.849999999999994</v>
      </c>
      <c r="D921" s="65">
        <v>84.77</v>
      </c>
      <c r="E921" s="65">
        <v>2354559</v>
      </c>
      <c r="F921" s="65" t="s">
        <v>967</v>
      </c>
      <c r="G921" s="25">
        <f t="shared" si="12"/>
        <v>-2.7722071487554456E-2</v>
      </c>
    </row>
    <row r="922" spans="1:7">
      <c r="A922" s="65">
        <v>84.22</v>
      </c>
      <c r="B922" s="65">
        <v>85</v>
      </c>
      <c r="C922" s="65">
        <v>80.69</v>
      </c>
      <c r="D922" s="65">
        <v>80.83</v>
      </c>
      <c r="E922" s="65">
        <v>2564693</v>
      </c>
      <c r="F922" s="65" t="s">
        <v>968</v>
      </c>
      <c r="G922" s="25">
        <f t="shared" si="12"/>
        <v>4.1939873809229145E-2</v>
      </c>
    </row>
    <row r="923" spans="1:7">
      <c r="A923" s="65">
        <v>82.65</v>
      </c>
      <c r="B923" s="65">
        <v>84.15</v>
      </c>
      <c r="C923" s="65">
        <v>82.16</v>
      </c>
      <c r="D923" s="65">
        <v>83.07</v>
      </c>
      <c r="E923" s="65">
        <v>2487682</v>
      </c>
      <c r="F923" s="65" t="s">
        <v>969</v>
      </c>
      <c r="G923" s="25">
        <f t="shared" si="12"/>
        <v>-5.0559768869626875E-3</v>
      </c>
    </row>
    <row r="924" spans="1:7">
      <c r="A924" s="65">
        <v>82.15</v>
      </c>
      <c r="B924" s="65">
        <v>83.09</v>
      </c>
      <c r="C924" s="65">
        <v>80.900000000000006</v>
      </c>
      <c r="D924" s="65">
        <v>82.12</v>
      </c>
      <c r="E924" s="65">
        <v>2318043</v>
      </c>
      <c r="F924" s="65" t="s">
        <v>970</v>
      </c>
      <c r="G924" s="25">
        <f t="shared" si="12"/>
        <v>3.6531904529968351E-4</v>
      </c>
    </row>
    <row r="925" spans="1:7">
      <c r="A925" s="65">
        <v>82.75</v>
      </c>
      <c r="B925" s="65">
        <v>85</v>
      </c>
      <c r="C925" s="65">
        <v>82.4</v>
      </c>
      <c r="D925" s="65">
        <v>84.9</v>
      </c>
      <c r="E925" s="65">
        <v>1666855</v>
      </c>
      <c r="F925" s="65" t="s">
        <v>971</v>
      </c>
      <c r="G925" s="25">
        <f t="shared" si="12"/>
        <v>-2.5323910482921153E-2</v>
      </c>
    </row>
    <row r="926" spans="1:7">
      <c r="A926" s="65">
        <v>84.23</v>
      </c>
      <c r="B926" s="65">
        <v>85.73</v>
      </c>
      <c r="C926" s="65">
        <v>83.66</v>
      </c>
      <c r="D926" s="65">
        <v>85.57</v>
      </c>
      <c r="E926" s="65">
        <v>2294206</v>
      </c>
      <c r="F926" s="65" t="s">
        <v>972</v>
      </c>
      <c r="G926" s="25">
        <f t="shared" si="12"/>
        <v>-1.5659693817926756E-2</v>
      </c>
    </row>
    <row r="927" spans="1:7">
      <c r="A927" s="65">
        <v>86.48</v>
      </c>
      <c r="B927" s="65">
        <v>88.09</v>
      </c>
      <c r="C927" s="65">
        <v>86.3</v>
      </c>
      <c r="D927" s="65">
        <v>86.86</v>
      </c>
      <c r="E927" s="65">
        <v>2170206</v>
      </c>
      <c r="F927" s="65" t="s">
        <v>973</v>
      </c>
      <c r="G927" s="25">
        <f t="shared" si="12"/>
        <v>-4.3748560902601152E-3</v>
      </c>
    </row>
    <row r="928" spans="1:7">
      <c r="A928" s="65">
        <v>87.44</v>
      </c>
      <c r="B928" s="65">
        <v>87.89</v>
      </c>
      <c r="C928" s="65">
        <v>85.64</v>
      </c>
      <c r="D928" s="65">
        <v>85.91</v>
      </c>
      <c r="E928" s="65">
        <v>2971486</v>
      </c>
      <c r="F928" s="65" t="s">
        <v>974</v>
      </c>
      <c r="G928" s="25">
        <f t="shared" si="12"/>
        <v>1.7809335350948752E-2</v>
      </c>
    </row>
    <row r="929" spans="1:7">
      <c r="A929" s="65">
        <v>87.18</v>
      </c>
      <c r="B929" s="65">
        <v>88.4</v>
      </c>
      <c r="C929" s="65">
        <v>86.58</v>
      </c>
      <c r="D929" s="65">
        <v>86.95</v>
      </c>
      <c r="E929" s="65">
        <v>2391058</v>
      </c>
      <c r="F929" s="65" t="s">
        <v>975</v>
      </c>
      <c r="G929" s="25">
        <f t="shared" si="12"/>
        <v>2.6451983898791998E-3</v>
      </c>
    </row>
    <row r="930" spans="1:7">
      <c r="A930" s="65">
        <v>85.46</v>
      </c>
      <c r="B930" s="65">
        <v>86.01</v>
      </c>
      <c r="C930" s="65">
        <v>83.15</v>
      </c>
      <c r="D930" s="65">
        <v>83.65</v>
      </c>
      <c r="E930" s="65">
        <v>2178127</v>
      </c>
      <c r="F930" s="65" t="s">
        <v>976</v>
      </c>
      <c r="G930" s="25">
        <f t="shared" si="12"/>
        <v>2.1637776449491719E-2</v>
      </c>
    </row>
    <row r="931" spans="1:7">
      <c r="A931" s="65">
        <v>82.63</v>
      </c>
      <c r="B931" s="65">
        <v>85.84</v>
      </c>
      <c r="C931" s="65">
        <v>82.5</v>
      </c>
      <c r="D931" s="65">
        <v>84</v>
      </c>
      <c r="E931" s="65">
        <v>2726086</v>
      </c>
      <c r="F931" s="65" t="s">
        <v>977</v>
      </c>
      <c r="G931" s="25">
        <f t="shared" si="12"/>
        <v>-1.6309523809523885E-2</v>
      </c>
    </row>
    <row r="932" spans="1:7">
      <c r="A932" s="65">
        <v>83.83</v>
      </c>
      <c r="B932" s="65">
        <v>84.43</v>
      </c>
      <c r="C932" s="65">
        <v>82.79</v>
      </c>
      <c r="D932" s="65">
        <v>83.47</v>
      </c>
      <c r="E932" s="65">
        <v>2659557</v>
      </c>
      <c r="F932" s="65" t="s">
        <v>978</v>
      </c>
      <c r="G932" s="25">
        <f t="shared" si="12"/>
        <v>4.3129268000479115E-3</v>
      </c>
    </row>
    <row r="933" spans="1:7">
      <c r="A933" s="65">
        <v>84.24</v>
      </c>
      <c r="B933" s="65">
        <v>84.65</v>
      </c>
      <c r="C933" s="65">
        <v>82.024199999999993</v>
      </c>
      <c r="D933" s="65">
        <v>82.71</v>
      </c>
      <c r="E933" s="65">
        <v>2874139</v>
      </c>
      <c r="F933" s="65" t="s">
        <v>979</v>
      </c>
      <c r="G933" s="25">
        <f t="shared" si="12"/>
        <v>1.8498367791077275E-2</v>
      </c>
    </row>
    <row r="934" spans="1:7">
      <c r="A934" s="65">
        <v>82.37</v>
      </c>
      <c r="B934" s="65">
        <v>84.6</v>
      </c>
      <c r="C934" s="65">
        <v>81.87</v>
      </c>
      <c r="D934" s="65">
        <v>84.34</v>
      </c>
      <c r="E934" s="65">
        <v>3106340</v>
      </c>
      <c r="F934" s="65" t="s">
        <v>980</v>
      </c>
      <c r="G934" s="25">
        <f t="shared" si="12"/>
        <v>-2.3357837325112651E-2</v>
      </c>
    </row>
    <row r="935" spans="1:7">
      <c r="A935" s="65">
        <v>83.59</v>
      </c>
      <c r="B935" s="65">
        <v>85.12</v>
      </c>
      <c r="C935" s="65">
        <v>83.31</v>
      </c>
      <c r="D935" s="65">
        <v>84.09</v>
      </c>
      <c r="E935" s="65">
        <v>2030224</v>
      </c>
      <c r="F935" s="65" t="s">
        <v>981</v>
      </c>
      <c r="G935" s="25">
        <f t="shared" si="12"/>
        <v>-5.9460102271375881E-3</v>
      </c>
    </row>
    <row r="936" spans="1:7">
      <c r="A936" s="65">
        <v>84.74</v>
      </c>
      <c r="B936" s="65">
        <v>84.86</v>
      </c>
      <c r="C936" s="65">
        <v>82.92</v>
      </c>
      <c r="D936" s="65">
        <v>83.83</v>
      </c>
      <c r="E936" s="65">
        <v>3318619</v>
      </c>
      <c r="F936" s="65" t="s">
        <v>982</v>
      </c>
      <c r="G936" s="25">
        <f t="shared" si="12"/>
        <v>1.0855302397709599E-2</v>
      </c>
    </row>
    <row r="937" spans="1:7">
      <c r="A937" s="65">
        <v>84.17</v>
      </c>
      <c r="B937" s="65">
        <v>85.38</v>
      </c>
      <c r="C937" s="65">
        <v>83.42</v>
      </c>
      <c r="D937" s="65">
        <v>84.85</v>
      </c>
      <c r="E937" s="65">
        <v>2751210</v>
      </c>
      <c r="F937" s="65" t="s">
        <v>983</v>
      </c>
      <c r="G937" s="25">
        <f t="shared" si="12"/>
        <v>-8.0141426045962083E-3</v>
      </c>
    </row>
    <row r="938" spans="1:7">
      <c r="A938" s="65">
        <v>85.22</v>
      </c>
      <c r="B938" s="65">
        <v>88.68</v>
      </c>
      <c r="C938" s="65">
        <v>85.18</v>
      </c>
      <c r="D938" s="65">
        <v>87.33</v>
      </c>
      <c r="E938" s="65">
        <v>2167434</v>
      </c>
      <c r="F938" s="65" t="s">
        <v>984</v>
      </c>
      <c r="G938" s="25">
        <f t="shared" si="12"/>
        <v>-2.4161227527768281E-2</v>
      </c>
    </row>
    <row r="939" spans="1:7">
      <c r="A939" s="65">
        <v>87.19</v>
      </c>
      <c r="B939" s="65">
        <v>88.584999999999994</v>
      </c>
      <c r="C939" s="65">
        <v>86.185000000000002</v>
      </c>
      <c r="D939" s="65">
        <v>88</v>
      </c>
      <c r="E939" s="65">
        <v>3732059</v>
      </c>
      <c r="F939" s="65" t="s">
        <v>985</v>
      </c>
      <c r="G939" s="25">
        <f t="shared" si="12"/>
        <v>-9.2045454545455208E-3</v>
      </c>
    </row>
    <row r="940" spans="1:7">
      <c r="A940" s="65">
        <v>88.83</v>
      </c>
      <c r="B940" s="65">
        <v>92.65</v>
      </c>
      <c r="C940" s="65">
        <v>88</v>
      </c>
      <c r="D940" s="65">
        <v>92.43</v>
      </c>
      <c r="E940" s="65">
        <v>4470278</v>
      </c>
      <c r="F940" s="65" t="s">
        <v>986</v>
      </c>
      <c r="G940" s="25">
        <f t="shared" si="12"/>
        <v>-3.8948393378773205E-2</v>
      </c>
    </row>
    <row r="941" spans="1:7">
      <c r="A941" s="65">
        <v>93.35</v>
      </c>
      <c r="B941" s="65">
        <v>94.1</v>
      </c>
      <c r="C941" s="65">
        <v>91.95</v>
      </c>
      <c r="D941" s="65">
        <v>94.1</v>
      </c>
      <c r="E941" s="65">
        <v>3344314</v>
      </c>
      <c r="F941" s="65" t="s">
        <v>987</v>
      </c>
      <c r="G941" s="25">
        <f t="shared" si="12"/>
        <v>-7.9702444208289425E-3</v>
      </c>
    </row>
    <row r="942" spans="1:7">
      <c r="A942" s="65">
        <v>94.88</v>
      </c>
      <c r="B942" s="65">
        <v>98.35</v>
      </c>
      <c r="C942" s="65">
        <v>94.4</v>
      </c>
      <c r="D942" s="65">
        <v>94.68</v>
      </c>
      <c r="E942" s="65">
        <v>2570352</v>
      </c>
      <c r="F942" s="65" t="s">
        <v>988</v>
      </c>
      <c r="G942" s="25">
        <f t="shared" si="12"/>
        <v>2.1123785382339832E-3</v>
      </c>
    </row>
    <row r="943" spans="1:7">
      <c r="A943" s="65">
        <v>94.12</v>
      </c>
      <c r="B943" s="65">
        <v>94.9</v>
      </c>
      <c r="C943" s="65">
        <v>93.2</v>
      </c>
      <c r="D943" s="65">
        <v>94.3</v>
      </c>
      <c r="E943" s="65">
        <v>1627444</v>
      </c>
      <c r="F943" s="65" t="s">
        <v>989</v>
      </c>
      <c r="G943" s="25">
        <f t="shared" si="12"/>
        <v>-1.908801696712592E-3</v>
      </c>
    </row>
    <row r="944" spans="1:7">
      <c r="A944" s="65">
        <v>94.28</v>
      </c>
      <c r="B944" s="65">
        <v>95.58</v>
      </c>
      <c r="C944" s="65">
        <v>94.034999999999997</v>
      </c>
      <c r="D944" s="65">
        <v>94.93</v>
      </c>
      <c r="E944" s="65">
        <v>2178029</v>
      </c>
      <c r="F944" s="65" t="s">
        <v>990</v>
      </c>
      <c r="G944" s="25">
        <f t="shared" si="12"/>
        <v>-6.8471505319709358E-3</v>
      </c>
    </row>
    <row r="945" spans="1:7">
      <c r="A945" s="65">
        <v>97.36</v>
      </c>
      <c r="B945" s="65">
        <v>98.09</v>
      </c>
      <c r="C945" s="65">
        <v>96.861500000000007</v>
      </c>
      <c r="D945" s="65">
        <v>97.54</v>
      </c>
      <c r="E945" s="65">
        <v>2723058</v>
      </c>
      <c r="F945" s="65" t="s">
        <v>991</v>
      </c>
      <c r="G945" s="25">
        <f t="shared" si="12"/>
        <v>-1.845396760303486E-3</v>
      </c>
    </row>
    <row r="946" spans="1:7">
      <c r="A946" s="65">
        <v>97.25</v>
      </c>
      <c r="B946" s="65">
        <v>97.74</v>
      </c>
      <c r="C946" s="65">
        <v>95</v>
      </c>
      <c r="D946" s="65">
        <v>95.74</v>
      </c>
      <c r="E946" s="65">
        <v>2867279</v>
      </c>
      <c r="F946" s="65" t="s">
        <v>992</v>
      </c>
      <c r="G946" s="25">
        <f t="shared" si="12"/>
        <v>1.5771882180906749E-2</v>
      </c>
    </row>
    <row r="947" spans="1:7">
      <c r="A947" s="65">
        <v>95.52</v>
      </c>
      <c r="B947" s="65">
        <v>95.56</v>
      </c>
      <c r="C947" s="65">
        <v>90.892899999999997</v>
      </c>
      <c r="D947" s="65">
        <v>90.94</v>
      </c>
      <c r="E947" s="65">
        <v>4008210</v>
      </c>
      <c r="F947" s="65" t="s">
        <v>993</v>
      </c>
      <c r="G947" s="25">
        <f t="shared" si="12"/>
        <v>5.0362876621948605E-2</v>
      </c>
    </row>
    <row r="948" spans="1:7">
      <c r="A948" s="65">
        <v>91.98</v>
      </c>
      <c r="B948" s="65">
        <v>92.29</v>
      </c>
      <c r="C948" s="65">
        <v>88.88</v>
      </c>
      <c r="D948" s="65">
        <v>88.88</v>
      </c>
      <c r="E948" s="65">
        <v>3119239</v>
      </c>
      <c r="F948" s="65" t="s">
        <v>994</v>
      </c>
      <c r="G948" s="25">
        <f t="shared" si="12"/>
        <v>3.4878487848784889E-2</v>
      </c>
    </row>
    <row r="949" spans="1:7">
      <c r="A949" s="65">
        <v>89.06</v>
      </c>
      <c r="B949" s="65">
        <v>89.78</v>
      </c>
      <c r="C949" s="65">
        <v>88.24</v>
      </c>
      <c r="D949" s="65">
        <v>89</v>
      </c>
      <c r="E949" s="65">
        <v>2172740</v>
      </c>
      <c r="F949" s="65" t="s">
        <v>995</v>
      </c>
      <c r="G949" s="25">
        <f t="shared" si="12"/>
        <v>6.7415730337083701E-4</v>
      </c>
    </row>
    <row r="950" spans="1:7">
      <c r="A950" s="65">
        <v>88.69</v>
      </c>
      <c r="B950" s="65">
        <v>91.34</v>
      </c>
      <c r="C950" s="65">
        <v>88.105000000000004</v>
      </c>
      <c r="D950" s="65">
        <v>91.24</v>
      </c>
      <c r="E950" s="65">
        <v>1920439</v>
      </c>
      <c r="F950" s="65" t="s">
        <v>996</v>
      </c>
      <c r="G950" s="25">
        <f t="shared" si="12"/>
        <v>-2.7948268303375712E-2</v>
      </c>
    </row>
    <row r="951" spans="1:7">
      <c r="A951" s="65">
        <v>90.12</v>
      </c>
      <c r="B951" s="65">
        <v>90.22</v>
      </c>
      <c r="C951" s="65">
        <v>87.94</v>
      </c>
      <c r="D951" s="65">
        <v>89.4</v>
      </c>
      <c r="E951" s="65">
        <v>4041294</v>
      </c>
      <c r="F951" s="65" t="s">
        <v>997</v>
      </c>
      <c r="G951" s="25">
        <f t="shared" si="12"/>
        <v>8.0536912751678624E-3</v>
      </c>
    </row>
    <row r="952" spans="1:7">
      <c r="A952" s="65">
        <v>90.1</v>
      </c>
      <c r="B952" s="65">
        <v>92.155000000000001</v>
      </c>
      <c r="C952" s="65">
        <v>90.06</v>
      </c>
      <c r="D952" s="65">
        <v>91.46</v>
      </c>
      <c r="E952" s="65">
        <v>2786699</v>
      </c>
      <c r="F952" s="65" t="s">
        <v>998</v>
      </c>
      <c r="G952" s="25">
        <f t="shared" si="12"/>
        <v>-1.4869888475836479E-2</v>
      </c>
    </row>
    <row r="953" spans="1:7">
      <c r="A953" s="65">
        <v>90.43</v>
      </c>
      <c r="B953" s="65">
        <v>91.93</v>
      </c>
      <c r="C953" s="65">
        <v>89.780500000000004</v>
      </c>
      <c r="D953" s="65">
        <v>91.36</v>
      </c>
      <c r="E953" s="65">
        <v>2900619</v>
      </c>
      <c r="F953" s="65" t="s">
        <v>999</v>
      </c>
      <c r="G953" s="25">
        <f t="shared" si="12"/>
        <v>-1.0179509632224137E-2</v>
      </c>
    </row>
    <row r="954" spans="1:7">
      <c r="A954" s="65">
        <v>90.36</v>
      </c>
      <c r="B954" s="65">
        <v>90.76</v>
      </c>
      <c r="C954" s="65">
        <v>89.43</v>
      </c>
      <c r="D954" s="65">
        <v>90.27</v>
      </c>
      <c r="E954" s="65">
        <v>2607270</v>
      </c>
      <c r="F954" s="65" t="s">
        <v>1000</v>
      </c>
      <c r="G954" s="25">
        <f t="shared" si="12"/>
        <v>9.9700897308085956E-4</v>
      </c>
    </row>
    <row r="955" spans="1:7">
      <c r="A955" s="65">
        <v>91.24</v>
      </c>
      <c r="B955" s="65">
        <v>96.34</v>
      </c>
      <c r="C955" s="65">
        <v>91.08</v>
      </c>
      <c r="D955" s="65">
        <v>95.99</v>
      </c>
      <c r="E955" s="65">
        <v>2210263</v>
      </c>
      <c r="F955" s="65" t="s">
        <v>1001</v>
      </c>
      <c r="G955" s="25">
        <f t="shared" si="12"/>
        <v>-4.9484321283467025E-2</v>
      </c>
    </row>
    <row r="956" spans="1:7">
      <c r="A956" s="65">
        <v>96.65</v>
      </c>
      <c r="B956" s="65">
        <v>96.67</v>
      </c>
      <c r="C956" s="65">
        <v>95.13</v>
      </c>
      <c r="D956" s="65">
        <v>95.98</v>
      </c>
      <c r="E956" s="65">
        <v>1753201</v>
      </c>
      <c r="F956" s="65" t="s">
        <v>1002</v>
      </c>
      <c r="G956" s="25">
        <f t="shared" ref="G956:G1019" si="13">A956/D956-1</f>
        <v>6.9806209627005789E-3</v>
      </c>
    </row>
    <row r="957" spans="1:7">
      <c r="A957" s="65">
        <v>94.96</v>
      </c>
      <c r="B957" s="65">
        <v>95.59</v>
      </c>
      <c r="C957" s="65">
        <v>93.5</v>
      </c>
      <c r="D957" s="65">
        <v>94.82</v>
      </c>
      <c r="E957" s="65">
        <v>2546538</v>
      </c>
      <c r="F957" s="65" t="s">
        <v>1003</v>
      </c>
      <c r="G957" s="25">
        <f t="shared" si="13"/>
        <v>1.4764817549040021E-3</v>
      </c>
    </row>
    <row r="958" spans="1:7">
      <c r="A958" s="65">
        <v>94.15</v>
      </c>
      <c r="B958" s="65">
        <v>95.3</v>
      </c>
      <c r="C958" s="65">
        <v>93.57</v>
      </c>
      <c r="D958" s="65">
        <v>95.3</v>
      </c>
      <c r="E958" s="65">
        <v>2289460</v>
      </c>
      <c r="F958" s="65" t="s">
        <v>1004</v>
      </c>
      <c r="G958" s="25">
        <f t="shared" si="13"/>
        <v>-1.206715634837352E-2</v>
      </c>
    </row>
    <row r="959" spans="1:7">
      <c r="A959" s="65">
        <v>95.87</v>
      </c>
      <c r="B959" s="65">
        <v>98.22</v>
      </c>
      <c r="C959" s="65">
        <v>95.515000000000001</v>
      </c>
      <c r="D959" s="65">
        <v>97.16</v>
      </c>
      <c r="E959" s="65">
        <v>2073211</v>
      </c>
      <c r="F959" s="65" t="s">
        <v>1005</v>
      </c>
      <c r="G959" s="25">
        <f t="shared" si="13"/>
        <v>-1.3277068752572951E-2</v>
      </c>
    </row>
    <row r="960" spans="1:7">
      <c r="A960" s="65">
        <v>98.55</v>
      </c>
      <c r="B960" s="65">
        <v>99.4</v>
      </c>
      <c r="C960" s="65">
        <v>97.62</v>
      </c>
      <c r="D960" s="65">
        <v>99.22</v>
      </c>
      <c r="E960" s="65">
        <v>2610651</v>
      </c>
      <c r="F960" s="65" t="s">
        <v>1006</v>
      </c>
      <c r="G960" s="25">
        <f t="shared" si="13"/>
        <v>-6.7526708324934237E-3</v>
      </c>
    </row>
    <row r="961" spans="1:7">
      <c r="A961" s="65">
        <v>99.51</v>
      </c>
      <c r="B961" s="65">
        <v>100.57</v>
      </c>
      <c r="C961" s="65">
        <v>98.31</v>
      </c>
      <c r="D961" s="65">
        <v>100.42</v>
      </c>
      <c r="E961" s="65">
        <v>2320704</v>
      </c>
      <c r="F961" s="65" t="s">
        <v>1007</v>
      </c>
      <c r="G961" s="25">
        <f t="shared" si="13"/>
        <v>-9.0619398526189388E-3</v>
      </c>
    </row>
    <row r="962" spans="1:7">
      <c r="A962" s="65">
        <v>100.53</v>
      </c>
      <c r="B962" s="65">
        <v>102.12</v>
      </c>
      <c r="C962" s="65">
        <v>100.23</v>
      </c>
      <c r="D962" s="65">
        <v>101.45</v>
      </c>
      <c r="E962" s="65">
        <v>2787750</v>
      </c>
      <c r="F962" s="65" t="s">
        <v>1008</v>
      </c>
      <c r="G962" s="25">
        <f t="shared" si="13"/>
        <v>-9.0685066535238779E-3</v>
      </c>
    </row>
    <row r="963" spans="1:7">
      <c r="A963" s="65">
        <v>102.28</v>
      </c>
      <c r="B963" s="65">
        <v>104.125</v>
      </c>
      <c r="C963" s="65">
        <v>101.895</v>
      </c>
      <c r="D963" s="65">
        <v>104.07</v>
      </c>
      <c r="E963" s="65">
        <v>2969727</v>
      </c>
      <c r="F963" s="65" t="s">
        <v>1009</v>
      </c>
      <c r="G963" s="25">
        <f t="shared" si="13"/>
        <v>-1.7199961564331678E-2</v>
      </c>
    </row>
    <row r="964" spans="1:7">
      <c r="A964" s="65">
        <v>104.74</v>
      </c>
      <c r="B964" s="65">
        <v>105.44970000000001</v>
      </c>
      <c r="C964" s="65">
        <v>103.34</v>
      </c>
      <c r="D964" s="65">
        <v>104.52</v>
      </c>
      <c r="E964" s="65">
        <v>2183630</v>
      </c>
      <c r="F964" s="65" t="s">
        <v>1010</v>
      </c>
      <c r="G964" s="25">
        <f t="shared" si="13"/>
        <v>2.1048603138156263E-3</v>
      </c>
    </row>
    <row r="965" spans="1:7">
      <c r="A965" s="65">
        <v>104.8</v>
      </c>
      <c r="B965" s="65">
        <v>104.935</v>
      </c>
      <c r="C965" s="65">
        <v>103.12</v>
      </c>
      <c r="D965" s="65">
        <v>104.16</v>
      </c>
      <c r="E965" s="65">
        <v>1609640</v>
      </c>
      <c r="F965" s="65" t="s">
        <v>1011</v>
      </c>
      <c r="G965" s="25">
        <f t="shared" si="13"/>
        <v>6.1443932411673341E-3</v>
      </c>
    </row>
    <row r="966" spans="1:7">
      <c r="A966" s="65">
        <v>103.92</v>
      </c>
      <c r="B966" s="65">
        <v>105.79</v>
      </c>
      <c r="C966" s="65">
        <v>103.575</v>
      </c>
      <c r="D966" s="65">
        <v>104.54</v>
      </c>
      <c r="E966" s="65">
        <v>1800070</v>
      </c>
      <c r="F966" s="65" t="s">
        <v>1012</v>
      </c>
      <c r="G966" s="25">
        <f t="shared" si="13"/>
        <v>-5.9307442127415344E-3</v>
      </c>
    </row>
    <row r="967" spans="1:7">
      <c r="A967" s="65">
        <v>103.86</v>
      </c>
      <c r="B967" s="65">
        <v>103.98</v>
      </c>
      <c r="C967" s="65">
        <v>102.3969</v>
      </c>
      <c r="D967" s="65">
        <v>103.55</v>
      </c>
      <c r="E967" s="65">
        <v>1979743</v>
      </c>
      <c r="F967" s="65" t="s">
        <v>1013</v>
      </c>
      <c r="G967" s="25">
        <f t="shared" si="13"/>
        <v>2.9937228392080684E-3</v>
      </c>
    </row>
    <row r="968" spans="1:7">
      <c r="A968" s="65">
        <v>101.44</v>
      </c>
      <c r="B968" s="65">
        <v>105.27</v>
      </c>
      <c r="C968" s="65">
        <v>101.24</v>
      </c>
      <c r="D968" s="65">
        <v>105.01</v>
      </c>
      <c r="E968" s="65">
        <v>2802910</v>
      </c>
      <c r="F968" s="65" t="s">
        <v>1014</v>
      </c>
      <c r="G968" s="25">
        <f t="shared" si="13"/>
        <v>-3.3996762213122644E-2</v>
      </c>
    </row>
    <row r="969" spans="1:7">
      <c r="A969" s="65">
        <v>105.46</v>
      </c>
      <c r="B969" s="65">
        <v>107.18</v>
      </c>
      <c r="C969" s="65">
        <v>104.9</v>
      </c>
      <c r="D969" s="65">
        <v>106.81</v>
      </c>
      <c r="E969" s="65">
        <v>1914420</v>
      </c>
      <c r="F969" s="65" t="s">
        <v>1015</v>
      </c>
      <c r="G969" s="25">
        <f t="shared" si="13"/>
        <v>-1.2639265986330916E-2</v>
      </c>
    </row>
    <row r="970" spans="1:7">
      <c r="A970" s="65">
        <v>106.12</v>
      </c>
      <c r="B970" s="65">
        <v>106.26</v>
      </c>
      <c r="C970" s="65">
        <v>103.47</v>
      </c>
      <c r="D970" s="65">
        <v>103.66</v>
      </c>
      <c r="E970" s="65">
        <v>2033510</v>
      </c>
      <c r="F970" s="65" t="s">
        <v>1016</v>
      </c>
      <c r="G970" s="25">
        <f t="shared" si="13"/>
        <v>2.3731429673934157E-2</v>
      </c>
    </row>
    <row r="971" spans="1:7">
      <c r="A971" s="65">
        <v>104.85</v>
      </c>
      <c r="B971" s="65">
        <v>104.88</v>
      </c>
      <c r="C971" s="65">
        <v>102.95</v>
      </c>
      <c r="D971" s="65">
        <v>103.68</v>
      </c>
      <c r="E971" s="65">
        <v>1849279</v>
      </c>
      <c r="F971" s="65" t="s">
        <v>1017</v>
      </c>
      <c r="G971" s="25">
        <f t="shared" si="13"/>
        <v>1.1284722222222099E-2</v>
      </c>
    </row>
    <row r="972" spans="1:7">
      <c r="A972" s="65">
        <v>103.45</v>
      </c>
      <c r="B972" s="65">
        <v>104.06</v>
      </c>
      <c r="C972" s="65">
        <v>101.22</v>
      </c>
      <c r="D972" s="65">
        <v>102.21</v>
      </c>
      <c r="E972" s="65">
        <v>1896210</v>
      </c>
      <c r="F972" s="65" t="s">
        <v>1018</v>
      </c>
      <c r="G972" s="25">
        <f t="shared" si="13"/>
        <v>1.2131885334116133E-2</v>
      </c>
    </row>
    <row r="973" spans="1:7">
      <c r="A973" s="65">
        <v>102.22</v>
      </c>
      <c r="B973" s="65">
        <v>103.45</v>
      </c>
      <c r="C973" s="65">
        <v>98.9</v>
      </c>
      <c r="D973" s="65">
        <v>99</v>
      </c>
      <c r="E973" s="65">
        <v>2410226</v>
      </c>
      <c r="F973" s="65" t="s">
        <v>1019</v>
      </c>
      <c r="G973" s="25">
        <f t="shared" si="13"/>
        <v>3.2525252525252624E-2</v>
      </c>
    </row>
    <row r="974" spans="1:7">
      <c r="A974" s="65">
        <v>99.45</v>
      </c>
      <c r="B974" s="65">
        <v>100.73</v>
      </c>
      <c r="C974" s="65">
        <v>99.14</v>
      </c>
      <c r="D974" s="65">
        <v>99.81</v>
      </c>
      <c r="E974" s="65">
        <v>2992044</v>
      </c>
      <c r="F974" s="65" t="s">
        <v>1020</v>
      </c>
      <c r="G974" s="25">
        <f t="shared" si="13"/>
        <v>-3.6068530207393756E-3</v>
      </c>
    </row>
    <row r="975" spans="1:7">
      <c r="A975" s="65">
        <v>100.54</v>
      </c>
      <c r="B975" s="65">
        <v>101.98</v>
      </c>
      <c r="C975" s="65">
        <v>98.67</v>
      </c>
      <c r="D975" s="65">
        <v>100.04</v>
      </c>
      <c r="E975" s="65">
        <v>7246633</v>
      </c>
      <c r="F975" s="65" t="s">
        <v>1021</v>
      </c>
      <c r="G975" s="25">
        <f t="shared" si="13"/>
        <v>4.9980007996801579E-3</v>
      </c>
    </row>
    <row r="976" spans="1:7">
      <c r="A976" s="65">
        <v>107.29</v>
      </c>
      <c r="B976" s="65">
        <v>107.92</v>
      </c>
      <c r="C976" s="65">
        <v>103.72499999999999</v>
      </c>
      <c r="D976" s="65">
        <v>105.8</v>
      </c>
      <c r="E976" s="65">
        <v>3032134</v>
      </c>
      <c r="F976" s="65" t="s">
        <v>1022</v>
      </c>
      <c r="G976" s="25">
        <f t="shared" si="13"/>
        <v>1.4083175803402792E-2</v>
      </c>
    </row>
    <row r="977" spans="1:7">
      <c r="A977" s="65">
        <v>105.61</v>
      </c>
      <c r="B977" s="65">
        <v>106.15</v>
      </c>
      <c r="C977" s="65">
        <v>103.41500000000001</v>
      </c>
      <c r="D977" s="65">
        <v>103.67</v>
      </c>
      <c r="E977" s="65">
        <v>2557273</v>
      </c>
      <c r="F977" s="65" t="s">
        <v>1023</v>
      </c>
      <c r="G977" s="25">
        <f t="shared" si="13"/>
        <v>1.8713224655155791E-2</v>
      </c>
    </row>
    <row r="978" spans="1:7">
      <c r="A978" s="65">
        <v>102.13</v>
      </c>
      <c r="B978" s="65">
        <v>102.5</v>
      </c>
      <c r="C978" s="65">
        <v>101.29</v>
      </c>
      <c r="D978" s="65">
        <v>102.19</v>
      </c>
      <c r="E978" s="65">
        <v>1981393</v>
      </c>
      <c r="F978" s="65" t="s">
        <v>1024</v>
      </c>
      <c r="G978" s="25">
        <f t="shared" si="13"/>
        <v>-5.8714159898232143E-4</v>
      </c>
    </row>
    <row r="979" spans="1:7">
      <c r="A979" s="65">
        <v>102.09</v>
      </c>
      <c r="B979" s="65">
        <v>102.86</v>
      </c>
      <c r="C979" s="65">
        <v>101.08</v>
      </c>
      <c r="D979" s="65">
        <v>102.55</v>
      </c>
      <c r="E979" s="65">
        <v>2182768</v>
      </c>
      <c r="F979" s="65" t="s">
        <v>1025</v>
      </c>
      <c r="G979" s="25">
        <f t="shared" si="13"/>
        <v>-4.485616772306078E-3</v>
      </c>
    </row>
    <row r="980" spans="1:7">
      <c r="A980" s="65">
        <v>102.58</v>
      </c>
      <c r="B980" s="65">
        <v>104.85</v>
      </c>
      <c r="C980" s="65">
        <v>101.72</v>
      </c>
      <c r="D980" s="65">
        <v>103.2</v>
      </c>
      <c r="E980" s="65">
        <v>2535041</v>
      </c>
      <c r="F980" s="65" t="s">
        <v>1026</v>
      </c>
      <c r="G980" s="25">
        <f t="shared" si="13"/>
        <v>-6.007751937984529E-3</v>
      </c>
    </row>
    <row r="981" spans="1:7">
      <c r="A981" s="65">
        <v>103.77</v>
      </c>
      <c r="B981" s="65">
        <v>104.19</v>
      </c>
      <c r="C981" s="65">
        <v>101.64</v>
      </c>
      <c r="D981" s="65">
        <v>102.12</v>
      </c>
      <c r="E981" s="65">
        <v>2569420</v>
      </c>
      <c r="F981" s="65" t="s">
        <v>1027</v>
      </c>
      <c r="G981" s="25">
        <f t="shared" si="13"/>
        <v>1.615746180963562E-2</v>
      </c>
    </row>
    <row r="982" spans="1:7">
      <c r="A982" s="65">
        <v>101.53</v>
      </c>
      <c r="B982" s="65">
        <v>103.12</v>
      </c>
      <c r="C982" s="65">
        <v>100.79</v>
      </c>
      <c r="D982" s="65">
        <v>101.26</v>
      </c>
      <c r="E982" s="65">
        <v>2328841</v>
      </c>
      <c r="F982" s="65" t="s">
        <v>1028</v>
      </c>
      <c r="G982" s="25">
        <f t="shared" si="13"/>
        <v>2.6664033181906799E-3</v>
      </c>
    </row>
    <row r="983" spans="1:7">
      <c r="A983" s="65">
        <v>101.24</v>
      </c>
      <c r="B983" s="65">
        <v>101.42</v>
      </c>
      <c r="C983" s="65">
        <v>98.5</v>
      </c>
      <c r="D983" s="65">
        <v>99.04</v>
      </c>
      <c r="E983" s="65">
        <v>2364079</v>
      </c>
      <c r="F983" s="65" t="s">
        <v>1029</v>
      </c>
      <c r="G983" s="25">
        <f t="shared" si="13"/>
        <v>2.2213247172859329E-2</v>
      </c>
    </row>
    <row r="984" spans="1:7">
      <c r="A984" s="65">
        <v>97.45</v>
      </c>
      <c r="B984" s="65">
        <v>100.41</v>
      </c>
      <c r="C984" s="65">
        <v>97.06</v>
      </c>
      <c r="D984" s="65">
        <v>99.58</v>
      </c>
      <c r="E984" s="65">
        <v>1658165</v>
      </c>
      <c r="F984" s="65" t="s">
        <v>1030</v>
      </c>
      <c r="G984" s="25">
        <f t="shared" si="13"/>
        <v>-2.1389837316730276E-2</v>
      </c>
    </row>
    <row r="985" spans="1:7">
      <c r="A985" s="65">
        <v>99.43</v>
      </c>
      <c r="B985" s="65">
        <v>99.94</v>
      </c>
      <c r="C985" s="65">
        <v>98.24</v>
      </c>
      <c r="D985" s="65">
        <v>98.51</v>
      </c>
      <c r="E985" s="65">
        <v>1943864</v>
      </c>
      <c r="F985" s="65" t="s">
        <v>1031</v>
      </c>
      <c r="G985" s="25">
        <f t="shared" si="13"/>
        <v>9.3391533854432218E-3</v>
      </c>
    </row>
    <row r="986" spans="1:7">
      <c r="A986" s="65">
        <v>96.91</v>
      </c>
      <c r="B986" s="65">
        <v>97.15</v>
      </c>
      <c r="C986" s="65">
        <v>94.1</v>
      </c>
      <c r="D986" s="65">
        <v>94.43</v>
      </c>
      <c r="E986" s="65">
        <v>2096787</v>
      </c>
      <c r="F986" s="65" t="s">
        <v>1032</v>
      </c>
      <c r="G986" s="25">
        <f t="shared" si="13"/>
        <v>2.6262840199089199E-2</v>
      </c>
    </row>
    <row r="987" spans="1:7">
      <c r="A987" s="65">
        <v>95.93</v>
      </c>
      <c r="B987" s="65">
        <v>97.265000000000001</v>
      </c>
      <c r="C987" s="65">
        <v>93.803399999999996</v>
      </c>
      <c r="D987" s="65">
        <v>94.44</v>
      </c>
      <c r="E987" s="65">
        <v>1765254</v>
      </c>
      <c r="F987" s="65" t="s">
        <v>1033</v>
      </c>
      <c r="G987" s="25">
        <f t="shared" si="13"/>
        <v>1.5777213045319982E-2</v>
      </c>
    </row>
    <row r="988" spans="1:7">
      <c r="A988" s="65">
        <v>96.34</v>
      </c>
      <c r="B988" s="65">
        <v>98.63</v>
      </c>
      <c r="C988" s="65">
        <v>95.91</v>
      </c>
      <c r="D988" s="65">
        <v>97.08</v>
      </c>
      <c r="E988" s="65">
        <v>2616155</v>
      </c>
      <c r="F988" s="65" t="s">
        <v>1034</v>
      </c>
      <c r="G988" s="25">
        <f t="shared" si="13"/>
        <v>-7.6225793160279443E-3</v>
      </c>
    </row>
    <row r="989" spans="1:7">
      <c r="A989" s="65">
        <v>96.88</v>
      </c>
      <c r="B989" s="65">
        <v>97.8</v>
      </c>
      <c r="C989" s="65">
        <v>96.47</v>
      </c>
      <c r="D989" s="65">
        <v>97.33</v>
      </c>
      <c r="E989" s="65">
        <v>1973060</v>
      </c>
      <c r="F989" s="65" t="s">
        <v>1035</v>
      </c>
      <c r="G989" s="25">
        <f t="shared" si="13"/>
        <v>-4.623446008425014E-3</v>
      </c>
    </row>
    <row r="990" spans="1:7">
      <c r="A990" s="65">
        <v>98.39</v>
      </c>
      <c r="B990" s="65">
        <v>99.12</v>
      </c>
      <c r="C990" s="65">
        <v>97.06</v>
      </c>
      <c r="D990" s="65">
        <v>97.6</v>
      </c>
      <c r="E990" s="65">
        <v>1562826</v>
      </c>
      <c r="F990" s="65" t="s">
        <v>1036</v>
      </c>
      <c r="G990" s="25">
        <f t="shared" si="13"/>
        <v>8.0942622950819221E-3</v>
      </c>
    </row>
    <row r="991" spans="1:7">
      <c r="A991" s="65">
        <v>98.43</v>
      </c>
      <c r="B991" s="65">
        <v>98.75</v>
      </c>
      <c r="C991" s="65">
        <v>97.17</v>
      </c>
      <c r="D991" s="65">
        <v>97.76</v>
      </c>
      <c r="E991" s="65">
        <v>1906798</v>
      </c>
      <c r="F991" s="65" t="s">
        <v>1037</v>
      </c>
      <c r="G991" s="25">
        <f t="shared" si="13"/>
        <v>6.8535188216038989E-3</v>
      </c>
    </row>
    <row r="992" spans="1:7">
      <c r="A992" s="65">
        <v>97.98</v>
      </c>
      <c r="B992" s="65">
        <v>98.85</v>
      </c>
      <c r="C992" s="65">
        <v>96.58</v>
      </c>
      <c r="D992" s="65">
        <v>98</v>
      </c>
      <c r="E992" s="65">
        <v>2083878</v>
      </c>
      <c r="F992" s="65" t="s">
        <v>1038</v>
      </c>
      <c r="G992" s="25">
        <f t="shared" si="13"/>
        <v>-2.0408163265306367E-4</v>
      </c>
    </row>
    <row r="993" spans="1:7">
      <c r="A993" s="65">
        <v>97.97</v>
      </c>
      <c r="B993" s="65">
        <v>98.01</v>
      </c>
      <c r="C993" s="65">
        <v>94.82</v>
      </c>
      <c r="D993" s="65">
        <v>96.01</v>
      </c>
      <c r="E993" s="65">
        <v>2097400</v>
      </c>
      <c r="F993" s="65" t="s">
        <v>1039</v>
      </c>
      <c r="G993" s="25">
        <f t="shared" si="13"/>
        <v>2.0414540152067451E-2</v>
      </c>
    </row>
    <row r="994" spans="1:7">
      <c r="A994" s="65">
        <v>97.39</v>
      </c>
      <c r="B994" s="65">
        <v>97.71</v>
      </c>
      <c r="C994" s="65">
        <v>94.76</v>
      </c>
      <c r="D994" s="65">
        <v>94.92</v>
      </c>
      <c r="E994" s="65">
        <v>2081156</v>
      </c>
      <c r="F994" s="65" t="s">
        <v>1040</v>
      </c>
      <c r="G994" s="25">
        <f t="shared" si="13"/>
        <v>2.6021913190054757E-2</v>
      </c>
    </row>
    <row r="995" spans="1:7">
      <c r="A995" s="65">
        <v>95.09</v>
      </c>
      <c r="B995" s="65">
        <v>96.14</v>
      </c>
      <c r="C995" s="65">
        <v>93.82</v>
      </c>
      <c r="D995" s="65">
        <v>94.92</v>
      </c>
      <c r="E995" s="65">
        <v>2448267</v>
      </c>
      <c r="F995" s="65" t="s">
        <v>1041</v>
      </c>
      <c r="G995" s="25">
        <f t="shared" si="13"/>
        <v>1.7909818794774601E-3</v>
      </c>
    </row>
    <row r="996" spans="1:7">
      <c r="A996" s="65">
        <v>96.03</v>
      </c>
      <c r="B996" s="65">
        <v>96.4</v>
      </c>
      <c r="C996" s="65">
        <v>93.37</v>
      </c>
      <c r="D996" s="65">
        <v>94.85</v>
      </c>
      <c r="E996" s="65">
        <v>1826194</v>
      </c>
      <c r="F996" s="65" t="s">
        <v>1042</v>
      </c>
      <c r="G996" s="25">
        <f t="shared" si="13"/>
        <v>1.2440695835529869E-2</v>
      </c>
    </row>
    <row r="997" spans="1:7">
      <c r="A997" s="65">
        <v>94.73</v>
      </c>
      <c r="B997" s="65">
        <v>98.25</v>
      </c>
      <c r="C997" s="65">
        <v>94.605000000000004</v>
      </c>
      <c r="D997" s="65">
        <v>97.27</v>
      </c>
      <c r="E997" s="65">
        <v>3701756</v>
      </c>
      <c r="F997" s="65" t="s">
        <v>1043</v>
      </c>
      <c r="G997" s="25">
        <f t="shared" si="13"/>
        <v>-2.611288166957948E-2</v>
      </c>
    </row>
    <row r="998" spans="1:7">
      <c r="A998" s="65">
        <v>96.81</v>
      </c>
      <c r="B998" s="65">
        <v>97.45</v>
      </c>
      <c r="C998" s="65">
        <v>95.76</v>
      </c>
      <c r="D998" s="65">
        <v>96.9</v>
      </c>
      <c r="E998" s="65">
        <v>3995367</v>
      </c>
      <c r="F998" s="65" t="s">
        <v>1044</v>
      </c>
      <c r="G998" s="25">
        <f t="shared" si="13"/>
        <v>-9.2879256965949786E-4</v>
      </c>
    </row>
    <row r="999" spans="1:7">
      <c r="A999" s="65">
        <v>96.98</v>
      </c>
      <c r="B999" s="65">
        <v>97.07</v>
      </c>
      <c r="C999" s="65">
        <v>93.41</v>
      </c>
      <c r="D999" s="65">
        <v>94.55</v>
      </c>
      <c r="E999" s="65">
        <v>3824771</v>
      </c>
      <c r="F999" s="65" t="s">
        <v>1045</v>
      </c>
      <c r="G999" s="25">
        <f t="shared" si="13"/>
        <v>2.5700687466948757E-2</v>
      </c>
    </row>
    <row r="1000" spans="1:7">
      <c r="A1000" s="65">
        <v>93.62</v>
      </c>
      <c r="B1000" s="65">
        <v>94</v>
      </c>
      <c r="C1000" s="65">
        <v>91.54</v>
      </c>
      <c r="D1000" s="65">
        <v>91.6</v>
      </c>
      <c r="E1000" s="65">
        <v>2391278</v>
      </c>
      <c r="F1000" s="65" t="s">
        <v>1046</v>
      </c>
      <c r="G1000" s="25">
        <f t="shared" si="13"/>
        <v>2.2052401746724959E-2</v>
      </c>
    </row>
    <row r="1001" spans="1:7">
      <c r="A1001" s="65">
        <v>90.79</v>
      </c>
      <c r="B1001" s="65">
        <v>91.95</v>
      </c>
      <c r="C1001" s="65">
        <v>88.52</v>
      </c>
      <c r="D1001" s="65">
        <v>88.72</v>
      </c>
      <c r="E1001" s="65">
        <v>2504621</v>
      </c>
      <c r="F1001" s="65" t="s">
        <v>1047</v>
      </c>
      <c r="G1001" s="25">
        <f t="shared" si="13"/>
        <v>2.3331830477908211E-2</v>
      </c>
    </row>
    <row r="1002" spans="1:7">
      <c r="A1002" s="65">
        <v>89.34</v>
      </c>
      <c r="B1002" s="65">
        <v>90.35</v>
      </c>
      <c r="C1002" s="65">
        <v>88.594999999999999</v>
      </c>
      <c r="D1002" s="65">
        <v>89.31</v>
      </c>
      <c r="E1002" s="65">
        <v>2179821</v>
      </c>
      <c r="F1002" s="65" t="s">
        <v>1048</v>
      </c>
      <c r="G1002" s="25">
        <f t="shared" si="13"/>
        <v>3.3590863285182238E-4</v>
      </c>
    </row>
    <row r="1003" spans="1:7">
      <c r="A1003" s="65">
        <v>87.79</v>
      </c>
      <c r="B1003" s="65">
        <v>90.05</v>
      </c>
      <c r="C1003" s="65">
        <v>87.075000000000003</v>
      </c>
      <c r="D1003" s="65">
        <v>88.16</v>
      </c>
      <c r="E1003" s="65">
        <v>3397520</v>
      </c>
      <c r="F1003" s="65" t="s">
        <v>1049</v>
      </c>
      <c r="G1003" s="25">
        <f t="shared" si="13"/>
        <v>-4.1969147005443963E-3</v>
      </c>
    </row>
    <row r="1004" spans="1:7">
      <c r="A1004" s="65">
        <v>87.73</v>
      </c>
      <c r="B1004" s="65">
        <v>87.92</v>
      </c>
      <c r="C1004" s="65">
        <v>85.665000000000006</v>
      </c>
      <c r="D1004" s="65">
        <v>86.3</v>
      </c>
      <c r="E1004" s="65">
        <v>3132714</v>
      </c>
      <c r="F1004" s="65" t="s">
        <v>1050</v>
      </c>
      <c r="G1004" s="25">
        <f t="shared" si="13"/>
        <v>1.6570104287369825E-2</v>
      </c>
    </row>
    <row r="1005" spans="1:7">
      <c r="A1005" s="65">
        <v>88.78</v>
      </c>
      <c r="B1005" s="65">
        <v>90.07</v>
      </c>
      <c r="C1005" s="65">
        <v>86.75</v>
      </c>
      <c r="D1005" s="65">
        <v>87.81</v>
      </c>
      <c r="E1005" s="65">
        <v>3292910</v>
      </c>
      <c r="F1005" s="65" t="s">
        <v>1051</v>
      </c>
      <c r="G1005" s="25">
        <f t="shared" si="13"/>
        <v>1.1046577838514926E-2</v>
      </c>
    </row>
    <row r="1006" spans="1:7">
      <c r="A1006" s="65">
        <v>86.5</v>
      </c>
      <c r="B1006" s="65">
        <v>88.655000000000001</v>
      </c>
      <c r="C1006" s="65">
        <v>85.58</v>
      </c>
      <c r="D1006" s="65">
        <v>87.41</v>
      </c>
      <c r="E1006" s="65">
        <v>2965407</v>
      </c>
      <c r="F1006" s="65" t="s">
        <v>1052</v>
      </c>
      <c r="G1006" s="25">
        <f t="shared" si="13"/>
        <v>-1.0410708156961435E-2</v>
      </c>
    </row>
    <row r="1007" spans="1:7">
      <c r="A1007" s="65">
        <v>88.55</v>
      </c>
      <c r="B1007" s="65">
        <v>90.8</v>
      </c>
      <c r="C1007" s="65">
        <v>88.07</v>
      </c>
      <c r="D1007" s="65">
        <v>90</v>
      </c>
      <c r="E1007" s="65">
        <v>2873155</v>
      </c>
      <c r="F1007" s="65" t="s">
        <v>1053</v>
      </c>
      <c r="G1007" s="25">
        <f t="shared" si="13"/>
        <v>-1.6111111111111187E-2</v>
      </c>
    </row>
    <row r="1008" spans="1:7">
      <c r="A1008" s="65">
        <v>93</v>
      </c>
      <c r="B1008" s="65">
        <v>94.05</v>
      </c>
      <c r="C1008" s="65">
        <v>91.34</v>
      </c>
      <c r="D1008" s="65">
        <v>92</v>
      </c>
      <c r="E1008" s="65">
        <v>2379525</v>
      </c>
      <c r="F1008" s="65" t="s">
        <v>1054</v>
      </c>
      <c r="G1008" s="25">
        <f t="shared" si="13"/>
        <v>1.0869565217391353E-2</v>
      </c>
    </row>
    <row r="1009" spans="1:7">
      <c r="A1009" s="65">
        <v>93.64</v>
      </c>
      <c r="B1009" s="65">
        <v>96.36</v>
      </c>
      <c r="C1009" s="65">
        <v>93.6</v>
      </c>
      <c r="D1009" s="65">
        <v>95.55</v>
      </c>
      <c r="E1009" s="65">
        <v>2687382</v>
      </c>
      <c r="F1009" s="65" t="s">
        <v>1055</v>
      </c>
      <c r="G1009" s="25">
        <f t="shared" si="13"/>
        <v>-1.9989534275248522E-2</v>
      </c>
    </row>
    <row r="1010" spans="1:7">
      <c r="A1010" s="65">
        <v>96.29</v>
      </c>
      <c r="B1010" s="65">
        <v>97.54</v>
      </c>
      <c r="C1010" s="65">
        <v>95.85</v>
      </c>
      <c r="D1010" s="65">
        <v>96.68</v>
      </c>
      <c r="E1010" s="65">
        <v>1996824</v>
      </c>
      <c r="F1010" s="65" t="s">
        <v>1056</v>
      </c>
      <c r="G1010" s="25">
        <f t="shared" si="13"/>
        <v>-4.033926354985562E-3</v>
      </c>
    </row>
    <row r="1011" spans="1:7">
      <c r="A1011" s="65">
        <v>97.25</v>
      </c>
      <c r="B1011" s="65">
        <v>97.43</v>
      </c>
      <c r="C1011" s="65">
        <v>95.41</v>
      </c>
      <c r="D1011" s="65">
        <v>96.13</v>
      </c>
      <c r="E1011" s="65">
        <v>1485549</v>
      </c>
      <c r="F1011" s="65" t="s">
        <v>1057</v>
      </c>
      <c r="G1011" s="25">
        <f t="shared" si="13"/>
        <v>1.165088942057646E-2</v>
      </c>
    </row>
    <row r="1012" spans="1:7">
      <c r="A1012" s="65">
        <v>96.41</v>
      </c>
      <c r="B1012" s="65">
        <v>98.815899999999999</v>
      </c>
      <c r="C1012" s="65">
        <v>95.97</v>
      </c>
      <c r="D1012" s="65">
        <v>98.13</v>
      </c>
      <c r="E1012" s="65">
        <v>2986141</v>
      </c>
      <c r="F1012" s="65" t="s">
        <v>1058</v>
      </c>
      <c r="G1012" s="25">
        <f t="shared" si="13"/>
        <v>-1.7527769285641481E-2</v>
      </c>
    </row>
    <row r="1013" spans="1:7">
      <c r="A1013" s="65">
        <v>96.73</v>
      </c>
      <c r="B1013" s="65">
        <v>100.21</v>
      </c>
      <c r="C1013" s="65">
        <v>96.38</v>
      </c>
      <c r="D1013" s="65">
        <v>100</v>
      </c>
      <c r="E1013" s="65">
        <v>2462679</v>
      </c>
      <c r="F1013" s="65" t="s">
        <v>1059</v>
      </c>
      <c r="G1013" s="25">
        <f t="shared" si="13"/>
        <v>-3.2699999999999951E-2</v>
      </c>
    </row>
    <row r="1014" spans="1:7">
      <c r="A1014" s="65">
        <v>101.21</v>
      </c>
      <c r="B1014" s="65">
        <v>101.34</v>
      </c>
      <c r="C1014" s="65">
        <v>96.284999999999997</v>
      </c>
      <c r="D1014" s="65">
        <v>97.38</v>
      </c>
      <c r="E1014" s="65">
        <v>1601491</v>
      </c>
      <c r="F1014" s="65" t="s">
        <v>1060</v>
      </c>
      <c r="G1014" s="25">
        <f t="shared" si="13"/>
        <v>3.933045799958923E-2</v>
      </c>
    </row>
    <row r="1015" spans="1:7">
      <c r="A1015" s="65">
        <v>97.34</v>
      </c>
      <c r="B1015" s="65">
        <v>101.41</v>
      </c>
      <c r="C1015" s="65">
        <v>96.37</v>
      </c>
      <c r="D1015" s="65">
        <v>101.16</v>
      </c>
      <c r="E1015" s="65">
        <v>2026638</v>
      </c>
      <c r="F1015" s="65" t="s">
        <v>1061</v>
      </c>
      <c r="G1015" s="25">
        <f t="shared" si="13"/>
        <v>-3.7761961249505704E-2</v>
      </c>
    </row>
    <row r="1016" spans="1:7">
      <c r="A1016" s="65">
        <v>100.85</v>
      </c>
      <c r="B1016" s="65">
        <v>101.69</v>
      </c>
      <c r="C1016" s="65">
        <v>98.7</v>
      </c>
      <c r="D1016" s="65">
        <v>100.06</v>
      </c>
      <c r="E1016" s="65">
        <v>5809629</v>
      </c>
      <c r="F1016" s="65" t="s">
        <v>1062</v>
      </c>
      <c r="G1016" s="25">
        <f t="shared" si="13"/>
        <v>7.8952628422945814E-3</v>
      </c>
    </row>
    <row r="1017" spans="1:7">
      <c r="A1017" s="65">
        <v>101.12</v>
      </c>
      <c r="B1017" s="65">
        <v>101.29</v>
      </c>
      <c r="C1017" s="65">
        <v>99.21</v>
      </c>
      <c r="D1017" s="65">
        <v>99.71</v>
      </c>
      <c r="E1017" s="65">
        <v>2445373</v>
      </c>
      <c r="F1017" s="65" t="s">
        <v>1063</v>
      </c>
      <c r="G1017" s="25">
        <f t="shared" si="13"/>
        <v>1.4141008925885101E-2</v>
      </c>
    </row>
    <row r="1018" spans="1:7">
      <c r="A1018" s="65">
        <v>98.57</v>
      </c>
      <c r="B1018" s="65">
        <v>99.33</v>
      </c>
      <c r="C1018" s="65">
        <v>96.034999999999997</v>
      </c>
      <c r="D1018" s="65">
        <v>97</v>
      </c>
      <c r="E1018" s="65">
        <v>2995023</v>
      </c>
      <c r="F1018" s="65" t="s">
        <v>1064</v>
      </c>
      <c r="G1018" s="25">
        <f t="shared" si="13"/>
        <v>1.6185567010309265E-2</v>
      </c>
    </row>
    <row r="1019" spans="1:7">
      <c r="A1019" s="65">
        <v>96.85</v>
      </c>
      <c r="B1019" s="65">
        <v>97.2</v>
      </c>
      <c r="C1019" s="65">
        <v>93.6</v>
      </c>
      <c r="D1019" s="65">
        <v>94.21</v>
      </c>
      <c r="E1019" s="65">
        <v>3832909</v>
      </c>
      <c r="F1019" s="65" t="s">
        <v>1065</v>
      </c>
      <c r="G1019" s="25">
        <f t="shared" si="13"/>
        <v>2.802250291901065E-2</v>
      </c>
    </row>
    <row r="1020" spans="1:7">
      <c r="A1020" s="65">
        <v>94.54</v>
      </c>
      <c r="B1020" s="65">
        <v>95.8</v>
      </c>
      <c r="C1020" s="65">
        <v>92.95</v>
      </c>
      <c r="D1020" s="65">
        <v>95.52</v>
      </c>
      <c r="E1020" s="65">
        <v>3043394</v>
      </c>
      <c r="F1020" s="65" t="s">
        <v>1066</v>
      </c>
      <c r="G1020" s="25">
        <f t="shared" ref="G1020:G1083" si="14">A1020/D1020-1</f>
        <v>-1.0259631490787124E-2</v>
      </c>
    </row>
    <row r="1021" spans="1:7">
      <c r="A1021" s="65">
        <v>96.13</v>
      </c>
      <c r="B1021" s="65">
        <v>96.82</v>
      </c>
      <c r="C1021" s="65">
        <v>94.22</v>
      </c>
      <c r="D1021" s="65">
        <v>95.5</v>
      </c>
      <c r="E1021" s="65">
        <v>2620037</v>
      </c>
      <c r="F1021" s="65" t="s">
        <v>1067</v>
      </c>
      <c r="G1021" s="25">
        <f t="shared" si="14"/>
        <v>6.5968586387434858E-3</v>
      </c>
    </row>
    <row r="1022" spans="1:7">
      <c r="A1022" s="65">
        <v>94.32</v>
      </c>
      <c r="B1022" s="65">
        <v>95.97</v>
      </c>
      <c r="C1022" s="65">
        <v>91.936800000000005</v>
      </c>
      <c r="D1022" s="65">
        <v>95.53</v>
      </c>
      <c r="E1022" s="65">
        <v>2956679</v>
      </c>
      <c r="F1022" s="65" t="s">
        <v>1068</v>
      </c>
      <c r="G1022" s="25">
        <f t="shared" si="14"/>
        <v>-1.2666178163927677E-2</v>
      </c>
    </row>
    <row r="1023" spans="1:7">
      <c r="A1023" s="65">
        <v>94.37</v>
      </c>
      <c r="B1023" s="65">
        <v>95.22</v>
      </c>
      <c r="C1023" s="65">
        <v>92.6</v>
      </c>
      <c r="D1023" s="65">
        <v>92.88</v>
      </c>
      <c r="E1023" s="65">
        <v>2407047</v>
      </c>
      <c r="F1023" s="65" t="s">
        <v>1069</v>
      </c>
      <c r="G1023" s="25">
        <f t="shared" si="14"/>
        <v>1.6042204995693421E-2</v>
      </c>
    </row>
    <row r="1024" spans="1:7">
      <c r="A1024" s="65">
        <v>93.41</v>
      </c>
      <c r="B1024" s="65">
        <v>96.25</v>
      </c>
      <c r="C1024" s="65">
        <v>93.01</v>
      </c>
      <c r="D1024" s="65">
        <v>96.09</v>
      </c>
      <c r="E1024" s="65">
        <v>2155679</v>
      </c>
      <c r="F1024" s="65" t="s">
        <v>1070</v>
      </c>
      <c r="G1024" s="25">
        <f t="shared" si="14"/>
        <v>-2.7890519304818451E-2</v>
      </c>
    </row>
    <row r="1025" spans="1:7">
      <c r="A1025" s="65">
        <v>97.39</v>
      </c>
      <c r="B1025" s="65">
        <v>98.13</v>
      </c>
      <c r="C1025" s="65">
        <v>96.37</v>
      </c>
      <c r="D1025" s="65">
        <v>97.5</v>
      </c>
      <c r="E1025" s="65">
        <v>2269599</v>
      </c>
      <c r="F1025" s="65" t="s">
        <v>1071</v>
      </c>
      <c r="G1025" s="25">
        <f t="shared" si="14"/>
        <v>-1.1282051282051064E-3</v>
      </c>
    </row>
    <row r="1026" spans="1:7">
      <c r="A1026" s="65">
        <v>95.93</v>
      </c>
      <c r="B1026" s="65">
        <v>97.91</v>
      </c>
      <c r="C1026" s="65">
        <v>95.754999999999995</v>
      </c>
      <c r="D1026" s="65">
        <v>96.85</v>
      </c>
      <c r="E1026" s="65">
        <v>2385156</v>
      </c>
      <c r="F1026" s="65" t="s">
        <v>1072</v>
      </c>
      <c r="G1026" s="25">
        <f t="shared" si="14"/>
        <v>-9.4992256066079861E-3</v>
      </c>
    </row>
    <row r="1027" spans="1:7">
      <c r="A1027" s="65">
        <v>97.55</v>
      </c>
      <c r="B1027" s="65">
        <v>98.1</v>
      </c>
      <c r="C1027" s="65">
        <v>95</v>
      </c>
      <c r="D1027" s="65">
        <v>95.1</v>
      </c>
      <c r="E1027" s="65">
        <v>2569677</v>
      </c>
      <c r="F1027" s="65" t="s">
        <v>1073</v>
      </c>
      <c r="G1027" s="25">
        <f t="shared" si="14"/>
        <v>2.5762355415352323E-2</v>
      </c>
    </row>
    <row r="1028" spans="1:7">
      <c r="A1028" s="65">
        <v>93.44</v>
      </c>
      <c r="B1028" s="65">
        <v>94.5989</v>
      </c>
      <c r="C1028" s="65">
        <v>91.52</v>
      </c>
      <c r="D1028" s="65">
        <v>92</v>
      </c>
      <c r="E1028" s="65">
        <v>3753940</v>
      </c>
      <c r="F1028" s="65" t="s">
        <v>1074</v>
      </c>
      <c r="G1028" s="25">
        <f t="shared" si="14"/>
        <v>1.5652173913043521E-2</v>
      </c>
    </row>
    <row r="1029" spans="1:7">
      <c r="A1029" s="65">
        <v>93.27</v>
      </c>
      <c r="B1029" s="65">
        <v>96.85</v>
      </c>
      <c r="C1029" s="65">
        <v>92.96</v>
      </c>
      <c r="D1029" s="65">
        <v>94.54</v>
      </c>
      <c r="E1029" s="65">
        <v>3435084</v>
      </c>
      <c r="F1029" s="65" t="s">
        <v>1075</v>
      </c>
      <c r="G1029" s="25">
        <f t="shared" si="14"/>
        <v>-1.3433467315422165E-2</v>
      </c>
    </row>
    <row r="1030" spans="1:7">
      <c r="A1030" s="65">
        <v>94.83</v>
      </c>
      <c r="B1030" s="65">
        <v>97.37</v>
      </c>
      <c r="C1030" s="65">
        <v>92.79</v>
      </c>
      <c r="D1030" s="65">
        <v>96.2</v>
      </c>
      <c r="E1030" s="65">
        <v>3035791</v>
      </c>
      <c r="F1030" s="65" t="s">
        <v>1076</v>
      </c>
      <c r="G1030" s="25">
        <f t="shared" si="14"/>
        <v>-1.4241164241164284E-2</v>
      </c>
    </row>
    <row r="1031" spans="1:7">
      <c r="A1031" s="65">
        <v>94.69</v>
      </c>
      <c r="B1031" s="65">
        <v>99.01</v>
      </c>
      <c r="C1031" s="65">
        <v>93.86</v>
      </c>
      <c r="D1031" s="65">
        <v>98.71</v>
      </c>
      <c r="E1031" s="65">
        <v>4042731</v>
      </c>
      <c r="F1031" s="65" t="s">
        <v>1077</v>
      </c>
      <c r="G1031" s="25">
        <f t="shared" si="14"/>
        <v>-4.072535710667613E-2</v>
      </c>
    </row>
    <row r="1032" spans="1:7">
      <c r="A1032" s="65">
        <v>100.52</v>
      </c>
      <c r="B1032" s="65">
        <v>102.81</v>
      </c>
      <c r="C1032" s="65">
        <v>99.5</v>
      </c>
      <c r="D1032" s="65">
        <v>102.41</v>
      </c>
      <c r="E1032" s="65">
        <v>4024240</v>
      </c>
      <c r="F1032" s="65" t="s">
        <v>1078</v>
      </c>
      <c r="G1032" s="25">
        <f t="shared" si="14"/>
        <v>-1.8455228981544725E-2</v>
      </c>
    </row>
    <row r="1033" spans="1:7">
      <c r="A1033" s="65">
        <v>103.36</v>
      </c>
      <c r="B1033" s="65">
        <v>108.68989999999999</v>
      </c>
      <c r="C1033" s="65">
        <v>102.09</v>
      </c>
      <c r="D1033" s="65">
        <v>107.89</v>
      </c>
      <c r="E1033" s="65">
        <v>2718102</v>
      </c>
      <c r="F1033" s="65" t="s">
        <v>1079</v>
      </c>
      <c r="G1033" s="25">
        <f t="shared" si="14"/>
        <v>-4.1987209194550013E-2</v>
      </c>
    </row>
    <row r="1034" spans="1:7">
      <c r="A1034" s="65">
        <v>108.65</v>
      </c>
      <c r="B1034" s="65">
        <v>109.185</v>
      </c>
      <c r="C1034" s="65">
        <v>103.62</v>
      </c>
      <c r="D1034" s="65">
        <v>105.91</v>
      </c>
      <c r="E1034" s="65">
        <v>3081261</v>
      </c>
      <c r="F1034" s="65" t="s">
        <v>1080</v>
      </c>
      <c r="G1034" s="25">
        <f t="shared" si="14"/>
        <v>2.5871022566329893E-2</v>
      </c>
    </row>
    <row r="1035" spans="1:7">
      <c r="A1035" s="65">
        <v>105.93</v>
      </c>
      <c r="B1035" s="65">
        <v>106.78</v>
      </c>
      <c r="C1035" s="65">
        <v>105.13339999999999</v>
      </c>
      <c r="D1035" s="65">
        <v>105.58</v>
      </c>
      <c r="E1035" s="65">
        <v>3027443</v>
      </c>
      <c r="F1035" s="65" t="s">
        <v>1081</v>
      </c>
      <c r="G1035" s="25">
        <f t="shared" si="14"/>
        <v>3.3150217844288843E-3</v>
      </c>
    </row>
    <row r="1036" spans="1:7">
      <c r="A1036" s="65">
        <v>104.83</v>
      </c>
      <c r="B1036" s="65">
        <v>106.78</v>
      </c>
      <c r="C1036" s="65">
        <v>102.56</v>
      </c>
      <c r="D1036" s="65">
        <v>105.72</v>
      </c>
      <c r="E1036" s="65">
        <v>3635103</v>
      </c>
      <c r="F1036" s="65" t="s">
        <v>1082</v>
      </c>
      <c r="G1036" s="25">
        <f t="shared" si="14"/>
        <v>-8.4184638668179934E-3</v>
      </c>
    </row>
    <row r="1037" spans="1:7">
      <c r="A1037" s="65">
        <v>105.78</v>
      </c>
      <c r="B1037" s="65">
        <v>110.095</v>
      </c>
      <c r="C1037" s="65">
        <v>105.39</v>
      </c>
      <c r="D1037" s="65">
        <v>108.67</v>
      </c>
      <c r="E1037" s="65">
        <v>3274934</v>
      </c>
      <c r="F1037" s="65" t="s">
        <v>1083</v>
      </c>
      <c r="G1037" s="25">
        <f t="shared" si="14"/>
        <v>-2.6594276249194859E-2</v>
      </c>
    </row>
    <row r="1038" spans="1:7">
      <c r="A1038" s="65">
        <v>109.77</v>
      </c>
      <c r="B1038" s="65">
        <v>110.79</v>
      </c>
      <c r="C1038" s="65">
        <v>107.2</v>
      </c>
      <c r="D1038" s="65">
        <v>110.16</v>
      </c>
      <c r="E1038" s="65">
        <v>3281485</v>
      </c>
      <c r="F1038" s="65" t="s">
        <v>1084</v>
      </c>
      <c r="G1038" s="25">
        <f t="shared" si="14"/>
        <v>-3.5403050108931966E-3</v>
      </c>
    </row>
    <row r="1039" spans="1:7">
      <c r="A1039" s="65">
        <v>109.8</v>
      </c>
      <c r="B1039" s="65">
        <v>115.69</v>
      </c>
      <c r="C1039" s="65">
        <v>109.67</v>
      </c>
      <c r="D1039" s="65">
        <v>114</v>
      </c>
      <c r="E1039" s="65">
        <v>6463078</v>
      </c>
      <c r="F1039" s="65" t="s">
        <v>1085</v>
      </c>
      <c r="G1039" s="25">
        <f t="shared" si="14"/>
        <v>-3.6842105263157898E-2</v>
      </c>
    </row>
    <row r="1040" spans="1:7">
      <c r="A1040" s="65">
        <v>116.27</v>
      </c>
      <c r="B1040" s="65">
        <v>119.89</v>
      </c>
      <c r="C1040" s="65">
        <v>116.01</v>
      </c>
      <c r="D1040" s="65">
        <v>118.67</v>
      </c>
      <c r="E1040" s="65">
        <v>3479170</v>
      </c>
      <c r="F1040" s="65" t="s">
        <v>1086</v>
      </c>
      <c r="G1040" s="25">
        <f t="shared" si="14"/>
        <v>-2.0224151006994262E-2</v>
      </c>
    </row>
    <row r="1041" spans="1:7">
      <c r="A1041" s="65">
        <v>119.8</v>
      </c>
      <c r="B1041" s="65">
        <v>119.9</v>
      </c>
      <c r="C1041" s="65">
        <v>116.64</v>
      </c>
      <c r="D1041" s="65">
        <v>118</v>
      </c>
      <c r="E1041" s="65">
        <v>2830299</v>
      </c>
      <c r="F1041" s="65" t="s">
        <v>1087</v>
      </c>
      <c r="G1041" s="25">
        <f t="shared" si="14"/>
        <v>1.5254237288135464E-2</v>
      </c>
    </row>
    <row r="1042" spans="1:7">
      <c r="A1042" s="65">
        <v>118.38</v>
      </c>
      <c r="B1042" s="65">
        <v>124.19</v>
      </c>
      <c r="C1042" s="65">
        <v>118.08</v>
      </c>
      <c r="D1042" s="65">
        <v>124.01</v>
      </c>
      <c r="E1042" s="65">
        <v>3237067</v>
      </c>
      <c r="F1042" s="65" t="s">
        <v>1088</v>
      </c>
      <c r="G1042" s="25">
        <f t="shared" si="14"/>
        <v>-4.5399564551245941E-2</v>
      </c>
    </row>
    <row r="1043" spans="1:7">
      <c r="A1043" s="65">
        <v>125.61</v>
      </c>
      <c r="B1043" s="65">
        <v>131.1</v>
      </c>
      <c r="C1043" s="65">
        <v>125.44</v>
      </c>
      <c r="D1043" s="65">
        <v>129.07</v>
      </c>
      <c r="E1043" s="65">
        <v>3814427</v>
      </c>
      <c r="F1043" s="65" t="s">
        <v>1089</v>
      </c>
      <c r="G1043" s="25">
        <f t="shared" si="14"/>
        <v>-2.6807158906019923E-2</v>
      </c>
    </row>
    <row r="1044" spans="1:7">
      <c r="A1044" s="65">
        <v>128.27000000000001</v>
      </c>
      <c r="B1044" s="65">
        <v>129.33000000000001</v>
      </c>
      <c r="C1044" s="65">
        <v>124.715</v>
      </c>
      <c r="D1044" s="65">
        <v>125.08499999999999</v>
      </c>
      <c r="E1044" s="65">
        <v>3256727</v>
      </c>
      <c r="F1044" s="65" t="s">
        <v>1090</v>
      </c>
      <c r="G1044" s="25">
        <f t="shared" si="14"/>
        <v>2.5462685373945915E-2</v>
      </c>
    </row>
    <row r="1045" spans="1:7">
      <c r="A1045" s="65">
        <v>124.52</v>
      </c>
      <c r="B1045" s="65">
        <v>124.93</v>
      </c>
      <c r="C1045" s="65">
        <v>119.43</v>
      </c>
      <c r="D1045" s="65">
        <v>119.43</v>
      </c>
      <c r="E1045" s="65">
        <v>3020638</v>
      </c>
      <c r="F1045" s="65" t="s">
        <v>1091</v>
      </c>
      <c r="G1045" s="25">
        <f t="shared" si="14"/>
        <v>4.2619107426944636E-2</v>
      </c>
    </row>
    <row r="1046" spans="1:7">
      <c r="A1046" s="65">
        <v>119.28</v>
      </c>
      <c r="B1046" s="65">
        <v>120.73</v>
      </c>
      <c r="C1046" s="65">
        <v>118.565</v>
      </c>
      <c r="D1046" s="65">
        <v>119.93</v>
      </c>
      <c r="E1046" s="65">
        <v>1541205</v>
      </c>
      <c r="F1046" s="65" t="s">
        <v>1092</v>
      </c>
      <c r="G1046" s="25">
        <f t="shared" si="14"/>
        <v>-5.4198282331360259E-3</v>
      </c>
    </row>
    <row r="1047" spans="1:7">
      <c r="A1047" s="65">
        <v>120.02</v>
      </c>
      <c r="B1047" s="65">
        <v>122.5</v>
      </c>
      <c r="C1047" s="65">
        <v>119.59</v>
      </c>
      <c r="D1047" s="65">
        <v>122.28</v>
      </c>
      <c r="E1047" s="65">
        <v>2361310</v>
      </c>
      <c r="F1047" s="65" t="s">
        <v>1093</v>
      </c>
      <c r="G1047" s="25">
        <f t="shared" si="14"/>
        <v>-1.8482172064115177E-2</v>
      </c>
    </row>
    <row r="1048" spans="1:7">
      <c r="A1048" s="65">
        <v>121.91</v>
      </c>
      <c r="B1048" s="65">
        <v>122.32</v>
      </c>
      <c r="C1048" s="65">
        <v>119.91</v>
      </c>
      <c r="D1048" s="65">
        <v>121.33</v>
      </c>
      <c r="E1048" s="65">
        <v>1674074</v>
      </c>
      <c r="F1048" s="65" t="s">
        <v>1094</v>
      </c>
      <c r="G1048" s="25">
        <f t="shared" si="14"/>
        <v>4.7803511085469097E-3</v>
      </c>
    </row>
    <row r="1049" spans="1:7">
      <c r="A1049" s="65">
        <v>120.84</v>
      </c>
      <c r="B1049" s="65">
        <v>123.985</v>
      </c>
      <c r="C1049" s="65">
        <v>120.06</v>
      </c>
      <c r="D1049" s="65">
        <v>122.29</v>
      </c>
      <c r="E1049" s="65">
        <v>1970337</v>
      </c>
      <c r="F1049" s="65" t="s">
        <v>1095</v>
      </c>
      <c r="G1049" s="25">
        <f t="shared" si="14"/>
        <v>-1.1857061084307841E-2</v>
      </c>
    </row>
    <row r="1050" spans="1:7">
      <c r="A1050" s="65">
        <v>121.5</v>
      </c>
      <c r="B1050" s="65">
        <v>123.4</v>
      </c>
      <c r="C1050" s="65">
        <v>119.74</v>
      </c>
      <c r="D1050" s="65">
        <v>122.96</v>
      </c>
      <c r="E1050" s="65">
        <v>2501132</v>
      </c>
      <c r="F1050" s="65" t="s">
        <v>1096</v>
      </c>
      <c r="G1050" s="25">
        <f t="shared" si="14"/>
        <v>-1.1873780091086528E-2</v>
      </c>
    </row>
    <row r="1051" spans="1:7">
      <c r="A1051" s="65">
        <v>123.92</v>
      </c>
      <c r="B1051" s="65">
        <v>125.11</v>
      </c>
      <c r="C1051" s="65">
        <v>122.36</v>
      </c>
      <c r="D1051" s="65">
        <v>123.07</v>
      </c>
      <c r="E1051" s="65">
        <v>2829463</v>
      </c>
      <c r="F1051" s="65" t="s">
        <v>1097</v>
      </c>
      <c r="G1051" s="25">
        <f t="shared" si="14"/>
        <v>6.9066384984155516E-3</v>
      </c>
    </row>
    <row r="1052" spans="1:7">
      <c r="A1052" s="65">
        <v>123.74</v>
      </c>
      <c r="B1052" s="65">
        <v>124.3</v>
      </c>
      <c r="C1052" s="65">
        <v>119.66500000000001</v>
      </c>
      <c r="D1052" s="65">
        <v>120.3</v>
      </c>
      <c r="E1052" s="65">
        <v>2981232</v>
      </c>
      <c r="F1052" s="65" t="s">
        <v>1098</v>
      </c>
      <c r="G1052" s="25">
        <f t="shared" si="14"/>
        <v>2.8595178719867054E-2</v>
      </c>
    </row>
    <row r="1053" spans="1:7">
      <c r="A1053" s="65">
        <v>120.36</v>
      </c>
      <c r="B1053" s="65">
        <v>120.69</v>
      </c>
      <c r="C1053" s="65">
        <v>117.15</v>
      </c>
      <c r="D1053" s="65">
        <v>119.31</v>
      </c>
      <c r="E1053" s="65">
        <v>2049203</v>
      </c>
      <c r="F1053" s="65" t="s">
        <v>1099</v>
      </c>
      <c r="G1053" s="25">
        <f t="shared" si="14"/>
        <v>8.8006034699521507E-3</v>
      </c>
    </row>
    <row r="1054" spans="1:7">
      <c r="A1054" s="65">
        <v>120.22</v>
      </c>
      <c r="B1054" s="65">
        <v>122.32</v>
      </c>
      <c r="C1054" s="65">
        <v>119.56</v>
      </c>
      <c r="D1054" s="65">
        <v>120.09</v>
      </c>
      <c r="E1054" s="65">
        <v>2225959</v>
      </c>
      <c r="F1054" s="65" t="s">
        <v>1100</v>
      </c>
      <c r="G1054" s="25">
        <f t="shared" si="14"/>
        <v>1.0825214422516272E-3</v>
      </c>
    </row>
    <row r="1055" spans="1:7">
      <c r="A1055" s="65">
        <v>120.28</v>
      </c>
      <c r="B1055" s="65">
        <v>123.2</v>
      </c>
      <c r="C1055" s="65">
        <v>118.84</v>
      </c>
      <c r="D1055" s="65">
        <v>122.2</v>
      </c>
      <c r="E1055" s="65">
        <v>2310366</v>
      </c>
      <c r="F1055" s="65" t="s">
        <v>1101</v>
      </c>
      <c r="G1055" s="25">
        <f t="shared" si="14"/>
        <v>-1.5711947626841249E-2</v>
      </c>
    </row>
    <row r="1056" spans="1:7">
      <c r="A1056" s="65">
        <v>123.07</v>
      </c>
      <c r="B1056" s="65">
        <v>123.57</v>
      </c>
      <c r="C1056" s="65">
        <v>118.75</v>
      </c>
      <c r="D1056" s="65">
        <v>119.5</v>
      </c>
      <c r="E1056" s="65">
        <v>4770538</v>
      </c>
      <c r="F1056" s="65" t="s">
        <v>1102</v>
      </c>
      <c r="G1056" s="25">
        <f t="shared" si="14"/>
        <v>2.9874476987447718E-2</v>
      </c>
    </row>
    <row r="1057" spans="1:7">
      <c r="A1057" s="65">
        <v>117.72</v>
      </c>
      <c r="B1057" s="65">
        <v>120.43</v>
      </c>
      <c r="C1057" s="65">
        <v>117.3</v>
      </c>
      <c r="D1057" s="65">
        <v>118</v>
      </c>
      <c r="E1057" s="65">
        <v>3721683</v>
      </c>
      <c r="F1057" s="65" t="s">
        <v>1103</v>
      </c>
      <c r="G1057" s="25">
        <f t="shared" si="14"/>
        <v>-2.372881355932166E-3</v>
      </c>
    </row>
    <row r="1058" spans="1:7">
      <c r="A1058" s="65">
        <v>117.09</v>
      </c>
      <c r="B1058" s="65">
        <v>118.42</v>
      </c>
      <c r="C1058" s="65">
        <v>116.0501</v>
      </c>
      <c r="D1058" s="65">
        <v>116.45</v>
      </c>
      <c r="E1058" s="65">
        <v>2099084</v>
      </c>
      <c r="F1058" s="65" t="s">
        <v>1104</v>
      </c>
      <c r="G1058" s="25">
        <f t="shared" si="14"/>
        <v>5.4959209961356059E-3</v>
      </c>
    </row>
    <row r="1059" spans="1:7">
      <c r="A1059" s="65">
        <v>116.75</v>
      </c>
      <c r="B1059" s="65">
        <v>116.8</v>
      </c>
      <c r="C1059" s="65">
        <v>114.94</v>
      </c>
      <c r="D1059" s="65">
        <v>115.31</v>
      </c>
      <c r="E1059" s="65">
        <v>2249259</v>
      </c>
      <c r="F1059" s="65" t="s">
        <v>1105</v>
      </c>
      <c r="G1059" s="25">
        <f t="shared" si="14"/>
        <v>1.2488075622235639E-2</v>
      </c>
    </row>
    <row r="1060" spans="1:7">
      <c r="A1060" s="65">
        <v>114.13</v>
      </c>
      <c r="B1060" s="65">
        <v>114.16</v>
      </c>
      <c r="C1060" s="65">
        <v>111.5</v>
      </c>
      <c r="D1060" s="65">
        <v>112.49</v>
      </c>
      <c r="E1060" s="65">
        <v>1926691</v>
      </c>
      <c r="F1060" s="65" t="s">
        <v>1106</v>
      </c>
      <c r="G1060" s="25">
        <f t="shared" si="14"/>
        <v>1.4579073695439648E-2</v>
      </c>
    </row>
    <row r="1061" spans="1:7">
      <c r="A1061" s="65">
        <v>112.37</v>
      </c>
      <c r="B1061" s="65">
        <v>112.45</v>
      </c>
      <c r="C1061" s="65">
        <v>109.83</v>
      </c>
      <c r="D1061" s="65">
        <v>110.31</v>
      </c>
      <c r="E1061" s="65">
        <v>1689901</v>
      </c>
      <c r="F1061" s="65" t="s">
        <v>1107</v>
      </c>
      <c r="G1061" s="25">
        <f t="shared" si="14"/>
        <v>1.8674644184570877E-2</v>
      </c>
    </row>
    <row r="1062" spans="1:7">
      <c r="A1062" s="65">
        <v>109.46</v>
      </c>
      <c r="B1062" s="65">
        <v>109.5</v>
      </c>
      <c r="C1062" s="65">
        <v>107.17</v>
      </c>
      <c r="D1062" s="65">
        <v>108.52</v>
      </c>
      <c r="E1062" s="65">
        <v>1833010</v>
      </c>
      <c r="F1062" s="65" t="s">
        <v>1108</v>
      </c>
      <c r="G1062" s="25">
        <f t="shared" si="14"/>
        <v>8.6619977884261345E-3</v>
      </c>
    </row>
    <row r="1063" spans="1:7">
      <c r="A1063" s="65">
        <v>107.2</v>
      </c>
      <c r="B1063" s="65">
        <v>111.6</v>
      </c>
      <c r="C1063" s="65">
        <v>106.78</v>
      </c>
      <c r="D1063" s="65">
        <v>110.39</v>
      </c>
      <c r="E1063" s="65">
        <v>2827531</v>
      </c>
      <c r="F1063" s="65" t="s">
        <v>1109</v>
      </c>
      <c r="G1063" s="25">
        <f t="shared" si="14"/>
        <v>-2.8897545067487984E-2</v>
      </c>
    </row>
    <row r="1064" spans="1:7">
      <c r="A1064" s="65">
        <v>112.95</v>
      </c>
      <c r="B1064" s="65">
        <v>113.5</v>
      </c>
      <c r="C1064" s="65">
        <v>109.27</v>
      </c>
      <c r="D1064" s="65">
        <v>110.25</v>
      </c>
      <c r="E1064" s="65">
        <v>3011296</v>
      </c>
      <c r="F1064" s="65" t="s">
        <v>1110</v>
      </c>
      <c r="G1064" s="25">
        <f t="shared" si="14"/>
        <v>2.4489795918367419E-2</v>
      </c>
    </row>
    <row r="1065" spans="1:7">
      <c r="A1065" s="65">
        <v>111.55</v>
      </c>
      <c r="B1065" s="65">
        <v>113.41500000000001</v>
      </c>
      <c r="C1065" s="65">
        <v>110.48099999999999</v>
      </c>
      <c r="D1065" s="65">
        <v>112</v>
      </c>
      <c r="E1065" s="65">
        <v>1683160</v>
      </c>
      <c r="F1065" s="65" t="s">
        <v>1111</v>
      </c>
      <c r="G1065" s="25">
        <f t="shared" si="14"/>
        <v>-4.0178571428571841E-3</v>
      </c>
    </row>
    <row r="1066" spans="1:7">
      <c r="A1066" s="65">
        <v>112.77</v>
      </c>
      <c r="B1066" s="65">
        <v>113.23</v>
      </c>
      <c r="C1066" s="65">
        <v>111.08</v>
      </c>
      <c r="D1066" s="65">
        <v>113.01</v>
      </c>
      <c r="E1066" s="65">
        <v>3975560</v>
      </c>
      <c r="F1066" s="65" t="s">
        <v>1112</v>
      </c>
      <c r="G1066" s="25">
        <f t="shared" si="14"/>
        <v>-2.1237058667374908E-3</v>
      </c>
    </row>
    <row r="1067" spans="1:7">
      <c r="A1067" s="65">
        <v>112.54</v>
      </c>
      <c r="B1067" s="65">
        <v>112.61</v>
      </c>
      <c r="C1067" s="65">
        <v>109.05</v>
      </c>
      <c r="D1067" s="65">
        <v>109.12</v>
      </c>
      <c r="E1067" s="65">
        <v>1952128</v>
      </c>
      <c r="F1067" s="65" t="s">
        <v>1113</v>
      </c>
      <c r="G1067" s="25">
        <f t="shared" si="14"/>
        <v>3.134164222873892E-2</v>
      </c>
    </row>
    <row r="1068" spans="1:7">
      <c r="A1068" s="65">
        <v>109.79</v>
      </c>
      <c r="B1068" s="65">
        <v>109.84</v>
      </c>
      <c r="C1068" s="65">
        <v>106.62</v>
      </c>
      <c r="D1068" s="65">
        <v>108.42</v>
      </c>
      <c r="E1068" s="65">
        <v>2144564</v>
      </c>
      <c r="F1068" s="65" t="s">
        <v>1114</v>
      </c>
      <c r="G1068" s="25">
        <f t="shared" si="14"/>
        <v>1.2636045010145702E-2</v>
      </c>
    </row>
    <row r="1069" spans="1:7">
      <c r="A1069" s="65">
        <v>106.15</v>
      </c>
      <c r="B1069" s="65">
        <v>106.22</v>
      </c>
      <c r="C1069" s="65">
        <v>103.83</v>
      </c>
      <c r="D1069" s="65">
        <v>104.71</v>
      </c>
      <c r="E1069" s="65">
        <v>2251135</v>
      </c>
      <c r="F1069" s="65" t="s">
        <v>1115</v>
      </c>
      <c r="G1069" s="25">
        <f t="shared" si="14"/>
        <v>1.3752268169229476E-2</v>
      </c>
    </row>
    <row r="1070" spans="1:7">
      <c r="A1070" s="65">
        <v>102.25</v>
      </c>
      <c r="B1070" s="65">
        <v>105.15</v>
      </c>
      <c r="C1070" s="65">
        <v>100.97</v>
      </c>
      <c r="D1070" s="65">
        <v>104.21</v>
      </c>
      <c r="E1070" s="65">
        <v>2391279</v>
      </c>
      <c r="F1070" s="65" t="s">
        <v>1116</v>
      </c>
      <c r="G1070" s="25">
        <f t="shared" si="14"/>
        <v>-1.8808175798867621E-2</v>
      </c>
    </row>
    <row r="1071" spans="1:7">
      <c r="A1071" s="65">
        <v>103.45</v>
      </c>
      <c r="B1071" s="65">
        <v>106.98</v>
      </c>
      <c r="C1071" s="65">
        <v>103.4</v>
      </c>
      <c r="D1071" s="65">
        <v>106.81</v>
      </c>
      <c r="E1071" s="65">
        <v>2030440</v>
      </c>
      <c r="F1071" s="65" t="s">
        <v>1117</v>
      </c>
      <c r="G1071" s="25">
        <f t="shared" si="14"/>
        <v>-3.145772867709018E-2</v>
      </c>
    </row>
    <row r="1072" spans="1:7">
      <c r="A1072" s="65">
        <v>105.7</v>
      </c>
      <c r="B1072" s="65">
        <v>106</v>
      </c>
      <c r="C1072" s="65">
        <v>104.07</v>
      </c>
      <c r="D1072" s="65">
        <v>104.09</v>
      </c>
      <c r="E1072" s="65">
        <v>2091435</v>
      </c>
      <c r="F1072" s="65" t="s">
        <v>1118</v>
      </c>
      <c r="G1072" s="25">
        <f t="shared" si="14"/>
        <v>1.5467383994619999E-2</v>
      </c>
    </row>
    <row r="1073" spans="1:7">
      <c r="A1073" s="65">
        <v>105.91</v>
      </c>
      <c r="B1073" s="65">
        <v>106.38</v>
      </c>
      <c r="C1073" s="65">
        <v>103.23</v>
      </c>
      <c r="D1073" s="65">
        <v>104.91</v>
      </c>
      <c r="E1073" s="65">
        <v>3320789</v>
      </c>
      <c r="F1073" s="65" t="s">
        <v>1119</v>
      </c>
      <c r="G1073" s="25">
        <f t="shared" si="14"/>
        <v>9.5319797922028826E-3</v>
      </c>
    </row>
    <row r="1074" spans="1:7">
      <c r="A1074" s="65">
        <v>102</v>
      </c>
      <c r="B1074" s="65">
        <v>107.77</v>
      </c>
      <c r="C1074" s="65">
        <v>101.84</v>
      </c>
      <c r="D1074" s="65">
        <v>107.6</v>
      </c>
      <c r="E1074" s="65">
        <v>3553236</v>
      </c>
      <c r="F1074" s="65" t="s">
        <v>1120</v>
      </c>
      <c r="G1074" s="25">
        <f t="shared" si="14"/>
        <v>-5.2044609665427455E-2</v>
      </c>
    </row>
    <row r="1075" spans="1:7">
      <c r="A1075" s="65">
        <v>108.35</v>
      </c>
      <c r="B1075" s="65">
        <v>110.81</v>
      </c>
      <c r="C1075" s="65">
        <v>107.22</v>
      </c>
      <c r="D1075" s="65">
        <v>110.33</v>
      </c>
      <c r="E1075" s="65">
        <v>1887555</v>
      </c>
      <c r="F1075" s="65" t="s">
        <v>1121</v>
      </c>
      <c r="G1075" s="25">
        <f t="shared" si="14"/>
        <v>-1.7946161515453696E-2</v>
      </c>
    </row>
    <row r="1076" spans="1:7">
      <c r="A1076" s="65">
        <v>110.64</v>
      </c>
      <c r="B1076" s="65">
        <v>111.46</v>
      </c>
      <c r="C1076" s="65">
        <v>108.47</v>
      </c>
      <c r="D1076" s="65">
        <v>111.36</v>
      </c>
      <c r="E1076" s="65">
        <v>2280422</v>
      </c>
      <c r="F1076" s="65" t="s">
        <v>1122</v>
      </c>
      <c r="G1076" s="25">
        <f t="shared" si="14"/>
        <v>-6.4655172413793371E-3</v>
      </c>
    </row>
    <row r="1077" spans="1:7">
      <c r="A1077" s="65">
        <v>111.98</v>
      </c>
      <c r="B1077" s="65">
        <v>113.3999</v>
      </c>
      <c r="C1077" s="65">
        <v>110.32</v>
      </c>
      <c r="D1077" s="65">
        <v>112.31</v>
      </c>
      <c r="E1077" s="65">
        <v>2405376</v>
      </c>
      <c r="F1077" s="65" t="s">
        <v>1123</v>
      </c>
      <c r="G1077" s="25">
        <f t="shared" si="14"/>
        <v>-2.9382957884427352E-3</v>
      </c>
    </row>
    <row r="1078" spans="1:7">
      <c r="A1078" s="65">
        <v>111.38</v>
      </c>
      <c r="B1078" s="65">
        <v>112.82</v>
      </c>
      <c r="C1078" s="65">
        <v>110.83</v>
      </c>
      <c r="D1078" s="65">
        <v>112.51</v>
      </c>
      <c r="E1078" s="65">
        <v>2486513</v>
      </c>
      <c r="F1078" s="65" t="s">
        <v>1124</v>
      </c>
      <c r="G1078" s="25">
        <f t="shared" si="14"/>
        <v>-1.0043551684294827E-2</v>
      </c>
    </row>
    <row r="1079" spans="1:7">
      <c r="A1079" s="65">
        <v>111.61</v>
      </c>
      <c r="B1079" s="65">
        <v>112.97</v>
      </c>
      <c r="C1079" s="65">
        <v>110.55</v>
      </c>
      <c r="D1079" s="65">
        <v>112.35</v>
      </c>
      <c r="E1079" s="65">
        <v>2001403</v>
      </c>
      <c r="F1079" s="65" t="s">
        <v>1125</v>
      </c>
      <c r="G1079" s="25">
        <f t="shared" si="14"/>
        <v>-6.5865598575878259E-3</v>
      </c>
    </row>
    <row r="1080" spans="1:7">
      <c r="A1080" s="65">
        <v>112.37</v>
      </c>
      <c r="B1080" s="65">
        <v>113.14</v>
      </c>
      <c r="C1080" s="65">
        <v>110.29</v>
      </c>
      <c r="D1080" s="65">
        <v>111.07</v>
      </c>
      <c r="E1080" s="65">
        <v>3072364</v>
      </c>
      <c r="F1080" s="65" t="s">
        <v>1126</v>
      </c>
      <c r="G1080" s="25">
        <f t="shared" si="14"/>
        <v>1.170433060232301E-2</v>
      </c>
    </row>
    <row r="1081" spans="1:7">
      <c r="A1081" s="65">
        <v>113.03</v>
      </c>
      <c r="B1081" s="65">
        <v>113.11</v>
      </c>
      <c r="C1081" s="65">
        <v>108.545</v>
      </c>
      <c r="D1081" s="65">
        <v>109.58</v>
      </c>
      <c r="E1081" s="65">
        <v>2157273</v>
      </c>
      <c r="F1081" s="65" t="s">
        <v>1127</v>
      </c>
      <c r="G1081" s="25">
        <f t="shared" si="14"/>
        <v>3.1483847417411948E-2</v>
      </c>
    </row>
    <row r="1082" spans="1:7">
      <c r="A1082" s="65">
        <v>109.64</v>
      </c>
      <c r="B1082" s="65">
        <v>110.04</v>
      </c>
      <c r="C1082" s="65">
        <v>102.5672</v>
      </c>
      <c r="D1082" s="65">
        <v>103.26</v>
      </c>
      <c r="E1082" s="65">
        <v>3112023</v>
      </c>
      <c r="F1082" s="65" t="s">
        <v>1128</v>
      </c>
      <c r="G1082" s="25">
        <f t="shared" si="14"/>
        <v>6.1785783459229027E-2</v>
      </c>
    </row>
    <row r="1083" spans="1:7">
      <c r="A1083" s="65">
        <v>105.33</v>
      </c>
      <c r="B1083" s="65">
        <v>107.6</v>
      </c>
      <c r="C1083" s="65">
        <v>105.065</v>
      </c>
      <c r="D1083" s="65">
        <v>106.46</v>
      </c>
      <c r="E1083" s="65">
        <v>2234997</v>
      </c>
      <c r="F1083" s="65" t="s">
        <v>1129</v>
      </c>
      <c r="G1083" s="25">
        <f t="shared" si="14"/>
        <v>-1.0614315235769278E-2</v>
      </c>
    </row>
    <row r="1084" spans="1:7">
      <c r="A1084" s="65">
        <v>105.94</v>
      </c>
      <c r="B1084" s="65">
        <v>107.27</v>
      </c>
      <c r="C1084" s="65">
        <v>104.81</v>
      </c>
      <c r="D1084" s="65">
        <v>104.99</v>
      </c>
      <c r="E1084" s="65">
        <v>2074630</v>
      </c>
      <c r="F1084" s="65" t="s">
        <v>1130</v>
      </c>
      <c r="G1084" s="25">
        <f t="shared" ref="G1084:G1147" si="15">A1084/D1084-1</f>
        <v>9.0484808076960466E-3</v>
      </c>
    </row>
    <row r="1085" spans="1:7">
      <c r="A1085" s="65">
        <v>105.62</v>
      </c>
      <c r="B1085" s="65">
        <v>107.27</v>
      </c>
      <c r="C1085" s="65">
        <v>104.91</v>
      </c>
      <c r="D1085" s="65">
        <v>106.66</v>
      </c>
      <c r="E1085" s="65">
        <v>2525648</v>
      </c>
      <c r="F1085" s="65" t="s">
        <v>1131</v>
      </c>
      <c r="G1085" s="25">
        <f t="shared" si="15"/>
        <v>-9.7506094130882515E-3</v>
      </c>
    </row>
    <row r="1086" spans="1:7">
      <c r="A1086" s="65">
        <v>106.88</v>
      </c>
      <c r="B1086" s="65">
        <v>109.8</v>
      </c>
      <c r="C1086" s="65">
        <v>106.7</v>
      </c>
      <c r="D1086" s="65">
        <v>109.64</v>
      </c>
      <c r="E1086" s="65">
        <v>2268959</v>
      </c>
      <c r="F1086" s="65" t="s">
        <v>1132</v>
      </c>
      <c r="G1086" s="25">
        <f t="shared" si="15"/>
        <v>-2.5173294418095682E-2</v>
      </c>
    </row>
    <row r="1087" spans="1:7">
      <c r="A1087" s="65">
        <v>110.66</v>
      </c>
      <c r="B1087" s="65">
        <v>111.11</v>
      </c>
      <c r="C1087" s="65">
        <v>108.5</v>
      </c>
      <c r="D1087" s="65">
        <v>110.21</v>
      </c>
      <c r="E1087" s="65">
        <v>2823742</v>
      </c>
      <c r="F1087" s="65" t="s">
        <v>1133</v>
      </c>
      <c r="G1087" s="25">
        <f t="shared" si="15"/>
        <v>4.083114054985959E-3</v>
      </c>
    </row>
    <row r="1088" spans="1:7">
      <c r="A1088" s="65">
        <v>110.93</v>
      </c>
      <c r="B1088" s="65">
        <v>110.97</v>
      </c>
      <c r="C1088" s="65">
        <v>108.55</v>
      </c>
      <c r="D1088" s="65">
        <v>108.55</v>
      </c>
      <c r="E1088" s="65">
        <v>3034699</v>
      </c>
      <c r="F1088" s="65" t="s">
        <v>1134</v>
      </c>
      <c r="G1088" s="25">
        <f t="shared" si="15"/>
        <v>2.1925380009212514E-2</v>
      </c>
    </row>
    <row r="1089" spans="1:7">
      <c r="A1089" s="65">
        <v>107.73</v>
      </c>
      <c r="B1089" s="65">
        <v>109.48</v>
      </c>
      <c r="C1089" s="65">
        <v>106.42</v>
      </c>
      <c r="D1089" s="65">
        <v>108.34</v>
      </c>
      <c r="E1089" s="65">
        <v>2405130</v>
      </c>
      <c r="F1089" s="65" t="s">
        <v>1135</v>
      </c>
      <c r="G1089" s="25">
        <f t="shared" si="15"/>
        <v>-5.6304227432157905E-3</v>
      </c>
    </row>
    <row r="1090" spans="1:7">
      <c r="A1090" s="65">
        <v>109</v>
      </c>
      <c r="B1090" s="65">
        <v>112</v>
      </c>
      <c r="C1090" s="65">
        <v>108.82</v>
      </c>
      <c r="D1090" s="65">
        <v>110.8</v>
      </c>
      <c r="E1090" s="65">
        <v>2797335</v>
      </c>
      <c r="F1090" s="65" t="s">
        <v>1136</v>
      </c>
      <c r="G1090" s="25">
        <f t="shared" si="15"/>
        <v>-1.6245487364620947E-2</v>
      </c>
    </row>
    <row r="1091" spans="1:7">
      <c r="A1091" s="65">
        <v>110.64</v>
      </c>
      <c r="B1091" s="65">
        <v>112.77</v>
      </c>
      <c r="C1091" s="65">
        <v>110.06</v>
      </c>
      <c r="D1091" s="65">
        <v>110.16</v>
      </c>
      <c r="E1091" s="65">
        <v>2338200</v>
      </c>
      <c r="F1091" s="65" t="s">
        <v>1137</v>
      </c>
      <c r="G1091" s="25">
        <f t="shared" si="15"/>
        <v>4.3572984749455923E-3</v>
      </c>
    </row>
    <row r="1092" spans="1:7">
      <c r="A1092" s="65">
        <v>112.59</v>
      </c>
      <c r="B1092" s="65">
        <v>114.12</v>
      </c>
      <c r="C1092" s="65">
        <v>111.96</v>
      </c>
      <c r="D1092" s="65">
        <v>113.04</v>
      </c>
      <c r="E1092" s="65">
        <v>3025622</v>
      </c>
      <c r="F1092" s="65" t="s">
        <v>1138</v>
      </c>
      <c r="G1092" s="25">
        <f t="shared" si="15"/>
        <v>-3.9808917197452498E-3</v>
      </c>
    </row>
    <row r="1093" spans="1:7">
      <c r="A1093" s="65">
        <v>111.42</v>
      </c>
      <c r="B1093" s="65">
        <v>111.81</v>
      </c>
      <c r="C1093" s="65">
        <v>108.83</v>
      </c>
      <c r="D1093" s="65">
        <v>110.35</v>
      </c>
      <c r="E1093" s="65">
        <v>3798255</v>
      </c>
      <c r="F1093" s="65" t="s">
        <v>1139</v>
      </c>
      <c r="G1093" s="25">
        <f t="shared" si="15"/>
        <v>9.6964204802900689E-3</v>
      </c>
    </row>
    <row r="1094" spans="1:7">
      <c r="A1094" s="65">
        <v>111.13</v>
      </c>
      <c r="B1094" s="65">
        <v>113.34</v>
      </c>
      <c r="C1094" s="65">
        <v>110.61</v>
      </c>
      <c r="D1094" s="65">
        <v>111.6</v>
      </c>
      <c r="E1094" s="65">
        <v>1833489</v>
      </c>
      <c r="F1094" s="65" t="s">
        <v>1140</v>
      </c>
      <c r="G1094" s="25">
        <f t="shared" si="15"/>
        <v>-4.2114695340501607E-3</v>
      </c>
    </row>
    <row r="1095" spans="1:7">
      <c r="A1095" s="65">
        <v>112.18</v>
      </c>
      <c r="B1095" s="65">
        <v>113.21</v>
      </c>
      <c r="C1095" s="65">
        <v>110.26</v>
      </c>
      <c r="D1095" s="65">
        <v>110.6</v>
      </c>
      <c r="E1095" s="65">
        <v>2303684</v>
      </c>
      <c r="F1095" s="65" t="s">
        <v>1141</v>
      </c>
      <c r="G1095" s="25">
        <f t="shared" si="15"/>
        <v>1.4285714285714457E-2</v>
      </c>
    </row>
    <row r="1096" spans="1:7">
      <c r="A1096" s="65">
        <v>111.59</v>
      </c>
      <c r="B1096" s="65">
        <v>113.905</v>
      </c>
      <c r="C1096" s="65">
        <v>110.59</v>
      </c>
      <c r="D1096" s="65">
        <v>110.8</v>
      </c>
      <c r="E1096" s="65">
        <v>2655347</v>
      </c>
      <c r="F1096" s="65" t="s">
        <v>1142</v>
      </c>
      <c r="G1096" s="25">
        <f t="shared" si="15"/>
        <v>7.1299638989170688E-3</v>
      </c>
    </row>
    <row r="1097" spans="1:7">
      <c r="A1097" s="65">
        <v>112.84</v>
      </c>
      <c r="B1097" s="65">
        <v>112.99</v>
      </c>
      <c r="C1097" s="65">
        <v>109.77</v>
      </c>
      <c r="D1097" s="65">
        <v>111.79</v>
      </c>
      <c r="E1097" s="65">
        <v>3385437</v>
      </c>
      <c r="F1097" s="65" t="s">
        <v>1143</v>
      </c>
      <c r="G1097" s="25">
        <f t="shared" si="15"/>
        <v>9.3926111458986217E-3</v>
      </c>
    </row>
    <row r="1098" spans="1:7">
      <c r="A1098" s="65">
        <v>108.37</v>
      </c>
      <c r="B1098" s="65">
        <v>110.54</v>
      </c>
      <c r="C1098" s="65">
        <v>107.02</v>
      </c>
      <c r="D1098" s="65">
        <v>109.59</v>
      </c>
      <c r="E1098" s="65">
        <v>3731874</v>
      </c>
      <c r="F1098" s="65" t="s">
        <v>1144</v>
      </c>
      <c r="G1098" s="25">
        <f t="shared" si="15"/>
        <v>-1.1132402591477297E-2</v>
      </c>
    </row>
    <row r="1099" spans="1:7">
      <c r="A1099" s="65">
        <v>109.2</v>
      </c>
      <c r="B1099" s="65">
        <v>109.41</v>
      </c>
      <c r="C1099" s="65">
        <v>105</v>
      </c>
      <c r="D1099" s="65">
        <v>105.32</v>
      </c>
      <c r="E1099" s="65">
        <v>3398364</v>
      </c>
      <c r="F1099" s="65" t="s">
        <v>1145</v>
      </c>
      <c r="G1099" s="25">
        <f t="shared" si="15"/>
        <v>3.6840106342575174E-2</v>
      </c>
    </row>
    <row r="1100" spans="1:7">
      <c r="A1100" s="65">
        <v>104.87</v>
      </c>
      <c r="B1100" s="65">
        <v>105.01600000000001</v>
      </c>
      <c r="C1100" s="65">
        <v>96.39</v>
      </c>
      <c r="D1100" s="65">
        <v>102.37</v>
      </c>
      <c r="E1100" s="65">
        <v>3828612</v>
      </c>
      <c r="F1100" s="65" t="s">
        <v>1146</v>
      </c>
      <c r="G1100" s="25">
        <f t="shared" si="15"/>
        <v>2.4421217153463015E-2</v>
      </c>
    </row>
    <row r="1101" spans="1:7">
      <c r="A1101" s="65">
        <v>101.96</v>
      </c>
      <c r="B1101" s="65">
        <v>106.04</v>
      </c>
      <c r="C1101" s="65">
        <v>99.62</v>
      </c>
      <c r="D1101" s="65">
        <v>100</v>
      </c>
      <c r="E1101" s="65">
        <v>6876116</v>
      </c>
      <c r="F1101" s="65" t="s">
        <v>1147</v>
      </c>
      <c r="G1101" s="25">
        <f t="shared" si="15"/>
        <v>1.959999999999984E-2</v>
      </c>
    </row>
    <row r="1102" spans="1:7">
      <c r="A1102" s="65">
        <v>108.63</v>
      </c>
      <c r="B1102" s="65">
        <v>112.16</v>
      </c>
      <c r="C1102" s="65">
        <v>107.36499999999999</v>
      </c>
      <c r="D1102" s="65">
        <v>111.05</v>
      </c>
      <c r="E1102" s="65">
        <v>3144291</v>
      </c>
      <c r="F1102" s="65" t="s">
        <v>1148</v>
      </c>
      <c r="G1102" s="25">
        <f t="shared" si="15"/>
        <v>-2.1791985592075624E-2</v>
      </c>
    </row>
    <row r="1103" spans="1:7">
      <c r="A1103" s="65">
        <v>109.49</v>
      </c>
      <c r="B1103" s="65">
        <v>111.12</v>
      </c>
      <c r="C1103" s="65">
        <v>106.53</v>
      </c>
      <c r="D1103" s="65">
        <v>107.94</v>
      </c>
      <c r="E1103" s="65">
        <v>3211920</v>
      </c>
      <c r="F1103" s="65" t="s">
        <v>1149</v>
      </c>
      <c r="G1103" s="25">
        <f t="shared" si="15"/>
        <v>1.435982953492676E-2</v>
      </c>
    </row>
    <row r="1104" spans="1:7">
      <c r="A1104" s="65">
        <v>110.6</v>
      </c>
      <c r="B1104" s="65">
        <v>110.75</v>
      </c>
      <c r="C1104" s="65">
        <v>105.14</v>
      </c>
      <c r="D1104" s="65">
        <v>110.3</v>
      </c>
      <c r="E1104" s="65">
        <v>4692008</v>
      </c>
      <c r="F1104" s="65" t="s">
        <v>1150</v>
      </c>
      <c r="G1104" s="25">
        <f t="shared" si="15"/>
        <v>2.7198549410698547E-3</v>
      </c>
    </row>
    <row r="1105" spans="1:7">
      <c r="A1105" s="65">
        <v>112.65</v>
      </c>
      <c r="B1105" s="65">
        <v>115.55</v>
      </c>
      <c r="C1105" s="65">
        <v>112.23</v>
      </c>
      <c r="D1105" s="65">
        <v>115.52</v>
      </c>
      <c r="E1105" s="65">
        <v>3145014</v>
      </c>
      <c r="F1105" s="65" t="s">
        <v>1151</v>
      </c>
      <c r="G1105" s="25">
        <f t="shared" si="15"/>
        <v>-2.4844182825484729E-2</v>
      </c>
    </row>
    <row r="1106" spans="1:7">
      <c r="A1106" s="65">
        <v>115.56</v>
      </c>
      <c r="B1106" s="65">
        <v>119.56</v>
      </c>
      <c r="C1106" s="65">
        <v>115.34</v>
      </c>
      <c r="D1106" s="65">
        <v>117.2</v>
      </c>
      <c r="E1106" s="65">
        <v>1825531</v>
      </c>
      <c r="F1106" s="65" t="s">
        <v>1152</v>
      </c>
      <c r="G1106" s="25">
        <f t="shared" si="15"/>
        <v>-1.3993174061433411E-2</v>
      </c>
    </row>
    <row r="1107" spans="1:7">
      <c r="A1107" s="65">
        <v>116.16</v>
      </c>
      <c r="B1107" s="65">
        <v>118.145</v>
      </c>
      <c r="C1107" s="65">
        <v>115.965</v>
      </c>
      <c r="D1107" s="65">
        <v>116.25</v>
      </c>
      <c r="E1107" s="65">
        <v>2245358</v>
      </c>
      <c r="F1107" s="65" t="s">
        <v>1153</v>
      </c>
      <c r="G1107" s="25">
        <f t="shared" si="15"/>
        <v>-7.741935483871476E-4</v>
      </c>
    </row>
    <row r="1108" spans="1:7">
      <c r="A1108" s="65">
        <v>115.83</v>
      </c>
      <c r="B1108" s="65">
        <v>116.52</v>
      </c>
      <c r="C1108" s="65">
        <v>114.17</v>
      </c>
      <c r="D1108" s="65">
        <v>115</v>
      </c>
      <c r="E1108" s="65">
        <v>2601388</v>
      </c>
      <c r="F1108" s="65" t="s">
        <v>1154</v>
      </c>
      <c r="G1108" s="25">
        <f t="shared" si="15"/>
        <v>7.2173913043478422E-3</v>
      </c>
    </row>
    <row r="1109" spans="1:7">
      <c r="A1109" s="65">
        <v>118.26</v>
      </c>
      <c r="B1109" s="65">
        <v>120.21</v>
      </c>
      <c r="C1109" s="65">
        <v>116.7</v>
      </c>
      <c r="D1109" s="65">
        <v>119.44</v>
      </c>
      <c r="E1109" s="65">
        <v>2112802</v>
      </c>
      <c r="F1109" s="65" t="s">
        <v>1155</v>
      </c>
      <c r="G1109" s="25">
        <f t="shared" si="15"/>
        <v>-9.8794373744138797E-3</v>
      </c>
    </row>
    <row r="1110" spans="1:7">
      <c r="A1110" s="65">
        <v>120.46</v>
      </c>
      <c r="B1110" s="65">
        <v>122.9</v>
      </c>
      <c r="C1110" s="65">
        <v>120.05</v>
      </c>
      <c r="D1110" s="65">
        <v>122.57</v>
      </c>
      <c r="E1110" s="65">
        <v>1695996</v>
      </c>
      <c r="F1110" s="65" t="s">
        <v>1156</v>
      </c>
      <c r="G1110" s="25">
        <f t="shared" si="15"/>
        <v>-1.7214652851431866E-2</v>
      </c>
    </row>
    <row r="1111" spans="1:7">
      <c r="A1111" s="65">
        <v>122.26</v>
      </c>
      <c r="B1111" s="65">
        <v>123.77</v>
      </c>
      <c r="C1111" s="65">
        <v>121.19</v>
      </c>
      <c r="D1111" s="65">
        <v>121.19</v>
      </c>
      <c r="E1111" s="65">
        <v>2006967</v>
      </c>
      <c r="F1111" s="65" t="s">
        <v>1157</v>
      </c>
      <c r="G1111" s="25">
        <f t="shared" si="15"/>
        <v>8.8291113128147192E-3</v>
      </c>
    </row>
    <row r="1112" spans="1:7">
      <c r="A1112" s="65">
        <v>121.94</v>
      </c>
      <c r="B1112" s="65">
        <v>122.19</v>
      </c>
      <c r="C1112" s="65">
        <v>118.54</v>
      </c>
      <c r="D1112" s="65">
        <v>120.6</v>
      </c>
      <c r="E1112" s="65">
        <v>2389409</v>
      </c>
      <c r="F1112" s="65" t="s">
        <v>1158</v>
      </c>
      <c r="G1112" s="25">
        <f t="shared" si="15"/>
        <v>1.1111111111111072E-2</v>
      </c>
    </row>
    <row r="1113" spans="1:7">
      <c r="A1113" s="65">
        <v>120.12</v>
      </c>
      <c r="B1113" s="65">
        <v>121.22</v>
      </c>
      <c r="C1113" s="65">
        <v>117.72</v>
      </c>
      <c r="D1113" s="65">
        <v>120.53</v>
      </c>
      <c r="E1113" s="65">
        <v>2652583</v>
      </c>
      <c r="F1113" s="65" t="s">
        <v>1159</v>
      </c>
      <c r="G1113" s="25">
        <f t="shared" si="15"/>
        <v>-3.4016427445449082E-3</v>
      </c>
    </row>
    <row r="1114" spans="1:7">
      <c r="A1114" s="65">
        <v>122.3</v>
      </c>
      <c r="B1114" s="65">
        <v>123.81</v>
      </c>
      <c r="C1114" s="65">
        <v>121.02</v>
      </c>
      <c r="D1114" s="65">
        <v>122.16</v>
      </c>
      <c r="E1114" s="65">
        <v>2172096</v>
      </c>
      <c r="F1114" s="65" t="s">
        <v>1160</v>
      </c>
      <c r="G1114" s="25">
        <f t="shared" si="15"/>
        <v>1.1460379829730805E-3</v>
      </c>
    </row>
    <row r="1115" spans="1:7">
      <c r="A1115" s="65">
        <v>123.23</v>
      </c>
      <c r="B1115" s="65">
        <v>125.4</v>
      </c>
      <c r="C1115" s="65">
        <v>122.97</v>
      </c>
      <c r="D1115" s="65">
        <v>124.35</v>
      </c>
      <c r="E1115" s="65">
        <v>2602164</v>
      </c>
      <c r="F1115" s="65" t="s">
        <v>1161</v>
      </c>
      <c r="G1115" s="25">
        <f t="shared" si="15"/>
        <v>-9.0068355448330584E-3</v>
      </c>
    </row>
    <row r="1116" spans="1:7">
      <c r="A1116" s="65">
        <v>123.92</v>
      </c>
      <c r="B1116" s="65">
        <v>128.35560000000001</v>
      </c>
      <c r="C1116" s="65">
        <v>123.92</v>
      </c>
      <c r="D1116" s="65">
        <v>127.55</v>
      </c>
      <c r="E1116" s="65">
        <v>2201821</v>
      </c>
      <c r="F1116" s="65" t="s">
        <v>1162</v>
      </c>
      <c r="G1116" s="25">
        <f t="shared" si="15"/>
        <v>-2.8459427675421423E-2</v>
      </c>
    </row>
    <row r="1117" spans="1:7">
      <c r="A1117" s="65">
        <v>127.89</v>
      </c>
      <c r="B1117" s="65">
        <v>129.52500000000001</v>
      </c>
      <c r="C1117" s="65">
        <v>126.94</v>
      </c>
      <c r="D1117" s="65">
        <v>128.37</v>
      </c>
      <c r="E1117" s="65">
        <v>2020510</v>
      </c>
      <c r="F1117" s="65" t="s">
        <v>1163</v>
      </c>
      <c r="G1117" s="25">
        <f t="shared" si="15"/>
        <v>-3.739191399859787E-3</v>
      </c>
    </row>
    <row r="1118" spans="1:7">
      <c r="A1118" s="65">
        <v>128.34</v>
      </c>
      <c r="B1118" s="65">
        <v>129.51490000000001</v>
      </c>
      <c r="C1118" s="65">
        <v>126.43</v>
      </c>
      <c r="D1118" s="65">
        <v>129.07</v>
      </c>
      <c r="E1118" s="65">
        <v>1766131</v>
      </c>
      <c r="F1118" s="65" t="s">
        <v>1164</v>
      </c>
      <c r="G1118" s="25">
        <f t="shared" si="15"/>
        <v>-5.6558456651428779E-3</v>
      </c>
    </row>
    <row r="1119" spans="1:7">
      <c r="A1119" s="65">
        <v>129.55000000000001</v>
      </c>
      <c r="B1119" s="65">
        <v>130.94</v>
      </c>
      <c r="C1119" s="65">
        <v>129.27000000000001</v>
      </c>
      <c r="D1119" s="65">
        <v>130.31</v>
      </c>
      <c r="E1119" s="65">
        <v>1193704</v>
      </c>
      <c r="F1119" s="65" t="s">
        <v>1165</v>
      </c>
      <c r="G1119" s="25">
        <f t="shared" si="15"/>
        <v>-5.8322461821809224E-3</v>
      </c>
    </row>
    <row r="1120" spans="1:7">
      <c r="A1120" s="65">
        <v>130.68</v>
      </c>
      <c r="B1120" s="65">
        <v>131.72999999999999</v>
      </c>
      <c r="C1120" s="65">
        <v>130.38999999999999</v>
      </c>
      <c r="D1120" s="65">
        <v>130.82</v>
      </c>
      <c r="E1120" s="65">
        <v>1112543</v>
      </c>
      <c r="F1120" s="65" t="s">
        <v>1166</v>
      </c>
      <c r="G1120" s="25">
        <f t="shared" si="15"/>
        <v>-1.0701727564591534E-3</v>
      </c>
    </row>
    <row r="1121" spans="1:7">
      <c r="A1121" s="65">
        <v>130.63999999999999</v>
      </c>
      <c r="B1121" s="65">
        <v>131.19</v>
      </c>
      <c r="C1121" s="65">
        <v>129.6</v>
      </c>
      <c r="D1121" s="65">
        <v>129.66999999999999</v>
      </c>
      <c r="E1121" s="65">
        <v>1137414</v>
      </c>
      <c r="F1121" s="65" t="s">
        <v>1167</v>
      </c>
      <c r="G1121" s="25">
        <f t="shared" si="15"/>
        <v>7.4805274928664289E-3</v>
      </c>
    </row>
    <row r="1122" spans="1:7">
      <c r="A1122" s="65">
        <v>129.35</v>
      </c>
      <c r="B1122" s="65">
        <v>130.9</v>
      </c>
      <c r="C1122" s="65">
        <v>128.97999999999999</v>
      </c>
      <c r="D1122" s="65">
        <v>130.83000000000001</v>
      </c>
      <c r="E1122" s="65">
        <v>1298179</v>
      </c>
      <c r="F1122" s="65" t="s">
        <v>1168</v>
      </c>
      <c r="G1122" s="25">
        <f t="shared" si="15"/>
        <v>-1.1312390124589289E-2</v>
      </c>
    </row>
    <row r="1123" spans="1:7">
      <c r="A1123" s="65">
        <v>130.58000000000001</v>
      </c>
      <c r="B1123" s="65">
        <v>130.6</v>
      </c>
      <c r="C1123" s="65">
        <v>128.17500000000001</v>
      </c>
      <c r="D1123" s="65">
        <v>129.07</v>
      </c>
      <c r="E1123" s="65">
        <v>1254166</v>
      </c>
      <c r="F1123" s="65" t="s">
        <v>1169</v>
      </c>
      <c r="G1123" s="25">
        <f t="shared" si="15"/>
        <v>1.1699078019679288E-2</v>
      </c>
    </row>
    <row r="1124" spans="1:7">
      <c r="A1124" s="65">
        <v>128.57</v>
      </c>
      <c r="B1124" s="65">
        <v>129.12</v>
      </c>
      <c r="C1124" s="65">
        <v>127.65</v>
      </c>
      <c r="D1124" s="65">
        <v>128</v>
      </c>
      <c r="E1124" s="65">
        <v>1732183</v>
      </c>
      <c r="F1124" s="65" t="s">
        <v>1170</v>
      </c>
      <c r="G1124" s="25">
        <f t="shared" si="15"/>
        <v>4.4531249999999467E-3</v>
      </c>
    </row>
    <row r="1125" spans="1:7">
      <c r="A1125" s="65">
        <v>127.83</v>
      </c>
      <c r="B1125" s="65">
        <v>128.02000000000001</v>
      </c>
      <c r="C1125" s="65">
        <v>124.2</v>
      </c>
      <c r="D1125" s="65">
        <v>124.2</v>
      </c>
      <c r="E1125" s="65">
        <v>2185702</v>
      </c>
      <c r="F1125" s="65" t="s">
        <v>1171</v>
      </c>
      <c r="G1125" s="25">
        <f t="shared" si="15"/>
        <v>2.9227053140096659E-2</v>
      </c>
    </row>
    <row r="1126" spans="1:7">
      <c r="A1126" s="65">
        <v>124.4</v>
      </c>
      <c r="B1126" s="65">
        <v>124.55500000000001</v>
      </c>
      <c r="C1126" s="65">
        <v>120.87</v>
      </c>
      <c r="D1126" s="65">
        <v>121.07</v>
      </c>
      <c r="E1126" s="65">
        <v>2223827</v>
      </c>
      <c r="F1126" s="65" t="s">
        <v>1172</v>
      </c>
      <c r="G1126" s="25">
        <f t="shared" si="15"/>
        <v>2.7504749318576049E-2</v>
      </c>
    </row>
    <row r="1127" spans="1:7">
      <c r="A1127" s="65">
        <v>120.03</v>
      </c>
      <c r="B1127" s="65">
        <v>120.96</v>
      </c>
      <c r="C1127" s="65">
        <v>117.88</v>
      </c>
      <c r="D1127" s="65">
        <v>120.44</v>
      </c>
      <c r="E1127" s="65">
        <v>3263485</v>
      </c>
      <c r="F1127" s="65" t="s">
        <v>1173</v>
      </c>
      <c r="G1127" s="25">
        <f t="shared" si="15"/>
        <v>-3.4041846562603562E-3</v>
      </c>
    </row>
    <row r="1128" spans="1:7">
      <c r="A1128" s="65">
        <v>122.12</v>
      </c>
      <c r="B1128" s="65">
        <v>123.56</v>
      </c>
      <c r="C1128" s="65">
        <v>120.42</v>
      </c>
      <c r="D1128" s="65">
        <v>121.24</v>
      </c>
      <c r="E1128" s="65">
        <v>6494135</v>
      </c>
      <c r="F1128" s="65" t="s">
        <v>1174</v>
      </c>
      <c r="G1128" s="25">
        <f t="shared" si="15"/>
        <v>7.2583305839657442E-3</v>
      </c>
    </row>
    <row r="1129" spans="1:7">
      <c r="A1129" s="65">
        <v>119.57</v>
      </c>
      <c r="B1129" s="65">
        <v>122.5</v>
      </c>
      <c r="C1129" s="65">
        <v>118.88</v>
      </c>
      <c r="D1129" s="65">
        <v>120.63</v>
      </c>
      <c r="E1129" s="65">
        <v>2866567</v>
      </c>
      <c r="F1129" s="65" t="s">
        <v>1175</v>
      </c>
      <c r="G1129" s="25">
        <f t="shared" si="15"/>
        <v>-8.7872005305479339E-3</v>
      </c>
    </row>
    <row r="1130" spans="1:7">
      <c r="A1130" s="65">
        <v>119.91</v>
      </c>
      <c r="B1130" s="65">
        <v>120.39</v>
      </c>
      <c r="C1130" s="65">
        <v>117.06</v>
      </c>
      <c r="D1130" s="65">
        <v>118.78</v>
      </c>
      <c r="E1130" s="65">
        <v>2530968</v>
      </c>
      <c r="F1130" s="65" t="s">
        <v>1176</v>
      </c>
      <c r="G1130" s="25">
        <f t="shared" si="15"/>
        <v>9.5133860919345281E-3</v>
      </c>
    </row>
    <row r="1131" spans="1:7">
      <c r="A1131" s="65">
        <v>116.9</v>
      </c>
      <c r="B1131" s="65">
        <v>119.49</v>
      </c>
      <c r="C1131" s="65">
        <v>115.74</v>
      </c>
      <c r="D1131" s="65">
        <v>119.49</v>
      </c>
      <c r="E1131" s="65">
        <v>2275253</v>
      </c>
      <c r="F1131" s="65" t="s">
        <v>1177</v>
      </c>
      <c r="G1131" s="25">
        <f t="shared" si="15"/>
        <v>-2.1675454012888062E-2</v>
      </c>
    </row>
    <row r="1132" spans="1:7">
      <c r="A1132" s="65">
        <v>120.74</v>
      </c>
      <c r="B1132" s="65">
        <v>122.03</v>
      </c>
      <c r="C1132" s="65">
        <v>120.27</v>
      </c>
      <c r="D1132" s="65">
        <v>121.83</v>
      </c>
      <c r="E1132" s="65">
        <v>1757887</v>
      </c>
      <c r="F1132" s="65" t="s">
        <v>1178</v>
      </c>
      <c r="G1132" s="25">
        <f t="shared" si="15"/>
        <v>-8.9468932118526023E-3</v>
      </c>
    </row>
    <row r="1133" spans="1:7">
      <c r="A1133" s="65">
        <v>121.84</v>
      </c>
      <c r="B1133" s="65">
        <v>122.34</v>
      </c>
      <c r="C1133" s="65">
        <v>120.55</v>
      </c>
      <c r="D1133" s="65">
        <v>121.49</v>
      </c>
      <c r="E1133" s="65">
        <v>2227625</v>
      </c>
      <c r="F1133" s="65" t="s">
        <v>1179</v>
      </c>
      <c r="G1133" s="25">
        <f t="shared" si="15"/>
        <v>2.880895546958584E-3</v>
      </c>
    </row>
    <row r="1134" spans="1:7">
      <c r="A1134" s="65">
        <v>120.34</v>
      </c>
      <c r="B1134" s="65">
        <v>121.92</v>
      </c>
      <c r="C1134" s="65">
        <v>119.49</v>
      </c>
      <c r="D1134" s="65">
        <v>120</v>
      </c>
      <c r="E1134" s="65">
        <v>2841352</v>
      </c>
      <c r="F1134" s="65" t="s">
        <v>1180</v>
      </c>
      <c r="G1134" s="25">
        <f t="shared" si="15"/>
        <v>2.8333333333334654E-3</v>
      </c>
    </row>
    <row r="1135" spans="1:7">
      <c r="A1135" s="65">
        <v>119.46</v>
      </c>
      <c r="B1135" s="65">
        <v>119.619</v>
      </c>
      <c r="C1135" s="65">
        <v>115.7</v>
      </c>
      <c r="D1135" s="65">
        <v>116.04</v>
      </c>
      <c r="E1135" s="65">
        <v>3381081</v>
      </c>
      <c r="F1135" s="65" t="s">
        <v>1181</v>
      </c>
      <c r="G1135" s="25">
        <f t="shared" si="15"/>
        <v>2.9472595656669931E-2</v>
      </c>
    </row>
    <row r="1136" spans="1:7">
      <c r="A1136" s="65">
        <v>115.52</v>
      </c>
      <c r="B1136" s="65">
        <v>116.43</v>
      </c>
      <c r="C1136" s="65">
        <v>113.37</v>
      </c>
      <c r="D1136" s="65">
        <v>113.77</v>
      </c>
      <c r="E1136" s="65">
        <v>2727062</v>
      </c>
      <c r="F1136" s="65" t="s">
        <v>1182</v>
      </c>
      <c r="G1136" s="25">
        <f t="shared" si="15"/>
        <v>1.5381910872813487E-2</v>
      </c>
    </row>
    <row r="1137" spans="1:7">
      <c r="A1137" s="65">
        <v>111.96</v>
      </c>
      <c r="B1137" s="65">
        <v>113.1</v>
      </c>
      <c r="C1137" s="65">
        <v>108.79</v>
      </c>
      <c r="D1137" s="65">
        <v>110.5</v>
      </c>
      <c r="E1137" s="65">
        <v>2643566</v>
      </c>
      <c r="F1137" s="65" t="s">
        <v>1183</v>
      </c>
      <c r="G1137" s="25">
        <f t="shared" si="15"/>
        <v>1.321266968325796E-2</v>
      </c>
    </row>
    <row r="1138" spans="1:7">
      <c r="A1138" s="65">
        <v>108.48</v>
      </c>
      <c r="B1138" s="65">
        <v>111.44</v>
      </c>
      <c r="C1138" s="65">
        <v>107.15</v>
      </c>
      <c r="D1138" s="65">
        <v>110.69</v>
      </c>
      <c r="E1138" s="65">
        <v>3146847</v>
      </c>
      <c r="F1138" s="65" t="s">
        <v>1184</v>
      </c>
      <c r="G1138" s="25">
        <f t="shared" si="15"/>
        <v>-1.9965669888878823E-2</v>
      </c>
    </row>
    <row r="1139" spans="1:7">
      <c r="A1139" s="65">
        <v>109.82</v>
      </c>
      <c r="B1139" s="65">
        <v>110.3</v>
      </c>
      <c r="C1139" s="65">
        <v>107.12</v>
      </c>
      <c r="D1139" s="65">
        <v>107.63</v>
      </c>
      <c r="E1139" s="65">
        <v>2527310</v>
      </c>
      <c r="F1139" s="65" t="s">
        <v>1185</v>
      </c>
      <c r="G1139" s="25">
        <f t="shared" si="15"/>
        <v>2.0347486760196931E-2</v>
      </c>
    </row>
    <row r="1140" spans="1:7">
      <c r="A1140" s="65">
        <v>107.43</v>
      </c>
      <c r="B1140" s="65">
        <v>109.95</v>
      </c>
      <c r="C1140" s="65">
        <v>107.26</v>
      </c>
      <c r="D1140" s="65">
        <v>108.41</v>
      </c>
      <c r="E1140" s="65">
        <v>3497945</v>
      </c>
      <c r="F1140" s="65" t="s">
        <v>1186</v>
      </c>
      <c r="G1140" s="25">
        <f t="shared" si="15"/>
        <v>-9.039756480029415E-3</v>
      </c>
    </row>
    <row r="1141" spans="1:7">
      <c r="A1141" s="65">
        <v>107.31</v>
      </c>
      <c r="B1141" s="65">
        <v>111.56</v>
      </c>
      <c r="C1141" s="65">
        <v>107.12</v>
      </c>
      <c r="D1141" s="65">
        <v>110.06</v>
      </c>
      <c r="E1141" s="65">
        <v>6271723</v>
      </c>
      <c r="F1141" s="65" t="s">
        <v>1187</v>
      </c>
      <c r="G1141" s="25">
        <f t="shared" si="15"/>
        <v>-2.4986371070325308E-2</v>
      </c>
    </row>
    <row r="1142" spans="1:7">
      <c r="A1142" s="65">
        <v>110.71</v>
      </c>
      <c r="B1142" s="65">
        <v>112.88</v>
      </c>
      <c r="C1142" s="65">
        <v>110.2</v>
      </c>
      <c r="D1142" s="65">
        <v>110.58</v>
      </c>
      <c r="E1142" s="65">
        <v>3791053</v>
      </c>
      <c r="F1142" s="65" t="s">
        <v>1188</v>
      </c>
      <c r="G1142" s="25">
        <f t="shared" si="15"/>
        <v>1.1756194610237358E-3</v>
      </c>
    </row>
    <row r="1143" spans="1:7">
      <c r="A1143" s="65">
        <v>109.52</v>
      </c>
      <c r="B1143" s="65">
        <v>114.86</v>
      </c>
      <c r="C1143" s="65">
        <v>109.25</v>
      </c>
      <c r="D1143" s="65">
        <v>114.14</v>
      </c>
      <c r="E1143" s="65">
        <v>2249371</v>
      </c>
      <c r="F1143" s="65" t="s">
        <v>1189</v>
      </c>
      <c r="G1143" s="25">
        <f t="shared" si="15"/>
        <v>-4.0476607674785336E-2</v>
      </c>
    </row>
    <row r="1144" spans="1:7">
      <c r="A1144" s="65">
        <v>114.49</v>
      </c>
      <c r="B1144" s="65">
        <v>114.87</v>
      </c>
      <c r="C1144" s="65">
        <v>112.23</v>
      </c>
      <c r="D1144" s="65">
        <v>112.23</v>
      </c>
      <c r="E1144" s="65">
        <v>2147897</v>
      </c>
      <c r="F1144" s="65" t="s">
        <v>1190</v>
      </c>
      <c r="G1144" s="25">
        <f t="shared" si="15"/>
        <v>2.0137218212598951E-2</v>
      </c>
    </row>
    <row r="1145" spans="1:7">
      <c r="A1145" s="65">
        <v>112.63</v>
      </c>
      <c r="B1145" s="65">
        <v>115</v>
      </c>
      <c r="C1145" s="65">
        <v>111.3</v>
      </c>
      <c r="D1145" s="65">
        <v>114.14</v>
      </c>
      <c r="E1145" s="65">
        <v>2391784</v>
      </c>
      <c r="F1145" s="65" t="s">
        <v>1191</v>
      </c>
      <c r="G1145" s="25">
        <f t="shared" si="15"/>
        <v>-1.3229367443490458E-2</v>
      </c>
    </row>
    <row r="1146" spans="1:7">
      <c r="A1146" s="65">
        <v>114.84</v>
      </c>
      <c r="B1146" s="65">
        <v>117.75</v>
      </c>
      <c r="C1146" s="65">
        <v>114.79</v>
      </c>
      <c r="D1146" s="65">
        <v>117.39</v>
      </c>
      <c r="E1146" s="65">
        <v>1848377</v>
      </c>
      <c r="F1146" s="65" t="s">
        <v>1192</v>
      </c>
      <c r="G1146" s="25">
        <f t="shared" si="15"/>
        <v>-2.1722463582928619E-2</v>
      </c>
    </row>
    <row r="1147" spans="1:7">
      <c r="A1147" s="65">
        <v>117.03</v>
      </c>
      <c r="B1147" s="65">
        <v>117.815</v>
      </c>
      <c r="C1147" s="65">
        <v>116.01</v>
      </c>
      <c r="D1147" s="65">
        <v>117.62</v>
      </c>
      <c r="E1147" s="65">
        <v>2438321</v>
      </c>
      <c r="F1147" s="65" t="s">
        <v>1193</v>
      </c>
      <c r="G1147" s="25">
        <f t="shared" si="15"/>
        <v>-5.0161537153545765E-3</v>
      </c>
    </row>
    <row r="1148" spans="1:7">
      <c r="A1148" s="65">
        <v>117.03</v>
      </c>
      <c r="B1148" s="65">
        <v>118.88</v>
      </c>
      <c r="C1148" s="65">
        <v>116.38</v>
      </c>
      <c r="D1148" s="65">
        <v>118.88</v>
      </c>
      <c r="E1148" s="65">
        <v>1741524</v>
      </c>
      <c r="F1148" s="65" t="s">
        <v>1194</v>
      </c>
      <c r="G1148" s="25">
        <f t="shared" ref="G1148:G1211" si="16">A1148/D1148-1</f>
        <v>-1.5561911170928644E-2</v>
      </c>
    </row>
    <row r="1149" spans="1:7">
      <c r="A1149" s="65">
        <v>118.35</v>
      </c>
      <c r="B1149" s="65">
        <v>119.5</v>
      </c>
      <c r="C1149" s="65">
        <v>117.24</v>
      </c>
      <c r="D1149" s="65">
        <v>119.08</v>
      </c>
      <c r="E1149" s="65">
        <v>2062289</v>
      </c>
      <c r="F1149" s="65" t="s">
        <v>1195</v>
      </c>
      <c r="G1149" s="25">
        <f t="shared" si="16"/>
        <v>-6.1303325495465355E-3</v>
      </c>
    </row>
    <row r="1150" spans="1:7">
      <c r="A1150" s="65">
        <v>119.04</v>
      </c>
      <c r="B1150" s="65">
        <v>119.54</v>
      </c>
      <c r="C1150" s="65">
        <v>116.13</v>
      </c>
      <c r="D1150" s="65">
        <v>116.81</v>
      </c>
      <c r="E1150" s="65">
        <v>2285722</v>
      </c>
      <c r="F1150" s="65" t="s">
        <v>1196</v>
      </c>
      <c r="G1150" s="25">
        <f t="shared" si="16"/>
        <v>1.9090831264446662E-2</v>
      </c>
    </row>
    <row r="1151" spans="1:7">
      <c r="A1151" s="65">
        <v>116.69</v>
      </c>
      <c r="B1151" s="65">
        <v>117.14</v>
      </c>
      <c r="C1151" s="65">
        <v>115.61</v>
      </c>
      <c r="D1151" s="65">
        <v>116.35</v>
      </c>
      <c r="E1151" s="65">
        <v>1704013</v>
      </c>
      <c r="F1151" s="65" t="s">
        <v>1197</v>
      </c>
      <c r="G1151" s="25">
        <f t="shared" si="16"/>
        <v>2.9222174473571005E-3</v>
      </c>
    </row>
    <row r="1152" spans="1:7">
      <c r="A1152" s="65">
        <v>116</v>
      </c>
      <c r="B1152" s="65">
        <v>116.5264</v>
      </c>
      <c r="C1152" s="65">
        <v>114.60639999999999</v>
      </c>
      <c r="D1152" s="65">
        <v>114.89</v>
      </c>
      <c r="E1152" s="65">
        <v>1772068</v>
      </c>
      <c r="F1152" s="65" t="s">
        <v>1198</v>
      </c>
      <c r="G1152" s="25">
        <f t="shared" si="16"/>
        <v>9.6614152667768849E-3</v>
      </c>
    </row>
    <row r="1153" spans="1:7">
      <c r="A1153" s="65">
        <v>114.31</v>
      </c>
      <c r="B1153" s="65">
        <v>119.16</v>
      </c>
      <c r="C1153" s="65">
        <v>114.04</v>
      </c>
      <c r="D1153" s="65">
        <v>119</v>
      </c>
      <c r="E1153" s="65">
        <v>2471206</v>
      </c>
      <c r="F1153" s="65" t="s">
        <v>1199</v>
      </c>
      <c r="G1153" s="25">
        <f t="shared" si="16"/>
        <v>-3.9411764705882368E-2</v>
      </c>
    </row>
    <row r="1154" spans="1:7">
      <c r="A1154" s="65">
        <v>118.77</v>
      </c>
      <c r="B1154" s="65">
        <v>120.79</v>
      </c>
      <c r="C1154" s="65">
        <v>118.38</v>
      </c>
      <c r="D1154" s="65">
        <v>119.79</v>
      </c>
      <c r="E1154" s="65">
        <v>1665363</v>
      </c>
      <c r="F1154" s="65" t="s">
        <v>1200</v>
      </c>
      <c r="G1154" s="25">
        <f t="shared" si="16"/>
        <v>-8.5149010768846844E-3</v>
      </c>
    </row>
    <row r="1155" spans="1:7">
      <c r="A1155" s="65">
        <v>120.04</v>
      </c>
      <c r="B1155" s="65">
        <v>120.49</v>
      </c>
      <c r="C1155" s="65">
        <v>118.9211</v>
      </c>
      <c r="D1155" s="65">
        <v>119.23</v>
      </c>
      <c r="E1155" s="65">
        <v>1553461</v>
      </c>
      <c r="F1155" s="65" t="s">
        <v>1201</v>
      </c>
      <c r="G1155" s="25">
        <f t="shared" si="16"/>
        <v>6.7935922167239315E-3</v>
      </c>
    </row>
    <row r="1156" spans="1:7">
      <c r="A1156" s="65">
        <v>119.54</v>
      </c>
      <c r="B1156" s="65">
        <v>119.8</v>
      </c>
      <c r="C1156" s="65">
        <v>118.54</v>
      </c>
      <c r="D1156" s="65">
        <v>119.4</v>
      </c>
      <c r="E1156" s="65">
        <v>1449772</v>
      </c>
      <c r="F1156" s="65" t="s">
        <v>1202</v>
      </c>
      <c r="G1156" s="25">
        <f t="shared" si="16"/>
        <v>1.1725293132327508E-3</v>
      </c>
    </row>
    <row r="1157" spans="1:7">
      <c r="A1157" s="65">
        <v>118.65</v>
      </c>
      <c r="B1157" s="65">
        <v>119.09</v>
      </c>
      <c r="C1157" s="65">
        <v>116.4</v>
      </c>
      <c r="D1157" s="65">
        <v>116.63</v>
      </c>
      <c r="E1157" s="65">
        <v>2214641</v>
      </c>
      <c r="F1157" s="65" t="s">
        <v>1203</v>
      </c>
      <c r="G1157" s="25">
        <f t="shared" si="16"/>
        <v>1.7319729057703848E-2</v>
      </c>
    </row>
    <row r="1158" spans="1:7">
      <c r="A1158" s="65">
        <v>117.37</v>
      </c>
      <c r="B1158" s="65">
        <v>118.32</v>
      </c>
      <c r="C1158" s="65">
        <v>116.53</v>
      </c>
      <c r="D1158" s="65">
        <v>117.73</v>
      </c>
      <c r="E1158" s="65">
        <v>1724219</v>
      </c>
      <c r="F1158" s="65" t="s">
        <v>1204</v>
      </c>
      <c r="G1158" s="25">
        <f t="shared" si="16"/>
        <v>-3.0578442198250233E-3</v>
      </c>
    </row>
    <row r="1159" spans="1:7">
      <c r="A1159" s="65">
        <v>117.25</v>
      </c>
      <c r="B1159" s="65">
        <v>117.86</v>
      </c>
      <c r="C1159" s="65">
        <v>115.35</v>
      </c>
      <c r="D1159" s="65">
        <v>117.1</v>
      </c>
      <c r="E1159" s="65">
        <v>2166897</v>
      </c>
      <c r="F1159" s="65" t="s">
        <v>1205</v>
      </c>
      <c r="G1159" s="25">
        <f t="shared" si="16"/>
        <v>1.280956447480941E-3</v>
      </c>
    </row>
    <row r="1160" spans="1:7">
      <c r="A1160" s="65">
        <v>116.94</v>
      </c>
      <c r="B1160" s="65">
        <v>117.25</v>
      </c>
      <c r="C1160" s="65">
        <v>114.89</v>
      </c>
      <c r="D1160" s="65">
        <v>115.89</v>
      </c>
      <c r="E1160" s="65">
        <v>2822534</v>
      </c>
      <c r="F1160" s="65" t="s">
        <v>1206</v>
      </c>
      <c r="G1160" s="25">
        <f t="shared" si="16"/>
        <v>9.0603158167226194E-3</v>
      </c>
    </row>
    <row r="1161" spans="1:7">
      <c r="A1161" s="65">
        <v>115.56</v>
      </c>
      <c r="B1161" s="65">
        <v>120.62</v>
      </c>
      <c r="C1161" s="65">
        <v>115.24</v>
      </c>
      <c r="D1161" s="65">
        <v>120.41</v>
      </c>
      <c r="E1161" s="65">
        <v>3219845</v>
      </c>
      <c r="F1161" s="65" t="s">
        <v>1207</v>
      </c>
      <c r="G1161" s="25">
        <f t="shared" si="16"/>
        <v>-4.0279046590814716E-2</v>
      </c>
    </row>
    <row r="1162" spans="1:7">
      <c r="A1162" s="65">
        <v>119.82</v>
      </c>
      <c r="B1162" s="65">
        <v>120.11</v>
      </c>
      <c r="C1162" s="65">
        <v>114.375</v>
      </c>
      <c r="D1162" s="65">
        <v>115.77</v>
      </c>
      <c r="E1162" s="65">
        <v>3340898</v>
      </c>
      <c r="F1162" s="65" t="s">
        <v>1208</v>
      </c>
      <c r="G1162" s="25">
        <f t="shared" si="16"/>
        <v>3.4983156258098003E-2</v>
      </c>
    </row>
    <row r="1163" spans="1:7">
      <c r="A1163" s="65">
        <v>116.51</v>
      </c>
      <c r="B1163" s="65">
        <v>116.84</v>
      </c>
      <c r="C1163" s="65">
        <v>110</v>
      </c>
      <c r="D1163" s="65">
        <v>110</v>
      </c>
      <c r="E1163" s="65">
        <v>4373989</v>
      </c>
      <c r="F1163" s="65" t="s">
        <v>1209</v>
      </c>
      <c r="G1163" s="25">
        <f t="shared" si="16"/>
        <v>5.9181818181818224E-2</v>
      </c>
    </row>
    <row r="1164" spans="1:7">
      <c r="A1164" s="65">
        <v>116.07</v>
      </c>
      <c r="B1164" s="65">
        <v>116.9</v>
      </c>
      <c r="C1164" s="65">
        <v>114.69</v>
      </c>
      <c r="D1164" s="65">
        <v>116.6</v>
      </c>
      <c r="E1164" s="65">
        <v>1785608</v>
      </c>
      <c r="F1164" s="65" t="s">
        <v>1210</v>
      </c>
      <c r="G1164" s="25">
        <f t="shared" si="16"/>
        <v>-4.5454545454545192E-3</v>
      </c>
    </row>
    <row r="1165" spans="1:7">
      <c r="A1165" s="65">
        <v>116.99</v>
      </c>
      <c r="B1165" s="65">
        <v>117.84</v>
      </c>
      <c r="C1165" s="65">
        <v>116.36</v>
      </c>
      <c r="D1165" s="65">
        <v>117.7</v>
      </c>
      <c r="E1165" s="65">
        <v>1661714</v>
      </c>
      <c r="F1165" s="65" t="s">
        <v>1211</v>
      </c>
      <c r="G1165" s="25">
        <f t="shared" si="16"/>
        <v>-6.0322854715378904E-3</v>
      </c>
    </row>
    <row r="1166" spans="1:7">
      <c r="A1166" s="65">
        <v>117.3</v>
      </c>
      <c r="B1166" s="65">
        <v>118.069</v>
      </c>
      <c r="C1166" s="65">
        <v>115.587</v>
      </c>
      <c r="D1166" s="65">
        <v>116.93</v>
      </c>
      <c r="E1166" s="65">
        <v>1876894</v>
      </c>
      <c r="F1166" s="65" t="s">
        <v>1212</v>
      </c>
      <c r="G1166" s="25">
        <f t="shared" si="16"/>
        <v>3.164286325151755E-3</v>
      </c>
    </row>
    <row r="1167" spans="1:7">
      <c r="A1167" s="65">
        <v>116.59</v>
      </c>
      <c r="B1167" s="65">
        <v>116.97</v>
      </c>
      <c r="C1167" s="65">
        <v>115.51</v>
      </c>
      <c r="D1167" s="65">
        <v>115.93</v>
      </c>
      <c r="E1167" s="65">
        <v>1963340</v>
      </c>
      <c r="F1167" s="65" t="s">
        <v>1213</v>
      </c>
      <c r="G1167" s="25">
        <f t="shared" si="16"/>
        <v>5.6930906581558194E-3</v>
      </c>
    </row>
    <row r="1168" spans="1:7">
      <c r="A1168" s="65">
        <v>115.74</v>
      </c>
      <c r="B1168" s="65">
        <v>116.075</v>
      </c>
      <c r="C1168" s="65">
        <v>114.75</v>
      </c>
      <c r="D1168" s="65">
        <v>115.54</v>
      </c>
      <c r="E1168" s="65">
        <v>1764555</v>
      </c>
      <c r="F1168" s="65" t="s">
        <v>1214</v>
      </c>
      <c r="G1168" s="25">
        <f t="shared" si="16"/>
        <v>1.73100225030276E-3</v>
      </c>
    </row>
    <row r="1169" spans="1:7">
      <c r="A1169" s="65">
        <v>115.6</v>
      </c>
      <c r="B1169" s="65">
        <v>116.26</v>
      </c>
      <c r="C1169" s="65">
        <v>114.34</v>
      </c>
      <c r="D1169" s="65">
        <v>115.75</v>
      </c>
      <c r="E1169" s="65">
        <v>2026786</v>
      </c>
      <c r="F1169" s="65" t="s">
        <v>1215</v>
      </c>
      <c r="G1169" s="25">
        <f t="shared" si="16"/>
        <v>-1.2958963282937441E-3</v>
      </c>
    </row>
    <row r="1170" spans="1:7">
      <c r="A1170" s="65">
        <v>115</v>
      </c>
      <c r="B1170" s="65">
        <v>115.69</v>
      </c>
      <c r="C1170" s="65">
        <v>111.935</v>
      </c>
      <c r="D1170" s="65">
        <v>112.05</v>
      </c>
      <c r="E1170" s="65">
        <v>2154344</v>
      </c>
      <c r="F1170" s="65" t="s">
        <v>1216</v>
      </c>
      <c r="G1170" s="25">
        <f t="shared" si="16"/>
        <v>2.6327532351628768E-2</v>
      </c>
    </row>
    <row r="1171" spans="1:7">
      <c r="A1171" s="65">
        <v>111.09</v>
      </c>
      <c r="B1171" s="65">
        <v>111.53</v>
      </c>
      <c r="C1171" s="65">
        <v>109.64</v>
      </c>
      <c r="D1171" s="65">
        <v>110.91</v>
      </c>
      <c r="E1171" s="65">
        <v>1814210</v>
      </c>
      <c r="F1171" s="65" t="s">
        <v>1217</v>
      </c>
      <c r="G1171" s="25">
        <f t="shared" si="16"/>
        <v>1.6229375169056759E-3</v>
      </c>
    </row>
    <row r="1172" spans="1:7">
      <c r="A1172" s="65">
        <v>112.16</v>
      </c>
      <c r="B1172" s="65">
        <v>112.489</v>
      </c>
      <c r="C1172" s="65">
        <v>111.54</v>
      </c>
      <c r="D1172" s="65">
        <v>111.96</v>
      </c>
      <c r="E1172" s="65">
        <v>1666932</v>
      </c>
      <c r="F1172" s="65" t="s">
        <v>1218</v>
      </c>
      <c r="G1172" s="25">
        <f t="shared" si="16"/>
        <v>1.7863522686674127E-3</v>
      </c>
    </row>
    <row r="1173" spans="1:7">
      <c r="A1173" s="65">
        <v>111.57</v>
      </c>
      <c r="B1173" s="65">
        <v>113</v>
      </c>
      <c r="C1173" s="65">
        <v>110.69</v>
      </c>
      <c r="D1173" s="65">
        <v>111.08</v>
      </c>
      <c r="E1173" s="65">
        <v>1656050</v>
      </c>
      <c r="F1173" s="65" t="s">
        <v>1219</v>
      </c>
      <c r="G1173" s="25">
        <f t="shared" si="16"/>
        <v>4.4112351458407417E-3</v>
      </c>
    </row>
    <row r="1174" spans="1:7">
      <c r="A1174" s="65">
        <v>109.1</v>
      </c>
      <c r="B1174" s="65">
        <v>110.61</v>
      </c>
      <c r="C1174" s="65">
        <v>109.02</v>
      </c>
      <c r="D1174" s="65">
        <v>109.32</v>
      </c>
      <c r="E1174" s="65">
        <v>2151567</v>
      </c>
      <c r="F1174" s="65" t="s">
        <v>1220</v>
      </c>
      <c r="G1174" s="25">
        <f t="shared" si="16"/>
        <v>-2.0124405415294921E-3</v>
      </c>
    </row>
    <row r="1175" spans="1:7">
      <c r="A1175" s="65">
        <v>108.81</v>
      </c>
      <c r="B1175" s="65">
        <v>109.85</v>
      </c>
      <c r="C1175" s="65">
        <v>108.18</v>
      </c>
      <c r="D1175" s="65">
        <v>109.33</v>
      </c>
      <c r="E1175" s="65">
        <v>1534078</v>
      </c>
      <c r="F1175" s="65" t="s">
        <v>1221</v>
      </c>
      <c r="G1175" s="25">
        <f t="shared" si="16"/>
        <v>-4.7562425683709275E-3</v>
      </c>
    </row>
    <row r="1176" spans="1:7">
      <c r="A1176" s="65">
        <v>108.49</v>
      </c>
      <c r="B1176" s="65">
        <v>109.36</v>
      </c>
      <c r="C1176" s="65">
        <v>107.7</v>
      </c>
      <c r="D1176" s="65">
        <v>108</v>
      </c>
      <c r="E1176" s="65">
        <v>1762855</v>
      </c>
      <c r="F1176" s="65" t="s">
        <v>1222</v>
      </c>
      <c r="G1176" s="25">
        <f t="shared" si="16"/>
        <v>4.5370370370370061E-3</v>
      </c>
    </row>
    <row r="1177" spans="1:7">
      <c r="A1177" s="65">
        <v>108.73</v>
      </c>
      <c r="B1177" s="65">
        <v>111.18</v>
      </c>
      <c r="C1177" s="65">
        <v>108.62</v>
      </c>
      <c r="D1177" s="65">
        <v>110.91</v>
      </c>
      <c r="E1177" s="65">
        <v>1962397</v>
      </c>
      <c r="F1177" s="65" t="s">
        <v>1223</v>
      </c>
      <c r="G1177" s="25">
        <f t="shared" si="16"/>
        <v>-1.9655576593634372E-2</v>
      </c>
    </row>
    <row r="1178" spans="1:7">
      <c r="A1178" s="65">
        <v>110.89</v>
      </c>
      <c r="B1178" s="65">
        <v>112.52</v>
      </c>
      <c r="C1178" s="65">
        <v>110.71</v>
      </c>
      <c r="D1178" s="65">
        <v>110.77</v>
      </c>
      <c r="E1178" s="65">
        <v>2289597</v>
      </c>
      <c r="F1178" s="65" t="s">
        <v>1224</v>
      </c>
      <c r="G1178" s="25">
        <f t="shared" si="16"/>
        <v>1.083325810237401E-3</v>
      </c>
    </row>
    <row r="1179" spans="1:7">
      <c r="A1179" s="65">
        <v>109.48</v>
      </c>
      <c r="B1179" s="65">
        <v>109.6</v>
      </c>
      <c r="C1179" s="65">
        <v>107.54</v>
      </c>
      <c r="D1179" s="65">
        <v>107.91</v>
      </c>
      <c r="E1179" s="65">
        <v>2250765</v>
      </c>
      <c r="F1179" s="65" t="s">
        <v>1225</v>
      </c>
      <c r="G1179" s="25">
        <f t="shared" si="16"/>
        <v>1.4549161338152317E-2</v>
      </c>
    </row>
    <row r="1180" spans="1:7">
      <c r="A1180" s="65">
        <v>108.83</v>
      </c>
      <c r="B1180" s="65">
        <v>110.58</v>
      </c>
      <c r="C1180" s="65">
        <v>106.83</v>
      </c>
      <c r="D1180" s="65">
        <v>106.96</v>
      </c>
      <c r="E1180" s="65">
        <v>2851789</v>
      </c>
      <c r="F1180" s="65" t="s">
        <v>1226</v>
      </c>
      <c r="G1180" s="25">
        <f t="shared" si="16"/>
        <v>1.7483171278982912E-2</v>
      </c>
    </row>
    <row r="1181" spans="1:7">
      <c r="A1181" s="65">
        <v>106.37</v>
      </c>
      <c r="B1181" s="65">
        <v>111.96</v>
      </c>
      <c r="C1181" s="65">
        <v>105.66</v>
      </c>
      <c r="D1181" s="65">
        <v>111.72</v>
      </c>
      <c r="E1181" s="65">
        <v>5127875</v>
      </c>
      <c r="F1181" s="65" t="s">
        <v>1227</v>
      </c>
      <c r="G1181" s="25">
        <f t="shared" si="16"/>
        <v>-4.7887576083064709E-2</v>
      </c>
    </row>
    <row r="1182" spans="1:7">
      <c r="A1182" s="65">
        <v>112.28</v>
      </c>
      <c r="B1182" s="65">
        <v>113.58</v>
      </c>
      <c r="C1182" s="65">
        <v>110.64</v>
      </c>
      <c r="D1182" s="65">
        <v>113.32</v>
      </c>
      <c r="E1182" s="65">
        <v>4396123</v>
      </c>
      <c r="F1182" s="65" t="s">
        <v>1228</v>
      </c>
      <c r="G1182" s="25">
        <f t="shared" si="16"/>
        <v>-9.1775503000351977E-3</v>
      </c>
    </row>
    <row r="1183" spans="1:7">
      <c r="A1183" s="65">
        <v>113.21</v>
      </c>
      <c r="B1183" s="65">
        <v>115.485</v>
      </c>
      <c r="C1183" s="65">
        <v>113.17</v>
      </c>
      <c r="D1183" s="65">
        <v>114</v>
      </c>
      <c r="E1183" s="65">
        <v>2987263</v>
      </c>
      <c r="F1183" s="65" t="s">
        <v>1229</v>
      </c>
      <c r="G1183" s="25">
        <f t="shared" si="16"/>
        <v>-6.9298245614035636E-3</v>
      </c>
    </row>
    <row r="1184" spans="1:7">
      <c r="A1184" s="65">
        <v>113.52</v>
      </c>
      <c r="B1184" s="65">
        <v>115.4</v>
      </c>
      <c r="C1184" s="65">
        <v>113.29</v>
      </c>
      <c r="D1184" s="65">
        <v>114.23</v>
      </c>
      <c r="E1184" s="65">
        <v>2934387</v>
      </c>
      <c r="F1184" s="65" t="s">
        <v>1230</v>
      </c>
      <c r="G1184" s="25">
        <f t="shared" si="16"/>
        <v>-6.2155300709096917E-3</v>
      </c>
    </row>
    <row r="1185" spans="1:7">
      <c r="A1185" s="65">
        <v>113.86</v>
      </c>
      <c r="B1185" s="65">
        <v>115.79</v>
      </c>
      <c r="C1185" s="65">
        <v>112.96</v>
      </c>
      <c r="D1185" s="65">
        <v>115.71</v>
      </c>
      <c r="E1185" s="65">
        <v>2423066</v>
      </c>
      <c r="F1185" s="65" t="s">
        <v>1231</v>
      </c>
      <c r="G1185" s="25">
        <f t="shared" si="16"/>
        <v>-1.5988246478264578E-2</v>
      </c>
    </row>
    <row r="1186" spans="1:7">
      <c r="A1186" s="65">
        <v>117.07</v>
      </c>
      <c r="B1186" s="65">
        <v>119.83</v>
      </c>
      <c r="C1186" s="65">
        <v>115.76</v>
      </c>
      <c r="D1186" s="65">
        <v>119.31</v>
      </c>
      <c r="E1186" s="65">
        <v>1804736</v>
      </c>
      <c r="F1186" s="65" t="s">
        <v>1232</v>
      </c>
      <c r="G1186" s="25">
        <f t="shared" si="16"/>
        <v>-1.8774620735898195E-2</v>
      </c>
    </row>
    <row r="1187" spans="1:7">
      <c r="A1187" s="65">
        <v>120.07</v>
      </c>
      <c r="B1187" s="65">
        <v>120.9</v>
      </c>
      <c r="C1187" s="65">
        <v>119.1</v>
      </c>
      <c r="D1187" s="65">
        <v>120.46</v>
      </c>
      <c r="E1187" s="65">
        <v>1672538</v>
      </c>
      <c r="F1187" s="65" t="s">
        <v>1233</v>
      </c>
      <c r="G1187" s="25">
        <f t="shared" si="16"/>
        <v>-3.237589241241956E-3</v>
      </c>
    </row>
    <row r="1188" spans="1:7">
      <c r="A1188" s="65">
        <v>121.02</v>
      </c>
      <c r="B1188" s="65">
        <v>121.785</v>
      </c>
      <c r="C1188" s="65">
        <v>119.65</v>
      </c>
      <c r="D1188" s="65">
        <v>120.36</v>
      </c>
      <c r="E1188" s="65">
        <v>1518361</v>
      </c>
      <c r="F1188" s="65" t="s">
        <v>1234</v>
      </c>
      <c r="G1188" s="25">
        <f t="shared" si="16"/>
        <v>5.4835493519440615E-3</v>
      </c>
    </row>
    <row r="1189" spans="1:7">
      <c r="A1189" s="65">
        <v>119.66</v>
      </c>
      <c r="B1189" s="65">
        <v>120.41</v>
      </c>
      <c r="C1189" s="65">
        <v>118.03</v>
      </c>
      <c r="D1189" s="65">
        <v>118.64</v>
      </c>
      <c r="E1189" s="65">
        <v>1579216</v>
      </c>
      <c r="F1189" s="65" t="s">
        <v>1235</v>
      </c>
      <c r="G1189" s="25">
        <f t="shared" si="16"/>
        <v>8.5974376264328356E-3</v>
      </c>
    </row>
    <row r="1190" spans="1:7">
      <c r="A1190" s="65">
        <v>118.5</v>
      </c>
      <c r="B1190" s="65">
        <v>120.15</v>
      </c>
      <c r="C1190" s="65">
        <v>118.42</v>
      </c>
      <c r="D1190" s="65">
        <v>118.95</v>
      </c>
      <c r="E1190" s="65">
        <v>1360245</v>
      </c>
      <c r="F1190" s="65" t="s">
        <v>1236</v>
      </c>
      <c r="G1190" s="25">
        <f t="shared" si="16"/>
        <v>-3.7831021437578771E-3</v>
      </c>
    </row>
    <row r="1191" spans="1:7">
      <c r="A1191" s="65">
        <v>117.99</v>
      </c>
      <c r="B1191" s="65">
        <v>118.925</v>
      </c>
      <c r="C1191" s="65">
        <v>116.36</v>
      </c>
      <c r="D1191" s="65">
        <v>118.17</v>
      </c>
      <c r="E1191" s="65">
        <v>2448393</v>
      </c>
      <c r="F1191" s="65" t="s">
        <v>1237</v>
      </c>
      <c r="G1191" s="25">
        <f t="shared" si="16"/>
        <v>-1.5232292460015673E-3</v>
      </c>
    </row>
    <row r="1192" spans="1:7">
      <c r="A1192" s="65">
        <v>119.42</v>
      </c>
      <c r="B1192" s="65">
        <v>119.67</v>
      </c>
      <c r="C1192" s="65">
        <v>116.85</v>
      </c>
      <c r="D1192" s="65">
        <v>116.85</v>
      </c>
      <c r="E1192" s="65">
        <v>3695327</v>
      </c>
      <c r="F1192" s="65" t="s">
        <v>1238</v>
      </c>
      <c r="G1192" s="25">
        <f t="shared" si="16"/>
        <v>2.1994009413778493E-2</v>
      </c>
    </row>
    <row r="1193" spans="1:7">
      <c r="A1193" s="65">
        <v>120.69</v>
      </c>
      <c r="B1193" s="65">
        <v>121.6</v>
      </c>
      <c r="C1193" s="65">
        <v>119.52</v>
      </c>
      <c r="D1193" s="65">
        <v>121.48</v>
      </c>
      <c r="E1193" s="65">
        <v>1906637</v>
      </c>
      <c r="F1193" s="65" t="s">
        <v>1239</v>
      </c>
      <c r="G1193" s="25">
        <f t="shared" si="16"/>
        <v>-6.5031280869279895E-3</v>
      </c>
    </row>
    <row r="1194" spans="1:7">
      <c r="A1194" s="65">
        <v>121.02</v>
      </c>
      <c r="B1194" s="65">
        <v>121.89</v>
      </c>
      <c r="C1194" s="65">
        <v>119.93</v>
      </c>
      <c r="D1194" s="65">
        <v>120.63</v>
      </c>
      <c r="E1194" s="65">
        <v>1864578</v>
      </c>
      <c r="F1194" s="65" t="s">
        <v>1240</v>
      </c>
      <c r="G1194" s="25">
        <f t="shared" si="16"/>
        <v>3.2330266102960081E-3</v>
      </c>
    </row>
    <row r="1195" spans="1:7">
      <c r="A1195" s="65">
        <v>120.94</v>
      </c>
      <c r="B1195" s="65">
        <v>121.33499999999999</v>
      </c>
      <c r="C1195" s="65">
        <v>119.41</v>
      </c>
      <c r="D1195" s="65">
        <v>120.45</v>
      </c>
      <c r="E1195" s="65">
        <v>1589722</v>
      </c>
      <c r="F1195" s="65" t="s">
        <v>1241</v>
      </c>
      <c r="G1195" s="25">
        <f t="shared" si="16"/>
        <v>4.0680780406807671E-3</v>
      </c>
    </row>
    <row r="1196" spans="1:7">
      <c r="A1196" s="65">
        <v>119.35</v>
      </c>
      <c r="B1196" s="65">
        <v>121.795</v>
      </c>
      <c r="C1196" s="65">
        <v>117.85</v>
      </c>
      <c r="D1196" s="65">
        <v>121.58</v>
      </c>
      <c r="E1196" s="65">
        <v>1537938</v>
      </c>
      <c r="F1196" s="65" t="s">
        <v>1242</v>
      </c>
      <c r="G1196" s="25">
        <f t="shared" si="16"/>
        <v>-1.8341832538246505E-2</v>
      </c>
    </row>
    <row r="1197" spans="1:7">
      <c r="A1197" s="65">
        <v>120.89</v>
      </c>
      <c r="B1197" s="65">
        <v>123</v>
      </c>
      <c r="C1197" s="65">
        <v>120.58</v>
      </c>
      <c r="D1197" s="65">
        <v>122.59</v>
      </c>
      <c r="E1197" s="65">
        <v>1869842</v>
      </c>
      <c r="F1197" s="65" t="s">
        <v>1243</v>
      </c>
      <c r="G1197" s="25">
        <f t="shared" si="16"/>
        <v>-1.3867362753895107E-2</v>
      </c>
    </row>
    <row r="1198" spans="1:7">
      <c r="A1198" s="65">
        <v>122.08</v>
      </c>
      <c r="B1198" s="65">
        <v>123</v>
      </c>
      <c r="C1198" s="65">
        <v>121.85769999999999</v>
      </c>
      <c r="D1198" s="65">
        <v>122.88</v>
      </c>
      <c r="E1198" s="65">
        <v>1553916</v>
      </c>
      <c r="F1198" s="65" t="s">
        <v>1244</v>
      </c>
      <c r="G1198" s="25">
        <f t="shared" si="16"/>
        <v>-6.5104166666666297E-3</v>
      </c>
    </row>
    <row r="1199" spans="1:7">
      <c r="A1199" s="65">
        <v>122.75</v>
      </c>
      <c r="B1199" s="65">
        <v>123.2658</v>
      </c>
      <c r="C1199" s="65">
        <v>120.91</v>
      </c>
      <c r="D1199" s="65">
        <v>121.26</v>
      </c>
      <c r="E1199" s="65">
        <v>1678015</v>
      </c>
      <c r="F1199" s="65" t="s">
        <v>1245</v>
      </c>
      <c r="G1199" s="25">
        <f t="shared" si="16"/>
        <v>1.228764637967994E-2</v>
      </c>
    </row>
    <row r="1200" spans="1:7">
      <c r="A1200" s="65">
        <v>121.99</v>
      </c>
      <c r="B1200" s="65">
        <v>122.12</v>
      </c>
      <c r="C1200" s="65">
        <v>119.7</v>
      </c>
      <c r="D1200" s="65">
        <v>120.82</v>
      </c>
      <c r="E1200" s="65">
        <v>1907182</v>
      </c>
      <c r="F1200" s="65" t="s">
        <v>1246</v>
      </c>
      <c r="G1200" s="25">
        <f t="shared" si="16"/>
        <v>9.6838271809303045E-3</v>
      </c>
    </row>
    <row r="1201" spans="1:7">
      <c r="A1201" s="65">
        <v>121.07</v>
      </c>
      <c r="B1201" s="65">
        <v>121.37</v>
      </c>
      <c r="C1201" s="65">
        <v>119.9449</v>
      </c>
      <c r="D1201" s="65">
        <v>120.26</v>
      </c>
      <c r="E1201" s="65">
        <v>1280965</v>
      </c>
      <c r="F1201" s="65" t="s">
        <v>1247</v>
      </c>
      <c r="G1201" s="25">
        <f t="shared" si="16"/>
        <v>6.7354066189921902E-3</v>
      </c>
    </row>
    <row r="1202" spans="1:7">
      <c r="A1202" s="65">
        <v>120.61</v>
      </c>
      <c r="B1202" s="65">
        <v>120.94</v>
      </c>
      <c r="C1202" s="65">
        <v>119.7</v>
      </c>
      <c r="D1202" s="65">
        <v>120</v>
      </c>
      <c r="E1202" s="65">
        <v>1913021</v>
      </c>
      <c r="F1202" s="65" t="s">
        <v>1248</v>
      </c>
      <c r="G1202" s="25">
        <f t="shared" si="16"/>
        <v>5.0833333333333286E-3</v>
      </c>
    </row>
    <row r="1203" spans="1:7">
      <c r="A1203" s="65">
        <v>119.43</v>
      </c>
      <c r="B1203" s="65">
        <v>119.59</v>
      </c>
      <c r="C1203" s="65">
        <v>116.84</v>
      </c>
      <c r="D1203" s="65">
        <v>117.5</v>
      </c>
      <c r="E1203" s="65">
        <v>1795026</v>
      </c>
      <c r="F1203" s="65" t="s">
        <v>1249</v>
      </c>
      <c r="G1203" s="25">
        <f t="shared" si="16"/>
        <v>1.6425531914893599E-2</v>
      </c>
    </row>
    <row r="1204" spans="1:7">
      <c r="A1204" s="65">
        <v>117.18</v>
      </c>
      <c r="B1204" s="65">
        <v>118.72</v>
      </c>
      <c r="C1204" s="65">
        <v>116.37</v>
      </c>
      <c r="D1204" s="65">
        <v>118</v>
      </c>
      <c r="E1204" s="65">
        <v>2322771</v>
      </c>
      <c r="F1204" s="65" t="s">
        <v>1250</v>
      </c>
      <c r="G1204" s="25">
        <f t="shared" si="16"/>
        <v>-6.9491525423728273E-3</v>
      </c>
    </row>
    <row r="1205" spans="1:7">
      <c r="A1205" s="65">
        <v>118.04</v>
      </c>
      <c r="B1205" s="65">
        <v>118.48</v>
      </c>
      <c r="C1205" s="65">
        <v>116.54</v>
      </c>
      <c r="D1205" s="65">
        <v>116.87</v>
      </c>
      <c r="E1205" s="65">
        <v>1429889</v>
      </c>
      <c r="F1205" s="65" t="s">
        <v>1251</v>
      </c>
      <c r="G1205" s="25">
        <f t="shared" si="16"/>
        <v>1.0011123470522909E-2</v>
      </c>
    </row>
    <row r="1206" spans="1:7">
      <c r="A1206" s="65">
        <v>116.39</v>
      </c>
      <c r="B1206" s="65">
        <v>117.71</v>
      </c>
      <c r="C1206" s="65">
        <v>116.09</v>
      </c>
      <c r="D1206" s="65">
        <v>117.56</v>
      </c>
      <c r="E1206" s="65">
        <v>1611403</v>
      </c>
      <c r="F1206" s="65" t="s">
        <v>1252</v>
      </c>
      <c r="G1206" s="25">
        <f t="shared" si="16"/>
        <v>-9.9523647499148993E-3</v>
      </c>
    </row>
    <row r="1207" spans="1:7">
      <c r="A1207" s="65">
        <v>116.96</v>
      </c>
      <c r="B1207" s="65">
        <v>117.11</v>
      </c>
      <c r="C1207" s="65">
        <v>116.09</v>
      </c>
      <c r="D1207" s="65">
        <v>116.79</v>
      </c>
      <c r="E1207" s="65">
        <v>1645288</v>
      </c>
      <c r="F1207" s="65" t="s">
        <v>1253</v>
      </c>
      <c r="G1207" s="25">
        <f t="shared" si="16"/>
        <v>1.4556040756912303E-3</v>
      </c>
    </row>
    <row r="1208" spans="1:7">
      <c r="A1208" s="65">
        <v>117.02</v>
      </c>
      <c r="B1208" s="65">
        <v>118</v>
      </c>
      <c r="C1208" s="65">
        <v>116.35</v>
      </c>
      <c r="D1208" s="65">
        <v>117.83</v>
      </c>
      <c r="E1208" s="65">
        <v>1958433</v>
      </c>
      <c r="F1208" s="65" t="s">
        <v>1254</v>
      </c>
      <c r="G1208" s="25">
        <f t="shared" si="16"/>
        <v>-6.8743104472545058E-3</v>
      </c>
    </row>
    <row r="1209" spans="1:7">
      <c r="A1209" s="65">
        <v>118.09</v>
      </c>
      <c r="B1209" s="65">
        <v>118.71129999999999</v>
      </c>
      <c r="C1209" s="65">
        <v>115.67</v>
      </c>
      <c r="D1209" s="65">
        <v>116.45</v>
      </c>
      <c r="E1209" s="65">
        <v>2086397</v>
      </c>
      <c r="F1209" s="65" t="s">
        <v>1255</v>
      </c>
      <c r="G1209" s="25">
        <f t="shared" si="16"/>
        <v>1.408329755259774E-2</v>
      </c>
    </row>
    <row r="1210" spans="1:7">
      <c r="A1210" s="65">
        <v>116.96</v>
      </c>
      <c r="B1210" s="65">
        <v>119.94</v>
      </c>
      <c r="C1210" s="65">
        <v>116.9</v>
      </c>
      <c r="D1210" s="65">
        <v>119.54</v>
      </c>
      <c r="E1210" s="65">
        <v>2315828</v>
      </c>
      <c r="F1210" s="65" t="s">
        <v>1256</v>
      </c>
      <c r="G1210" s="25">
        <f t="shared" si="16"/>
        <v>-2.1582733812949728E-2</v>
      </c>
    </row>
    <row r="1211" spans="1:7">
      <c r="A1211" s="65">
        <v>118.95</v>
      </c>
      <c r="B1211" s="65">
        <v>119.33</v>
      </c>
      <c r="C1211" s="65">
        <v>117.31</v>
      </c>
      <c r="D1211" s="65">
        <v>118.02</v>
      </c>
      <c r="E1211" s="65">
        <v>1470473</v>
      </c>
      <c r="F1211" s="65" t="s">
        <v>1257</v>
      </c>
      <c r="G1211" s="25">
        <f t="shared" si="16"/>
        <v>7.8800203355364751E-3</v>
      </c>
    </row>
    <row r="1212" spans="1:7">
      <c r="A1212" s="65">
        <v>117.95</v>
      </c>
      <c r="B1212" s="65">
        <v>118.31</v>
      </c>
      <c r="C1212" s="65">
        <v>115.30500000000001</v>
      </c>
      <c r="D1212" s="65">
        <v>115.52</v>
      </c>
      <c r="E1212" s="65">
        <v>1258783</v>
      </c>
      <c r="F1212" s="65" t="s">
        <v>1258</v>
      </c>
      <c r="G1212" s="25">
        <f t="shared" ref="G1212:G1275" si="17">A1212/D1212-1</f>
        <v>2.103531855955687E-2</v>
      </c>
    </row>
    <row r="1213" spans="1:7">
      <c r="A1213" s="65">
        <v>116.26</v>
      </c>
      <c r="B1213" s="65">
        <v>118.18</v>
      </c>
      <c r="C1213" s="65">
        <v>116.18</v>
      </c>
      <c r="D1213" s="65">
        <v>117.51</v>
      </c>
      <c r="E1213" s="65">
        <v>2000407</v>
      </c>
      <c r="F1213" s="65" t="s">
        <v>1259</v>
      </c>
      <c r="G1213" s="25">
        <f t="shared" si="17"/>
        <v>-1.0637392562335091E-2</v>
      </c>
    </row>
    <row r="1214" spans="1:7">
      <c r="A1214" s="65">
        <v>117.26</v>
      </c>
      <c r="B1214" s="65">
        <v>117.405</v>
      </c>
      <c r="C1214" s="65">
        <v>113.75</v>
      </c>
      <c r="D1214" s="65">
        <v>113.9</v>
      </c>
      <c r="E1214" s="65">
        <v>2689179</v>
      </c>
      <c r="F1214" s="65" t="s">
        <v>1260</v>
      </c>
      <c r="G1214" s="25">
        <f t="shared" si="17"/>
        <v>2.9499561018437204E-2</v>
      </c>
    </row>
    <row r="1215" spans="1:7">
      <c r="A1215" s="65">
        <v>114.36</v>
      </c>
      <c r="B1215" s="65">
        <v>114.42</v>
      </c>
      <c r="C1215" s="65">
        <v>112.73</v>
      </c>
      <c r="D1215" s="65">
        <v>113.05</v>
      </c>
      <c r="E1215" s="65">
        <v>1996653</v>
      </c>
      <c r="F1215" s="65" t="s">
        <v>1261</v>
      </c>
      <c r="G1215" s="25">
        <f t="shared" si="17"/>
        <v>1.1587793011941683E-2</v>
      </c>
    </row>
    <row r="1216" spans="1:7">
      <c r="A1216" s="65">
        <v>113.15</v>
      </c>
      <c r="B1216" s="65">
        <v>113.18</v>
      </c>
      <c r="C1216" s="65">
        <v>111.31</v>
      </c>
      <c r="D1216" s="65">
        <v>111.79</v>
      </c>
      <c r="E1216" s="65">
        <v>1958927</v>
      </c>
      <c r="F1216" s="65" t="s">
        <v>1262</v>
      </c>
      <c r="G1216" s="25">
        <f t="shared" si="17"/>
        <v>1.2165667769925781E-2</v>
      </c>
    </row>
    <row r="1217" spans="1:7">
      <c r="A1217" s="65">
        <v>111.77</v>
      </c>
      <c r="B1217" s="65">
        <v>112.25</v>
      </c>
      <c r="C1217" s="65">
        <v>110.965</v>
      </c>
      <c r="D1217" s="65">
        <v>111.21</v>
      </c>
      <c r="E1217" s="65">
        <v>1313356</v>
      </c>
      <c r="F1217" s="65" t="s">
        <v>1263</v>
      </c>
      <c r="G1217" s="25">
        <f t="shared" si="17"/>
        <v>5.0355183886341415E-3</v>
      </c>
    </row>
    <row r="1218" spans="1:7">
      <c r="A1218" s="65">
        <v>111.14</v>
      </c>
      <c r="B1218" s="65">
        <v>112.28</v>
      </c>
      <c r="C1218" s="65">
        <v>110.815</v>
      </c>
      <c r="D1218" s="65">
        <v>112.11</v>
      </c>
      <c r="E1218" s="65">
        <v>1805469</v>
      </c>
      <c r="F1218" s="65" t="s">
        <v>1264</v>
      </c>
      <c r="G1218" s="25">
        <f t="shared" si="17"/>
        <v>-8.6522165730086309E-3</v>
      </c>
    </row>
    <row r="1219" spans="1:7">
      <c r="A1219" s="65">
        <v>111.95</v>
      </c>
      <c r="B1219" s="65">
        <v>114.66</v>
      </c>
      <c r="C1219" s="65">
        <v>111.755</v>
      </c>
      <c r="D1219" s="65">
        <v>114.39</v>
      </c>
      <c r="E1219" s="65">
        <v>2390413</v>
      </c>
      <c r="F1219" s="65" t="s">
        <v>1265</v>
      </c>
      <c r="G1219" s="25">
        <f t="shared" si="17"/>
        <v>-2.1330535886003976E-2</v>
      </c>
    </row>
    <row r="1220" spans="1:7">
      <c r="A1220" s="65">
        <v>114.33</v>
      </c>
      <c r="B1220" s="65">
        <v>115.83</v>
      </c>
      <c r="C1220" s="65">
        <v>113.8</v>
      </c>
      <c r="D1220" s="65">
        <v>115.54</v>
      </c>
      <c r="E1220" s="65">
        <v>1594881</v>
      </c>
      <c r="F1220" s="65" t="s">
        <v>1266</v>
      </c>
      <c r="G1220" s="25">
        <f t="shared" si="17"/>
        <v>-1.0472563614332797E-2</v>
      </c>
    </row>
    <row r="1221" spans="1:7">
      <c r="A1221" s="65">
        <v>115.21</v>
      </c>
      <c r="B1221" s="65">
        <v>115.4</v>
      </c>
      <c r="C1221" s="65">
        <v>113.96</v>
      </c>
      <c r="D1221" s="65">
        <v>114.5</v>
      </c>
      <c r="E1221" s="65">
        <v>1594148</v>
      </c>
      <c r="F1221" s="65" t="s">
        <v>1267</v>
      </c>
      <c r="G1221" s="25">
        <f t="shared" si="17"/>
        <v>6.2008733624454582E-3</v>
      </c>
    </row>
    <row r="1222" spans="1:7">
      <c r="A1222" s="65">
        <v>114.78</v>
      </c>
      <c r="B1222" s="65">
        <v>115.595</v>
      </c>
      <c r="C1222" s="65">
        <v>113.18</v>
      </c>
      <c r="D1222" s="65">
        <v>115</v>
      </c>
      <c r="E1222" s="65">
        <v>1652625</v>
      </c>
      <c r="F1222" s="65" t="s">
        <v>1268</v>
      </c>
      <c r="G1222" s="25">
        <f t="shared" si="17"/>
        <v>-1.913043478260823E-3</v>
      </c>
    </row>
    <row r="1223" spans="1:7">
      <c r="A1223" s="65">
        <v>114.46</v>
      </c>
      <c r="B1223" s="65">
        <v>114.99</v>
      </c>
      <c r="C1223" s="65">
        <v>113.54</v>
      </c>
      <c r="D1223" s="65">
        <v>114.67</v>
      </c>
      <c r="E1223" s="65">
        <v>2079301</v>
      </c>
      <c r="F1223" s="65" t="s">
        <v>1269</v>
      </c>
      <c r="G1223" s="25">
        <f t="shared" si="17"/>
        <v>-1.8313421121479712E-3</v>
      </c>
    </row>
    <row r="1224" spans="1:7">
      <c r="A1224" s="65">
        <v>114.7</v>
      </c>
      <c r="B1224" s="65">
        <v>114.74250000000001</v>
      </c>
      <c r="C1224" s="65">
        <v>113.05</v>
      </c>
      <c r="D1224" s="65">
        <v>113.32</v>
      </c>
      <c r="E1224" s="65">
        <v>2088123</v>
      </c>
      <c r="F1224" s="65" t="s">
        <v>1270</v>
      </c>
      <c r="G1224" s="25">
        <f t="shared" si="17"/>
        <v>1.2177903282739155E-2</v>
      </c>
    </row>
    <row r="1225" spans="1:7">
      <c r="A1225" s="65">
        <v>113.28</v>
      </c>
      <c r="B1225" s="65">
        <v>113.84</v>
      </c>
      <c r="C1225" s="65">
        <v>112.08</v>
      </c>
      <c r="D1225" s="65">
        <v>112.42</v>
      </c>
      <c r="E1225" s="65">
        <v>2274780</v>
      </c>
      <c r="F1225" s="65" t="s">
        <v>1271</v>
      </c>
      <c r="G1225" s="25">
        <f t="shared" si="17"/>
        <v>7.649884362213033E-3</v>
      </c>
    </row>
    <row r="1226" spans="1:7">
      <c r="A1226" s="65">
        <v>112.27</v>
      </c>
      <c r="B1226" s="65">
        <v>114.22499999999999</v>
      </c>
      <c r="C1226" s="65">
        <v>109.8301</v>
      </c>
      <c r="D1226" s="65">
        <v>113.375</v>
      </c>
      <c r="E1226" s="65">
        <v>3518340</v>
      </c>
      <c r="F1226" s="65" t="s">
        <v>1272</v>
      </c>
      <c r="G1226" s="25">
        <f t="shared" si="17"/>
        <v>-9.746416758544707E-3</v>
      </c>
    </row>
    <row r="1227" spans="1:7">
      <c r="A1227" s="65">
        <v>111.62</v>
      </c>
      <c r="B1227" s="65">
        <v>111.96</v>
      </c>
      <c r="C1227" s="65">
        <v>109.96</v>
      </c>
      <c r="D1227" s="65">
        <v>110.33</v>
      </c>
      <c r="E1227" s="65">
        <v>3438961</v>
      </c>
      <c r="F1227" s="65" t="s">
        <v>1273</v>
      </c>
      <c r="G1227" s="25">
        <f t="shared" si="17"/>
        <v>1.1692196138856303E-2</v>
      </c>
    </row>
    <row r="1228" spans="1:7">
      <c r="A1228" s="65">
        <v>110.06</v>
      </c>
      <c r="B1228" s="65">
        <v>110.78</v>
      </c>
      <c r="C1228" s="65">
        <v>109.39</v>
      </c>
      <c r="D1228" s="65">
        <v>110</v>
      </c>
      <c r="E1228" s="65">
        <v>1592788</v>
      </c>
      <c r="F1228" s="65" t="s">
        <v>1274</v>
      </c>
      <c r="G1228" s="25">
        <f t="shared" si="17"/>
        <v>5.4545454545462668E-4</v>
      </c>
    </row>
    <row r="1229" spans="1:7">
      <c r="A1229" s="65">
        <v>109.9</v>
      </c>
      <c r="B1229" s="65">
        <v>110.14</v>
      </c>
      <c r="C1229" s="65">
        <v>108.8</v>
      </c>
      <c r="D1229" s="65">
        <v>109.01</v>
      </c>
      <c r="E1229" s="65">
        <v>1781786</v>
      </c>
      <c r="F1229" s="65" t="s">
        <v>1275</v>
      </c>
      <c r="G1229" s="25">
        <f t="shared" si="17"/>
        <v>8.1643885882030087E-3</v>
      </c>
    </row>
    <row r="1230" spans="1:7">
      <c r="A1230" s="65">
        <v>108.89</v>
      </c>
      <c r="B1230" s="65">
        <v>109.145</v>
      </c>
      <c r="C1230" s="65">
        <v>107.88</v>
      </c>
      <c r="D1230" s="65">
        <v>109.01</v>
      </c>
      <c r="E1230" s="65">
        <v>2575996</v>
      </c>
      <c r="F1230" s="65" t="s">
        <v>1276</v>
      </c>
      <c r="G1230" s="25">
        <f t="shared" si="17"/>
        <v>-1.1008164388588426E-3</v>
      </c>
    </row>
    <row r="1231" spans="1:7">
      <c r="A1231" s="65">
        <v>109.4</v>
      </c>
      <c r="B1231" s="65">
        <v>109.66500000000001</v>
      </c>
      <c r="C1231" s="65">
        <v>107.44</v>
      </c>
      <c r="D1231" s="65">
        <v>108.08</v>
      </c>
      <c r="E1231" s="65">
        <v>2527915</v>
      </c>
      <c r="F1231" s="65" t="s">
        <v>1277</v>
      </c>
      <c r="G1231" s="25">
        <f t="shared" si="17"/>
        <v>1.2213175425610734E-2</v>
      </c>
    </row>
    <row r="1232" spans="1:7">
      <c r="A1232" s="65">
        <v>107.06</v>
      </c>
      <c r="B1232" s="65">
        <v>107.1</v>
      </c>
      <c r="C1232" s="65">
        <v>105.59</v>
      </c>
      <c r="D1232" s="65">
        <v>106.31</v>
      </c>
      <c r="E1232" s="65">
        <v>1195050</v>
      </c>
      <c r="F1232" s="65" t="s">
        <v>1278</v>
      </c>
      <c r="G1232" s="25">
        <f t="shared" si="17"/>
        <v>7.054839619979214E-3</v>
      </c>
    </row>
    <row r="1233" spans="1:7">
      <c r="A1233" s="65">
        <v>106.05</v>
      </c>
      <c r="B1233" s="65">
        <v>107.32</v>
      </c>
      <c r="C1233" s="65">
        <v>105.3</v>
      </c>
      <c r="D1233" s="65">
        <v>107.28</v>
      </c>
      <c r="E1233" s="65">
        <v>2109770</v>
      </c>
      <c r="F1233" s="65" t="s">
        <v>1279</v>
      </c>
      <c r="G1233" s="25">
        <f t="shared" si="17"/>
        <v>-1.1465324384787534E-2</v>
      </c>
    </row>
    <row r="1234" spans="1:7">
      <c r="A1234" s="65">
        <v>106.58</v>
      </c>
      <c r="B1234" s="65">
        <v>107.08</v>
      </c>
      <c r="C1234" s="65">
        <v>103.21</v>
      </c>
      <c r="D1234" s="65">
        <v>103.36</v>
      </c>
      <c r="E1234" s="65">
        <v>2783510</v>
      </c>
      <c r="F1234" s="65" t="s">
        <v>1280</v>
      </c>
      <c r="G1234" s="25">
        <f t="shared" si="17"/>
        <v>3.1153250773993779E-2</v>
      </c>
    </row>
    <row r="1235" spans="1:7">
      <c r="A1235" s="65">
        <v>102.91</v>
      </c>
      <c r="B1235" s="65">
        <v>106.1</v>
      </c>
      <c r="C1235" s="65">
        <v>102.7</v>
      </c>
      <c r="D1235" s="65">
        <v>106.1</v>
      </c>
      <c r="E1235" s="65">
        <v>4677321</v>
      </c>
      <c r="F1235" s="65" t="s">
        <v>1281</v>
      </c>
      <c r="G1235" s="25">
        <f t="shared" si="17"/>
        <v>-3.0065975494816155E-2</v>
      </c>
    </row>
    <row r="1236" spans="1:7">
      <c r="A1236" s="65">
        <v>106.92</v>
      </c>
      <c r="B1236" s="65">
        <v>107.46</v>
      </c>
      <c r="C1236" s="65">
        <v>106.14</v>
      </c>
      <c r="D1236" s="65">
        <v>106.93</v>
      </c>
      <c r="E1236" s="65">
        <v>5378548</v>
      </c>
      <c r="F1236" s="65" t="s">
        <v>1282</v>
      </c>
      <c r="G1236" s="25">
        <f t="shared" si="17"/>
        <v>-9.3519124661045616E-5</v>
      </c>
    </row>
    <row r="1237" spans="1:7">
      <c r="A1237" s="65">
        <v>106.34</v>
      </c>
      <c r="B1237" s="65">
        <v>106.83</v>
      </c>
      <c r="C1237" s="65">
        <v>105.45</v>
      </c>
      <c r="D1237" s="65">
        <v>106.57</v>
      </c>
      <c r="E1237" s="65">
        <v>2540305</v>
      </c>
      <c r="F1237" s="65" t="s">
        <v>1283</v>
      </c>
      <c r="G1237" s="25">
        <f t="shared" si="17"/>
        <v>-2.1582058740733379E-3</v>
      </c>
    </row>
    <row r="1238" spans="1:7">
      <c r="A1238" s="65">
        <v>106.79</v>
      </c>
      <c r="B1238" s="65">
        <v>107.55</v>
      </c>
      <c r="C1238" s="65">
        <v>106.52</v>
      </c>
      <c r="D1238" s="65">
        <v>106.85</v>
      </c>
      <c r="E1238" s="65">
        <v>1755095</v>
      </c>
      <c r="F1238" s="65" t="s">
        <v>1284</v>
      </c>
      <c r="G1238" s="25">
        <f t="shared" si="17"/>
        <v>-5.6153486195587021E-4</v>
      </c>
    </row>
    <row r="1239" spans="1:7">
      <c r="A1239" s="65">
        <v>106.74</v>
      </c>
      <c r="B1239" s="65">
        <v>107.04</v>
      </c>
      <c r="C1239" s="65">
        <v>105.8867</v>
      </c>
      <c r="D1239" s="65">
        <v>107.01</v>
      </c>
      <c r="E1239" s="65">
        <v>1378824</v>
      </c>
      <c r="F1239" s="65" t="s">
        <v>1285</v>
      </c>
      <c r="G1239" s="25">
        <f t="shared" si="17"/>
        <v>-2.523128679562725E-3</v>
      </c>
    </row>
    <row r="1240" spans="1:7">
      <c r="A1240" s="65">
        <v>106.84</v>
      </c>
      <c r="B1240" s="65">
        <v>107.69750000000001</v>
      </c>
      <c r="C1240" s="65">
        <v>106.21</v>
      </c>
      <c r="D1240" s="65">
        <v>107.48</v>
      </c>
      <c r="E1240" s="65">
        <v>2420136</v>
      </c>
      <c r="F1240" s="65" t="s">
        <v>1286</v>
      </c>
      <c r="G1240" s="25">
        <f t="shared" si="17"/>
        <v>-5.9545962039448952E-3</v>
      </c>
    </row>
    <row r="1241" spans="1:7">
      <c r="A1241" s="65">
        <v>107.51</v>
      </c>
      <c r="B1241" s="65">
        <v>109.01</v>
      </c>
      <c r="C1241" s="65">
        <v>107.1</v>
      </c>
      <c r="D1241" s="65">
        <v>108.41</v>
      </c>
      <c r="E1241" s="65">
        <v>1567295</v>
      </c>
      <c r="F1241" s="65" t="s">
        <v>1287</v>
      </c>
      <c r="G1241" s="25">
        <f t="shared" si="17"/>
        <v>-8.3018171755372405E-3</v>
      </c>
    </row>
    <row r="1242" spans="1:7">
      <c r="A1242" s="65">
        <v>108.19</v>
      </c>
      <c r="B1242" s="65">
        <v>108.29</v>
      </c>
      <c r="C1242" s="65">
        <v>106.11</v>
      </c>
      <c r="D1242" s="65">
        <v>106.72</v>
      </c>
      <c r="E1242" s="65">
        <v>1805539</v>
      </c>
      <c r="F1242" s="65" t="s">
        <v>1288</v>
      </c>
      <c r="G1242" s="25">
        <f t="shared" si="17"/>
        <v>1.377436281859068E-2</v>
      </c>
    </row>
    <row r="1243" spans="1:7">
      <c r="A1243" s="65">
        <v>107.88</v>
      </c>
      <c r="B1243" s="65">
        <v>108.07</v>
      </c>
      <c r="C1243" s="65">
        <v>105.97</v>
      </c>
      <c r="D1243" s="65">
        <v>106.89</v>
      </c>
      <c r="E1243" s="65">
        <v>2495524</v>
      </c>
      <c r="F1243" s="65" t="s">
        <v>1289</v>
      </c>
      <c r="G1243" s="25">
        <f t="shared" si="17"/>
        <v>9.2618579848442462E-3</v>
      </c>
    </row>
    <row r="1244" spans="1:7">
      <c r="A1244" s="65">
        <v>106.46</v>
      </c>
      <c r="B1244" s="65">
        <v>106.58</v>
      </c>
      <c r="C1244" s="65">
        <v>105.07</v>
      </c>
      <c r="D1244" s="65">
        <v>106.58</v>
      </c>
      <c r="E1244" s="65">
        <v>2204975</v>
      </c>
      <c r="F1244" s="65" t="s">
        <v>1290</v>
      </c>
      <c r="G1244" s="25">
        <f t="shared" si="17"/>
        <v>-1.1259148057797264E-3</v>
      </c>
    </row>
    <row r="1245" spans="1:7">
      <c r="A1245" s="65">
        <v>106.59</v>
      </c>
      <c r="B1245" s="65">
        <v>106.73</v>
      </c>
      <c r="C1245" s="65">
        <v>105.06</v>
      </c>
      <c r="D1245" s="65">
        <v>105.3</v>
      </c>
      <c r="E1245" s="65">
        <v>1838134</v>
      </c>
      <c r="F1245" s="65" t="s">
        <v>1291</v>
      </c>
      <c r="G1245" s="25">
        <f t="shared" si="17"/>
        <v>1.2250712250712281E-2</v>
      </c>
    </row>
    <row r="1246" spans="1:7">
      <c r="A1246" s="65">
        <v>104.81</v>
      </c>
      <c r="B1246" s="65">
        <v>105</v>
      </c>
      <c r="C1246" s="65">
        <v>103.52500000000001</v>
      </c>
      <c r="D1246" s="65">
        <v>103.6</v>
      </c>
      <c r="E1246" s="65">
        <v>2661718</v>
      </c>
      <c r="F1246" s="65" t="s">
        <v>1292</v>
      </c>
      <c r="G1246" s="25">
        <f t="shared" si="17"/>
        <v>1.1679536679536806E-2</v>
      </c>
    </row>
    <row r="1247" spans="1:7">
      <c r="A1247" s="65">
        <v>103.57</v>
      </c>
      <c r="B1247" s="65">
        <v>104.64</v>
      </c>
      <c r="C1247" s="65">
        <v>103.241</v>
      </c>
      <c r="D1247" s="65">
        <v>103.96</v>
      </c>
      <c r="E1247" s="65">
        <v>2517332</v>
      </c>
      <c r="F1247" s="65" t="s">
        <v>1293</v>
      </c>
      <c r="G1247" s="25">
        <f t="shared" si="17"/>
        <v>-3.7514428626395091E-3</v>
      </c>
    </row>
    <row r="1248" spans="1:7">
      <c r="A1248" s="65">
        <v>103.59</v>
      </c>
      <c r="B1248" s="65">
        <v>103.79</v>
      </c>
      <c r="C1248" s="65">
        <v>102.19</v>
      </c>
      <c r="D1248" s="65">
        <v>102.57</v>
      </c>
      <c r="E1248" s="65">
        <v>1989409</v>
      </c>
      <c r="F1248" s="65" t="s">
        <v>1294</v>
      </c>
      <c r="G1248" s="25">
        <f t="shared" si="17"/>
        <v>9.9444281953788849E-3</v>
      </c>
    </row>
    <row r="1249" spans="1:7">
      <c r="A1249" s="65">
        <v>102.58</v>
      </c>
      <c r="B1249" s="65">
        <v>104</v>
      </c>
      <c r="C1249" s="65">
        <v>101.74</v>
      </c>
      <c r="D1249" s="65">
        <v>103.64</v>
      </c>
      <c r="E1249" s="65">
        <v>4900489</v>
      </c>
      <c r="F1249" s="65" t="s">
        <v>1295</v>
      </c>
      <c r="G1249" s="25">
        <f t="shared" si="17"/>
        <v>-1.0227711308375187E-2</v>
      </c>
    </row>
    <row r="1250" spans="1:7">
      <c r="A1250" s="65">
        <v>103.57</v>
      </c>
      <c r="B1250" s="65">
        <v>104.73</v>
      </c>
      <c r="C1250" s="65">
        <v>103.19</v>
      </c>
      <c r="D1250" s="65">
        <v>104.11</v>
      </c>
      <c r="E1250" s="65">
        <v>2947588</v>
      </c>
      <c r="F1250" s="65" t="s">
        <v>1296</v>
      </c>
      <c r="G1250" s="25">
        <f t="shared" si="17"/>
        <v>-5.1868216309672865E-3</v>
      </c>
    </row>
    <row r="1251" spans="1:7">
      <c r="A1251" s="65">
        <v>103.8</v>
      </c>
      <c r="B1251" s="65">
        <v>105.58</v>
      </c>
      <c r="C1251" s="65">
        <v>103.72</v>
      </c>
      <c r="D1251" s="65">
        <v>105.53</v>
      </c>
      <c r="E1251" s="65">
        <v>1849110</v>
      </c>
      <c r="F1251" s="65" t="s">
        <v>1297</v>
      </c>
      <c r="G1251" s="25">
        <f t="shared" si="17"/>
        <v>-1.6393442622950838E-2</v>
      </c>
    </row>
    <row r="1252" spans="1:7">
      <c r="A1252" s="65">
        <v>104.76</v>
      </c>
      <c r="B1252" s="65">
        <v>105.1</v>
      </c>
      <c r="C1252" s="65">
        <v>104.25</v>
      </c>
      <c r="D1252" s="65">
        <v>104.25</v>
      </c>
      <c r="E1252" s="65">
        <v>2068764</v>
      </c>
      <c r="F1252" s="65" t="s">
        <v>1298</v>
      </c>
      <c r="G1252" s="25">
        <f t="shared" si="17"/>
        <v>4.8920863309354079E-3</v>
      </c>
    </row>
    <row r="1253" spans="1:7">
      <c r="A1253" s="65">
        <v>104.52</v>
      </c>
      <c r="B1253" s="65">
        <v>104.74</v>
      </c>
      <c r="C1253" s="65">
        <v>102.66</v>
      </c>
      <c r="D1253" s="65">
        <v>102.88</v>
      </c>
      <c r="E1253" s="65">
        <v>2542191</v>
      </c>
      <c r="F1253" s="65" t="s">
        <v>1299</v>
      </c>
      <c r="G1253" s="25">
        <f t="shared" si="17"/>
        <v>1.5940902021772896E-2</v>
      </c>
    </row>
    <row r="1254" spans="1:7">
      <c r="A1254" s="65">
        <v>102.84</v>
      </c>
      <c r="B1254" s="65">
        <v>103.28</v>
      </c>
      <c r="C1254" s="65">
        <v>100.43</v>
      </c>
      <c r="D1254" s="65">
        <v>101.46</v>
      </c>
      <c r="E1254" s="65">
        <v>2059344</v>
      </c>
      <c r="F1254" s="65" t="s">
        <v>1300</v>
      </c>
      <c r="G1254" s="25">
        <f t="shared" si="17"/>
        <v>1.3601419278533422E-2</v>
      </c>
    </row>
    <row r="1255" spans="1:7">
      <c r="A1255" s="65">
        <v>100.71</v>
      </c>
      <c r="B1255" s="65">
        <v>101.52500000000001</v>
      </c>
      <c r="C1255" s="65">
        <v>100.07</v>
      </c>
      <c r="D1255" s="65">
        <v>100.12</v>
      </c>
      <c r="E1255" s="65">
        <v>3222641</v>
      </c>
      <c r="F1255" s="65" t="s">
        <v>1301</v>
      </c>
      <c r="G1255" s="25">
        <f t="shared" si="17"/>
        <v>5.8929284858169062E-3</v>
      </c>
    </row>
    <row r="1256" spans="1:7">
      <c r="A1256" s="65">
        <v>100.99</v>
      </c>
      <c r="B1256" s="65">
        <v>101.21</v>
      </c>
      <c r="C1256" s="65">
        <v>99.76</v>
      </c>
      <c r="D1256" s="65">
        <v>99.98</v>
      </c>
      <c r="E1256" s="65">
        <v>2538698</v>
      </c>
      <c r="F1256" s="65" t="s">
        <v>1302</v>
      </c>
      <c r="G1256" s="25">
        <f t="shared" si="17"/>
        <v>1.0102020404080703E-2</v>
      </c>
    </row>
    <row r="1257" spans="1:7">
      <c r="A1257" s="65">
        <v>100.14</v>
      </c>
      <c r="B1257" s="65">
        <v>101.21</v>
      </c>
      <c r="C1257" s="65">
        <v>99.53</v>
      </c>
      <c r="D1257" s="65">
        <v>100.74</v>
      </c>
      <c r="E1257" s="65">
        <v>2511037</v>
      </c>
      <c r="F1257" s="65" t="s">
        <v>1303</v>
      </c>
      <c r="G1257" s="25">
        <f t="shared" si="17"/>
        <v>-5.9559261465157443E-3</v>
      </c>
    </row>
    <row r="1258" spans="1:7">
      <c r="A1258" s="65">
        <v>100.28</v>
      </c>
      <c r="B1258" s="65">
        <v>101.28</v>
      </c>
      <c r="C1258" s="65">
        <v>99.91</v>
      </c>
      <c r="D1258" s="65">
        <v>101.17</v>
      </c>
      <c r="E1258" s="65">
        <v>1503093</v>
      </c>
      <c r="F1258" s="65" t="s">
        <v>1304</v>
      </c>
      <c r="G1258" s="25">
        <f t="shared" si="17"/>
        <v>-8.797074231491564E-3</v>
      </c>
    </row>
    <row r="1259" spans="1:7">
      <c r="A1259" s="65">
        <v>100.96</v>
      </c>
      <c r="B1259" s="65">
        <v>101</v>
      </c>
      <c r="C1259" s="65">
        <v>99.58</v>
      </c>
      <c r="D1259" s="65">
        <v>99.91</v>
      </c>
      <c r="E1259" s="65">
        <v>2024342</v>
      </c>
      <c r="F1259" s="65" t="s">
        <v>1305</v>
      </c>
      <c r="G1259" s="25">
        <f t="shared" si="17"/>
        <v>1.0509458512661274E-2</v>
      </c>
    </row>
    <row r="1260" spans="1:7">
      <c r="A1260" s="65">
        <v>99.99</v>
      </c>
      <c r="B1260" s="65">
        <v>100.1</v>
      </c>
      <c r="C1260" s="65">
        <v>99.06</v>
      </c>
      <c r="D1260" s="65">
        <v>99.55</v>
      </c>
      <c r="E1260" s="65">
        <v>2843708</v>
      </c>
      <c r="F1260" s="65" t="s">
        <v>1306</v>
      </c>
      <c r="G1260" s="25">
        <f t="shared" si="17"/>
        <v>4.4198895027625085E-3</v>
      </c>
    </row>
    <row r="1261" spans="1:7">
      <c r="A1261" s="65">
        <v>99.94</v>
      </c>
      <c r="B1261" s="65">
        <v>99.95</v>
      </c>
      <c r="C1261" s="65">
        <v>97.16</v>
      </c>
      <c r="D1261" s="65">
        <v>97.24</v>
      </c>
      <c r="E1261" s="65">
        <v>2938325</v>
      </c>
      <c r="F1261" s="65" t="s">
        <v>1307</v>
      </c>
      <c r="G1261" s="25">
        <f t="shared" si="17"/>
        <v>2.7766351295763103E-2</v>
      </c>
    </row>
    <row r="1262" spans="1:7">
      <c r="A1262" s="65">
        <v>97.08</v>
      </c>
      <c r="B1262" s="65">
        <v>97.83</v>
      </c>
      <c r="C1262" s="65">
        <v>96.82</v>
      </c>
      <c r="D1262" s="65">
        <v>97.45</v>
      </c>
      <c r="E1262" s="65">
        <v>1889514</v>
      </c>
      <c r="F1262" s="65" t="s">
        <v>1308</v>
      </c>
      <c r="G1262" s="25">
        <f t="shared" si="17"/>
        <v>-3.7968188814777593E-3</v>
      </c>
    </row>
    <row r="1263" spans="1:7">
      <c r="A1263" s="65">
        <v>96.98</v>
      </c>
      <c r="B1263" s="65">
        <v>97.4</v>
      </c>
      <c r="C1263" s="65">
        <v>95.88</v>
      </c>
      <c r="D1263" s="65">
        <v>96.98</v>
      </c>
      <c r="E1263" s="65">
        <v>1898331</v>
      </c>
      <c r="F1263" s="65" t="s">
        <v>1309</v>
      </c>
      <c r="G1263" s="25">
        <f t="shared" si="17"/>
        <v>0</v>
      </c>
    </row>
    <row r="1264" spans="1:7">
      <c r="A1264" s="65">
        <v>96.34</v>
      </c>
      <c r="B1264" s="65">
        <v>98.04</v>
      </c>
      <c r="C1264" s="65">
        <v>95.76</v>
      </c>
      <c r="D1264" s="65">
        <v>95.84</v>
      </c>
      <c r="E1264" s="65">
        <v>1944655</v>
      </c>
      <c r="F1264" s="65" t="s">
        <v>1310</v>
      </c>
      <c r="G1264" s="25">
        <f t="shared" si="17"/>
        <v>5.2170283806343143E-3</v>
      </c>
    </row>
    <row r="1265" spans="1:7">
      <c r="A1265" s="65">
        <v>95.87</v>
      </c>
      <c r="B1265" s="65">
        <v>96.352500000000006</v>
      </c>
      <c r="C1265" s="65">
        <v>95.07</v>
      </c>
      <c r="D1265" s="65">
        <v>95.15</v>
      </c>
      <c r="E1265" s="65">
        <v>2132986</v>
      </c>
      <c r="F1265" s="65" t="s">
        <v>1311</v>
      </c>
      <c r="G1265" s="25">
        <f t="shared" si="17"/>
        <v>7.5669994745140023E-3</v>
      </c>
    </row>
    <row r="1266" spans="1:7">
      <c r="A1266" s="65">
        <v>94.34</v>
      </c>
      <c r="B1266" s="65">
        <v>94.590699999999998</v>
      </c>
      <c r="C1266" s="65">
        <v>92.59</v>
      </c>
      <c r="D1266" s="65">
        <v>92.8</v>
      </c>
      <c r="E1266" s="65">
        <v>2212232</v>
      </c>
      <c r="F1266" s="65" t="s">
        <v>1312</v>
      </c>
      <c r="G1266" s="25">
        <f t="shared" si="17"/>
        <v>1.6594827586206895E-2</v>
      </c>
    </row>
    <row r="1267" spans="1:7">
      <c r="A1267" s="65">
        <v>93.38</v>
      </c>
      <c r="B1267" s="65">
        <v>95.13</v>
      </c>
      <c r="C1267" s="65">
        <v>93.08</v>
      </c>
      <c r="D1267" s="65">
        <v>94.89</v>
      </c>
      <c r="E1267" s="65">
        <v>1791790</v>
      </c>
      <c r="F1267" s="65" t="s">
        <v>1313</v>
      </c>
      <c r="G1267" s="25">
        <f t="shared" si="17"/>
        <v>-1.5913162609337173E-2</v>
      </c>
    </row>
    <row r="1268" spans="1:7">
      <c r="A1268" s="65">
        <v>95.12</v>
      </c>
      <c r="B1268" s="65">
        <v>96.7</v>
      </c>
      <c r="C1268" s="65">
        <v>94.75</v>
      </c>
      <c r="D1268" s="65">
        <v>96.69</v>
      </c>
      <c r="E1268" s="65">
        <v>2010647</v>
      </c>
      <c r="F1268" s="65" t="s">
        <v>1314</v>
      </c>
      <c r="G1268" s="25">
        <f t="shared" si="17"/>
        <v>-1.6237459923466702E-2</v>
      </c>
    </row>
    <row r="1269" spans="1:7">
      <c r="A1269" s="65">
        <v>95.9</v>
      </c>
      <c r="B1269" s="65">
        <v>96.44</v>
      </c>
      <c r="C1269" s="65">
        <v>95.27</v>
      </c>
      <c r="D1269" s="65">
        <v>95.29</v>
      </c>
      <c r="E1269" s="65">
        <v>2097786</v>
      </c>
      <c r="F1269" s="65" t="s">
        <v>1315</v>
      </c>
      <c r="G1269" s="25">
        <f t="shared" si="17"/>
        <v>6.4015111764088584E-3</v>
      </c>
    </row>
    <row r="1270" spans="1:7">
      <c r="A1270" s="65">
        <v>94.35</v>
      </c>
      <c r="B1270" s="65">
        <v>95.82</v>
      </c>
      <c r="C1270" s="65">
        <v>94.31</v>
      </c>
      <c r="D1270" s="65">
        <v>95.8</v>
      </c>
      <c r="E1270" s="65">
        <v>3799715</v>
      </c>
      <c r="F1270" s="65" t="s">
        <v>1316</v>
      </c>
      <c r="G1270" s="25">
        <f t="shared" si="17"/>
        <v>-1.5135699373695188E-2</v>
      </c>
    </row>
    <row r="1271" spans="1:7">
      <c r="A1271" s="65">
        <v>96</v>
      </c>
      <c r="B1271" s="65">
        <v>97.28</v>
      </c>
      <c r="C1271" s="65">
        <v>94.68</v>
      </c>
      <c r="D1271" s="65">
        <v>97.28</v>
      </c>
      <c r="E1271" s="65">
        <v>2308367</v>
      </c>
      <c r="F1271" s="65" t="s">
        <v>1317</v>
      </c>
      <c r="G1271" s="25">
        <f t="shared" si="17"/>
        <v>-1.3157894736842146E-2</v>
      </c>
    </row>
    <row r="1272" spans="1:7">
      <c r="A1272" s="65">
        <v>96.68</v>
      </c>
      <c r="B1272" s="65">
        <v>96.76</v>
      </c>
      <c r="C1272" s="65">
        <v>95.81</v>
      </c>
      <c r="D1272" s="65">
        <v>95.96</v>
      </c>
      <c r="E1272" s="65">
        <v>2230765</v>
      </c>
      <c r="F1272" s="65" t="s">
        <v>1318</v>
      </c>
      <c r="G1272" s="25">
        <f t="shared" si="17"/>
        <v>7.503126302626173E-3</v>
      </c>
    </row>
    <row r="1273" spans="1:7">
      <c r="A1273" s="65">
        <v>95.45</v>
      </c>
      <c r="B1273" s="65">
        <v>96.47</v>
      </c>
      <c r="C1273" s="65">
        <v>94.92</v>
      </c>
      <c r="D1273" s="65">
        <v>95</v>
      </c>
      <c r="E1273" s="65">
        <v>3147132</v>
      </c>
      <c r="F1273" s="65" t="s">
        <v>1319</v>
      </c>
      <c r="G1273" s="25">
        <f t="shared" si="17"/>
        <v>4.7368421052631504E-3</v>
      </c>
    </row>
    <row r="1274" spans="1:7">
      <c r="A1274" s="65">
        <v>94.2</v>
      </c>
      <c r="B1274" s="65">
        <v>94.63</v>
      </c>
      <c r="C1274" s="65">
        <v>93.13</v>
      </c>
      <c r="D1274" s="65">
        <v>93.13</v>
      </c>
      <c r="E1274" s="65">
        <v>3472783</v>
      </c>
      <c r="F1274" s="65" t="s">
        <v>1320</v>
      </c>
      <c r="G1274" s="25">
        <f t="shared" si="17"/>
        <v>1.1489316009878792E-2</v>
      </c>
    </row>
    <row r="1275" spans="1:7">
      <c r="A1275" s="65">
        <v>92.8</v>
      </c>
      <c r="B1275" s="65">
        <v>93.27</v>
      </c>
      <c r="C1275" s="65">
        <v>91.02</v>
      </c>
      <c r="D1275" s="65">
        <v>91.02</v>
      </c>
      <c r="E1275" s="65">
        <v>2203924</v>
      </c>
      <c r="F1275" s="65" t="s">
        <v>1321</v>
      </c>
      <c r="G1275" s="25">
        <f t="shared" si="17"/>
        <v>1.9556141507361069E-2</v>
      </c>
    </row>
    <row r="1276" spans="1:7">
      <c r="A1276" s="65">
        <v>90.68</v>
      </c>
      <c r="B1276" s="65">
        <v>90.7</v>
      </c>
      <c r="C1276" s="65">
        <v>88.96</v>
      </c>
      <c r="D1276" s="65">
        <v>89.18</v>
      </c>
      <c r="E1276" s="65">
        <v>1974204</v>
      </c>
      <c r="F1276" s="65" t="s">
        <v>1322</v>
      </c>
      <c r="G1276" s="25">
        <f t="shared" ref="G1276:G1339" si="18">A1276/D1276-1</f>
        <v>1.6819914779098388E-2</v>
      </c>
    </row>
    <row r="1277" spans="1:7">
      <c r="A1277" s="65">
        <v>90.07</v>
      </c>
      <c r="B1277" s="65">
        <v>91.06</v>
      </c>
      <c r="C1277" s="65">
        <v>89.61</v>
      </c>
      <c r="D1277" s="65">
        <v>90.25</v>
      </c>
      <c r="E1277" s="65">
        <v>1552237</v>
      </c>
      <c r="F1277" s="65" t="s">
        <v>1323</v>
      </c>
      <c r="G1277" s="25">
        <f t="shared" si="18"/>
        <v>-1.9944598337950925E-3</v>
      </c>
    </row>
    <row r="1278" spans="1:7">
      <c r="A1278" s="65">
        <v>89.85</v>
      </c>
      <c r="B1278" s="65">
        <v>90.21</v>
      </c>
      <c r="C1278" s="65">
        <v>89.12</v>
      </c>
      <c r="D1278" s="65">
        <v>89.23</v>
      </c>
      <c r="E1278" s="65">
        <v>3412839</v>
      </c>
      <c r="F1278" s="65" t="s">
        <v>1324</v>
      </c>
      <c r="G1278" s="25">
        <f t="shared" si="18"/>
        <v>6.9483357615149899E-3</v>
      </c>
    </row>
    <row r="1279" spans="1:7">
      <c r="A1279" s="65">
        <v>89.49</v>
      </c>
      <c r="B1279" s="65">
        <v>89.94</v>
      </c>
      <c r="C1279" s="65">
        <v>88.01</v>
      </c>
      <c r="D1279" s="65">
        <v>88.3</v>
      </c>
      <c r="E1279" s="65">
        <v>2074784</v>
      </c>
      <c r="F1279" s="65" t="s">
        <v>1325</v>
      </c>
      <c r="G1279" s="25">
        <f t="shared" si="18"/>
        <v>1.3476783691959149E-2</v>
      </c>
    </row>
    <row r="1280" spans="1:7">
      <c r="A1280" s="65">
        <v>87.94</v>
      </c>
      <c r="B1280" s="65">
        <v>88.619900000000001</v>
      </c>
      <c r="C1280" s="65">
        <v>87.36</v>
      </c>
      <c r="D1280" s="65">
        <v>88.08</v>
      </c>
      <c r="E1280" s="65">
        <v>1094041</v>
      </c>
      <c r="F1280" s="65" t="s">
        <v>1326</v>
      </c>
      <c r="G1280" s="25">
        <f t="shared" si="18"/>
        <v>-1.5894641235241203E-3</v>
      </c>
    </row>
    <row r="1281" spans="1:7">
      <c r="A1281" s="65">
        <v>87.47</v>
      </c>
      <c r="B1281" s="65">
        <v>88.88</v>
      </c>
      <c r="C1281" s="65">
        <v>87.32</v>
      </c>
      <c r="D1281" s="65">
        <v>88.56</v>
      </c>
      <c r="E1281" s="65">
        <v>1905839</v>
      </c>
      <c r="F1281" s="65" t="s">
        <v>1327</v>
      </c>
      <c r="G1281" s="25">
        <f t="shared" si="18"/>
        <v>-1.2308039747064181E-2</v>
      </c>
    </row>
    <row r="1282" spans="1:7">
      <c r="A1282" s="65">
        <v>89.51</v>
      </c>
      <c r="B1282" s="65">
        <v>90.2</v>
      </c>
      <c r="C1282" s="65">
        <v>88.66</v>
      </c>
      <c r="D1282" s="65">
        <v>89.41</v>
      </c>
      <c r="E1282" s="65">
        <v>2175293</v>
      </c>
      <c r="F1282" s="65" t="s">
        <v>1328</v>
      </c>
      <c r="G1282" s="25">
        <f t="shared" si="18"/>
        <v>1.1184431271671347E-3</v>
      </c>
    </row>
    <row r="1283" spans="1:7">
      <c r="A1283" s="65">
        <v>90.4</v>
      </c>
      <c r="B1283" s="65">
        <v>92.394999999999996</v>
      </c>
      <c r="C1283" s="65">
        <v>90.25</v>
      </c>
      <c r="D1283" s="65">
        <v>92.22</v>
      </c>
      <c r="E1283" s="65">
        <v>2356494</v>
      </c>
      <c r="F1283" s="65" t="s">
        <v>1329</v>
      </c>
      <c r="G1283" s="25">
        <f t="shared" si="18"/>
        <v>-1.9735415311212257E-2</v>
      </c>
    </row>
    <row r="1284" spans="1:7">
      <c r="A1284" s="65">
        <v>92.17</v>
      </c>
      <c r="B1284" s="65">
        <v>93.67</v>
      </c>
      <c r="C1284" s="65">
        <v>91.8</v>
      </c>
      <c r="D1284" s="65">
        <v>91.87</v>
      </c>
      <c r="E1284" s="65">
        <v>2255078</v>
      </c>
      <c r="F1284" s="65" t="s">
        <v>1330</v>
      </c>
      <c r="G1284" s="25">
        <f t="shared" si="18"/>
        <v>3.2654838358550098E-3</v>
      </c>
    </row>
    <row r="1285" spans="1:7">
      <c r="A1285" s="65">
        <v>91.75</v>
      </c>
      <c r="B1285" s="65">
        <v>91.87</v>
      </c>
      <c r="C1285" s="65">
        <v>90.36</v>
      </c>
      <c r="D1285" s="65">
        <v>91.48</v>
      </c>
      <c r="E1285" s="65">
        <v>2402801</v>
      </c>
      <c r="F1285" s="65" t="s">
        <v>1331</v>
      </c>
      <c r="G1285" s="25">
        <f t="shared" si="18"/>
        <v>2.9514648010493527E-3</v>
      </c>
    </row>
    <row r="1286" spans="1:7">
      <c r="A1286" s="65">
        <v>91.77</v>
      </c>
      <c r="B1286" s="65">
        <v>93.724199999999996</v>
      </c>
      <c r="C1286" s="65">
        <v>90.24</v>
      </c>
      <c r="D1286" s="65">
        <v>93.61</v>
      </c>
      <c r="E1286" s="65">
        <v>2455948</v>
      </c>
      <c r="F1286" s="65" t="s">
        <v>1332</v>
      </c>
      <c r="G1286" s="25">
        <f t="shared" si="18"/>
        <v>-1.9656019656019708E-2</v>
      </c>
    </row>
    <row r="1287" spans="1:7">
      <c r="A1287" s="65">
        <v>93.31</v>
      </c>
      <c r="B1287" s="65">
        <v>94.13</v>
      </c>
      <c r="C1287" s="65">
        <v>92.48</v>
      </c>
      <c r="D1287" s="65">
        <v>94.13</v>
      </c>
      <c r="E1287" s="65">
        <v>2511439</v>
      </c>
      <c r="F1287" s="65" t="s">
        <v>1333</v>
      </c>
      <c r="G1287" s="25">
        <f t="shared" si="18"/>
        <v>-8.7113566344416693E-3</v>
      </c>
    </row>
    <row r="1288" spans="1:7">
      <c r="A1288" s="65">
        <v>94.63</v>
      </c>
      <c r="B1288" s="65">
        <v>95.99</v>
      </c>
      <c r="C1288" s="65">
        <v>94.2</v>
      </c>
      <c r="D1288" s="65">
        <v>95.85</v>
      </c>
      <c r="E1288" s="65">
        <v>2327471</v>
      </c>
      <c r="F1288" s="65" t="s">
        <v>1334</v>
      </c>
      <c r="G1288" s="25">
        <f t="shared" si="18"/>
        <v>-1.2728221178925359E-2</v>
      </c>
    </row>
    <row r="1289" spans="1:7">
      <c r="A1289" s="65">
        <v>95.52</v>
      </c>
      <c r="B1289" s="65">
        <v>96.42</v>
      </c>
      <c r="C1289" s="65">
        <v>94.85</v>
      </c>
      <c r="D1289" s="65">
        <v>95.92</v>
      </c>
      <c r="E1289" s="65">
        <v>2252708</v>
      </c>
      <c r="F1289" s="65" t="s">
        <v>1335</v>
      </c>
      <c r="G1289" s="25">
        <f t="shared" si="18"/>
        <v>-4.17014178482078E-3</v>
      </c>
    </row>
    <row r="1290" spans="1:7">
      <c r="A1290" s="65">
        <v>96.26</v>
      </c>
      <c r="B1290" s="65">
        <v>97.39</v>
      </c>
      <c r="C1290" s="65">
        <v>96.01</v>
      </c>
      <c r="D1290" s="65">
        <v>97.3</v>
      </c>
      <c r="E1290" s="65">
        <v>2347157</v>
      </c>
      <c r="F1290" s="65" t="s">
        <v>1336</v>
      </c>
      <c r="G1290" s="25">
        <f t="shared" si="18"/>
        <v>-1.0688591983555984E-2</v>
      </c>
    </row>
    <row r="1291" spans="1:7">
      <c r="A1291" s="65">
        <v>96.78</v>
      </c>
      <c r="B1291" s="65">
        <v>97.01</v>
      </c>
      <c r="C1291" s="65">
        <v>95.86</v>
      </c>
      <c r="D1291" s="65">
        <v>96.33</v>
      </c>
      <c r="E1291" s="65">
        <v>2405377</v>
      </c>
      <c r="F1291" s="65" t="s">
        <v>1337</v>
      </c>
      <c r="G1291" s="25">
        <f t="shared" si="18"/>
        <v>4.6714419184055167E-3</v>
      </c>
    </row>
    <row r="1292" spans="1:7">
      <c r="A1292" s="65">
        <v>96.15</v>
      </c>
      <c r="B1292" s="65">
        <v>96.62</v>
      </c>
      <c r="C1292" s="65">
        <v>95.66</v>
      </c>
      <c r="D1292" s="65">
        <v>95.93</v>
      </c>
      <c r="E1292" s="65">
        <v>2094928</v>
      </c>
      <c r="F1292" s="65" t="s">
        <v>1338</v>
      </c>
      <c r="G1292" s="25">
        <f t="shared" si="18"/>
        <v>2.2933388929426979E-3</v>
      </c>
    </row>
    <row r="1293" spans="1:7">
      <c r="A1293" s="65">
        <v>96.03</v>
      </c>
      <c r="B1293" s="65">
        <v>97.55</v>
      </c>
      <c r="C1293" s="65">
        <v>95.51</v>
      </c>
      <c r="D1293" s="65">
        <v>97.28</v>
      </c>
      <c r="E1293" s="65">
        <v>2954470</v>
      </c>
      <c r="F1293" s="65" t="s">
        <v>1339</v>
      </c>
      <c r="G1293" s="25">
        <f t="shared" si="18"/>
        <v>-1.2849506578947345E-2</v>
      </c>
    </row>
    <row r="1294" spans="1:7">
      <c r="A1294" s="65">
        <v>97.45</v>
      </c>
      <c r="B1294" s="65">
        <v>98.11</v>
      </c>
      <c r="C1294" s="65">
        <v>96.05</v>
      </c>
      <c r="D1294" s="65">
        <v>96.27</v>
      </c>
      <c r="E1294" s="65">
        <v>2422862</v>
      </c>
      <c r="F1294" s="65" t="s">
        <v>1340</v>
      </c>
      <c r="G1294" s="25">
        <f t="shared" si="18"/>
        <v>1.2257193310480918E-2</v>
      </c>
    </row>
    <row r="1295" spans="1:7">
      <c r="A1295" s="65">
        <v>96.15</v>
      </c>
      <c r="B1295" s="65">
        <v>96.39</v>
      </c>
      <c r="C1295" s="65">
        <v>93.760099999999994</v>
      </c>
      <c r="D1295" s="65">
        <v>94.4</v>
      </c>
      <c r="E1295" s="65">
        <v>4050404</v>
      </c>
      <c r="F1295" s="65" t="s">
        <v>1341</v>
      </c>
      <c r="G1295" s="25">
        <f t="shared" si="18"/>
        <v>1.8538135593220373E-2</v>
      </c>
    </row>
    <row r="1296" spans="1:7">
      <c r="A1296" s="65">
        <v>95.24</v>
      </c>
      <c r="B1296" s="65">
        <v>95.96</v>
      </c>
      <c r="C1296" s="65">
        <v>90.31</v>
      </c>
      <c r="D1296" s="65">
        <v>90.31</v>
      </c>
      <c r="E1296" s="65">
        <v>7071278</v>
      </c>
      <c r="F1296" s="65" t="s">
        <v>1342</v>
      </c>
      <c r="G1296" s="25">
        <f t="shared" si="18"/>
        <v>5.4589746428966857E-2</v>
      </c>
    </row>
    <row r="1297" spans="1:7">
      <c r="A1297" s="65">
        <v>89.63</v>
      </c>
      <c r="B1297" s="65">
        <v>91.03</v>
      </c>
      <c r="C1297" s="65">
        <v>88.73</v>
      </c>
      <c r="D1297" s="65">
        <v>88.76</v>
      </c>
      <c r="E1297" s="65">
        <v>3943346</v>
      </c>
      <c r="F1297" s="65" t="s">
        <v>1343</v>
      </c>
      <c r="G1297" s="25">
        <f t="shared" si="18"/>
        <v>9.8017124831004665E-3</v>
      </c>
    </row>
    <row r="1298" spans="1:7">
      <c r="A1298" s="65">
        <v>88.56</v>
      </c>
      <c r="B1298" s="65">
        <v>89.03</v>
      </c>
      <c r="C1298" s="65">
        <v>87.81</v>
      </c>
      <c r="D1298" s="65">
        <v>88.37</v>
      </c>
      <c r="E1298" s="65">
        <v>2671586</v>
      </c>
      <c r="F1298" s="65" t="s">
        <v>1344</v>
      </c>
      <c r="G1298" s="25">
        <f t="shared" si="18"/>
        <v>2.1500509222587283E-3</v>
      </c>
    </row>
    <row r="1299" spans="1:7">
      <c r="A1299" s="65">
        <v>89.02</v>
      </c>
      <c r="B1299" s="65">
        <v>89.13</v>
      </c>
      <c r="C1299" s="65">
        <v>87.66</v>
      </c>
      <c r="D1299" s="65">
        <v>88.57</v>
      </c>
      <c r="E1299" s="65">
        <v>6863644</v>
      </c>
      <c r="F1299" s="65" t="s">
        <v>1345</v>
      </c>
      <c r="G1299" s="25">
        <f t="shared" si="18"/>
        <v>5.0807271085018257E-3</v>
      </c>
    </row>
    <row r="1300" spans="1:7">
      <c r="A1300" s="65">
        <v>88</v>
      </c>
      <c r="B1300" s="65">
        <v>88.394999999999996</v>
      </c>
      <c r="C1300" s="65">
        <v>86.45</v>
      </c>
      <c r="D1300" s="65">
        <v>86.45</v>
      </c>
      <c r="E1300" s="65">
        <v>1860685</v>
      </c>
      <c r="F1300" s="65" t="s">
        <v>1346</v>
      </c>
      <c r="G1300" s="25">
        <f t="shared" si="18"/>
        <v>1.7929438982070556E-2</v>
      </c>
    </row>
    <row r="1301" spans="1:7">
      <c r="A1301" s="65">
        <v>86.25</v>
      </c>
      <c r="B1301" s="65">
        <v>87.66</v>
      </c>
      <c r="C1301" s="65">
        <v>86.14</v>
      </c>
      <c r="D1301" s="65">
        <v>86.36</v>
      </c>
      <c r="E1301" s="65">
        <v>1963302</v>
      </c>
      <c r="F1301" s="65" t="s">
        <v>1347</v>
      </c>
      <c r="G1301" s="25">
        <f t="shared" si="18"/>
        <v>-1.2737378415933476E-3</v>
      </c>
    </row>
    <row r="1302" spans="1:7">
      <c r="A1302" s="65">
        <v>86.44</v>
      </c>
      <c r="B1302" s="65">
        <v>86.81</v>
      </c>
      <c r="C1302" s="65">
        <v>85.39</v>
      </c>
      <c r="D1302" s="65">
        <v>85.54</v>
      </c>
      <c r="E1302" s="65">
        <v>2042782</v>
      </c>
      <c r="F1302" s="65" t="s">
        <v>1348</v>
      </c>
      <c r="G1302" s="25">
        <f t="shared" si="18"/>
        <v>1.0521393500116716E-2</v>
      </c>
    </row>
    <row r="1303" spans="1:7">
      <c r="A1303" s="65">
        <v>85.82</v>
      </c>
      <c r="B1303" s="65">
        <v>86.53</v>
      </c>
      <c r="C1303" s="65">
        <v>85.43</v>
      </c>
      <c r="D1303" s="65">
        <v>85.75</v>
      </c>
      <c r="E1303" s="65">
        <v>2600493</v>
      </c>
      <c r="F1303" s="65" t="s">
        <v>1349</v>
      </c>
      <c r="G1303" s="25">
        <f t="shared" si="18"/>
        <v>8.1632653061225469E-4</v>
      </c>
    </row>
    <row r="1304" spans="1:7">
      <c r="A1304" s="65">
        <v>85.99</v>
      </c>
      <c r="B1304" s="65">
        <v>86</v>
      </c>
      <c r="C1304" s="65">
        <v>83.8</v>
      </c>
      <c r="D1304" s="65">
        <v>84.51</v>
      </c>
      <c r="E1304" s="65">
        <v>2550847</v>
      </c>
      <c r="F1304" s="65" t="s">
        <v>1350</v>
      </c>
      <c r="G1304" s="25">
        <f t="shared" si="18"/>
        <v>1.7512720388119574E-2</v>
      </c>
    </row>
    <row r="1305" spans="1:7">
      <c r="A1305" s="65">
        <v>84.16</v>
      </c>
      <c r="B1305" s="65">
        <v>85.14</v>
      </c>
      <c r="C1305" s="65">
        <v>84.03</v>
      </c>
      <c r="D1305" s="65">
        <v>84.88</v>
      </c>
      <c r="E1305" s="65">
        <v>2461223</v>
      </c>
      <c r="F1305" s="65" t="s">
        <v>1351</v>
      </c>
      <c r="G1305" s="25">
        <f t="shared" si="18"/>
        <v>-8.4825636192271681E-3</v>
      </c>
    </row>
    <row r="1306" spans="1:7">
      <c r="A1306" s="65">
        <v>84.12</v>
      </c>
      <c r="B1306" s="65">
        <v>85.99</v>
      </c>
      <c r="C1306" s="65">
        <v>84.02</v>
      </c>
      <c r="D1306" s="65">
        <v>85.44</v>
      </c>
      <c r="E1306" s="65">
        <v>2549097</v>
      </c>
      <c r="F1306" s="65" t="s">
        <v>1352</v>
      </c>
      <c r="G1306" s="25">
        <f t="shared" si="18"/>
        <v>-1.544943820224709E-2</v>
      </c>
    </row>
    <row r="1307" spans="1:7">
      <c r="A1307" s="65">
        <v>85.41</v>
      </c>
      <c r="B1307" s="65">
        <v>86.55</v>
      </c>
      <c r="C1307" s="65">
        <v>85.19</v>
      </c>
      <c r="D1307" s="65">
        <v>85.2</v>
      </c>
      <c r="E1307" s="65">
        <v>2324611</v>
      </c>
      <c r="F1307" s="65" t="s">
        <v>1353</v>
      </c>
      <c r="G1307" s="25">
        <f t="shared" si="18"/>
        <v>2.4647887323943074E-3</v>
      </c>
    </row>
    <row r="1308" spans="1:7">
      <c r="A1308" s="65">
        <v>85.74</v>
      </c>
      <c r="B1308" s="65">
        <v>86.24</v>
      </c>
      <c r="C1308" s="65">
        <v>84.48</v>
      </c>
      <c r="D1308" s="65">
        <v>84.91</v>
      </c>
      <c r="E1308" s="65">
        <v>2555407</v>
      </c>
      <c r="F1308" s="65" t="s">
        <v>1354</v>
      </c>
      <c r="G1308" s="25">
        <f t="shared" si="18"/>
        <v>9.7750559415852312E-3</v>
      </c>
    </row>
    <row r="1309" spans="1:7">
      <c r="A1309" s="65">
        <v>83.84</v>
      </c>
      <c r="B1309" s="65">
        <v>84.44</v>
      </c>
      <c r="C1309" s="65">
        <v>83.12</v>
      </c>
      <c r="D1309" s="65">
        <v>83.98</v>
      </c>
      <c r="E1309" s="65">
        <v>2424066</v>
      </c>
      <c r="F1309" s="65" t="s">
        <v>1355</v>
      </c>
      <c r="G1309" s="25">
        <f t="shared" si="18"/>
        <v>-1.6670635865682071E-3</v>
      </c>
    </row>
    <row r="1310" spans="1:7">
      <c r="A1310" s="65">
        <v>83.64</v>
      </c>
      <c r="B1310" s="65">
        <v>84.33</v>
      </c>
      <c r="C1310" s="65">
        <v>83.17</v>
      </c>
      <c r="D1310" s="65">
        <v>83.35</v>
      </c>
      <c r="E1310" s="65">
        <v>3567596</v>
      </c>
      <c r="F1310" s="65" t="s">
        <v>1356</v>
      </c>
      <c r="G1310" s="25">
        <f t="shared" si="18"/>
        <v>3.4793041391723012E-3</v>
      </c>
    </row>
    <row r="1311" spans="1:7">
      <c r="A1311" s="65">
        <v>82.85</v>
      </c>
      <c r="B1311" s="65">
        <v>83.215000000000003</v>
      </c>
      <c r="C1311" s="65">
        <v>81.97</v>
      </c>
      <c r="D1311" s="65">
        <v>82.09</v>
      </c>
      <c r="E1311" s="65">
        <v>3001483</v>
      </c>
      <c r="F1311" s="65" t="s">
        <v>1357</v>
      </c>
      <c r="G1311" s="25">
        <f t="shared" si="18"/>
        <v>9.2581313192836578E-3</v>
      </c>
    </row>
    <row r="1312" spans="1:7">
      <c r="A1312" s="65">
        <v>82.43</v>
      </c>
      <c r="B1312" s="65">
        <v>83.18</v>
      </c>
      <c r="C1312" s="65">
        <v>81.2</v>
      </c>
      <c r="D1312" s="65">
        <v>82.14</v>
      </c>
      <c r="E1312" s="65">
        <v>2376108</v>
      </c>
      <c r="F1312" s="65" t="s">
        <v>1358</v>
      </c>
      <c r="G1312" s="25">
        <f t="shared" si="18"/>
        <v>3.5305575846116266E-3</v>
      </c>
    </row>
    <row r="1313" spans="1:7">
      <c r="A1313" s="65">
        <v>82.3</v>
      </c>
      <c r="B1313" s="65">
        <v>82.41</v>
      </c>
      <c r="C1313" s="65">
        <v>80.209999999999994</v>
      </c>
      <c r="D1313" s="65">
        <v>80.75</v>
      </c>
      <c r="E1313" s="65">
        <v>2784727</v>
      </c>
      <c r="F1313" s="65" t="s">
        <v>1359</v>
      </c>
      <c r="G1313" s="25">
        <f t="shared" si="18"/>
        <v>1.9195046439628438E-2</v>
      </c>
    </row>
    <row r="1314" spans="1:7">
      <c r="A1314" s="65">
        <v>80.55</v>
      </c>
      <c r="B1314" s="65">
        <v>80.8</v>
      </c>
      <c r="C1314" s="65">
        <v>79.3</v>
      </c>
      <c r="D1314" s="65">
        <v>80.33</v>
      </c>
      <c r="E1314" s="65">
        <v>2758499</v>
      </c>
      <c r="F1314" s="65" t="s">
        <v>1360</v>
      </c>
      <c r="G1314" s="25">
        <f t="shared" si="18"/>
        <v>2.7387028507406264E-3</v>
      </c>
    </row>
    <row r="1315" spans="1:7">
      <c r="A1315" s="65">
        <v>80.209999999999994</v>
      </c>
      <c r="B1315" s="65">
        <v>80.930000000000007</v>
      </c>
      <c r="C1315" s="65">
        <v>79.66</v>
      </c>
      <c r="D1315" s="65">
        <v>80</v>
      </c>
      <c r="E1315" s="65">
        <v>2494532</v>
      </c>
      <c r="F1315" s="65" t="s">
        <v>1361</v>
      </c>
      <c r="G1315" s="25">
        <f t="shared" si="18"/>
        <v>2.6249999999998774E-3</v>
      </c>
    </row>
    <row r="1316" spans="1:7">
      <c r="A1316" s="65">
        <v>79.77</v>
      </c>
      <c r="B1316" s="65">
        <v>80.81</v>
      </c>
      <c r="C1316" s="65">
        <v>79.31</v>
      </c>
      <c r="D1316" s="65">
        <v>79.69</v>
      </c>
      <c r="E1316" s="65">
        <v>2390843</v>
      </c>
      <c r="F1316" s="65" t="s">
        <v>1362</v>
      </c>
      <c r="G1316" s="25">
        <f t="shared" si="18"/>
        <v>1.003890074036784E-3</v>
      </c>
    </row>
    <row r="1317" spans="1:7">
      <c r="A1317" s="65">
        <v>79.66</v>
      </c>
      <c r="B1317" s="65">
        <v>80.42</v>
      </c>
      <c r="C1317" s="65">
        <v>78.8</v>
      </c>
      <c r="D1317" s="65">
        <v>78.989999999999995</v>
      </c>
      <c r="E1317" s="65">
        <v>2497138</v>
      </c>
      <c r="F1317" s="65" t="s">
        <v>1363</v>
      </c>
      <c r="G1317" s="25">
        <f t="shared" si="18"/>
        <v>8.4820863400429936E-3</v>
      </c>
    </row>
    <row r="1318" spans="1:7">
      <c r="A1318" s="65">
        <v>79.41</v>
      </c>
      <c r="B1318" s="65">
        <v>80.14</v>
      </c>
      <c r="C1318" s="65">
        <v>78.440200000000004</v>
      </c>
      <c r="D1318" s="65">
        <v>78.67</v>
      </c>
      <c r="E1318" s="65">
        <v>3508145</v>
      </c>
      <c r="F1318" s="65" t="s">
        <v>1364</v>
      </c>
      <c r="G1318" s="25">
        <f t="shared" si="18"/>
        <v>9.4063810855471441E-3</v>
      </c>
    </row>
    <row r="1319" spans="1:7">
      <c r="A1319" s="65">
        <v>78.680000000000007</v>
      </c>
      <c r="B1319" s="65">
        <v>80.2</v>
      </c>
      <c r="C1319" s="65">
        <v>78.58</v>
      </c>
      <c r="D1319" s="65">
        <v>80</v>
      </c>
      <c r="E1319" s="65">
        <v>2363322</v>
      </c>
      <c r="F1319" s="65" t="s">
        <v>1365</v>
      </c>
      <c r="G1319" s="25">
        <f t="shared" si="18"/>
        <v>-1.6499999999999959E-2</v>
      </c>
    </row>
    <row r="1320" spans="1:7">
      <c r="A1320" s="65">
        <v>80.38</v>
      </c>
      <c r="B1320" s="65">
        <v>81.209999999999994</v>
      </c>
      <c r="C1320" s="65">
        <v>79.72</v>
      </c>
      <c r="D1320" s="65">
        <v>81.010000000000005</v>
      </c>
      <c r="E1320" s="65">
        <v>2303903</v>
      </c>
      <c r="F1320" s="65" t="s">
        <v>1366</v>
      </c>
      <c r="G1320" s="25">
        <f t="shared" si="18"/>
        <v>-7.7768176768301389E-3</v>
      </c>
    </row>
    <row r="1321" spans="1:7">
      <c r="A1321" s="65">
        <v>81.260000000000005</v>
      </c>
      <c r="B1321" s="65">
        <v>82.18</v>
      </c>
      <c r="C1321" s="65">
        <v>80.62</v>
      </c>
      <c r="D1321" s="65">
        <v>81.31</v>
      </c>
      <c r="E1321" s="65">
        <v>2494875</v>
      </c>
      <c r="F1321" s="65" t="s">
        <v>1367</v>
      </c>
      <c r="G1321" s="25">
        <f t="shared" si="18"/>
        <v>-6.1493051285199662E-4</v>
      </c>
    </row>
    <row r="1322" spans="1:7">
      <c r="A1322" s="65">
        <v>81.14</v>
      </c>
      <c r="B1322" s="65">
        <v>82.094999999999999</v>
      </c>
      <c r="C1322" s="65">
        <v>80.790000000000006</v>
      </c>
      <c r="D1322" s="65">
        <v>81.66</v>
      </c>
      <c r="E1322" s="65">
        <v>3764037</v>
      </c>
      <c r="F1322" s="65" t="s">
        <v>1368</v>
      </c>
      <c r="G1322" s="25">
        <f t="shared" si="18"/>
        <v>-6.367866764633745E-3</v>
      </c>
    </row>
    <row r="1323" spans="1:7">
      <c r="A1323" s="65">
        <v>82.07</v>
      </c>
      <c r="B1323" s="65">
        <v>83.24</v>
      </c>
      <c r="C1323" s="65">
        <v>81.96</v>
      </c>
      <c r="D1323" s="65">
        <v>83.07</v>
      </c>
      <c r="E1323" s="65">
        <v>1865500</v>
      </c>
      <c r="F1323" s="65" t="s">
        <v>1369</v>
      </c>
      <c r="G1323" s="25">
        <f t="shared" si="18"/>
        <v>-1.2038040207054346E-2</v>
      </c>
    </row>
    <row r="1324" spans="1:7">
      <c r="A1324" s="65">
        <v>82.97</v>
      </c>
      <c r="B1324" s="65">
        <v>84.39</v>
      </c>
      <c r="C1324" s="65">
        <v>82.59</v>
      </c>
      <c r="D1324" s="65">
        <v>83.64</v>
      </c>
      <c r="E1324" s="65">
        <v>1996144</v>
      </c>
      <c r="F1324" s="65" t="s">
        <v>1370</v>
      </c>
      <c r="G1324" s="25">
        <f t="shared" si="18"/>
        <v>-8.010521281683447E-3</v>
      </c>
    </row>
    <row r="1325" spans="1:7">
      <c r="A1325" s="65">
        <v>82.98</v>
      </c>
      <c r="B1325" s="65">
        <v>84.96</v>
      </c>
      <c r="C1325" s="65">
        <v>82.25</v>
      </c>
      <c r="D1325" s="65">
        <v>82.58</v>
      </c>
      <c r="E1325" s="65">
        <v>2771827</v>
      </c>
      <c r="F1325" s="65" t="s">
        <v>1371</v>
      </c>
      <c r="G1325" s="25">
        <f t="shared" si="18"/>
        <v>4.8437878420926062E-3</v>
      </c>
    </row>
    <row r="1326" spans="1:7">
      <c r="A1326" s="65">
        <v>82.02</v>
      </c>
      <c r="B1326" s="65">
        <v>83.42</v>
      </c>
      <c r="C1326" s="65">
        <v>80.900000000000006</v>
      </c>
      <c r="D1326" s="65">
        <v>81.12</v>
      </c>
      <c r="E1326" s="65">
        <v>2293789</v>
      </c>
      <c r="F1326" s="65" t="s">
        <v>1372</v>
      </c>
      <c r="G1326" s="25">
        <f t="shared" si="18"/>
        <v>1.1094674556212825E-2</v>
      </c>
    </row>
    <row r="1327" spans="1:7">
      <c r="A1327" s="65">
        <v>80.319999999999993</v>
      </c>
      <c r="B1327" s="65">
        <v>82.38</v>
      </c>
      <c r="C1327" s="65">
        <v>80.290000000000006</v>
      </c>
      <c r="D1327" s="65">
        <v>81.37</v>
      </c>
      <c r="E1327" s="65">
        <v>2779857</v>
      </c>
      <c r="F1327" s="65" t="s">
        <v>1373</v>
      </c>
      <c r="G1327" s="25">
        <f t="shared" si="18"/>
        <v>-1.290401868010338E-2</v>
      </c>
    </row>
    <row r="1328" spans="1:7">
      <c r="A1328" s="65">
        <v>81.72</v>
      </c>
      <c r="B1328" s="65">
        <v>82.49</v>
      </c>
      <c r="C1328" s="65">
        <v>78.86</v>
      </c>
      <c r="D1328" s="65">
        <v>82.29</v>
      </c>
      <c r="E1328" s="65">
        <v>2771533</v>
      </c>
      <c r="F1328" s="65" t="s">
        <v>1374</v>
      </c>
      <c r="G1328" s="25">
        <f t="shared" si="18"/>
        <v>-6.926722566533039E-3</v>
      </c>
    </row>
    <row r="1329" spans="1:7">
      <c r="A1329" s="65">
        <v>81.88</v>
      </c>
      <c r="B1329" s="65">
        <v>84.88</v>
      </c>
      <c r="C1329" s="65">
        <v>81.23</v>
      </c>
      <c r="D1329" s="65">
        <v>84.25</v>
      </c>
      <c r="E1329" s="65">
        <v>2764010</v>
      </c>
      <c r="F1329" s="65" t="s">
        <v>1375</v>
      </c>
      <c r="G1329" s="25">
        <f t="shared" si="18"/>
        <v>-2.8130563798219654E-2</v>
      </c>
    </row>
    <row r="1330" spans="1:7">
      <c r="A1330" s="65">
        <v>84.25</v>
      </c>
      <c r="B1330" s="65">
        <v>86.41</v>
      </c>
      <c r="C1330" s="65">
        <v>84.24</v>
      </c>
      <c r="D1330" s="65">
        <v>85.78</v>
      </c>
      <c r="E1330" s="65">
        <v>2514292</v>
      </c>
      <c r="F1330" s="65" t="s">
        <v>1376</v>
      </c>
      <c r="G1330" s="25">
        <f t="shared" si="18"/>
        <v>-1.7836325483795767E-2</v>
      </c>
    </row>
    <row r="1331" spans="1:7">
      <c r="A1331" s="65">
        <v>86.28</v>
      </c>
      <c r="B1331" s="65">
        <v>86.88</v>
      </c>
      <c r="C1331" s="65">
        <v>85.48</v>
      </c>
      <c r="D1331" s="65">
        <v>86</v>
      </c>
      <c r="E1331" s="65">
        <v>3315772</v>
      </c>
      <c r="F1331" s="65" t="s">
        <v>1377</v>
      </c>
      <c r="G1331" s="25">
        <f t="shared" si="18"/>
        <v>3.2558139534883956E-3</v>
      </c>
    </row>
    <row r="1332" spans="1:7">
      <c r="A1332" s="65">
        <v>85.77</v>
      </c>
      <c r="B1332" s="65">
        <v>85.79</v>
      </c>
      <c r="C1332" s="65">
        <v>83.99</v>
      </c>
      <c r="D1332" s="65">
        <v>83.99</v>
      </c>
      <c r="E1332" s="65">
        <v>3184609</v>
      </c>
      <c r="F1332" s="65" t="s">
        <v>1378</v>
      </c>
      <c r="G1332" s="25">
        <f t="shared" si="18"/>
        <v>2.1192999166567361E-2</v>
      </c>
    </row>
    <row r="1333" spans="1:7">
      <c r="A1333" s="65">
        <v>83.1</v>
      </c>
      <c r="B1333" s="65">
        <v>84.35</v>
      </c>
      <c r="C1333" s="65">
        <v>82.71</v>
      </c>
      <c r="D1333" s="65">
        <v>84.35</v>
      </c>
      <c r="E1333" s="65">
        <v>2641873</v>
      </c>
      <c r="F1333" s="65" t="s">
        <v>1379</v>
      </c>
      <c r="G1333" s="25">
        <f t="shared" si="18"/>
        <v>-1.4819205690574933E-2</v>
      </c>
    </row>
    <row r="1334" spans="1:7">
      <c r="A1334" s="65">
        <v>83.97</v>
      </c>
      <c r="B1334" s="65">
        <v>85.09</v>
      </c>
      <c r="C1334" s="65">
        <v>82.92</v>
      </c>
      <c r="D1334" s="65">
        <v>84.15</v>
      </c>
      <c r="E1334" s="65">
        <v>2107297</v>
      </c>
      <c r="F1334" s="65" t="s">
        <v>1380</v>
      </c>
      <c r="G1334" s="25">
        <f t="shared" si="18"/>
        <v>-2.1390374331551332E-3</v>
      </c>
    </row>
    <row r="1335" spans="1:7">
      <c r="A1335" s="65">
        <v>84.45</v>
      </c>
      <c r="B1335" s="65">
        <v>86.08</v>
      </c>
      <c r="C1335" s="65">
        <v>84.44</v>
      </c>
      <c r="D1335" s="65">
        <v>85.28</v>
      </c>
      <c r="E1335" s="65">
        <v>1931845</v>
      </c>
      <c r="F1335" s="65" t="s">
        <v>1381</v>
      </c>
      <c r="G1335" s="25">
        <f t="shared" si="18"/>
        <v>-9.7326454033770382E-3</v>
      </c>
    </row>
    <row r="1336" spans="1:7">
      <c r="A1336" s="65">
        <v>85.22</v>
      </c>
      <c r="B1336" s="65">
        <v>85.63</v>
      </c>
      <c r="C1336" s="65">
        <v>82.44</v>
      </c>
      <c r="D1336" s="65">
        <v>83.63</v>
      </c>
      <c r="E1336" s="65">
        <v>4287451</v>
      </c>
      <c r="F1336" s="65" t="s">
        <v>1382</v>
      </c>
      <c r="G1336" s="25">
        <f t="shared" si="18"/>
        <v>1.901231615448995E-2</v>
      </c>
    </row>
    <row r="1337" spans="1:7">
      <c r="A1337" s="65">
        <v>83.34</v>
      </c>
      <c r="B1337" s="65">
        <v>84</v>
      </c>
      <c r="C1337" s="65">
        <v>82.76</v>
      </c>
      <c r="D1337" s="65">
        <v>83.81</v>
      </c>
      <c r="E1337" s="65">
        <v>3201144</v>
      </c>
      <c r="F1337" s="65" t="s">
        <v>1383</v>
      </c>
      <c r="G1337" s="25">
        <f t="shared" si="18"/>
        <v>-5.6079226822575157E-3</v>
      </c>
    </row>
    <row r="1338" spans="1:7">
      <c r="A1338" s="65">
        <v>84.31</v>
      </c>
      <c r="B1338" s="65">
        <v>85.814999999999998</v>
      </c>
      <c r="C1338" s="65">
        <v>83.99</v>
      </c>
      <c r="D1338" s="65">
        <v>85.59</v>
      </c>
      <c r="E1338" s="65">
        <v>4797491</v>
      </c>
      <c r="F1338" s="65" t="s">
        <v>1384</v>
      </c>
      <c r="G1338" s="25">
        <f t="shared" si="18"/>
        <v>-1.4955018109592211E-2</v>
      </c>
    </row>
    <row r="1339" spans="1:7">
      <c r="A1339" s="65">
        <v>85.24</v>
      </c>
      <c r="B1339" s="65">
        <v>86.1</v>
      </c>
      <c r="C1339" s="65">
        <v>83.26</v>
      </c>
      <c r="D1339" s="65">
        <v>84.44</v>
      </c>
      <c r="E1339" s="65">
        <v>2293702</v>
      </c>
      <c r="F1339" s="65" t="s">
        <v>1385</v>
      </c>
      <c r="G1339" s="25">
        <f t="shared" si="18"/>
        <v>9.4741828517290738E-3</v>
      </c>
    </row>
    <row r="1340" spans="1:7">
      <c r="A1340" s="65">
        <v>85.07</v>
      </c>
      <c r="B1340" s="65">
        <v>86.85</v>
      </c>
      <c r="C1340" s="65">
        <v>84.78</v>
      </c>
      <c r="D1340" s="65">
        <v>86.43</v>
      </c>
      <c r="E1340" s="65">
        <v>2399382</v>
      </c>
      <c r="F1340" s="65" t="s">
        <v>1386</v>
      </c>
      <c r="G1340" s="25">
        <f t="shared" ref="G1340:G1403" si="19">A1340/D1340-1</f>
        <v>-1.5735277102857936E-2</v>
      </c>
    </row>
    <row r="1341" spans="1:7">
      <c r="A1341" s="65">
        <v>86.98</v>
      </c>
      <c r="B1341" s="65">
        <v>88.2</v>
      </c>
      <c r="C1341" s="65">
        <v>86.13</v>
      </c>
      <c r="D1341" s="65">
        <v>88.2</v>
      </c>
      <c r="E1341" s="65">
        <v>2274523</v>
      </c>
      <c r="F1341" s="65" t="s">
        <v>1387</v>
      </c>
      <c r="G1341" s="25">
        <f t="shared" si="19"/>
        <v>-1.3832199546485291E-2</v>
      </c>
    </row>
    <row r="1342" spans="1:7">
      <c r="A1342" s="65">
        <v>87.65</v>
      </c>
      <c r="B1342" s="65">
        <v>87.82</v>
      </c>
      <c r="C1342" s="65">
        <v>86.68</v>
      </c>
      <c r="D1342" s="65">
        <v>87.27</v>
      </c>
      <c r="E1342" s="65">
        <v>2094049</v>
      </c>
      <c r="F1342" s="65" t="s">
        <v>1388</v>
      </c>
      <c r="G1342" s="25">
        <f t="shared" si="19"/>
        <v>4.3543027386274691E-3</v>
      </c>
    </row>
    <row r="1343" spans="1:7">
      <c r="A1343" s="65">
        <v>88.07</v>
      </c>
      <c r="B1343" s="65">
        <v>88.11</v>
      </c>
      <c r="C1343" s="65">
        <v>86.22</v>
      </c>
      <c r="D1343" s="65">
        <v>86.81</v>
      </c>
      <c r="E1343" s="65">
        <v>2220741</v>
      </c>
      <c r="F1343" s="65" t="s">
        <v>1389</v>
      </c>
      <c r="G1343" s="25">
        <f t="shared" si="19"/>
        <v>1.4514456859808567E-2</v>
      </c>
    </row>
    <row r="1344" spans="1:7">
      <c r="A1344" s="65">
        <v>86.39</v>
      </c>
      <c r="B1344" s="65">
        <v>86.74</v>
      </c>
      <c r="C1344" s="65">
        <v>85.62</v>
      </c>
      <c r="D1344" s="65">
        <v>86.01</v>
      </c>
      <c r="E1344" s="65">
        <v>2713615</v>
      </c>
      <c r="F1344" s="65" t="s">
        <v>1390</v>
      </c>
      <c r="G1344" s="25">
        <f t="shared" si="19"/>
        <v>4.4180909196605E-3</v>
      </c>
    </row>
    <row r="1345" spans="1:7">
      <c r="A1345" s="65">
        <v>85.8</v>
      </c>
      <c r="B1345" s="65">
        <v>86.93</v>
      </c>
      <c r="C1345" s="65">
        <v>85.37</v>
      </c>
      <c r="D1345" s="65">
        <v>86.3</v>
      </c>
      <c r="E1345" s="65">
        <v>1486189</v>
      </c>
      <c r="F1345" s="65" t="s">
        <v>1391</v>
      </c>
      <c r="G1345" s="25">
        <f t="shared" si="19"/>
        <v>-5.7937427578215184E-3</v>
      </c>
    </row>
    <row r="1346" spans="1:7">
      <c r="A1346" s="65">
        <v>86.08</v>
      </c>
      <c r="B1346" s="65">
        <v>86.3172</v>
      </c>
      <c r="C1346" s="65">
        <v>84.61</v>
      </c>
      <c r="D1346" s="65">
        <v>85.15</v>
      </c>
      <c r="E1346" s="65">
        <v>2167860</v>
      </c>
      <c r="F1346" s="65" t="s">
        <v>1392</v>
      </c>
      <c r="G1346" s="25">
        <f t="shared" si="19"/>
        <v>1.092190252495584E-2</v>
      </c>
    </row>
    <row r="1347" spans="1:7">
      <c r="A1347" s="65">
        <v>85.1</v>
      </c>
      <c r="B1347" s="65">
        <v>86.19</v>
      </c>
      <c r="C1347" s="65">
        <v>85.02</v>
      </c>
      <c r="D1347" s="65">
        <v>85.96</v>
      </c>
      <c r="E1347" s="65">
        <v>1969512</v>
      </c>
      <c r="F1347" s="65" t="s">
        <v>1393</v>
      </c>
      <c r="G1347" s="25">
        <f t="shared" si="19"/>
        <v>-1.0004653327128854E-2</v>
      </c>
    </row>
    <row r="1348" spans="1:7">
      <c r="A1348" s="65">
        <v>85.43</v>
      </c>
      <c r="B1348" s="65">
        <v>86.16</v>
      </c>
      <c r="C1348" s="65">
        <v>84.023399999999995</v>
      </c>
      <c r="D1348" s="65">
        <v>84.54</v>
      </c>
      <c r="E1348" s="65">
        <v>2441665</v>
      </c>
      <c r="F1348" s="65" t="s">
        <v>1394</v>
      </c>
      <c r="G1348" s="25">
        <f t="shared" si="19"/>
        <v>1.052756091790874E-2</v>
      </c>
    </row>
    <row r="1349" spans="1:7">
      <c r="A1349" s="65">
        <v>83.86</v>
      </c>
      <c r="B1349" s="65">
        <v>84.12</v>
      </c>
      <c r="C1349" s="65">
        <v>82.45</v>
      </c>
      <c r="D1349" s="65">
        <v>83.51</v>
      </c>
      <c r="E1349" s="65">
        <v>2174634</v>
      </c>
      <c r="F1349" s="65" t="s">
        <v>1395</v>
      </c>
      <c r="G1349" s="25">
        <f t="shared" si="19"/>
        <v>4.19111483654655E-3</v>
      </c>
    </row>
    <row r="1350" spans="1:7">
      <c r="A1350" s="65">
        <v>83.97</v>
      </c>
      <c r="B1350" s="65">
        <v>84.72</v>
      </c>
      <c r="C1350" s="65">
        <v>82.01</v>
      </c>
      <c r="D1350" s="65">
        <v>82.22</v>
      </c>
      <c r="E1350" s="65">
        <v>2515162</v>
      </c>
      <c r="F1350" s="65" t="s">
        <v>1396</v>
      </c>
      <c r="G1350" s="25">
        <f t="shared" si="19"/>
        <v>2.1284359036730649E-2</v>
      </c>
    </row>
    <row r="1351" spans="1:7">
      <c r="A1351" s="65">
        <v>81.92</v>
      </c>
      <c r="B1351" s="65">
        <v>83.87</v>
      </c>
      <c r="C1351" s="65">
        <v>81.849999999999994</v>
      </c>
      <c r="D1351" s="65">
        <v>83.54</v>
      </c>
      <c r="E1351" s="65">
        <v>2126074</v>
      </c>
      <c r="F1351" s="65" t="s">
        <v>1397</v>
      </c>
      <c r="G1351" s="25">
        <f t="shared" si="19"/>
        <v>-1.9391908067991404E-2</v>
      </c>
    </row>
    <row r="1352" spans="1:7">
      <c r="A1352" s="65">
        <v>82.58</v>
      </c>
      <c r="B1352" s="65">
        <v>83.5</v>
      </c>
      <c r="C1352" s="65">
        <v>81.62</v>
      </c>
      <c r="D1352" s="65">
        <v>83.01</v>
      </c>
      <c r="E1352" s="65">
        <v>4292147</v>
      </c>
      <c r="F1352" s="65" t="s">
        <v>1398</v>
      </c>
      <c r="G1352" s="25">
        <f t="shared" si="19"/>
        <v>-5.1800987832791856E-3</v>
      </c>
    </row>
    <row r="1353" spans="1:7">
      <c r="A1353" s="65">
        <v>83.38</v>
      </c>
      <c r="B1353" s="65">
        <v>85.6</v>
      </c>
      <c r="C1353" s="65">
        <v>82.01</v>
      </c>
      <c r="D1353" s="65">
        <v>82.06</v>
      </c>
      <c r="E1353" s="65">
        <v>5277398</v>
      </c>
      <c r="F1353" s="65" t="s">
        <v>1399</v>
      </c>
      <c r="G1353" s="25">
        <f t="shared" si="19"/>
        <v>1.6085790884718509E-2</v>
      </c>
    </row>
    <row r="1354" spans="1:7">
      <c r="A1354" s="65">
        <v>84.84</v>
      </c>
      <c r="B1354" s="65">
        <v>85.99</v>
      </c>
      <c r="C1354" s="65">
        <v>84.23</v>
      </c>
      <c r="D1354" s="65">
        <v>85.8</v>
      </c>
      <c r="E1354" s="65">
        <v>3290025</v>
      </c>
      <c r="F1354" s="65" t="s">
        <v>1400</v>
      </c>
      <c r="G1354" s="25">
        <f t="shared" si="19"/>
        <v>-1.1188811188811099E-2</v>
      </c>
    </row>
    <row r="1355" spans="1:7">
      <c r="A1355" s="65">
        <v>86.54</v>
      </c>
      <c r="B1355" s="65">
        <v>87.84</v>
      </c>
      <c r="C1355" s="65">
        <v>84.03</v>
      </c>
      <c r="D1355" s="65">
        <v>84.6</v>
      </c>
      <c r="E1355" s="65">
        <v>2186644</v>
      </c>
      <c r="F1355" s="65" t="s">
        <v>1401</v>
      </c>
      <c r="G1355" s="25">
        <f t="shared" si="19"/>
        <v>2.2931442080378339E-2</v>
      </c>
    </row>
    <row r="1356" spans="1:7">
      <c r="A1356" s="65">
        <v>85.89</v>
      </c>
      <c r="B1356" s="65">
        <v>86.31</v>
      </c>
      <c r="C1356" s="65">
        <v>84.6</v>
      </c>
      <c r="D1356" s="65">
        <v>85.39</v>
      </c>
      <c r="E1356" s="65">
        <v>3297685</v>
      </c>
      <c r="F1356" s="65" t="s">
        <v>1402</v>
      </c>
      <c r="G1356" s="25">
        <f t="shared" si="19"/>
        <v>5.8554865909357101E-3</v>
      </c>
    </row>
    <row r="1357" spans="1:7">
      <c r="A1357" s="65">
        <v>85.52</v>
      </c>
      <c r="B1357" s="65">
        <v>87.375</v>
      </c>
      <c r="C1357" s="65">
        <v>85.21</v>
      </c>
      <c r="D1357" s="65">
        <v>86.98</v>
      </c>
      <c r="E1357" s="65">
        <v>3278941</v>
      </c>
      <c r="F1357" s="65" t="s">
        <v>1403</v>
      </c>
      <c r="G1357" s="25">
        <f t="shared" si="19"/>
        <v>-1.6785467923660757E-2</v>
      </c>
    </row>
    <row r="1358" spans="1:7">
      <c r="A1358" s="65">
        <v>87.23</v>
      </c>
      <c r="B1358" s="65">
        <v>88.89</v>
      </c>
      <c r="C1358" s="65">
        <v>86.55</v>
      </c>
      <c r="D1358" s="65">
        <v>88.17</v>
      </c>
      <c r="E1358" s="65">
        <v>1796317</v>
      </c>
      <c r="F1358" s="65" t="s">
        <v>1404</v>
      </c>
      <c r="G1358" s="25">
        <f t="shared" si="19"/>
        <v>-1.0661222638085444E-2</v>
      </c>
    </row>
    <row r="1359" spans="1:7">
      <c r="A1359" s="65">
        <v>88.1</v>
      </c>
      <c r="B1359" s="65">
        <v>88.64</v>
      </c>
      <c r="C1359" s="65">
        <v>87.37</v>
      </c>
      <c r="D1359" s="65">
        <v>88.32</v>
      </c>
      <c r="E1359" s="65">
        <v>3561984</v>
      </c>
      <c r="F1359" s="65" t="s">
        <v>1405</v>
      </c>
      <c r="G1359" s="25">
        <f t="shared" si="19"/>
        <v>-2.4909420289854767E-3</v>
      </c>
    </row>
    <row r="1360" spans="1:7">
      <c r="A1360" s="65">
        <v>87.91</v>
      </c>
      <c r="B1360" s="65">
        <v>89.43</v>
      </c>
      <c r="C1360" s="65">
        <v>87.8</v>
      </c>
      <c r="D1360" s="65">
        <v>88.67</v>
      </c>
      <c r="E1360" s="65">
        <v>1976894</v>
      </c>
      <c r="F1360" s="65" t="s">
        <v>1406</v>
      </c>
      <c r="G1360" s="25">
        <f t="shared" si="19"/>
        <v>-8.5711063493854045E-3</v>
      </c>
    </row>
    <row r="1361" spans="1:7">
      <c r="A1361" s="65">
        <v>87.87</v>
      </c>
      <c r="B1361" s="65">
        <v>88.15</v>
      </c>
      <c r="C1361" s="65">
        <v>86.84</v>
      </c>
      <c r="D1361" s="65">
        <v>87.27</v>
      </c>
      <c r="E1361" s="65">
        <v>3128902</v>
      </c>
      <c r="F1361" s="65" t="s">
        <v>1407</v>
      </c>
      <c r="G1361" s="25">
        <f t="shared" si="19"/>
        <v>6.8752148504642729E-3</v>
      </c>
    </row>
    <row r="1362" spans="1:7">
      <c r="A1362" s="65">
        <v>87.49</v>
      </c>
      <c r="B1362" s="65">
        <v>89.65</v>
      </c>
      <c r="C1362" s="65">
        <v>87.3</v>
      </c>
      <c r="D1362" s="65">
        <v>89.31</v>
      </c>
      <c r="E1362" s="65">
        <v>2881337</v>
      </c>
      <c r="F1362" s="65" t="s">
        <v>1408</v>
      </c>
      <c r="G1362" s="25">
        <f t="shared" si="19"/>
        <v>-2.0378457059679889E-2</v>
      </c>
    </row>
    <row r="1363" spans="1:7">
      <c r="A1363" s="65">
        <v>89.26</v>
      </c>
      <c r="B1363" s="65">
        <v>89.52</v>
      </c>
      <c r="C1363" s="65">
        <v>87.35</v>
      </c>
      <c r="D1363" s="65">
        <v>87.55</v>
      </c>
      <c r="E1363" s="65">
        <v>1809624</v>
      </c>
      <c r="F1363" s="65" t="s">
        <v>1409</v>
      </c>
      <c r="G1363" s="25">
        <f t="shared" si="19"/>
        <v>1.9531696173615165E-2</v>
      </c>
    </row>
    <row r="1364" spans="1:7">
      <c r="A1364" s="65">
        <v>87.85</v>
      </c>
      <c r="B1364" s="65">
        <v>89.66</v>
      </c>
      <c r="C1364" s="65">
        <v>87.6</v>
      </c>
      <c r="D1364" s="65">
        <v>89.28</v>
      </c>
      <c r="E1364" s="65">
        <v>2193870</v>
      </c>
      <c r="F1364" s="65" t="s">
        <v>1410</v>
      </c>
      <c r="G1364" s="25">
        <f t="shared" si="19"/>
        <v>-1.6017025089605785E-2</v>
      </c>
    </row>
    <row r="1365" spans="1:7">
      <c r="A1365" s="65">
        <v>89.37</v>
      </c>
      <c r="B1365" s="65">
        <v>90.33</v>
      </c>
      <c r="C1365" s="65">
        <v>89.14</v>
      </c>
      <c r="D1365" s="65">
        <v>90.21</v>
      </c>
      <c r="E1365" s="65">
        <v>2107372</v>
      </c>
      <c r="F1365" s="65" t="s">
        <v>1411</v>
      </c>
      <c r="G1365" s="25">
        <f t="shared" si="19"/>
        <v>-9.311606252078386E-3</v>
      </c>
    </row>
    <row r="1366" spans="1:7">
      <c r="A1366" s="65">
        <v>90.67</v>
      </c>
      <c r="B1366" s="65">
        <v>91.37</v>
      </c>
      <c r="C1366" s="65">
        <v>89.62</v>
      </c>
      <c r="D1366" s="65">
        <v>90.04</v>
      </c>
      <c r="E1366" s="65">
        <v>1997716</v>
      </c>
      <c r="F1366" s="65" t="s">
        <v>1412</v>
      </c>
      <c r="G1366" s="25">
        <f t="shared" si="19"/>
        <v>6.9968902709907077E-3</v>
      </c>
    </row>
    <row r="1367" spans="1:7">
      <c r="A1367" s="65">
        <v>89.44</v>
      </c>
      <c r="B1367" s="65">
        <v>89.6</v>
      </c>
      <c r="C1367" s="65">
        <v>86.784999999999997</v>
      </c>
      <c r="D1367" s="65">
        <v>87.53</v>
      </c>
      <c r="E1367" s="65">
        <v>2494328</v>
      </c>
      <c r="F1367" s="65" t="s">
        <v>1413</v>
      </c>
      <c r="G1367" s="25">
        <f t="shared" si="19"/>
        <v>2.1821089912030134E-2</v>
      </c>
    </row>
    <row r="1368" spans="1:7">
      <c r="A1368" s="65">
        <v>87.2</v>
      </c>
      <c r="B1368" s="65">
        <v>88.45</v>
      </c>
      <c r="C1368" s="65">
        <v>86.6</v>
      </c>
      <c r="D1368" s="65">
        <v>87.68</v>
      </c>
      <c r="E1368" s="65">
        <v>3185752</v>
      </c>
      <c r="F1368" s="65" t="s">
        <v>1414</v>
      </c>
      <c r="G1368" s="25">
        <f t="shared" si="19"/>
        <v>-5.4744525547445466E-3</v>
      </c>
    </row>
    <row r="1369" spans="1:7">
      <c r="A1369" s="65">
        <v>88.44</v>
      </c>
      <c r="B1369" s="65">
        <v>89.42</v>
      </c>
      <c r="C1369" s="65">
        <v>88.01</v>
      </c>
      <c r="D1369" s="65">
        <v>88.85</v>
      </c>
      <c r="E1369" s="65">
        <v>2720516</v>
      </c>
      <c r="F1369" s="65" t="s">
        <v>1415</v>
      </c>
      <c r="G1369" s="25">
        <f t="shared" si="19"/>
        <v>-4.6145188519977065E-3</v>
      </c>
    </row>
    <row r="1370" spans="1:7">
      <c r="A1370" s="65">
        <v>88.92</v>
      </c>
      <c r="B1370" s="65">
        <v>91.73</v>
      </c>
      <c r="C1370" s="65">
        <v>87.876000000000005</v>
      </c>
      <c r="D1370" s="65">
        <v>91.5</v>
      </c>
      <c r="E1370" s="65">
        <v>2368175</v>
      </c>
      <c r="F1370" s="65" t="s">
        <v>1416</v>
      </c>
      <c r="G1370" s="25">
        <f t="shared" si="19"/>
        <v>-2.8196721311475437E-2</v>
      </c>
    </row>
    <row r="1371" spans="1:7">
      <c r="A1371" s="65">
        <v>91.23</v>
      </c>
      <c r="B1371" s="65">
        <v>91.332800000000006</v>
      </c>
      <c r="C1371" s="65">
        <v>89.37</v>
      </c>
      <c r="D1371" s="65">
        <v>89.76</v>
      </c>
      <c r="E1371" s="65">
        <v>1100285</v>
      </c>
      <c r="F1371" s="65" t="s">
        <v>1417</v>
      </c>
      <c r="G1371" s="25">
        <f t="shared" si="19"/>
        <v>1.6377005347593565E-2</v>
      </c>
    </row>
    <row r="1372" spans="1:7">
      <c r="A1372" s="65">
        <v>89.64</v>
      </c>
      <c r="B1372" s="65">
        <v>90.76</v>
      </c>
      <c r="C1372" s="65">
        <v>89.29</v>
      </c>
      <c r="D1372" s="65">
        <v>90.5</v>
      </c>
      <c r="E1372" s="65">
        <v>1115841</v>
      </c>
      <c r="F1372" s="65" t="s">
        <v>1418</v>
      </c>
      <c r="G1372" s="25">
        <f t="shared" si="19"/>
        <v>-9.5027624309391712E-3</v>
      </c>
    </row>
    <row r="1373" spans="1:7">
      <c r="A1373" s="65">
        <v>90</v>
      </c>
      <c r="B1373" s="65">
        <v>92.08</v>
      </c>
      <c r="C1373" s="65">
        <v>89.93</v>
      </c>
      <c r="D1373" s="65">
        <v>91.39</v>
      </c>
      <c r="E1373" s="65">
        <v>1476759</v>
      </c>
      <c r="F1373" s="65" t="s">
        <v>1419</v>
      </c>
      <c r="G1373" s="25">
        <f t="shared" si="19"/>
        <v>-1.520954152533105E-2</v>
      </c>
    </row>
    <row r="1374" spans="1:7">
      <c r="A1374" s="65">
        <v>90.58</v>
      </c>
      <c r="B1374" s="65">
        <v>90.78</v>
      </c>
      <c r="C1374" s="65">
        <v>88.89</v>
      </c>
      <c r="D1374" s="65">
        <v>88.89</v>
      </c>
      <c r="E1374" s="65">
        <v>1451445</v>
      </c>
      <c r="F1374" s="65" t="s">
        <v>1420</v>
      </c>
      <c r="G1374" s="25">
        <f t="shared" si="19"/>
        <v>1.9012262346720599E-2</v>
      </c>
    </row>
    <row r="1375" spans="1:7">
      <c r="A1375" s="65">
        <v>88.63</v>
      </c>
      <c r="B1375" s="65">
        <v>88.99</v>
      </c>
      <c r="C1375" s="65">
        <v>88.15</v>
      </c>
      <c r="D1375" s="65">
        <v>88.52</v>
      </c>
      <c r="E1375" s="65">
        <v>441507</v>
      </c>
      <c r="F1375" s="65" t="s">
        <v>1421</v>
      </c>
      <c r="G1375" s="25">
        <f t="shared" si="19"/>
        <v>1.2426570266605985E-3</v>
      </c>
    </row>
    <row r="1376" spans="1:7">
      <c r="A1376" s="65">
        <v>88.28</v>
      </c>
      <c r="B1376" s="65">
        <v>90.06</v>
      </c>
      <c r="C1376" s="65">
        <v>88.27</v>
      </c>
      <c r="D1376" s="65">
        <v>88.5</v>
      </c>
      <c r="E1376" s="65">
        <v>1598454</v>
      </c>
      <c r="F1376" s="65" t="s">
        <v>1422</v>
      </c>
      <c r="G1376" s="25">
        <f t="shared" si="19"/>
        <v>-2.4858757062147241E-3</v>
      </c>
    </row>
    <row r="1377" spans="1:7">
      <c r="A1377" s="65">
        <v>88</v>
      </c>
      <c r="B1377" s="65">
        <v>88.44</v>
      </c>
      <c r="C1377" s="65">
        <v>85.280100000000004</v>
      </c>
      <c r="D1377" s="65">
        <v>85.79</v>
      </c>
      <c r="E1377" s="65">
        <v>2183867</v>
      </c>
      <c r="F1377" s="65" t="s">
        <v>1423</v>
      </c>
      <c r="G1377" s="25">
        <f t="shared" si="19"/>
        <v>2.5760578155962222E-2</v>
      </c>
    </row>
    <row r="1378" spans="1:7">
      <c r="A1378" s="65">
        <v>85.64</v>
      </c>
      <c r="B1378" s="65">
        <v>85.75</v>
      </c>
      <c r="C1378" s="65">
        <v>83.215000000000003</v>
      </c>
      <c r="D1378" s="65">
        <v>85.19</v>
      </c>
      <c r="E1378" s="65">
        <v>2327420</v>
      </c>
      <c r="F1378" s="65" t="s">
        <v>1424</v>
      </c>
      <c r="G1378" s="25">
        <f t="shared" si="19"/>
        <v>5.2823101302970077E-3</v>
      </c>
    </row>
    <row r="1379" spans="1:7">
      <c r="A1379" s="65">
        <v>86.82</v>
      </c>
      <c r="B1379" s="65">
        <v>87.2</v>
      </c>
      <c r="C1379" s="65">
        <v>85.771699999999996</v>
      </c>
      <c r="D1379" s="65">
        <v>86.44</v>
      </c>
      <c r="E1379" s="65">
        <v>6067662</v>
      </c>
      <c r="F1379" s="65" t="s">
        <v>1425</v>
      </c>
      <c r="G1379" s="25">
        <f t="shared" si="19"/>
        <v>4.3961129106895314E-3</v>
      </c>
    </row>
    <row r="1380" spans="1:7">
      <c r="A1380" s="65">
        <v>86.52</v>
      </c>
      <c r="B1380" s="65">
        <v>86.59</v>
      </c>
      <c r="C1380" s="65">
        <v>84.66</v>
      </c>
      <c r="D1380" s="65">
        <v>85</v>
      </c>
      <c r="E1380" s="65">
        <v>1689031</v>
      </c>
      <c r="F1380" s="65" t="s">
        <v>1426</v>
      </c>
      <c r="G1380" s="25">
        <f t="shared" si="19"/>
        <v>1.788235294117646E-2</v>
      </c>
    </row>
    <row r="1381" spans="1:7">
      <c r="A1381" s="65">
        <v>85.09</v>
      </c>
      <c r="B1381" s="65">
        <v>86.08</v>
      </c>
      <c r="C1381" s="65">
        <v>83.72</v>
      </c>
      <c r="D1381" s="65">
        <v>83.88</v>
      </c>
      <c r="E1381" s="65">
        <v>1816482</v>
      </c>
      <c r="F1381" s="65" t="s">
        <v>1427</v>
      </c>
      <c r="G1381" s="25">
        <f t="shared" si="19"/>
        <v>1.4425369575584268E-2</v>
      </c>
    </row>
    <row r="1382" spans="1:7">
      <c r="A1382" s="65">
        <v>85.15</v>
      </c>
      <c r="B1382" s="65">
        <v>85.48</v>
      </c>
      <c r="C1382" s="65">
        <v>83.69</v>
      </c>
      <c r="D1382" s="65">
        <v>84.77</v>
      </c>
      <c r="E1382" s="65">
        <v>2739790</v>
      </c>
      <c r="F1382" s="65" t="s">
        <v>1428</v>
      </c>
      <c r="G1382" s="25">
        <f t="shared" si="19"/>
        <v>4.4827179426685237E-3</v>
      </c>
    </row>
    <row r="1383" spans="1:7">
      <c r="A1383" s="65">
        <v>83.57</v>
      </c>
      <c r="B1383" s="65">
        <v>85.8</v>
      </c>
      <c r="C1383" s="65">
        <v>83.51</v>
      </c>
      <c r="D1383" s="65">
        <v>84.53</v>
      </c>
      <c r="E1383" s="65">
        <v>2408450</v>
      </c>
      <c r="F1383" s="65" t="s">
        <v>1429</v>
      </c>
      <c r="G1383" s="25">
        <f t="shared" si="19"/>
        <v>-1.1356914704838572E-2</v>
      </c>
    </row>
    <row r="1384" spans="1:7">
      <c r="A1384" s="65">
        <v>84.18</v>
      </c>
      <c r="B1384" s="65">
        <v>86.27</v>
      </c>
      <c r="C1384" s="65">
        <v>83.65</v>
      </c>
      <c r="D1384" s="65">
        <v>86.2</v>
      </c>
      <c r="E1384" s="65">
        <v>2202263</v>
      </c>
      <c r="F1384" s="65" t="s">
        <v>1430</v>
      </c>
      <c r="G1384" s="25">
        <f t="shared" si="19"/>
        <v>-2.343387470997671E-2</v>
      </c>
    </row>
    <row r="1385" spans="1:7">
      <c r="A1385" s="65">
        <v>86.74</v>
      </c>
      <c r="B1385" s="65">
        <v>87.77</v>
      </c>
      <c r="C1385" s="65">
        <v>84.82</v>
      </c>
      <c r="D1385" s="65">
        <v>85.03</v>
      </c>
      <c r="E1385" s="65">
        <v>2631473</v>
      </c>
      <c r="F1385" s="65" t="s">
        <v>1431</v>
      </c>
      <c r="G1385" s="25">
        <f t="shared" si="19"/>
        <v>2.0110549217922991E-2</v>
      </c>
    </row>
    <row r="1386" spans="1:7">
      <c r="A1386" s="65">
        <v>85.03</v>
      </c>
      <c r="B1386" s="65">
        <v>86</v>
      </c>
      <c r="C1386" s="65">
        <v>83.9</v>
      </c>
      <c r="D1386" s="65">
        <v>85.5</v>
      </c>
      <c r="E1386" s="65">
        <v>2898703</v>
      </c>
      <c r="F1386" s="65" t="s">
        <v>1432</v>
      </c>
      <c r="G1386" s="25">
        <f t="shared" si="19"/>
        <v>-5.4970760233917781E-3</v>
      </c>
    </row>
    <row r="1387" spans="1:7">
      <c r="A1387" s="65">
        <v>85.4</v>
      </c>
      <c r="B1387" s="65">
        <v>86.07</v>
      </c>
      <c r="C1387" s="65">
        <v>84.32</v>
      </c>
      <c r="D1387" s="65">
        <v>85.98</v>
      </c>
      <c r="E1387" s="65">
        <v>1995363</v>
      </c>
      <c r="F1387" s="65" t="s">
        <v>1433</v>
      </c>
      <c r="G1387" s="25">
        <f t="shared" si="19"/>
        <v>-6.7457548267038092E-3</v>
      </c>
    </row>
    <row r="1388" spans="1:7">
      <c r="A1388" s="65">
        <v>86.06</v>
      </c>
      <c r="B1388" s="65">
        <v>86.54</v>
      </c>
      <c r="C1388" s="65">
        <v>85.14</v>
      </c>
      <c r="D1388" s="65">
        <v>85.7</v>
      </c>
      <c r="E1388" s="65">
        <v>2775105</v>
      </c>
      <c r="F1388" s="65" t="s">
        <v>1434</v>
      </c>
      <c r="G1388" s="25">
        <f t="shared" si="19"/>
        <v>4.2007001166861624E-3</v>
      </c>
    </row>
    <row r="1389" spans="1:7">
      <c r="A1389" s="65">
        <v>85.76</v>
      </c>
      <c r="B1389" s="65">
        <v>85.954999999999998</v>
      </c>
      <c r="C1389" s="65">
        <v>83.71</v>
      </c>
      <c r="D1389" s="65">
        <v>84.23</v>
      </c>
      <c r="E1389" s="65">
        <v>2413224</v>
      </c>
      <c r="F1389" s="65" t="s">
        <v>1435</v>
      </c>
      <c r="G1389" s="25">
        <f t="shared" si="19"/>
        <v>1.8164549447940104E-2</v>
      </c>
    </row>
    <row r="1390" spans="1:7">
      <c r="A1390" s="65">
        <v>83.65</v>
      </c>
      <c r="B1390" s="65">
        <v>84.78</v>
      </c>
      <c r="C1390" s="65">
        <v>83.38</v>
      </c>
      <c r="D1390" s="65">
        <v>83.9</v>
      </c>
      <c r="E1390" s="65">
        <v>1697299</v>
      </c>
      <c r="F1390" s="65" t="s">
        <v>1436</v>
      </c>
      <c r="G1390" s="25">
        <f t="shared" si="19"/>
        <v>-2.9797377830751426E-3</v>
      </c>
    </row>
    <row r="1391" spans="1:7">
      <c r="A1391" s="65">
        <v>84.47</v>
      </c>
      <c r="B1391" s="65">
        <v>84.81</v>
      </c>
      <c r="C1391" s="65">
        <v>83.17</v>
      </c>
      <c r="D1391" s="65">
        <v>83.67</v>
      </c>
      <c r="E1391" s="65">
        <v>1500478</v>
      </c>
      <c r="F1391" s="65" t="s">
        <v>1437</v>
      </c>
      <c r="G1391" s="25">
        <f t="shared" si="19"/>
        <v>9.5613720568901162E-3</v>
      </c>
    </row>
    <row r="1392" spans="1:7">
      <c r="A1392" s="65">
        <v>83.88</v>
      </c>
      <c r="B1392" s="65">
        <v>84.93</v>
      </c>
      <c r="C1392" s="65">
        <v>83.564999999999998</v>
      </c>
      <c r="D1392" s="65">
        <v>84.56</v>
      </c>
      <c r="E1392" s="65">
        <v>2529072</v>
      </c>
      <c r="F1392" s="65" t="s">
        <v>1438</v>
      </c>
      <c r="G1392" s="25">
        <f t="shared" si="19"/>
        <v>-8.0416272469253647E-3</v>
      </c>
    </row>
    <row r="1393" spans="1:7">
      <c r="A1393" s="65">
        <v>83.89</v>
      </c>
      <c r="B1393" s="65">
        <v>84.98</v>
      </c>
      <c r="C1393" s="65">
        <v>83.12</v>
      </c>
      <c r="D1393" s="65">
        <v>84.98</v>
      </c>
      <c r="E1393" s="65">
        <v>3948429</v>
      </c>
      <c r="F1393" s="65" t="s">
        <v>1439</v>
      </c>
      <c r="G1393" s="25">
        <f t="shared" si="19"/>
        <v>-1.2826547422923107E-2</v>
      </c>
    </row>
    <row r="1394" spans="1:7">
      <c r="A1394" s="65">
        <v>85.26</v>
      </c>
      <c r="B1394" s="65">
        <v>85.355000000000004</v>
      </c>
      <c r="C1394" s="65">
        <v>83.83</v>
      </c>
      <c r="D1394" s="65">
        <v>84.87</v>
      </c>
      <c r="E1394" s="65">
        <v>919782</v>
      </c>
      <c r="F1394" s="65" t="s">
        <v>1440</v>
      </c>
      <c r="G1394" s="25">
        <f t="shared" si="19"/>
        <v>4.5952633439378943E-3</v>
      </c>
    </row>
    <row r="1395" spans="1:7">
      <c r="A1395" s="65">
        <v>84.21</v>
      </c>
      <c r="B1395" s="65">
        <v>85.534999999999997</v>
      </c>
      <c r="C1395" s="65">
        <v>83.83</v>
      </c>
      <c r="D1395" s="65">
        <v>85.27</v>
      </c>
      <c r="E1395" s="65">
        <v>1712134</v>
      </c>
      <c r="F1395" s="65" t="s">
        <v>1441</v>
      </c>
      <c r="G1395" s="25">
        <f t="shared" si="19"/>
        <v>-1.2431101207927786E-2</v>
      </c>
    </row>
    <row r="1396" spans="1:7">
      <c r="A1396" s="65">
        <v>85.61</v>
      </c>
      <c r="B1396" s="65">
        <v>86.15</v>
      </c>
      <c r="C1396" s="65">
        <v>85.01</v>
      </c>
      <c r="D1396" s="65">
        <v>85.5</v>
      </c>
      <c r="E1396" s="65">
        <v>1903222</v>
      </c>
      <c r="F1396" s="65" t="s">
        <v>1442</v>
      </c>
      <c r="G1396" s="25">
        <f t="shared" si="19"/>
        <v>1.2865497076022248E-3</v>
      </c>
    </row>
    <row r="1397" spans="1:7">
      <c r="A1397" s="65">
        <v>84.7</v>
      </c>
      <c r="B1397" s="65">
        <v>85.81</v>
      </c>
      <c r="C1397" s="65">
        <v>83.86</v>
      </c>
      <c r="D1397" s="65">
        <v>84.95</v>
      </c>
      <c r="E1397" s="65">
        <v>1596587</v>
      </c>
      <c r="F1397" s="65" t="s">
        <v>1443</v>
      </c>
      <c r="G1397" s="25">
        <f t="shared" si="19"/>
        <v>-2.9429075927015491E-3</v>
      </c>
    </row>
    <row r="1398" spans="1:7">
      <c r="A1398" s="65">
        <v>84.53</v>
      </c>
      <c r="B1398" s="65">
        <v>85.39</v>
      </c>
      <c r="C1398" s="65">
        <v>84.36</v>
      </c>
      <c r="D1398" s="65">
        <v>85.03</v>
      </c>
      <c r="E1398" s="65">
        <v>2794802</v>
      </c>
      <c r="F1398" s="65" t="s">
        <v>1444</v>
      </c>
      <c r="G1398" s="25">
        <f t="shared" si="19"/>
        <v>-5.8802775491003656E-3</v>
      </c>
    </row>
    <row r="1399" spans="1:7">
      <c r="A1399" s="65">
        <v>85.24</v>
      </c>
      <c r="B1399" s="65">
        <v>85.544700000000006</v>
      </c>
      <c r="C1399" s="65">
        <v>84.07</v>
      </c>
      <c r="D1399" s="65">
        <v>84.45</v>
      </c>
      <c r="E1399" s="65">
        <v>2178723</v>
      </c>
      <c r="F1399" s="65" t="s">
        <v>1445</v>
      </c>
      <c r="G1399" s="25">
        <f t="shared" si="19"/>
        <v>9.3546477205446177E-3</v>
      </c>
    </row>
    <row r="1400" spans="1:7">
      <c r="A1400" s="65">
        <v>85.24</v>
      </c>
      <c r="B1400" s="65">
        <v>87.234999999999999</v>
      </c>
      <c r="C1400" s="65">
        <v>84.6</v>
      </c>
      <c r="D1400" s="65">
        <v>84.85</v>
      </c>
      <c r="E1400" s="65">
        <v>5012829</v>
      </c>
      <c r="F1400" s="65" t="s">
        <v>1446</v>
      </c>
      <c r="G1400" s="25">
        <f t="shared" si="19"/>
        <v>4.5963464938125753E-3</v>
      </c>
    </row>
    <row r="1401" spans="1:7">
      <c r="A1401" s="65">
        <v>85.18</v>
      </c>
      <c r="B1401" s="65">
        <v>88</v>
      </c>
      <c r="C1401" s="65">
        <v>83.89</v>
      </c>
      <c r="D1401" s="65">
        <v>85.25</v>
      </c>
      <c r="E1401" s="65">
        <v>4972666</v>
      </c>
      <c r="F1401" s="65" t="s">
        <v>1447</v>
      </c>
      <c r="G1401" s="25">
        <f t="shared" si="19"/>
        <v>-8.2111436950138561E-4</v>
      </c>
    </row>
    <row r="1402" spans="1:7">
      <c r="A1402" s="65">
        <v>82.17</v>
      </c>
      <c r="B1402" s="65">
        <v>83.2</v>
      </c>
      <c r="C1402" s="65">
        <v>81.13</v>
      </c>
      <c r="D1402" s="65">
        <v>82.9</v>
      </c>
      <c r="E1402" s="65">
        <v>1841002</v>
      </c>
      <c r="F1402" s="65" t="s">
        <v>1448</v>
      </c>
      <c r="G1402" s="25">
        <f t="shared" si="19"/>
        <v>-8.8057901085646373E-3</v>
      </c>
    </row>
    <row r="1403" spans="1:7">
      <c r="A1403" s="65">
        <v>81.78</v>
      </c>
      <c r="B1403" s="65">
        <v>82.28</v>
      </c>
      <c r="C1403" s="65">
        <v>79.89</v>
      </c>
      <c r="D1403" s="65">
        <v>80.34</v>
      </c>
      <c r="E1403" s="65">
        <v>2342127</v>
      </c>
      <c r="F1403" s="65" t="s">
        <v>1449</v>
      </c>
      <c r="G1403" s="25">
        <f t="shared" si="19"/>
        <v>1.7923823749066425E-2</v>
      </c>
    </row>
    <row r="1404" spans="1:7">
      <c r="A1404" s="65">
        <v>80.349999999999994</v>
      </c>
      <c r="B1404" s="65">
        <v>80.599999999999994</v>
      </c>
      <c r="C1404" s="65">
        <v>78.34</v>
      </c>
      <c r="D1404" s="65">
        <v>79.38</v>
      </c>
      <c r="E1404" s="65">
        <v>2437784</v>
      </c>
      <c r="F1404" s="65" t="s">
        <v>1450</v>
      </c>
      <c r="G1404" s="25">
        <f t="shared" ref="G1404:G1442" si="20">A1404/D1404-1</f>
        <v>1.2219702695893231E-2</v>
      </c>
    </row>
    <row r="1405" spans="1:7">
      <c r="A1405" s="65">
        <v>80.03</v>
      </c>
      <c r="B1405" s="65">
        <v>81.760000000000005</v>
      </c>
      <c r="C1405" s="65">
        <v>79.209999999999994</v>
      </c>
      <c r="D1405" s="65">
        <v>81.760000000000005</v>
      </c>
      <c r="E1405" s="65">
        <v>2468375</v>
      </c>
      <c r="F1405" s="65" t="s">
        <v>1451</v>
      </c>
      <c r="G1405" s="25">
        <f t="shared" si="20"/>
        <v>-2.1159491193737834E-2</v>
      </c>
    </row>
    <row r="1406" spans="1:7">
      <c r="A1406" s="65">
        <v>81.209999999999994</v>
      </c>
      <c r="B1406" s="65">
        <v>83.96</v>
      </c>
      <c r="C1406" s="65">
        <v>81</v>
      </c>
      <c r="D1406" s="65">
        <v>83.7</v>
      </c>
      <c r="E1406" s="65">
        <v>3365229</v>
      </c>
      <c r="F1406" s="65" t="s">
        <v>1452</v>
      </c>
      <c r="G1406" s="25">
        <f t="shared" si="20"/>
        <v>-2.97491039426524E-2</v>
      </c>
    </row>
    <row r="1407" spans="1:7">
      <c r="A1407" s="65">
        <v>84</v>
      </c>
      <c r="B1407" s="65">
        <v>85.83</v>
      </c>
      <c r="C1407" s="65">
        <v>81.594999999999999</v>
      </c>
      <c r="D1407" s="65">
        <v>82</v>
      </c>
      <c r="E1407" s="65">
        <v>4185306</v>
      </c>
      <c r="F1407" s="65" t="s">
        <v>1453</v>
      </c>
      <c r="G1407" s="25">
        <f t="shared" si="20"/>
        <v>2.4390243902439046E-2</v>
      </c>
    </row>
    <row r="1408" spans="1:7">
      <c r="A1408" s="65">
        <v>78.03</v>
      </c>
      <c r="B1408" s="65">
        <v>78.510000000000005</v>
      </c>
      <c r="C1408" s="65">
        <v>77.16</v>
      </c>
      <c r="D1408" s="65">
        <v>77.69</v>
      </c>
      <c r="E1408" s="65">
        <v>2585487</v>
      </c>
      <c r="F1408" s="65" t="s">
        <v>1454</v>
      </c>
      <c r="G1408" s="25">
        <f t="shared" si="20"/>
        <v>4.3763676148795838E-3</v>
      </c>
    </row>
    <row r="1409" spans="1:7">
      <c r="A1409" s="65">
        <v>77.55</v>
      </c>
      <c r="B1409" s="65">
        <v>78.44</v>
      </c>
      <c r="C1409" s="65">
        <v>76.14</v>
      </c>
      <c r="D1409" s="65">
        <v>76.959999999999994</v>
      </c>
      <c r="E1409" s="65">
        <v>2721757</v>
      </c>
      <c r="F1409" s="65" t="s">
        <v>1455</v>
      </c>
      <c r="G1409" s="25">
        <f t="shared" si="20"/>
        <v>7.6663201663202951E-3</v>
      </c>
    </row>
    <row r="1410" spans="1:7">
      <c r="A1410" s="65">
        <v>75.97</v>
      </c>
      <c r="B1410" s="65">
        <v>77.489999999999995</v>
      </c>
      <c r="C1410" s="65">
        <v>75.13</v>
      </c>
      <c r="D1410" s="65">
        <v>76.239999999999995</v>
      </c>
      <c r="E1410" s="65">
        <v>3241409</v>
      </c>
      <c r="F1410" s="65" t="s">
        <v>1456</v>
      </c>
      <c r="G1410" s="25">
        <f t="shared" si="20"/>
        <v>-3.5414480587617758E-3</v>
      </c>
    </row>
    <row r="1411" spans="1:7">
      <c r="A1411" s="65">
        <v>74.209999999999994</v>
      </c>
      <c r="B1411" s="65">
        <v>74.8</v>
      </c>
      <c r="C1411" s="65">
        <v>73.099999999999994</v>
      </c>
      <c r="D1411" s="65">
        <v>73.5</v>
      </c>
      <c r="E1411" s="65">
        <v>2518466</v>
      </c>
      <c r="F1411" s="65" t="s">
        <v>1457</v>
      </c>
      <c r="G1411" s="25">
        <f t="shared" si="20"/>
        <v>9.6598639455780511E-3</v>
      </c>
    </row>
    <row r="1412" spans="1:7">
      <c r="A1412" s="65">
        <v>72.599999999999994</v>
      </c>
      <c r="B1412" s="65">
        <v>73.84</v>
      </c>
      <c r="C1412" s="65">
        <v>72.14</v>
      </c>
      <c r="D1412" s="65">
        <v>73.11</v>
      </c>
      <c r="E1412" s="65">
        <v>2614842</v>
      </c>
      <c r="F1412" s="65" t="s">
        <v>1458</v>
      </c>
      <c r="G1412" s="25">
        <f t="shared" si="20"/>
        <v>-6.9757899056217543E-3</v>
      </c>
    </row>
    <row r="1413" spans="1:7">
      <c r="A1413" s="65">
        <v>71.69</v>
      </c>
      <c r="B1413" s="65">
        <v>72.81</v>
      </c>
      <c r="C1413" s="65">
        <v>70.92</v>
      </c>
      <c r="D1413" s="65">
        <v>72.48</v>
      </c>
      <c r="E1413" s="65">
        <v>3131454</v>
      </c>
      <c r="F1413" s="65" t="s">
        <v>1459</v>
      </c>
      <c r="G1413" s="25">
        <f t="shared" si="20"/>
        <v>-1.0899558498896345E-2</v>
      </c>
    </row>
    <row r="1414" spans="1:7">
      <c r="A1414" s="65">
        <v>72.91</v>
      </c>
      <c r="B1414" s="65">
        <v>73.989999999999995</v>
      </c>
      <c r="C1414" s="65">
        <v>72.099999999999994</v>
      </c>
      <c r="D1414" s="65">
        <v>73.42</v>
      </c>
      <c r="E1414" s="65">
        <v>2253711</v>
      </c>
      <c r="F1414" s="65" t="s">
        <v>1460</v>
      </c>
      <c r="G1414" s="25">
        <f t="shared" si="20"/>
        <v>-6.9463361481886254E-3</v>
      </c>
    </row>
    <row r="1415" spans="1:7">
      <c r="A1415" s="65">
        <v>73.260000000000005</v>
      </c>
      <c r="B1415" s="65">
        <v>75.4542</v>
      </c>
      <c r="C1415" s="65">
        <v>73.180000000000007</v>
      </c>
      <c r="D1415" s="65">
        <v>75.010000000000005</v>
      </c>
      <c r="E1415" s="65">
        <v>3192332</v>
      </c>
      <c r="F1415" s="65" t="s">
        <v>1461</v>
      </c>
      <c r="G1415" s="25">
        <f t="shared" si="20"/>
        <v>-2.3330222636981701E-2</v>
      </c>
    </row>
    <row r="1416" spans="1:7">
      <c r="A1416" s="65">
        <v>76.5</v>
      </c>
      <c r="B1416" s="65">
        <v>78.650000000000006</v>
      </c>
      <c r="C1416" s="65">
        <v>76.39</v>
      </c>
      <c r="D1416" s="65">
        <v>78.349999999999994</v>
      </c>
      <c r="E1416" s="65">
        <v>2661752</v>
      </c>
      <c r="F1416" s="65" t="s">
        <v>1462</v>
      </c>
      <c r="G1416" s="25">
        <f t="shared" si="20"/>
        <v>-2.361199744735154E-2</v>
      </c>
    </row>
    <row r="1417" spans="1:7">
      <c r="A1417" s="65">
        <v>78.08</v>
      </c>
      <c r="B1417" s="65">
        <v>79.52</v>
      </c>
      <c r="C1417" s="65">
        <v>77.319999999999993</v>
      </c>
      <c r="D1417" s="65">
        <v>79.23</v>
      </c>
      <c r="E1417" s="65">
        <v>2396946</v>
      </c>
      <c r="F1417" s="65" t="s">
        <v>1463</v>
      </c>
      <c r="G1417" s="25">
        <f t="shared" si="20"/>
        <v>-1.4514704026252767E-2</v>
      </c>
    </row>
    <row r="1418" spans="1:7">
      <c r="A1418" s="65">
        <v>80.41</v>
      </c>
      <c r="B1418" s="65">
        <v>80.52</v>
      </c>
      <c r="C1418" s="65">
        <v>79.069999999999993</v>
      </c>
      <c r="D1418" s="65">
        <v>79.86</v>
      </c>
      <c r="E1418" s="65">
        <v>2500571</v>
      </c>
      <c r="F1418" s="65" t="s">
        <v>1464</v>
      </c>
      <c r="G1418" s="25">
        <f t="shared" si="20"/>
        <v>6.8870523415978102E-3</v>
      </c>
    </row>
    <row r="1419" spans="1:7">
      <c r="A1419" s="65">
        <v>79.38</v>
      </c>
      <c r="B1419" s="65">
        <v>81</v>
      </c>
      <c r="C1419" s="65">
        <v>78.02</v>
      </c>
      <c r="D1419" s="65">
        <v>79.739999999999995</v>
      </c>
      <c r="E1419" s="65">
        <v>6111068</v>
      </c>
      <c r="F1419" s="65" t="s">
        <v>1465</v>
      </c>
      <c r="G1419" s="25">
        <f t="shared" si="20"/>
        <v>-4.5146726862302922E-3</v>
      </c>
    </row>
    <row r="1420" spans="1:7">
      <c r="A1420" s="65">
        <v>83.61</v>
      </c>
      <c r="B1420" s="65">
        <v>84.84</v>
      </c>
      <c r="C1420" s="65">
        <v>82.58</v>
      </c>
      <c r="D1420" s="65">
        <v>84.44</v>
      </c>
      <c r="E1420" s="65">
        <v>2149780</v>
      </c>
      <c r="F1420" s="65" t="s">
        <v>1466</v>
      </c>
      <c r="G1420" s="25">
        <f t="shared" si="20"/>
        <v>-9.8294647086688558E-3</v>
      </c>
    </row>
    <row r="1421" spans="1:7">
      <c r="A1421" s="65">
        <v>84.43</v>
      </c>
      <c r="B1421" s="65">
        <v>85.66</v>
      </c>
      <c r="C1421" s="65">
        <v>83.69</v>
      </c>
      <c r="D1421" s="65">
        <v>84.49</v>
      </c>
      <c r="E1421" s="65">
        <v>1415669</v>
      </c>
      <c r="F1421" s="65" t="s">
        <v>1467</v>
      </c>
      <c r="G1421" s="25">
        <f t="shared" si="20"/>
        <v>-7.101432122142981E-4</v>
      </c>
    </row>
    <row r="1422" spans="1:7">
      <c r="A1422" s="65">
        <v>84</v>
      </c>
      <c r="B1422" s="65">
        <v>86.73</v>
      </c>
      <c r="C1422" s="65">
        <v>83.23</v>
      </c>
      <c r="D1422" s="65">
        <v>85.5</v>
      </c>
      <c r="E1422" s="65">
        <v>1832939</v>
      </c>
      <c r="F1422" s="65" t="s">
        <v>1468</v>
      </c>
      <c r="G1422" s="25">
        <f t="shared" si="20"/>
        <v>-1.7543859649122862E-2</v>
      </c>
    </row>
    <row r="1423" spans="1:7">
      <c r="A1423" s="65">
        <v>85.33</v>
      </c>
      <c r="B1423" s="65">
        <v>86.98</v>
      </c>
      <c r="C1423" s="65">
        <v>85.2</v>
      </c>
      <c r="D1423" s="65">
        <v>85.87</v>
      </c>
      <c r="E1423" s="65">
        <v>1831137</v>
      </c>
      <c r="F1423" s="65" t="s">
        <v>1469</v>
      </c>
      <c r="G1423" s="25">
        <f t="shared" si="20"/>
        <v>-6.2885757540468434E-3</v>
      </c>
    </row>
    <row r="1424" spans="1:7">
      <c r="A1424" s="65">
        <v>85.32</v>
      </c>
      <c r="B1424" s="65">
        <v>85.87</v>
      </c>
      <c r="C1424" s="65">
        <v>83.49</v>
      </c>
      <c r="D1424" s="65">
        <v>83.83</v>
      </c>
      <c r="E1424" s="65">
        <v>2006295</v>
      </c>
      <c r="F1424" s="65" t="s">
        <v>1470</v>
      </c>
      <c r="G1424" s="25">
        <f t="shared" si="20"/>
        <v>1.7774066563282842E-2</v>
      </c>
    </row>
    <row r="1425" spans="1:7">
      <c r="A1425" s="65">
        <v>85.17</v>
      </c>
      <c r="B1425" s="65">
        <v>86.25</v>
      </c>
      <c r="C1425" s="65">
        <v>83.77</v>
      </c>
      <c r="D1425" s="65">
        <v>83.92</v>
      </c>
      <c r="E1425" s="65">
        <v>1805162</v>
      </c>
      <c r="F1425" s="65" t="s">
        <v>1471</v>
      </c>
      <c r="G1425" s="25">
        <f t="shared" si="20"/>
        <v>1.4895138226882709E-2</v>
      </c>
    </row>
    <row r="1426" spans="1:7">
      <c r="A1426" s="65">
        <v>83.94</v>
      </c>
      <c r="B1426" s="65">
        <v>85.01</v>
      </c>
      <c r="C1426" s="65">
        <v>83.2</v>
      </c>
      <c r="D1426" s="65">
        <v>84.04</v>
      </c>
      <c r="E1426" s="65">
        <v>1830861</v>
      </c>
      <c r="F1426" s="65" t="s">
        <v>1472</v>
      </c>
      <c r="G1426" s="25">
        <f t="shared" si="20"/>
        <v>-1.1899095668730375E-3</v>
      </c>
    </row>
    <row r="1427" spans="1:7">
      <c r="A1427" s="65">
        <v>85.02</v>
      </c>
      <c r="B1427" s="65">
        <v>85.47</v>
      </c>
      <c r="C1427" s="65">
        <v>83.18</v>
      </c>
      <c r="D1427" s="65">
        <v>84.44</v>
      </c>
      <c r="E1427" s="65">
        <v>2090271</v>
      </c>
      <c r="F1427" s="65" t="s">
        <v>1473</v>
      </c>
      <c r="G1427" s="25">
        <f t="shared" si="20"/>
        <v>6.8687825675035619E-3</v>
      </c>
    </row>
    <row r="1428" spans="1:7">
      <c r="A1428" s="65">
        <v>83.9</v>
      </c>
      <c r="B1428" s="65">
        <v>83.95</v>
      </c>
      <c r="C1428" s="65">
        <v>81.81</v>
      </c>
      <c r="D1428" s="65">
        <v>82.6</v>
      </c>
      <c r="E1428" s="65">
        <v>2229688</v>
      </c>
      <c r="F1428" s="65" t="s">
        <v>1474</v>
      </c>
      <c r="G1428" s="25">
        <f t="shared" si="20"/>
        <v>1.57384987893463E-2</v>
      </c>
    </row>
    <row r="1429" spans="1:7">
      <c r="A1429" s="65">
        <v>81.650000000000006</v>
      </c>
      <c r="B1429" s="65">
        <v>82.25</v>
      </c>
      <c r="C1429" s="65">
        <v>80.930000000000007</v>
      </c>
      <c r="D1429" s="65">
        <v>82</v>
      </c>
      <c r="E1429" s="65">
        <v>1804960</v>
      </c>
      <c r="F1429" s="65" t="s">
        <v>1475</v>
      </c>
      <c r="G1429" s="25">
        <f t="shared" si="20"/>
        <v>-4.268292682926722E-3</v>
      </c>
    </row>
    <row r="1430" spans="1:7">
      <c r="A1430" s="65">
        <v>81.5</v>
      </c>
      <c r="B1430" s="65">
        <v>81.72</v>
      </c>
      <c r="C1430" s="65">
        <v>79.452600000000004</v>
      </c>
      <c r="D1430" s="65">
        <v>79.58</v>
      </c>
      <c r="E1430" s="65">
        <v>1971232</v>
      </c>
      <c r="F1430" s="65" t="s">
        <v>1476</v>
      </c>
      <c r="G1430" s="25">
        <f t="shared" si="20"/>
        <v>2.412666499120375E-2</v>
      </c>
    </row>
    <row r="1431" spans="1:7">
      <c r="A1431" s="65">
        <v>78.59</v>
      </c>
      <c r="B1431" s="65">
        <v>80.430000000000007</v>
      </c>
      <c r="C1431" s="65">
        <v>78.474000000000004</v>
      </c>
      <c r="D1431" s="65">
        <v>80.28</v>
      </c>
      <c r="E1431" s="65">
        <v>1488363</v>
      </c>
      <c r="F1431" s="65" t="s">
        <v>1477</v>
      </c>
      <c r="G1431" s="25">
        <f t="shared" si="20"/>
        <v>-2.1051320378674632E-2</v>
      </c>
    </row>
    <row r="1432" spans="1:7">
      <c r="A1432" s="65">
        <v>80.150000000000006</v>
      </c>
      <c r="B1432" s="65">
        <v>80.5</v>
      </c>
      <c r="C1432" s="65">
        <v>79.040000000000006</v>
      </c>
      <c r="D1432" s="65">
        <v>79.12</v>
      </c>
      <c r="E1432" s="65">
        <v>1662214</v>
      </c>
      <c r="F1432" s="65" t="s">
        <v>1478</v>
      </c>
      <c r="G1432" s="25">
        <f t="shared" si="20"/>
        <v>1.301820020222455E-2</v>
      </c>
    </row>
    <row r="1433" spans="1:7">
      <c r="A1433" s="65">
        <v>78.81</v>
      </c>
      <c r="B1433" s="65">
        <v>79.92</v>
      </c>
      <c r="C1433" s="65">
        <v>77.67</v>
      </c>
      <c r="D1433" s="65">
        <v>77.95</v>
      </c>
      <c r="E1433" s="65">
        <v>1541585</v>
      </c>
      <c r="F1433" s="65" t="s">
        <v>1479</v>
      </c>
      <c r="G1433" s="25">
        <f t="shared" si="20"/>
        <v>1.1032713277742134E-2</v>
      </c>
    </row>
    <row r="1434" spans="1:7">
      <c r="A1434" s="65">
        <v>78.98</v>
      </c>
      <c r="B1434" s="65">
        <v>80.739900000000006</v>
      </c>
      <c r="C1434" s="65">
        <v>78.44</v>
      </c>
      <c r="D1434" s="65">
        <v>80.38</v>
      </c>
      <c r="E1434" s="65">
        <v>1994144</v>
      </c>
      <c r="F1434" s="65" t="s">
        <v>1480</v>
      </c>
      <c r="G1434" s="25">
        <f t="shared" si="20"/>
        <v>-1.741726797710863E-2</v>
      </c>
    </row>
    <row r="1435" spans="1:7">
      <c r="A1435" s="65">
        <v>79.819999999999993</v>
      </c>
      <c r="B1435" s="65">
        <v>80.989999999999995</v>
      </c>
      <c r="C1435" s="65">
        <v>78.319999999999993</v>
      </c>
      <c r="D1435" s="65">
        <v>78.33</v>
      </c>
      <c r="E1435" s="65">
        <v>3248371</v>
      </c>
      <c r="F1435" s="65" t="s">
        <v>1481</v>
      </c>
      <c r="G1435" s="25">
        <f t="shared" si="20"/>
        <v>1.9022086046214692E-2</v>
      </c>
    </row>
    <row r="1436" spans="1:7">
      <c r="A1436" s="65">
        <v>78.31</v>
      </c>
      <c r="B1436" s="65">
        <v>80.0321</v>
      </c>
      <c r="C1436" s="65">
        <v>77.970200000000006</v>
      </c>
      <c r="D1436" s="65">
        <v>78.34</v>
      </c>
      <c r="E1436" s="65">
        <v>2640704</v>
      </c>
      <c r="F1436" s="65" t="s">
        <v>1482</v>
      </c>
      <c r="G1436" s="25">
        <f t="shared" si="20"/>
        <v>-3.8294613224409968E-4</v>
      </c>
    </row>
    <row r="1437" spans="1:7">
      <c r="A1437" s="65">
        <v>77.709999999999994</v>
      </c>
      <c r="B1437" s="65">
        <v>78.72</v>
      </c>
      <c r="C1437" s="65">
        <v>77.489999999999995</v>
      </c>
      <c r="D1437" s="65">
        <v>78.349999999999994</v>
      </c>
      <c r="E1437" s="65">
        <v>2805633</v>
      </c>
      <c r="F1437" s="65" t="s">
        <v>1483</v>
      </c>
      <c r="G1437" s="25">
        <f t="shared" si="20"/>
        <v>-8.1684747925973022E-3</v>
      </c>
    </row>
    <row r="1438" spans="1:7">
      <c r="A1438" s="65">
        <v>77.45</v>
      </c>
      <c r="B1438" s="65">
        <v>77.489999999999995</v>
      </c>
      <c r="C1438" s="65">
        <v>74.064999999999998</v>
      </c>
      <c r="D1438" s="65">
        <v>74.180000000000007</v>
      </c>
      <c r="E1438" s="65">
        <v>2869200</v>
      </c>
      <c r="F1438" s="65" t="s">
        <v>1484</v>
      </c>
      <c r="G1438" s="25">
        <f t="shared" si="20"/>
        <v>4.4081962793205642E-2</v>
      </c>
    </row>
    <row r="1439" spans="1:7">
      <c r="A1439" s="65">
        <v>74.67</v>
      </c>
      <c r="B1439" s="65">
        <v>76.084000000000003</v>
      </c>
      <c r="C1439" s="65">
        <v>74.25</v>
      </c>
      <c r="D1439" s="65">
        <v>75.739999999999995</v>
      </c>
      <c r="E1439" s="65">
        <v>2575739</v>
      </c>
      <c r="F1439" s="65" t="s">
        <v>1485</v>
      </c>
      <c r="G1439" s="25">
        <f t="shared" si="20"/>
        <v>-1.4127277528386495E-2</v>
      </c>
    </row>
    <row r="1440" spans="1:7">
      <c r="A1440" s="65">
        <v>76.05</v>
      </c>
      <c r="B1440" s="65">
        <v>78.760000000000005</v>
      </c>
      <c r="C1440" s="65">
        <v>75.67</v>
      </c>
      <c r="D1440" s="65">
        <v>78.75</v>
      </c>
      <c r="E1440" s="65">
        <v>4254119</v>
      </c>
      <c r="F1440" s="65" t="s">
        <v>1486</v>
      </c>
      <c r="G1440" s="25">
        <f t="shared" si="20"/>
        <v>-3.4285714285714364E-2</v>
      </c>
    </row>
    <row r="1441" spans="1:7">
      <c r="A1441" s="65">
        <v>78.680000000000007</v>
      </c>
      <c r="B1441" s="65">
        <v>81.45</v>
      </c>
      <c r="C1441" s="65">
        <v>77.650000000000006</v>
      </c>
      <c r="D1441" s="65">
        <v>81.25</v>
      </c>
      <c r="E1441" s="65">
        <v>4061956</v>
      </c>
      <c r="F1441" s="65" t="s">
        <v>1487</v>
      </c>
      <c r="G1441" s="25">
        <f t="shared" si="20"/>
        <v>-3.1630769230769129E-2</v>
      </c>
    </row>
    <row r="1442" spans="1:7">
      <c r="A1442" s="65">
        <v>81.45</v>
      </c>
      <c r="B1442" s="65">
        <v>82.2</v>
      </c>
      <c r="C1442" s="65">
        <v>79.7</v>
      </c>
      <c r="D1442" s="65">
        <v>81.61</v>
      </c>
      <c r="E1442" s="65">
        <v>2164329</v>
      </c>
      <c r="F1442" s="65" t="s">
        <v>1488</v>
      </c>
      <c r="G1442" s="25">
        <f t="shared" si="20"/>
        <v>-1.9605440509741223E-3</v>
      </c>
    </row>
    <row r="1443" spans="1:7">
      <c r="G1443" s="25"/>
    </row>
    <row r="1444" spans="1:7">
      <c r="G1444" s="25"/>
    </row>
    <row r="1445" spans="1:7">
      <c r="G1445" s="25"/>
    </row>
    <row r="1446" spans="1:7">
      <c r="G1446" s="25"/>
    </row>
    <row r="1447" spans="1:7">
      <c r="G1447" s="25"/>
    </row>
    <row r="1448" spans="1:7">
      <c r="G1448" s="25"/>
    </row>
    <row r="1449" spans="1:7">
      <c r="G1449" s="25"/>
    </row>
    <row r="1450" spans="1:7">
      <c r="G1450" s="25"/>
    </row>
    <row r="1451" spans="1:7">
      <c r="G1451" s="25"/>
    </row>
    <row r="1452" spans="1:7">
      <c r="G1452" s="25"/>
    </row>
    <row r="1453" spans="1:7">
      <c r="G1453" s="25"/>
    </row>
    <row r="1454" spans="1:7">
      <c r="G1454" s="25"/>
    </row>
    <row r="1455" spans="1:7">
      <c r="G1455" s="25"/>
    </row>
    <row r="1456" spans="1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</sheetData>
  <sortState xmlns:xlrd2="http://schemas.microsoft.com/office/spreadsheetml/2017/richdata2" ref="I211:I249">
    <sortCondition ref="I211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2025-12-17T07:22:41Z</dcterms:modified>
</cp:coreProperties>
</file>