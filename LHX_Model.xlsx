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OneDrive\Desktop\Equity Research\Models\Industrials\"/>
    </mc:Choice>
  </mc:AlternateContent>
  <xr:revisionPtr revIDLastSave="0" documentId="13_ncr:1_{C8B6DE47-037B-4C33-8D30-58A5553D7DB2}" xr6:coauthVersionLast="47" xr6:coauthVersionMax="47" xr10:uidLastSave="{00000000-0000-0000-0000-000000000000}"/>
  <bookViews>
    <workbookView xWindow="-120" yWindow="-120" windowWidth="29040" windowHeight="15720"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8" i="2" l="1"/>
  <c r="AW8" i="2"/>
  <c r="AV8" i="2"/>
  <c r="AU8" i="2"/>
  <c r="AT8" i="2"/>
  <c r="AS8" i="2"/>
  <c r="AR8" i="2"/>
  <c r="AQ8" i="2"/>
  <c r="AP8" i="2"/>
  <c r="AO8" i="2"/>
  <c r="BH58" i="2"/>
  <c r="BH57" i="2"/>
  <c r="AN14" i="2"/>
  <c r="AN13" i="2"/>
  <c r="AN12" i="2"/>
  <c r="AN11" i="2"/>
  <c r="AN10" i="2"/>
  <c r="AB13" i="2"/>
  <c r="AA13" i="2"/>
  <c r="BH65" i="2"/>
  <c r="BH63" i="2"/>
  <c r="BC63" i="2"/>
  <c r="BC67" i="2"/>
  <c r="BC69" i="2" s="1"/>
  <c r="BH59" i="2"/>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AO6" i="2"/>
  <c r="AO5" i="2"/>
  <c r="AO4" i="2"/>
  <c r="AP40" i="2"/>
  <c r="AO40" i="2"/>
  <c r="AO74" i="2" s="1"/>
  <c r="AP74" i="2" s="1"/>
  <c r="AQ40" i="2" s="1"/>
  <c r="AN94" i="2"/>
  <c r="AM94" i="2"/>
  <c r="AL94" i="2"/>
  <c r="AK94" i="2"/>
  <c r="AJ94" i="2"/>
  <c r="AI94" i="2"/>
  <c r="AN93" i="2"/>
  <c r="AM93" i="2"/>
  <c r="AL93" i="2"/>
  <c r="AK93" i="2"/>
  <c r="AJ93" i="2"/>
  <c r="AI93" i="2"/>
  <c r="AA88" i="2"/>
  <c r="Z88" i="2"/>
  <c r="Y88" i="2"/>
  <c r="X88" i="2"/>
  <c r="W88" i="2"/>
  <c r="V88" i="2"/>
  <c r="U88" i="2"/>
  <c r="T88" i="2"/>
  <c r="S88" i="2"/>
  <c r="R88" i="2"/>
  <c r="AA86" i="2"/>
  <c r="Z86" i="2"/>
  <c r="Y86" i="2"/>
  <c r="X86" i="2"/>
  <c r="W86" i="2"/>
  <c r="V86" i="2"/>
  <c r="U86" i="2"/>
  <c r="T86" i="2"/>
  <c r="S86" i="2"/>
  <c r="R86" i="2"/>
  <c r="Z85" i="2"/>
  <c r="Z84" i="2"/>
  <c r="Z83" i="2"/>
  <c r="AB88" i="2"/>
  <c r="AB86" i="2"/>
  <c r="AB85" i="2"/>
  <c r="AB84" i="2"/>
  <c r="AB83" i="2"/>
  <c r="AN80" i="2"/>
  <c r="AM80" i="2"/>
  <c r="AL80" i="2"/>
  <c r="AN78" i="2"/>
  <c r="AM78" i="2"/>
  <c r="AL78" i="2"/>
  <c r="AN77" i="2"/>
  <c r="AM77" i="2"/>
  <c r="AL77" i="2"/>
  <c r="AN76" i="2"/>
  <c r="AM76" i="2"/>
  <c r="AL76" i="2"/>
  <c r="AN75" i="2"/>
  <c r="AM75" i="2"/>
  <c r="AL75" i="2"/>
  <c r="AN74" i="2"/>
  <c r="AM74" i="2"/>
  <c r="AL74" i="2"/>
  <c r="AN73" i="2"/>
  <c r="AM73" i="2"/>
  <c r="AL73" i="2"/>
  <c r="AN72" i="2"/>
  <c r="AM72" i="2"/>
  <c r="AN71" i="2"/>
  <c r="AM71" i="2"/>
  <c r="AL71" i="2"/>
  <c r="AN70" i="2"/>
  <c r="AM70" i="2"/>
  <c r="AL70" i="2"/>
  <c r="AN69" i="2"/>
  <c r="AM69" i="2"/>
  <c r="AL69" i="2"/>
  <c r="AN68" i="2"/>
  <c r="AM68" i="2"/>
  <c r="AN65" i="2"/>
  <c r="AM65" i="2"/>
  <c r="AL65" i="2"/>
  <c r="AN64" i="2"/>
  <c r="AM64" i="2"/>
  <c r="AL64" i="2"/>
  <c r="AN63" i="2"/>
  <c r="AM63" i="2"/>
  <c r="AL63" i="2"/>
  <c r="AN62" i="2"/>
  <c r="AM62" i="2"/>
  <c r="AL62" i="2"/>
  <c r="AN61" i="2"/>
  <c r="AM61" i="2"/>
  <c r="AL61" i="2"/>
  <c r="AN60" i="2"/>
  <c r="AM60" i="2"/>
  <c r="AL60" i="2"/>
  <c r="AN59" i="2"/>
  <c r="AN58" i="2"/>
  <c r="AN85" i="2" s="1"/>
  <c r="AM58" i="2"/>
  <c r="AL58" i="2"/>
  <c r="AN57" i="2"/>
  <c r="AM57" i="2"/>
  <c r="AL57" i="2"/>
  <c r="AN56" i="2"/>
  <c r="AM56" i="2"/>
  <c r="AL56" i="2"/>
  <c r="AN55" i="2"/>
  <c r="S72" i="2"/>
  <c r="S68" i="2"/>
  <c r="T72" i="2"/>
  <c r="T68" i="2"/>
  <c r="R72" i="2"/>
  <c r="AL72" i="2" s="1"/>
  <c r="R68" i="2"/>
  <c r="AL68" i="2" s="1"/>
  <c r="AL79" i="2" s="1"/>
  <c r="AL81" i="2" s="1"/>
  <c r="R59" i="2"/>
  <c r="U72" i="2"/>
  <c r="U68" i="2"/>
  <c r="U59" i="2"/>
  <c r="W68" i="2"/>
  <c r="W59" i="2"/>
  <c r="X68" i="2"/>
  <c r="X59" i="2"/>
  <c r="V59" i="2"/>
  <c r="Y59" i="2"/>
  <c r="AA68" i="2"/>
  <c r="AB66" i="2"/>
  <c r="AB87" i="2" s="1"/>
  <c r="AB101" i="2"/>
  <c r="AA101" i="2"/>
  <c r="Z101" i="2"/>
  <c r="Y101" i="2"/>
  <c r="X101" i="2"/>
  <c r="W101" i="2"/>
  <c r="V101" i="2"/>
  <c r="U101" i="2"/>
  <c r="T101" i="2"/>
  <c r="S101" i="2"/>
  <c r="R101" i="2"/>
  <c r="Q101" i="2"/>
  <c r="P101" i="2"/>
  <c r="O101" i="2"/>
  <c r="N101" i="2"/>
  <c r="M101" i="2"/>
  <c r="L101" i="2"/>
  <c r="K101" i="2"/>
  <c r="J101" i="2"/>
  <c r="I101" i="2"/>
  <c r="H101" i="2"/>
  <c r="G101" i="2"/>
  <c r="F101" i="2"/>
  <c r="E101" i="2"/>
  <c r="D101" i="2"/>
  <c r="AB99" i="2"/>
  <c r="AA99" i="2"/>
  <c r="Z99" i="2"/>
  <c r="Y99" i="2"/>
  <c r="X99" i="2"/>
  <c r="W99" i="2"/>
  <c r="V99" i="2"/>
  <c r="U99" i="2"/>
  <c r="T99" i="2"/>
  <c r="S99" i="2"/>
  <c r="R99" i="2"/>
  <c r="Q99" i="2"/>
  <c r="P99" i="2"/>
  <c r="O99" i="2"/>
  <c r="N99" i="2"/>
  <c r="M99" i="2"/>
  <c r="L99" i="2"/>
  <c r="K99" i="2"/>
  <c r="J99" i="2"/>
  <c r="I99" i="2"/>
  <c r="H99" i="2"/>
  <c r="G99" i="2"/>
  <c r="F99" i="2"/>
  <c r="E99" i="2"/>
  <c r="D99" i="2"/>
  <c r="C101" i="2"/>
  <c r="C99" i="2"/>
  <c r="AB96" i="2"/>
  <c r="AA96" i="2"/>
  <c r="Z96" i="2"/>
  <c r="Y96" i="2"/>
  <c r="X96" i="2"/>
  <c r="W96" i="2"/>
  <c r="V96" i="2"/>
  <c r="U96" i="2"/>
  <c r="T96" i="2"/>
  <c r="S96" i="2"/>
  <c r="R96" i="2"/>
  <c r="Q96" i="2"/>
  <c r="P96" i="2"/>
  <c r="O96" i="2"/>
  <c r="N96" i="2"/>
  <c r="M96" i="2"/>
  <c r="L96" i="2"/>
  <c r="K96" i="2"/>
  <c r="J96" i="2"/>
  <c r="I96" i="2"/>
  <c r="H96" i="2"/>
  <c r="G96" i="2"/>
  <c r="F96" i="2"/>
  <c r="E96" i="2"/>
  <c r="D96" i="2"/>
  <c r="C96" i="2"/>
  <c r="AN79" i="2"/>
  <c r="AN81" i="2" s="1"/>
  <c r="AM79" i="2"/>
  <c r="AM81" i="2" s="1"/>
  <c r="Y79" i="2"/>
  <c r="Y81" i="2" s="1"/>
  <c r="X79" i="2"/>
  <c r="X81" i="2" s="1"/>
  <c r="W79" i="2"/>
  <c r="W81" i="2" s="1"/>
  <c r="V79" i="2"/>
  <c r="V81" i="2" s="1"/>
  <c r="U79" i="2"/>
  <c r="U81" i="2" s="1"/>
  <c r="T79" i="2"/>
  <c r="T81" i="2" s="1"/>
  <c r="S79" i="2"/>
  <c r="S81" i="2" s="1"/>
  <c r="R79" i="2"/>
  <c r="R81" i="2" s="1"/>
  <c r="Y66" i="2"/>
  <c r="Y87" i="2" s="1"/>
  <c r="X66" i="2"/>
  <c r="X87" i="2" s="1"/>
  <c r="W66" i="2"/>
  <c r="W87" i="2" s="1"/>
  <c r="V66" i="2"/>
  <c r="V87" i="2" s="1"/>
  <c r="U66" i="2"/>
  <c r="U87" i="2" s="1"/>
  <c r="T66" i="2"/>
  <c r="T87" i="2" s="1"/>
  <c r="S66" i="2"/>
  <c r="S87" i="2" s="1"/>
  <c r="R66" i="2"/>
  <c r="R87" i="2" s="1"/>
  <c r="Z6" i="2"/>
  <c r="Z5" i="2"/>
  <c r="Z7" i="2"/>
  <c r="AN7" i="2" s="1"/>
  <c r="AO7" i="2" s="1"/>
  <c r="AP7" i="2" s="1"/>
  <c r="AQ7" i="2" s="1"/>
  <c r="AR7" i="2" s="1"/>
  <c r="AS7" i="2" s="1"/>
  <c r="AT7" i="2" s="1"/>
  <c r="AU7" i="2" s="1"/>
  <c r="AV7" i="2" s="1"/>
  <c r="AW7" i="2" s="1"/>
  <c r="AX7" i="2" s="1"/>
  <c r="AA50" i="2"/>
  <c r="Z50" i="2"/>
  <c r="Y50" i="2"/>
  <c r="X50" i="2"/>
  <c r="W50" i="2"/>
  <c r="V50" i="2"/>
  <c r="U50" i="2"/>
  <c r="T50" i="2"/>
  <c r="S50" i="2"/>
  <c r="R50" i="2"/>
  <c r="Q50" i="2"/>
  <c r="P50" i="2"/>
  <c r="O50" i="2"/>
  <c r="N50" i="2"/>
  <c r="M50" i="2"/>
  <c r="L50" i="2"/>
  <c r="K50" i="2"/>
  <c r="J50" i="2"/>
  <c r="I50" i="2"/>
  <c r="H50" i="2"/>
  <c r="G50" i="2"/>
  <c r="F50" i="2"/>
  <c r="E50" i="2"/>
  <c r="D50" i="2"/>
  <c r="C50" i="2"/>
  <c r="AB50" i="2"/>
  <c r="AN46" i="2"/>
  <c r="AN96" i="2" s="1"/>
  <c r="AM46" i="2"/>
  <c r="AM96" i="2" s="1"/>
  <c r="AL46" i="2"/>
  <c r="AL96" i="2" s="1"/>
  <c r="AK46" i="2"/>
  <c r="AK96" i="2" s="1"/>
  <c r="AJ46" i="2"/>
  <c r="AJ96" i="2" s="1"/>
  <c r="AI46" i="2"/>
  <c r="AI96" i="2" s="1"/>
  <c r="AN44" i="2"/>
  <c r="AM44" i="2"/>
  <c r="AL44" i="2"/>
  <c r="AK44" i="2"/>
  <c r="AJ44" i="2"/>
  <c r="AI44" i="2"/>
  <c r="AN42" i="2"/>
  <c r="AM42" i="2"/>
  <c r="AL42" i="2"/>
  <c r="AK42" i="2"/>
  <c r="AJ42" i="2"/>
  <c r="AI42" i="2"/>
  <c r="AN40" i="2"/>
  <c r="AM40" i="2"/>
  <c r="AL40" i="2"/>
  <c r="AK40" i="2"/>
  <c r="AJ40" i="2"/>
  <c r="AI40" i="2"/>
  <c r="AN39" i="2"/>
  <c r="AM39" i="2"/>
  <c r="AL39" i="2"/>
  <c r="AK39" i="2"/>
  <c r="AJ39" i="2"/>
  <c r="AI39" i="2"/>
  <c r="AN37" i="2"/>
  <c r="AM37" i="2"/>
  <c r="AL37" i="2"/>
  <c r="AK37" i="2"/>
  <c r="AJ37" i="2"/>
  <c r="AI37" i="2"/>
  <c r="AB22" i="2"/>
  <c r="AB21" i="2"/>
  <c r="AB20" i="2"/>
  <c r="AA27" i="2"/>
  <c r="Y27" i="2"/>
  <c r="X27" i="2"/>
  <c r="W27" i="2"/>
  <c r="AA26" i="2"/>
  <c r="Y26" i="2"/>
  <c r="X26" i="2"/>
  <c r="W26" i="2"/>
  <c r="AA25" i="2"/>
  <c r="Z25" i="2"/>
  <c r="Y25" i="2"/>
  <c r="X25" i="2"/>
  <c r="W25" i="2"/>
  <c r="AB27" i="2"/>
  <c r="AB25" i="2"/>
  <c r="AA12" i="2"/>
  <c r="AA11" i="2"/>
  <c r="AA10" i="2"/>
  <c r="Z22" i="2"/>
  <c r="AN22" i="2" s="1"/>
  <c r="Z21" i="2"/>
  <c r="AN21" i="2" s="1"/>
  <c r="Z20" i="2"/>
  <c r="AN20" i="2" s="1"/>
  <c r="W8" i="2"/>
  <c r="AA8" i="2"/>
  <c r="X8" i="2"/>
  <c r="AB8" i="2"/>
  <c r="Y4" i="2"/>
  <c r="Z4" i="2" s="1"/>
  <c r="C3" i="2" a="1"/>
  <c r="AB95" i="2"/>
  <c r="AB79" i="2"/>
  <c r="AB81" i="2" s="1"/>
  <c r="AB12" i="2"/>
  <c r="AB11" i="2"/>
  <c r="AB10" i="2"/>
  <c r="AA23" i="2"/>
  <c r="Y23" i="2"/>
  <c r="X23" i="2"/>
  <c r="W23" i="2"/>
  <c r="C7" i="1"/>
  <c r="C6" i="1"/>
  <c r="AA95" i="2"/>
  <c r="Z95" i="2"/>
  <c r="Y95" i="2"/>
  <c r="X95" i="2"/>
  <c r="W95" i="2"/>
  <c r="AN95" i="2" s="1"/>
  <c r="V95" i="2"/>
  <c r="U95" i="2"/>
  <c r="T95" i="2"/>
  <c r="S95" i="2"/>
  <c r="AM95" i="2" s="1"/>
  <c r="R95" i="2"/>
  <c r="Q95" i="2"/>
  <c r="P95" i="2"/>
  <c r="O95" i="2"/>
  <c r="AL95" i="2" s="1"/>
  <c r="N95" i="2"/>
  <c r="M95" i="2"/>
  <c r="L95" i="2"/>
  <c r="K95" i="2"/>
  <c r="AK95" i="2" s="1"/>
  <c r="J95" i="2"/>
  <c r="I95" i="2"/>
  <c r="H95" i="2"/>
  <c r="G95" i="2"/>
  <c r="AJ95" i="2" s="1"/>
  <c r="F95" i="2"/>
  <c r="E95" i="2"/>
  <c r="D95" i="2"/>
  <c r="C95" i="2"/>
  <c r="AI95" i="2" s="1"/>
  <c r="BC74" i="2"/>
  <c r="Z79" i="2"/>
  <c r="Z81" i="2" s="1"/>
  <c r="AA66" i="2"/>
  <c r="AA87" i="2" s="1"/>
  <c r="Z66" i="2"/>
  <c r="Z87" i="2" s="1"/>
  <c r="AM55" i="2"/>
  <c r="AL55" i="2"/>
  <c r="AN35" i="2"/>
  <c r="AN88" i="2" s="1"/>
  <c r="AM35" i="2"/>
  <c r="AM88" i="2" s="1"/>
  <c r="AL35" i="2"/>
  <c r="AL88" i="2" s="1"/>
  <c r="AK35" i="2"/>
  <c r="AJ35" i="2"/>
  <c r="AI35" i="2"/>
  <c r="F36" i="2"/>
  <c r="E36" i="2"/>
  <c r="D36" i="2"/>
  <c r="AM22" i="2"/>
  <c r="AM21" i="2"/>
  <c r="AM20" i="2"/>
  <c r="U36" i="2"/>
  <c r="R36" i="2"/>
  <c r="M36" i="2"/>
  <c r="J36" i="2"/>
  <c r="AJ3" i="2"/>
  <c r="AK3" i="2" s="1"/>
  <c r="AL3" i="2" s="1"/>
  <c r="AM3" i="2" s="1"/>
  <c r="AN3" i="2" s="1"/>
  <c r="AO3" i="2" s="1"/>
  <c r="AP3" i="2" s="1"/>
  <c r="AQ3" i="2" s="1"/>
  <c r="AR3" i="2" s="1"/>
  <c r="AS3" i="2" s="1"/>
  <c r="AT3" i="2" s="1"/>
  <c r="AU3" i="2" s="1"/>
  <c r="AV3" i="2" s="1"/>
  <c r="AW3" i="2" s="1"/>
  <c r="AX3" i="2" s="1"/>
  <c r="AY3" i="2" s="1"/>
  <c r="AZ3" i="2" s="1"/>
  <c r="BA3" i="2" s="1"/>
  <c r="BB3" i="2" s="1"/>
  <c r="BC3" i="2" s="1"/>
  <c r="BD3" i="2" s="1"/>
  <c r="BE3" i="2" s="1"/>
  <c r="BF3" i="2" s="1"/>
  <c r="BG3" i="2" s="1"/>
  <c r="BH3" i="2" s="1"/>
  <c r="BI3" i="2" s="1"/>
  <c r="BJ3" i="2" s="1"/>
  <c r="BK3" i="2" s="1"/>
  <c r="BL3" i="2" s="1"/>
  <c r="BM3" i="2" s="1"/>
  <c r="BN3" i="2" s="1"/>
  <c r="BO3" i="2" s="1"/>
  <c r="BP3" i="2" s="1"/>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AO14" i="2" l="1"/>
  <c r="AQ74" i="2"/>
  <c r="AN84" i="2"/>
  <c r="AO39" i="2"/>
  <c r="AN83" i="2"/>
  <c r="S83" i="2"/>
  <c r="S85" i="2"/>
  <c r="S84" i="2"/>
  <c r="T84" i="2"/>
  <c r="T85" i="2"/>
  <c r="T83" i="2"/>
  <c r="R84" i="2"/>
  <c r="R85" i="2"/>
  <c r="R83" i="2"/>
  <c r="AL59" i="2"/>
  <c r="AL85" i="2" s="1"/>
  <c r="U84" i="2"/>
  <c r="U83" i="2"/>
  <c r="U85" i="2"/>
  <c r="W84" i="2"/>
  <c r="W85" i="2"/>
  <c r="W83" i="2"/>
  <c r="X84" i="2"/>
  <c r="X85" i="2"/>
  <c r="X83" i="2"/>
  <c r="V85" i="2"/>
  <c r="V83" i="2"/>
  <c r="AM59" i="2"/>
  <c r="AM85" i="2" s="1"/>
  <c r="V84" i="2"/>
  <c r="Y83" i="2"/>
  <c r="Y84" i="2"/>
  <c r="Y85" i="2"/>
  <c r="AA79" i="2"/>
  <c r="AA81" i="2" s="1"/>
  <c r="AA83" i="2"/>
  <c r="AA85" i="2"/>
  <c r="AA84" i="2"/>
  <c r="AB26" i="2"/>
  <c r="AB23" i="2"/>
  <c r="AM83" i="2"/>
  <c r="AM84" i="2"/>
  <c r="AL84" i="2"/>
  <c r="AL83" i="2"/>
  <c r="AB97" i="2"/>
  <c r="AB100" i="2"/>
  <c r="AA97" i="2"/>
  <c r="AA100" i="2"/>
  <c r="Z97" i="2"/>
  <c r="Z100" i="2"/>
  <c r="Y97" i="2"/>
  <c r="Y100" i="2"/>
  <c r="X97" i="2"/>
  <c r="X100" i="2"/>
  <c r="W97" i="2"/>
  <c r="AN97" i="2" s="1"/>
  <c r="W100" i="2"/>
  <c r="V97" i="2"/>
  <c r="V100" i="2"/>
  <c r="U97" i="2"/>
  <c r="U100" i="2"/>
  <c r="T97" i="2"/>
  <c r="T100" i="2"/>
  <c r="S97" i="2"/>
  <c r="AM97" i="2" s="1"/>
  <c r="S100" i="2"/>
  <c r="R97" i="2"/>
  <c r="R100" i="2"/>
  <c r="Q97" i="2"/>
  <c r="Q100" i="2"/>
  <c r="P97" i="2"/>
  <c r="P100" i="2"/>
  <c r="O97" i="2"/>
  <c r="AL97" i="2" s="1"/>
  <c r="O100" i="2"/>
  <c r="N97" i="2"/>
  <c r="N100" i="2"/>
  <c r="M97" i="2"/>
  <c r="M100" i="2"/>
  <c r="L97" i="2"/>
  <c r="L100" i="2"/>
  <c r="K97" i="2"/>
  <c r="AK97" i="2" s="1"/>
  <c r="K100" i="2"/>
  <c r="J97" i="2"/>
  <c r="J100" i="2"/>
  <c r="I97" i="2"/>
  <c r="I100" i="2"/>
  <c r="H97" i="2"/>
  <c r="H100" i="2"/>
  <c r="G97" i="2"/>
  <c r="AJ97" i="2" s="1"/>
  <c r="G100" i="2"/>
  <c r="F97" i="2"/>
  <c r="F100" i="2"/>
  <c r="E97" i="2"/>
  <c r="E100" i="2"/>
  <c r="D97" i="2"/>
  <c r="D100" i="2"/>
  <c r="C97" i="2"/>
  <c r="AI97" i="2" s="1"/>
  <c r="C100" i="2"/>
  <c r="AL66" i="2"/>
  <c r="BA57" i="2"/>
  <c r="AN66" i="2"/>
  <c r="AZ57" i="2"/>
  <c r="BC57" i="2" s="1"/>
  <c r="AM66" i="2"/>
  <c r="F38" i="2"/>
  <c r="F49" i="2"/>
  <c r="E38" i="2"/>
  <c r="E49" i="2"/>
  <c r="D38" i="2"/>
  <c r="D49" i="2"/>
  <c r="U38" i="2"/>
  <c r="U49" i="2"/>
  <c r="R38" i="2"/>
  <c r="R49" i="2"/>
  <c r="M38" i="2"/>
  <c r="M49" i="2"/>
  <c r="J38" i="2"/>
  <c r="J49" i="2"/>
  <c r="Z27" i="2"/>
  <c r="Z26" i="2"/>
  <c r="W16" i="2"/>
  <c r="W17" i="2"/>
  <c r="W18" i="2"/>
  <c r="AA16" i="2"/>
  <c r="AA14" i="2"/>
  <c r="AA18" i="2"/>
  <c r="AA17" i="2"/>
  <c r="X18" i="2"/>
  <c r="X17" i="2"/>
  <c r="X16" i="2"/>
  <c r="Y8" i="2"/>
  <c r="Y16" i="2" s="1"/>
  <c r="Y31" i="2"/>
  <c r="Y32" i="2"/>
  <c r="Y28" i="2"/>
  <c r="Y30" i="2"/>
  <c r="X30" i="2"/>
  <c r="X32" i="2"/>
  <c r="X31" i="2"/>
  <c r="X28" i="2"/>
  <c r="W28" i="2"/>
  <c r="W30" i="2"/>
  <c r="W32" i="2"/>
  <c r="W31" i="2"/>
  <c r="AA28" i="2"/>
  <c r="AA32" i="2"/>
  <c r="AA31" i="2"/>
  <c r="AA30" i="2"/>
  <c r="Z23" i="2"/>
  <c r="AN6" i="2"/>
  <c r="AN5" i="2"/>
  <c r="Z8" i="2"/>
  <c r="AN4" i="2"/>
  <c r="AN27" i="2"/>
  <c r="AM27" i="2"/>
  <c r="AN26" i="2"/>
  <c r="AM26" i="2"/>
  <c r="AN25" i="2"/>
  <c r="AM25" i="2"/>
  <c r="C36" i="2"/>
  <c r="AI34" i="2"/>
  <c r="AB18" i="2"/>
  <c r="AB16" i="2"/>
  <c r="AB14" i="2"/>
  <c r="AB17" i="2"/>
  <c r="AB36" i="2"/>
  <c r="AA36" i="2"/>
  <c r="Z36" i="2"/>
  <c r="K36" i="2"/>
  <c r="S36" i="2"/>
  <c r="L36" i="2"/>
  <c r="BH60" i="2"/>
  <c r="N36" i="2"/>
  <c r="V36" i="2"/>
  <c r="H36" i="2"/>
  <c r="P36" i="2"/>
  <c r="X36" i="2"/>
  <c r="I36" i="2"/>
  <c r="Q36" i="2"/>
  <c r="Y36" i="2"/>
  <c r="AR40" i="2" l="1"/>
  <c r="AR74" i="2"/>
  <c r="AB31" i="2"/>
  <c r="AB32" i="2"/>
  <c r="AB30" i="2"/>
  <c r="AB28" i="2"/>
  <c r="AI50" i="2"/>
  <c r="AI101" i="2"/>
  <c r="AI99" i="2"/>
  <c r="AI100" i="2"/>
  <c r="F51" i="2"/>
  <c r="F41" i="2"/>
  <c r="E51" i="2"/>
  <c r="E41" i="2"/>
  <c r="D51" i="2"/>
  <c r="D41" i="2"/>
  <c r="U51" i="2"/>
  <c r="U41" i="2"/>
  <c r="R51" i="2"/>
  <c r="R41" i="2"/>
  <c r="M51" i="2"/>
  <c r="M41" i="2"/>
  <c r="J51" i="2"/>
  <c r="J41" i="2"/>
  <c r="C38" i="2"/>
  <c r="C49" i="2"/>
  <c r="AI36" i="2"/>
  <c r="AI49" i="2" s="1"/>
  <c r="AB38" i="2"/>
  <c r="AB49" i="2"/>
  <c r="AA38" i="2"/>
  <c r="AA49" i="2"/>
  <c r="Z38" i="2"/>
  <c r="Z49" i="2"/>
  <c r="K38" i="2"/>
  <c r="K49" i="2"/>
  <c r="AK36" i="2"/>
  <c r="S38" i="2"/>
  <c r="S49" i="2"/>
  <c r="L38" i="2"/>
  <c r="L49" i="2"/>
  <c r="N38" i="2"/>
  <c r="N49" i="2"/>
  <c r="V38" i="2"/>
  <c r="V49" i="2"/>
  <c r="H38" i="2"/>
  <c r="H49" i="2"/>
  <c r="P38" i="2"/>
  <c r="P49" i="2"/>
  <c r="X38" i="2"/>
  <c r="X49" i="2"/>
  <c r="I38" i="2"/>
  <c r="I49" i="2"/>
  <c r="Q38" i="2"/>
  <c r="Q49" i="2"/>
  <c r="Y38" i="2"/>
  <c r="Y49" i="2"/>
  <c r="Y17" i="2"/>
  <c r="Y18" i="2"/>
  <c r="Z16" i="2"/>
  <c r="AN23" i="2"/>
  <c r="Z32" i="2"/>
  <c r="Z31" i="2"/>
  <c r="Z28" i="2"/>
  <c r="Z30" i="2"/>
  <c r="Z18" i="2"/>
  <c r="Z17" i="2"/>
  <c r="AM23" i="2"/>
  <c r="AP6" i="2"/>
  <c r="AQ6" i="2" s="1"/>
  <c r="AR6" i="2" s="1"/>
  <c r="AS6" i="2" s="1"/>
  <c r="AT6" i="2" s="1"/>
  <c r="AU6" i="2" s="1"/>
  <c r="AV6" i="2" s="1"/>
  <c r="AW6" i="2" s="1"/>
  <c r="AX6" i="2" s="1"/>
  <c r="AP5" i="2"/>
  <c r="AQ5" i="2" s="1"/>
  <c r="AR5" i="2" s="1"/>
  <c r="AS5" i="2" s="1"/>
  <c r="AT5" i="2" s="1"/>
  <c r="AU5" i="2" s="1"/>
  <c r="AV5" i="2" s="1"/>
  <c r="AW5" i="2" s="1"/>
  <c r="AX5" i="2" s="1"/>
  <c r="AN8" i="2"/>
  <c r="AN28" i="2"/>
  <c r="AN32" i="2"/>
  <c r="AN31" i="2"/>
  <c r="AN30" i="2"/>
  <c r="AK34" i="2"/>
  <c r="AJ34" i="2"/>
  <c r="AL34" i="2"/>
  <c r="AN34" i="2"/>
  <c r="T36" i="2"/>
  <c r="AM34" i="2"/>
  <c r="W36" i="2"/>
  <c r="G36" i="2"/>
  <c r="O36" i="2"/>
  <c r="AS40" i="2" l="1"/>
  <c r="AS74" i="2"/>
  <c r="AK50" i="2"/>
  <c r="AK101" i="2"/>
  <c r="AK99" i="2"/>
  <c r="AK100" i="2"/>
  <c r="AJ50" i="2"/>
  <c r="AJ99" i="2"/>
  <c r="AJ100" i="2"/>
  <c r="AJ101" i="2"/>
  <c r="AL87" i="2"/>
  <c r="AL86" i="2"/>
  <c r="AL101" i="2"/>
  <c r="AL99" i="2"/>
  <c r="AL100" i="2"/>
  <c r="AN87" i="2"/>
  <c r="AN86" i="2"/>
  <c r="AN100" i="2"/>
  <c r="AN101" i="2"/>
  <c r="AN99" i="2"/>
  <c r="AM86" i="2"/>
  <c r="AM87" i="2"/>
  <c r="AM101" i="2"/>
  <c r="AM99" i="2"/>
  <c r="AM100" i="2"/>
  <c r="AP4" i="2"/>
  <c r="AL50" i="2"/>
  <c r="AN50" i="2"/>
  <c r="AM50" i="2"/>
  <c r="F52" i="2"/>
  <c r="F43" i="2"/>
  <c r="F45" i="2" s="1"/>
  <c r="F92" i="2" s="1"/>
  <c r="E52" i="2"/>
  <c r="E43" i="2"/>
  <c r="E45" i="2" s="1"/>
  <c r="E92" i="2" s="1"/>
  <c r="D52" i="2"/>
  <c r="D43" i="2"/>
  <c r="D45" i="2" s="1"/>
  <c r="D92" i="2" s="1"/>
  <c r="U52" i="2"/>
  <c r="U43" i="2"/>
  <c r="U45" i="2" s="1"/>
  <c r="R52" i="2"/>
  <c r="R43" i="2"/>
  <c r="R45" i="2" s="1"/>
  <c r="M52" i="2"/>
  <c r="M43" i="2"/>
  <c r="M45" i="2" s="1"/>
  <c r="M92" i="2" s="1"/>
  <c r="J52" i="2"/>
  <c r="J43" i="2"/>
  <c r="J45" i="2" s="1"/>
  <c r="J92" i="2" s="1"/>
  <c r="AI38" i="2"/>
  <c r="AI51" i="2" s="1"/>
  <c r="C51" i="2"/>
  <c r="C41" i="2"/>
  <c r="AB51" i="2"/>
  <c r="AB41" i="2"/>
  <c r="AA51" i="2"/>
  <c r="AA41" i="2"/>
  <c r="Z51" i="2"/>
  <c r="Z41" i="2"/>
  <c r="AK38" i="2"/>
  <c r="AK51" i="2" s="1"/>
  <c r="K51" i="2"/>
  <c r="K41" i="2"/>
  <c r="S51" i="2"/>
  <c r="S41" i="2"/>
  <c r="L51" i="2"/>
  <c r="L41" i="2"/>
  <c r="N51" i="2"/>
  <c r="N41" i="2"/>
  <c r="V51" i="2"/>
  <c r="V41" i="2"/>
  <c r="H51" i="2"/>
  <c r="H41" i="2"/>
  <c r="P51" i="2"/>
  <c r="P41" i="2"/>
  <c r="X51" i="2"/>
  <c r="X41" i="2"/>
  <c r="I51" i="2"/>
  <c r="I41" i="2"/>
  <c r="Q51" i="2"/>
  <c r="Q41" i="2"/>
  <c r="Y51" i="2"/>
  <c r="Y41" i="2"/>
  <c r="AK49" i="2"/>
  <c r="T38" i="2"/>
  <c r="AM38" i="2" s="1"/>
  <c r="AM51" i="2" s="1"/>
  <c r="AM36" i="2"/>
  <c r="AM49" i="2" s="1"/>
  <c r="T49" i="2"/>
  <c r="W38" i="2"/>
  <c r="W49" i="2"/>
  <c r="AN36" i="2"/>
  <c r="AN49" i="2" s="1"/>
  <c r="G38" i="2"/>
  <c r="G49" i="2"/>
  <c r="AJ36" i="2"/>
  <c r="AJ49" i="2" s="1"/>
  <c r="O38" i="2"/>
  <c r="AL36" i="2"/>
  <c r="AL49" i="2" s="1"/>
  <c r="O49" i="2"/>
  <c r="AM30" i="2"/>
  <c r="AM31" i="2"/>
  <c r="AM32" i="2"/>
  <c r="AM28" i="2"/>
  <c r="AN17" i="2"/>
  <c r="AN16" i="2"/>
  <c r="AN18" i="2"/>
  <c r="AQ4" i="2" l="1"/>
  <c r="AO34" i="2"/>
  <c r="AT40" i="2"/>
  <c r="AT74" i="2"/>
  <c r="U92" i="2"/>
  <c r="U89" i="2"/>
  <c r="U90" i="2"/>
  <c r="R92" i="2"/>
  <c r="R89" i="2"/>
  <c r="R90" i="2"/>
  <c r="F53" i="2"/>
  <c r="F47" i="2"/>
  <c r="E53" i="2"/>
  <c r="E47" i="2"/>
  <c r="D53" i="2"/>
  <c r="D47" i="2"/>
  <c r="U53" i="2"/>
  <c r="U47" i="2"/>
  <c r="R53" i="2"/>
  <c r="R47" i="2"/>
  <c r="M53" i="2"/>
  <c r="M47" i="2"/>
  <c r="J53" i="2"/>
  <c r="J47" i="2"/>
  <c r="C52" i="2"/>
  <c r="AI41" i="2"/>
  <c r="AI52" i="2" s="1"/>
  <c r="C43" i="2"/>
  <c r="AB52" i="2"/>
  <c r="AB43" i="2"/>
  <c r="AB45" i="2" s="1"/>
  <c r="AA52" i="2"/>
  <c r="AA43" i="2"/>
  <c r="AA45" i="2" s="1"/>
  <c r="Z52" i="2"/>
  <c r="Z43" i="2"/>
  <c r="Z45" i="2" s="1"/>
  <c r="K52" i="2"/>
  <c r="AK41" i="2"/>
  <c r="AK52" i="2" s="1"/>
  <c r="K43" i="2"/>
  <c r="S52" i="2"/>
  <c r="S43" i="2"/>
  <c r="L52" i="2"/>
  <c r="L43" i="2"/>
  <c r="L45" i="2" s="1"/>
  <c r="L92" i="2" s="1"/>
  <c r="N52" i="2"/>
  <c r="N43" i="2"/>
  <c r="N45" i="2" s="1"/>
  <c r="N92" i="2" s="1"/>
  <c r="V52" i="2"/>
  <c r="V43" i="2"/>
  <c r="V45" i="2" s="1"/>
  <c r="H52" i="2"/>
  <c r="H43" i="2"/>
  <c r="H45" i="2" s="1"/>
  <c r="H92" i="2" s="1"/>
  <c r="P52" i="2"/>
  <c r="P43" i="2"/>
  <c r="P45" i="2" s="1"/>
  <c r="P92" i="2" s="1"/>
  <c r="X52" i="2"/>
  <c r="X43" i="2"/>
  <c r="X45" i="2" s="1"/>
  <c r="I52" i="2"/>
  <c r="I43" i="2"/>
  <c r="I45" i="2" s="1"/>
  <c r="I92" i="2" s="1"/>
  <c r="Q52" i="2"/>
  <c r="Q43" i="2"/>
  <c r="Q45" i="2" s="1"/>
  <c r="Q92" i="2" s="1"/>
  <c r="Y52" i="2"/>
  <c r="Y43" i="2"/>
  <c r="Y45" i="2" s="1"/>
  <c r="T51" i="2"/>
  <c r="T41" i="2"/>
  <c r="AM41" i="2" s="1"/>
  <c r="AM52" i="2" s="1"/>
  <c r="W51" i="2"/>
  <c r="AN38" i="2"/>
  <c r="AN51" i="2" s="1"/>
  <c r="W41" i="2"/>
  <c r="AJ38" i="2"/>
  <c r="AJ51" i="2" s="1"/>
  <c r="G51" i="2"/>
  <c r="G41" i="2"/>
  <c r="AL38" i="2"/>
  <c r="AL51" i="2" s="1"/>
  <c r="O51" i="2"/>
  <c r="O41" i="2"/>
  <c r="AR4" i="2" l="1"/>
  <c r="AP34" i="2"/>
  <c r="AP14" i="2"/>
  <c r="AO35" i="2"/>
  <c r="AO36" i="2"/>
  <c r="AO37" i="2"/>
  <c r="AU40" i="2"/>
  <c r="AU74" i="2"/>
  <c r="AB92" i="2"/>
  <c r="AB89" i="2"/>
  <c r="AB90" i="2"/>
  <c r="AA92" i="2"/>
  <c r="AA90" i="2"/>
  <c r="AA89" i="2"/>
  <c r="Z92" i="2"/>
  <c r="Z89" i="2"/>
  <c r="Z90" i="2"/>
  <c r="V92" i="2"/>
  <c r="V90" i="2"/>
  <c r="V89" i="2"/>
  <c r="X92" i="2"/>
  <c r="X89" i="2"/>
  <c r="X90" i="2"/>
  <c r="Y92" i="2"/>
  <c r="Y90" i="2"/>
  <c r="Y89" i="2"/>
  <c r="AI43" i="2"/>
  <c r="C45" i="2"/>
  <c r="C92" i="2" s="1"/>
  <c r="AI92" i="2" s="1"/>
  <c r="AB53" i="2"/>
  <c r="AB47" i="2"/>
  <c r="AA53" i="2"/>
  <c r="AA47" i="2"/>
  <c r="Z53" i="2"/>
  <c r="Z47" i="2"/>
  <c r="AK43" i="2"/>
  <c r="K45" i="2"/>
  <c r="K92" i="2" s="1"/>
  <c r="AK92" i="2" s="1"/>
  <c r="S45" i="2"/>
  <c r="L53" i="2"/>
  <c r="L47" i="2"/>
  <c r="N53" i="2"/>
  <c r="N47" i="2"/>
  <c r="V53" i="2"/>
  <c r="V47" i="2"/>
  <c r="H53" i="2"/>
  <c r="H47" i="2"/>
  <c r="P53" i="2"/>
  <c r="P47" i="2"/>
  <c r="X53" i="2"/>
  <c r="X47" i="2"/>
  <c r="I53" i="2"/>
  <c r="I47" i="2"/>
  <c r="Q53" i="2"/>
  <c r="Q47" i="2"/>
  <c r="Y53" i="2"/>
  <c r="Y47" i="2"/>
  <c r="T52" i="2"/>
  <c r="T43" i="2"/>
  <c r="AN41" i="2"/>
  <c r="AN52" i="2" s="1"/>
  <c r="W52" i="2"/>
  <c r="W43" i="2"/>
  <c r="G52" i="2"/>
  <c r="AJ41" i="2"/>
  <c r="AJ52" i="2" s="1"/>
  <c r="G43" i="2"/>
  <c r="AL41" i="2"/>
  <c r="AL52" i="2" s="1"/>
  <c r="O52" i="2"/>
  <c r="O43" i="2"/>
  <c r="AS4" i="2"/>
  <c r="AQ14" i="2" l="1"/>
  <c r="AQ34" i="2"/>
  <c r="AP36" i="2"/>
  <c r="AP37" i="2"/>
  <c r="AP35" i="2"/>
  <c r="AO38" i="2"/>
  <c r="AO41" i="2" s="1"/>
  <c r="AO51" i="2"/>
  <c r="AQ37" i="2"/>
  <c r="AQ36" i="2"/>
  <c r="AQ38" i="2" s="1"/>
  <c r="AQ51" i="2" s="1"/>
  <c r="AQ35" i="2"/>
  <c r="AR14" i="2"/>
  <c r="AR34" i="2"/>
  <c r="AV40" i="2"/>
  <c r="AV74" i="2"/>
  <c r="S92" i="2"/>
  <c r="S90" i="2"/>
  <c r="S89" i="2"/>
  <c r="T45" i="2"/>
  <c r="AM43" i="2"/>
  <c r="AI45" i="2"/>
  <c r="AI53" i="2" s="1"/>
  <c r="C53" i="2"/>
  <c r="C47" i="2"/>
  <c r="AI47" i="2" s="1"/>
  <c r="K53" i="2"/>
  <c r="AK45" i="2"/>
  <c r="AK53" i="2" s="1"/>
  <c r="K47" i="2"/>
  <c r="AK47" i="2" s="1"/>
  <c r="S53" i="2"/>
  <c r="S47" i="2"/>
  <c r="T47" i="2"/>
  <c r="AN43" i="2"/>
  <c r="W45" i="2"/>
  <c r="AJ43" i="2"/>
  <c r="G45" i="2"/>
  <c r="G92" i="2" s="1"/>
  <c r="AJ92" i="2" s="1"/>
  <c r="AL43" i="2"/>
  <c r="O45" i="2"/>
  <c r="O92" i="2" s="1"/>
  <c r="AL92" i="2" s="1"/>
  <c r="AT4" i="2"/>
  <c r="AP38" i="2" l="1"/>
  <c r="AP51" i="2" s="1"/>
  <c r="AO42" i="2"/>
  <c r="AO43" i="2" s="1"/>
  <c r="AO45" i="2" s="1"/>
  <c r="AR37" i="2"/>
  <c r="AR35" i="2"/>
  <c r="AR36" i="2"/>
  <c r="AS14" i="2"/>
  <c r="AS34" i="2"/>
  <c r="AW40" i="2"/>
  <c r="AW74" i="2"/>
  <c r="T90" i="2"/>
  <c r="T89" i="2"/>
  <c r="W92" i="2"/>
  <c r="AN92" i="2" s="1"/>
  <c r="W90" i="2"/>
  <c r="W89" i="2"/>
  <c r="AM45" i="2"/>
  <c r="T53" i="2"/>
  <c r="T92" i="2"/>
  <c r="AM92" i="2" s="1"/>
  <c r="AM47" i="2"/>
  <c r="W53" i="2"/>
  <c r="AN45" i="2"/>
  <c r="W47" i="2"/>
  <c r="G53" i="2"/>
  <c r="AJ45" i="2"/>
  <c r="AJ53" i="2" s="1"/>
  <c r="G47" i="2"/>
  <c r="AJ47" i="2" s="1"/>
  <c r="O53" i="2"/>
  <c r="AL45" i="2"/>
  <c r="O47" i="2"/>
  <c r="AL47" i="2" s="1"/>
  <c r="AU4" i="2"/>
  <c r="AR38" i="2" l="1"/>
  <c r="AR51" i="2" s="1"/>
  <c r="AO53" i="2"/>
  <c r="BE57" i="2" s="1"/>
  <c r="BE58" i="2" s="1"/>
  <c r="AO55" i="2"/>
  <c r="AS36" i="2"/>
  <c r="AS35" i="2"/>
  <c r="AS37" i="2"/>
  <c r="AT14" i="2"/>
  <c r="AT34" i="2"/>
  <c r="AX40" i="2"/>
  <c r="AX74" i="2"/>
  <c r="AM53" i="2"/>
  <c r="AM90" i="2"/>
  <c r="AM89" i="2"/>
  <c r="AN53" i="2"/>
  <c r="AN90" i="2"/>
  <c r="AN89" i="2"/>
  <c r="AL53" i="2"/>
  <c r="AL89" i="2"/>
  <c r="AL90" i="2"/>
  <c r="AN47" i="2"/>
  <c r="AV4" i="2"/>
  <c r="AP39" i="2" l="1"/>
  <c r="AP41" i="2" s="1"/>
  <c r="AP42" i="2" s="1"/>
  <c r="AP43" i="2" s="1"/>
  <c r="AP45" i="2" s="1"/>
  <c r="AT37" i="2"/>
  <c r="AT36" i="2"/>
  <c r="AT35" i="2"/>
  <c r="AS38" i="2"/>
  <c r="AS51" i="2" s="1"/>
  <c r="AU14" i="2"/>
  <c r="AU34" i="2"/>
  <c r="AW4" i="2"/>
  <c r="AT38" i="2" l="1"/>
  <c r="AT51" i="2" s="1"/>
  <c r="AU36" i="2"/>
  <c r="AU35" i="2"/>
  <c r="AU37" i="2"/>
  <c r="AP53" i="2"/>
  <c r="AP55" i="2"/>
  <c r="AV14" i="2"/>
  <c r="AV34" i="2"/>
  <c r="AX4" i="2"/>
  <c r="AX34" i="2" s="1"/>
  <c r="AQ39" i="2" l="1"/>
  <c r="AQ41" i="2" s="1"/>
  <c r="AQ42" i="2" s="1"/>
  <c r="AQ43" i="2" s="1"/>
  <c r="AQ45" i="2" s="1"/>
  <c r="AV35" i="2"/>
  <c r="AV37" i="2"/>
  <c r="AV36" i="2"/>
  <c r="AU38" i="2"/>
  <c r="AU51" i="2" s="1"/>
  <c r="AW14" i="2"/>
  <c r="AW34" i="2"/>
  <c r="AX36" i="2"/>
  <c r="AX37" i="2"/>
  <c r="AX35" i="2"/>
  <c r="AX14" i="2"/>
  <c r="AV38" i="2" l="1"/>
  <c r="AV51" i="2" s="1"/>
  <c r="AX38" i="2"/>
  <c r="AX51" i="2" s="1"/>
  <c r="AW37" i="2"/>
  <c r="AW36" i="2"/>
  <c r="AW35" i="2"/>
  <c r="AQ53" i="2"/>
  <c r="AQ55" i="2"/>
  <c r="G187" i="3"/>
  <c r="T257" i="3"/>
  <c r="T255" i="3"/>
  <c r="O187" i="3"/>
  <c r="C5" i="1"/>
  <c r="BC60" i="2" s="1"/>
  <c r="BC61" i="2" l="1"/>
  <c r="BC62" i="2"/>
  <c r="BC76" i="2" s="1"/>
  <c r="AW38" i="2"/>
  <c r="AW51" i="2" s="1"/>
  <c r="S201" i="3"/>
  <c r="S200" i="3"/>
  <c r="S204" i="3"/>
  <c r="S205" i="3" s="1"/>
  <c r="S206" i="3"/>
  <c r="S203" i="3"/>
  <c r="S202" i="3"/>
  <c r="T258" i="3"/>
  <c r="T254" i="3"/>
  <c r="AR39" i="2"/>
  <c r="AR41" i="2" s="1"/>
  <c r="AR42" i="2" s="1"/>
  <c r="AR43" i="2" s="1"/>
  <c r="AR45" i="2" s="1"/>
  <c r="C8" i="1"/>
  <c r="U256" i="3" l="1"/>
  <c r="U257" i="3"/>
  <c r="U255" i="3"/>
  <c r="X222" i="3"/>
  <c r="U258" i="3"/>
  <c r="T259" i="3"/>
  <c r="U254" i="3"/>
  <c r="T253" i="3"/>
  <c r="AR53" i="2"/>
  <c r="AR55" i="2"/>
  <c r="X212" i="3"/>
  <c r="X211" i="3"/>
  <c r="X214" i="3"/>
  <c r="X221" i="3"/>
  <c r="X213" i="3"/>
  <c r="X224" i="3"/>
  <c r="X220" i="3"/>
  <c r="X216" i="3"/>
  <c r="X219" i="3"/>
  <c r="X223" i="3"/>
  <c r="X218" i="3"/>
  <c r="X215" i="3"/>
  <c r="X217" i="3"/>
  <c r="U259" i="3" l="1"/>
  <c r="T260" i="3"/>
  <c r="U253" i="3"/>
  <c r="T252" i="3"/>
  <c r="AS39" i="2"/>
  <c r="AS41" i="2" s="1"/>
  <c r="U260" i="3" l="1"/>
  <c r="T261" i="3"/>
  <c r="U252" i="3"/>
  <c r="T251" i="3"/>
  <c r="AS42" i="2"/>
  <c r="AS43" i="2" s="1"/>
  <c r="AS45" i="2" s="1"/>
  <c r="U261" i="3" l="1"/>
  <c r="T262" i="3"/>
  <c r="U251" i="3"/>
  <c r="T250" i="3"/>
  <c r="AS55" i="2"/>
  <c r="AS53" i="2"/>
  <c r="U262" i="3" l="1"/>
  <c r="T263" i="3"/>
  <c r="U250" i="3"/>
  <c r="T249" i="3"/>
  <c r="AT39" i="2"/>
  <c r="AT41" i="2" s="1"/>
  <c r="U263" i="3" l="1"/>
  <c r="T264" i="3"/>
  <c r="U249" i="3"/>
  <c r="T248" i="3"/>
  <c r="AT42" i="2"/>
  <c r="AT43" i="2" s="1"/>
  <c r="AT45" i="2" s="1"/>
  <c r="U264" i="3" l="1"/>
  <c r="T265" i="3"/>
  <c r="U248" i="3"/>
  <c r="T247" i="3"/>
  <c r="AT55" i="2"/>
  <c r="AT53" i="2"/>
  <c r="U265" i="3" l="1"/>
  <c r="T266" i="3"/>
  <c r="U247" i="3"/>
  <c r="T246" i="3"/>
  <c r="AU39" i="2"/>
  <c r="AU41" i="2" s="1"/>
  <c r="U266" i="3" l="1"/>
  <c r="T267" i="3"/>
  <c r="U246" i="3"/>
  <c r="T245" i="3"/>
  <c r="AU42" i="2"/>
  <c r="AU43" i="2" s="1"/>
  <c r="AU45" i="2" s="1"/>
  <c r="U267" i="3" l="1"/>
  <c r="T268" i="3"/>
  <c r="U245" i="3"/>
  <c r="T244" i="3"/>
  <c r="AU55" i="2"/>
  <c r="AU53" i="2"/>
  <c r="U268" i="3" l="1"/>
  <c r="T269" i="3"/>
  <c r="U244" i="3"/>
  <c r="T243" i="3"/>
  <c r="AV39" i="2"/>
  <c r="AV41" i="2" s="1"/>
  <c r="U269" i="3" l="1"/>
  <c r="T270" i="3"/>
  <c r="U243" i="3"/>
  <c r="T242" i="3"/>
  <c r="AV42" i="2"/>
  <c r="AV43" i="2" s="1"/>
  <c r="AV45" i="2" s="1"/>
  <c r="U270" i="3" l="1"/>
  <c r="T271" i="3"/>
  <c r="U242" i="3"/>
  <c r="T241" i="3"/>
  <c r="AV55" i="2"/>
  <c r="AV53" i="2"/>
  <c r="U271" i="3" l="1"/>
  <c r="T272" i="3"/>
  <c r="U241" i="3"/>
  <c r="T240" i="3"/>
  <c r="AW39" i="2"/>
  <c r="AW41" i="2" s="1"/>
  <c r="AW42" i="2" s="1"/>
  <c r="AW43" i="2" s="1"/>
  <c r="AW45" i="2" s="1"/>
  <c r="U272" i="3" l="1"/>
  <c r="T273" i="3"/>
  <c r="U240" i="3"/>
  <c r="T239" i="3"/>
  <c r="AW53" i="2"/>
  <c r="AW55" i="2"/>
  <c r="U273" i="3" l="1"/>
  <c r="T274" i="3"/>
  <c r="U239" i="3"/>
  <c r="T238" i="3"/>
  <c r="AX39" i="2"/>
  <c r="AX41" i="2" s="1"/>
  <c r="AX42" i="2" s="1"/>
  <c r="AX43" i="2" s="1"/>
  <c r="AX45" i="2" s="1"/>
  <c r="AY45" i="2" s="1"/>
  <c r="AZ45" i="2" s="1"/>
  <c r="BA45" i="2" s="1"/>
  <c r="BB45" i="2" s="1"/>
  <c r="BC45" i="2" s="1"/>
  <c r="BD45" i="2" s="1"/>
  <c r="BE45" i="2" s="1"/>
  <c r="BF45" i="2" s="1"/>
  <c r="BG45" i="2" s="1"/>
  <c r="BH45" i="2" s="1"/>
  <c r="BI45" i="2" s="1"/>
  <c r="BJ45" i="2" s="1"/>
  <c r="BK45" i="2" s="1"/>
  <c r="BL45" i="2" s="1"/>
  <c r="BM45" i="2" s="1"/>
  <c r="BN45" i="2" s="1"/>
  <c r="BO45" i="2" s="1"/>
  <c r="BP45" i="2" s="1"/>
  <c r="BQ45" i="2" s="1"/>
  <c r="BR45" i="2" s="1"/>
  <c r="BS45" i="2" s="1"/>
  <c r="BT45" i="2" s="1"/>
  <c r="BU45" i="2" s="1"/>
  <c r="BV45" i="2" s="1"/>
  <c r="BW45" i="2" s="1"/>
  <c r="BX45" i="2" s="1"/>
  <c r="BY45" i="2" s="1"/>
  <c r="BZ45" i="2" s="1"/>
  <c r="CA45" i="2" s="1"/>
  <c r="CB45" i="2" s="1"/>
  <c r="CC45" i="2" s="1"/>
  <c r="CD45" i="2" s="1"/>
  <c r="CE45" i="2" s="1"/>
  <c r="CF45" i="2" s="1"/>
  <c r="CG45" i="2" s="1"/>
  <c r="CH45" i="2" s="1"/>
  <c r="CI45" i="2" s="1"/>
  <c r="CJ45" i="2" s="1"/>
  <c r="CK45" i="2" s="1"/>
  <c r="CL45" i="2" s="1"/>
  <c r="BH62" i="2" l="1"/>
  <c r="BH64" i="2" s="1"/>
  <c r="CM45" i="2"/>
  <c r="CN45" i="2" s="1"/>
  <c r="CO45" i="2" s="1"/>
  <c r="CP45" i="2" s="1"/>
  <c r="CQ45" i="2" s="1"/>
  <c r="CR45" i="2" s="1"/>
  <c r="CS45" i="2" s="1"/>
  <c r="CT45" i="2" s="1"/>
  <c r="CU45" i="2" s="1"/>
  <c r="CV45" i="2" s="1"/>
  <c r="U274" i="3"/>
  <c r="T275" i="3"/>
  <c r="U238" i="3"/>
  <c r="T237" i="3"/>
  <c r="AX53" i="2"/>
  <c r="AX55" i="2"/>
  <c r="BH66" i="2" l="1"/>
  <c r="U275" i="3"/>
  <c r="T276" i="3"/>
  <c r="U237" i="3"/>
  <c r="T236" i="3"/>
  <c r="BI66" i="2" l="1"/>
  <c r="BG67" i="2" a="1"/>
  <c r="U276" i="3"/>
  <c r="T277" i="3"/>
  <c r="U236" i="3"/>
  <c r="T235" i="3"/>
  <c r="U277" i="3" l="1"/>
  <c r="T278" i="3"/>
  <c r="U235" i="3"/>
  <c r="T234" i="3"/>
  <c r="U278" i="3" l="1"/>
  <c r="T279" i="3"/>
  <c r="U234" i="3"/>
  <c r="T233" i="3"/>
  <c r="U279" i="3" l="1"/>
  <c r="T280" i="3"/>
  <c r="U233" i="3"/>
  <c r="T232" i="3"/>
  <c r="U280" i="3" l="1"/>
  <c r="T281" i="3"/>
  <c r="U232" i="3"/>
  <c r="T231" i="3"/>
  <c r="U281" i="3" l="1"/>
  <c r="T282" i="3"/>
  <c r="U231" i="3"/>
  <c r="T230" i="3"/>
  <c r="U282" i="3" l="1"/>
  <c r="T283" i="3"/>
  <c r="U230" i="3"/>
  <c r="T229" i="3"/>
  <c r="U283" i="3" l="1"/>
  <c r="T284" i="3"/>
  <c r="U229" i="3"/>
  <c r="T228" i="3"/>
  <c r="U284" i="3" l="1"/>
  <c r="T285" i="3"/>
  <c r="U228" i="3"/>
  <c r="T227" i="3"/>
  <c r="U285" i="3" l="1"/>
  <c r="T286" i="3"/>
  <c r="U227" i="3"/>
  <c r="T226" i="3"/>
  <c r="U286" i="3" l="1"/>
  <c r="T287" i="3"/>
  <c r="U226" i="3"/>
  <c r="T225" i="3"/>
  <c r="U287" i="3" l="1"/>
  <c r="T288" i="3"/>
  <c r="U225" i="3"/>
  <c r="T224" i="3"/>
  <c r="U288" i="3" l="1"/>
  <c r="T289" i="3"/>
  <c r="U224" i="3"/>
  <c r="T223" i="3"/>
  <c r="U289" i="3" l="1"/>
  <c r="T290" i="3"/>
  <c r="U223" i="3"/>
  <c r="T222" i="3"/>
  <c r="U290" i="3" l="1"/>
  <c r="T291" i="3"/>
  <c r="U222" i="3"/>
  <c r="T221" i="3"/>
  <c r="U291" i="3" l="1"/>
  <c r="T292" i="3"/>
  <c r="U221" i="3"/>
  <c r="T220" i="3"/>
  <c r="U292" i="3" l="1"/>
  <c r="T293" i="3"/>
  <c r="U220" i="3"/>
  <c r="T219" i="3"/>
  <c r="U293" i="3" l="1"/>
  <c r="T294" i="3"/>
  <c r="U219" i="3"/>
  <c r="T218" i="3"/>
  <c r="U294" i="3" l="1"/>
  <c r="T295" i="3"/>
  <c r="U218" i="3"/>
  <c r="T217" i="3"/>
  <c r="U295" i="3" l="1"/>
  <c r="T296" i="3"/>
  <c r="U217" i="3"/>
  <c r="T216" i="3"/>
  <c r="U296" i="3" l="1"/>
  <c r="T297" i="3"/>
  <c r="U216" i="3"/>
  <c r="T215" i="3"/>
  <c r="U297" i="3" l="1"/>
  <c r="T298" i="3"/>
  <c r="U215" i="3"/>
  <c r="T214" i="3"/>
  <c r="U298" i="3" l="1"/>
  <c r="T299" i="3"/>
  <c r="T213" i="3"/>
  <c r="U214" i="3"/>
  <c r="U299" i="3" l="1"/>
  <c r="T300" i="3"/>
  <c r="U213" i="3"/>
  <c r="T212" i="3"/>
  <c r="U300" i="3" l="1"/>
  <c r="T301" i="3"/>
  <c r="U301" i="3" s="1"/>
  <c r="U212" i="3"/>
  <c r="T211" i="3"/>
  <c r="U21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<sst xmlns="http://schemas.openxmlformats.org/spreadsheetml/2006/main" count="1822" uniqueCount="1008">
  <si>
    <t xml:space="preserve">Price </t>
  </si>
  <si>
    <t>SO</t>
  </si>
  <si>
    <t>MC</t>
  </si>
  <si>
    <t>Cash</t>
  </si>
  <si>
    <t>Debt</t>
  </si>
  <si>
    <t>EV</t>
  </si>
  <si>
    <t>Investor Relations Contact:</t>
  </si>
  <si>
    <t>SEC filings</t>
  </si>
  <si>
    <t>Godel Terminal</t>
  </si>
  <si>
    <t>Company Overview:</t>
  </si>
  <si>
    <t>[Bold Title]</t>
  </si>
  <si>
    <t>Line Titles</t>
  </si>
  <si>
    <t>&lt;-- General</t>
  </si>
  <si>
    <t>&lt;-- Info</t>
  </si>
  <si>
    <t>Revenue Breakdown by Segment (Build graph for this section if applicable…. See example below)</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</si>
  <si>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</si>
  <si>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</si>
  <si>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</si>
  <si>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</si>
  <si>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</si>
  <si>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</si>
  <si>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</si>
  <si>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</si>
  <si>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</si>
  <si>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</si>
  <si>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</si>
  <si>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</si>
  <si>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</si>
  <si>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</si>
  <si>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</si>
  <si>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</si>
  <si>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</si>
  <si>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</si>
  <si>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</si>
  <si>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</si>
  <si>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</si>
  <si>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</si>
  <si>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</si>
  <si>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</si>
  <si>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</si>
  <si>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</si>
  <si>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</si>
  <si>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</si>
  <si>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</si>
  <si>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2020</t>
  </si>
  <si>
    <t>Q1 2021</t>
  </si>
  <si>
    <t>Q1 2022</t>
  </si>
  <si>
    <t>Q1 2023</t>
  </si>
  <si>
    <t>Q1 2024</t>
  </si>
  <si>
    <t>Q1 2025</t>
  </si>
  <si>
    <t>[Use for Graphing]</t>
  </si>
  <si>
    <t>Quarterly</t>
  </si>
  <si>
    <t>Revenues</t>
  </si>
  <si>
    <t>Ttl Revenues</t>
  </si>
  <si>
    <t>U.S. Revenues</t>
  </si>
  <si>
    <t>U.S. % of Revenues</t>
  </si>
  <si>
    <t>COGS</t>
  </si>
  <si>
    <t>GP</t>
  </si>
  <si>
    <t>Gross Profit Margin</t>
  </si>
  <si>
    <t>Operating Profit Margin</t>
  </si>
  <si>
    <t>Effective Tax Rate</t>
  </si>
  <si>
    <t>Net Profit Margin</t>
  </si>
  <si>
    <t>Current Ratio</t>
  </si>
  <si>
    <t>Quick Ratio</t>
  </si>
  <si>
    <t>Cash Ratio</t>
  </si>
  <si>
    <t>Inventory Turnover Ratio</t>
  </si>
  <si>
    <t>Return on Assets</t>
  </si>
  <si>
    <t>Return on Equity</t>
  </si>
  <si>
    <t>Net Income</t>
  </si>
  <si>
    <t>CFFO</t>
  </si>
  <si>
    <t>CapEx, net</t>
  </si>
  <si>
    <t>FCF</t>
  </si>
  <si>
    <t>SC</t>
  </si>
  <si>
    <t>FCF per Share</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</si>
  <si>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</si>
  <si>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</si>
  <si>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</si>
  <si>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</si>
  <si>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</si>
  <si>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</si>
  <si>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</si>
  <si>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</si>
  <si>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</si>
  <si>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</si>
  <si>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</si>
  <si>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</si>
  <si>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</si>
  <si>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</si>
  <si>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</si>
  <si>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</si>
  <si>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</si>
  <si>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Investors Relation Department</t>
  </si>
  <si>
    <t>Business Segments and Geographical Info:</t>
  </si>
  <si>
    <t>Employee Scope:</t>
  </si>
  <si>
    <t>Resources:</t>
  </si>
  <si>
    <t>Y/y Total Revenues, Net Income, FCF</t>
  </si>
  <si>
    <t>Q/q Total Revenues, Net Income, FCF</t>
  </si>
  <si>
    <t>Company IR Page</t>
  </si>
  <si>
    <t>Company Homepage</t>
  </si>
  <si>
    <t>MacroTrends</t>
  </si>
  <si>
    <t>ROIC, WACC</t>
  </si>
  <si>
    <t>Ttl Revenue Growth Y/y</t>
  </si>
  <si>
    <t>Projected ROIC:</t>
  </si>
  <si>
    <t>Invested Capital</t>
  </si>
  <si>
    <t>ROIC</t>
  </si>
  <si>
    <t>Terminal</t>
  </si>
  <si>
    <t>RFR (10-year yield)</t>
  </si>
  <si>
    <t>ERP 
(Avg. market return - (less) RFR)</t>
  </si>
  <si>
    <t>Equity β (1-year avg.)</t>
  </si>
  <si>
    <t>Discount (Cost of Equity)</t>
  </si>
  <si>
    <t>NPV</t>
  </si>
  <si>
    <t>FV</t>
  </si>
  <si>
    <t>CP</t>
  </si>
  <si>
    <t>Change Δ</t>
  </si>
  <si>
    <t>VOO Historical Returns</t>
  </si>
  <si>
    <t>Cost of Equity</t>
  </si>
  <si>
    <t>Capital Structure</t>
  </si>
  <si>
    <t>Mkt Cap</t>
  </si>
  <si>
    <t>Debt to Ttl Mkt Cap</t>
  </si>
  <si>
    <t>Mkt Equity to Ttl Mkt Cap</t>
  </si>
  <si>
    <t>Market Return(1-year avg.)</t>
  </si>
  <si>
    <t xml:space="preserve">Cost of Equity </t>
  </si>
  <si>
    <t>Cost of Debt</t>
  </si>
  <si>
    <t>Tax Rate</t>
  </si>
  <si>
    <t>After Tax Cost of Debt</t>
  </si>
  <si>
    <t>WACC</t>
  </si>
  <si>
    <t>2024-2025</t>
  </si>
  <si>
    <r>
      <rPr>
        <b/>
        <sz val="11"/>
        <color rgb="FF0070C0"/>
        <rFont val="Calibre"/>
      </rPr>
      <t>Avg.</t>
    </r>
    <r>
      <rPr>
        <sz val="11"/>
        <color rgb="FF0070C0"/>
        <rFont val="Calibre"/>
      </rPr>
      <t xml:space="preserve"> (2024-2025)</t>
    </r>
  </si>
  <si>
    <t>Ttl Assets</t>
  </si>
  <si>
    <t>Ttl Liabilities</t>
  </si>
  <si>
    <t>Ttl SE</t>
  </si>
  <si>
    <t>Ttl L + SE</t>
  </si>
  <si>
    <t>EPS</t>
  </si>
  <si>
    <t>Fixed Asset Turnover Ratio</t>
  </si>
  <si>
    <t>Ttl Asset Turnover Ratio</t>
  </si>
  <si>
    <t>LT Debt / Equity</t>
  </si>
  <si>
    <t>CFFO Margin</t>
  </si>
  <si>
    <t>FCF Margin</t>
  </si>
  <si>
    <t>CapEx as % of Revenue</t>
  </si>
  <si>
    <t>LHX</t>
  </si>
  <si>
    <t>L3Harris Technologies, Inc. (LHX)</t>
  </si>
  <si>
    <t>10/22/2026</t>
  </si>
  <si>
    <t>Q2'26</t>
  </si>
  <si>
    <t>https://www.sec.gov/edgar/browse/?CIK=202058&amp;owner=exclude</t>
  </si>
  <si>
    <t>https://www.l3harris.com/</t>
  </si>
  <si>
    <t>https://investors.l3harris.com/overview/default.aspx</t>
  </si>
  <si>
    <t>https://seekingalpha.com/symbol/LHX/earnings/transcripts</t>
  </si>
  <si>
    <t>https://stockanalysis.com/stocks/lhx/company/</t>
  </si>
  <si>
    <t>https://www.macrotrends.net/stocks/charts/LHX/l3harris-technologies-inc/income-statement</t>
  </si>
  <si>
    <t>https://www.gurufocus.com/term/wacc/LHX</t>
  </si>
  <si>
    <t xml:space="preserve">Founder(s): L3 Technologies &amp; Harris Corporation </t>
  </si>
  <si>
    <t>Founded: 1895 - 2019 merger of equals</t>
  </si>
  <si>
    <t>Headquarters: Melbourne, FL</t>
  </si>
  <si>
    <t>Current CEO: Samir Mehta</t>
  </si>
  <si>
    <t>Employees: 45,000</t>
  </si>
  <si>
    <t>Industry: Aerospace &amp; Defense</t>
  </si>
  <si>
    <t>Sector: Industrials</t>
  </si>
  <si>
    <t>IPO: 2019</t>
  </si>
  <si>
    <t>Fiscal Year: [February - January]</t>
  </si>
  <si>
    <t>Registered Exchange: NYSE</t>
  </si>
  <si>
    <t>Address: 1025 West NASA Boulevard, Melbourne, FL 32919 U.S.</t>
  </si>
  <si>
    <t>(321) 727 - 9100</t>
  </si>
  <si>
    <t>L3Harris Technologies, Inc. provides mission-critical solutions for government and commercial customers worldwide</t>
  </si>
  <si>
    <t>The SMS segment integrates satellite and payload capabilities, including missile warning and defense, with maritime, air special missions, and other global defense and civil government programs</t>
  </si>
  <si>
    <t>broadband communications; integrated vision solutions, such as helmet-mounted integrated night vision goggles with image intensifier tubes and weapon-mounted sights, aiming lasers, and range finders; and public safety radios and system applications and equipment</t>
  </si>
  <si>
    <t>The CSD segment provides tactical radios, software, waveforms, satellite terminals, and end-to-end battlefield systems for the U.S. Department of Defense, international, federal, and state agency customers</t>
  </si>
  <si>
    <t>Its MSL segment unites propulsion, hypersonic, and other advanced missile technologies</t>
  </si>
  <si>
    <t>L3Harris Technologies, Inc. was founded in 1895 and is headquartered in Melbourne, Florida</t>
  </si>
  <si>
    <t>The Company was formerly known as Harris Corporation and changed its name to L3Harris Technologies, Inc. in June 2019</t>
  </si>
  <si>
    <t>SMS % of Revenues</t>
  </si>
  <si>
    <t>CSD % of Revenues</t>
  </si>
  <si>
    <t>MSL % of Revenues</t>
  </si>
  <si>
    <t>SMS Growth Y/y</t>
  </si>
  <si>
    <t>CSD Growth Y/y</t>
  </si>
  <si>
    <t>MSL Growth Y/y</t>
  </si>
  <si>
    <t>International Revenues</t>
  </si>
  <si>
    <t>Intersegment Revenues</t>
  </si>
  <si>
    <t>Intersegment Growth Y/y</t>
  </si>
  <si>
    <t>International Growth Y/y</t>
  </si>
  <si>
    <t>U.S. Growth Y/y</t>
  </si>
  <si>
    <t>International % of Revenues</t>
  </si>
  <si>
    <t>Intersegment % of Revenues</t>
  </si>
  <si>
    <t>Q1 2026</t>
  </si>
  <si>
    <t>G&amp;A</t>
  </si>
  <si>
    <t>OI</t>
  </si>
  <si>
    <t>Pretax Income</t>
  </si>
  <si>
    <t>Taxes</t>
  </si>
  <si>
    <t>non-controlling interest</t>
  </si>
  <si>
    <t>Net Income attr to LHX</t>
  </si>
  <si>
    <t>Interest Income (Expense)</t>
  </si>
  <si>
    <t>Intersegment</t>
  </si>
  <si>
    <t>G&amp;A as % of Revenue</t>
  </si>
  <si>
    <t>A/R</t>
  </si>
  <si>
    <t>Cash &amp; C.E.s</t>
  </si>
  <si>
    <t>ST Contract Assets</t>
  </si>
  <si>
    <t>Inventories</t>
  </si>
  <si>
    <t>Other ST Assets</t>
  </si>
  <si>
    <t>PP&amp;E</t>
  </si>
  <si>
    <t>Goodwill</t>
  </si>
  <si>
    <t>Intangibles</t>
  </si>
  <si>
    <t>LT Tax Assets</t>
  </si>
  <si>
    <t>Other LT Assets</t>
  </si>
  <si>
    <t>ST Debt</t>
  </si>
  <si>
    <t>A/P</t>
  </si>
  <si>
    <t>ST Contract Liabilities</t>
  </si>
  <si>
    <t>ST Comp Liabilities</t>
  </si>
  <si>
    <t>Other ST Liabilities</t>
  </si>
  <si>
    <t>LT Debt</t>
  </si>
  <si>
    <t>LT Tax Liabilities</t>
  </si>
  <si>
    <t>LT Subsidiary PS Conversion Liability</t>
  </si>
  <si>
    <t>LT Subsidiary Warrant Liabilities</t>
  </si>
  <si>
    <t>Other LT Liabilities</t>
  </si>
  <si>
    <t>ST Assets of Business held for Sale</t>
  </si>
  <si>
    <t>ST Liabilities of Business held  for Sale</t>
  </si>
  <si>
    <t>Non-service Pension &amp; Other Income</t>
  </si>
  <si>
    <t>Thu, 22 Oct 2026 00:00:00 GMT</t>
  </si>
  <si>
    <t>Wed, 21 Oct 2026 00:00:00 GMT</t>
  </si>
  <si>
    <t>Tue, 20 Oct 2026 00:00:00 GMT</t>
  </si>
  <si>
    <t>Mon, 19 Oct 2026 00:00:00 GMT</t>
  </si>
  <si>
    <t>Fri, 16 Oct 2026 00:00:00 GMT</t>
  </si>
  <si>
    <t>Thu, 15 Oct 2026 00:00:00 GMT</t>
  </si>
  <si>
    <t>Wed, 14 Oct 2026 00:00:00 GMT</t>
  </si>
  <si>
    <t>Tue, 13 Oct 2026 00:00:00 GMT</t>
  </si>
  <si>
    <t>Mon, 12 Oct 2026 00:00:00 GMT</t>
  </si>
  <si>
    <t>Fri, 09 Oct 2026 00:00:00 GMT</t>
  </si>
  <si>
    <t>Thu, 08 Oct 2026 00:00:00 GMT</t>
  </si>
  <si>
    <t>Wed, 07 Oct 2026 00:00:00 GMT</t>
  </si>
  <si>
    <t>Tue, 06 Oct 2026 00:00:00 GMT</t>
  </si>
  <si>
    <t>Mon, 05 Oct 2026 00:00:00 GMT</t>
  </si>
  <si>
    <t>Fri, 02 Oct 2026 00:00:00 GMT</t>
  </si>
  <si>
    <t>Thu, 01 Oct 2026 00:00:00 GMT</t>
  </si>
  <si>
    <t>Wed, 30 Sep 2026 00:00:00 GMT</t>
  </si>
  <si>
    <t>Tue, 29 Sep 2026 00:00:00 GMT</t>
  </si>
  <si>
    <t>Mon, 28 Sep 2026 00:00:00 GMT</t>
  </si>
  <si>
    <t>Fri, 25 Sep 2026 00:00:00 GMT</t>
  </si>
  <si>
    <t>Thu, 24 Sep 2026 00:00:00 GMT</t>
  </si>
  <si>
    <t>Wed, 23 Sep 2026 00:00:00 GMT</t>
  </si>
  <si>
    <t>Tue, 22 Sep 2026 00:00:00 GMT</t>
  </si>
  <si>
    <t>Mon, 21 Sep 2026 00:00:00 GMT</t>
  </si>
  <si>
    <t>Fri, 18 Sep 2026 00:00:00 GMT</t>
  </si>
  <si>
    <t>Thu, 17 Sep 2026 00:00:00 GMT</t>
  </si>
  <si>
    <t>Wed, 16 Sep 2026 00:00:00 GMT</t>
  </si>
  <si>
    <t>Tue, 15 Sep 2026 00:00:00 GMT</t>
  </si>
  <si>
    <t>Mon, 14 Sep 2026 00:00:00 GMT</t>
  </si>
  <si>
    <t>Fri, 11 Sep 2026 00:00:00 GMT</t>
  </si>
  <si>
    <t>Thu, 10 Sep 2026 00:00:00 GMT</t>
  </si>
  <si>
    <t>Wed, 09 Sep 2026 00:00:00 GMT</t>
  </si>
  <si>
    <t>Tue, 08 Sep 2026 00:00:00 GMT</t>
  </si>
  <si>
    <t>Fri, 04 Sep 2026 00:00:00 GMT</t>
  </si>
  <si>
    <t>Thu, 03 Sep 2026 00:00:00 GMT</t>
  </si>
  <si>
    <t>Wed, 02 Sep 2026 00:00:00 GMT</t>
  </si>
  <si>
    <t>Tue, 01 Sep 2026 00:00:00 GMT</t>
  </si>
  <si>
    <t>Mon, 31 Aug 2026 00:00:00 GMT</t>
  </si>
  <si>
    <t>Fri, 28 Aug 2026 00:00:00 GMT</t>
  </si>
  <si>
    <t>Thu, 27 Aug 2026 00:00:00 GMT</t>
  </si>
  <si>
    <t>Wed, 26 Aug 2026 00:00:00 GMT</t>
  </si>
  <si>
    <t>Tue, 25 Aug 2026 00:00:00 GMT</t>
  </si>
  <si>
    <t>Mon, 24 Aug 2026 00:00:00 GMT</t>
  </si>
  <si>
    <t>Fri, 21 Aug 2026 00:00:00 GMT</t>
  </si>
  <si>
    <t>Thu, 20 Aug 2026 00:00:00 GMT</t>
  </si>
  <si>
    <t>Wed, 19 Aug 2026 00:00:00 GMT</t>
  </si>
  <si>
    <t>Tue, 18 Aug 2026 00:00:00 GMT</t>
  </si>
  <si>
    <t>Mon, 17 Aug 2026 00:00:00 GMT</t>
  </si>
  <si>
    <t>Fri, 14 Aug 2026 00:00:00 GMT</t>
  </si>
  <si>
    <t>Thu, 13 Aug 2026 00:00:00 GMT</t>
  </si>
  <si>
    <t>Wed, 12 Aug 2026 00:00:00 GMT</t>
  </si>
  <si>
    <t>Tue, 11 Aug 2026 00:00:00 GMT</t>
  </si>
  <si>
    <t>Mon, 10 Aug 2026 00:00:00 GMT</t>
  </si>
  <si>
    <t>Fri, 07 Aug 2026 00:00:00 GMT</t>
  </si>
  <si>
    <t>Thu, 06 Aug 2026 00:00:00 GMT</t>
  </si>
  <si>
    <t>Wed, 05 Aug 2026 00:00:00 GMT</t>
  </si>
  <si>
    <t>Tue, 04 Aug 2026 00:00:00 GMT</t>
  </si>
  <si>
    <t>Mon, 03 Aug 2026 00:00:00 GMT</t>
  </si>
  <si>
    <t>Fri, 31 Jul 2026 00:00:00 GMT</t>
  </si>
  <si>
    <t>Thu, 30 Jul 2026 00:00:00 GMT</t>
  </si>
  <si>
    <t>Wed, 29 Jul 2026 00:00:00 GMT</t>
  </si>
  <si>
    <t>Tue, 28 Jul 2026 00:00:00 GMT</t>
  </si>
  <si>
    <t>Mon, 27 Jul 2026 00:00:00 GMT</t>
  </si>
  <si>
    <t>Fri, 24 Jul 2026 00:00:00 GMT</t>
  </si>
  <si>
    <t>Thu, 23 Jul 2026 00:00:00 GMT</t>
  </si>
  <si>
    <t>Wed, 22 Jul 2026 00:00:00 GMT</t>
  </si>
  <si>
    <t>Tue, 21 Jul 2026 00:00:00 GMT</t>
  </si>
  <si>
    <t>Mon, 20 Jul 2026 00:00:00 GMT</t>
  </si>
  <si>
    <t>Fri, 17 Jul 2026 00:00:00 GMT</t>
  </si>
  <si>
    <t>Thu, 16 Jul 2026 00:00:00 GMT</t>
  </si>
  <si>
    <t>Wed, 15 Jul 2026 00:00:00 GMT</t>
  </si>
  <si>
    <t>Tue, 14 Jul 2026 00:00:00 GMT</t>
  </si>
  <si>
    <t>Mon, 13 Jul 2026 00:00:00 GMT</t>
  </si>
  <si>
    <t>Fri, 10 Jul 2026 00:00:00 GMT</t>
  </si>
  <si>
    <t>Thu, 09 Jul 2026 00:00:00 GMT</t>
  </si>
  <si>
    <t>Wed, 08 Jul 2026 00:00:00 GMT</t>
  </si>
  <si>
    <t>Tue, 07 Jul 2026 00:00:00 GMT</t>
  </si>
  <si>
    <t>Mon, 06 Jul 2026 00:00:00 GMT</t>
  </si>
  <si>
    <t>Thu, 02 Jul 2026 00:00:00 GMT</t>
  </si>
  <si>
    <t>Wed, 01 Jul 2026 00:00:00 GMT</t>
  </si>
  <si>
    <t>Tue, 30 Jun 2026 00:00:00 GMT</t>
  </si>
  <si>
    <t>Mon, 29 Jun 2026 00:00:00 GMT</t>
  </si>
  <si>
    <t>Fri, 26 Jun 2026 00:00:00 GMT</t>
  </si>
  <si>
    <t>Thu, 25 Jun 2026 00:00:00 GMT</t>
  </si>
  <si>
    <t>Wed, 24 Jun 2026 00:00:00 GMT</t>
  </si>
  <si>
    <t>Tue, 23 Jun 2026 00:00:00 GMT</t>
  </si>
  <si>
    <t>Mon, 22 Jun 2026 00:00:00 GMT</t>
  </si>
  <si>
    <t>Thu, 18 Jun 2026 00:00:00 GMT</t>
  </si>
  <si>
    <t>Wed, 17 Jun 2026 00:00:00 GMT</t>
  </si>
  <si>
    <t>Tue, 16 Jun 2026 00:00:00 GMT</t>
  </si>
  <si>
    <t>Mon, 15 Jun 2026 00:00:00 GMT</t>
  </si>
  <si>
    <t>Fri, 12 Jun 2026 00:00:00 GMT</t>
  </si>
  <si>
    <t>Thu, 11 Jun 2026 00:00:00 GMT</t>
  </si>
  <si>
    <t>Wed, 10 Jun 2026 00:00:00 GMT</t>
  </si>
  <si>
    <t>Tue, 09 Jun 2026 00:00:00 GMT</t>
  </si>
  <si>
    <t>Mon, 08 Jun 2026 00:00:00 GMT</t>
  </si>
  <si>
    <t>Fri, 05 Jun 2026 00:00:00 GMT</t>
  </si>
  <si>
    <t>Thu, 04 Jun 2026 00:00:00 GMT</t>
  </si>
  <si>
    <t>Wed, 03 Jun 2026 00:00:00 GMT</t>
  </si>
  <si>
    <t>Tue, 02 Jun 2026 00:00:00 GMT</t>
  </si>
  <si>
    <t>Mon, 01 Jun 2026 00:00:00 GMT</t>
  </si>
  <si>
    <t>Fri, 29 May 2026 00:00:00 GMT</t>
  </si>
  <si>
    <t>Thu, 28 May 2026 00:00:00 GMT</t>
  </si>
  <si>
    <t>Wed, 27 May 2026 00:00:00 GMT</t>
  </si>
  <si>
    <t>Tue, 26 May 2026 00:00:00 GMT</t>
  </si>
  <si>
    <t>Fri, 22 May 2026 00:00:00 GMT</t>
  </si>
  <si>
    <t>Thu, 21 May 2026 00:00:00 GMT</t>
  </si>
  <si>
    <t>Wed, 20 May 2026 00:00:00 GMT</t>
  </si>
  <si>
    <t>Tue, 19 May 2026 00:00:00 GMT</t>
  </si>
  <si>
    <t>Mon, 18 May 2026 00:00:00 GMT</t>
  </si>
  <si>
    <t>Fri, 15 May 2026 00:00:00 GMT</t>
  </si>
  <si>
    <t>Thu, 14 May 2026 00:00:00 GMT</t>
  </si>
  <si>
    <t>Wed, 13 May 2026 00:00:00 GMT</t>
  </si>
  <si>
    <t>Tue, 12 May 2026 00:00:00 GMT</t>
  </si>
  <si>
    <t>Mon, 11 May 2026 00:00:00 GMT</t>
  </si>
  <si>
    <t>Fri, 08 May 2026 00:00:00 GMT</t>
  </si>
  <si>
    <t>Thu, 07 May 2026 00:00:00 GMT</t>
  </si>
  <si>
    <t>Wed, 06 May 2026 00:00:00 GMT</t>
  </si>
  <si>
    <t>Tue, 05 May 2026 00:00:00 GMT</t>
  </si>
  <si>
    <t>Mon, 04 May 2026 00:00:00 GMT</t>
  </si>
  <si>
    <t>Fri, 01 May 2026 00:00:00 GMT</t>
  </si>
  <si>
    <t>Thu, 30 Apr 2026 00:00:00 GMT</t>
  </si>
  <si>
    <t>Wed, 29 Apr 2026 00:00:00 GMT</t>
  </si>
  <si>
    <t>Tue, 28 Apr 2026 00:00:00 GMT</t>
  </si>
  <si>
    <t>Mon, 27 Apr 2026 00:00:00 GMT</t>
  </si>
  <si>
    <t>Fri, 24 Apr 2026 00:00:00 GMT</t>
  </si>
  <si>
    <t>Thu, 23 Apr 2026 00:00:00 GMT</t>
  </si>
  <si>
    <t>Wed, 22 Apr 2026 00:00:00 GMT</t>
  </si>
  <si>
    <t>Tue, 21 Apr 2026 00:00:00 GMT</t>
  </si>
  <si>
    <t>Mon, 20 Apr 2026 00:00:00 GMT</t>
  </si>
  <si>
    <t>Fri, 17 Apr 2026 00:00:00 GMT</t>
  </si>
  <si>
    <t>Thu, 16 Apr 2026 00:00:00 GMT</t>
  </si>
  <si>
    <t>Wed, 15 Apr 2026 00:00:00 GMT</t>
  </si>
  <si>
    <t>Tue, 14 Apr 2026 00:00:00 GMT</t>
  </si>
  <si>
    <t>Mon, 13 Apr 2026 00:00:00 GMT</t>
  </si>
  <si>
    <t>Fri, 10 Apr 2026 00:00:00 GMT</t>
  </si>
  <si>
    <t>Thu, 09 Apr 2026 00:00:00 GMT</t>
  </si>
  <si>
    <t>Wed, 08 Apr 2026 00:00:00 GMT</t>
  </si>
  <si>
    <t>Tue, 07 Apr 2026 00:00:00 GMT</t>
  </si>
  <si>
    <t>Mon, 06 Apr 2026 00:00:00 GMT</t>
  </si>
  <si>
    <t>Thu, 02 Apr 2026 00:00:00 GMT</t>
  </si>
  <si>
    <t>Wed, 01 Apr 2026 00:00:00 GMT</t>
  </si>
  <si>
    <t>Tue, 31 Mar 2026 00:00:00 GMT</t>
  </si>
  <si>
    <t>Mon, 30 Mar 2026 00:00:00 GMT</t>
  </si>
  <si>
    <t>Fri, 27 Mar 2026 00:00:00 GMT</t>
  </si>
  <si>
    <t>Thu, 26 Mar 2026 00:00:00 GMT</t>
  </si>
  <si>
    <t>Wed, 25 Mar 2026 00:00:00 GMT</t>
  </si>
  <si>
    <t>Tue, 24 Mar 2026 00:00:00 GMT</t>
  </si>
  <si>
    <t>Mon, 23 Mar 2026 00:00:00 GMT</t>
  </si>
  <si>
    <t>Fri, 20 Mar 2026 00:00:00 GMT</t>
  </si>
  <si>
    <t>Thu, 19 Mar 2026 00:00:00 GMT</t>
  </si>
  <si>
    <t>Wed, 18 Mar 2026 00:00:00 GMT</t>
  </si>
  <si>
    <t>Tue, 17 Mar 2026 00:00:00 GMT</t>
  </si>
  <si>
    <t>Mon, 16 Mar 2026 00:00:00 GMT</t>
  </si>
  <si>
    <t>Fri, 13 Mar 2026 00:00:00 GMT</t>
  </si>
  <si>
    <t>Thu, 12 Mar 2026 00:00:00 GMT</t>
  </si>
  <si>
    <t>Wed, 11 Mar 2026 00:00:00 GMT</t>
  </si>
  <si>
    <t>Tue, 10 Mar 2026 00:00:00 GMT</t>
  </si>
  <si>
    <t>Mon, 09 Mar 2026 00:00:00 GMT</t>
  </si>
  <si>
    <t>Fri, 06 Mar 2026 00:00:00 GMT</t>
  </si>
  <si>
    <t>Thu, 05 Mar 2026 00:00:00 GMT</t>
  </si>
  <si>
    <t>Wed, 04 Mar 2026 00:00:00 GMT</t>
  </si>
  <si>
    <t>Tue, 03 Mar 2026 00:00:00 GMT</t>
  </si>
  <si>
    <t>Mon, 02 Mar 2026 00:00:00 GMT</t>
  </si>
  <si>
    <t>Fri, 27 Feb 2026 00:00:00 GMT</t>
  </si>
  <si>
    <t>Thu, 26 Feb 2026 00:00:00 GMT</t>
  </si>
  <si>
    <t>Wed, 25 Feb 2026 00:00:00 GMT</t>
  </si>
  <si>
    <t>Tue, 24 Feb 2026 00:00:00 GMT</t>
  </si>
  <si>
    <t>Mon, 23 Feb 2026 00:00:00 GMT</t>
  </si>
  <si>
    <t>Fri, 20 Feb 2026 00:00:00 GMT</t>
  </si>
  <si>
    <t>Thu, 19 Feb 2026 00:00:00 GMT</t>
  </si>
  <si>
    <t>Wed, 18 Feb 2026 00:00:00 GMT</t>
  </si>
  <si>
    <t>Tue, 17 Feb 2026 00:00:00 GMT</t>
  </si>
  <si>
    <t>Fri, 13 Feb 2026 00:00:00 GMT</t>
  </si>
  <si>
    <t>Thu, 12 Feb 2026 00:00:00 GMT</t>
  </si>
  <si>
    <t>Wed, 11 Feb 2026 00:00:00 GMT</t>
  </si>
  <si>
    <t>Tue, 10 Feb 2026 00:00:00 GMT</t>
  </si>
  <si>
    <t>Mon, 09 Feb 2026 00:00:00 GMT</t>
  </si>
  <si>
    <t>Fri, 06 Feb 2026 00:00:00 GMT</t>
  </si>
  <si>
    <t>Thu, 05 Feb 2026 00:00:00 GMT</t>
  </si>
  <si>
    <t>Wed, 04 Feb 2026 00:00:00 GMT</t>
  </si>
  <si>
    <t>Tue, 03 Feb 2026 00:00:00 GMT</t>
  </si>
  <si>
    <t>Mon, 02 Feb 2026 00:00:00 GMT</t>
  </si>
  <si>
    <t>Fri, 30 Jan 2026 00:00:00 GMT</t>
  </si>
  <si>
    <t>Thu, 29 Jan 2026 00:00:00 GMT</t>
  </si>
  <si>
    <t>Wed, 28 Jan 2026 00:00:00 GMT</t>
  </si>
  <si>
    <t>Tue, 27 Jan 2026 00:00:00 GMT</t>
  </si>
  <si>
    <t>Mon, 26 Jan 2026 00:00:00 GMT</t>
  </si>
  <si>
    <t>Fri, 23 Jan 2026 00:00:00 GMT</t>
  </si>
  <si>
    <t>Thu, 22 Jan 2026 00:00:00 GMT</t>
  </si>
  <si>
    <t>Wed, 21 Jan 2026 00:00:00 GMT</t>
  </si>
  <si>
    <t>Tue, 20 Jan 2026 00:00:00 GMT</t>
  </si>
  <si>
    <t>Fri, 16 Jan 2026 00:00:00 GMT</t>
  </si>
  <si>
    <t>Thu, 15 Jan 2026 00:00:00 GMT</t>
  </si>
  <si>
    <t>Wed, 14 Jan 2026 00:00:00 GMT</t>
  </si>
  <si>
    <t>Tue, 13 Jan 2026 00:00:00 GMT</t>
  </si>
  <si>
    <t>Mon, 12 Jan 2026 00:00:00 GMT</t>
  </si>
  <si>
    <t>Fri, 09 Jan 2026 00:00:00 GMT</t>
  </si>
  <si>
    <t>Thu, 08 Jan 2026 00:00:00 GMT</t>
  </si>
  <si>
    <t>Wed, 07 Jan 2026 00:00:00 GMT</t>
  </si>
  <si>
    <t>Tue, 06 Jan 2026 00:00:00 GMT</t>
  </si>
  <si>
    <t>Mon, 05 Jan 2026 00:00:00 GMT</t>
  </si>
  <si>
    <t>Fri, 02 Jan 2026 00:00:00 GMT</t>
  </si>
  <si>
    <t>Wed, 31 Dec 2025 00:00:00 GMT</t>
  </si>
  <si>
    <t>Tue, 30 Dec 2025 00:00:00 GMT</t>
  </si>
  <si>
    <t>Mon, 29 Dec 2025 00:00:00 GMT</t>
  </si>
  <si>
    <t>Fri, 26 Dec 2025 00:00:00 GMT</t>
  </si>
  <si>
    <t>Wed, 24 Dec 2025 00:00:00 GMT</t>
  </si>
  <si>
    <t>Tue, 23 Dec 2025 00:00:00 GMT</t>
  </si>
  <si>
    <t>Mon, 22 Dec 2025 00:00:00 GMT</t>
  </si>
  <si>
    <t>Fri, 19 Dec 2025 00:00:00 GMT</t>
  </si>
  <si>
    <t>Thu, 18 Dec 2025 00:00:00 GMT</t>
  </si>
  <si>
    <t>Wed, 17 Dec 2025 00:00:00 GMT</t>
  </si>
  <si>
    <t>Tue, 16 Dec 2025 00:00:00 GMT</t>
  </si>
  <si>
    <t>Mon, 15 Dec 2025 00:00:00 GMT</t>
  </si>
  <si>
    <t>Fri, 12 Dec 2025 00:00:00 GMT</t>
  </si>
  <si>
    <t>Thu, 11 Dec 2025 00:00:00 GMT</t>
  </si>
  <si>
    <t>Wed, 10 Dec 2025 00:00:00 GMT</t>
  </si>
  <si>
    <t>Tue, 09 Dec 2025 00:00:00 GMT</t>
  </si>
  <si>
    <t>Mon, 08 Dec 2025 00:00:00 GMT</t>
  </si>
  <si>
    <t>Fri, 05 Dec 2025 00:00:00 GMT</t>
  </si>
  <si>
    <t>Thu, 04 Dec 2025 00:00:00 GMT</t>
  </si>
  <si>
    <t>Wed, 03 Dec 2025 00:00:00 GMT</t>
  </si>
  <si>
    <t>Tue, 02 Dec 2025 00:00:00 GMT</t>
  </si>
  <si>
    <t>Mon, 01 Dec 2025 00:00:00 GMT</t>
  </si>
  <si>
    <t>Fri, 28 Nov 2025 00:00:00 GMT</t>
  </si>
  <si>
    <t>Wed, 26 Nov 2025 00:00:00 GMT</t>
  </si>
  <si>
    <t>Tue, 25 Nov 2025 00:00:00 GMT</t>
  </si>
  <si>
    <t>Mon, 24 Nov 2025 00:00:00 GMT</t>
  </si>
  <si>
    <t>Fri, 21 Nov 2025 00:00:00 GMT</t>
  </si>
  <si>
    <t>Thu, 20 Nov 2025 00:00:00 GMT</t>
  </si>
  <si>
    <t>Wed, 19 Nov 2025 00:00:00 GMT</t>
  </si>
  <si>
    <t>Tue, 18 Nov 2025 00:00:00 GMT</t>
  </si>
  <si>
    <t>Mon, 17 Nov 2025 00:00:00 GMT</t>
  </si>
  <si>
    <t>Fri, 14 Nov 2025 00:00:00 GMT</t>
  </si>
  <si>
    <t>Thu, 13 Nov 2025 00:00:00 GMT</t>
  </si>
  <si>
    <t>Wed, 12 Nov 2025 00:00:00 GMT</t>
  </si>
  <si>
    <t>Tue, 11 Nov 2025 00:00:00 GMT</t>
  </si>
  <si>
    <t>Mon, 10 Nov 2025 00:00:00 GMT</t>
  </si>
  <si>
    <t>Fri, 07 Nov 2025 00:00:00 GMT</t>
  </si>
  <si>
    <t>Thu, 06 Nov 2025 00:00:00 GMT</t>
  </si>
  <si>
    <t>Wed, 05 Nov 2025 00:00:00 GMT</t>
  </si>
  <si>
    <t>Tue, 04 Nov 2025 00:00:00 GMT</t>
  </si>
  <si>
    <t>Mon, 03 Nov 2025 00:00:00 GMT</t>
  </si>
  <si>
    <t>Fri, 31 Oct 2025 00:00:00 GMT</t>
  </si>
  <si>
    <t>Thu, 30 Oct 2025 00:00:00 GMT</t>
  </si>
  <si>
    <t>Wed, 29 Oct 2025 00:00:00 GMT</t>
  </si>
  <si>
    <t>Tue, 28 Oct 2025 00:00:00 GMT</t>
  </si>
  <si>
    <t>Mon, 27 Oct 2025 00:00:00 GMT</t>
  </si>
  <si>
    <t>Fri, 24 Oct 2025 00:00:00 GMT</t>
  </si>
  <si>
    <t>Thu, 23 Oct 2025 00:00:00 GMT</t>
  </si>
  <si>
    <t>Wed, 22 Oct 2025 00:00:00 GMT</t>
  </si>
  <si>
    <t>Tue, 21 Oct 2025 00:00:00 GMT</t>
  </si>
  <si>
    <t>Mon, 20 Oct 2025 00:00:00 GMT</t>
  </si>
  <si>
    <t>Fri, 17 Oct 2025 00:00:00 GMT</t>
  </si>
  <si>
    <t>Thu, 16 Oct 2025 00:00:00 GMT</t>
  </si>
  <si>
    <t>Wed, 15 Oct 2025 00:00:00 GMT</t>
  </si>
  <si>
    <t>Tue, 14 Oct 2025 00:00:00 GMT</t>
  </si>
  <si>
    <t>Mon, 13 Oct 2025 00:00:00 GMT</t>
  </si>
  <si>
    <t>Fri, 10 Oct 2025 00:00:00 GMT</t>
  </si>
  <si>
    <t>Thu, 09 Oct 2025 00:00:00 GMT</t>
  </si>
  <si>
    <t>Wed, 08 Oct 2025 00:00:00 GMT</t>
  </si>
  <si>
    <t>Tue, 07 Oct 2025 00:00:00 GMT</t>
  </si>
  <si>
    <t>Mon, 06 Oct 2025 00:00:00 GMT</t>
  </si>
  <si>
    <t>Fri, 03 Oct 2025 00:00:00 GMT</t>
  </si>
  <si>
    <t>Thu, 02 Oct 2025 00:00:00 GMT</t>
  </si>
  <si>
    <t>Wed, 01 Oct 2025 00:00:00 GMT</t>
  </si>
  <si>
    <t>Tue, 30 Sep 2025 00:00:00 GMT</t>
  </si>
  <si>
    <t>Mon, 29 Sep 2025 00:00:00 GMT</t>
  </si>
  <si>
    <t>Fri, 26 Sep 2025 00:00:00 GMT</t>
  </si>
  <si>
    <t>Thu, 25 Sep 2025 00:00:00 GMT</t>
  </si>
  <si>
    <t>Wed, 24 Sep 2025 00:00:00 GMT</t>
  </si>
  <si>
    <t>Tue, 23 Sep 2025 00:00:00 GMT</t>
  </si>
  <si>
    <t>Mon, 22 Sep 2025 00:00:00 GMT</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</si>
  <si>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</si>
  <si>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</si>
  <si>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</si>
  <si>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</si>
  <si>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</si>
  <si>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</si>
  <si>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</si>
  <si>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</si>
  <si>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</si>
  <si>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</si>
  <si>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</si>
  <si>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</si>
  <si>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</si>
  <si>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</si>
  <si>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</si>
  <si>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</si>
  <si>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</si>
  <si>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</si>
  <si>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</si>
  <si>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</si>
  <si>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</si>
  <si>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</si>
  <si>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</si>
  <si>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</si>
  <si>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</si>
  <si>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</si>
  <si>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</si>
  <si>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</si>
  <si>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</si>
  <si>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</si>
  <si>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</si>
  <si>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</si>
  <si>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</si>
  <si>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</si>
  <si>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</si>
  <si>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</si>
  <si>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</si>
  <si>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</si>
  <si>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</si>
  <si>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</si>
  <si>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</si>
  <si>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</si>
  <si>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</si>
  <si>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</si>
  <si>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</si>
  <si>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</si>
  <si>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</si>
  <si>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</si>
  <si>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</si>
  <si>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</si>
  <si>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</si>
  <si>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</si>
  <si>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</si>
  <si>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</si>
  <si>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</si>
  <si>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</si>
  <si>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</si>
  <si>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</si>
  <si>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</si>
  <si>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</si>
  <si>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</si>
  <si>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</si>
  <si>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</si>
  <si>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</si>
  <si>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</si>
  <si>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</si>
  <si>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</si>
  <si>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</si>
  <si>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</si>
  <si>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</si>
  <si>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</si>
  <si>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</si>
  <si>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</si>
  <si>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</si>
  <si>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</si>
  <si>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</si>
  <si>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</si>
  <si>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</si>
  <si>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</si>
  <si>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</si>
  <si>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</si>
  <si>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</si>
  <si>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</si>
  <si>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</si>
  <si>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</si>
  <si>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</si>
  <si>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</si>
  <si>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</si>
  <si>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</si>
  <si>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</si>
  <si>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</si>
  <si>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</si>
  <si>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</si>
  <si>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</si>
  <si>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</si>
  <si>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</si>
  <si>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</si>
  <si>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</si>
  <si>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</si>
  <si>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</si>
  <si>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</si>
  <si>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</si>
  <si>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</si>
  <si>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</si>
  <si>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</si>
  <si>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</si>
  <si>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</si>
  <si>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</si>
  <si>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</si>
  <si>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</si>
  <si>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</si>
  <si>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</si>
  <si>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</si>
  <si>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</si>
  <si>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</si>
  <si>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</si>
  <si>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</si>
  <si>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</si>
  <si>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</si>
  <si>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</si>
  <si>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</si>
  <si>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</si>
  <si>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</si>
  <si>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</si>
  <si>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</si>
  <si>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</si>
  <si>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</si>
  <si>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</si>
  <si>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</si>
  <si>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</si>
  <si>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</si>
  <si>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</si>
  <si>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</si>
  <si>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</si>
  <si>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</si>
  <si>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</si>
  <si>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</si>
  <si>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</si>
  <si>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</si>
  <si>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</si>
  <si>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</si>
  <si>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</si>
  <si>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</si>
  <si>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</si>
  <si>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</si>
  <si>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</si>
  <si>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</si>
  <si>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</si>
  <si>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</si>
  <si>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</si>
  <si>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</si>
  <si>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</si>
  <si>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</si>
  <si>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</si>
  <si>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</si>
  <si>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</si>
  <si>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</si>
  <si>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</si>
  <si>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</si>
  <si>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</si>
  <si>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</si>
  <si>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</si>
  <si>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</si>
  <si>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</si>
  <si>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</si>
  <si>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</si>
  <si>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</si>
  <si>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</si>
  <si>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</si>
  <si>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</si>
  <si>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</si>
  <si>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</si>
  <si>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</si>
  <si>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</si>
  <si>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</si>
  <si>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</si>
  <si>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</si>
  <si>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</si>
  <si>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</si>
  <si>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</si>
  <si>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</si>
  <si>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</si>
  <si>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</si>
  <si>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</si>
  <si>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</si>
  <si>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</si>
  <si>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</si>
  <si>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</si>
  <si>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</si>
  <si>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</si>
  <si>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</si>
  <si>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</si>
  <si>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</si>
  <si>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</si>
  <si>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</si>
  <si>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</si>
  <si>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</si>
  <si>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</si>
  <si>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</si>
  <si>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</si>
  <si>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</si>
  <si>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</si>
  <si>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</si>
  <si>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</si>
  <si>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</si>
  <si>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</si>
  <si>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</si>
  <si>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</si>
  <si>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</si>
  <si>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</si>
  <si>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</si>
  <si>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</si>
  <si>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</si>
  <si>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</si>
  <si>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</si>
  <si>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</si>
  <si>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</si>
  <si>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</si>
  <si>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</si>
  <si>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</si>
  <si>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</si>
  <si>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</si>
  <si>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</si>
  <si>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</si>
  <si>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</si>
  <si>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</si>
  <si>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</si>
  <si>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</si>
  <si>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</si>
  <si>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</si>
  <si>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</si>
  <si>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</si>
  <si>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</si>
  <si>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</si>
  <si>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</si>
  <si>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</si>
  <si>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</si>
  <si>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</si>
  <si>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</si>
  <si>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</si>
  <si>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</si>
  <si>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</si>
  <si>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</si>
  <si>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</si>
  <si>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</si>
  <si>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</si>
  <si>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</si>
  <si>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</si>
  <si>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</si>
  <si>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</si>
  <si>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</si>
  <si>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</si>
  <si>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</si>
  <si>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</si>
  <si>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</si>
  <si>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</si>
  <si>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</si>
  <si>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</si>
  <si>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</si>
  <si>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</si>
  <si>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</si>
  <si>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</si>
  <si>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</si>
  <si>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</si>
  <si>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</si>
  <si>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</si>
  <si>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</si>
  <si>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</si>
  <si>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</si>
  <si>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</si>
  <si>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</si>
  <si>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</si>
  <si>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</si>
  <si>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</si>
  <si>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</si>
  <si>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</si>
  <si>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</si>
  <si>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</si>
  <si>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</si>
  <si>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</si>
  <si>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</si>
  <si>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</si>
  <si>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</si>
  <si>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</si>
  <si>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</si>
  <si>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</si>
  <si>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</si>
  <si>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</si>
  <si>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</si>
  <si>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</si>
  <si>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</si>
  <si>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</si>
  <si>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</si>
  <si>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</si>
  <si>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</si>
  <si>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</si>
  <si>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</si>
  <si>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</si>
  <si>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</si>
  <si>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</si>
  <si>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</si>
  <si>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</si>
  <si>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</si>
  <si>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</si>
  <si>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</si>
  <si>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</si>
  <si>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</si>
  <si>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</si>
  <si>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</si>
  <si>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</si>
  <si>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</si>
  <si>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</si>
  <si>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</si>
  <si>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</si>
  <si>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</si>
  <si>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</si>
  <si>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</si>
  <si>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</si>
  <si>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</si>
  <si>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</si>
  <si>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</si>
  <si>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</si>
  <si>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</si>
  <si>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</si>
  <si>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</si>
  <si>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</si>
  <si>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</si>
  <si>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</si>
  <si>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</si>
  <si>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</si>
  <si>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</si>
  <si>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</si>
  <si>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</si>
  <si>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</si>
  <si>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</si>
  <si>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</si>
  <si>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</si>
  <si>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</si>
  <si>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</si>
  <si>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</si>
  <si>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</si>
  <si>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</si>
  <si>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</si>
  <si>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</si>
  <si>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</si>
  <si>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</si>
  <si>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</si>
  <si>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</si>
  <si>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</si>
  <si>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</si>
  <si>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</si>
  <si>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</si>
  <si>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</si>
  <si>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</si>
  <si>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</si>
  <si>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</si>
  <si>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</si>
  <si>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</si>
  <si>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</si>
  <si>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</si>
  <si>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</si>
  <si>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</si>
  <si>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</si>
  <si>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</si>
  <si>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</si>
  <si>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</si>
  <si>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</si>
  <si>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</si>
  <si>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</si>
  <si>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</si>
  <si>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</si>
  <si>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</si>
  <si>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</si>
  <si>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</si>
  <si>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</si>
  <si>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</si>
  <si>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</si>
  <si>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</si>
  <si>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</si>
  <si>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</si>
  <si>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</si>
  <si>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</si>
  <si>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</si>
  <si>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</si>
  <si>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</si>
  <si>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</si>
  <si>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</si>
  <si>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</si>
  <si>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</si>
  <si>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</si>
  <si>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</si>
  <si>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</si>
  <si>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</si>
  <si>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</si>
  <si>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</si>
  <si>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</si>
  <si>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</si>
  <si>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</si>
  <si>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</si>
  <si>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</si>
  <si>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</si>
  <si>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</si>
  <si>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</si>
  <si>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</si>
  <si>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</si>
  <si>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</si>
  <si>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</si>
  <si>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</si>
  <si>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</si>
  <si>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</si>
  <si>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</si>
  <si>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</si>
  <si>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</si>
  <si>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</si>
  <si>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</si>
  <si>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</si>
  <si>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</si>
  <si>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</si>
  <si>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</si>
  <si>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</si>
  <si>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</si>
  <si>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</si>
  <si>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</si>
  <si>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</si>
  <si>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</si>
  <si>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</si>
  <si>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</si>
  <si>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</si>
  <si>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</si>
  <si>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</si>
  <si>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</si>
  <si>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</si>
  <si>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</si>
  <si>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</si>
  <si>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</si>
  <si>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</si>
  <si>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</si>
  <si>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</si>
  <si>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</si>
  <si>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</si>
  <si>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</si>
  <si>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</si>
  <si>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</si>
  <si>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</si>
  <si>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</si>
  <si>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</si>
  <si>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</si>
  <si>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</si>
  <si>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</si>
  <si>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</si>
  <si>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</si>
  <si>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</si>
  <si>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</si>
  <si>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</si>
  <si>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</si>
  <si>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</si>
  <si>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</si>
  <si>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</si>
  <si>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</si>
  <si>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</si>
  <si>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</si>
  <si>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</si>
  <si>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</si>
  <si>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</si>
  <si>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</si>
  <si>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</si>
  <si>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</si>
  <si>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</si>
  <si>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</si>
  <si>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</si>
  <si>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</si>
  <si>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</si>
  <si>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</si>
  <si>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</si>
  <si>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</si>
  <si>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</si>
  <si>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</si>
  <si>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</si>
  <si>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</si>
  <si>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r>
      <t xml:space="preserve">753 Trading Days? (From: </t>
    </r>
    <r>
      <rPr>
        <i/>
        <sz val="11"/>
        <color theme="1"/>
        <rFont val="Calibre"/>
      </rPr>
      <t>10/22/2023 - 10/22/2026</t>
    </r>
    <r>
      <rPr>
        <sz val="11"/>
        <color theme="1"/>
        <rFont val="Calibre"/>
      </rPr>
      <t>)</t>
    </r>
  </si>
  <si>
    <t>LHX Historical Returns</t>
  </si>
  <si>
    <t>More</t>
  </si>
  <si>
    <t>Institutional Ownership Snapshot</t>
  </si>
  <si>
    <t xml:space="preserve">General Notes/Observations </t>
  </si>
  <si>
    <t xml:space="preserve">Financial Stmts. Notes/Observations </t>
  </si>
  <si>
    <t>Space &amp; Mission Systems</t>
  </si>
  <si>
    <t>Communication &amp; Spectrum Dominance</t>
  </si>
  <si>
    <t>Missile Solutions</t>
  </si>
  <si>
    <t>The Company operates through three segments: Space &amp; Mission Systems (SMS), Communications &amp; Spectrum Dominance (CSD), and Missile Solutions (MSL)</t>
  </si>
  <si>
    <t>L3Harris is a trusted US defense prime with end-to-end tech solutions connectiong the psace, air, land and cyber domains for national security interests … Primarily US based but support clients in over 100 countries worldwide</t>
  </si>
  <si>
    <t>The Company's capabilities have defense and civil government applications, as well as commercial applications</t>
  </si>
  <si>
    <t>Communication Systems (“CS”)</t>
  </si>
  <si>
    <t xml:space="preserve">Enables warfighters across all domains with solutions critical to mission success even in the most contested environments </t>
  </si>
  <si>
    <t>Leading provider of resilient communication solutions for the U.S. Department of War (“DoW”) and international, federal, and state agency customers in the following business sectors:</t>
  </si>
  <si>
    <t>Tactical Communications: Design, manufacture and sustainment of resilient and interoperable secure communication solutions that include tactical radios, software, waveforms, satellite terminals and end-to-end battlefield systems</t>
  </si>
  <si>
    <t>-</t>
  </si>
  <si>
    <t>Broadband Communications: Design, manufacture and sustainment of resilient and secure communication solutions that include intelligence, reconnaissance and surveillance (“ISR”) and tactical data links, software and integrated broadband networks</t>
  </si>
  <si>
    <t>Integrated Vision Solutions: Design, manufacture and sustainment of a full suite of helmet-mounted integrated night vision goggles with leading-edge image intensifier tubes, as well as weapon-mounted sights, aiming lasers, and range finders</t>
  </si>
  <si>
    <t>Public Safety and Professional Communications (“PSPC”): State-of-the-art communication equipment, systems and applications for federal agencies, state and local government first responders, utilities and transit agencies</t>
  </si>
  <si>
    <t>Integrated Mission Systems (“IMS”)</t>
  </si>
  <si>
    <t>Delivers differentiated mission capabilities and prime systems integration to support multi-mission ISR, passive sensing and targeting, electronic attack, autonomy, power and communications, networks and sensors</t>
  </si>
  <si>
    <t>IMS specializes in system design, development, integration, production, modernization and sustainment for national security and international customers in the following business sectors</t>
  </si>
  <si>
    <t>ISR: Airborne passive sensing and targeting, mission systems development, integration and life-cycle management for strategic reconnaissance and air superiority platforms, national command and control, tactical surveillance, electronic attack, agile strike, mobility, and classified platforms</t>
  </si>
  <si>
    <t>Maritime: Power, electrical, imaging, communication and sensor systems for naval platforms; integrated autonomous vessels for surface and undersea operations; fleet management; in-service support; missionization prototyping; and naval integration</t>
  </si>
  <si>
    <t>Targeting &amp; Sensor Systems (“TSS”): Multi-domain, multi-spectral electro-optical (“EO”) and infrared (“IR”) sensor systems supporting ISR and target acquisition missions; manufacturing of specialty laser and filter glass materials, laser range finders, target designators and transmitters; and highly scalable autonomous solutions</t>
  </si>
  <si>
    <t>Defense Electronics(“DE”): Space communications and space flight avionics; 360-degree visible/midwave IR passive surveillance; protected GPS communications, navigation and range-testing solutions; and precision electronic components</t>
  </si>
  <si>
    <t>Space &amp; Airborne Systems (“SAS”)</t>
  </si>
  <si>
    <t>Supplies full mission solutions as a prime and subsystem integrator in the space, airborne and cyber domains</t>
  </si>
  <si>
    <t>Provides top-tier capabilities in the design, development, integration, production and sustainment of weapons systems for national security, civil government and international customers in the following business sectors</t>
  </si>
  <si>
    <t>Space Systems: ISR; position, navigation and timing; weather and climate monitoring; missile defense and ground-based space surveillance networks</t>
  </si>
  <si>
    <t>Intel &amp; Cyber: Situational awareness, optical networks and advanced wireless solutions for classified intelligence and defense customers</t>
  </si>
  <si>
    <t>Mission Networks: Communications and networking solutions for air traffic management</t>
  </si>
  <si>
    <t>Airborne Combat Systems: Sensors, processors, hardened electronics, unmanned aircraft systems, precision weapons, infrared search and tracking, distributed aperture systems and precision pointing, weapons release systems; antennas for aircraft platforms; and threat warning and countermeasures for airborne, ground and maritime platforms</t>
  </si>
  <si>
    <t>Aerojet Rocketdyne (“AR”)</t>
  </si>
  <si>
    <t>Provides propulsion, power and armament products and systems to U.S. Government, including the DoW, National Aeronautics and Space Administration ("NASA") and major aerospace and defense prime contractors in the following business sectors</t>
  </si>
  <si>
    <t xml:space="preserve"> </t>
  </si>
  <si>
    <t>Comm. Avi Solutions (“CAS dispo group”): On March 28, 2025, the CAS disposal group was divested. See Note 13: Acquisitions and Divestitures in the Notes for further information</t>
  </si>
  <si>
    <t>Missile Solutions: Propulsion technologies and armament systems for strategic defense, missile defense, hypersonic, tactical and fuzing systems</t>
  </si>
  <si>
    <t>Space Propulsion and Power Systems (“SPPS”): Premier propulsion and power systems for national security, space and exploration 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</si>
</sst>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0_);_(* \(#,##0.0\);_(* &quot;-&quot;??_);_(@_)"/>
    <numFmt numFmtId="167" formatCode="_(* #,##0_);_(* \(#,##0\);_(* &quot;-&quot;??_);_(@_)"/>
  </numFmts>
  <fonts count="18">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color theme="1"/>
      <name val="Arial"/>
      <family val="2"/>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5">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xf numFmtId="0" fontId="17" fillId="0" borderId="0"/>
  </cellStyleXfs>
  <cellXfs count="102">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0" fontId="14" fillId="0" borderId="0" xfId="0" applyFont="1" applyAlignment="1">
      <alignment horizontal="left"/>
    </xf>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2"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4" fontId="13" fillId="0" borderId="0" xfId="0" applyNumberFormat="1" applyFont="1" applyAlignment="1">
      <alignment vertical="top"/>
    </xf>
    <xf numFmtId="165" fontId="13" fillId="0" borderId="0" xfId="1" applyNumberFormat="1" applyFont="1" applyAlignment="1">
      <alignment vertical="top"/>
    </xf>
    <xf numFmtId="0" fontId="12" fillId="0" borderId="0" xfId="0" applyFont="1" applyAlignment="1">
      <alignment vertical="top"/>
    </xf>
    <xf numFmtId="2" fontId="13" fillId="0" borderId="0" xfId="0" applyNumberFormat="1" applyFont="1" applyAlignment="1">
      <alignment vertical="top"/>
    </xf>
    <xf numFmtId="49" fontId="13" fillId="0" borderId="0" xfId="0" applyNumberFormat="1" applyFont="1" applyAlignment="1">
      <alignment horizontal="right" vertical="top"/>
    </xf>
    <xf numFmtId="10" fontId="2" fillId="0" borderId="0" xfId="1" applyNumberFormat="1" applyFont="1"/>
    <xf numFmtId="2" fontId="8" fillId="5" borderId="0" xfId="0" applyNumberFormat="1" applyFont="1" applyFill="1" applyAlignment="1">
      <alignment horizontal="center" vertical="center"/>
    </xf>
    <xf numFmtId="0" fontId="13" fillId="0" borderId="0" xfId="0" applyFont="1" applyAlignment="1">
      <alignment horizontal="right"/>
    </xf>
    <xf numFmtId="9" fontId="13" fillId="0" borderId="0" xfId="1" applyFont="1"/>
    <xf numFmtId="10" fontId="13" fillId="0" borderId="0" xfId="1" applyNumberFormat="1" applyFont="1"/>
    <xf numFmtId="0" fontId="13" fillId="0" borderId="0" xfId="0" applyFont="1" applyAlignment="1">
      <alignment horizontal="left" indent="1"/>
    </xf>
    <xf numFmtId="0" fontId="12" fillId="0" borderId="0" xfId="0" applyFont="1" applyAlignment="1">
      <alignment horizontal="left" indent="1"/>
    </xf>
    <xf numFmtId="10" fontId="12" fillId="0" borderId="0" xfId="1" applyNumberFormat="1" applyFont="1"/>
    <xf numFmtId="14" fontId="13" fillId="0" borderId="0" xfId="0" applyNumberFormat="1" applyFont="1" applyAlignment="1">
      <alignment horizontal="right" vertical="top"/>
    </xf>
    <xf numFmtId="0" fontId="13" fillId="0" borderId="0" xfId="0" applyFont="1" applyAlignment="1">
      <alignment horizontal="left" vertical="top" indent="1"/>
    </xf>
    <xf numFmtId="0" fontId="13" fillId="0" borderId="0" xfId="0" applyFont="1" applyAlignment="1">
      <alignment horizontal="center"/>
    </xf>
    <xf numFmtId="1" fontId="13" fillId="0" borderId="0" xfId="0" applyNumberFormat="1" applyFont="1"/>
    <xf numFmtId="2" fontId="13" fillId="0" borderId="0" xfId="0" applyNumberFormat="1" applyFont="1"/>
    <xf numFmtId="10" fontId="13" fillId="0" borderId="0" xfId="1" applyNumberFormat="1" applyFont="1" applyAlignment="1">
      <alignment horizontal="left" indent="1"/>
    </xf>
    <xf numFmtId="10" fontId="13" fillId="0" borderId="0" xfId="1" applyNumberFormat="1" applyFont="1" applyAlignment="1">
      <alignment horizontal="right"/>
    </xf>
    <xf numFmtId="1" fontId="12" fillId="0" borderId="0" xfId="0" applyNumberFormat="1" applyFont="1" applyAlignment="1">
      <alignment horizontal="left" indent="1"/>
    </xf>
    <xf numFmtId="10" fontId="13" fillId="0" borderId="0" xfId="0" applyNumberFormat="1" applyFont="1"/>
    <xf numFmtId="0" fontId="12" fillId="0" borderId="0" xfId="0" applyFont="1" applyAlignment="1">
      <alignment horizontal="left" vertical="top" indent="1"/>
    </xf>
    <xf numFmtId="0" fontId="12" fillId="0" borderId="0" xfId="0" applyFont="1" applyAlignment="1">
      <alignment horizontal="right" vertical="center"/>
    </xf>
    <xf numFmtId="0" fontId="12" fillId="0" borderId="0" xfId="0" applyFont="1" applyAlignment="1">
      <alignment vertical="top" wrapText="1"/>
    </xf>
    <xf numFmtId="0" fontId="12" fillId="0" borderId="0" xfId="0" applyFont="1" applyAlignment="1">
      <alignment horizontal="center"/>
    </xf>
    <xf numFmtId="2" fontId="2" fillId="0" borderId="0" xfId="0" applyNumberFormat="1" applyFont="1" applyAlignment="1">
      <alignment vertical="center"/>
    </xf>
    <xf numFmtId="10" fontId="2" fillId="0" borderId="0" xfId="0" applyNumberFormat="1" applyFont="1" applyAlignment="1">
      <alignment vertical="center"/>
    </xf>
    <xf numFmtId="43" fontId="2" fillId="0" borderId="0" xfId="3" applyFont="1" applyAlignment="1">
      <alignment horizontal="left"/>
    </xf>
    <xf numFmtId="166" fontId="2" fillId="0" borderId="0" xfId="3" applyNumberFormat="1" applyFont="1" applyAlignment="1">
      <alignment horizontal="left"/>
    </xf>
    <xf numFmtId="167" fontId="2" fillId="0" borderId="0" xfId="3" applyNumberFormat="1" applyFont="1" applyAlignment="1">
      <alignment horizontal="left"/>
    </xf>
    <xf numFmtId="0" fontId="13" fillId="0" borderId="0" xfId="0" applyFont="1" applyAlignment="1">
      <alignment horizontal="right" vertical="center"/>
    </xf>
    <xf numFmtId="3" fontId="2" fillId="0" borderId="0" xfId="0" applyNumberFormat="1" applyFont="1"/>
    <xf numFmtId="165" fontId="2" fillId="0" borderId="0" xfId="1" applyNumberFormat="1" applyFont="1"/>
    <xf numFmtId="43" fontId="2" fillId="0" borderId="0" xfId="3" applyFont="1"/>
    <xf numFmtId="164" fontId="2" fillId="0" borderId="0" xfId="0" applyNumberFormat="1" applyFont="1"/>
    <xf numFmtId="1" fontId="2" fillId="0" borderId="0" xfId="0" applyNumberFormat="1" applyFont="1"/>
    <xf numFmtId="1" fontId="3" fillId="0" borderId="0" xfId="0" applyNumberFormat="1" applyFont="1"/>
    <xf numFmtId="165" fontId="13" fillId="0" borderId="0" xfId="0" applyNumberFormat="1" applyFont="1"/>
    <xf numFmtId="165" fontId="12" fillId="0" borderId="0" xfId="0" applyNumberFormat="1" applyFont="1"/>
    <xf numFmtId="1" fontId="12" fillId="0" borderId="0" xfId="0" applyNumberFormat="1" applyFont="1"/>
    <xf numFmtId="0" fontId="2" fillId="0" borderId="0" xfId="0" applyFont="1" applyAlignment="1">
      <alignment horizontal="left" indent="1"/>
    </xf>
    <xf numFmtId="43" fontId="13" fillId="0" borderId="0" xfId="3" applyFont="1"/>
    <xf numFmtId="0" fontId="17" fillId="0" borderId="0" xfId="4"/>
    <xf numFmtId="4" fontId="17" fillId="0" borderId="0" xfId="4" applyNumberFormat="1"/>
    <xf numFmtId="3" fontId="17" fillId="0" borderId="0" xfId="4" applyNumberFormat="1"/>
    <xf numFmtId="10" fontId="0" fillId="0" borderId="0" xfId="0" applyNumberFormat="1"/>
    <xf numFmtId="0" fontId="0" fillId="0" borderId="18" xfId="0" applyBorder="1"/>
    <xf numFmtId="0" fontId="9" fillId="0" borderId="17" xfId="0" applyFont="1" applyBorder="1" applyAlignment="1">
      <alignment horizontal="center"/>
    </xf>
    <xf numFmtId="0" fontId="13" fillId="0" borderId="0" xfId="0" applyFont="1" applyAlignment="1">
      <alignment horizontal="center"/>
    </xf>
    <xf numFmtId="0" fontId="2" fillId="0" borderId="0" xfId="0" applyFont="1" applyAlignment="1">
      <alignment horizontal="left"/>
    </xf>
    <xf numFmtId="0" fontId="2" fillId="0" borderId="0" xfId="0" applyFont="1" applyAlignment="1"/>
  </cellXfs>
  <cellStyles count="5">
    <cellStyle name="Comma" xfId="3" builtinId="3"/>
    <cellStyle name="Hyperlink" xfId="2" builtinId="8"/>
    <cellStyle name="Normal" xfId="0" builtinId="0"/>
    <cellStyle name="Normal 2" xfId="4" xr:uid="{9BBC381F-0020-46CD-BCE7-B72CD18F5EA6}"/>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(LHX)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6"/>
          <c:order val="0"/>
          <c:tx>
            <c:strRef>
              <c:f>Model!$B$4</c:f>
              <c:strCache>
                <c:ptCount val="1"/>
                <c:pt idx="0">
                  <c:v>Space &amp; Mission Systems</c:v>
                </c:pt>
              </c:strCache>
            </c:strRef>
          </c:tx>
          <c:spPr>
            <a:solidFill>
              <a:srgbClr val="5B9BD5">
                <a:lumMod val="75000"/>
              </a:srgbClr>
            </a:solidFill>
            <a:ln>
              <a:noFill/>
            </a:ln>
            <a:effectLst/>
          </c:spPr>
          <c:invertIfNegative val="0"/>
          <c:cat>
            <c:strRef>
              <c:f>Model!$W$1:$AB$1</c:f>
              <c:strCache>
                <c:ptCount val="5"/>
                <c:pt idx="0">
                  <c:v>Q1 2025</c:v>
                </c:pt>
                <c:pt idx="4">
                  <c:v>Q1 2026</c:v>
                </c:pt>
              </c:strCache>
            </c:strRef>
          </c:cat>
          <c:val>
            <c:numRef>
              <c:f>Model!$W$4:$AB$4</c:f>
              <c:numCache>
                <c:formatCode>General</c:formatCode>
                <c:ptCount val="6"/>
                <c:pt idx="0">
                  <c:v>2411</c:v>
                </c:pt>
                <c:pt idx="1">
                  <c:v>2770</c:v>
                </c:pt>
                <c:pt idx="2">
                  <c:v>3162</c:v>
                </c:pt>
                <c:pt idx="3">
                  <c:v>3009</c:v>
                </c:pt>
                <c:pt idx="4">
                  <c:v>2990</c:v>
                </c:pt>
                <c:pt idx="5">
                  <c:v>2966</c:v>
                </c:pt>
              </c:numCache>
            </c:numRef>
          </c:val>
          <c:extLst>
            <c:ext xmlns:c16="http://schemas.microsoft.com/office/drawing/2014/chart" uri="{C3380CC4-5D6E-409C-BE32-E72D297353CC}">
              <c16:uniqueId val="{00000006-763E-43B3-B662-D76C6E829219}"/>
            </c:ext>
          </c:extLst>
        </c:ser>
        <c:ser>
          <c:idx val="7"/>
          <c:order val="1"/>
          <c:tx>
            <c:strRef>
              <c:f>Model!$B$5</c:f>
              <c:strCache>
                <c:ptCount val="1"/>
                <c:pt idx="0">
                  <c:v>Communication &amp; Spectrum Dominance</c:v>
                </c:pt>
              </c:strCache>
            </c:strRef>
          </c:tx>
          <c:spPr>
            <a:solidFill>
              <a:srgbClr val="70AD47">
                <a:lumMod val="60000"/>
                <a:lumOff val="40000"/>
              </a:srgbClr>
            </a:solidFill>
            <a:ln>
              <a:noFill/>
            </a:ln>
            <a:effectLst/>
          </c:spPr>
          <c:invertIfNegative val="0"/>
          <c:cat>
            <c:strRef>
              <c:f>Model!$W$1:$AB$1</c:f>
              <c:strCache>
                <c:ptCount val="5"/>
                <c:pt idx="0">
                  <c:v>Q1 2025</c:v>
                </c:pt>
                <c:pt idx="4">
                  <c:v>Q1 2026</c:v>
                </c:pt>
              </c:strCache>
            </c:strRef>
          </c:cat>
          <c:val>
            <c:numRef>
              <c:f>Model!$W$5:$AB$5</c:f>
              <c:numCache>
                <c:formatCode>General</c:formatCode>
                <c:ptCount val="6"/>
                <c:pt idx="0">
                  <c:v>1809</c:v>
                </c:pt>
                <c:pt idx="1">
                  <c:v>1861</c:v>
                </c:pt>
                <c:pt idx="2">
                  <c:v>1809</c:v>
                </c:pt>
                <c:pt idx="3">
                  <c:v>1851</c:v>
                </c:pt>
                <c:pt idx="4">
                  <c:v>1855</c:v>
                </c:pt>
                <c:pt idx="5">
                  <c:v>1943</c:v>
                </c:pt>
              </c:numCache>
            </c:numRef>
          </c:val>
          <c:extLst>
            <c:ext xmlns:c16="http://schemas.microsoft.com/office/drawing/2014/chart" uri="{C3380CC4-5D6E-409C-BE32-E72D297353CC}">
              <c16:uniqueId val="{00000007-763E-43B3-B662-D76C6E829219}"/>
            </c:ext>
          </c:extLst>
        </c:ser>
        <c:ser>
          <c:idx val="8"/>
          <c:order val="2"/>
          <c:tx>
            <c:strRef>
              <c:f>Model!$B$6</c:f>
              <c:strCache>
                <c:ptCount val="1"/>
                <c:pt idx="0">
                  <c:v>Missile Solutions</c:v>
                </c:pt>
              </c:strCache>
            </c:strRef>
          </c:tx>
          <c:spPr>
            <a:solidFill>
              <a:srgbClr val="FFC000">
                <a:lumMod val="40000"/>
                <a:lumOff val="60000"/>
              </a:srgbClr>
            </a:solidFill>
            <a:ln>
              <a:noFill/>
            </a:ln>
            <a:effectLst/>
          </c:spPr>
          <c:invertIfNegative val="0"/>
          <c:cat>
            <c:strRef>
              <c:f>Model!$W$1:$AB$1</c:f>
              <c:strCache>
                <c:ptCount val="5"/>
                <c:pt idx="0">
                  <c:v>Q1 2025</c:v>
                </c:pt>
                <c:pt idx="4">
                  <c:v>Q1 2026</c:v>
                </c:pt>
              </c:strCache>
            </c:strRef>
          </c:cat>
          <c:val>
            <c:numRef>
              <c:f>Model!$W$6:$AB$6</c:f>
              <c:numCache>
                <c:formatCode>General</c:formatCode>
                <c:ptCount val="6"/>
                <c:pt idx="0">
                  <c:v>840</c:v>
                </c:pt>
                <c:pt idx="1">
                  <c:v>925</c:v>
                </c:pt>
                <c:pt idx="2">
                  <c:v>755</c:v>
                </c:pt>
                <c:pt idx="3">
                  <c:v>872</c:v>
                </c:pt>
                <c:pt idx="4">
                  <c:v>990</c:v>
                </c:pt>
                <c:pt idx="5">
                  <c:v>1054</c:v>
                </c:pt>
              </c:numCache>
            </c:numRef>
          </c:val>
          <c:extLst>
            <c:ext xmlns:c16="http://schemas.microsoft.com/office/drawing/2014/chart" uri="{C3380CC4-5D6E-409C-BE32-E72D297353CC}">
              <c16:uniqueId val="{00000008-763E-43B3-B662-D76C6E829219}"/>
            </c:ext>
          </c:extLst>
        </c:ser>
        <c:ser>
          <c:idx val="9"/>
          <c:order val="3"/>
          <c:tx>
            <c:strRef>
              <c:f>Model!$B$7</c:f>
              <c:strCache>
                <c:ptCount val="1"/>
                <c:pt idx="0">
                  <c:v>Intersegment</c:v>
                </c:pt>
              </c:strCache>
            </c:strRef>
          </c:tx>
          <c:spPr>
            <a:solidFill>
              <a:srgbClr val="FF0000"/>
            </a:solidFill>
            <a:ln>
              <a:noFill/>
            </a:ln>
            <a:effectLst/>
          </c:spPr>
          <c:invertIfNegative val="0"/>
          <c:cat>
            <c:strRef>
              <c:f>Model!$W$1:$AB$1</c:f>
              <c:strCache>
                <c:ptCount val="5"/>
                <c:pt idx="0">
                  <c:v>Q1 2025</c:v>
                </c:pt>
                <c:pt idx="4">
                  <c:v>Q1 2026</c:v>
                </c:pt>
              </c:strCache>
            </c:strRef>
          </c:cat>
          <c:val>
            <c:numRef>
              <c:f>Model!$W$7:$AB$7</c:f>
              <c:numCache>
                <c:formatCode>General</c:formatCode>
                <c:ptCount val="6"/>
                <c:pt idx="0">
                  <c:v>-60</c:v>
                </c:pt>
                <c:pt idx="1">
                  <c:v>-72</c:v>
                </c:pt>
                <c:pt idx="2">
                  <c:v>-67</c:v>
                </c:pt>
                <c:pt idx="3">
                  <c:v>-10</c:v>
                </c:pt>
                <c:pt idx="4">
                  <c:v>-91</c:v>
                </c:pt>
                <c:pt idx="5">
                  <c:v>-82</c:v>
                </c:pt>
              </c:numCache>
            </c:numRef>
          </c:val>
          <c:extLst>
            <c:ext xmlns:c16="http://schemas.microsoft.com/office/drawing/2014/chart" uri="{C3380CC4-5D6E-409C-BE32-E72D297353CC}">
              <c16:uniqueId val="{00000009-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(LHX)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Model!$C$45:$AB$45</c:f>
              <c:numCache>
                <c:formatCode>General</c:formatCode>
                <c:ptCount val="26"/>
                <c:pt idx="0">
                  <c:v>195</c:v>
                </c:pt>
                <c:pt idx="1">
                  <c:v>278</c:v>
                </c:pt>
                <c:pt idx="2">
                  <c:v>431</c:v>
                </c:pt>
                <c:pt idx="3">
                  <c:v>184</c:v>
                </c:pt>
                <c:pt idx="4">
                  <c:v>405</c:v>
                </c:pt>
                <c:pt idx="5">
                  <c:v>413</c:v>
                </c:pt>
                <c:pt idx="6">
                  <c:v>479</c:v>
                </c:pt>
                <c:pt idx="7">
                  <c:v>484</c:v>
                </c:pt>
                <c:pt idx="8">
                  <c:v>475</c:v>
                </c:pt>
                <c:pt idx="9">
                  <c:v>470</c:v>
                </c:pt>
                <c:pt idx="10">
                  <c:v>-301</c:v>
                </c:pt>
                <c:pt idx="11">
                  <c:v>417</c:v>
                </c:pt>
                <c:pt idx="12">
                  <c:v>339</c:v>
                </c:pt>
                <c:pt idx="13">
                  <c:v>351</c:v>
                </c:pt>
                <c:pt idx="14">
                  <c:v>382</c:v>
                </c:pt>
                <c:pt idx="15">
                  <c:v>126</c:v>
                </c:pt>
                <c:pt idx="16">
                  <c:v>285</c:v>
                </c:pt>
                <c:pt idx="17">
                  <c:v>367</c:v>
                </c:pt>
                <c:pt idx="18">
                  <c:v>400</c:v>
                </c:pt>
                <c:pt idx="19">
                  <c:v>456</c:v>
                </c:pt>
                <c:pt idx="20">
                  <c:v>386</c:v>
                </c:pt>
                <c:pt idx="21">
                  <c:v>458</c:v>
                </c:pt>
                <c:pt idx="22">
                  <c:v>462</c:v>
                </c:pt>
                <c:pt idx="23">
                  <c:v>300</c:v>
                </c:pt>
                <c:pt idx="24">
                  <c:v>512</c:v>
                </c:pt>
                <c:pt idx="25">
                  <c:v>586</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Model!$C$95:$AB$95</c:f>
              <c:numCache>
                <c:formatCode>General</c:formatCode>
                <c:ptCount val="26"/>
                <c:pt idx="0">
                  <c:v>485</c:v>
                </c:pt>
                <c:pt idx="1">
                  <c:v>742</c:v>
                </c:pt>
                <c:pt idx="2">
                  <c:v>671</c:v>
                </c:pt>
                <c:pt idx="3">
                  <c:v>524</c:v>
                </c:pt>
                <c:pt idx="4">
                  <c:v>594</c:v>
                </c:pt>
                <c:pt idx="5">
                  <c:v>659</c:v>
                </c:pt>
                <c:pt idx="6">
                  <c:v>405</c:v>
                </c:pt>
                <c:pt idx="7">
                  <c:v>687</c:v>
                </c:pt>
                <c:pt idx="8">
                  <c:v>-16</c:v>
                </c:pt>
                <c:pt idx="9">
                  <c:v>687</c:v>
                </c:pt>
                <c:pt idx="10">
                  <c:v>524</c:v>
                </c:pt>
                <c:pt idx="11">
                  <c:v>711</c:v>
                </c:pt>
                <c:pt idx="12">
                  <c:v>279</c:v>
                </c:pt>
                <c:pt idx="13">
                  <c:v>321</c:v>
                </c:pt>
                <c:pt idx="14">
                  <c:v>395</c:v>
                </c:pt>
                <c:pt idx="15">
                  <c:v>652</c:v>
                </c:pt>
                <c:pt idx="16">
                  <c:v>-219</c:v>
                </c:pt>
                <c:pt idx="17">
                  <c:v>657</c:v>
                </c:pt>
                <c:pt idx="18">
                  <c:v>702</c:v>
                </c:pt>
                <c:pt idx="19">
                  <c:v>1011</c:v>
                </c:pt>
                <c:pt idx="20">
                  <c:v>-101</c:v>
                </c:pt>
                <c:pt idx="21">
                  <c:v>552</c:v>
                </c:pt>
                <c:pt idx="22">
                  <c:v>427</c:v>
                </c:pt>
                <c:pt idx="23">
                  <c:v>1804</c:v>
                </c:pt>
                <c:pt idx="24">
                  <c:v>-194</c:v>
                </c:pt>
                <c:pt idx="25">
                  <c:v>771</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a:solidFill>
                <a:srgbClr val="00B0F0"/>
              </a:solidFill>
            </a:ln>
          </c:spPr>
          <c:marker>
            <c:symbol val="none"/>
          </c:marker>
          <c:cat>
            <c:strRef>
              <c:f>Model!$C$1:$AB$1</c:f>
              <c:strCache>
                <c:ptCount val="25"/>
                <c:pt idx="0">
                  <c:v>Q1 2020</c:v>
                </c:pt>
                <c:pt idx="4">
                  <c:v>Q1 2021</c:v>
                </c:pt>
                <c:pt idx="8">
                  <c:v>Q1 2022</c:v>
                </c:pt>
                <c:pt idx="12">
                  <c:v>Q1 2023</c:v>
                </c:pt>
                <c:pt idx="16">
                  <c:v>Q1 2024</c:v>
                </c:pt>
                <c:pt idx="20">
                  <c:v>Q1 2025</c:v>
                </c:pt>
                <c:pt idx="24">
                  <c:v>Q1 2026</c:v>
                </c:pt>
              </c:strCache>
            </c:strRef>
          </c:cat>
          <c:val>
            <c:numRef>
              <c:f>Model!$C$34:$AB$34</c:f>
              <c:numCache>
                <c:formatCode>General</c:formatCode>
                <c:ptCount val="26"/>
                <c:pt idx="0">
                  <c:v>4626</c:v>
                </c:pt>
                <c:pt idx="1">
                  <c:v>4445</c:v>
                </c:pt>
                <c:pt idx="2">
                  <c:v>4463</c:v>
                </c:pt>
                <c:pt idx="3">
                  <c:v>4660</c:v>
                </c:pt>
                <c:pt idx="4">
                  <c:v>4567</c:v>
                </c:pt>
                <c:pt idx="5">
                  <c:v>4668</c:v>
                </c:pt>
                <c:pt idx="6">
                  <c:v>4229</c:v>
                </c:pt>
                <c:pt idx="7">
                  <c:v>4350</c:v>
                </c:pt>
                <c:pt idx="8">
                  <c:v>4103</c:v>
                </c:pt>
                <c:pt idx="9">
                  <c:v>4135</c:v>
                </c:pt>
                <c:pt idx="10">
                  <c:v>4246</c:v>
                </c:pt>
                <c:pt idx="11">
                  <c:v>4578</c:v>
                </c:pt>
                <c:pt idx="12">
                  <c:v>4471</c:v>
                </c:pt>
                <c:pt idx="13">
                  <c:v>4693</c:v>
                </c:pt>
                <c:pt idx="14">
                  <c:v>4915</c:v>
                </c:pt>
                <c:pt idx="15">
                  <c:v>5340</c:v>
                </c:pt>
                <c:pt idx="16">
                  <c:v>5211</c:v>
                </c:pt>
                <c:pt idx="17">
                  <c:v>5299</c:v>
                </c:pt>
                <c:pt idx="18">
                  <c:v>5292</c:v>
                </c:pt>
                <c:pt idx="19">
                  <c:v>5523</c:v>
                </c:pt>
                <c:pt idx="20">
                  <c:v>5132</c:v>
                </c:pt>
                <c:pt idx="21">
                  <c:v>5426</c:v>
                </c:pt>
                <c:pt idx="22">
                  <c:v>5659</c:v>
                </c:pt>
                <c:pt idx="23">
                  <c:v>5648</c:v>
                </c:pt>
                <c:pt idx="24">
                  <c:v>5744</c:v>
                </c:pt>
                <c:pt idx="25">
                  <c:v>5881</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(LHX) 1-Day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Analysis'!$Q$209</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Analysis'!$Q$211:$Q$295</c:f>
              <c:numCache>
                <c:formatCode>0.00%</c:formatCode>
                <c:ptCount val="85"/>
                <c:pt idx="0">
                  <c:v>-4.200000000000003E-2</c:v>
                </c:pt>
                <c:pt idx="1">
                  <c:v>-4.1000000000000029E-2</c:v>
                </c:pt>
                <c:pt idx="2">
                  <c:v>-4.0000000000000029E-2</c:v>
                </c:pt>
                <c:pt idx="3">
                  <c:v>-3.9000000000000028E-2</c:v>
                </c:pt>
                <c:pt idx="4">
                  <c:v>-3.8000000000000027E-2</c:v>
                </c:pt>
                <c:pt idx="5">
                  <c:v>-3.7000000000000026E-2</c:v>
                </c:pt>
                <c:pt idx="6">
                  <c:v>-3.6000000000000025E-2</c:v>
                </c:pt>
                <c:pt idx="7">
                  <c:v>-3.5000000000000024E-2</c:v>
                </c:pt>
                <c:pt idx="8">
                  <c:v>-3.4000000000000023E-2</c:v>
                </c:pt>
                <c:pt idx="9">
                  <c:v>-3.3000000000000022E-2</c:v>
                </c:pt>
                <c:pt idx="10">
                  <c:v>-3.2000000000000021E-2</c:v>
                </c:pt>
                <c:pt idx="11">
                  <c:v>-3.1000000000000021E-2</c:v>
                </c:pt>
                <c:pt idx="12">
                  <c:v>-3.000000000000002E-2</c:v>
                </c:pt>
                <c:pt idx="13">
                  <c:v>-2.9000000000000019E-2</c:v>
                </c:pt>
                <c:pt idx="14">
                  <c:v>-2.8000000000000018E-2</c:v>
                </c:pt>
                <c:pt idx="15">
                  <c:v>-2.7000000000000017E-2</c:v>
                </c:pt>
                <c:pt idx="16">
                  <c:v>-2.6000000000000016E-2</c:v>
                </c:pt>
                <c:pt idx="17">
                  <c:v>-2.5000000000000015E-2</c:v>
                </c:pt>
                <c:pt idx="18">
                  <c:v>-2.4000000000000014E-2</c:v>
                </c:pt>
                <c:pt idx="19">
                  <c:v>-2.3000000000000013E-2</c:v>
                </c:pt>
                <c:pt idx="20">
                  <c:v>-2.2000000000000013E-2</c:v>
                </c:pt>
                <c:pt idx="21">
                  <c:v>-2.1000000000000012E-2</c:v>
                </c:pt>
                <c:pt idx="22">
                  <c:v>-2.0000000000000011E-2</c:v>
                </c:pt>
                <c:pt idx="23">
                  <c:v>-1.900000000000001E-2</c:v>
                </c:pt>
                <c:pt idx="24">
                  <c:v>-1.8000000000000009E-2</c:v>
                </c:pt>
                <c:pt idx="25">
                  <c:v>-1.7000000000000008E-2</c:v>
                </c:pt>
                <c:pt idx="26">
                  <c:v>-1.6000000000000007E-2</c:v>
                </c:pt>
                <c:pt idx="27">
                  <c:v>-1.5000000000000006E-2</c:v>
                </c:pt>
                <c:pt idx="28">
                  <c:v>-1.4000000000000005E-2</c:v>
                </c:pt>
                <c:pt idx="29">
                  <c:v>-1.3000000000000005E-2</c:v>
                </c:pt>
                <c:pt idx="30">
                  <c:v>-1.2000000000000004E-2</c:v>
                </c:pt>
                <c:pt idx="31">
                  <c:v>-1.1000000000000003E-2</c:v>
                </c:pt>
                <c:pt idx="32">
                  <c:v>-1.0000000000000002E-2</c:v>
                </c:pt>
                <c:pt idx="33">
                  <c:v>-9.0000000000000011E-3</c:v>
                </c:pt>
                <c:pt idx="34">
                  <c:v>-8.0000000000000002E-3</c:v>
                </c:pt>
                <c:pt idx="35">
                  <c:v>-7.0000000000000001E-3</c:v>
                </c:pt>
                <c:pt idx="36">
                  <c:v>-6.0000000000000001E-3</c:v>
                </c:pt>
                <c:pt idx="37">
                  <c:v>-5.0000000000000001E-3</c:v>
                </c:pt>
                <c:pt idx="38">
                  <c:v>-4.0000000000000001E-3</c:v>
                </c:pt>
                <c:pt idx="39">
                  <c:v>-3.0000000000000001E-3</c:v>
                </c:pt>
                <c:pt idx="40">
                  <c:v>-2E-3</c:v>
                </c:pt>
                <c:pt idx="41">
                  <c:v>-1E-3</c:v>
                </c:pt>
                <c:pt idx="42">
                  <c:v>0</c:v>
                </c:pt>
                <c:pt idx="43">
                  <c:v>1E-3</c:v>
                </c:pt>
                <c:pt idx="44">
                  <c:v>2E-3</c:v>
                </c:pt>
                <c:pt idx="45">
                  <c:v>3.0000000000000001E-3</c:v>
                </c:pt>
                <c:pt idx="46">
                  <c:v>4.0000000000000001E-3</c:v>
                </c:pt>
                <c:pt idx="47">
                  <c:v>5.0000000000000001E-3</c:v>
                </c:pt>
                <c:pt idx="48">
                  <c:v>6.0000000000000001E-3</c:v>
                </c:pt>
                <c:pt idx="49">
                  <c:v>7.0000000000000001E-3</c:v>
                </c:pt>
                <c:pt idx="50">
                  <c:v>8.0000000000000002E-3</c:v>
                </c:pt>
                <c:pt idx="51">
                  <c:v>9.0000000000000011E-3</c:v>
                </c:pt>
                <c:pt idx="52">
                  <c:v>1.0000000000000002E-2</c:v>
                </c:pt>
                <c:pt idx="53">
                  <c:v>1.1000000000000003E-2</c:v>
                </c:pt>
                <c:pt idx="54">
                  <c:v>1.2000000000000004E-2</c:v>
                </c:pt>
                <c:pt idx="55">
                  <c:v>1.3000000000000005E-2</c:v>
                </c:pt>
                <c:pt idx="56">
                  <c:v>1.4000000000000005E-2</c:v>
                </c:pt>
                <c:pt idx="57">
                  <c:v>1.5000000000000006E-2</c:v>
                </c:pt>
                <c:pt idx="58">
                  <c:v>1.6000000000000007E-2</c:v>
                </c:pt>
                <c:pt idx="59">
                  <c:v>1.7000000000000008E-2</c:v>
                </c:pt>
                <c:pt idx="60">
                  <c:v>1.8000000000000009E-2</c:v>
                </c:pt>
                <c:pt idx="61">
                  <c:v>1.900000000000001E-2</c:v>
                </c:pt>
                <c:pt idx="62">
                  <c:v>2.0000000000000011E-2</c:v>
                </c:pt>
                <c:pt idx="63">
                  <c:v>2.1000000000000012E-2</c:v>
                </c:pt>
                <c:pt idx="64">
                  <c:v>2.2000000000000013E-2</c:v>
                </c:pt>
                <c:pt idx="65">
                  <c:v>2.3000000000000013E-2</c:v>
                </c:pt>
                <c:pt idx="66">
                  <c:v>2.4000000000000014E-2</c:v>
                </c:pt>
                <c:pt idx="67">
                  <c:v>2.5000000000000015E-2</c:v>
                </c:pt>
                <c:pt idx="68">
                  <c:v>2.6000000000000016E-2</c:v>
                </c:pt>
                <c:pt idx="69">
                  <c:v>2.7000000000000017E-2</c:v>
                </c:pt>
                <c:pt idx="70">
                  <c:v>2.8000000000000018E-2</c:v>
                </c:pt>
                <c:pt idx="71">
                  <c:v>2.9000000000000019E-2</c:v>
                </c:pt>
                <c:pt idx="72">
                  <c:v>3.000000000000002E-2</c:v>
                </c:pt>
                <c:pt idx="73">
                  <c:v>3.1000000000000021E-2</c:v>
                </c:pt>
                <c:pt idx="74">
                  <c:v>3.2000000000000021E-2</c:v>
                </c:pt>
                <c:pt idx="75">
                  <c:v>3.3000000000000022E-2</c:v>
                </c:pt>
                <c:pt idx="76">
                  <c:v>3.4000000000000023E-2</c:v>
                </c:pt>
                <c:pt idx="77">
                  <c:v>3.5000000000000024E-2</c:v>
                </c:pt>
                <c:pt idx="78">
                  <c:v>3.6000000000000025E-2</c:v>
                </c:pt>
                <c:pt idx="79">
                  <c:v>3.7000000000000026E-2</c:v>
                </c:pt>
                <c:pt idx="80">
                  <c:v>3.8000000000000027E-2</c:v>
                </c:pt>
                <c:pt idx="81">
                  <c:v>3.9000000000000028E-2</c:v>
                </c:pt>
                <c:pt idx="82">
                  <c:v>4.0000000000000029E-2</c:v>
                </c:pt>
                <c:pt idx="83">
                  <c:v>4.1000000000000029E-2</c:v>
                </c:pt>
                <c:pt idx="84">
                  <c:v>4.200000000000003E-2</c:v>
                </c:pt>
              </c:numCache>
            </c:numRef>
          </c:xVal>
          <c:yVal>
            <c:numRef>
              <c:f>'Notes | Quant Analysis'!$R$211:$R$295</c:f>
              <c:numCache>
                <c:formatCode>General</c:formatCode>
                <c:ptCount val="85"/>
                <c:pt idx="0">
                  <c:v>4</c:v>
                </c:pt>
                <c:pt idx="1">
                  <c:v>1</c:v>
                </c:pt>
                <c:pt idx="2">
                  <c:v>0</c:v>
                </c:pt>
                <c:pt idx="3">
                  <c:v>0</c:v>
                </c:pt>
                <c:pt idx="4">
                  <c:v>1</c:v>
                </c:pt>
                <c:pt idx="5">
                  <c:v>3</c:v>
                </c:pt>
                <c:pt idx="6">
                  <c:v>0</c:v>
                </c:pt>
                <c:pt idx="7">
                  <c:v>0</c:v>
                </c:pt>
                <c:pt idx="8">
                  <c:v>3</c:v>
                </c:pt>
                <c:pt idx="9">
                  <c:v>1</c:v>
                </c:pt>
                <c:pt idx="10">
                  <c:v>1</c:v>
                </c:pt>
                <c:pt idx="11">
                  <c:v>1</c:v>
                </c:pt>
                <c:pt idx="12">
                  <c:v>0</c:v>
                </c:pt>
                <c:pt idx="13">
                  <c:v>3</c:v>
                </c:pt>
                <c:pt idx="14">
                  <c:v>2</c:v>
                </c:pt>
                <c:pt idx="15">
                  <c:v>4</c:v>
                </c:pt>
                <c:pt idx="16">
                  <c:v>2</c:v>
                </c:pt>
                <c:pt idx="17">
                  <c:v>3</c:v>
                </c:pt>
                <c:pt idx="18">
                  <c:v>1</c:v>
                </c:pt>
                <c:pt idx="19">
                  <c:v>3</c:v>
                </c:pt>
                <c:pt idx="20">
                  <c:v>2</c:v>
                </c:pt>
                <c:pt idx="21">
                  <c:v>6</c:v>
                </c:pt>
                <c:pt idx="22">
                  <c:v>8</c:v>
                </c:pt>
                <c:pt idx="23">
                  <c:v>3</c:v>
                </c:pt>
                <c:pt idx="24">
                  <c:v>4</c:v>
                </c:pt>
                <c:pt idx="25">
                  <c:v>6</c:v>
                </c:pt>
                <c:pt idx="26">
                  <c:v>13</c:v>
                </c:pt>
                <c:pt idx="27">
                  <c:v>7</c:v>
                </c:pt>
                <c:pt idx="28">
                  <c:v>10</c:v>
                </c:pt>
                <c:pt idx="29">
                  <c:v>9</c:v>
                </c:pt>
                <c:pt idx="30">
                  <c:v>12</c:v>
                </c:pt>
                <c:pt idx="31">
                  <c:v>22</c:v>
                </c:pt>
                <c:pt idx="32">
                  <c:v>14</c:v>
                </c:pt>
                <c:pt idx="33">
                  <c:v>21</c:v>
                </c:pt>
                <c:pt idx="34">
                  <c:v>27</c:v>
                </c:pt>
                <c:pt idx="35">
                  <c:v>17</c:v>
                </c:pt>
                <c:pt idx="36">
                  <c:v>24</c:v>
                </c:pt>
                <c:pt idx="37">
                  <c:v>20</c:v>
                </c:pt>
                <c:pt idx="38">
                  <c:v>18</c:v>
                </c:pt>
                <c:pt idx="39">
                  <c:v>29</c:v>
                </c:pt>
                <c:pt idx="40">
                  <c:v>29</c:v>
                </c:pt>
                <c:pt idx="41">
                  <c:v>26</c:v>
                </c:pt>
                <c:pt idx="42">
                  <c:v>30</c:v>
                </c:pt>
                <c:pt idx="43">
                  <c:v>33</c:v>
                </c:pt>
                <c:pt idx="44">
                  <c:v>25</c:v>
                </c:pt>
                <c:pt idx="45">
                  <c:v>29</c:v>
                </c:pt>
                <c:pt idx="46">
                  <c:v>25</c:v>
                </c:pt>
                <c:pt idx="47">
                  <c:v>21</c:v>
                </c:pt>
                <c:pt idx="48">
                  <c:v>24</c:v>
                </c:pt>
                <c:pt idx="49">
                  <c:v>16</c:v>
                </c:pt>
                <c:pt idx="50">
                  <c:v>20</c:v>
                </c:pt>
                <c:pt idx="51">
                  <c:v>21</c:v>
                </c:pt>
                <c:pt idx="52">
                  <c:v>18</c:v>
                </c:pt>
                <c:pt idx="53">
                  <c:v>13</c:v>
                </c:pt>
                <c:pt idx="54">
                  <c:v>13</c:v>
                </c:pt>
                <c:pt idx="55">
                  <c:v>11</c:v>
                </c:pt>
                <c:pt idx="56">
                  <c:v>8</c:v>
                </c:pt>
                <c:pt idx="57">
                  <c:v>10</c:v>
                </c:pt>
                <c:pt idx="58">
                  <c:v>7</c:v>
                </c:pt>
                <c:pt idx="59">
                  <c:v>7</c:v>
                </c:pt>
                <c:pt idx="60">
                  <c:v>8</c:v>
                </c:pt>
                <c:pt idx="61">
                  <c:v>7</c:v>
                </c:pt>
                <c:pt idx="62">
                  <c:v>2</c:v>
                </c:pt>
                <c:pt idx="63">
                  <c:v>9</c:v>
                </c:pt>
                <c:pt idx="64">
                  <c:v>5</c:v>
                </c:pt>
                <c:pt idx="65">
                  <c:v>6</c:v>
                </c:pt>
                <c:pt idx="66">
                  <c:v>3</c:v>
                </c:pt>
                <c:pt idx="67">
                  <c:v>2</c:v>
                </c:pt>
                <c:pt idx="68">
                  <c:v>1</c:v>
                </c:pt>
                <c:pt idx="69">
                  <c:v>6</c:v>
                </c:pt>
                <c:pt idx="70">
                  <c:v>2</c:v>
                </c:pt>
                <c:pt idx="71">
                  <c:v>0</c:v>
                </c:pt>
                <c:pt idx="72">
                  <c:v>1</c:v>
                </c:pt>
                <c:pt idx="73">
                  <c:v>0</c:v>
                </c:pt>
                <c:pt idx="74">
                  <c:v>1</c:v>
                </c:pt>
                <c:pt idx="75">
                  <c:v>2</c:v>
                </c:pt>
                <c:pt idx="76">
                  <c:v>0</c:v>
                </c:pt>
                <c:pt idx="77">
                  <c:v>0</c:v>
                </c:pt>
                <c:pt idx="78">
                  <c:v>3</c:v>
                </c:pt>
                <c:pt idx="79">
                  <c:v>0</c:v>
                </c:pt>
                <c:pt idx="80">
                  <c:v>0</c:v>
                </c:pt>
                <c:pt idx="81">
                  <c:v>0</c:v>
                </c:pt>
                <c:pt idx="82">
                  <c:v>1</c:v>
                </c:pt>
                <c:pt idx="83">
                  <c:v>1</c:v>
                </c:pt>
                <c:pt idx="84">
                  <c:v>1</c:v>
                </c:pt>
              </c:numCache>
            </c:numRef>
          </c:yVal>
          <c:smooth val="1"/>
          <c:extLst>
            <c:ext xmlns:c16="http://schemas.microsoft.com/office/drawing/2014/chart" uri="{C3380CC4-5D6E-409C-BE32-E72D297353CC}">
              <c16:uniqueId val="{00000000-28C7-4862-86E9-AF862A5BA0AD}"/>
            </c:ext>
          </c:extLst>
        </c:ser>
        <c:ser>
          <c:idx val="1"/>
          <c:order val="1"/>
          <c:tx>
            <c:strRef>
              <c:f>'Notes | Quant Analysis'!$T$209</c:f>
              <c:strCache>
                <c:ptCount val="1"/>
                <c:pt idx="0">
                  <c:v>Distribution Overlay</c:v>
                </c:pt>
              </c:strCache>
            </c:strRef>
          </c:tx>
          <c:spPr>
            <a:ln w="19050" cap="rnd">
              <a:solidFill>
                <a:srgbClr val="FFC000"/>
              </a:solidFill>
              <a:round/>
            </a:ln>
            <a:effectLst/>
          </c:spPr>
          <c:marker>
            <c:symbol val="none"/>
          </c:marker>
          <c:xVal>
            <c:numRef>
              <c:f>'Notes | Quant Analysis'!$T$211:$T$301</c:f>
              <c:numCache>
                <c:formatCode>0.00%</c:formatCode>
                <c:ptCount val="91"/>
                <c:pt idx="0">
                  <c:v>-4.5000000000000033E-2</c:v>
                </c:pt>
                <c:pt idx="1">
                  <c:v>-4.4000000000000032E-2</c:v>
                </c:pt>
                <c:pt idx="2">
                  <c:v>-4.3000000000000031E-2</c:v>
                </c:pt>
                <c:pt idx="3">
                  <c:v>-4.200000000000003E-2</c:v>
                </c:pt>
                <c:pt idx="4">
                  <c:v>-4.1000000000000029E-2</c:v>
                </c:pt>
                <c:pt idx="5">
                  <c:v>-4.0000000000000029E-2</c:v>
                </c:pt>
                <c:pt idx="6">
                  <c:v>-3.9000000000000028E-2</c:v>
                </c:pt>
                <c:pt idx="7">
                  <c:v>-3.8000000000000027E-2</c:v>
                </c:pt>
                <c:pt idx="8">
                  <c:v>-3.7000000000000026E-2</c:v>
                </c:pt>
                <c:pt idx="9">
                  <c:v>-3.6000000000000025E-2</c:v>
                </c:pt>
                <c:pt idx="10">
                  <c:v>-3.5000000000000024E-2</c:v>
                </c:pt>
                <c:pt idx="11">
                  <c:v>-3.4000000000000023E-2</c:v>
                </c:pt>
                <c:pt idx="12">
                  <c:v>-3.3000000000000022E-2</c:v>
                </c:pt>
                <c:pt idx="13">
                  <c:v>-3.2000000000000021E-2</c:v>
                </c:pt>
                <c:pt idx="14">
                  <c:v>-3.1000000000000021E-2</c:v>
                </c:pt>
                <c:pt idx="15">
                  <c:v>-3.000000000000002E-2</c:v>
                </c:pt>
                <c:pt idx="16">
                  <c:v>-2.9000000000000019E-2</c:v>
                </c:pt>
                <c:pt idx="17">
                  <c:v>-2.8000000000000018E-2</c:v>
                </c:pt>
                <c:pt idx="18">
                  <c:v>-2.7000000000000017E-2</c:v>
                </c:pt>
                <c:pt idx="19">
                  <c:v>-2.6000000000000016E-2</c:v>
                </c:pt>
                <c:pt idx="20">
                  <c:v>-2.5000000000000015E-2</c:v>
                </c:pt>
                <c:pt idx="21">
                  <c:v>-2.4000000000000014E-2</c:v>
                </c:pt>
                <c:pt idx="22">
                  <c:v>-2.3000000000000013E-2</c:v>
                </c:pt>
                <c:pt idx="23">
                  <c:v>-2.2000000000000013E-2</c:v>
                </c:pt>
                <c:pt idx="24">
                  <c:v>-2.1000000000000012E-2</c:v>
                </c:pt>
                <c:pt idx="25">
                  <c:v>-2.0000000000000011E-2</c:v>
                </c:pt>
                <c:pt idx="26">
                  <c:v>-1.900000000000001E-2</c:v>
                </c:pt>
                <c:pt idx="27">
                  <c:v>-1.8000000000000009E-2</c:v>
                </c:pt>
                <c:pt idx="28">
                  <c:v>-1.7000000000000008E-2</c:v>
                </c:pt>
                <c:pt idx="29">
                  <c:v>-1.6000000000000007E-2</c:v>
                </c:pt>
                <c:pt idx="30">
                  <c:v>-1.5000000000000006E-2</c:v>
                </c:pt>
                <c:pt idx="31">
                  <c:v>-1.4000000000000005E-2</c:v>
                </c:pt>
                <c:pt idx="32">
                  <c:v>-1.3000000000000005E-2</c:v>
                </c:pt>
                <c:pt idx="33">
                  <c:v>-1.2000000000000004E-2</c:v>
                </c:pt>
                <c:pt idx="34">
                  <c:v>-1.1000000000000003E-2</c:v>
                </c:pt>
                <c:pt idx="35">
                  <c:v>-1.0000000000000002E-2</c:v>
                </c:pt>
                <c:pt idx="36">
                  <c:v>-9.0000000000000011E-3</c:v>
                </c:pt>
                <c:pt idx="37">
                  <c:v>-8.0000000000000002E-3</c:v>
                </c:pt>
                <c:pt idx="38">
                  <c:v>-7.0000000000000001E-3</c:v>
                </c:pt>
                <c:pt idx="39">
                  <c:v>-6.0000000000000001E-3</c:v>
                </c:pt>
                <c:pt idx="40">
                  <c:v>-5.0000000000000001E-3</c:v>
                </c:pt>
                <c:pt idx="41">
                  <c:v>-4.0000000000000001E-3</c:v>
                </c:pt>
                <c:pt idx="42">
                  <c:v>-3.0000000000000001E-3</c:v>
                </c:pt>
                <c:pt idx="43">
                  <c:v>-2E-3</c:v>
                </c:pt>
                <c:pt idx="44">
                  <c:v>-1E-3</c:v>
                </c:pt>
                <c:pt idx="45">
                  <c:v>0</c:v>
                </c:pt>
                <c:pt idx="46">
                  <c:v>1E-3</c:v>
                </c:pt>
                <c:pt idx="47">
                  <c:v>2E-3</c:v>
                </c:pt>
                <c:pt idx="48">
                  <c:v>3.0000000000000001E-3</c:v>
                </c:pt>
                <c:pt idx="49">
                  <c:v>4.0000000000000001E-3</c:v>
                </c:pt>
                <c:pt idx="50">
                  <c:v>5.0000000000000001E-3</c:v>
                </c:pt>
                <c:pt idx="51">
                  <c:v>6.0000000000000001E-3</c:v>
                </c:pt>
                <c:pt idx="52">
                  <c:v>7.0000000000000001E-3</c:v>
                </c:pt>
                <c:pt idx="53">
                  <c:v>8.0000000000000002E-3</c:v>
                </c:pt>
                <c:pt idx="54">
                  <c:v>9.0000000000000011E-3</c:v>
                </c:pt>
                <c:pt idx="55">
                  <c:v>1.0000000000000002E-2</c:v>
                </c:pt>
                <c:pt idx="56">
                  <c:v>1.1000000000000003E-2</c:v>
                </c:pt>
                <c:pt idx="57">
                  <c:v>1.2000000000000004E-2</c:v>
                </c:pt>
                <c:pt idx="58">
                  <c:v>1.3000000000000005E-2</c:v>
                </c:pt>
                <c:pt idx="59">
                  <c:v>1.4000000000000005E-2</c:v>
                </c:pt>
                <c:pt idx="60">
                  <c:v>1.5000000000000006E-2</c:v>
                </c:pt>
                <c:pt idx="61">
                  <c:v>1.6000000000000007E-2</c:v>
                </c:pt>
                <c:pt idx="62">
                  <c:v>1.7000000000000008E-2</c:v>
                </c:pt>
                <c:pt idx="63">
                  <c:v>1.8000000000000009E-2</c:v>
                </c:pt>
                <c:pt idx="64">
                  <c:v>1.900000000000001E-2</c:v>
                </c:pt>
                <c:pt idx="65">
                  <c:v>2.0000000000000011E-2</c:v>
                </c:pt>
                <c:pt idx="66">
                  <c:v>2.1000000000000012E-2</c:v>
                </c:pt>
                <c:pt idx="67">
                  <c:v>2.2000000000000013E-2</c:v>
                </c:pt>
                <c:pt idx="68">
                  <c:v>2.3000000000000013E-2</c:v>
                </c:pt>
                <c:pt idx="69">
                  <c:v>2.4000000000000014E-2</c:v>
                </c:pt>
                <c:pt idx="70">
                  <c:v>2.5000000000000015E-2</c:v>
                </c:pt>
                <c:pt idx="71">
                  <c:v>2.6000000000000016E-2</c:v>
                </c:pt>
                <c:pt idx="72">
                  <c:v>2.7000000000000017E-2</c:v>
                </c:pt>
                <c:pt idx="73">
                  <c:v>2.8000000000000018E-2</c:v>
                </c:pt>
                <c:pt idx="74">
                  <c:v>2.9000000000000019E-2</c:v>
                </c:pt>
                <c:pt idx="75">
                  <c:v>3.000000000000002E-2</c:v>
                </c:pt>
                <c:pt idx="76">
                  <c:v>3.1000000000000021E-2</c:v>
                </c:pt>
                <c:pt idx="77">
                  <c:v>3.2000000000000021E-2</c:v>
                </c:pt>
                <c:pt idx="78">
                  <c:v>3.3000000000000022E-2</c:v>
                </c:pt>
                <c:pt idx="79">
                  <c:v>3.4000000000000023E-2</c:v>
                </c:pt>
                <c:pt idx="80">
                  <c:v>3.5000000000000024E-2</c:v>
                </c:pt>
                <c:pt idx="81">
                  <c:v>3.6000000000000025E-2</c:v>
                </c:pt>
                <c:pt idx="82">
                  <c:v>3.7000000000000026E-2</c:v>
                </c:pt>
                <c:pt idx="83">
                  <c:v>3.8000000000000027E-2</c:v>
                </c:pt>
                <c:pt idx="84">
                  <c:v>3.9000000000000028E-2</c:v>
                </c:pt>
                <c:pt idx="85">
                  <c:v>4.0000000000000029E-2</c:v>
                </c:pt>
                <c:pt idx="86">
                  <c:v>4.1000000000000029E-2</c:v>
                </c:pt>
                <c:pt idx="87">
                  <c:v>4.200000000000003E-2</c:v>
                </c:pt>
                <c:pt idx="88">
                  <c:v>4.3000000000000031E-2</c:v>
                </c:pt>
                <c:pt idx="89">
                  <c:v>4.4000000000000032E-2</c:v>
                </c:pt>
                <c:pt idx="90">
                  <c:v>4.5000000000000033E-2</c:v>
                </c:pt>
              </c:numCache>
            </c:numRef>
          </c:xVal>
          <c:yVal>
            <c:numRef>
              <c:f>'Notes | Quant Analysis'!$U$211:$U$301</c:f>
              <c:numCache>
                <c:formatCode>General</c:formatCode>
                <c:ptCount val="91"/>
                <c:pt idx="0">
                  <c:v>0.12192178128524767</c:v>
                </c:pt>
                <c:pt idx="1">
                  <c:v>0.15575902031641795</c:v>
                </c:pt>
                <c:pt idx="2">
                  <c:v>0.1978799727340067</c:v>
                </c:pt>
                <c:pt idx="3">
                  <c:v>0.24999262908897674</c:v>
                </c:pt>
                <c:pt idx="4">
                  <c:v>0.3140720527647789</c:v>
                </c:pt>
                <c:pt idx="5">
                  <c:v>0.39238112620713478</c:v>
                </c:pt>
                <c:pt idx="6">
                  <c:v>0.48748768928444158</c:v>
                </c:pt>
                <c:pt idx="7">
                  <c:v>0.60227650744275729</c:v>
                </c:pt>
                <c:pt idx="8">
                  <c:v>0.73995433860851878</c:v>
                </c:pt>
                <c:pt idx="9">
                  <c:v>0.90404624302077297</c:v>
                </c:pt>
                <c:pt idx="10">
                  <c:v>1.0983812170384721</c:v>
                </c:pt>
                <c:pt idx="11">
                  <c:v>1.327065248628061</c:v>
                </c:pt>
                <c:pt idx="12">
                  <c:v>1.5944400061999207</c:v>
                </c:pt>
                <c:pt idx="13">
                  <c:v>1.9050255992511251</c:v>
                </c:pt>
                <c:pt idx="14">
                  <c:v>2.2634462009335778</c:v>
                </c:pt>
                <c:pt idx="15">
                  <c:v>2.6743378062102567</c:v>
                </c:pt>
                <c:pt idx="16">
                  <c:v>3.1422380151309985</c:v>
                </c:pt>
                <c:pt idx="17">
                  <c:v>3.6714584714617176</c:v>
                </c:pt>
                <c:pt idx="18">
                  <c:v>4.265941435948001</c:v>
                </c:pt>
                <c:pt idx="19">
                  <c:v>4.9291029047779444</c:v>
                </c:pt>
                <c:pt idx="20">
                  <c:v>5.6636656615640533</c:v>
                </c:pt>
                <c:pt idx="21">
                  <c:v>6.4714866306117296</c:v>
                </c:pt>
                <c:pt idx="22">
                  <c:v>7.3533838280001191</c:v>
                </c:pt>
                <c:pt idx="23">
                  <c:v>8.3089690272680681</c:v>
                </c:pt>
                <c:pt idx="24">
                  <c:v>9.3364929079795207</c:v>
                </c:pt>
                <c:pt idx="25">
                  <c:v>10.432709878905516</c:v>
                </c:pt>
                <c:pt idx="26">
                  <c:v>11.592769908838184</c:v>
                </c:pt>
                <c:pt idx="27">
                  <c:v>12.81014451226279</c:v>
                </c:pt>
                <c:pt idx="28">
                  <c:v>14.076593492787289</c:v>
                </c:pt>
                <c:pt idx="29">
                  <c:v>15.382178130030439</c:v>
                </c:pt>
                <c:pt idx="30">
                  <c:v>16.715325211375148</c:v>
                </c:pt>
                <c:pt idx="31">
                  <c:v>18.062944686405629</c:v>
                </c:pt>
                <c:pt idx="32">
                  <c:v>19.410601809384453</c:v>
                </c:pt>
                <c:pt idx="33">
                  <c:v>20.742742505904207</c:v>
                </c:pt>
                <c:pt idx="34">
                  <c:v>22.042968445161385</c:v>
                </c:pt>
                <c:pt idx="35">
                  <c:v>23.294356025542758</c:v>
                </c:pt>
                <c:pt idx="36">
                  <c:v>24.479811304413829</c:v>
                </c:pt>
                <c:pt idx="37">
                  <c:v>25.58245094224359</c:v>
                </c:pt>
                <c:pt idx="38">
                  <c:v>26.585997601369563</c:v>
                </c:pt>
                <c:pt idx="39">
                  <c:v>27.475177043999917</c:v>
                </c:pt>
                <c:pt idx="40">
                  <c:v>28.236103496831369</c:v>
                </c:pt>
                <c:pt idx="41">
                  <c:v>28.856639750204661</c:v>
                </c:pt>
                <c:pt idx="42">
                  <c:v>29.326718967314321</c:v>
                </c:pt>
                <c:pt idx="43">
                  <c:v>29.638616289878048</c:v>
                </c:pt>
                <c:pt idx="44">
                  <c:v>29.787160003080363</c:v>
                </c:pt>
                <c:pt idx="45">
                  <c:v>29.769874194044213</c:v>
                </c:pt>
                <c:pt idx="46">
                  <c:v>29.587047404867636</c:v>
                </c:pt>
                <c:pt idx="47">
                  <c:v>29.241724620066041</c:v>
                </c:pt>
                <c:pt idx="48">
                  <c:v>28.739622899345346</c:v>
                </c:pt>
                <c:pt idx="49">
                  <c:v>28.08897392223172</c:v>
                </c:pt>
                <c:pt idx="50">
                  <c:v>27.300299504376074</c:v>
                </c:pt>
                <c:pt idx="51">
                  <c:v>26.386128639351735</c:v>
                </c:pt>
                <c:pt idx="52">
                  <c:v>25.360666695518582</c:v>
                </c:pt>
                <c:pt idx="53">
                  <c:v>24.239428961031564</c:v>
                </c:pt>
                <c:pt idx="54">
                  <c:v>23.038851717423722</c:v>
                </c:pt>
                <c:pt idx="55">
                  <c:v>21.775894402667053</c:v>
                </c:pt>
                <c:pt idx="56">
                  <c:v>20.467646201479173</c:v>
                </c:pt>
                <c:pt idx="57">
                  <c:v>19.130949609747812</c:v>
                </c:pt>
                <c:pt idx="58">
                  <c:v>17.782052226235791</c:v>
                </c:pt>
                <c:pt idx="59">
                  <c:v>16.436296317045745</c:v>
                </c:pt>
                <c:pt idx="60">
                  <c:v>15.107853682901061</c:v>
                </c:pt>
                <c:pt idx="61">
                  <c:v>13.809511152511178</c:v>
                </c:pt>
                <c:pt idx="62">
                  <c:v>12.55250974616871</c:v>
                </c:pt>
                <c:pt idx="63">
                  <c:v>11.346438316806447</c:v>
                </c:pt>
                <c:pt idx="64">
                  <c:v>10.199180384684709</c:v>
                </c:pt>
                <c:pt idx="65">
                  <c:v>9.1169110242736391</c:v>
                </c:pt>
                <c:pt idx="66">
                  <c:v>8.104139105494724</c:v>
                </c:pt>
                <c:pt idx="67">
                  <c:v>7.1637889820297227</c:v>
                </c:pt>
                <c:pt idx="68">
                  <c:v>6.2973148800160512</c:v>
                </c:pt>
                <c:pt idx="69">
                  <c:v>5.5048407725195094</c:v>
                </c:pt>
                <c:pt idx="70">
                  <c:v>4.7853184105338595</c:v>
                </c:pt>
                <c:pt idx="71">
                  <c:v>4.1366963853165002</c:v>
                </c:pt>
                <c:pt idx="72">
                  <c:v>3.5560935724676086</c:v>
                </c:pt>
                <c:pt idx="73">
                  <c:v>3.039970999732541</c:v>
                </c:pt>
                <c:pt idx="74">
                  <c:v>2.5842970282814357</c:v>
                </c:pt>
                <c:pt idx="75">
                  <c:v>2.1847016811459903</c:v>
                </c:pt>
                <c:pt idx="76">
                  <c:v>1.8366169356797168</c:v>
                </c:pt>
                <c:pt idx="77">
                  <c:v>1.5354007683998163</c:v>
                </c:pt>
                <c:pt idx="78">
                  <c:v>1.2764436573732276</c:v>
                </c:pt>
                <c:pt idx="79">
                  <c:v>1.0552570756407125</c:v>
                </c:pt>
                <c:pt idx="80">
                  <c:v>0.86754422494934191</c:v>
                </c:pt>
                <c:pt idx="81">
                  <c:v>0.70925384773585487</c:v>
                </c:pt>
                <c:pt idx="82">
                  <c:v>0.57661841113090784</c:v>
                </c:pt>
                <c:pt idx="83">
                  <c:v>0.46617828166631148</c:v>
                </c:pt>
                <c:pt idx="84">
                  <c:v>0.37479371155035718</c:v>
                </c:pt>
                <c:pt idx="85">
                  <c:v>0.2996465497281755</c:v>
                </c:pt>
                <c:pt idx="86">
                  <c:v>0.23823358951845935</c:v>
                </c:pt>
                <c:pt idx="87">
                  <c:v>0.18835338716165567</c:v>
                </c:pt>
                <c:pt idx="88">
                  <c:v>0.14808825027633418</c:v>
                </c:pt>
                <c:pt idx="89">
                  <c:v>0.11578291948047104</c:v>
                </c:pt>
                <c:pt idx="90">
                  <c:v>9.0021266284259951E-2</c:v>
                </c:pt>
              </c:numCache>
            </c:numRef>
          </c:yVal>
          <c:smooth val="1"/>
          <c:extLst>
            <c:ext xmlns:c16="http://schemas.microsoft.com/office/drawing/2014/chart" uri="{C3380CC4-5D6E-409C-BE32-E72D297353CC}">
              <c16:uniqueId val="{00000001-28C7-4862-86E9-AF862A5BA0AD}"/>
            </c:ext>
          </c:extLst>
        </c:ser>
        <c:ser>
          <c:idx val="2"/>
          <c:order val="2"/>
          <c:tx>
            <c:strRef>
              <c:f>'Notes | Quant Analysis'!$W$211</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6.1468492515614592E-2"/>
                  <c:y val="-2.710311369886071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471643418293129"/>
                      <c:h val="7.7448366460932602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Analysis'!$X$211:$X$212</c:f>
              <c:numCache>
                <c:formatCode>0.00%</c:formatCode>
                <c:ptCount val="2"/>
                <c:pt idx="0">
                  <c:v>-6.0403240662537964E-4</c:v>
                </c:pt>
                <c:pt idx="1">
                  <c:v>-6.0403240662537964E-4</c:v>
                </c:pt>
              </c:numCache>
            </c:numRef>
          </c:xVal>
          <c:yVal>
            <c:numRef>
              <c:f>'Notes | Quant Analysis'!$Y$211:$Y$212</c:f>
              <c:numCache>
                <c:formatCode>General</c:formatCode>
                <c:ptCount val="2"/>
                <c:pt idx="0">
                  <c:v>0</c:v>
                </c:pt>
                <c:pt idx="1">
                  <c:v>29.75</c:v>
                </c:pt>
              </c:numCache>
            </c:numRef>
          </c:yVal>
          <c:smooth val="1"/>
          <c:extLst>
            <c:ext xmlns:c16="http://schemas.microsoft.com/office/drawing/2014/chart" uri="{C3380CC4-5D6E-409C-BE32-E72D297353CC}">
              <c16:uniqueId val="{00000004-28C7-4862-86E9-AF862A5BA0AD}"/>
            </c:ext>
          </c:extLst>
        </c:ser>
        <c:ser>
          <c:idx val="3"/>
          <c:order val="3"/>
          <c:tx>
            <c:strRef>
              <c:f>'Notes | Quant Analysis'!$W$213</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5.3471809997483709E-2"/>
                  <c:y val="-2.937691163859859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Analysis'!$X$213:$X$214</c:f>
              <c:numCache>
                <c:formatCode>0.00%</c:formatCode>
                <c:ptCount val="2"/>
                <c:pt idx="0">
                  <c:v>-4.0765747357711692E-2</c:v>
                </c:pt>
                <c:pt idx="1">
                  <c:v>-4.0765747357711692E-2</c:v>
                </c:pt>
              </c:numCache>
            </c:numRef>
          </c:xVal>
          <c:yVal>
            <c:numRef>
              <c:f>'Notes | Quant Analysis'!$Y$213:$Y$214</c:f>
              <c:numCache>
                <c:formatCode>General</c:formatCode>
                <c:ptCount val="2"/>
                <c:pt idx="0">
                  <c:v>0</c:v>
                </c:pt>
                <c:pt idx="1">
                  <c:v>2</c:v>
                </c:pt>
              </c:numCache>
            </c:numRef>
          </c:yVal>
          <c:smooth val="1"/>
          <c:extLst>
            <c:ext xmlns:c16="http://schemas.microsoft.com/office/drawing/2014/chart" uri="{C3380CC4-5D6E-409C-BE32-E72D297353CC}">
              <c16:uniqueId val="{00000007-28C7-4862-86E9-AF862A5BA0AD}"/>
            </c:ext>
          </c:extLst>
        </c:ser>
        <c:ser>
          <c:idx val="4"/>
          <c:order val="4"/>
          <c:tx>
            <c:strRef>
              <c:f>'Notes | Quant Analysis'!$W$215</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3.739825861686296E-2"/>
                  <c:y val="-6.8775312938889027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Analysis'!$X$215:$X$216</c:f>
              <c:numCache>
                <c:formatCode>0.00%</c:formatCode>
                <c:ptCount val="2"/>
                <c:pt idx="0">
                  <c:v>-2.7378509040682925E-2</c:v>
                </c:pt>
                <c:pt idx="1">
                  <c:v>-2.7378509040682925E-2</c:v>
                </c:pt>
              </c:numCache>
            </c:numRef>
          </c:xVal>
          <c:yVal>
            <c:numRef>
              <c:f>'Notes | Quant Analysis'!$Y$215:$Y$216</c:f>
              <c:numCache>
                <c:formatCode>General</c:formatCode>
                <c:ptCount val="2"/>
                <c:pt idx="0">
                  <c:v>0</c:v>
                </c:pt>
                <c:pt idx="1">
                  <c:v>4</c:v>
                </c:pt>
              </c:numCache>
            </c:numRef>
          </c:yVal>
          <c:smooth val="1"/>
          <c:extLst>
            <c:ext xmlns:c16="http://schemas.microsoft.com/office/drawing/2014/chart" uri="{C3380CC4-5D6E-409C-BE32-E72D297353CC}">
              <c16:uniqueId val="{0000000A-28C7-4862-86E9-AF862A5BA0AD}"/>
            </c:ext>
          </c:extLst>
        </c:ser>
        <c:ser>
          <c:idx val="5"/>
          <c:order val="5"/>
          <c:tx>
            <c:strRef>
              <c:f>'Notes | Quant Analysis'!$W$217</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4.8110558889884046E-2"/>
                  <c:y val="-4.005543568403144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Analysis'!$X$217:$X$218</c:f>
              <c:numCache>
                <c:formatCode>0.00%</c:formatCode>
                <c:ptCount val="2"/>
                <c:pt idx="0">
                  <c:v>-1.3991270723654152E-2</c:v>
                </c:pt>
                <c:pt idx="1">
                  <c:v>-1.3991270723654152E-2</c:v>
                </c:pt>
              </c:numCache>
            </c:numRef>
          </c:xVal>
          <c:yVal>
            <c:numRef>
              <c:f>'Notes | Quant Analysis'!$Y$217:$Y$218</c:f>
              <c:numCache>
                <c:formatCode>General</c:formatCode>
                <c:ptCount val="2"/>
                <c:pt idx="0">
                  <c:v>0</c:v>
                </c:pt>
                <c:pt idx="1">
                  <c:v>18</c:v>
                </c:pt>
              </c:numCache>
            </c:numRef>
          </c:yVal>
          <c:smooth val="1"/>
          <c:extLst>
            <c:ext xmlns:c16="http://schemas.microsoft.com/office/drawing/2014/chart" uri="{C3380CC4-5D6E-409C-BE32-E72D297353CC}">
              <c16:uniqueId val="{0000000D-28C7-4862-86E9-AF862A5BA0AD}"/>
            </c:ext>
          </c:extLst>
        </c:ser>
        <c:ser>
          <c:idx val="6"/>
          <c:order val="6"/>
          <c:tx>
            <c:strRef>
              <c:f>'Notes | Quant Analysis'!$W$219</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4.2560802582794495E-2"/>
                  <c:y val="-4.005543568403144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Analysis'!$X$219:$X$220</c:f>
              <c:numCache>
                <c:formatCode>0.00%</c:formatCode>
                <c:ptCount val="2"/>
                <c:pt idx="0">
                  <c:v>1.2783205910403392E-2</c:v>
                </c:pt>
                <c:pt idx="1">
                  <c:v>1.2783205910403392E-2</c:v>
                </c:pt>
              </c:numCache>
            </c:numRef>
          </c:xVal>
          <c:yVal>
            <c:numRef>
              <c:f>'Notes | Quant Analysis'!$Y$219:$Y$220</c:f>
              <c:numCache>
                <c:formatCode>General</c:formatCode>
                <c:ptCount val="2"/>
                <c:pt idx="0">
                  <c:v>0</c:v>
                </c:pt>
                <c:pt idx="1">
                  <c:v>18</c:v>
                </c:pt>
              </c:numCache>
            </c:numRef>
          </c:yVal>
          <c:smooth val="1"/>
          <c:extLst>
            <c:ext xmlns:c16="http://schemas.microsoft.com/office/drawing/2014/chart" uri="{C3380CC4-5D6E-409C-BE32-E72D297353CC}">
              <c16:uniqueId val="{0000000F-28C7-4862-86E9-AF862A5BA0AD}"/>
            </c:ext>
          </c:extLst>
        </c:ser>
        <c:ser>
          <c:idx val="7"/>
          <c:order val="7"/>
          <c:tx>
            <c:strRef>
              <c:f>'Notes | Quant Analysis'!$W$221</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1034437194905201E-2"/>
                  <c:y val="-6.8922436424287067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Analysis'!$X$221:$X$222</c:f>
              <c:numCache>
                <c:formatCode>0.00%</c:formatCode>
                <c:ptCount val="2"/>
                <c:pt idx="0">
                  <c:v>2.6170444227432164E-2</c:v>
                </c:pt>
                <c:pt idx="1">
                  <c:v>2.6170444227432164E-2</c:v>
                </c:pt>
              </c:numCache>
            </c:numRef>
          </c:xVal>
          <c:yVal>
            <c:numRef>
              <c:f>'Notes | Quant Analysis'!$Y$221:$Y$222</c:f>
              <c:numCache>
                <c:formatCode>General</c:formatCode>
                <c:ptCount val="2"/>
                <c:pt idx="0">
                  <c:v>0</c:v>
                </c:pt>
                <c:pt idx="1">
                  <c:v>4</c:v>
                </c:pt>
              </c:numCache>
            </c:numRef>
          </c:yVal>
          <c:smooth val="1"/>
          <c:extLst>
            <c:ext xmlns:c16="http://schemas.microsoft.com/office/drawing/2014/chart" uri="{C3380CC4-5D6E-409C-BE32-E72D297353CC}">
              <c16:uniqueId val="{00000012-28C7-4862-86E9-AF862A5BA0AD}"/>
            </c:ext>
          </c:extLst>
        </c:ser>
        <c:ser>
          <c:idx val="8"/>
          <c:order val="8"/>
          <c:tx>
            <c:strRef>
              <c:f>'Notes | Quant Analysis'!$W$223</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3.1667232947777527E-2"/>
                  <c:y val="-2.665771622244784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Analysis'!$X$223:$X$224</c:f>
              <c:numCache>
                <c:formatCode>0.00%</c:formatCode>
                <c:ptCount val="2"/>
                <c:pt idx="0">
                  <c:v>3.9557682544460938E-2</c:v>
                </c:pt>
                <c:pt idx="1">
                  <c:v>3.9557682544460938E-2</c:v>
                </c:pt>
              </c:numCache>
            </c:numRef>
          </c:xVal>
          <c:yVal>
            <c:numRef>
              <c:f>'Notes | Quant Analysis'!$Y$223:$Y$224</c:f>
              <c:numCache>
                <c:formatCode>General</c:formatCode>
                <c:ptCount val="2"/>
                <c:pt idx="0">
                  <c:v>0</c:v>
                </c:pt>
                <c:pt idx="1">
                  <c:v>2</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5.000000000000001E-2"/>
          <c:min val="-5.000000000000001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(LHX)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Model!$AI$45:$AN$45</c:f>
              <c:numCache>
                <c:formatCode>0</c:formatCode>
                <c:ptCount val="6"/>
                <c:pt idx="0">
                  <c:v>1088</c:v>
                </c:pt>
                <c:pt idx="1">
                  <c:v>1781</c:v>
                </c:pt>
                <c:pt idx="2">
                  <c:v>1061</c:v>
                </c:pt>
                <c:pt idx="3">
                  <c:v>1198</c:v>
                </c:pt>
                <c:pt idx="4">
                  <c:v>1508</c:v>
                </c:pt>
                <c:pt idx="5">
                  <c:v>1606</c:v>
                </c:pt>
              </c:numCache>
            </c:numRef>
          </c:val>
          <c:extLst>
            <c:ext xmlns:c16="http://schemas.microsoft.com/office/drawing/2014/chart" uri="{C3380CC4-5D6E-409C-BE32-E72D297353CC}">
              <c16:uniqueId val="{00000003-185C-48BA-84D0-EF540439F646}"/>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Model!$AI$95:$AN$95</c:f>
              <c:numCache>
                <c:formatCode>0</c:formatCode>
                <c:ptCount val="6"/>
                <c:pt idx="0">
                  <c:v>2422</c:v>
                </c:pt>
                <c:pt idx="1">
                  <c:v>2345</c:v>
                </c:pt>
                <c:pt idx="2">
                  <c:v>1906</c:v>
                </c:pt>
                <c:pt idx="3">
                  <c:v>1647</c:v>
                </c:pt>
                <c:pt idx="4">
                  <c:v>2151</c:v>
                </c:pt>
                <c:pt idx="5">
                  <c:v>2682</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a:solidFill>
                <a:srgbClr val="00B0F0"/>
              </a:solidFill>
            </a:ln>
          </c:spPr>
          <c:marker>
            <c:symbol val="none"/>
          </c:marker>
          <c:cat>
            <c:numRef>
              <c:f>Model!$AI$3:$AN$3</c:f>
              <c:numCache>
                <c:formatCode>General</c:formatCode>
                <c:ptCount val="6"/>
                <c:pt idx="0">
                  <c:v>2020</c:v>
                </c:pt>
                <c:pt idx="1">
                  <c:v>2021</c:v>
                </c:pt>
                <c:pt idx="2">
                  <c:v>2022</c:v>
                </c:pt>
                <c:pt idx="3">
                  <c:v>2023</c:v>
                </c:pt>
                <c:pt idx="4">
                  <c:v>2024</c:v>
                </c:pt>
                <c:pt idx="5">
                  <c:v>2025</c:v>
                </c:pt>
              </c:numCache>
            </c:numRef>
          </c:cat>
          <c:val>
            <c:numRef>
              <c:f>Model!$AI$34:$AN$34</c:f>
              <c:numCache>
                <c:formatCode>0</c:formatCode>
                <c:ptCount val="6"/>
                <c:pt idx="0">
                  <c:v>18194</c:v>
                </c:pt>
                <c:pt idx="1">
                  <c:v>17814</c:v>
                </c:pt>
                <c:pt idx="2">
                  <c:v>17062</c:v>
                </c:pt>
                <c:pt idx="3">
                  <c:v>19419</c:v>
                </c:pt>
                <c:pt idx="4">
                  <c:v>21325</c:v>
                </c:pt>
                <c:pt idx="5">
                  <c:v>21865</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9525</xdr:colOff>
      <xdr:row>2</xdr:row>
      <xdr:rowOff>22411</xdr:rowOff>
    </xdr:from>
    <xdr:to>
      <xdr:col>8</xdr:col>
      <xdr:colOff>3338</xdr:colOff>
      <xdr:row>8</xdr:row>
      <xdr:rowOff>2400</xdr:rowOff>
    </xdr:to>
    <xdr:pic>
      <xdr:nvPicPr>
        <xdr:cNvPr id="2" name="Picture 1">
          <a:extLst>
            <a:ext uri="{FF2B5EF4-FFF2-40B4-BE49-F238E27FC236}">
              <a16:creationId xmlns:a16="http://schemas.microsoft.com/office/drawing/2014/main" id="{81A5BD76-8470-06C4-64B1-3F09CE72E20B}"/>
            </a:ext>
          </a:extLst>
        </xdr:cNvPr>
        <xdr:cNvPicPr>
          <a:picLocks noChangeAspect="1"/>
        </xdr:cNvPicPr>
      </xdr:nvPicPr>
      <xdr:blipFill>
        <a:blip xmlns:r="http://schemas.openxmlformats.org/officeDocument/2006/relationships" r:embed="rId1"/>
        <a:stretch>
          <a:fillRect/>
        </a:stretch>
      </xdr:blipFill>
      <xdr:spPr>
        <a:xfrm>
          <a:off x="2822201" y="392205"/>
          <a:ext cx="1809166" cy="10533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40</xdr:col>
      <xdr:colOff>0</xdr:colOff>
      <xdr:row>0</xdr:row>
      <xdr:rowOff>0</xdr:rowOff>
    </xdr:from>
    <xdr:to>
      <xdr:col>40</xdr:col>
      <xdr:colOff>0</xdr:colOff>
      <xdr:row>104</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0</xdr:row>
      <xdr:rowOff>0</xdr:rowOff>
    </xdr:from>
    <xdr:to>
      <xdr:col>28</xdr:col>
      <xdr:colOff>0</xdr:colOff>
      <xdr:row>105</xdr:row>
      <xdr:rowOff>152400</xdr:rowOff>
    </xdr:to>
    <xdr:cxnSp macro="">
      <xdr:nvCxnSpPr>
        <xdr:cNvPr id="4" name="Straight Connector 3">
          <a:extLst>
            <a:ext uri="{FF2B5EF4-FFF2-40B4-BE49-F238E27FC236}">
              <a16:creationId xmlns:a16="http://schemas.microsoft.com/office/drawing/2014/main" id="{16530EA0-DD94-4426-85A3-EA6DD962E66F}"/>
            </a:ext>
          </a:extLst>
        </xdr:cNvPr>
        <xdr:cNvCxnSpPr/>
      </xdr:nvCxnSpPr>
      <xdr:spPr>
        <a:xfrm>
          <a:off x="47423294" y="0"/>
          <a:ext cx="0" cy="20726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0</xdr:colOff>
      <xdr:row>68</xdr:row>
      <xdr:rowOff>190499</xdr:rowOff>
    </xdr:from>
    <xdr:to>
      <xdr:col>31</xdr:col>
      <xdr:colOff>0</xdr:colOff>
      <xdr:row>99</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105</xdr:row>
      <xdr:rowOff>0</xdr:rowOff>
    </xdr:from>
    <xdr:to>
      <xdr:col>31</xdr:col>
      <xdr:colOff>0</xdr:colOff>
      <xdr:row>133</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170</xdr:row>
      <xdr:rowOff>0</xdr:rowOff>
    </xdr:from>
    <xdr:to>
      <xdr:col>31</xdr:col>
      <xdr:colOff>0</xdr:colOff>
      <xdr:row>198</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138</xdr:row>
      <xdr:rowOff>0</xdr:rowOff>
    </xdr:from>
    <xdr:to>
      <xdr:col>31</xdr:col>
      <xdr:colOff>0</xdr:colOff>
      <xdr:row>166</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0</xdr:colOff>
      <xdr:row>35</xdr:row>
      <xdr:rowOff>190499</xdr:rowOff>
    </xdr:from>
    <xdr:to>
      <xdr:col>31</xdr:col>
      <xdr:colOff>11206</xdr:colOff>
      <xdr:row>63</xdr:row>
      <xdr:rowOff>179293</xdr:rowOff>
    </xdr:to>
    <xdr:pic>
      <xdr:nvPicPr>
        <xdr:cNvPr id="7" name="Picture 6">
          <a:extLst>
            <a:ext uri="{FF2B5EF4-FFF2-40B4-BE49-F238E27FC236}">
              <a16:creationId xmlns:a16="http://schemas.microsoft.com/office/drawing/2014/main" id="{AD0E4BB5-D741-47B4-9252-A8CAA5DC3230}"/>
            </a:ext>
          </a:extLst>
        </xdr:cNvPr>
        <xdr:cNvPicPr>
          <a:picLocks noChangeAspect="1"/>
        </xdr:cNvPicPr>
      </xdr:nvPicPr>
      <xdr:blipFill>
        <a:blip xmlns:r="http://schemas.openxmlformats.org/officeDocument/2006/relationships" r:embed="rId5"/>
        <a:stretch>
          <a:fillRect/>
        </a:stretch>
      </xdr:blipFill>
      <xdr:spPr>
        <a:xfrm>
          <a:off x="212912" y="6488205"/>
          <a:ext cx="9087970" cy="5020235"/>
        </a:xfrm>
        <a:prstGeom prst="rect">
          <a:avLst/>
        </a:prstGeom>
      </xdr:spPr>
    </xdr:pic>
    <xdr:clientData/>
  </xdr:twoCellAnchor>
  <xdr:twoCellAnchor editAs="oneCell">
    <xdr:from>
      <xdr:col>16</xdr:col>
      <xdr:colOff>11207</xdr:colOff>
      <xdr:row>2</xdr:row>
      <xdr:rowOff>11207</xdr:rowOff>
    </xdr:from>
    <xdr:to>
      <xdr:col>27</xdr:col>
      <xdr:colOff>67235</xdr:colOff>
      <xdr:row>30</xdr:row>
      <xdr:rowOff>168090</xdr:rowOff>
    </xdr:to>
    <xdr:pic>
      <xdr:nvPicPr>
        <xdr:cNvPr id="8" name="Picture 7">
          <a:extLst>
            <a:ext uri="{FF2B5EF4-FFF2-40B4-BE49-F238E27FC236}">
              <a16:creationId xmlns:a16="http://schemas.microsoft.com/office/drawing/2014/main" id="{FDC62297-C72F-85FB-ECD6-3F3A9CCD30AC}"/>
            </a:ext>
          </a:extLst>
        </xdr:cNvPr>
        <xdr:cNvPicPr>
          <a:picLocks noChangeAspect="1"/>
        </xdr:cNvPicPr>
      </xdr:nvPicPr>
      <xdr:blipFill>
        <a:blip xmlns:r="http://schemas.openxmlformats.org/officeDocument/2006/relationships" r:embed="rId6"/>
        <a:stretch>
          <a:fillRect/>
        </a:stretch>
      </xdr:blipFill>
      <xdr:spPr>
        <a:xfrm>
          <a:off x="224119" y="381001"/>
          <a:ext cx="6712322" cy="5177118"/>
        </a:xfrm>
        <a:prstGeom prst="rect">
          <a:avLst/>
        </a:prstGeom>
      </xdr:spPr>
    </xdr:pic>
    <xdr:clientData/>
  </xdr:twoCellAnchor>
  <xdr:twoCellAnchor editAs="oneCell">
    <xdr:from>
      <xdr:col>27</xdr:col>
      <xdr:colOff>11206</xdr:colOff>
      <xdr:row>2</xdr:row>
      <xdr:rowOff>11207</xdr:rowOff>
    </xdr:from>
    <xdr:to>
      <xdr:col>38</xdr:col>
      <xdr:colOff>0</xdr:colOff>
      <xdr:row>31</xdr:row>
      <xdr:rowOff>0</xdr:rowOff>
    </xdr:to>
    <xdr:pic>
      <xdr:nvPicPr>
        <xdr:cNvPr id="10" name="Picture 9">
          <a:extLst>
            <a:ext uri="{FF2B5EF4-FFF2-40B4-BE49-F238E27FC236}">
              <a16:creationId xmlns:a16="http://schemas.microsoft.com/office/drawing/2014/main" id="{728C6893-02A4-7665-F47D-5E7194F2BA3D}"/>
            </a:ext>
          </a:extLst>
        </xdr:cNvPr>
        <xdr:cNvPicPr>
          <a:picLocks noChangeAspect="1"/>
        </xdr:cNvPicPr>
      </xdr:nvPicPr>
      <xdr:blipFill>
        <a:blip xmlns:r="http://schemas.openxmlformats.org/officeDocument/2006/relationships" r:embed="rId7"/>
        <a:stretch>
          <a:fillRect/>
        </a:stretch>
      </xdr:blipFill>
      <xdr:spPr>
        <a:xfrm>
          <a:off x="6880412" y="381001"/>
          <a:ext cx="6645088" cy="51883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www.macrotrends.net/stocks/charts/LHX/l3harris-technologies-inc/income-statement" TargetMode="External"/><Relationship Id="rId2" Type="http://schemas.openxmlformats.org/officeDocument/2006/relationships/hyperlink" Target="https://www.l3harris.com/" TargetMode="External"/><Relationship Id="rId1" Type="http://schemas.openxmlformats.org/officeDocument/2006/relationships/hyperlink" Target="https://app.godelterminal.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57"/>
  <sheetViews>
    <sheetView tabSelected="1" topLeftCell="A12" zoomScale="70" zoomScaleNormal="70" workbookViewId="0">
      <selection activeCell="B35" sqref="B35"/>
    </sheetView>
  </sheetViews>
  <sheetFormatPr defaultColWidth="9.140625" defaultRowHeight="14.25"/>
  <cols>
    <col min="1" max="1" width="3.42578125" style="1" customWidth="1"/>
    <col min="2" max="2" width="9.140625" style="1" customWidth="1"/>
    <col min="3" max="3" width="11.5703125" style="1" customWidth="1"/>
    <col min="4" max="4" width="9.140625" style="1" customWidth="1"/>
    <col min="5" max="16384" width="9.140625" style="1"/>
  </cols>
  <sheetData>
    <row r="2" spans="2:18" ht="15">
      <c r="B2" s="2" t="s">
        <v>139</v>
      </c>
    </row>
    <row r="3" spans="2:18">
      <c r="B3" s="1" t="s">
        <v>0</v>
      </c>
      <c r="C3" s="78">
        <v>254.23</v>
      </c>
      <c r="D3" s="43" t="s">
        <v>141</v>
      </c>
    </row>
    <row r="4" spans="2:18">
      <c r="B4" s="1" t="s">
        <v>1</v>
      </c>
      <c r="C4" s="79">
        <v>186.214</v>
      </c>
      <c r="D4" s="1" t="s">
        <v>142</v>
      </c>
    </row>
    <row r="5" spans="2:18">
      <c r="B5" s="1" t="s">
        <v>2</v>
      </c>
      <c r="C5" s="80">
        <f>C3*C4</f>
        <v>47341.185219999999</v>
      </c>
    </row>
    <row r="6" spans="2:18">
      <c r="B6" s="1" t="s">
        <v>3</v>
      </c>
      <c r="C6" s="80">
        <f>1521</f>
        <v>1521</v>
      </c>
      <c r="D6" s="1" t="s">
        <v>142</v>
      </c>
    </row>
    <row r="7" spans="2:18">
      <c r="B7" s="1" t="s">
        <v>4</v>
      </c>
      <c r="C7" s="80">
        <f>1815+9184</f>
        <v>10999</v>
      </c>
      <c r="D7" s="1" t="s">
        <v>142</v>
      </c>
    </row>
    <row r="8" spans="2:18">
      <c r="B8" s="1" t="s">
        <v>5</v>
      </c>
      <c r="C8" s="80">
        <f>C5-C6+C7</f>
        <v>56819.185219999999</v>
      </c>
    </row>
    <row r="10" spans="2:18" ht="15">
      <c r="B10" s="2" t="s">
        <v>140</v>
      </c>
    </row>
    <row r="12" spans="2:18" ht="15">
      <c r="B12" s="1" t="s">
        <v>150</v>
      </c>
      <c r="F12" s="1" t="s">
        <v>159</v>
      </c>
      <c r="N12" s="1" t="s">
        <v>94</v>
      </c>
      <c r="Q12" s="2"/>
    </row>
    <row r="13" spans="2:18">
      <c r="B13" s="1" t="s">
        <v>151</v>
      </c>
      <c r="F13" s="1" t="s">
        <v>160</v>
      </c>
      <c r="N13" s="1" t="s">
        <v>7</v>
      </c>
      <c r="Q13" s="44" t="s">
        <v>143</v>
      </c>
    </row>
    <row r="14" spans="2:18">
      <c r="B14" s="1" t="s">
        <v>152</v>
      </c>
      <c r="F14" s="1" t="s">
        <v>6</v>
      </c>
      <c r="N14" s="1" t="s">
        <v>98</v>
      </c>
      <c r="Q14" s="44" t="s">
        <v>144</v>
      </c>
    </row>
    <row r="15" spans="2:18">
      <c r="B15" s="1" t="s">
        <v>153</v>
      </c>
      <c r="F15" s="1" t="s">
        <v>91</v>
      </c>
      <c r="O15" s="1" t="s">
        <v>97</v>
      </c>
      <c r="R15" s="44" t="s">
        <v>145</v>
      </c>
    </row>
    <row r="16" spans="2:18">
      <c r="B16" s="1" t="s">
        <v>154</v>
      </c>
      <c r="F16" s="1" t="s">
        <v>85</v>
      </c>
      <c r="G16" s="82" t="s">
        <v>161</v>
      </c>
      <c r="I16" s="1" t="s">
        <v>86</v>
      </c>
      <c r="N16" s="1" t="s">
        <v>88</v>
      </c>
      <c r="Q16" s="44" t="s">
        <v>146</v>
      </c>
    </row>
    <row r="17" spans="1:17">
      <c r="B17" s="1" t="s">
        <v>155</v>
      </c>
      <c r="N17" s="1" t="s">
        <v>89</v>
      </c>
      <c r="Q17" s="44" t="s">
        <v>147</v>
      </c>
    </row>
    <row r="18" spans="1:17">
      <c r="B18" s="1" t="s">
        <v>156</v>
      </c>
      <c r="N18" s="1" t="s">
        <v>99</v>
      </c>
      <c r="Q18" s="44" t="s">
        <v>148</v>
      </c>
    </row>
    <row r="19" spans="1:17">
      <c r="B19" s="1" t="s">
        <v>157</v>
      </c>
      <c r="N19" s="1" t="s">
        <v>100</v>
      </c>
      <c r="Q19" s="44" t="s">
        <v>149</v>
      </c>
    </row>
    <row r="20" spans="1:17">
      <c r="B20" s="1" t="s">
        <v>158</v>
      </c>
      <c r="N20" s="1" t="s">
        <v>8</v>
      </c>
      <c r="Q20" s="44" t="s">
        <v>90</v>
      </c>
    </row>
    <row r="21" spans="1:17">
      <c r="Q21" s="44"/>
    </row>
    <row r="22" spans="1:17" ht="15">
      <c r="A22" s="2" t="s">
        <v>9</v>
      </c>
      <c r="N22" s="2"/>
    </row>
    <row r="23" spans="1:17">
      <c r="B23" s="1" t="s">
        <v>162</v>
      </c>
    </row>
    <row r="24" spans="1:17">
      <c r="B24" s="1" t="s">
        <v>977</v>
      </c>
    </row>
    <row r="25" spans="1:17">
      <c r="C25" s="1" t="s">
        <v>163</v>
      </c>
    </row>
    <row r="26" spans="1:17">
      <c r="C26" s="1" t="s">
        <v>165</v>
      </c>
    </row>
    <row r="27" spans="1:17">
      <c r="C27" s="1" t="s">
        <v>166</v>
      </c>
    </row>
    <row r="28" spans="1:17">
      <c r="D28" s="1" t="s">
        <v>164</v>
      </c>
    </row>
    <row r="29" spans="1:17">
      <c r="B29" s="1" t="s">
        <v>168</v>
      </c>
    </row>
    <row r="30" spans="1:17">
      <c r="B30" s="1" t="s">
        <v>167</v>
      </c>
    </row>
    <row r="32" spans="1:17" ht="15">
      <c r="A32" s="2" t="s">
        <v>92</v>
      </c>
    </row>
    <row r="33" spans="2:8">
      <c r="B33" s="1" t="s">
        <v>978</v>
      </c>
    </row>
    <row r="34" spans="2:8">
      <c r="C34" s="1" t="s">
        <v>979</v>
      </c>
    </row>
    <row r="35" spans="2:8">
      <c r="B35" s="1" t="s">
        <v>977</v>
      </c>
    </row>
    <row r="36" spans="2:8">
      <c r="C36" s="1" t="s">
        <v>980</v>
      </c>
      <c r="G36" s="1" t="s">
        <v>981</v>
      </c>
    </row>
    <row r="37" spans="2:8">
      <c r="G37" s="1" t="s">
        <v>982</v>
      </c>
    </row>
    <row r="38" spans="2:8">
      <c r="G38" s="29" t="s">
        <v>984</v>
      </c>
      <c r="H38" s="1" t="s">
        <v>983</v>
      </c>
    </row>
    <row r="39" spans="2:8">
      <c r="G39" s="29" t="s">
        <v>984</v>
      </c>
      <c r="H39" s="1" t="s">
        <v>985</v>
      </c>
    </row>
    <row r="40" spans="2:8">
      <c r="G40" s="29" t="s">
        <v>984</v>
      </c>
      <c r="H40" s="1" t="s">
        <v>986</v>
      </c>
    </row>
    <row r="41" spans="2:8">
      <c r="G41" s="29" t="s">
        <v>984</v>
      </c>
      <c r="H41" s="1" t="s">
        <v>987</v>
      </c>
    </row>
    <row r="42" spans="2:8">
      <c r="C42" s="1" t="s">
        <v>988</v>
      </c>
      <c r="G42" s="100" t="s">
        <v>989</v>
      </c>
    </row>
    <row r="43" spans="2:8">
      <c r="G43" s="100" t="s">
        <v>990</v>
      </c>
    </row>
    <row r="44" spans="2:8">
      <c r="G44" s="29" t="s">
        <v>984</v>
      </c>
      <c r="H44" s="1" t="s">
        <v>991</v>
      </c>
    </row>
    <row r="45" spans="2:8">
      <c r="G45" s="29" t="s">
        <v>984</v>
      </c>
      <c r="H45" s="1" t="s">
        <v>992</v>
      </c>
    </row>
    <row r="46" spans="2:8">
      <c r="G46" s="29" t="s">
        <v>984</v>
      </c>
      <c r="H46" s="100" t="s">
        <v>993</v>
      </c>
    </row>
    <row r="47" spans="2:8">
      <c r="G47" s="29" t="s">
        <v>984</v>
      </c>
      <c r="H47" s="101" t="s">
        <v>994</v>
      </c>
    </row>
    <row r="48" spans="2:8">
      <c r="C48" s="1" t="s">
        <v>1004</v>
      </c>
      <c r="G48" s="29" t="s">
        <v>984</v>
      </c>
      <c r="H48" s="100" t="s">
        <v>1005</v>
      </c>
    </row>
    <row r="49" spans="3:8">
      <c r="C49" s="1" t="s">
        <v>995</v>
      </c>
      <c r="G49" s="1" t="s">
        <v>996</v>
      </c>
    </row>
    <row r="50" spans="3:8">
      <c r="G50" s="1" t="s">
        <v>997</v>
      </c>
    </row>
    <row r="51" spans="3:8">
      <c r="G51" s="29" t="s">
        <v>984</v>
      </c>
      <c r="H51" s="1" t="s">
        <v>998</v>
      </c>
    </row>
    <row r="52" spans="3:8">
      <c r="G52" s="29" t="s">
        <v>984</v>
      </c>
      <c r="H52" s="1" t="s">
        <v>999</v>
      </c>
    </row>
    <row r="53" spans="3:8">
      <c r="G53" s="29" t="s">
        <v>984</v>
      </c>
      <c r="H53" s="1" t="s">
        <v>1000</v>
      </c>
    </row>
    <row r="54" spans="3:8">
      <c r="G54" s="29" t="s">
        <v>984</v>
      </c>
      <c r="H54" s="1" t="s">
        <v>1001</v>
      </c>
    </row>
    <row r="55" spans="3:8">
      <c r="C55" s="1" t="s">
        <v>1002</v>
      </c>
      <c r="G55" s="1" t="s">
        <v>1003</v>
      </c>
    </row>
    <row r="56" spans="3:8">
      <c r="G56" s="29" t="s">
        <v>984</v>
      </c>
      <c r="H56" s="1" t="s">
        <v>1006</v>
      </c>
    </row>
    <row r="57" spans="3:8">
      <c r="G57" s="29" t="s">
        <v>984</v>
      </c>
      <c r="H57" s="1" t="s">
        <v>1007</v>
      </c>
    </row>
  </sheetData>
  <hyperlinks>
    <hyperlink ref="Q20" r:id="rId1" xr:uid="{14375537-5C3D-4253-9650-337AB6789785}"/>
    <hyperlink ref="Q14" r:id="rId2" xr:uid="{11958458-725E-4946-9BB2-443FF7F16084}"/>
    <hyperlink ref="Q18" r:id="rId3" xr:uid="{10F7AAB6-454B-418B-8465-A986614B64E8}"/>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CY101"/>
  <sheetViews>
    <sheetView zoomScale="85" zoomScaleNormal="85" workbookViewId="0">
      <pane xSplit="2" ySplit="3" topLeftCell="AL4" activePane="bottomRight" state="frozen"/>
      <selection pane="topRight" activeCell="C1" sqref="C1"/>
      <selection pane="bottomLeft" activeCell="A4" sqref="A4"/>
      <selection pane="bottomRight" activeCell="B99" sqref="B99:B101"/>
    </sheetView>
  </sheetViews>
  <sheetFormatPr defaultColWidth="9.140625" defaultRowHeight="14.25"/>
  <cols>
    <col min="1" max="1" width="3.140625" style="1" customWidth="1"/>
    <col min="2" max="2" width="37.140625" style="1" customWidth="1"/>
    <col min="3" max="28" width="9.140625" style="1"/>
    <col min="29" max="30" width="9.140625" style="35"/>
    <col min="31" max="40" width="9.140625" style="1"/>
    <col min="41" max="102" width="9.140625" style="35"/>
    <col min="103" max="16384" width="9.140625" style="1"/>
  </cols>
  <sheetData>
    <row r="1" spans="2:103" ht="15">
      <c r="B1" s="1" t="s">
        <v>50</v>
      </c>
      <c r="C1" s="33" t="s">
        <v>44</v>
      </c>
      <c r="G1" s="33" t="s">
        <v>45</v>
      </c>
      <c r="K1" s="33" t="s">
        <v>46</v>
      </c>
      <c r="O1" s="33" t="s">
        <v>47</v>
      </c>
      <c r="S1" s="33" t="s">
        <v>48</v>
      </c>
      <c r="W1" s="33" t="s">
        <v>49</v>
      </c>
      <c r="AA1" s="33" t="s">
        <v>182</v>
      </c>
    </row>
    <row r="2" spans="2:103">
      <c r="B2" s="1" t="s">
        <v>51</v>
      </c>
    </row>
    <row r="3" spans="2:103" ht="15">
      <c r="B3" s="2" t="s">
        <v>52</v>
      </c>
      <c r="C3" s="2" t="str" cm="1">
        <f t="array" ref="C3:AD3">"Q"&amp;MOD(_xlfn.SEQUENCE(1,28)-1,4)+1&amp;" "&amp;(2020+INT((_xlfn.SEQUENCE(1,28)-1)/4))</f>
        <v>Q1 2020</v>
      </c>
      <c r="D3" s="33" t="str">
        <v>Q2 2020</v>
      </c>
      <c r="E3" s="33" t="str">
        <v>Q3 2020</v>
      </c>
      <c r="F3" s="33" t="str">
        <v>Q4 2020</v>
      </c>
      <c r="G3" s="33" t="str">
        <v>Q1 2021</v>
      </c>
      <c r="H3" s="33" t="str">
        <v>Q2 2021</v>
      </c>
      <c r="I3" s="33" t="str">
        <v>Q3 2021</v>
      </c>
      <c r="J3" s="33" t="str">
        <v>Q4 2021</v>
      </c>
      <c r="K3" s="33" t="str">
        <v>Q1 2022</v>
      </c>
      <c r="L3" s="33" t="str">
        <v>Q2 2022</v>
      </c>
      <c r="M3" s="33" t="str">
        <v>Q3 2022</v>
      </c>
      <c r="N3" s="33" t="str">
        <v>Q4 2022</v>
      </c>
      <c r="O3" s="33" t="str">
        <v>Q1 2023</v>
      </c>
      <c r="P3" s="33" t="str">
        <v>Q2 2023</v>
      </c>
      <c r="Q3" s="33" t="str">
        <v>Q3 2023</v>
      </c>
      <c r="R3" s="33" t="str">
        <v>Q4 2023</v>
      </c>
      <c r="S3" s="33" t="str">
        <v>Q1 2024</v>
      </c>
      <c r="T3" s="33" t="str">
        <v>Q2 2024</v>
      </c>
      <c r="U3" s="33" t="str">
        <v>Q3 2024</v>
      </c>
      <c r="V3" s="33" t="str">
        <v>Q4 2024</v>
      </c>
      <c r="W3" s="33" t="str">
        <v>Q1 2025</v>
      </c>
      <c r="X3" s="33" t="str">
        <v>Q2 2025</v>
      </c>
      <c r="Y3" s="33" t="str">
        <v>Q3 2025</v>
      </c>
      <c r="Z3" s="33" t="str">
        <v>Q4 2025</v>
      </c>
      <c r="AA3" s="33" t="str">
        <v>Q1 2026</v>
      </c>
      <c r="AB3" s="33" t="str">
        <v>Q2 2026</v>
      </c>
      <c r="AC3" s="33" t="str">
        <v>Q3 2026</v>
      </c>
      <c r="AD3" s="33" t="str">
        <v>Q4 2026</v>
      </c>
      <c r="AI3" s="2">
        <v>2020</v>
      </c>
      <c r="AJ3" s="2">
        <f t="shared" ref="AJ3:CJ3" si="0">AI3+1</f>
        <v>2021</v>
      </c>
      <c r="AK3" s="2">
        <f t="shared" si="0"/>
        <v>2022</v>
      </c>
      <c r="AL3" s="2">
        <f t="shared" si="0"/>
        <v>2023</v>
      </c>
      <c r="AM3" s="2">
        <f t="shared" si="0"/>
        <v>2024</v>
      </c>
      <c r="AN3" s="2">
        <f t="shared" si="0"/>
        <v>2025</v>
      </c>
      <c r="AO3" s="34">
        <f>AN3+1</f>
        <v>2026</v>
      </c>
      <c r="AP3" s="34">
        <f t="shared" si="0"/>
        <v>2027</v>
      </c>
      <c r="AQ3" s="34">
        <f t="shared" si="0"/>
        <v>2028</v>
      </c>
      <c r="AR3" s="34">
        <f t="shared" si="0"/>
        <v>2029</v>
      </c>
      <c r="AS3" s="34">
        <f t="shared" si="0"/>
        <v>2030</v>
      </c>
      <c r="AT3" s="34">
        <f t="shared" si="0"/>
        <v>2031</v>
      </c>
      <c r="AU3" s="34">
        <f t="shared" si="0"/>
        <v>2032</v>
      </c>
      <c r="AV3" s="34">
        <f t="shared" si="0"/>
        <v>2033</v>
      </c>
      <c r="AW3" s="34">
        <f t="shared" si="0"/>
        <v>2034</v>
      </c>
      <c r="AX3" s="34">
        <f t="shared" si="0"/>
        <v>2035</v>
      </c>
      <c r="AY3" s="34">
        <f t="shared" si="0"/>
        <v>2036</v>
      </c>
      <c r="AZ3" s="34">
        <f t="shared" si="0"/>
        <v>2037</v>
      </c>
      <c r="BA3" s="34">
        <f t="shared" si="0"/>
        <v>2038</v>
      </c>
      <c r="BB3" s="34">
        <f t="shared" si="0"/>
        <v>2039</v>
      </c>
      <c r="BC3" s="34">
        <f t="shared" si="0"/>
        <v>2040</v>
      </c>
      <c r="BD3" s="34">
        <f t="shared" si="0"/>
        <v>2041</v>
      </c>
      <c r="BE3" s="34">
        <f t="shared" si="0"/>
        <v>2042</v>
      </c>
      <c r="BF3" s="34">
        <f t="shared" si="0"/>
        <v>2043</v>
      </c>
      <c r="BG3" s="34">
        <f t="shared" si="0"/>
        <v>2044</v>
      </c>
      <c r="BH3" s="34">
        <f t="shared" si="0"/>
        <v>2045</v>
      </c>
      <c r="BI3" s="34">
        <f t="shared" si="0"/>
        <v>2046</v>
      </c>
      <c r="BJ3" s="34">
        <f t="shared" si="0"/>
        <v>2047</v>
      </c>
      <c r="BK3" s="34">
        <f t="shared" si="0"/>
        <v>2048</v>
      </c>
      <c r="BL3" s="34">
        <f t="shared" si="0"/>
        <v>2049</v>
      </c>
      <c r="BM3" s="34">
        <f t="shared" si="0"/>
        <v>2050</v>
      </c>
      <c r="BN3" s="34">
        <f t="shared" si="0"/>
        <v>2051</v>
      </c>
      <c r="BO3" s="34">
        <f t="shared" si="0"/>
        <v>2052</v>
      </c>
      <c r="BP3" s="34">
        <f t="shared" si="0"/>
        <v>2053</v>
      </c>
      <c r="BQ3" s="34">
        <f t="shared" si="0"/>
        <v>2054</v>
      </c>
      <c r="BR3" s="34">
        <f t="shared" si="0"/>
        <v>2055</v>
      </c>
      <c r="BS3" s="34">
        <f t="shared" si="0"/>
        <v>2056</v>
      </c>
      <c r="BT3" s="34">
        <f t="shared" si="0"/>
        <v>2057</v>
      </c>
      <c r="BU3" s="34">
        <f t="shared" si="0"/>
        <v>2058</v>
      </c>
      <c r="BV3" s="34">
        <f t="shared" si="0"/>
        <v>2059</v>
      </c>
      <c r="BW3" s="34">
        <f t="shared" si="0"/>
        <v>2060</v>
      </c>
      <c r="BX3" s="34">
        <f t="shared" si="0"/>
        <v>2061</v>
      </c>
      <c r="BY3" s="34">
        <f t="shared" si="0"/>
        <v>2062</v>
      </c>
      <c r="BZ3" s="34">
        <f t="shared" si="0"/>
        <v>2063</v>
      </c>
      <c r="CA3" s="34">
        <f t="shared" si="0"/>
        <v>2064</v>
      </c>
      <c r="CB3" s="34">
        <f t="shared" si="0"/>
        <v>2065</v>
      </c>
      <c r="CC3" s="34">
        <f t="shared" si="0"/>
        <v>2066</v>
      </c>
      <c r="CD3" s="34">
        <f t="shared" si="0"/>
        <v>2067</v>
      </c>
      <c r="CE3" s="34">
        <f t="shared" si="0"/>
        <v>2068</v>
      </c>
      <c r="CF3" s="34">
        <f t="shared" si="0"/>
        <v>2069</v>
      </c>
      <c r="CG3" s="34">
        <f t="shared" si="0"/>
        <v>2070</v>
      </c>
      <c r="CH3" s="34">
        <f t="shared" si="0"/>
        <v>2071</v>
      </c>
      <c r="CI3" s="34">
        <f t="shared" si="0"/>
        <v>2072</v>
      </c>
      <c r="CJ3" s="34">
        <f t="shared" si="0"/>
        <v>2073</v>
      </c>
      <c r="CK3" s="34">
        <f t="shared" ref="CK3:CV3" si="1">CJ3+1</f>
        <v>2074</v>
      </c>
      <c r="CL3" s="34">
        <f t="shared" si="1"/>
        <v>2075</v>
      </c>
      <c r="CM3" s="34">
        <f t="shared" si="1"/>
        <v>2076</v>
      </c>
      <c r="CN3" s="34">
        <f t="shared" si="1"/>
        <v>2077</v>
      </c>
      <c r="CO3" s="34">
        <f t="shared" si="1"/>
        <v>2078</v>
      </c>
      <c r="CP3" s="34">
        <f t="shared" si="1"/>
        <v>2079</v>
      </c>
      <c r="CQ3" s="34">
        <f t="shared" si="1"/>
        <v>2080</v>
      </c>
      <c r="CR3" s="34">
        <f t="shared" si="1"/>
        <v>2081</v>
      </c>
      <c r="CS3" s="34">
        <f t="shared" si="1"/>
        <v>2082</v>
      </c>
      <c r="CT3" s="34">
        <f t="shared" si="1"/>
        <v>2083</v>
      </c>
      <c r="CU3" s="34">
        <f t="shared" si="1"/>
        <v>2084</v>
      </c>
      <c r="CV3" s="34">
        <f t="shared" si="1"/>
        <v>2085</v>
      </c>
      <c r="CW3" s="34"/>
      <c r="CX3" s="34"/>
      <c r="CY3" s="2"/>
    </row>
    <row r="4" spans="2:103">
      <c r="B4" s="36" t="s">
        <v>974</v>
      </c>
      <c r="W4" s="1">
        <v>2411</v>
      </c>
      <c r="X4" s="1">
        <v>2770</v>
      </c>
      <c r="Y4" s="1">
        <f>1462+1700</f>
        <v>3162</v>
      </c>
      <c r="Z4" s="1">
        <f>2995+8357-SUM(W4:Y4)</f>
        <v>3009</v>
      </c>
      <c r="AA4" s="1">
        <v>2990</v>
      </c>
      <c r="AB4" s="1">
        <v>2966</v>
      </c>
      <c r="AN4" s="86">
        <f>SUM(W4:Z4)</f>
        <v>11352</v>
      </c>
      <c r="AO4" s="66">
        <f t="shared" ref="AO4:AX4" si="2">AN4*(1+AO10)</f>
        <v>13054.8</v>
      </c>
      <c r="AP4" s="66">
        <f t="shared" si="2"/>
        <v>14621.376</v>
      </c>
      <c r="AQ4" s="66">
        <f t="shared" si="2"/>
        <v>16229.727360000001</v>
      </c>
      <c r="AR4" s="66">
        <f t="shared" si="2"/>
        <v>17852.700096</v>
      </c>
      <c r="AS4" s="66">
        <f t="shared" si="2"/>
        <v>19459.443104640002</v>
      </c>
      <c r="AT4" s="66">
        <f t="shared" si="2"/>
        <v>21016.198553011203</v>
      </c>
      <c r="AU4" s="66">
        <f t="shared" si="2"/>
        <v>22487.332451721988</v>
      </c>
      <c r="AV4" s="66">
        <f t="shared" si="2"/>
        <v>23836.572398825308</v>
      </c>
      <c r="AW4" s="66">
        <f t="shared" si="2"/>
        <v>25028.401018766574</v>
      </c>
      <c r="AX4" s="66">
        <f t="shared" si="2"/>
        <v>26279.821069704903</v>
      </c>
    </row>
    <row r="5" spans="2:103">
      <c r="B5" s="36" t="s">
        <v>975</v>
      </c>
      <c r="W5" s="1">
        <v>1809</v>
      </c>
      <c r="X5" s="1">
        <v>1861</v>
      </c>
      <c r="Y5" s="1">
        <v>1809</v>
      </c>
      <c r="Z5" s="1">
        <f>7330-SUM(W5:Y5)</f>
        <v>1851</v>
      </c>
      <c r="AA5" s="1">
        <v>1855</v>
      </c>
      <c r="AB5" s="1">
        <v>1943</v>
      </c>
      <c r="AN5" s="86">
        <f>SUM(W5:Z5)</f>
        <v>7330</v>
      </c>
      <c r="AO5" s="66">
        <f t="shared" ref="AO5:AX5" si="3">AN5*(1+AO11)</f>
        <v>7549.9000000000005</v>
      </c>
      <c r="AP5" s="66">
        <f t="shared" si="3"/>
        <v>7700.898000000001</v>
      </c>
      <c r="AQ5" s="66">
        <f t="shared" si="3"/>
        <v>7931.9249400000017</v>
      </c>
      <c r="AR5" s="66">
        <f t="shared" si="3"/>
        <v>8249.2019376000026</v>
      </c>
      <c r="AS5" s="66">
        <f t="shared" si="3"/>
        <v>8661.6620344800031</v>
      </c>
      <c r="AT5" s="66">
        <f t="shared" si="3"/>
        <v>9008.1285158592036</v>
      </c>
      <c r="AU5" s="66">
        <f t="shared" si="3"/>
        <v>9278.3723713349791</v>
      </c>
      <c r="AV5" s="66">
        <f t="shared" si="3"/>
        <v>9510.331680618352</v>
      </c>
      <c r="AW5" s="66">
        <f t="shared" si="3"/>
        <v>9700.5383142307201</v>
      </c>
      <c r="AX5" s="66">
        <f t="shared" si="3"/>
        <v>9846.0463889441799</v>
      </c>
    </row>
    <row r="6" spans="2:103">
      <c r="B6" s="36" t="s">
        <v>976</v>
      </c>
      <c r="W6" s="1">
        <v>840</v>
      </c>
      <c r="X6" s="1">
        <v>925</v>
      </c>
      <c r="Y6" s="1">
        <v>755</v>
      </c>
      <c r="Z6" s="1">
        <f>3392-SUM(W6:Y6)</f>
        <v>872</v>
      </c>
      <c r="AA6" s="1">
        <v>990</v>
      </c>
      <c r="AB6" s="1">
        <v>1054</v>
      </c>
      <c r="AN6" s="86">
        <f>SUM(W6:Z6)</f>
        <v>3392</v>
      </c>
      <c r="AO6" s="66">
        <f t="shared" ref="AO6:AX6" si="4">AN6*(1+AO12)</f>
        <v>3900.7999999999997</v>
      </c>
      <c r="AP6" s="66">
        <f t="shared" si="4"/>
        <v>4388.3999999999996</v>
      </c>
      <c r="AQ6" s="66">
        <f t="shared" si="4"/>
        <v>4827.24</v>
      </c>
      <c r="AR6" s="66">
        <f t="shared" si="4"/>
        <v>5261.6916000000001</v>
      </c>
      <c r="AS6" s="66">
        <f t="shared" si="4"/>
        <v>5682.6269280000006</v>
      </c>
      <c r="AT6" s="66">
        <f t="shared" si="4"/>
        <v>6080.4108129600008</v>
      </c>
      <c r="AU6" s="66">
        <f t="shared" si="4"/>
        <v>6445.2354617376013</v>
      </c>
      <c r="AV6" s="66">
        <f t="shared" si="4"/>
        <v>6799.7234121331694</v>
      </c>
      <c r="AW6" s="66">
        <f t="shared" si="4"/>
        <v>7139.709582739828</v>
      </c>
      <c r="AX6" s="66">
        <f t="shared" si="4"/>
        <v>7425.2979660494211</v>
      </c>
    </row>
    <row r="7" spans="2:103">
      <c r="B7" s="36" t="s">
        <v>190</v>
      </c>
      <c r="W7" s="1">
        <v>-60</v>
      </c>
      <c r="X7" s="1">
        <v>-72</v>
      </c>
      <c r="Y7" s="1">
        <v>-67</v>
      </c>
      <c r="Z7" s="1">
        <f>-209-SUM(W7:Y7)</f>
        <v>-10</v>
      </c>
      <c r="AA7" s="1">
        <v>-91</v>
      </c>
      <c r="AB7" s="1">
        <v>-82</v>
      </c>
      <c r="AN7" s="86">
        <f>SUM(W7:Z7)</f>
        <v>-209</v>
      </c>
      <c r="AO7" s="66">
        <f t="shared" ref="AO7" si="5">AN7*(1+AO13)</f>
        <v>-275.88</v>
      </c>
      <c r="AP7" s="66">
        <f t="shared" ref="AP7:AX7" si="6">AO7*(1+AP13)</f>
        <v>-344.85</v>
      </c>
      <c r="AQ7" s="66">
        <f t="shared" si="6"/>
        <v>-420.71700000000004</v>
      </c>
      <c r="AR7" s="66">
        <f t="shared" si="6"/>
        <v>-488.03172000000001</v>
      </c>
      <c r="AS7" s="66">
        <f t="shared" si="6"/>
        <v>-546.59552640000004</v>
      </c>
      <c r="AT7" s="66">
        <f t="shared" si="6"/>
        <v>-601.25507904000006</v>
      </c>
      <c r="AU7" s="66">
        <f t="shared" si="6"/>
        <v>-661.38058694400013</v>
      </c>
      <c r="AV7" s="66">
        <f t="shared" si="6"/>
        <v>-727.51864563840024</v>
      </c>
      <c r="AW7" s="66">
        <f t="shared" si="6"/>
        <v>-800.2705102022403</v>
      </c>
      <c r="AX7" s="66">
        <f t="shared" si="6"/>
        <v>-880.29756122246442</v>
      </c>
    </row>
    <row r="8" spans="2:103" s="2" customFormat="1" ht="15">
      <c r="B8" s="33" t="s">
        <v>53</v>
      </c>
      <c r="W8" s="2">
        <f t="shared" ref="W8:X8" si="7">SUM(W4:W6)+W7</f>
        <v>5000</v>
      </c>
      <c r="X8" s="2">
        <f t="shared" si="7"/>
        <v>5484</v>
      </c>
      <c r="Y8" s="2">
        <f t="shared" ref="Y8" si="8">SUM(Y4:Y6)+Y7</f>
        <v>5659</v>
      </c>
      <c r="Z8" s="2">
        <f t="shared" ref="Z8" si="9">SUM(Z4:Z6)+Z7</f>
        <v>5722</v>
      </c>
      <c r="AA8" s="2">
        <f t="shared" ref="AA8" si="10">SUM(AA4:AA6)+AA7</f>
        <v>5744</v>
      </c>
      <c r="AB8" s="2">
        <f t="shared" ref="AB8" si="11">SUM(AB4:AB6)+AB7</f>
        <v>5881</v>
      </c>
      <c r="AC8" s="34"/>
      <c r="AD8" s="34"/>
      <c r="AN8" s="87">
        <f>SUM(W8:Z8)</f>
        <v>21865</v>
      </c>
      <c r="AO8" s="90">
        <f>SUM(AO4:AO6)+AO7</f>
        <v>24229.62</v>
      </c>
      <c r="AP8" s="90">
        <f t="shared" ref="AP8:AX8" si="12">SUM(AP4:AP6)+AP7</f>
        <v>26365.824000000001</v>
      </c>
      <c r="AQ8" s="90">
        <f t="shared" si="12"/>
        <v>28568.175299999999</v>
      </c>
      <c r="AR8" s="90">
        <f t="shared" si="12"/>
        <v>30875.561913600002</v>
      </c>
      <c r="AS8" s="90">
        <f t="shared" si="12"/>
        <v>33257.136540720006</v>
      </c>
      <c r="AT8" s="90">
        <f t="shared" si="12"/>
        <v>35503.482802790408</v>
      </c>
      <c r="AU8" s="90">
        <f t="shared" si="12"/>
        <v>37549.559697850571</v>
      </c>
      <c r="AV8" s="90">
        <f t="shared" si="12"/>
        <v>39419.108845938426</v>
      </c>
      <c r="AW8" s="90">
        <f t="shared" si="12"/>
        <v>41068.378405534888</v>
      </c>
      <c r="AX8" s="90">
        <f t="shared" si="12"/>
        <v>42670.867863476044</v>
      </c>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row>
    <row r="9" spans="2:103">
      <c r="B9" s="36"/>
    </row>
    <row r="10" spans="2:103">
      <c r="B10" s="36" t="s">
        <v>172</v>
      </c>
      <c r="W10" s="83"/>
      <c r="X10" s="83"/>
      <c r="Y10" s="83"/>
      <c r="Z10" s="83"/>
      <c r="AA10" s="83">
        <f t="shared" ref="AA10" si="13">AA4/W4-1</f>
        <v>0.24014931563666519</v>
      </c>
      <c r="AB10" s="83">
        <f>AB4/X4-1</f>
        <v>7.0758122743682206E-2</v>
      </c>
      <c r="AN10" s="83" t="e">
        <f>AN4/AM4-1</f>
        <v>#DIV/0!</v>
      </c>
      <c r="AO10" s="88">
        <v>0.15</v>
      </c>
      <c r="AP10" s="88">
        <v>0.12</v>
      </c>
      <c r="AQ10" s="88">
        <v>0.11</v>
      </c>
      <c r="AR10" s="88">
        <v>0.1</v>
      </c>
      <c r="AS10" s="88">
        <v>0.09</v>
      </c>
      <c r="AT10" s="88">
        <v>0.08</v>
      </c>
      <c r="AU10" s="88">
        <v>7.0000000000000007E-2</v>
      </c>
      <c r="AV10" s="88">
        <v>0.06</v>
      </c>
      <c r="AW10" s="88">
        <v>0.05</v>
      </c>
      <c r="AX10" s="88">
        <v>0.05</v>
      </c>
    </row>
    <row r="11" spans="2:103">
      <c r="B11" s="36" t="s">
        <v>173</v>
      </c>
      <c r="W11" s="83"/>
      <c r="X11" s="83"/>
      <c r="Y11" s="83"/>
      <c r="Z11" s="83"/>
      <c r="AA11" s="83">
        <f t="shared" ref="AA11" si="14">AA5/W5-1</f>
        <v>2.5428413488115087E-2</v>
      </c>
      <c r="AB11" s="83">
        <f>AB5/X5-1</f>
        <v>4.4062332079527033E-2</v>
      </c>
      <c r="AN11" s="83" t="e">
        <f t="shared" ref="AN11:AN14" si="15">AN5/AM5-1</f>
        <v>#DIV/0!</v>
      </c>
      <c r="AO11" s="88">
        <v>0.03</v>
      </c>
      <c r="AP11" s="88">
        <v>0.02</v>
      </c>
      <c r="AQ11" s="88">
        <v>0.03</v>
      </c>
      <c r="AR11" s="88">
        <v>0.04</v>
      </c>
      <c r="AS11" s="88">
        <v>0.05</v>
      </c>
      <c r="AT11" s="88">
        <v>0.04</v>
      </c>
      <c r="AU11" s="88">
        <v>0.03</v>
      </c>
      <c r="AV11" s="88">
        <v>2.5000000000000001E-2</v>
      </c>
      <c r="AW11" s="88">
        <v>0.02</v>
      </c>
      <c r="AX11" s="88">
        <v>1.4999999999999999E-2</v>
      </c>
    </row>
    <row r="12" spans="2:103">
      <c r="B12" s="36" t="s">
        <v>174</v>
      </c>
      <c r="W12" s="83"/>
      <c r="X12" s="83"/>
      <c r="Y12" s="83"/>
      <c r="Z12" s="83"/>
      <c r="AA12" s="83">
        <f t="shared" ref="AA12" si="16">AA6/W6-1</f>
        <v>0.1785714285714286</v>
      </c>
      <c r="AB12" s="83">
        <f>AB6/X6-1</f>
        <v>0.13945945945945937</v>
      </c>
      <c r="AN12" s="83" t="e">
        <f t="shared" si="15"/>
        <v>#DIV/0!</v>
      </c>
      <c r="AO12" s="88">
        <v>0.15</v>
      </c>
      <c r="AP12" s="88">
        <v>0.125</v>
      </c>
      <c r="AQ12" s="88">
        <v>0.1</v>
      </c>
      <c r="AR12" s="88">
        <v>0.09</v>
      </c>
      <c r="AS12" s="88">
        <v>0.08</v>
      </c>
      <c r="AT12" s="88">
        <v>7.0000000000000007E-2</v>
      </c>
      <c r="AU12" s="88">
        <v>0.06</v>
      </c>
      <c r="AV12" s="88">
        <v>5.5E-2</v>
      </c>
      <c r="AW12" s="88">
        <v>0.05</v>
      </c>
      <c r="AX12" s="88">
        <v>0.04</v>
      </c>
    </row>
    <row r="13" spans="2:103">
      <c r="B13" s="36" t="s">
        <v>190</v>
      </c>
      <c r="W13" s="83"/>
      <c r="X13" s="83"/>
      <c r="Y13" s="83"/>
      <c r="Z13" s="83"/>
      <c r="AA13" s="83">
        <f t="shared" ref="AA13" si="17">AA7/W7-1</f>
        <v>0.51666666666666661</v>
      </c>
      <c r="AB13" s="83">
        <f>AB7/X7-1</f>
        <v>0.13888888888888884</v>
      </c>
      <c r="AN13" s="83" t="e">
        <f t="shared" si="15"/>
        <v>#DIV/0!</v>
      </c>
      <c r="AO13" s="88">
        <v>0.32</v>
      </c>
      <c r="AP13" s="88">
        <v>0.25</v>
      </c>
      <c r="AQ13" s="88">
        <v>0.22</v>
      </c>
      <c r="AR13" s="88">
        <v>0.16</v>
      </c>
      <c r="AS13" s="88">
        <v>0.12</v>
      </c>
      <c r="AT13" s="88">
        <v>0.1</v>
      </c>
      <c r="AU13" s="88">
        <v>0.1</v>
      </c>
      <c r="AV13" s="88">
        <v>0.1</v>
      </c>
      <c r="AW13" s="88">
        <v>0.1</v>
      </c>
      <c r="AX13" s="88">
        <v>0.1</v>
      </c>
    </row>
    <row r="14" spans="2:103" s="2" customFormat="1" ht="15">
      <c r="B14" s="33" t="s">
        <v>101</v>
      </c>
      <c r="C14" s="1"/>
      <c r="D14" s="1"/>
      <c r="E14" s="1"/>
      <c r="F14" s="1"/>
      <c r="G14" s="1"/>
      <c r="H14" s="1"/>
      <c r="I14" s="1"/>
      <c r="J14" s="1"/>
      <c r="K14" s="1"/>
      <c r="L14" s="1"/>
      <c r="M14" s="1"/>
      <c r="N14" s="1"/>
      <c r="O14" s="1"/>
      <c r="P14" s="1"/>
      <c r="Q14" s="1"/>
      <c r="R14" s="1"/>
      <c r="S14" s="1"/>
      <c r="T14" s="1"/>
      <c r="U14" s="1"/>
      <c r="V14" s="1"/>
      <c r="W14" s="83"/>
      <c r="X14" s="83"/>
      <c r="Y14" s="83"/>
      <c r="Z14" s="83"/>
      <c r="AA14" s="83">
        <f t="shared" ref="AA14" si="18">AA8/W8-1</f>
        <v>0.14880000000000004</v>
      </c>
      <c r="AB14" s="83">
        <f t="shared" ref="AB14" si="19">AB8/X8-1</f>
        <v>7.23924142961343E-2</v>
      </c>
      <c r="AC14" s="34"/>
      <c r="AD14" s="34"/>
      <c r="AN14" s="83" t="e">
        <f t="shared" si="15"/>
        <v>#DIV/0!</v>
      </c>
      <c r="AO14" s="89">
        <f t="shared" ref="AO14:AX14" si="20">AO8/AN8-1</f>
        <v>0.10814635261833971</v>
      </c>
      <c r="AP14" s="89">
        <f t="shared" si="20"/>
        <v>8.8164981539124554E-2</v>
      </c>
      <c r="AQ14" s="89">
        <f t="shared" si="20"/>
        <v>8.3530531797527008E-2</v>
      </c>
      <c r="AR14" s="89">
        <f t="shared" si="20"/>
        <v>8.0767728052971055E-2</v>
      </c>
      <c r="AS14" s="89">
        <f t="shared" si="20"/>
        <v>7.7134616490039498E-2</v>
      </c>
      <c r="AT14" s="89">
        <f t="shared" si="20"/>
        <v>6.7544788749926754E-2</v>
      </c>
      <c r="AU14" s="89">
        <f t="shared" si="20"/>
        <v>5.7630314930662285E-2</v>
      </c>
      <c r="AV14" s="89">
        <f t="shared" si="20"/>
        <v>4.9788843414717121E-2</v>
      </c>
      <c r="AW14" s="89">
        <f t="shared" si="20"/>
        <v>4.1839341575231837E-2</v>
      </c>
      <c r="AX14" s="89">
        <f t="shared" si="20"/>
        <v>3.9020032447280251E-2</v>
      </c>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row>
    <row r="15" spans="2:103">
      <c r="W15" s="83"/>
      <c r="X15" s="83"/>
      <c r="Y15" s="83"/>
      <c r="Z15" s="83"/>
      <c r="AA15" s="83"/>
      <c r="AB15" s="83"/>
      <c r="AN15" s="83"/>
    </row>
    <row r="16" spans="2:103">
      <c r="B16" s="36" t="s">
        <v>169</v>
      </c>
      <c r="W16" s="83">
        <f t="shared" ref="W16:AA16" si="21">W4/W8</f>
        <v>0.48220000000000002</v>
      </c>
      <c r="X16" s="83">
        <f t="shared" si="21"/>
        <v>0.50510576221735959</v>
      </c>
      <c r="Y16" s="83">
        <f t="shared" si="21"/>
        <v>0.55875596395122817</v>
      </c>
      <c r="Z16" s="83">
        <f t="shared" si="21"/>
        <v>0.52586508213911221</v>
      </c>
      <c r="AA16" s="83">
        <f t="shared" si="21"/>
        <v>0.5205431754874652</v>
      </c>
      <c r="AB16" s="83">
        <f>AB4/AB8</f>
        <v>0.50433599727937428</v>
      </c>
      <c r="AN16" s="83">
        <f>AN4/AN8</f>
        <v>0.51918591356048482</v>
      </c>
    </row>
    <row r="17" spans="2:40">
      <c r="B17" s="36" t="s">
        <v>170</v>
      </c>
      <c r="W17" s="83">
        <f t="shared" ref="W17:AA17" si="22">W5/W8</f>
        <v>0.36180000000000001</v>
      </c>
      <c r="X17" s="83">
        <f t="shared" si="22"/>
        <v>0.33935083880379285</v>
      </c>
      <c r="Y17" s="83">
        <f t="shared" si="22"/>
        <v>0.3196677858278848</v>
      </c>
      <c r="Z17" s="83">
        <f t="shared" si="22"/>
        <v>0.32348829080740998</v>
      </c>
      <c r="AA17" s="83">
        <f t="shared" si="22"/>
        <v>0.32294568245125349</v>
      </c>
      <c r="AB17" s="83">
        <f>AB5/AB8</f>
        <v>0.33038598877741882</v>
      </c>
      <c r="AN17" s="83">
        <f>AN5/AN8</f>
        <v>0.33523896638463296</v>
      </c>
    </row>
    <row r="18" spans="2:40">
      <c r="B18" s="36" t="s">
        <v>171</v>
      </c>
      <c r="W18" s="83">
        <f t="shared" ref="W18:AA18" si="23">W6/W8</f>
        <v>0.16800000000000001</v>
      </c>
      <c r="X18" s="83">
        <f t="shared" si="23"/>
        <v>0.1686725018234865</v>
      </c>
      <c r="Y18" s="83">
        <f t="shared" si="23"/>
        <v>0.13341579784414206</v>
      </c>
      <c r="Z18" s="83">
        <f t="shared" si="23"/>
        <v>0.15239426773855294</v>
      </c>
      <c r="AA18" s="83">
        <f t="shared" si="23"/>
        <v>0.17235376044568246</v>
      </c>
      <c r="AB18" s="83">
        <f>AB6/AB8</f>
        <v>0.17922122088080258</v>
      </c>
      <c r="AN18" s="83">
        <f>AN6/AN8</f>
        <v>0.15513377544020124</v>
      </c>
    </row>
    <row r="20" spans="2:40">
      <c r="B20" s="91" t="s">
        <v>54</v>
      </c>
      <c r="X20" s="1">
        <v>2380</v>
      </c>
      <c r="Z20" s="1">
        <f t="shared" ref="Z20:Z22" si="24">1000-SUM(W20:Y20)</f>
        <v>-1380</v>
      </c>
      <c r="AA20" s="1">
        <v>2540</v>
      </c>
      <c r="AB20" s="1">
        <f>2505+1076+922</f>
        <v>4503</v>
      </c>
      <c r="AM20" s="1">
        <f>SUM(S20:V20)</f>
        <v>0</v>
      </c>
      <c r="AN20" s="1">
        <f>SUM(W20:Z20)</f>
        <v>1000</v>
      </c>
    </row>
    <row r="21" spans="2:40" ht="14.25" customHeight="1">
      <c r="B21" s="91" t="s">
        <v>175</v>
      </c>
      <c r="X21" s="1">
        <v>362</v>
      </c>
      <c r="Z21" s="1">
        <f t="shared" si="24"/>
        <v>638</v>
      </c>
      <c r="AA21" s="1">
        <v>427</v>
      </c>
      <c r="AB21" s="1">
        <f>439+819+120</f>
        <v>1378</v>
      </c>
      <c r="AM21" s="1">
        <f>SUM(S21:V21)</f>
        <v>0</v>
      </c>
      <c r="AN21" s="1">
        <f>SUM(W21:Z21)</f>
        <v>1000</v>
      </c>
    </row>
    <row r="22" spans="2:40" ht="14.25" customHeight="1">
      <c r="B22" s="91" t="s">
        <v>176</v>
      </c>
      <c r="X22" s="1">
        <v>28</v>
      </c>
      <c r="Z22" s="1">
        <f t="shared" si="24"/>
        <v>972</v>
      </c>
      <c r="AA22" s="1">
        <v>23</v>
      </c>
      <c r="AB22" s="1">
        <f>22+48+12</f>
        <v>82</v>
      </c>
      <c r="AM22" s="1">
        <f>SUM(S22:V22)</f>
        <v>0</v>
      </c>
      <c r="AN22" s="1">
        <f>SUM(W22:Z22)</f>
        <v>1000</v>
      </c>
    </row>
    <row r="23" spans="2:40" ht="14.25" customHeight="1">
      <c r="B23" s="33" t="s">
        <v>53</v>
      </c>
      <c r="C23" s="2"/>
      <c r="D23" s="2"/>
      <c r="E23" s="2"/>
      <c r="F23" s="2"/>
      <c r="G23" s="2"/>
      <c r="H23" s="2"/>
      <c r="I23" s="2"/>
      <c r="J23" s="2"/>
      <c r="K23" s="2"/>
      <c r="L23" s="2"/>
      <c r="M23" s="2"/>
      <c r="N23" s="2"/>
      <c r="O23" s="2"/>
      <c r="P23" s="2"/>
      <c r="Q23" s="2"/>
      <c r="R23" s="2"/>
      <c r="S23" s="2"/>
      <c r="T23" s="2"/>
      <c r="U23" s="2"/>
      <c r="V23" s="2"/>
      <c r="W23" s="2">
        <f t="shared" ref="W23:AB23" si="25">SUM(W20:W22)</f>
        <v>0</v>
      </c>
      <c r="X23" s="2">
        <f t="shared" si="25"/>
        <v>2770</v>
      </c>
      <c r="Y23" s="2">
        <f t="shared" si="25"/>
        <v>0</v>
      </c>
      <c r="Z23" s="2">
        <f t="shared" si="25"/>
        <v>230</v>
      </c>
      <c r="AA23" s="2">
        <f t="shared" si="25"/>
        <v>2990</v>
      </c>
      <c r="AB23" s="2">
        <f t="shared" si="25"/>
        <v>5963</v>
      </c>
      <c r="AM23" s="1">
        <f>SUM(S23:V23)</f>
        <v>0</v>
      </c>
      <c r="AN23" s="1">
        <f>SUM(W23:Z23)</f>
        <v>3000</v>
      </c>
    </row>
    <row r="24" spans="2:40" ht="14.25" customHeight="1"/>
    <row r="25" spans="2:40" ht="14.25" customHeight="1">
      <c r="B25" s="91" t="s">
        <v>179</v>
      </c>
      <c r="C25" s="83"/>
      <c r="D25" s="83"/>
      <c r="E25" s="83"/>
      <c r="F25" s="83"/>
      <c r="G25" s="83"/>
      <c r="H25" s="83"/>
      <c r="I25" s="83"/>
      <c r="J25" s="83"/>
      <c r="K25" s="83"/>
      <c r="L25" s="83"/>
      <c r="M25" s="83"/>
      <c r="N25" s="83"/>
      <c r="O25" s="83"/>
      <c r="P25" s="83"/>
      <c r="Q25" s="83"/>
      <c r="R25" s="83"/>
      <c r="S25" s="83"/>
      <c r="T25" s="83"/>
      <c r="U25" s="83"/>
      <c r="V25" s="83"/>
      <c r="W25" s="83" t="e">
        <f t="shared" ref="W25:AA25" si="26">W19/S19-1</f>
        <v>#DIV/0!</v>
      </c>
      <c r="X25" s="83" t="e">
        <f t="shared" si="26"/>
        <v>#DIV/0!</v>
      </c>
      <c r="Y25" s="83" t="e">
        <f t="shared" si="26"/>
        <v>#DIV/0!</v>
      </c>
      <c r="Z25" s="83" t="e">
        <f t="shared" si="26"/>
        <v>#DIV/0!</v>
      </c>
      <c r="AA25" s="83" t="e">
        <f t="shared" si="26"/>
        <v>#DIV/0!</v>
      </c>
      <c r="AB25" s="83" t="e">
        <f>AB19/X19-1</f>
        <v>#DIV/0!</v>
      </c>
      <c r="AM25" s="1" t="e">
        <f t="shared" ref="AM25:AM28" si="27">AM20/AL20-1</f>
        <v>#DIV/0!</v>
      </c>
      <c r="AN25" s="1" t="e">
        <f t="shared" ref="AN25:AN28" si="28">AN20/AM20-1</f>
        <v>#DIV/0!</v>
      </c>
    </row>
    <row r="26" spans="2:40" ht="14.25" customHeight="1">
      <c r="B26" s="91" t="s">
        <v>178</v>
      </c>
      <c r="C26" s="83"/>
      <c r="D26" s="83"/>
      <c r="E26" s="83"/>
      <c r="F26" s="83"/>
      <c r="G26" s="83"/>
      <c r="H26" s="83"/>
      <c r="I26" s="83"/>
      <c r="J26" s="83"/>
      <c r="K26" s="83"/>
      <c r="L26" s="83"/>
      <c r="M26" s="83"/>
      <c r="N26" s="83"/>
      <c r="O26" s="83"/>
      <c r="P26" s="83"/>
      <c r="Q26" s="83"/>
      <c r="R26" s="83"/>
      <c r="S26" s="83"/>
      <c r="T26" s="83"/>
      <c r="U26" s="83"/>
      <c r="V26" s="83"/>
      <c r="W26" s="83" t="e">
        <f t="shared" ref="W26:AA26" si="29">W20/S20-1</f>
        <v>#DIV/0!</v>
      </c>
      <c r="X26" s="83" t="e">
        <f t="shared" si="29"/>
        <v>#DIV/0!</v>
      </c>
      <c r="Y26" s="83" t="e">
        <f t="shared" si="29"/>
        <v>#DIV/0!</v>
      </c>
      <c r="Z26" s="83" t="e">
        <f t="shared" si="29"/>
        <v>#DIV/0!</v>
      </c>
      <c r="AA26" s="83" t="e">
        <f t="shared" si="29"/>
        <v>#DIV/0!</v>
      </c>
      <c r="AB26" s="83">
        <f>AB20/X20-1</f>
        <v>0.89201680672268902</v>
      </c>
      <c r="AM26" s="1" t="e">
        <f t="shared" si="27"/>
        <v>#DIV/0!</v>
      </c>
      <c r="AN26" s="1" t="e">
        <f t="shared" si="28"/>
        <v>#DIV/0!</v>
      </c>
    </row>
    <row r="27" spans="2:40" ht="14.25" customHeight="1">
      <c r="B27" s="91" t="s">
        <v>177</v>
      </c>
      <c r="C27" s="83"/>
      <c r="D27" s="83"/>
      <c r="E27" s="83"/>
      <c r="F27" s="83"/>
      <c r="G27" s="83"/>
      <c r="H27" s="83"/>
      <c r="I27" s="83"/>
      <c r="J27" s="83"/>
      <c r="K27" s="83"/>
      <c r="L27" s="83"/>
      <c r="M27" s="83"/>
      <c r="N27" s="83"/>
      <c r="O27" s="83"/>
      <c r="P27" s="83"/>
      <c r="Q27" s="83"/>
      <c r="R27" s="83"/>
      <c r="S27" s="83"/>
      <c r="T27" s="83"/>
      <c r="U27" s="83"/>
      <c r="V27" s="83"/>
      <c r="W27" s="83" t="e">
        <f t="shared" ref="W27:AA27" si="30">W21/S21-1</f>
        <v>#DIV/0!</v>
      </c>
      <c r="X27" s="83" t="e">
        <f t="shared" si="30"/>
        <v>#DIV/0!</v>
      </c>
      <c r="Y27" s="83" t="e">
        <f t="shared" si="30"/>
        <v>#DIV/0!</v>
      </c>
      <c r="Z27" s="83" t="e">
        <f t="shared" si="30"/>
        <v>#DIV/0!</v>
      </c>
      <c r="AA27" s="83" t="e">
        <f t="shared" si="30"/>
        <v>#DIV/0!</v>
      </c>
      <c r="AB27" s="83">
        <f>AB21/X21-1</f>
        <v>2.8066298342541436</v>
      </c>
      <c r="AM27" s="1" t="e">
        <f t="shared" si="27"/>
        <v>#DIV/0!</v>
      </c>
      <c r="AN27" s="1" t="e">
        <f t="shared" si="28"/>
        <v>#DIV/0!</v>
      </c>
    </row>
    <row r="28" spans="2:40" ht="14.25" customHeight="1">
      <c r="B28" s="33" t="s">
        <v>101</v>
      </c>
      <c r="C28" s="83"/>
      <c r="D28" s="83"/>
      <c r="E28" s="83"/>
      <c r="F28" s="83"/>
      <c r="G28" s="83"/>
      <c r="H28" s="83"/>
      <c r="I28" s="83"/>
      <c r="J28" s="83"/>
      <c r="K28" s="83"/>
      <c r="L28" s="83"/>
      <c r="M28" s="83"/>
      <c r="N28" s="83"/>
      <c r="O28" s="83"/>
      <c r="P28" s="83"/>
      <c r="Q28" s="83"/>
      <c r="R28" s="83"/>
      <c r="S28" s="83"/>
      <c r="T28" s="83"/>
      <c r="U28" s="83"/>
      <c r="V28" s="83"/>
      <c r="W28" s="83" t="e">
        <f t="shared" ref="W28" si="31">W23/S23-1</f>
        <v>#DIV/0!</v>
      </c>
      <c r="X28" s="83" t="e">
        <f t="shared" ref="X28" si="32">X23/T23-1</f>
        <v>#DIV/0!</v>
      </c>
      <c r="Y28" s="83" t="e">
        <f t="shared" ref="Y28" si="33">Y23/U23-1</f>
        <v>#DIV/0!</v>
      </c>
      <c r="Z28" s="83" t="e">
        <f t="shared" ref="Z28" si="34">Z23/V23-1</f>
        <v>#DIV/0!</v>
      </c>
      <c r="AA28" s="83" t="e">
        <f t="shared" ref="AA28" si="35">AA23/W23-1</f>
        <v>#DIV/0!</v>
      </c>
      <c r="AB28" s="83">
        <f t="shared" ref="AB28" si="36">AB23/X23-1</f>
        <v>1.1527075812274368</v>
      </c>
      <c r="AJ28" s="2"/>
      <c r="AK28" s="2"/>
      <c r="AL28" s="2"/>
      <c r="AM28" s="2" t="e">
        <f t="shared" si="27"/>
        <v>#DIV/0!</v>
      </c>
      <c r="AN28" s="2" t="e">
        <f t="shared" si="28"/>
        <v>#DIV/0!</v>
      </c>
    </row>
    <row r="29" spans="2:40" ht="14.25" customHeight="1">
      <c r="C29" s="83"/>
      <c r="D29" s="83"/>
      <c r="E29" s="83"/>
      <c r="F29" s="83"/>
      <c r="G29" s="83"/>
      <c r="H29" s="83"/>
      <c r="I29" s="83"/>
      <c r="J29" s="83"/>
      <c r="K29" s="83"/>
      <c r="L29" s="83"/>
      <c r="M29" s="83"/>
      <c r="N29" s="83"/>
      <c r="O29" s="83"/>
      <c r="P29" s="83"/>
      <c r="Q29" s="83"/>
      <c r="R29" s="83"/>
      <c r="S29" s="83"/>
      <c r="T29" s="83"/>
      <c r="U29" s="83"/>
      <c r="V29" s="83"/>
      <c r="W29" s="83"/>
      <c r="X29" s="83"/>
      <c r="Y29" s="83"/>
      <c r="Z29" s="83"/>
      <c r="AA29" s="83"/>
      <c r="AB29" s="83"/>
      <c r="AN29" s="2"/>
    </row>
    <row r="30" spans="2:40">
      <c r="B30" s="38" t="s">
        <v>55</v>
      </c>
      <c r="C30" s="83"/>
      <c r="D30" s="83"/>
      <c r="E30" s="83"/>
      <c r="F30" s="83"/>
      <c r="G30" s="83"/>
      <c r="H30" s="83"/>
      <c r="I30" s="83"/>
      <c r="J30" s="83"/>
      <c r="K30" s="83"/>
      <c r="L30" s="83"/>
      <c r="M30" s="83"/>
      <c r="N30" s="83"/>
      <c r="O30" s="83"/>
      <c r="P30" s="83"/>
      <c r="Q30" s="83"/>
      <c r="R30" s="83"/>
      <c r="S30" s="83"/>
      <c r="T30" s="83"/>
      <c r="U30" s="83"/>
      <c r="V30" s="83"/>
      <c r="W30" s="83" t="e">
        <f t="shared" ref="W30:AA30" si="37">W19/W23</f>
        <v>#DIV/0!</v>
      </c>
      <c r="X30" s="83">
        <f t="shared" si="37"/>
        <v>0</v>
      </c>
      <c r="Y30" s="83" t="e">
        <f t="shared" si="37"/>
        <v>#DIV/0!</v>
      </c>
      <c r="Z30" s="83">
        <f t="shared" si="37"/>
        <v>0</v>
      </c>
      <c r="AA30" s="83">
        <f t="shared" si="37"/>
        <v>0</v>
      </c>
      <c r="AB30" s="83">
        <f>AB19/AB23</f>
        <v>0</v>
      </c>
      <c r="AI30" s="83"/>
      <c r="AJ30" s="83"/>
      <c r="AK30" s="83"/>
      <c r="AL30" s="83"/>
      <c r="AM30" s="83" t="e">
        <f t="shared" ref="AM30" si="38">AM20/AM23</f>
        <v>#DIV/0!</v>
      </c>
      <c r="AN30" s="83">
        <f>AN20/AN23</f>
        <v>0.33333333333333331</v>
      </c>
    </row>
    <row r="31" spans="2:40">
      <c r="B31" s="1" t="s">
        <v>180</v>
      </c>
      <c r="C31" s="83"/>
      <c r="D31" s="83"/>
      <c r="E31" s="83"/>
      <c r="F31" s="83"/>
      <c r="G31" s="83"/>
      <c r="H31" s="83"/>
      <c r="I31" s="83"/>
      <c r="J31" s="83"/>
      <c r="K31" s="83"/>
      <c r="L31" s="83"/>
      <c r="M31" s="83"/>
      <c r="N31" s="83"/>
      <c r="O31" s="83"/>
      <c r="P31" s="83"/>
      <c r="Q31" s="83"/>
      <c r="R31" s="83"/>
      <c r="S31" s="83"/>
      <c r="T31" s="83"/>
      <c r="U31" s="83"/>
      <c r="V31" s="83"/>
      <c r="W31" s="83" t="e">
        <f t="shared" ref="W31:AA31" si="39">W20/W23</f>
        <v>#DIV/0!</v>
      </c>
      <c r="X31" s="83">
        <f t="shared" si="39"/>
        <v>0.8592057761732852</v>
      </c>
      <c r="Y31" s="83" t="e">
        <f t="shared" si="39"/>
        <v>#DIV/0!</v>
      </c>
      <c r="Z31" s="83">
        <f t="shared" si="39"/>
        <v>-6</v>
      </c>
      <c r="AA31" s="83">
        <f t="shared" si="39"/>
        <v>0.84949832775919731</v>
      </c>
      <c r="AB31" s="83">
        <f>AB20/AB23</f>
        <v>0.75515680026832133</v>
      </c>
      <c r="AI31" s="83"/>
      <c r="AJ31" s="83"/>
      <c r="AK31" s="83"/>
      <c r="AL31" s="83"/>
      <c r="AM31" s="83" t="e">
        <f t="shared" ref="AM31" si="40">AM21/AM23</f>
        <v>#DIV/0!</v>
      </c>
      <c r="AN31" s="83">
        <f>AN21/AN23</f>
        <v>0.33333333333333331</v>
      </c>
    </row>
    <row r="32" spans="2:40">
      <c r="B32" s="1" t="s">
        <v>181</v>
      </c>
      <c r="C32" s="83"/>
      <c r="D32" s="83"/>
      <c r="E32" s="83"/>
      <c r="F32" s="83"/>
      <c r="G32" s="83"/>
      <c r="H32" s="83"/>
      <c r="I32" s="83"/>
      <c r="J32" s="83"/>
      <c r="K32" s="83"/>
      <c r="L32" s="83"/>
      <c r="M32" s="83"/>
      <c r="N32" s="83"/>
      <c r="O32" s="83"/>
      <c r="P32" s="83"/>
      <c r="Q32" s="83"/>
      <c r="R32" s="83"/>
      <c r="S32" s="83"/>
      <c r="T32" s="83"/>
      <c r="U32" s="83"/>
      <c r="V32" s="83"/>
      <c r="W32" s="83" t="e">
        <f t="shared" ref="W32:AA32" si="41">W21/W23</f>
        <v>#DIV/0!</v>
      </c>
      <c r="X32" s="83">
        <f t="shared" si="41"/>
        <v>0.13068592057761733</v>
      </c>
      <c r="Y32" s="83" t="e">
        <f t="shared" si="41"/>
        <v>#DIV/0!</v>
      </c>
      <c r="Z32" s="83">
        <f t="shared" si="41"/>
        <v>2.7739130434782608</v>
      </c>
      <c r="AA32" s="83">
        <f t="shared" si="41"/>
        <v>0.14280936454849499</v>
      </c>
      <c r="AB32" s="83">
        <f>AB21/AB23</f>
        <v>0.23109173234948852</v>
      </c>
      <c r="AI32" s="83"/>
      <c r="AJ32" s="83"/>
      <c r="AK32" s="83"/>
      <c r="AL32" s="83"/>
      <c r="AM32" s="83" t="e">
        <f t="shared" ref="AM32" si="42">AM22/AM23</f>
        <v>#DIV/0!</v>
      </c>
      <c r="AN32" s="83">
        <f>AN22/AN23</f>
        <v>0.33333333333333331</v>
      </c>
    </row>
    <row r="34" spans="2:102" s="2" customFormat="1" ht="15">
      <c r="B34" s="2" t="s">
        <v>52</v>
      </c>
      <c r="C34" s="2">
        <v>4626</v>
      </c>
      <c r="D34" s="2">
        <v>4445</v>
      </c>
      <c r="E34" s="2">
        <v>4463</v>
      </c>
      <c r="F34" s="2">
        <v>4660</v>
      </c>
      <c r="G34" s="2">
        <v>4567</v>
      </c>
      <c r="H34" s="2">
        <v>4668</v>
      </c>
      <c r="I34" s="2">
        <v>4229</v>
      </c>
      <c r="J34" s="2">
        <v>4350</v>
      </c>
      <c r="K34" s="2">
        <v>4103</v>
      </c>
      <c r="L34" s="2">
        <v>4135</v>
      </c>
      <c r="M34" s="2">
        <v>4246</v>
      </c>
      <c r="N34" s="2">
        <v>4578</v>
      </c>
      <c r="O34" s="2">
        <v>4471</v>
      </c>
      <c r="P34" s="2">
        <v>4693</v>
      </c>
      <c r="Q34" s="2">
        <v>4915</v>
      </c>
      <c r="R34" s="2">
        <v>5340</v>
      </c>
      <c r="S34" s="2">
        <v>5211</v>
      </c>
      <c r="T34" s="2">
        <v>5299</v>
      </c>
      <c r="U34" s="2">
        <v>5292</v>
      </c>
      <c r="V34" s="2">
        <v>5523</v>
      </c>
      <c r="W34" s="2">
        <v>5132</v>
      </c>
      <c r="X34" s="2">
        <v>5426</v>
      </c>
      <c r="Y34" s="2">
        <v>5659</v>
      </c>
      <c r="Z34" s="2">
        <v>5648</v>
      </c>
      <c r="AA34" s="2">
        <v>5744</v>
      </c>
      <c r="AB34" s="2">
        <v>5881</v>
      </c>
      <c r="AC34" s="34"/>
      <c r="AD34" s="34"/>
      <c r="AI34" s="87">
        <f>SUM(C34:F34)</f>
        <v>18194</v>
      </c>
      <c r="AJ34" s="87">
        <f>SUM(G34:J34)</f>
        <v>17814</v>
      </c>
      <c r="AK34" s="87">
        <f>SUM(K34:N34)</f>
        <v>17062</v>
      </c>
      <c r="AL34" s="87">
        <f>SUM(O34:R34)</f>
        <v>19419</v>
      </c>
      <c r="AM34" s="87">
        <f>SUM(S34:V34)</f>
        <v>21325</v>
      </c>
      <c r="AN34" s="87">
        <f>SUM(W34:Z34)</f>
        <v>21865</v>
      </c>
      <c r="AO34" s="90">
        <f>AO8</f>
        <v>24229.62</v>
      </c>
      <c r="AP34" s="90">
        <f t="shared" ref="AP34:AX34" si="43">AP8</f>
        <v>26365.824000000001</v>
      </c>
      <c r="AQ34" s="90">
        <f t="shared" si="43"/>
        <v>28568.175299999999</v>
      </c>
      <c r="AR34" s="90">
        <f t="shared" si="43"/>
        <v>30875.561913600002</v>
      </c>
      <c r="AS34" s="90">
        <f t="shared" si="43"/>
        <v>33257.136540720006</v>
      </c>
      <c r="AT34" s="90">
        <f t="shared" si="43"/>
        <v>35503.482802790408</v>
      </c>
      <c r="AU34" s="90">
        <f t="shared" si="43"/>
        <v>37549.559697850571</v>
      </c>
      <c r="AV34" s="90">
        <f t="shared" si="43"/>
        <v>39419.108845938426</v>
      </c>
      <c r="AW34" s="90">
        <f t="shared" si="43"/>
        <v>41068.378405534888</v>
      </c>
      <c r="AX34" s="90">
        <f t="shared" si="43"/>
        <v>42670.867863476044</v>
      </c>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row>
    <row r="35" spans="2:102">
      <c r="B35" s="1" t="s">
        <v>56</v>
      </c>
      <c r="C35" s="1">
        <v>3298</v>
      </c>
      <c r="D35" s="1">
        <v>3175</v>
      </c>
      <c r="E35" s="1">
        <v>3152</v>
      </c>
      <c r="F35" s="1">
        <v>3261</v>
      </c>
      <c r="G35" s="1">
        <v>3213</v>
      </c>
      <c r="H35" s="1">
        <v>3251</v>
      </c>
      <c r="I35" s="1">
        <v>2921</v>
      </c>
      <c r="J35" s="1">
        <v>3053</v>
      </c>
      <c r="K35" s="1">
        <v>2860</v>
      </c>
      <c r="L35" s="1">
        <v>2907</v>
      </c>
      <c r="M35" s="1">
        <v>3052</v>
      </c>
      <c r="N35" s="1">
        <v>3316</v>
      </c>
      <c r="O35" s="1">
        <v>3305</v>
      </c>
      <c r="P35" s="1">
        <v>3506</v>
      </c>
      <c r="Q35" s="1">
        <v>3608</v>
      </c>
      <c r="R35" s="1">
        <v>3887</v>
      </c>
      <c r="S35" s="1">
        <v>3863</v>
      </c>
      <c r="T35" s="1">
        <v>3939</v>
      </c>
      <c r="U35" s="1">
        <v>3873</v>
      </c>
      <c r="V35" s="1">
        <v>4126</v>
      </c>
      <c r="W35" s="1">
        <v>3782</v>
      </c>
      <c r="X35" s="1">
        <v>4091</v>
      </c>
      <c r="Y35" s="1">
        <v>4165</v>
      </c>
      <c r="Z35" s="1">
        <v>4202</v>
      </c>
      <c r="AA35" s="1">
        <v>4342</v>
      </c>
      <c r="AB35" s="1">
        <v>4379</v>
      </c>
      <c r="AI35" s="86">
        <f>SUM(C35:F35)</f>
        <v>12886</v>
      </c>
      <c r="AJ35" s="86">
        <f>SUM(G35:J35)</f>
        <v>12438</v>
      </c>
      <c r="AK35" s="86">
        <f>SUM(K35:N35)</f>
        <v>12135</v>
      </c>
      <c r="AL35" s="86">
        <f>SUM(O35:R35)</f>
        <v>14306</v>
      </c>
      <c r="AM35" s="86">
        <f>SUM(S35:V35)</f>
        <v>15801</v>
      </c>
      <c r="AN35" s="86">
        <f>SUM(W35:Z35)</f>
        <v>16240</v>
      </c>
      <c r="AO35" s="66">
        <f>AO34*(1-AO49)</f>
        <v>17996.296766521835</v>
      </c>
      <c r="AP35" s="66">
        <f t="shared" ref="AP35:AX35" si="44">AP34*(1-AP49)</f>
        <v>19582.939938714841</v>
      </c>
      <c r="AQ35" s="66">
        <f t="shared" si="44"/>
        <v>21218.713325954719</v>
      </c>
      <c r="AR35" s="66">
        <f t="shared" si="44"/>
        <v>22932.500593499382</v>
      </c>
      <c r="AS35" s="66">
        <f t="shared" si="44"/>
        <v>24701.390231936559</v>
      </c>
      <c r="AT35" s="66">
        <f t="shared" si="44"/>
        <v>26369.840416982217</v>
      </c>
      <c r="AU35" s="66">
        <f t="shared" si="44"/>
        <v>27889.542624884209</v>
      </c>
      <c r="AV35" s="66">
        <f t="shared" si="44"/>
        <v>29278.130695542648</v>
      </c>
      <c r="AW35" s="66">
        <f t="shared" si="44"/>
        <v>30503.108406397736</v>
      </c>
      <c r="AX35" s="66">
        <f t="shared" si="44"/>
        <v>31693.340686158284</v>
      </c>
    </row>
    <row r="36" spans="2:102">
      <c r="B36" s="1" t="s">
        <v>57</v>
      </c>
      <c r="C36" s="1">
        <f t="shared" ref="C36:V36" si="45">C34-C35</f>
        <v>1328</v>
      </c>
      <c r="D36" s="1">
        <f t="shared" si="45"/>
        <v>1270</v>
      </c>
      <c r="E36" s="1">
        <f t="shared" si="45"/>
        <v>1311</v>
      </c>
      <c r="F36" s="1">
        <f t="shared" si="45"/>
        <v>1399</v>
      </c>
      <c r="G36" s="1">
        <f t="shared" si="45"/>
        <v>1354</v>
      </c>
      <c r="H36" s="1">
        <f t="shared" si="45"/>
        <v>1417</v>
      </c>
      <c r="I36" s="1">
        <f t="shared" si="45"/>
        <v>1308</v>
      </c>
      <c r="J36" s="1">
        <f t="shared" si="45"/>
        <v>1297</v>
      </c>
      <c r="K36" s="1">
        <f t="shared" si="45"/>
        <v>1243</v>
      </c>
      <c r="L36" s="1">
        <f t="shared" si="45"/>
        <v>1228</v>
      </c>
      <c r="M36" s="1">
        <f t="shared" si="45"/>
        <v>1194</v>
      </c>
      <c r="N36" s="1">
        <f t="shared" si="45"/>
        <v>1262</v>
      </c>
      <c r="O36" s="1">
        <f t="shared" si="45"/>
        <v>1166</v>
      </c>
      <c r="P36" s="1">
        <f t="shared" si="45"/>
        <v>1187</v>
      </c>
      <c r="Q36" s="1">
        <f t="shared" si="45"/>
        <v>1307</v>
      </c>
      <c r="R36" s="1">
        <f t="shared" si="45"/>
        <v>1453</v>
      </c>
      <c r="S36" s="1">
        <f t="shared" si="45"/>
        <v>1348</v>
      </c>
      <c r="T36" s="1">
        <f t="shared" si="45"/>
        <v>1360</v>
      </c>
      <c r="U36" s="1">
        <f t="shared" si="45"/>
        <v>1419</v>
      </c>
      <c r="V36" s="1">
        <f t="shared" si="45"/>
        <v>1397</v>
      </c>
      <c r="W36" s="1">
        <f>W34-W35</f>
        <v>1350</v>
      </c>
      <c r="X36" s="1">
        <f t="shared" ref="X36:AA36" si="46">X34-X35</f>
        <v>1335</v>
      </c>
      <c r="Y36" s="1">
        <f t="shared" si="46"/>
        <v>1494</v>
      </c>
      <c r="Z36" s="1">
        <f t="shared" si="46"/>
        <v>1446</v>
      </c>
      <c r="AA36" s="1">
        <f t="shared" si="46"/>
        <v>1402</v>
      </c>
      <c r="AB36" s="1">
        <f t="shared" ref="AB36" si="47">AB34-AB35</f>
        <v>1502</v>
      </c>
      <c r="AI36" s="86">
        <f t="shared" ref="AI36:AI47" si="48">SUM(C36:F36)</f>
        <v>5308</v>
      </c>
      <c r="AJ36" s="86">
        <f t="shared" ref="AJ36:AJ47" si="49">SUM(G36:J36)</f>
        <v>5376</v>
      </c>
      <c r="AK36" s="86">
        <f t="shared" ref="AK36:AK47" si="50">SUM(K36:N36)</f>
        <v>4927</v>
      </c>
      <c r="AL36" s="86">
        <f t="shared" ref="AL36:AL47" si="51">SUM(O36:R36)</f>
        <v>5113</v>
      </c>
      <c r="AM36" s="86">
        <f t="shared" ref="AM36:AM47" si="52">SUM(S36:V36)</f>
        <v>5524</v>
      </c>
      <c r="AN36" s="86">
        <f t="shared" ref="AN36:AN47" si="53">SUM(W36:Z36)</f>
        <v>5625</v>
      </c>
      <c r="AO36" s="66">
        <f>AO34*AO49</f>
        <v>6233.3232334781615</v>
      </c>
      <c r="AP36" s="66">
        <f t="shared" ref="AP36:AX36" si="54">AP34*AP49</f>
        <v>6782.88406128516</v>
      </c>
      <c r="AQ36" s="66">
        <f t="shared" si="54"/>
        <v>7349.4619740452781</v>
      </c>
      <c r="AR36" s="66">
        <f t="shared" si="54"/>
        <v>7943.061320100619</v>
      </c>
      <c r="AS36" s="66">
        <f t="shared" si="54"/>
        <v>8555.7463087834458</v>
      </c>
      <c r="AT36" s="66">
        <f t="shared" si="54"/>
        <v>9133.6423858081889</v>
      </c>
      <c r="AU36" s="66">
        <f t="shared" si="54"/>
        <v>9660.0170729663605</v>
      </c>
      <c r="AV36" s="66">
        <f t="shared" si="54"/>
        <v>10140.978150395777</v>
      </c>
      <c r="AW36" s="66">
        <f t="shared" si="54"/>
        <v>10565.269999137148</v>
      </c>
      <c r="AX36" s="66">
        <f t="shared" si="54"/>
        <v>10977.527177317757</v>
      </c>
    </row>
    <row r="37" spans="2:102">
      <c r="B37" s="1" t="s">
        <v>183</v>
      </c>
      <c r="C37" s="1">
        <v>812</v>
      </c>
      <c r="D37" s="1">
        <v>855</v>
      </c>
      <c r="E37" s="1">
        <v>817</v>
      </c>
      <c r="F37" s="1">
        <v>831</v>
      </c>
      <c r="G37" s="1">
        <v>863</v>
      </c>
      <c r="H37" s="1">
        <v>1036</v>
      </c>
      <c r="I37" s="1">
        <v>793</v>
      </c>
      <c r="J37" s="1">
        <v>575</v>
      </c>
      <c r="K37" s="1">
        <v>745</v>
      </c>
      <c r="L37" s="1">
        <v>744</v>
      </c>
      <c r="M37" s="1">
        <v>1544</v>
      </c>
      <c r="N37" s="1">
        <v>767</v>
      </c>
      <c r="O37" s="1">
        <v>773</v>
      </c>
      <c r="P37" s="1">
        <v>787</v>
      </c>
      <c r="Q37" s="1">
        <v>828</v>
      </c>
      <c r="R37" s="1">
        <v>1299</v>
      </c>
      <c r="S37" s="1">
        <v>970</v>
      </c>
      <c r="T37" s="1">
        <v>884</v>
      </c>
      <c r="U37" s="1">
        <v>924</v>
      </c>
      <c r="V37" s="1">
        <v>790</v>
      </c>
      <c r="W37" s="1">
        <v>825</v>
      </c>
      <c r="X37" s="1">
        <v>764</v>
      </c>
      <c r="Y37" s="1">
        <v>873</v>
      </c>
      <c r="Z37" s="1">
        <v>1053</v>
      </c>
      <c r="AA37" s="1">
        <v>750</v>
      </c>
      <c r="AB37" s="1">
        <v>848</v>
      </c>
      <c r="AI37" s="86">
        <f t="shared" si="48"/>
        <v>3315</v>
      </c>
      <c r="AJ37" s="86">
        <f t="shared" si="49"/>
        <v>3267</v>
      </c>
      <c r="AK37" s="86">
        <f t="shared" si="50"/>
        <v>3800</v>
      </c>
      <c r="AL37" s="86">
        <f t="shared" si="51"/>
        <v>3687</v>
      </c>
      <c r="AM37" s="86">
        <f t="shared" si="52"/>
        <v>3568</v>
      </c>
      <c r="AN37" s="86">
        <f t="shared" si="53"/>
        <v>3515</v>
      </c>
      <c r="AO37" s="66">
        <f>AO34*AO50</f>
        <v>3634.4429999999998</v>
      </c>
      <c r="AP37" s="66">
        <f t="shared" ref="AP37:AX37" si="55">AP34*AP50</f>
        <v>3954.8735999999999</v>
      </c>
      <c r="AQ37" s="66">
        <f t="shared" si="55"/>
        <v>4285.2262949999995</v>
      </c>
      <c r="AR37" s="66">
        <f t="shared" si="55"/>
        <v>4631.3342870400002</v>
      </c>
      <c r="AS37" s="66">
        <f t="shared" si="55"/>
        <v>4988.5704811080004</v>
      </c>
      <c r="AT37" s="66">
        <f t="shared" si="55"/>
        <v>5325.5224204185606</v>
      </c>
      <c r="AU37" s="66">
        <f t="shared" si="55"/>
        <v>5632.4339546775855</v>
      </c>
      <c r="AV37" s="66">
        <f t="shared" si="55"/>
        <v>5912.866326890764</v>
      </c>
      <c r="AW37" s="66">
        <f t="shared" si="55"/>
        <v>6160.2567608302334</v>
      </c>
      <c r="AX37" s="66">
        <f t="shared" si="55"/>
        <v>6400.6301795214067</v>
      </c>
    </row>
    <row r="38" spans="2:102">
      <c r="B38" s="1" t="s">
        <v>184</v>
      </c>
      <c r="C38" s="1">
        <f t="shared" ref="C38:AA38" si="56">C36-C37</f>
        <v>516</v>
      </c>
      <c r="D38" s="1">
        <f t="shared" si="56"/>
        <v>415</v>
      </c>
      <c r="E38" s="1">
        <f t="shared" si="56"/>
        <v>494</v>
      </c>
      <c r="F38" s="1">
        <f t="shared" si="56"/>
        <v>568</v>
      </c>
      <c r="G38" s="1">
        <f t="shared" si="56"/>
        <v>491</v>
      </c>
      <c r="H38" s="1">
        <f t="shared" si="56"/>
        <v>381</v>
      </c>
      <c r="I38" s="1">
        <f t="shared" si="56"/>
        <v>515</v>
      </c>
      <c r="J38" s="1">
        <f t="shared" si="56"/>
        <v>722</v>
      </c>
      <c r="K38" s="1">
        <f t="shared" si="56"/>
        <v>498</v>
      </c>
      <c r="L38" s="1">
        <f t="shared" si="56"/>
        <v>484</v>
      </c>
      <c r="M38" s="1">
        <f t="shared" si="56"/>
        <v>-350</v>
      </c>
      <c r="N38" s="1">
        <f t="shared" si="56"/>
        <v>495</v>
      </c>
      <c r="O38" s="1">
        <f t="shared" si="56"/>
        <v>393</v>
      </c>
      <c r="P38" s="1">
        <f t="shared" si="56"/>
        <v>400</v>
      </c>
      <c r="Q38" s="1">
        <f t="shared" si="56"/>
        <v>479</v>
      </c>
      <c r="R38" s="1">
        <f t="shared" si="56"/>
        <v>154</v>
      </c>
      <c r="S38" s="1">
        <f t="shared" si="56"/>
        <v>378</v>
      </c>
      <c r="T38" s="1">
        <f t="shared" si="56"/>
        <v>476</v>
      </c>
      <c r="U38" s="1">
        <f t="shared" si="56"/>
        <v>495</v>
      </c>
      <c r="V38" s="1">
        <f t="shared" si="56"/>
        <v>607</v>
      </c>
      <c r="W38" s="1">
        <f t="shared" si="56"/>
        <v>525</v>
      </c>
      <c r="X38" s="1">
        <f t="shared" si="56"/>
        <v>571</v>
      </c>
      <c r="Y38" s="1">
        <f t="shared" si="56"/>
        <v>621</v>
      </c>
      <c r="Z38" s="1">
        <f t="shared" si="56"/>
        <v>393</v>
      </c>
      <c r="AA38" s="1">
        <f t="shared" si="56"/>
        <v>652</v>
      </c>
      <c r="AB38" s="1">
        <f>AB36-AB37</f>
        <v>654</v>
      </c>
      <c r="AI38" s="86">
        <f t="shared" si="48"/>
        <v>1993</v>
      </c>
      <c r="AJ38" s="86">
        <f t="shared" si="49"/>
        <v>2109</v>
      </c>
      <c r="AK38" s="86">
        <f t="shared" si="50"/>
        <v>1127</v>
      </c>
      <c r="AL38" s="86">
        <f t="shared" si="51"/>
        <v>1426</v>
      </c>
      <c r="AM38" s="86">
        <f t="shared" si="52"/>
        <v>1956</v>
      </c>
      <c r="AN38" s="86">
        <f t="shared" si="53"/>
        <v>2110</v>
      </c>
      <c r="AO38" s="66">
        <f>AO36-AO37</f>
        <v>2598.8802334781617</v>
      </c>
      <c r="AP38" s="66">
        <f t="shared" ref="AP38:AX38" si="57">AP36-AP37</f>
        <v>2828.0104612851601</v>
      </c>
      <c r="AQ38" s="66">
        <f t="shared" si="57"/>
        <v>3064.2356790452786</v>
      </c>
      <c r="AR38" s="66">
        <f t="shared" si="57"/>
        <v>3311.7270330606189</v>
      </c>
      <c r="AS38" s="66">
        <f t="shared" si="57"/>
        <v>3567.1758276754454</v>
      </c>
      <c r="AT38" s="66">
        <f t="shared" si="57"/>
        <v>3808.1199653896283</v>
      </c>
      <c r="AU38" s="66">
        <f t="shared" si="57"/>
        <v>4027.583118288775</v>
      </c>
      <c r="AV38" s="66">
        <f t="shared" si="57"/>
        <v>4228.1118235050126</v>
      </c>
      <c r="AW38" s="66">
        <f t="shared" si="57"/>
        <v>4405.0132383069149</v>
      </c>
      <c r="AX38" s="66">
        <f t="shared" si="57"/>
        <v>4576.8969977963507</v>
      </c>
    </row>
    <row r="39" spans="2:102">
      <c r="B39" s="1" t="s">
        <v>214</v>
      </c>
      <c r="C39" s="84">
        <v>0</v>
      </c>
      <c r="D39" s="84">
        <v>0</v>
      </c>
      <c r="E39" s="84">
        <v>0</v>
      </c>
      <c r="F39" s="84">
        <v>0</v>
      </c>
      <c r="G39" s="84">
        <v>0</v>
      </c>
      <c r="H39" s="84">
        <v>0</v>
      </c>
      <c r="I39" s="84">
        <v>0</v>
      </c>
      <c r="J39" s="84">
        <v>0</v>
      </c>
      <c r="K39" s="84">
        <v>0</v>
      </c>
      <c r="L39" s="84">
        <v>0</v>
      </c>
      <c r="M39" s="84">
        <v>0</v>
      </c>
      <c r="N39" s="84">
        <v>0</v>
      </c>
      <c r="O39" s="84">
        <v>0</v>
      </c>
      <c r="P39" s="84">
        <v>0</v>
      </c>
      <c r="Q39" s="84">
        <v>0</v>
      </c>
      <c r="R39" s="84">
        <v>0</v>
      </c>
      <c r="S39" s="84">
        <v>0</v>
      </c>
      <c r="T39" s="84">
        <v>0</v>
      </c>
      <c r="U39" s="84">
        <v>0</v>
      </c>
      <c r="V39" s="84">
        <v>0</v>
      </c>
      <c r="W39" s="84">
        <v>0</v>
      </c>
      <c r="X39" s="84">
        <v>0</v>
      </c>
      <c r="Y39" s="84">
        <v>0</v>
      </c>
      <c r="Z39" s="84">
        <v>0</v>
      </c>
      <c r="AA39" s="84">
        <v>0</v>
      </c>
      <c r="AB39" s="84">
        <v>0</v>
      </c>
      <c r="AI39" s="84">
        <f t="shared" si="48"/>
        <v>0</v>
      </c>
      <c r="AJ39" s="84">
        <f t="shared" si="49"/>
        <v>0</v>
      </c>
      <c r="AK39" s="84">
        <f t="shared" si="50"/>
        <v>0</v>
      </c>
      <c r="AL39" s="84">
        <f t="shared" si="51"/>
        <v>0</v>
      </c>
      <c r="AM39" s="84">
        <f t="shared" si="52"/>
        <v>0</v>
      </c>
      <c r="AN39" s="84">
        <f t="shared" si="53"/>
        <v>0</v>
      </c>
      <c r="AO39" s="66">
        <f>AN55*$BH$55</f>
        <v>46.5015</v>
      </c>
      <c r="AP39" s="66">
        <f t="shared" ref="AP39:AX39" si="58">AO55*$BH$55</f>
        <v>119.21604447035502</v>
      </c>
      <c r="AQ39" s="66">
        <f t="shared" si="58"/>
        <v>204.72269832879016</v>
      </c>
      <c r="AR39" s="66">
        <f t="shared" si="58"/>
        <v>303.65074614279325</v>
      </c>
      <c r="AS39" s="66">
        <f t="shared" si="58"/>
        <v>416.81386107174751</v>
      </c>
      <c r="AT39" s="66">
        <f t="shared" si="58"/>
        <v>544.93990745579401</v>
      </c>
      <c r="AU39" s="66">
        <f t="shared" si="58"/>
        <v>687.9591521001023</v>
      </c>
      <c r="AV39" s="66">
        <f t="shared" si="58"/>
        <v>845.5469677635997</v>
      </c>
      <c r="AW39" s="66">
        <f t="shared" si="58"/>
        <v>1017.4661501725938</v>
      </c>
      <c r="AX39" s="66">
        <f t="shared" si="58"/>
        <v>1203.3021320043413</v>
      </c>
    </row>
    <row r="40" spans="2:102">
      <c r="B40" s="1" t="s">
        <v>189</v>
      </c>
      <c r="C40" s="1">
        <v>-295</v>
      </c>
      <c r="D40" s="1">
        <v>-79</v>
      </c>
      <c r="E40" s="1">
        <v>24</v>
      </c>
      <c r="F40" s="1">
        <v>-321</v>
      </c>
      <c r="G40" s="1">
        <v>-26</v>
      </c>
      <c r="H40" s="1">
        <v>201</v>
      </c>
      <c r="I40" s="1">
        <v>71</v>
      </c>
      <c r="J40" s="1">
        <v>-134</v>
      </c>
      <c r="K40" s="1">
        <v>38</v>
      </c>
      <c r="L40" s="1">
        <v>41</v>
      </c>
      <c r="M40" s="1">
        <v>29</v>
      </c>
      <c r="N40" s="1">
        <v>38</v>
      </c>
      <c r="O40" s="1">
        <v>-20</v>
      </c>
      <c r="P40" s="1">
        <v>-28</v>
      </c>
      <c r="Q40" s="1">
        <v>-79</v>
      </c>
      <c r="R40" s="1">
        <v>-78</v>
      </c>
      <c r="S40" s="1">
        <v>-88</v>
      </c>
      <c r="T40" s="1">
        <v>-86</v>
      </c>
      <c r="U40" s="1">
        <v>-65</v>
      </c>
      <c r="V40" s="1">
        <v>-120</v>
      </c>
      <c r="W40" s="1">
        <v>-66</v>
      </c>
      <c r="X40" s="1">
        <v>-47</v>
      </c>
      <c r="Y40" s="1">
        <v>-54</v>
      </c>
      <c r="Z40" s="1">
        <v>-11</v>
      </c>
      <c r="AA40" s="1">
        <v>-63</v>
      </c>
      <c r="AB40" s="1">
        <v>56</v>
      </c>
      <c r="AI40" s="86">
        <f t="shared" si="48"/>
        <v>-671</v>
      </c>
      <c r="AJ40" s="86">
        <f t="shared" si="49"/>
        <v>112</v>
      </c>
      <c r="AK40" s="86">
        <f t="shared" si="50"/>
        <v>146</v>
      </c>
      <c r="AL40" s="86">
        <f t="shared" si="51"/>
        <v>-205</v>
      </c>
      <c r="AM40" s="86">
        <f t="shared" si="52"/>
        <v>-359</v>
      </c>
      <c r="AN40" s="86">
        <f t="shared" si="53"/>
        <v>-178</v>
      </c>
      <c r="AO40" s="66">
        <f>AN74*(-$BC$72)</f>
        <v>-678.79500000000007</v>
      </c>
      <c r="AP40" s="66">
        <f t="shared" ref="AP40:AX40" si="59">AO74*(-$BC$72)</f>
        <v>-634.67332499999998</v>
      </c>
      <c r="AQ40" s="66">
        <f t="shared" si="59"/>
        <v>-593.41955887500001</v>
      </c>
      <c r="AR40" s="66">
        <f t="shared" si="59"/>
        <v>-554.847287548125</v>
      </c>
      <c r="AS40" s="66">
        <f t="shared" si="59"/>
        <v>-518.78221385749691</v>
      </c>
      <c r="AT40" s="66">
        <f t="shared" si="59"/>
        <v>-485.06136995675956</v>
      </c>
      <c r="AU40" s="66">
        <f t="shared" si="59"/>
        <v>-453.53238090957024</v>
      </c>
      <c r="AV40" s="66">
        <f t="shared" si="59"/>
        <v>-424.05277615044821</v>
      </c>
      <c r="AW40" s="66">
        <f t="shared" si="59"/>
        <v>-396.48934570066905</v>
      </c>
      <c r="AX40" s="66">
        <f t="shared" si="59"/>
        <v>-370.71753823012557</v>
      </c>
    </row>
    <row r="41" spans="2:102">
      <c r="B41" s="1" t="s">
        <v>185</v>
      </c>
      <c r="C41" s="1">
        <f t="shared" ref="C41:AA41" si="60">C38+SUM(C39:C40)</f>
        <v>221</v>
      </c>
      <c r="D41" s="1">
        <f t="shared" si="60"/>
        <v>336</v>
      </c>
      <c r="E41" s="1">
        <f t="shared" si="60"/>
        <v>518</v>
      </c>
      <c r="F41" s="1">
        <f t="shared" si="60"/>
        <v>247</v>
      </c>
      <c r="G41" s="1">
        <f t="shared" si="60"/>
        <v>465</v>
      </c>
      <c r="H41" s="1">
        <f t="shared" si="60"/>
        <v>582</v>
      </c>
      <c r="I41" s="1">
        <f t="shared" si="60"/>
        <v>586</v>
      </c>
      <c r="J41" s="1">
        <f t="shared" si="60"/>
        <v>588</v>
      </c>
      <c r="K41" s="1">
        <f t="shared" si="60"/>
        <v>536</v>
      </c>
      <c r="L41" s="1">
        <f t="shared" si="60"/>
        <v>525</v>
      </c>
      <c r="M41" s="1">
        <f t="shared" si="60"/>
        <v>-321</v>
      </c>
      <c r="N41" s="1">
        <f t="shared" si="60"/>
        <v>533</v>
      </c>
      <c r="O41" s="1">
        <f t="shared" si="60"/>
        <v>373</v>
      </c>
      <c r="P41" s="1">
        <f t="shared" si="60"/>
        <v>372</v>
      </c>
      <c r="Q41" s="1">
        <f t="shared" si="60"/>
        <v>400</v>
      </c>
      <c r="R41" s="1">
        <f t="shared" si="60"/>
        <v>76</v>
      </c>
      <c r="S41" s="1">
        <f t="shared" si="60"/>
        <v>290</v>
      </c>
      <c r="T41" s="1">
        <f t="shared" si="60"/>
        <v>390</v>
      </c>
      <c r="U41" s="1">
        <f t="shared" si="60"/>
        <v>430</v>
      </c>
      <c r="V41" s="1">
        <f t="shared" si="60"/>
        <v>487</v>
      </c>
      <c r="W41" s="1">
        <f t="shared" si="60"/>
        <v>459</v>
      </c>
      <c r="X41" s="1">
        <f t="shared" si="60"/>
        <v>524</v>
      </c>
      <c r="Y41" s="1">
        <f t="shared" si="60"/>
        <v>567</v>
      </c>
      <c r="Z41" s="1">
        <f t="shared" si="60"/>
        <v>382</v>
      </c>
      <c r="AA41" s="1">
        <f t="shared" si="60"/>
        <v>589</v>
      </c>
      <c r="AB41" s="1">
        <f>AB38+SUM(AB39:AB40)</f>
        <v>710</v>
      </c>
      <c r="AI41" s="86">
        <f t="shared" si="48"/>
        <v>1322</v>
      </c>
      <c r="AJ41" s="86">
        <f t="shared" si="49"/>
        <v>2221</v>
      </c>
      <c r="AK41" s="86">
        <f t="shared" si="50"/>
        <v>1273</v>
      </c>
      <c r="AL41" s="86">
        <f t="shared" si="51"/>
        <v>1221</v>
      </c>
      <c r="AM41" s="86">
        <f t="shared" si="52"/>
        <v>1597</v>
      </c>
      <c r="AN41" s="86">
        <f t="shared" si="53"/>
        <v>1932</v>
      </c>
      <c r="AO41" s="66">
        <f>AO38+SUM(AO39:AO40)</f>
        <v>1966.5867334781615</v>
      </c>
      <c r="AP41" s="66">
        <f t="shared" ref="AP41:AX41" si="61">AP38+SUM(AP39:AP40)</f>
        <v>2312.5531807555153</v>
      </c>
      <c r="AQ41" s="66">
        <f t="shared" si="61"/>
        <v>2675.5388184990688</v>
      </c>
      <c r="AR41" s="66">
        <f t="shared" si="61"/>
        <v>3060.5304916552873</v>
      </c>
      <c r="AS41" s="66">
        <f t="shared" si="61"/>
        <v>3465.2074748896957</v>
      </c>
      <c r="AT41" s="66">
        <f t="shared" si="61"/>
        <v>3867.9985028886626</v>
      </c>
      <c r="AU41" s="66">
        <f t="shared" si="61"/>
        <v>4262.0098894793073</v>
      </c>
      <c r="AV41" s="66">
        <f t="shared" si="61"/>
        <v>4649.6060151181637</v>
      </c>
      <c r="AW41" s="66">
        <f t="shared" si="61"/>
        <v>5025.9900427788398</v>
      </c>
      <c r="AX41" s="66">
        <f t="shared" si="61"/>
        <v>5409.4815915705667</v>
      </c>
    </row>
    <row r="42" spans="2:102">
      <c r="B42" s="1" t="s">
        <v>186</v>
      </c>
      <c r="C42" s="1">
        <v>26</v>
      </c>
      <c r="D42" s="1">
        <v>58</v>
      </c>
      <c r="E42" s="1">
        <v>87</v>
      </c>
      <c r="F42" s="1">
        <v>63</v>
      </c>
      <c r="G42" s="1">
        <v>60</v>
      </c>
      <c r="H42" s="1">
        <v>169</v>
      </c>
      <c r="I42" s="1">
        <v>107</v>
      </c>
      <c r="J42" s="1">
        <v>104</v>
      </c>
      <c r="K42" s="1">
        <v>61</v>
      </c>
      <c r="L42" s="1">
        <v>55</v>
      </c>
      <c r="M42" s="1">
        <v>-20</v>
      </c>
      <c r="N42" s="1">
        <v>116</v>
      </c>
      <c r="O42" s="1">
        <v>34</v>
      </c>
      <c r="P42" s="1">
        <v>21</v>
      </c>
      <c r="Q42" s="1">
        <v>18</v>
      </c>
      <c r="R42" s="1">
        <v>-50</v>
      </c>
      <c r="S42" s="1">
        <v>5</v>
      </c>
      <c r="T42" s="1">
        <v>23</v>
      </c>
      <c r="U42" s="1">
        <v>26</v>
      </c>
      <c r="V42" s="1">
        <v>31</v>
      </c>
      <c r="W42" s="1">
        <v>73</v>
      </c>
      <c r="X42" s="1">
        <v>66</v>
      </c>
      <c r="Y42" s="1">
        <v>105</v>
      </c>
      <c r="Z42" s="1">
        <v>82</v>
      </c>
      <c r="AA42" s="1">
        <v>77</v>
      </c>
      <c r="AB42" s="1">
        <v>110</v>
      </c>
      <c r="AI42" s="86">
        <f t="shared" si="48"/>
        <v>234</v>
      </c>
      <c r="AJ42" s="86">
        <f t="shared" si="49"/>
        <v>440</v>
      </c>
      <c r="AK42" s="86">
        <f t="shared" si="50"/>
        <v>212</v>
      </c>
      <c r="AL42" s="86">
        <f t="shared" si="51"/>
        <v>23</v>
      </c>
      <c r="AM42" s="86">
        <f t="shared" si="52"/>
        <v>85</v>
      </c>
      <c r="AN42" s="86">
        <f t="shared" si="53"/>
        <v>326</v>
      </c>
      <c r="AO42" s="66">
        <f>AO41*AO52</f>
        <v>294.98801002172422</v>
      </c>
      <c r="AP42" s="66">
        <f t="shared" ref="AP42:AX42" si="62">AP41*AP52</f>
        <v>346.88297711332729</v>
      </c>
      <c r="AQ42" s="66">
        <f t="shared" si="62"/>
        <v>401.33082277486034</v>
      </c>
      <c r="AR42" s="66">
        <f t="shared" si="62"/>
        <v>459.07957374829306</v>
      </c>
      <c r="AS42" s="66">
        <f t="shared" si="62"/>
        <v>519.78112123345431</v>
      </c>
      <c r="AT42" s="66">
        <f t="shared" si="62"/>
        <v>580.19977543329935</v>
      </c>
      <c r="AU42" s="66">
        <f t="shared" si="62"/>
        <v>639.30148342189602</v>
      </c>
      <c r="AV42" s="66">
        <f t="shared" si="62"/>
        <v>697.44090226772448</v>
      </c>
      <c r="AW42" s="66">
        <f t="shared" si="62"/>
        <v>753.89850641682597</v>
      </c>
      <c r="AX42" s="66">
        <f t="shared" si="62"/>
        <v>811.42223873558498</v>
      </c>
    </row>
    <row r="43" spans="2:102">
      <c r="B43" s="1" t="s">
        <v>68</v>
      </c>
      <c r="C43" s="1">
        <f t="shared" ref="C43:AA43" si="63">C41-C42</f>
        <v>195</v>
      </c>
      <c r="D43" s="1">
        <f t="shared" si="63"/>
        <v>278</v>
      </c>
      <c r="E43" s="1">
        <f t="shared" si="63"/>
        <v>431</v>
      </c>
      <c r="F43" s="1">
        <f t="shared" si="63"/>
        <v>184</v>
      </c>
      <c r="G43" s="1">
        <f t="shared" si="63"/>
        <v>405</v>
      </c>
      <c r="H43" s="1">
        <f t="shared" si="63"/>
        <v>413</v>
      </c>
      <c r="I43" s="1">
        <f t="shared" si="63"/>
        <v>479</v>
      </c>
      <c r="J43" s="1">
        <f t="shared" si="63"/>
        <v>484</v>
      </c>
      <c r="K43" s="1">
        <f t="shared" si="63"/>
        <v>475</v>
      </c>
      <c r="L43" s="1">
        <f t="shared" si="63"/>
        <v>470</v>
      </c>
      <c r="M43" s="1">
        <f t="shared" si="63"/>
        <v>-301</v>
      </c>
      <c r="N43" s="1">
        <f t="shared" si="63"/>
        <v>417</v>
      </c>
      <c r="O43" s="1">
        <f t="shared" si="63"/>
        <v>339</v>
      </c>
      <c r="P43" s="1">
        <f t="shared" si="63"/>
        <v>351</v>
      </c>
      <c r="Q43" s="1">
        <f t="shared" si="63"/>
        <v>382</v>
      </c>
      <c r="R43" s="1">
        <f t="shared" si="63"/>
        <v>126</v>
      </c>
      <c r="S43" s="1">
        <f t="shared" si="63"/>
        <v>285</v>
      </c>
      <c r="T43" s="1">
        <f t="shared" si="63"/>
        <v>367</v>
      </c>
      <c r="U43" s="1">
        <f t="shared" si="63"/>
        <v>404</v>
      </c>
      <c r="V43" s="1">
        <f t="shared" si="63"/>
        <v>456</v>
      </c>
      <c r="W43" s="1">
        <f t="shared" si="63"/>
        <v>386</v>
      </c>
      <c r="X43" s="1">
        <f t="shared" si="63"/>
        <v>458</v>
      </c>
      <c r="Y43" s="1">
        <f t="shared" si="63"/>
        <v>462</v>
      </c>
      <c r="Z43" s="1">
        <f t="shared" si="63"/>
        <v>300</v>
      </c>
      <c r="AA43" s="1">
        <f t="shared" si="63"/>
        <v>512</v>
      </c>
      <c r="AB43" s="1">
        <f>AB41-AB42</f>
        <v>600</v>
      </c>
      <c r="AI43" s="86">
        <f t="shared" si="48"/>
        <v>1088</v>
      </c>
      <c r="AJ43" s="86">
        <f t="shared" si="49"/>
        <v>1781</v>
      </c>
      <c r="AK43" s="86">
        <f t="shared" si="50"/>
        <v>1061</v>
      </c>
      <c r="AL43" s="86">
        <f t="shared" si="51"/>
        <v>1198</v>
      </c>
      <c r="AM43" s="86">
        <f t="shared" si="52"/>
        <v>1512</v>
      </c>
      <c r="AN43" s="86">
        <f t="shared" si="53"/>
        <v>1606</v>
      </c>
      <c r="AO43" s="66">
        <f>AO41-AO42</f>
        <v>1671.5987234564373</v>
      </c>
      <c r="AP43" s="66">
        <f t="shared" ref="AP43:AX43" si="64">AP41-AP42</f>
        <v>1965.670203642188</v>
      </c>
      <c r="AQ43" s="66">
        <f t="shared" si="64"/>
        <v>2274.2079957242086</v>
      </c>
      <c r="AR43" s="66">
        <f t="shared" si="64"/>
        <v>2601.4509179069942</v>
      </c>
      <c r="AS43" s="66">
        <f t="shared" si="64"/>
        <v>2945.4263536562412</v>
      </c>
      <c r="AT43" s="66">
        <f t="shared" si="64"/>
        <v>3287.7987274553634</v>
      </c>
      <c r="AU43" s="66">
        <f t="shared" si="64"/>
        <v>3622.7084060574111</v>
      </c>
      <c r="AV43" s="66">
        <f t="shared" si="64"/>
        <v>3952.1651128504391</v>
      </c>
      <c r="AW43" s="66">
        <f t="shared" si="64"/>
        <v>4272.0915363620134</v>
      </c>
      <c r="AX43" s="66">
        <f t="shared" si="64"/>
        <v>4598.0593528349818</v>
      </c>
    </row>
    <row r="44" spans="2:102">
      <c r="B44" s="1" t="s">
        <v>187</v>
      </c>
      <c r="C44" s="1">
        <v>0</v>
      </c>
      <c r="D44" s="1">
        <v>0</v>
      </c>
      <c r="E44" s="1">
        <v>0</v>
      </c>
      <c r="F44" s="1">
        <v>0</v>
      </c>
      <c r="G44" s="1">
        <v>0</v>
      </c>
      <c r="H44" s="1">
        <v>0</v>
      </c>
      <c r="I44" s="1">
        <v>0</v>
      </c>
      <c r="J44" s="1">
        <v>0</v>
      </c>
      <c r="K44" s="1">
        <v>0</v>
      </c>
      <c r="L44" s="1">
        <v>0</v>
      </c>
      <c r="M44" s="1">
        <v>0</v>
      </c>
      <c r="N44" s="1">
        <v>0</v>
      </c>
      <c r="O44" s="1">
        <v>0</v>
      </c>
      <c r="P44" s="1">
        <v>0</v>
      </c>
      <c r="Q44" s="1">
        <v>0</v>
      </c>
      <c r="R44" s="1">
        <v>0</v>
      </c>
      <c r="S44" s="1">
        <v>0</v>
      </c>
      <c r="T44" s="1">
        <v>0</v>
      </c>
      <c r="U44" s="1">
        <v>4</v>
      </c>
      <c r="V44" s="1">
        <v>0</v>
      </c>
      <c r="W44" s="1">
        <v>0</v>
      </c>
      <c r="X44" s="1">
        <v>0</v>
      </c>
      <c r="Y44" s="1">
        <v>0</v>
      </c>
      <c r="Z44" s="1">
        <v>0</v>
      </c>
      <c r="AA44" s="1">
        <v>0</v>
      </c>
      <c r="AB44" s="1">
        <v>14</v>
      </c>
      <c r="AI44" s="84">
        <f t="shared" si="48"/>
        <v>0</v>
      </c>
      <c r="AJ44" s="84">
        <f t="shared" si="49"/>
        <v>0</v>
      </c>
      <c r="AK44" s="84">
        <f t="shared" si="50"/>
        <v>0</v>
      </c>
      <c r="AL44" s="84">
        <f t="shared" si="51"/>
        <v>0</v>
      </c>
      <c r="AM44" s="86">
        <f t="shared" si="52"/>
        <v>4</v>
      </c>
      <c r="AN44" s="84">
        <f t="shared" si="53"/>
        <v>0</v>
      </c>
      <c r="AO44" s="92">
        <v>0</v>
      </c>
      <c r="AP44" s="92">
        <v>0</v>
      </c>
      <c r="AQ44" s="92">
        <v>0</v>
      </c>
      <c r="AR44" s="92">
        <v>0</v>
      </c>
      <c r="AS44" s="92">
        <v>0</v>
      </c>
      <c r="AT44" s="92">
        <v>0</v>
      </c>
      <c r="AU44" s="92">
        <v>0</v>
      </c>
      <c r="AV44" s="92">
        <v>0</v>
      </c>
      <c r="AW44" s="92">
        <v>0</v>
      </c>
      <c r="AX44" s="92">
        <v>0</v>
      </c>
    </row>
    <row r="45" spans="2:102" s="2" customFormat="1" ht="15">
      <c r="B45" s="2" t="s">
        <v>188</v>
      </c>
      <c r="C45" s="2">
        <f t="shared" ref="C45:AA45" si="65">C43-C44</f>
        <v>195</v>
      </c>
      <c r="D45" s="2">
        <f t="shared" si="65"/>
        <v>278</v>
      </c>
      <c r="E45" s="2">
        <f t="shared" si="65"/>
        <v>431</v>
      </c>
      <c r="F45" s="2">
        <f t="shared" si="65"/>
        <v>184</v>
      </c>
      <c r="G45" s="2">
        <f t="shared" si="65"/>
        <v>405</v>
      </c>
      <c r="H45" s="2">
        <f t="shared" si="65"/>
        <v>413</v>
      </c>
      <c r="I45" s="2">
        <f t="shared" si="65"/>
        <v>479</v>
      </c>
      <c r="J45" s="2">
        <f t="shared" si="65"/>
        <v>484</v>
      </c>
      <c r="K45" s="2">
        <f t="shared" si="65"/>
        <v>475</v>
      </c>
      <c r="L45" s="2">
        <f t="shared" si="65"/>
        <v>470</v>
      </c>
      <c r="M45" s="2">
        <f t="shared" si="65"/>
        <v>-301</v>
      </c>
      <c r="N45" s="2">
        <f t="shared" si="65"/>
        <v>417</v>
      </c>
      <c r="O45" s="2">
        <f t="shared" si="65"/>
        <v>339</v>
      </c>
      <c r="P45" s="2">
        <f t="shared" si="65"/>
        <v>351</v>
      </c>
      <c r="Q45" s="2">
        <f t="shared" si="65"/>
        <v>382</v>
      </c>
      <c r="R45" s="2">
        <f t="shared" si="65"/>
        <v>126</v>
      </c>
      <c r="S45" s="2">
        <f t="shared" si="65"/>
        <v>285</v>
      </c>
      <c r="T45" s="2">
        <f t="shared" si="65"/>
        <v>367</v>
      </c>
      <c r="U45" s="2">
        <f t="shared" si="65"/>
        <v>400</v>
      </c>
      <c r="V45" s="2">
        <f t="shared" si="65"/>
        <v>456</v>
      </c>
      <c r="W45" s="2">
        <f t="shared" si="65"/>
        <v>386</v>
      </c>
      <c r="X45" s="2">
        <f t="shared" si="65"/>
        <v>458</v>
      </c>
      <c r="Y45" s="2">
        <f t="shared" si="65"/>
        <v>462</v>
      </c>
      <c r="Z45" s="2">
        <f t="shared" si="65"/>
        <v>300</v>
      </c>
      <c r="AA45" s="2">
        <f t="shared" si="65"/>
        <v>512</v>
      </c>
      <c r="AB45" s="2">
        <f>AB43-AB44</f>
        <v>586</v>
      </c>
      <c r="AC45" s="34"/>
      <c r="AD45" s="34"/>
      <c r="AI45" s="86">
        <f t="shared" si="48"/>
        <v>1088</v>
      </c>
      <c r="AJ45" s="86">
        <f t="shared" si="49"/>
        <v>1781</v>
      </c>
      <c r="AK45" s="86">
        <f t="shared" si="50"/>
        <v>1061</v>
      </c>
      <c r="AL45" s="86">
        <f t="shared" si="51"/>
        <v>1198</v>
      </c>
      <c r="AM45" s="86">
        <f t="shared" si="52"/>
        <v>1508</v>
      </c>
      <c r="AN45" s="86">
        <f t="shared" si="53"/>
        <v>1606</v>
      </c>
      <c r="AO45" s="90">
        <f>AO43-AO44</f>
        <v>1671.5987234564373</v>
      </c>
      <c r="AP45" s="90">
        <f t="shared" ref="AP45:AX45" si="66">AP43-AP44</f>
        <v>1965.670203642188</v>
      </c>
      <c r="AQ45" s="90">
        <f t="shared" si="66"/>
        <v>2274.2079957242086</v>
      </c>
      <c r="AR45" s="90">
        <f t="shared" si="66"/>
        <v>2601.4509179069942</v>
      </c>
      <c r="AS45" s="90">
        <f t="shared" si="66"/>
        <v>2945.4263536562412</v>
      </c>
      <c r="AT45" s="90">
        <f t="shared" si="66"/>
        <v>3287.7987274553634</v>
      </c>
      <c r="AU45" s="90">
        <f t="shared" si="66"/>
        <v>3622.7084060574111</v>
      </c>
      <c r="AV45" s="90">
        <f t="shared" si="66"/>
        <v>3952.1651128504391</v>
      </c>
      <c r="AW45" s="90">
        <f t="shared" si="66"/>
        <v>4272.0915363620134</v>
      </c>
      <c r="AX45" s="90">
        <f t="shared" si="66"/>
        <v>4598.0593528349818</v>
      </c>
      <c r="AY45" s="90">
        <f>AX45*(1+$BH$56)</f>
        <v>4655.535094745419</v>
      </c>
      <c r="AZ45" s="90">
        <f t="shared" ref="AZ45:CV45" si="67">AY45*(1+$BH$56)</f>
        <v>4713.7292834297368</v>
      </c>
      <c r="BA45" s="90">
        <f t="shared" si="67"/>
        <v>4772.6508994726082</v>
      </c>
      <c r="BB45" s="90">
        <f t="shared" si="67"/>
        <v>4832.3090357160154</v>
      </c>
      <c r="BC45" s="90">
        <f t="shared" si="67"/>
        <v>4892.7128986624657</v>
      </c>
      <c r="BD45" s="90">
        <f t="shared" si="67"/>
        <v>4953.8718098957461</v>
      </c>
      <c r="BE45" s="90">
        <f t="shared" si="67"/>
        <v>5015.7952075194426</v>
      </c>
      <c r="BF45" s="90">
        <f t="shared" si="67"/>
        <v>5078.4926476134351</v>
      </c>
      <c r="BG45" s="90">
        <f t="shared" si="67"/>
        <v>5141.9738057086024</v>
      </c>
      <c r="BH45" s="90">
        <f t="shared" si="67"/>
        <v>5206.2484782799593</v>
      </c>
      <c r="BI45" s="90">
        <f t="shared" si="67"/>
        <v>5271.3265842584588</v>
      </c>
      <c r="BJ45" s="90">
        <f t="shared" si="67"/>
        <v>5337.218166561689</v>
      </c>
      <c r="BK45" s="90">
        <f t="shared" si="67"/>
        <v>5403.9333936437097</v>
      </c>
      <c r="BL45" s="90">
        <f t="shared" si="67"/>
        <v>5471.4825610642556</v>
      </c>
      <c r="BM45" s="90">
        <f t="shared" si="67"/>
        <v>5539.8760930775588</v>
      </c>
      <c r="BN45" s="90">
        <f t="shared" si="67"/>
        <v>5609.1245442410282</v>
      </c>
      <c r="BO45" s="90">
        <f t="shared" si="67"/>
        <v>5679.2386010440405</v>
      </c>
      <c r="BP45" s="90">
        <f t="shared" si="67"/>
        <v>5750.2290835570911</v>
      </c>
      <c r="BQ45" s="90">
        <f t="shared" si="67"/>
        <v>5822.1069471015544</v>
      </c>
      <c r="BR45" s="90">
        <f t="shared" si="67"/>
        <v>5894.883283940324</v>
      </c>
      <c r="BS45" s="90">
        <f t="shared" si="67"/>
        <v>5968.5693249895776</v>
      </c>
      <c r="BT45" s="90">
        <f t="shared" si="67"/>
        <v>6043.1764415519474</v>
      </c>
      <c r="BU45" s="90">
        <f t="shared" si="67"/>
        <v>6118.7161470713463</v>
      </c>
      <c r="BV45" s="90">
        <f t="shared" si="67"/>
        <v>6195.2000989097378</v>
      </c>
      <c r="BW45" s="90">
        <f t="shared" si="67"/>
        <v>6272.640100146109</v>
      </c>
      <c r="BX45" s="90">
        <f t="shared" si="67"/>
        <v>6351.0481013979352</v>
      </c>
      <c r="BY45" s="90">
        <f t="shared" si="67"/>
        <v>6430.4362026654089</v>
      </c>
      <c r="BZ45" s="90">
        <f t="shared" si="67"/>
        <v>6510.816655198726</v>
      </c>
      <c r="CA45" s="90">
        <f t="shared" si="67"/>
        <v>6592.2018633887101</v>
      </c>
      <c r="CB45" s="90">
        <f t="shared" si="67"/>
        <v>6674.6043866810687</v>
      </c>
      <c r="CC45" s="90">
        <f t="shared" si="67"/>
        <v>6758.0369415145815</v>
      </c>
      <c r="CD45" s="90">
        <f t="shared" si="67"/>
        <v>6842.5124032835138</v>
      </c>
      <c r="CE45" s="90">
        <f t="shared" si="67"/>
        <v>6928.0438083245572</v>
      </c>
      <c r="CF45" s="90">
        <f t="shared" si="67"/>
        <v>7014.6443559286135</v>
      </c>
      <c r="CG45" s="90">
        <f t="shared" si="67"/>
        <v>7102.3274103777212</v>
      </c>
      <c r="CH45" s="90">
        <f t="shared" si="67"/>
        <v>7191.1065030074424</v>
      </c>
      <c r="CI45" s="90">
        <f t="shared" si="67"/>
        <v>7280.9953342950348</v>
      </c>
      <c r="CJ45" s="90">
        <f t="shared" si="67"/>
        <v>7372.0077759737223</v>
      </c>
      <c r="CK45" s="90">
        <f t="shared" si="67"/>
        <v>7464.1578731733935</v>
      </c>
      <c r="CL45" s="90">
        <f t="shared" si="67"/>
        <v>7557.4598465880608</v>
      </c>
      <c r="CM45" s="90">
        <f t="shared" si="67"/>
        <v>7651.9280946704112</v>
      </c>
      <c r="CN45" s="90">
        <f t="shared" si="67"/>
        <v>7747.5771958537907</v>
      </c>
      <c r="CO45" s="90">
        <f t="shared" si="67"/>
        <v>7844.4219108019624</v>
      </c>
      <c r="CP45" s="90">
        <f t="shared" si="67"/>
        <v>7942.4771846869862</v>
      </c>
      <c r="CQ45" s="90">
        <f t="shared" si="67"/>
        <v>8041.758149495573</v>
      </c>
      <c r="CR45" s="90">
        <f t="shared" si="67"/>
        <v>8142.2801263642668</v>
      </c>
      <c r="CS45" s="90">
        <f t="shared" si="67"/>
        <v>8244.0586279438194</v>
      </c>
      <c r="CT45" s="90">
        <f t="shared" si="67"/>
        <v>8347.1093607931161</v>
      </c>
      <c r="CU45" s="90">
        <f t="shared" si="67"/>
        <v>8451.44822780303</v>
      </c>
      <c r="CV45" s="90">
        <f t="shared" si="67"/>
        <v>8557.0913306505681</v>
      </c>
      <c r="CW45" s="34"/>
      <c r="CX45" s="34"/>
    </row>
    <row r="46" spans="2:102">
      <c r="B46" s="1" t="s">
        <v>72</v>
      </c>
      <c r="C46" s="1">
        <v>217</v>
      </c>
      <c r="D46" s="1">
        <v>216</v>
      </c>
      <c r="E46" s="1">
        <v>213</v>
      </c>
      <c r="F46" s="1">
        <v>214</v>
      </c>
      <c r="G46" s="1">
        <v>207</v>
      </c>
      <c r="H46" s="1">
        <v>204</v>
      </c>
      <c r="I46" s="1">
        <v>200</v>
      </c>
      <c r="J46" s="1">
        <v>201</v>
      </c>
      <c r="K46" s="1">
        <v>193</v>
      </c>
      <c r="L46" s="1">
        <v>192</v>
      </c>
      <c r="M46" s="1">
        <v>191</v>
      </c>
      <c r="N46" s="1">
        <v>192</v>
      </c>
      <c r="O46" s="1">
        <v>190</v>
      </c>
      <c r="P46" s="1">
        <v>189</v>
      </c>
      <c r="Q46" s="1">
        <v>189</v>
      </c>
      <c r="R46" s="1">
        <v>190</v>
      </c>
      <c r="S46" s="1">
        <v>190</v>
      </c>
      <c r="T46" s="1">
        <v>190</v>
      </c>
      <c r="U46" s="1">
        <v>190</v>
      </c>
      <c r="V46" s="1">
        <v>190</v>
      </c>
      <c r="W46" s="1">
        <v>188</v>
      </c>
      <c r="X46" s="1">
        <v>187.1</v>
      </c>
      <c r="Y46" s="1">
        <v>187</v>
      </c>
      <c r="Z46" s="1">
        <v>187</v>
      </c>
      <c r="AA46" s="1">
        <v>187</v>
      </c>
      <c r="AB46" s="85">
        <v>186.214</v>
      </c>
      <c r="AI46" s="86">
        <f>AVERAGE(C46:F46)</f>
        <v>215</v>
      </c>
      <c r="AJ46" s="86">
        <f>AVERAGE(G46:J46)</f>
        <v>203</v>
      </c>
      <c r="AK46" s="86">
        <f>AVERAGE(K46:N46)</f>
        <v>192</v>
      </c>
      <c r="AL46" s="86">
        <f>AVERAGE(O46:R46)</f>
        <v>189.5</v>
      </c>
      <c r="AM46" s="86">
        <f>AVERAGE(S46:V46)</f>
        <v>190</v>
      </c>
      <c r="AN46" s="86">
        <f>AVERAGE(W46:Z46)</f>
        <v>187.27500000000001</v>
      </c>
    </row>
    <row r="47" spans="2:102">
      <c r="B47" s="1" t="s">
        <v>132</v>
      </c>
      <c r="C47" s="40">
        <f t="shared" ref="C47:AA47" si="68">C45/C46</f>
        <v>0.89861751152073732</v>
      </c>
      <c r="D47" s="40">
        <f t="shared" si="68"/>
        <v>1.287037037037037</v>
      </c>
      <c r="E47" s="40">
        <f t="shared" si="68"/>
        <v>2.023474178403756</v>
      </c>
      <c r="F47" s="40">
        <f t="shared" si="68"/>
        <v>0.85981308411214952</v>
      </c>
      <c r="G47" s="40">
        <f t="shared" si="68"/>
        <v>1.9565217391304348</v>
      </c>
      <c r="H47" s="40">
        <f t="shared" si="68"/>
        <v>2.0245098039215685</v>
      </c>
      <c r="I47" s="40">
        <f t="shared" si="68"/>
        <v>2.395</v>
      </c>
      <c r="J47" s="40">
        <f t="shared" si="68"/>
        <v>2.4079601990049753</v>
      </c>
      <c r="K47" s="40">
        <f t="shared" si="68"/>
        <v>2.4611398963730569</v>
      </c>
      <c r="L47" s="40">
        <f t="shared" si="68"/>
        <v>2.4479166666666665</v>
      </c>
      <c r="M47" s="40">
        <f t="shared" si="68"/>
        <v>-1.5759162303664922</v>
      </c>
      <c r="N47" s="40">
        <f t="shared" si="68"/>
        <v>2.171875</v>
      </c>
      <c r="O47" s="40">
        <f t="shared" si="68"/>
        <v>1.7842105263157895</v>
      </c>
      <c r="P47" s="40">
        <f t="shared" si="68"/>
        <v>1.8571428571428572</v>
      </c>
      <c r="Q47" s="40">
        <f t="shared" si="68"/>
        <v>2.0211640211640214</v>
      </c>
      <c r="R47" s="40">
        <f t="shared" si="68"/>
        <v>0.66315789473684206</v>
      </c>
      <c r="S47" s="40">
        <f t="shared" si="68"/>
        <v>1.5</v>
      </c>
      <c r="T47" s="40">
        <f t="shared" si="68"/>
        <v>1.9315789473684211</v>
      </c>
      <c r="U47" s="40">
        <f t="shared" si="68"/>
        <v>2.1052631578947367</v>
      </c>
      <c r="V47" s="40">
        <f t="shared" si="68"/>
        <v>2.4</v>
      </c>
      <c r="W47" s="40">
        <f t="shared" si="68"/>
        <v>2.0531914893617023</v>
      </c>
      <c r="X47" s="40">
        <f t="shared" si="68"/>
        <v>2.4478888295029395</v>
      </c>
      <c r="Y47" s="40">
        <f t="shared" si="68"/>
        <v>2.4705882352941178</v>
      </c>
      <c r="Z47" s="40">
        <f t="shared" si="68"/>
        <v>1.6042780748663101</v>
      </c>
      <c r="AA47" s="40">
        <f t="shared" si="68"/>
        <v>2.7379679144385025</v>
      </c>
      <c r="AB47" s="40">
        <f>AB45/AB46</f>
        <v>3.1469169879815695</v>
      </c>
      <c r="AI47" s="40">
        <f t="shared" si="48"/>
        <v>5.0689418110736799</v>
      </c>
      <c r="AJ47" s="40">
        <f t="shared" si="49"/>
        <v>8.783991742056978</v>
      </c>
      <c r="AK47" s="40">
        <f t="shared" si="50"/>
        <v>5.5050153326732305</v>
      </c>
      <c r="AL47" s="40">
        <f t="shared" si="51"/>
        <v>6.32567529935951</v>
      </c>
      <c r="AM47" s="40">
        <f t="shared" si="52"/>
        <v>7.9368421052631586</v>
      </c>
      <c r="AN47" s="40">
        <f t="shared" si="53"/>
        <v>8.5759466290250685</v>
      </c>
    </row>
    <row r="49" spans="2:61">
      <c r="B49" s="37" t="s">
        <v>58</v>
      </c>
      <c r="C49" s="83">
        <f t="shared" ref="C49:AA49" si="69">C36/C34</f>
        <v>0.28707306528318199</v>
      </c>
      <c r="D49" s="83">
        <f t="shared" si="69"/>
        <v>0.2857142857142857</v>
      </c>
      <c r="E49" s="83">
        <f t="shared" si="69"/>
        <v>0.29374859959668387</v>
      </c>
      <c r="F49" s="83">
        <f t="shared" si="69"/>
        <v>0.30021459227467812</v>
      </c>
      <c r="G49" s="83">
        <f t="shared" si="69"/>
        <v>0.29647470987519159</v>
      </c>
      <c r="H49" s="83">
        <f t="shared" si="69"/>
        <v>0.30355612682090832</v>
      </c>
      <c r="I49" s="83">
        <f t="shared" si="69"/>
        <v>0.30929297706313547</v>
      </c>
      <c r="J49" s="83">
        <f t="shared" si="69"/>
        <v>0.29816091954022989</v>
      </c>
      <c r="K49" s="83">
        <f t="shared" si="69"/>
        <v>0.30294906166219837</v>
      </c>
      <c r="L49" s="83">
        <f t="shared" si="69"/>
        <v>0.2969770253929867</v>
      </c>
      <c r="M49" s="83">
        <f t="shared" si="69"/>
        <v>0.28120584079133304</v>
      </c>
      <c r="N49" s="83">
        <f t="shared" si="69"/>
        <v>0.27566622979467015</v>
      </c>
      <c r="O49" s="83">
        <f t="shared" si="69"/>
        <v>0.26079176917915453</v>
      </c>
      <c r="P49" s="83">
        <f t="shared" si="69"/>
        <v>0.25292989558917539</v>
      </c>
      <c r="Q49" s="83">
        <f t="shared" si="69"/>
        <v>0.26592065106815871</v>
      </c>
      <c r="R49" s="83">
        <f t="shared" si="69"/>
        <v>0.27209737827715358</v>
      </c>
      <c r="S49" s="83">
        <f t="shared" si="69"/>
        <v>0.2586835540203416</v>
      </c>
      <c r="T49" s="83">
        <f t="shared" si="69"/>
        <v>0.25665219852802418</v>
      </c>
      <c r="U49" s="83">
        <f t="shared" si="69"/>
        <v>0.26814058956916098</v>
      </c>
      <c r="V49" s="83">
        <f t="shared" si="69"/>
        <v>0.25294224153539741</v>
      </c>
      <c r="W49" s="83">
        <f t="shared" si="69"/>
        <v>0.26305533904910366</v>
      </c>
      <c r="X49" s="83">
        <f t="shared" si="69"/>
        <v>0.24603759675635828</v>
      </c>
      <c r="Y49" s="83">
        <f t="shared" si="69"/>
        <v>0.26400424103198444</v>
      </c>
      <c r="Z49" s="83">
        <f t="shared" si="69"/>
        <v>0.25601983002832862</v>
      </c>
      <c r="AA49" s="83">
        <f t="shared" si="69"/>
        <v>0.2440807799442897</v>
      </c>
      <c r="AB49" s="83">
        <f>AB36/AB34</f>
        <v>0.25539874171059346</v>
      </c>
      <c r="AI49" s="83">
        <f t="shared" ref="AI49:AN49" si="70">AI36/AI34</f>
        <v>0.29174453116412002</v>
      </c>
      <c r="AJ49" s="83">
        <f t="shared" si="70"/>
        <v>0.30178511283260356</v>
      </c>
      <c r="AK49" s="83">
        <f t="shared" si="70"/>
        <v>0.28877036689719843</v>
      </c>
      <c r="AL49" s="83">
        <f t="shared" si="70"/>
        <v>0.26329883104176321</v>
      </c>
      <c r="AM49" s="83">
        <f t="shared" si="70"/>
        <v>0.25903868698710436</v>
      </c>
      <c r="AN49" s="83">
        <f t="shared" si="70"/>
        <v>0.25726046192545166</v>
      </c>
      <c r="AO49" s="88">
        <v>0.25726046192545166</v>
      </c>
      <c r="AP49" s="88">
        <v>0.25726046192545166</v>
      </c>
      <c r="AQ49" s="88">
        <v>0.25726046192545166</v>
      </c>
      <c r="AR49" s="88">
        <v>0.25726046192545166</v>
      </c>
      <c r="AS49" s="88">
        <v>0.25726046192545166</v>
      </c>
      <c r="AT49" s="88">
        <v>0.25726046192545166</v>
      </c>
      <c r="AU49" s="88">
        <v>0.25726046192545166</v>
      </c>
      <c r="AV49" s="88">
        <v>0.25726046192545166</v>
      </c>
      <c r="AW49" s="88">
        <v>0.25726046192545166</v>
      </c>
      <c r="AX49" s="88">
        <v>0.25726046192545166</v>
      </c>
    </row>
    <row r="50" spans="2:61">
      <c r="B50" s="37" t="s">
        <v>191</v>
      </c>
      <c r="C50" s="83">
        <f t="shared" ref="C50:AA50" si="71">C37/C34</f>
        <v>0.17552961521833116</v>
      </c>
      <c r="D50" s="83">
        <f t="shared" si="71"/>
        <v>0.1923509561304837</v>
      </c>
      <c r="E50" s="83">
        <f t="shared" si="71"/>
        <v>0.18306072148778849</v>
      </c>
      <c r="F50" s="83">
        <f t="shared" si="71"/>
        <v>0.17832618025751074</v>
      </c>
      <c r="G50" s="83">
        <f t="shared" si="71"/>
        <v>0.18896430917451282</v>
      </c>
      <c r="H50" s="83">
        <f t="shared" si="71"/>
        <v>0.22193658954584405</v>
      </c>
      <c r="I50" s="83">
        <f t="shared" si="71"/>
        <v>0.18751477890754314</v>
      </c>
      <c r="J50" s="83">
        <f t="shared" si="71"/>
        <v>0.13218390804597702</v>
      </c>
      <c r="K50" s="83">
        <f t="shared" si="71"/>
        <v>0.1815744577138679</v>
      </c>
      <c r="L50" s="83">
        <f t="shared" si="71"/>
        <v>0.17992744860943169</v>
      </c>
      <c r="M50" s="83">
        <f t="shared" si="71"/>
        <v>0.36363636363636365</v>
      </c>
      <c r="N50" s="83">
        <f t="shared" si="71"/>
        <v>0.1675404106596767</v>
      </c>
      <c r="O50" s="83">
        <f t="shared" si="71"/>
        <v>0.17289197047640348</v>
      </c>
      <c r="P50" s="83">
        <f t="shared" si="71"/>
        <v>0.16769656935861921</v>
      </c>
      <c r="Q50" s="83">
        <f t="shared" si="71"/>
        <v>0.16846388606307222</v>
      </c>
      <c r="R50" s="83">
        <f t="shared" si="71"/>
        <v>0.24325842696629213</v>
      </c>
      <c r="S50" s="83">
        <f t="shared" si="71"/>
        <v>0.18614469391671465</v>
      </c>
      <c r="T50" s="83">
        <f t="shared" si="71"/>
        <v>0.16682392904321569</v>
      </c>
      <c r="U50" s="83">
        <f t="shared" si="71"/>
        <v>0.17460317460317459</v>
      </c>
      <c r="V50" s="83">
        <f t="shared" si="71"/>
        <v>0.14303820387470578</v>
      </c>
      <c r="W50" s="83">
        <f t="shared" si="71"/>
        <v>0.1607560405300078</v>
      </c>
      <c r="X50" s="83">
        <f t="shared" si="71"/>
        <v>0.14080353851824548</v>
      </c>
      <c r="Y50" s="83">
        <f t="shared" si="71"/>
        <v>0.15426753843435237</v>
      </c>
      <c r="Z50" s="83">
        <f t="shared" si="71"/>
        <v>0.18643767705382436</v>
      </c>
      <c r="AA50" s="83">
        <f t="shared" si="71"/>
        <v>0.13057103064066852</v>
      </c>
      <c r="AB50" s="83">
        <f>AB37/AB34</f>
        <v>0.1441931644278184</v>
      </c>
      <c r="AI50" s="83">
        <f t="shared" ref="AI50:AN50" si="72">AI37/AI34</f>
        <v>0.18220292404089261</v>
      </c>
      <c r="AJ50" s="83">
        <f t="shared" si="72"/>
        <v>0.18339508251936679</v>
      </c>
      <c r="AK50" s="83">
        <f t="shared" si="72"/>
        <v>0.22271714922048999</v>
      </c>
      <c r="AL50" s="83">
        <f t="shared" si="72"/>
        <v>0.18986559555074928</v>
      </c>
      <c r="AM50" s="83">
        <f t="shared" si="72"/>
        <v>0.16731535756154747</v>
      </c>
      <c r="AN50" s="83">
        <f t="shared" si="72"/>
        <v>0.16075920420763778</v>
      </c>
      <c r="AO50" s="88">
        <v>0.15</v>
      </c>
      <c r="AP50" s="88">
        <v>0.15</v>
      </c>
      <c r="AQ50" s="88">
        <v>0.15</v>
      </c>
      <c r="AR50" s="88">
        <v>0.15</v>
      </c>
      <c r="AS50" s="88">
        <v>0.15</v>
      </c>
      <c r="AT50" s="88">
        <v>0.15</v>
      </c>
      <c r="AU50" s="88">
        <v>0.15</v>
      </c>
      <c r="AV50" s="88">
        <v>0.15</v>
      </c>
      <c r="AW50" s="88">
        <v>0.15</v>
      </c>
      <c r="AX50" s="88">
        <v>0.15</v>
      </c>
    </row>
    <row r="51" spans="2:61">
      <c r="B51" s="37" t="s">
        <v>59</v>
      </c>
      <c r="C51" s="83">
        <f t="shared" ref="C51:AA51" si="73">C38/C34</f>
        <v>0.11154345006485085</v>
      </c>
      <c r="D51" s="83">
        <f t="shared" si="73"/>
        <v>9.3363329583802029E-2</v>
      </c>
      <c r="E51" s="83">
        <f t="shared" si="73"/>
        <v>0.11068787810889537</v>
      </c>
      <c r="F51" s="83">
        <f t="shared" si="73"/>
        <v>0.12188841201716738</v>
      </c>
      <c r="G51" s="83">
        <f t="shared" si="73"/>
        <v>0.10751040070067878</v>
      </c>
      <c r="H51" s="83">
        <f t="shared" si="73"/>
        <v>8.1619537275064269E-2</v>
      </c>
      <c r="I51" s="83">
        <f t="shared" si="73"/>
        <v>0.12177819815559233</v>
      </c>
      <c r="J51" s="83">
        <f t="shared" si="73"/>
        <v>0.16597701149425287</v>
      </c>
      <c r="K51" s="83">
        <f t="shared" si="73"/>
        <v>0.1213746039483305</v>
      </c>
      <c r="L51" s="83">
        <f t="shared" si="73"/>
        <v>0.11704957678355501</v>
      </c>
      <c r="M51" s="83">
        <f t="shared" si="73"/>
        <v>-8.2430522845030621E-2</v>
      </c>
      <c r="N51" s="83">
        <f t="shared" si="73"/>
        <v>0.10812581913499344</v>
      </c>
      <c r="O51" s="83">
        <f t="shared" si="73"/>
        <v>8.7899798702751067E-2</v>
      </c>
      <c r="P51" s="83">
        <f t="shared" si="73"/>
        <v>8.5233326230556142E-2</v>
      </c>
      <c r="Q51" s="83">
        <f t="shared" si="73"/>
        <v>9.7456765005086474E-2</v>
      </c>
      <c r="R51" s="83">
        <f t="shared" si="73"/>
        <v>2.8838951310861421E-2</v>
      </c>
      <c r="S51" s="83">
        <f t="shared" si="73"/>
        <v>7.2538860103626937E-2</v>
      </c>
      <c r="T51" s="83">
        <f t="shared" si="73"/>
        <v>8.982826948480846E-2</v>
      </c>
      <c r="U51" s="83">
        <f t="shared" si="73"/>
        <v>9.3537414965986401E-2</v>
      </c>
      <c r="V51" s="83">
        <f t="shared" si="73"/>
        <v>0.10990403766069165</v>
      </c>
      <c r="W51" s="83">
        <f t="shared" si="73"/>
        <v>0.10229929851909587</v>
      </c>
      <c r="X51" s="83">
        <f t="shared" si="73"/>
        <v>0.10523405823811278</v>
      </c>
      <c r="Y51" s="83">
        <f t="shared" si="73"/>
        <v>0.10973670259763209</v>
      </c>
      <c r="Z51" s="83">
        <f t="shared" si="73"/>
        <v>6.9582152974504249E-2</v>
      </c>
      <c r="AA51" s="83">
        <f t="shared" si="73"/>
        <v>0.11350974930362116</v>
      </c>
      <c r="AB51" s="83">
        <f>AB38/AB34</f>
        <v>0.11120557728277504</v>
      </c>
      <c r="AI51" s="83">
        <f t="shared" ref="AI51:AN51" si="74">AI38/AI34</f>
        <v>0.10954160712322744</v>
      </c>
      <c r="AJ51" s="83">
        <f t="shared" si="74"/>
        <v>0.11839003031323678</v>
      </c>
      <c r="AK51" s="83">
        <f t="shared" si="74"/>
        <v>6.6053217676708478E-2</v>
      </c>
      <c r="AL51" s="83">
        <f t="shared" si="74"/>
        <v>7.3433235491013951E-2</v>
      </c>
      <c r="AM51" s="83">
        <f t="shared" si="74"/>
        <v>9.172332942555686E-2</v>
      </c>
      <c r="AN51" s="83">
        <f t="shared" si="74"/>
        <v>9.6501257717813857E-2</v>
      </c>
      <c r="AO51" s="88">
        <f>AO38/AO34</f>
        <v>0.10726046192545165</v>
      </c>
      <c r="AP51" s="88">
        <f t="shared" ref="AP51:AX51" si="75">AP38/AP34</f>
        <v>0.10726046192545168</v>
      </c>
      <c r="AQ51" s="88">
        <f t="shared" si="75"/>
        <v>0.10726046192545166</v>
      </c>
      <c r="AR51" s="88">
        <f t="shared" si="75"/>
        <v>0.10726046192545168</v>
      </c>
      <c r="AS51" s="88">
        <f t="shared" si="75"/>
        <v>0.10726046192545166</v>
      </c>
      <c r="AT51" s="88">
        <f t="shared" si="75"/>
        <v>0.10726046192545166</v>
      </c>
      <c r="AU51" s="88">
        <f t="shared" si="75"/>
        <v>0.10726046192545165</v>
      </c>
      <c r="AV51" s="88">
        <f t="shared" si="75"/>
        <v>0.10726046192545165</v>
      </c>
      <c r="AW51" s="88">
        <f t="shared" si="75"/>
        <v>0.10726046192545163</v>
      </c>
      <c r="AX51" s="88">
        <f t="shared" si="75"/>
        <v>0.10726046192545165</v>
      </c>
    </row>
    <row r="52" spans="2:61">
      <c r="B52" s="37" t="s">
        <v>60</v>
      </c>
      <c r="C52" s="83">
        <f t="shared" ref="C52:AA52" si="76">C42/C41</f>
        <v>0.11764705882352941</v>
      </c>
      <c r="D52" s="83">
        <f t="shared" si="76"/>
        <v>0.17261904761904762</v>
      </c>
      <c r="E52" s="83">
        <f t="shared" si="76"/>
        <v>0.16795366795366795</v>
      </c>
      <c r="F52" s="83">
        <f t="shared" si="76"/>
        <v>0.25506072874493929</v>
      </c>
      <c r="G52" s="83">
        <f t="shared" si="76"/>
        <v>0.12903225806451613</v>
      </c>
      <c r="H52" s="83">
        <f t="shared" si="76"/>
        <v>0.29037800687285226</v>
      </c>
      <c r="I52" s="83">
        <f t="shared" si="76"/>
        <v>0.1825938566552901</v>
      </c>
      <c r="J52" s="83">
        <f t="shared" si="76"/>
        <v>0.17687074829931973</v>
      </c>
      <c r="K52" s="83">
        <f t="shared" si="76"/>
        <v>0.11380597014925373</v>
      </c>
      <c r="L52" s="83">
        <f t="shared" si="76"/>
        <v>0.10476190476190476</v>
      </c>
      <c r="M52" s="83">
        <f t="shared" si="76"/>
        <v>6.2305295950155763E-2</v>
      </c>
      <c r="N52" s="83">
        <f t="shared" si="76"/>
        <v>0.2176360225140713</v>
      </c>
      <c r="O52" s="83">
        <f t="shared" si="76"/>
        <v>9.1152815013404831E-2</v>
      </c>
      <c r="P52" s="83">
        <f t="shared" si="76"/>
        <v>5.6451612903225805E-2</v>
      </c>
      <c r="Q52" s="83">
        <f t="shared" si="76"/>
        <v>4.4999999999999998E-2</v>
      </c>
      <c r="R52" s="83">
        <f t="shared" si="76"/>
        <v>-0.65789473684210531</v>
      </c>
      <c r="S52" s="83">
        <f t="shared" si="76"/>
        <v>1.7241379310344827E-2</v>
      </c>
      <c r="T52" s="83">
        <f t="shared" si="76"/>
        <v>5.8974358974358973E-2</v>
      </c>
      <c r="U52" s="83">
        <f t="shared" si="76"/>
        <v>6.0465116279069767E-2</v>
      </c>
      <c r="V52" s="83">
        <f t="shared" si="76"/>
        <v>6.3655030800821355E-2</v>
      </c>
      <c r="W52" s="83">
        <f t="shared" si="76"/>
        <v>0.15904139433551198</v>
      </c>
      <c r="X52" s="83">
        <f t="shared" si="76"/>
        <v>0.12595419847328243</v>
      </c>
      <c r="Y52" s="83">
        <f t="shared" si="76"/>
        <v>0.18518518518518517</v>
      </c>
      <c r="Z52" s="83">
        <f t="shared" si="76"/>
        <v>0.21465968586387435</v>
      </c>
      <c r="AA52" s="83">
        <f t="shared" si="76"/>
        <v>0.13073005093378609</v>
      </c>
      <c r="AB52" s="83">
        <f>AB42/AB41</f>
        <v>0.15492957746478872</v>
      </c>
      <c r="AI52" s="83">
        <f t="shared" ref="AI52:AN52" si="77">AI42/AI41</f>
        <v>0.17700453857791226</v>
      </c>
      <c r="AJ52" s="83">
        <f t="shared" si="77"/>
        <v>0.19810895992796038</v>
      </c>
      <c r="AK52" s="83">
        <f t="shared" si="77"/>
        <v>0.16653574234092694</v>
      </c>
      <c r="AL52" s="83">
        <f t="shared" si="77"/>
        <v>1.8837018837018837E-2</v>
      </c>
      <c r="AM52" s="83">
        <f t="shared" si="77"/>
        <v>5.3224796493425174E-2</v>
      </c>
      <c r="AN52" s="83">
        <f t="shared" si="77"/>
        <v>0.16873706004140787</v>
      </c>
      <c r="AO52" s="88">
        <v>0.15</v>
      </c>
      <c r="AP52" s="88">
        <v>0.15</v>
      </c>
      <c r="AQ52" s="88">
        <v>0.15</v>
      </c>
      <c r="AR52" s="88">
        <v>0.15</v>
      </c>
      <c r="AS52" s="88">
        <v>0.15</v>
      </c>
      <c r="AT52" s="88">
        <v>0.15</v>
      </c>
      <c r="AU52" s="88">
        <v>0.15</v>
      </c>
      <c r="AV52" s="88">
        <v>0.15</v>
      </c>
      <c r="AW52" s="88">
        <v>0.15</v>
      </c>
      <c r="AX52" s="88">
        <v>0.15</v>
      </c>
    </row>
    <row r="53" spans="2:61">
      <c r="B53" s="37" t="s">
        <v>61</v>
      </c>
      <c r="C53" s="83">
        <f t="shared" ref="C53:AA53" si="78">C45/C34</f>
        <v>4.2153047989623868E-2</v>
      </c>
      <c r="D53" s="83">
        <f t="shared" si="78"/>
        <v>6.254218222722159E-2</v>
      </c>
      <c r="E53" s="83">
        <f t="shared" si="78"/>
        <v>9.6571812682052435E-2</v>
      </c>
      <c r="F53" s="83">
        <f t="shared" si="78"/>
        <v>3.9484978540772535E-2</v>
      </c>
      <c r="G53" s="83">
        <f t="shared" si="78"/>
        <v>8.8679658419093491E-2</v>
      </c>
      <c r="H53" s="83">
        <f t="shared" si="78"/>
        <v>8.8474721508140536E-2</v>
      </c>
      <c r="I53" s="83">
        <f t="shared" si="78"/>
        <v>0.1132655474107354</v>
      </c>
      <c r="J53" s="83">
        <f t="shared" si="78"/>
        <v>0.11126436781609196</v>
      </c>
      <c r="K53" s="83">
        <f t="shared" si="78"/>
        <v>0.11576894954911041</v>
      </c>
      <c r="L53" s="83">
        <f t="shared" si="78"/>
        <v>0.11366384522370013</v>
      </c>
      <c r="M53" s="83">
        <f t="shared" si="78"/>
        <v>-7.0890249646726328E-2</v>
      </c>
      <c r="N53" s="83">
        <f t="shared" si="78"/>
        <v>9.1087811271297503E-2</v>
      </c>
      <c r="O53" s="83">
        <f t="shared" si="78"/>
        <v>7.5821963766495193E-2</v>
      </c>
      <c r="P53" s="83">
        <f t="shared" si="78"/>
        <v>7.4792243767313013E-2</v>
      </c>
      <c r="Q53" s="83">
        <f t="shared" si="78"/>
        <v>7.7721261444557474E-2</v>
      </c>
      <c r="R53" s="83">
        <f t="shared" si="78"/>
        <v>2.359550561797753E-2</v>
      </c>
      <c r="S53" s="83">
        <f t="shared" si="78"/>
        <v>5.4691997697179043E-2</v>
      </c>
      <c r="T53" s="83">
        <f t="shared" si="78"/>
        <v>6.9258350632194751E-2</v>
      </c>
      <c r="U53" s="83">
        <f t="shared" si="78"/>
        <v>7.5585789871504161E-2</v>
      </c>
      <c r="V53" s="83">
        <f t="shared" si="78"/>
        <v>8.2563824008690931E-2</v>
      </c>
      <c r="W53" s="83">
        <f t="shared" si="78"/>
        <v>7.5214341387373346E-2</v>
      </c>
      <c r="X53" s="83">
        <f t="shared" si="78"/>
        <v>8.4408403980833033E-2</v>
      </c>
      <c r="Y53" s="83">
        <f t="shared" si="78"/>
        <v>8.1639865700653833E-2</v>
      </c>
      <c r="Z53" s="83">
        <f t="shared" si="78"/>
        <v>5.3116147308781871E-2</v>
      </c>
      <c r="AA53" s="83">
        <f t="shared" si="78"/>
        <v>8.9136490250696379E-2</v>
      </c>
      <c r="AB53" s="83">
        <f>AB45/AB34</f>
        <v>9.9642917871110362E-2</v>
      </c>
      <c r="AI53" s="83">
        <f t="shared" ref="AI53:AN53" si="79">AI45/AI34</f>
        <v>5.9799934044190393E-2</v>
      </c>
      <c r="AJ53" s="83">
        <f t="shared" si="79"/>
        <v>9.9977545750533289E-2</v>
      </c>
      <c r="AK53" s="83">
        <f t="shared" si="79"/>
        <v>6.2184972453405228E-2</v>
      </c>
      <c r="AL53" s="83">
        <f t="shared" si="79"/>
        <v>6.1692157165662495E-2</v>
      </c>
      <c r="AM53" s="83">
        <f t="shared" si="79"/>
        <v>7.0715123094958962E-2</v>
      </c>
      <c r="AN53" s="83">
        <f t="shared" si="79"/>
        <v>7.3450720329293395E-2</v>
      </c>
      <c r="AO53" s="88">
        <f>AO45/AO34</f>
        <v>6.8989886075656051E-2</v>
      </c>
      <c r="AP53" s="88">
        <f t="shared" ref="AP53:AX53" si="80">AP45/AP34</f>
        <v>7.455371785999132E-2</v>
      </c>
      <c r="AQ53" s="88">
        <f t="shared" si="80"/>
        <v>7.9606344186924971E-2</v>
      </c>
      <c r="AR53" s="88">
        <f t="shared" si="80"/>
        <v>8.4255986180485104E-2</v>
      </c>
      <c r="AS53" s="88">
        <f t="shared" si="80"/>
        <v>8.8565242231539207E-2</v>
      </c>
      <c r="AT53" s="88">
        <f t="shared" si="80"/>
        <v>9.2604963454372927E-2</v>
      </c>
      <c r="AU53" s="88">
        <f t="shared" si="80"/>
        <v>9.6478052877535705E-2</v>
      </c>
      <c r="AV53" s="88">
        <f t="shared" si="80"/>
        <v>0.10026013343672159</v>
      </c>
      <c r="AW53" s="88">
        <f t="shared" si="80"/>
        <v>0.104023867077894</v>
      </c>
      <c r="AX53" s="88">
        <f t="shared" si="80"/>
        <v>0.10775640578828424</v>
      </c>
    </row>
    <row r="55" spans="2:61" ht="15">
      <c r="B55" s="1" t="s">
        <v>193</v>
      </c>
      <c r="R55" s="1">
        <v>560</v>
      </c>
      <c r="S55" s="1">
        <v>477</v>
      </c>
      <c r="T55" s="1">
        <v>547</v>
      </c>
      <c r="U55" s="1">
        <v>539</v>
      </c>
      <c r="V55" s="1">
        <v>615</v>
      </c>
      <c r="W55" s="1">
        <v>517</v>
      </c>
      <c r="X55" s="1">
        <v>482</v>
      </c>
      <c r="Y55" s="1">
        <v>339</v>
      </c>
      <c r="Z55" s="1">
        <v>1069</v>
      </c>
      <c r="AA55" s="1">
        <v>590</v>
      </c>
      <c r="AB55" s="1">
        <v>1521</v>
      </c>
      <c r="AL55" s="1">
        <f>R55</f>
        <v>560</v>
      </c>
      <c r="AM55" s="1">
        <f>V55</f>
        <v>615</v>
      </c>
      <c r="AN55" s="1">
        <f>Z55</f>
        <v>1069</v>
      </c>
      <c r="AO55" s="66">
        <f>AN55+AO45</f>
        <v>2740.5987234564373</v>
      </c>
      <c r="AP55" s="66">
        <f t="shared" ref="AP55:AW55" si="81">AO55+AP45</f>
        <v>4706.2689270986248</v>
      </c>
      <c r="AQ55" s="66">
        <f t="shared" si="81"/>
        <v>6980.4769228228333</v>
      </c>
      <c r="AR55" s="66">
        <f t="shared" si="81"/>
        <v>9581.9278407298279</v>
      </c>
      <c r="AS55" s="66">
        <f t="shared" si="81"/>
        <v>12527.354194386069</v>
      </c>
      <c r="AT55" s="66">
        <f t="shared" si="81"/>
        <v>15815.152921841433</v>
      </c>
      <c r="AU55" s="66">
        <f t="shared" si="81"/>
        <v>19437.861327898845</v>
      </c>
      <c r="AV55" s="66">
        <f t="shared" si="81"/>
        <v>23390.026440749283</v>
      </c>
      <c r="AW55" s="66">
        <f t="shared" si="81"/>
        <v>27662.117977111295</v>
      </c>
      <c r="AX55" s="66">
        <f>AW55+AX45</f>
        <v>32260.177329946277</v>
      </c>
      <c r="AZ55" s="72" t="s">
        <v>103</v>
      </c>
      <c r="BC55" s="81" t="s">
        <v>127</v>
      </c>
      <c r="BD55" s="46"/>
      <c r="BE55" s="73" t="s">
        <v>102</v>
      </c>
      <c r="BF55" s="46"/>
      <c r="BG55" s="47" t="s">
        <v>104</v>
      </c>
      <c r="BH55" s="48">
        <v>4.3499999999999997E-2</v>
      </c>
      <c r="BI55" s="46"/>
    </row>
    <row r="56" spans="2:61">
      <c r="B56" s="1" t="s">
        <v>192</v>
      </c>
      <c r="R56" s="1">
        <v>1230</v>
      </c>
      <c r="S56" s="1">
        <v>1209</v>
      </c>
      <c r="T56" s="1">
        <v>1230</v>
      </c>
      <c r="U56" s="1">
        <v>1042</v>
      </c>
      <c r="V56" s="1">
        <v>1072</v>
      </c>
      <c r="W56" s="1">
        <v>1501</v>
      </c>
      <c r="X56" s="1">
        <v>1437</v>
      </c>
      <c r="Y56" s="1">
        <v>1528</v>
      </c>
      <c r="Z56" s="1">
        <v>1371</v>
      </c>
      <c r="AA56" s="1">
        <v>1912</v>
      </c>
      <c r="AB56" s="1">
        <v>1950</v>
      </c>
      <c r="AL56" s="1">
        <f t="shared" ref="AL56:AL65" si="82">R56</f>
        <v>1230</v>
      </c>
      <c r="AM56" s="1">
        <f t="shared" ref="AM56:AM65" si="83">V56</f>
        <v>1072</v>
      </c>
      <c r="AN56" s="1">
        <f t="shared" ref="AN56:AN65" si="84">Z56</f>
        <v>1371</v>
      </c>
      <c r="AZ56" s="46">
        <v>2024</v>
      </c>
      <c r="BA56" s="46">
        <v>2025</v>
      </c>
      <c r="BC56" s="45" t="s">
        <v>126</v>
      </c>
      <c r="BD56" s="46"/>
      <c r="BE56" s="46">
        <v>2025</v>
      </c>
      <c r="BF56" s="46"/>
      <c r="BG56" s="47" t="s">
        <v>105</v>
      </c>
      <c r="BH56" s="48">
        <v>1.2500000000000001E-2</v>
      </c>
      <c r="BI56" s="46"/>
    </row>
    <row r="57" spans="2:61" ht="14.25" customHeight="1">
      <c r="B57" s="1" t="s">
        <v>194</v>
      </c>
      <c r="R57" s="1">
        <v>3196</v>
      </c>
      <c r="S57" s="1">
        <v>3502</v>
      </c>
      <c r="T57" s="1">
        <v>3209</v>
      </c>
      <c r="U57" s="1">
        <v>3401</v>
      </c>
      <c r="V57" s="1">
        <v>3230</v>
      </c>
      <c r="W57" s="1">
        <v>3643</v>
      </c>
      <c r="X57" s="1">
        <v>3857</v>
      </c>
      <c r="Y57" s="1">
        <v>3677</v>
      </c>
      <c r="Z57" s="1">
        <v>3566</v>
      </c>
      <c r="AA57" s="1">
        <v>3530</v>
      </c>
      <c r="AB57" s="1">
        <v>3674</v>
      </c>
      <c r="AL57" s="1">
        <f t="shared" si="82"/>
        <v>3196</v>
      </c>
      <c r="AM57" s="1">
        <f t="shared" si="83"/>
        <v>3230</v>
      </c>
      <c r="AN57" s="1">
        <f t="shared" si="84"/>
        <v>3566</v>
      </c>
      <c r="AS57" s="45"/>
      <c r="AT57" s="46"/>
      <c r="AU57" s="45"/>
      <c r="AV57" s="46"/>
      <c r="AW57" s="47"/>
      <c r="AX57" s="48"/>
      <c r="AY57" s="46"/>
      <c r="AZ57" s="50">
        <f>SUM(AM55:AM58)-AM71+AM62+AM65+AM63</f>
        <v>36685</v>
      </c>
      <c r="BA57" s="50">
        <f>SUM(AN55:AN58)-AN71+AN62+AN65+AN63</f>
        <v>36604</v>
      </c>
      <c r="BC57" s="50">
        <f>AVERAGE(AZ57:BA57)</f>
        <v>36644.5</v>
      </c>
      <c r="BD57" s="46"/>
      <c r="BE57" s="49">
        <f>AVERAGE(AO43)*(1-AO53)</f>
        <v>1556.2753179609656</v>
      </c>
      <c r="BF57" s="46"/>
      <c r="BG57" s="47" t="s">
        <v>106</v>
      </c>
      <c r="BH57" s="48">
        <f>BC66</f>
        <v>4.99E-2</v>
      </c>
      <c r="BI57" s="46"/>
    </row>
    <row r="58" spans="2:61" ht="13.5" customHeight="1">
      <c r="B58" s="1" t="s">
        <v>195</v>
      </c>
      <c r="R58" s="1">
        <v>1472</v>
      </c>
      <c r="S58" s="1">
        <v>1476</v>
      </c>
      <c r="T58" s="1">
        <v>1432</v>
      </c>
      <c r="U58" s="1">
        <v>1399</v>
      </c>
      <c r="V58" s="1">
        <v>1330</v>
      </c>
      <c r="W58" s="1">
        <v>1252</v>
      </c>
      <c r="X58" s="1">
        <v>1258</v>
      </c>
      <c r="Y58" s="1">
        <v>1291</v>
      </c>
      <c r="Z58" s="1">
        <v>1219</v>
      </c>
      <c r="AA58" s="1">
        <v>1234</v>
      </c>
      <c r="AB58" s="1">
        <v>1272</v>
      </c>
      <c r="AL58" s="1">
        <f t="shared" si="82"/>
        <v>1472</v>
      </c>
      <c r="AM58" s="1">
        <f t="shared" si="83"/>
        <v>1330</v>
      </c>
      <c r="AN58" s="1">
        <f t="shared" si="84"/>
        <v>1219</v>
      </c>
      <c r="BA58" s="46"/>
      <c r="BB58" s="46"/>
      <c r="BC58" s="46"/>
      <c r="BD58" s="46"/>
      <c r="BE58" s="51">
        <f>BE57/BC57</f>
        <v>4.2469547079669955E-2</v>
      </c>
      <c r="BF58" s="46"/>
      <c r="BG58" s="47" t="s">
        <v>107</v>
      </c>
      <c r="BH58" s="48">
        <f>8.95%-BH57</f>
        <v>3.9599999999999996E-2</v>
      </c>
      <c r="BI58" s="46"/>
    </row>
    <row r="59" spans="2:61" ht="13.5" customHeight="1">
      <c r="B59" s="1" t="s">
        <v>196</v>
      </c>
      <c r="R59" s="1">
        <f>61+430</f>
        <v>491</v>
      </c>
      <c r="S59" s="1">
        <v>466</v>
      </c>
      <c r="T59" s="1">
        <v>502</v>
      </c>
      <c r="U59" s="1">
        <f>329+462</f>
        <v>791</v>
      </c>
      <c r="V59" s="1">
        <f>379+461</f>
        <v>840</v>
      </c>
      <c r="W59" s="1">
        <f>205+478</f>
        <v>683</v>
      </c>
      <c r="X59" s="1">
        <f>93+481</f>
        <v>574</v>
      </c>
      <c r="Y59" s="1">
        <f>281+477</f>
        <v>758</v>
      </c>
      <c r="Z59" s="1">
        <v>484</v>
      </c>
      <c r="AA59" s="1">
        <v>702</v>
      </c>
      <c r="AB59" s="1">
        <v>656</v>
      </c>
      <c r="AL59" s="1">
        <f t="shared" si="82"/>
        <v>491</v>
      </c>
      <c r="AM59" s="1">
        <f t="shared" si="83"/>
        <v>840</v>
      </c>
      <c r="AN59" s="1">
        <f t="shared" si="84"/>
        <v>484</v>
      </c>
      <c r="AZ59" s="52" t="s">
        <v>116</v>
      </c>
      <c r="BA59" s="46"/>
      <c r="BB59" s="46"/>
      <c r="BD59" s="46"/>
      <c r="BE59" s="46"/>
      <c r="BF59" s="46"/>
      <c r="BG59" s="47" t="s">
        <v>108</v>
      </c>
      <c r="BH59" s="53">
        <f>'Notes | Quant Analysis'!$S$206</f>
        <v>0.53448517232072212</v>
      </c>
      <c r="BI59" s="46"/>
    </row>
    <row r="60" spans="2:61" ht="13.5" customHeight="1">
      <c r="B60" s="1" t="s">
        <v>212</v>
      </c>
      <c r="R60" s="1">
        <v>1106</v>
      </c>
      <c r="S60" s="1">
        <v>1136</v>
      </c>
      <c r="T60" s="1">
        <v>1127</v>
      </c>
      <c r="U60" s="1">
        <v>1130</v>
      </c>
      <c r="V60" s="1">
        <v>1131</v>
      </c>
      <c r="W60" s="84">
        <v>0</v>
      </c>
      <c r="X60" s="84">
        <v>0</v>
      </c>
      <c r="Y60" s="84">
        <v>0</v>
      </c>
      <c r="Z60" s="1">
        <v>884</v>
      </c>
      <c r="AA60" s="1">
        <v>926</v>
      </c>
      <c r="AB60" s="1">
        <v>1010</v>
      </c>
      <c r="AL60" s="1">
        <f t="shared" si="82"/>
        <v>1106</v>
      </c>
      <c r="AM60" s="1">
        <f t="shared" si="83"/>
        <v>1131</v>
      </c>
      <c r="AN60" s="1">
        <f t="shared" si="84"/>
        <v>884</v>
      </c>
      <c r="AZ60" s="60" t="s">
        <v>117</v>
      </c>
      <c r="BC60" s="49">
        <f>Main!C5</f>
        <v>47341.185219999999</v>
      </c>
      <c r="BD60" s="46"/>
      <c r="BF60" s="46"/>
      <c r="BG60" s="47" t="s">
        <v>109</v>
      </c>
      <c r="BH60" s="48">
        <f>+BH57+(BH58*BH59)</f>
        <v>7.1065612823900587E-2</v>
      </c>
      <c r="BI60" s="46"/>
    </row>
    <row r="61" spans="2:61" ht="13.5" customHeight="1">
      <c r="B61" s="1" t="s">
        <v>197</v>
      </c>
      <c r="R61" s="1">
        <v>2862</v>
      </c>
      <c r="S61" s="1">
        <v>2836</v>
      </c>
      <c r="T61" s="1">
        <v>2800</v>
      </c>
      <c r="U61" s="1">
        <v>2795</v>
      </c>
      <c r="V61" s="1">
        <v>2806</v>
      </c>
      <c r="W61" s="1">
        <v>2755</v>
      </c>
      <c r="X61" s="1">
        <v>2742</v>
      </c>
      <c r="Y61" s="1">
        <v>2761</v>
      </c>
      <c r="Z61" s="1">
        <v>2665</v>
      </c>
      <c r="AA61" s="1">
        <v>2658</v>
      </c>
      <c r="AB61" s="1">
        <v>2686</v>
      </c>
      <c r="AL61" s="1">
        <f t="shared" si="82"/>
        <v>2862</v>
      </c>
      <c r="AM61" s="1">
        <f t="shared" si="83"/>
        <v>2806</v>
      </c>
      <c r="AN61" s="1">
        <f t="shared" si="84"/>
        <v>2665</v>
      </c>
      <c r="AZ61" s="60" t="s">
        <v>118</v>
      </c>
      <c r="BC61" s="59">
        <f>Main!C7/(Main!C7+BC60)</f>
        <v>0.18853214055668369</v>
      </c>
      <c r="BD61" s="52"/>
      <c r="BF61" s="46"/>
      <c r="BG61" s="47"/>
      <c r="BH61" s="46"/>
      <c r="BI61" s="46"/>
    </row>
    <row r="62" spans="2:61" ht="13.5" customHeight="1">
      <c r="B62" s="1" t="s">
        <v>198</v>
      </c>
      <c r="R62" s="1">
        <v>19979</v>
      </c>
      <c r="S62" s="1">
        <v>20070</v>
      </c>
      <c r="T62" s="1">
        <v>20367</v>
      </c>
      <c r="U62" s="1">
        <v>20433</v>
      </c>
      <c r="V62" s="1">
        <v>20325</v>
      </c>
      <c r="W62" s="1">
        <v>20337</v>
      </c>
      <c r="X62" s="1">
        <v>20372</v>
      </c>
      <c r="Y62" s="1">
        <v>20370</v>
      </c>
      <c r="Z62" s="1">
        <v>20010</v>
      </c>
      <c r="AA62" s="1">
        <v>19999</v>
      </c>
      <c r="AB62" s="1">
        <v>19996</v>
      </c>
      <c r="AL62" s="1">
        <f t="shared" si="82"/>
        <v>19979</v>
      </c>
      <c r="AM62" s="1">
        <f t="shared" si="83"/>
        <v>20325</v>
      </c>
      <c r="AN62" s="1">
        <f t="shared" si="84"/>
        <v>20010</v>
      </c>
      <c r="AZ62" s="60" t="s">
        <v>119</v>
      </c>
      <c r="BC62" s="59">
        <f>BC60/(BC60+Main!C7)</f>
        <v>0.81146785944331634</v>
      </c>
      <c r="BD62" s="46"/>
      <c r="BF62" s="46"/>
      <c r="BG62" s="47" t="s">
        <v>110</v>
      </c>
      <c r="BH62" s="49">
        <f>NPV(BH60,AO45:CL45)</f>
        <v>56298.454666260652</v>
      </c>
      <c r="BI62" s="46"/>
    </row>
    <row r="63" spans="2:61" ht="13.5" customHeight="1">
      <c r="B63" s="1" t="s">
        <v>199</v>
      </c>
      <c r="R63" s="1">
        <v>8540</v>
      </c>
      <c r="S63" s="1">
        <v>8340</v>
      </c>
      <c r="T63" s="1">
        <v>8080</v>
      </c>
      <c r="U63" s="1">
        <v>7874</v>
      </c>
      <c r="V63" s="1">
        <v>7639</v>
      </c>
      <c r="W63" s="1">
        <v>7448</v>
      </c>
      <c r="X63" s="1">
        <v>7261</v>
      </c>
      <c r="Y63" s="1">
        <v>7072</v>
      </c>
      <c r="Z63" s="1">
        <v>6509</v>
      </c>
      <c r="AA63" s="1">
        <v>6331</v>
      </c>
      <c r="AB63" s="1">
        <v>6540</v>
      </c>
      <c r="AL63" s="1">
        <f t="shared" si="82"/>
        <v>8540</v>
      </c>
      <c r="AM63" s="1">
        <f t="shared" si="83"/>
        <v>7639</v>
      </c>
      <c r="AN63" s="1">
        <f t="shared" si="84"/>
        <v>6509</v>
      </c>
      <c r="AZ63" s="61" t="s">
        <v>135</v>
      </c>
      <c r="BA63" s="34"/>
      <c r="BB63" s="34"/>
      <c r="BC63" s="62">
        <f>AN74/AN80</f>
        <v>0.53185637891520243</v>
      </c>
      <c r="BD63" s="46"/>
      <c r="BE63" s="46"/>
      <c r="BF63" s="46"/>
      <c r="BG63" s="47" t="s">
        <v>72</v>
      </c>
      <c r="BH63" s="50">
        <f>Main!C4</f>
        <v>186.214</v>
      </c>
      <c r="BI63" s="63"/>
    </row>
    <row r="64" spans="2:61" ht="13.5" customHeight="1">
      <c r="B64" s="1" t="s">
        <v>200</v>
      </c>
      <c r="R64" s="1">
        <v>91</v>
      </c>
      <c r="S64" s="1">
        <v>113</v>
      </c>
      <c r="T64" s="1">
        <v>134</v>
      </c>
      <c r="U64" s="1">
        <v>119</v>
      </c>
      <c r="V64" s="1">
        <v>120</v>
      </c>
      <c r="W64" s="1">
        <v>128</v>
      </c>
      <c r="X64" s="1">
        <v>89</v>
      </c>
      <c r="Y64" s="1">
        <v>87</v>
      </c>
      <c r="Z64" s="1">
        <v>76</v>
      </c>
      <c r="AA64" s="1">
        <v>71</v>
      </c>
      <c r="AB64" s="1">
        <v>65</v>
      </c>
      <c r="AL64" s="1">
        <f t="shared" si="82"/>
        <v>91</v>
      </c>
      <c r="AM64" s="1">
        <f t="shared" si="83"/>
        <v>120</v>
      </c>
      <c r="AN64" s="1">
        <f t="shared" si="84"/>
        <v>76</v>
      </c>
      <c r="BD64" s="46"/>
      <c r="BE64" s="46"/>
      <c r="BF64" s="46"/>
      <c r="BG64" s="47" t="s">
        <v>111</v>
      </c>
      <c r="BH64" s="53">
        <f>BH62/BH63</f>
        <v>302.33201943065853</v>
      </c>
      <c r="BI64" s="45"/>
    </row>
    <row r="65" spans="2:102" ht="13.5" customHeight="1">
      <c r="B65" s="1" t="s">
        <v>201</v>
      </c>
      <c r="R65" s="1">
        <v>2160</v>
      </c>
      <c r="S65" s="1">
        <v>2191</v>
      </c>
      <c r="T65" s="1">
        <v>2229</v>
      </c>
      <c r="U65" s="1">
        <v>2366</v>
      </c>
      <c r="V65" s="1">
        <v>2893</v>
      </c>
      <c r="W65" s="1">
        <v>2984</v>
      </c>
      <c r="X65" s="1">
        <v>3168</v>
      </c>
      <c r="Y65" s="1">
        <v>3131</v>
      </c>
      <c r="Z65" s="1">
        <v>3342</v>
      </c>
      <c r="AA65" s="1">
        <v>3427</v>
      </c>
      <c r="AB65" s="1">
        <v>3568</v>
      </c>
      <c r="AL65" s="1">
        <f t="shared" si="82"/>
        <v>2160</v>
      </c>
      <c r="AM65" s="1">
        <f t="shared" si="83"/>
        <v>2893</v>
      </c>
      <c r="AN65" s="1">
        <f t="shared" si="84"/>
        <v>3342</v>
      </c>
      <c r="AZ65" s="34" t="s">
        <v>115</v>
      </c>
      <c r="BC65" s="46"/>
      <c r="BD65" s="52"/>
      <c r="BE65" s="52"/>
      <c r="BF65" s="52"/>
      <c r="BG65" s="47" t="s">
        <v>112</v>
      </c>
      <c r="BH65" s="53">
        <f>Main!C3</f>
        <v>254.23</v>
      </c>
      <c r="BI65" s="54"/>
    </row>
    <row r="66" spans="2:102" s="2" customFormat="1" ht="13.5" customHeight="1">
      <c r="B66" s="2" t="s">
        <v>128</v>
      </c>
      <c r="R66" s="2">
        <f t="shared" ref="R66:Y66" si="85">SUM(R55:R65)</f>
        <v>41687</v>
      </c>
      <c r="S66" s="2">
        <f t="shared" si="85"/>
        <v>41816</v>
      </c>
      <c r="T66" s="2">
        <f t="shared" si="85"/>
        <v>41657</v>
      </c>
      <c r="U66" s="2">
        <f t="shared" si="85"/>
        <v>41889</v>
      </c>
      <c r="V66" s="2">
        <f t="shared" si="85"/>
        <v>42001</v>
      </c>
      <c r="W66" s="2">
        <f t="shared" si="85"/>
        <v>41248</v>
      </c>
      <c r="X66" s="2">
        <f t="shared" si="85"/>
        <v>41240</v>
      </c>
      <c r="Y66" s="2">
        <f t="shared" si="85"/>
        <v>41014</v>
      </c>
      <c r="Z66" s="2">
        <f>SUM(Z55:Z65)</f>
        <v>41195</v>
      </c>
      <c r="AA66" s="2">
        <f>SUM(AA55:AA65)</f>
        <v>41380</v>
      </c>
      <c r="AB66" s="2">
        <f>SUM(AB55:AB65)</f>
        <v>42938</v>
      </c>
      <c r="AC66" s="34"/>
      <c r="AD66" s="34"/>
      <c r="AL66" s="2">
        <f t="shared" ref="AL66:AN66" si="86">SUM(AL55:AL65)</f>
        <v>41687</v>
      </c>
      <c r="AM66" s="2">
        <f t="shared" si="86"/>
        <v>42001</v>
      </c>
      <c r="AN66" s="2">
        <f t="shared" si="86"/>
        <v>41195</v>
      </c>
      <c r="AO66" s="34"/>
      <c r="AP66" s="34"/>
      <c r="AQ66" s="34"/>
      <c r="AR66" s="34"/>
      <c r="AS66" s="34"/>
      <c r="AT66" s="34"/>
      <c r="AU66" s="34"/>
      <c r="AV66" s="34"/>
      <c r="AW66" s="34"/>
      <c r="AX66" s="34"/>
      <c r="AY66" s="34"/>
      <c r="AZ66" s="64" t="s">
        <v>106</v>
      </c>
      <c r="BA66" s="35"/>
      <c r="BB66" s="35"/>
      <c r="BC66" s="59">
        <v>4.99E-2</v>
      </c>
      <c r="BD66" s="46"/>
      <c r="BE66" s="46"/>
      <c r="BF66" s="46"/>
      <c r="BG66" s="47" t="s">
        <v>113</v>
      </c>
      <c r="BH66" s="48">
        <f>BH64/BH65-1</f>
        <v>0.18920670035266696</v>
      </c>
      <c r="BI66" s="45" t="str">
        <f>IF(BH66&gt;0,"Upside","Downside")</f>
        <v>Upside</v>
      </c>
      <c r="BJ66" s="35"/>
      <c r="BK66" s="35"/>
      <c r="BL66" s="35"/>
      <c r="BM66" s="35"/>
      <c r="BN66" s="35"/>
      <c r="BO66" s="35"/>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row>
    <row r="67" spans="2:102" ht="13.5" customHeight="1">
      <c r="AZ67" s="64" t="s">
        <v>108</v>
      </c>
      <c r="BC67" s="53">
        <f>'Notes | Quant Analysis'!$S$206</f>
        <v>0.53448517232072212</v>
      </c>
      <c r="BG67" s="99" t="str" cm="1">
        <f t="array" ref="BG67">_xlfn.IFS(BH66&gt;=25%,"Strong Buy",BH66&gt;=10.00001%,"Buy",AND(BH66&lt;=10%,BH66&gt;=-4.9999%),"Hold",AND(BH66&lt;=-5%,BH66&gt;=-14.999999%),"Sell",BH66&lt;=-15%,"Strong Sell")</f>
        <v>Buy</v>
      </c>
      <c r="BH67" s="99"/>
    </row>
    <row r="68" spans="2:102" ht="13.5" customHeight="1">
      <c r="B68" s="1" t="s">
        <v>202</v>
      </c>
      <c r="R68" s="1">
        <f>1602+363</f>
        <v>1965</v>
      </c>
      <c r="S68" s="1">
        <f>2203+365</f>
        <v>2568</v>
      </c>
      <c r="T68" s="1">
        <f>2102+617</f>
        <v>2719</v>
      </c>
      <c r="U68" s="1">
        <f>1177+640</f>
        <v>1817</v>
      </c>
      <c r="V68" s="1">
        <v>515</v>
      </c>
      <c r="W68" s="1">
        <f>535+740</f>
        <v>1275</v>
      </c>
      <c r="X68" s="1">
        <f>985+141</f>
        <v>1126</v>
      </c>
      <c r="Y68" s="1">
        <v>725</v>
      </c>
      <c r="Z68" s="1">
        <v>673</v>
      </c>
      <c r="AA68" s="1">
        <f>350+1816</f>
        <v>2166</v>
      </c>
      <c r="AB68" s="1">
        <v>1815</v>
      </c>
      <c r="AL68" s="1">
        <f t="shared" ref="AL68:AL78" si="87">R68</f>
        <v>1965</v>
      </c>
      <c r="AM68" s="1">
        <f t="shared" ref="AM68:AM78" si="88">V68</f>
        <v>515</v>
      </c>
      <c r="AN68" s="1">
        <f t="shared" ref="AN68:AN78" si="89">Z68</f>
        <v>673</v>
      </c>
      <c r="AZ68" s="60" t="s">
        <v>120</v>
      </c>
      <c r="BC68" s="59">
        <v>0.17</v>
      </c>
    </row>
    <row r="69" spans="2:102" ht="13.5" customHeight="1">
      <c r="B69" s="1" t="s">
        <v>203</v>
      </c>
      <c r="R69" s="1">
        <v>2106</v>
      </c>
      <c r="S69" s="1">
        <v>2112</v>
      </c>
      <c r="T69" s="1">
        <v>1896</v>
      </c>
      <c r="U69" s="1">
        <v>2049</v>
      </c>
      <c r="V69" s="1">
        <v>2005</v>
      </c>
      <c r="W69" s="1">
        <v>2047</v>
      </c>
      <c r="X69" s="1">
        <v>2033</v>
      </c>
      <c r="Y69" s="1">
        <v>1902</v>
      </c>
      <c r="Z69" s="1">
        <v>2461</v>
      </c>
      <c r="AA69" s="1">
        <v>1930</v>
      </c>
      <c r="AB69" s="1">
        <v>2085</v>
      </c>
      <c r="AL69" s="1">
        <f t="shared" si="87"/>
        <v>2106</v>
      </c>
      <c r="AM69" s="1">
        <f t="shared" si="88"/>
        <v>2005</v>
      </c>
      <c r="AN69" s="1">
        <f t="shared" si="89"/>
        <v>2461</v>
      </c>
      <c r="AZ69" s="61" t="s">
        <v>121</v>
      </c>
      <c r="BA69" s="46"/>
      <c r="BB69" s="2"/>
      <c r="BC69" s="62">
        <f>(BC66+BC67)*(BC68-BC66)</f>
        <v>7.0184659195718729E-2</v>
      </c>
    </row>
    <row r="70" spans="2:102" ht="13.5" customHeight="1">
      <c r="B70" s="1" t="s">
        <v>204</v>
      </c>
      <c r="R70" s="1">
        <v>1900</v>
      </c>
      <c r="S70" s="1">
        <v>1777</v>
      </c>
      <c r="T70" s="1">
        <v>1889</v>
      </c>
      <c r="U70" s="1">
        <v>1878</v>
      </c>
      <c r="V70" s="1">
        <v>2142</v>
      </c>
      <c r="W70" s="1">
        <v>2124</v>
      </c>
      <c r="X70" s="1">
        <v>2317</v>
      </c>
      <c r="Y70" s="1">
        <v>2231</v>
      </c>
      <c r="Z70" s="1">
        <v>2262</v>
      </c>
      <c r="AA70" s="1">
        <v>2736</v>
      </c>
      <c r="AB70" s="1">
        <v>2936</v>
      </c>
      <c r="AL70" s="1">
        <f t="shared" si="87"/>
        <v>1900</v>
      </c>
      <c r="AM70" s="1">
        <f t="shared" si="88"/>
        <v>2142</v>
      </c>
      <c r="AN70" s="1">
        <f t="shared" si="89"/>
        <v>2262</v>
      </c>
      <c r="AZ70" s="66"/>
      <c r="BK70" s="34"/>
      <c r="BL70" s="34"/>
      <c r="BM70" s="34"/>
      <c r="BN70" s="34"/>
      <c r="BO70" s="34"/>
    </row>
    <row r="71" spans="2:102" ht="13.5" customHeight="1">
      <c r="B71" s="1" t="s">
        <v>205</v>
      </c>
      <c r="R71" s="1">
        <v>544</v>
      </c>
      <c r="S71" s="1">
        <v>379</v>
      </c>
      <c r="T71" s="1">
        <v>445</v>
      </c>
      <c r="U71" s="1">
        <v>402</v>
      </c>
      <c r="V71" s="1">
        <v>419</v>
      </c>
      <c r="W71" s="1">
        <v>314</v>
      </c>
      <c r="X71" s="1">
        <v>444</v>
      </c>
      <c r="Y71" s="1">
        <v>486</v>
      </c>
      <c r="Z71" s="1">
        <v>482</v>
      </c>
      <c r="AA71" s="1">
        <v>391</v>
      </c>
      <c r="AB71" s="1">
        <v>376</v>
      </c>
      <c r="AL71" s="1">
        <f t="shared" si="87"/>
        <v>544</v>
      </c>
      <c r="AM71" s="1">
        <f t="shared" si="88"/>
        <v>419</v>
      </c>
      <c r="AN71" s="1">
        <f t="shared" si="89"/>
        <v>482</v>
      </c>
      <c r="AZ71" s="34" t="s">
        <v>122</v>
      </c>
      <c r="BA71" s="67"/>
      <c r="BC71" s="58"/>
    </row>
    <row r="72" spans="2:102" ht="13.5" customHeight="1">
      <c r="B72" s="1" t="s">
        <v>206</v>
      </c>
      <c r="R72" s="1">
        <f>88+1129</f>
        <v>1217</v>
      </c>
      <c r="S72" s="1">
        <f>1174+182</f>
        <v>1356</v>
      </c>
      <c r="T72" s="1">
        <f>1515+274</f>
        <v>1789</v>
      </c>
      <c r="U72" s="1">
        <f>35+1549</f>
        <v>1584</v>
      </c>
      <c r="V72" s="1">
        <v>2317</v>
      </c>
      <c r="W72" s="1">
        <v>1689</v>
      </c>
      <c r="X72" s="1">
        <v>1402</v>
      </c>
      <c r="Y72" s="1">
        <v>1294</v>
      </c>
      <c r="Z72" s="1">
        <v>1235</v>
      </c>
      <c r="AA72" s="1">
        <v>1267</v>
      </c>
      <c r="AB72" s="1">
        <v>1192</v>
      </c>
      <c r="AL72" s="1">
        <f t="shared" si="87"/>
        <v>1217</v>
      </c>
      <c r="AM72" s="1">
        <f t="shared" si="88"/>
        <v>2317</v>
      </c>
      <c r="AN72" s="1">
        <f t="shared" si="89"/>
        <v>1235</v>
      </c>
      <c r="AZ72" s="68" t="s">
        <v>122</v>
      </c>
      <c r="BC72" s="69">
        <v>6.5000000000000002E-2</v>
      </c>
      <c r="BE72" s="65"/>
      <c r="BG72" s="47"/>
    </row>
    <row r="73" spans="2:102" ht="13.5" customHeight="1">
      <c r="B73" s="1" t="s">
        <v>213</v>
      </c>
      <c r="R73" s="1">
        <v>272</v>
      </c>
      <c r="S73" s="1">
        <v>285</v>
      </c>
      <c r="T73" s="1">
        <v>243</v>
      </c>
      <c r="U73" s="1">
        <v>243</v>
      </c>
      <c r="V73" s="1">
        <v>235</v>
      </c>
      <c r="W73" s="84">
        <v>0</v>
      </c>
      <c r="X73" s="84">
        <v>0</v>
      </c>
      <c r="Y73" s="84">
        <v>0</v>
      </c>
      <c r="Z73" s="1">
        <v>113</v>
      </c>
      <c r="AA73" s="1">
        <v>111</v>
      </c>
      <c r="AB73" s="1">
        <v>113</v>
      </c>
      <c r="AL73" s="1">
        <f t="shared" si="87"/>
        <v>272</v>
      </c>
      <c r="AM73" s="1">
        <f t="shared" si="88"/>
        <v>235</v>
      </c>
      <c r="AN73" s="1">
        <f t="shared" si="89"/>
        <v>113</v>
      </c>
      <c r="AZ73" s="60" t="s">
        <v>123</v>
      </c>
      <c r="BC73" s="59">
        <v>0.17</v>
      </c>
      <c r="BD73" s="34"/>
      <c r="BE73" s="75"/>
      <c r="BF73" s="62"/>
      <c r="BG73" s="74"/>
      <c r="BH73" s="2"/>
      <c r="BI73" s="2"/>
      <c r="BJ73" s="34"/>
    </row>
    <row r="74" spans="2:102" ht="13.5" customHeight="1">
      <c r="B74" s="1" t="s">
        <v>207</v>
      </c>
      <c r="R74" s="1">
        <v>11160</v>
      </c>
      <c r="S74" s="1">
        <v>11140</v>
      </c>
      <c r="T74" s="1">
        <v>10533</v>
      </c>
      <c r="U74" s="1">
        <v>11093</v>
      </c>
      <c r="V74" s="1">
        <v>11081</v>
      </c>
      <c r="W74" s="1">
        <v>10977</v>
      </c>
      <c r="X74" s="1">
        <v>10976</v>
      </c>
      <c r="Y74" s="1">
        <v>10997</v>
      </c>
      <c r="Z74" s="1">
        <v>10443</v>
      </c>
      <c r="AA74" s="1">
        <v>9191</v>
      </c>
      <c r="AB74" s="1">
        <v>9184</v>
      </c>
      <c r="AL74" s="1">
        <f t="shared" si="87"/>
        <v>11160</v>
      </c>
      <c r="AM74" s="1">
        <f t="shared" si="88"/>
        <v>11081</v>
      </c>
      <c r="AN74" s="1">
        <f t="shared" si="89"/>
        <v>10443</v>
      </c>
      <c r="AO74" s="66">
        <f>AN74+AO40</f>
        <v>9764.2049999999999</v>
      </c>
      <c r="AP74" s="66">
        <f t="shared" ref="AP74:AX74" si="90">AO74+AP40</f>
        <v>9129.5316750000002</v>
      </c>
      <c r="AQ74" s="66">
        <f t="shared" si="90"/>
        <v>8536.1121161249994</v>
      </c>
      <c r="AR74" s="66">
        <f t="shared" si="90"/>
        <v>7981.2648285768746</v>
      </c>
      <c r="AS74" s="66">
        <f t="shared" si="90"/>
        <v>7462.482614719378</v>
      </c>
      <c r="AT74" s="66">
        <f t="shared" si="90"/>
        <v>6977.4212447626187</v>
      </c>
      <c r="AU74" s="66">
        <f t="shared" si="90"/>
        <v>6523.8888638530489</v>
      </c>
      <c r="AV74" s="66">
        <f t="shared" si="90"/>
        <v>6099.8360877026007</v>
      </c>
      <c r="AW74" s="66">
        <f t="shared" si="90"/>
        <v>5703.3467420019315</v>
      </c>
      <c r="AX74" s="66">
        <f t="shared" si="90"/>
        <v>5332.6292037718058</v>
      </c>
      <c r="AZ74" s="70" t="s">
        <v>124</v>
      </c>
      <c r="BC74" s="62">
        <f>BC72*(1-BC73)</f>
        <v>5.3949999999999998E-2</v>
      </c>
      <c r="BG74" s="47"/>
    </row>
    <row r="75" spans="2:102" ht="13.5" customHeight="1">
      <c r="B75" s="1" t="s">
        <v>208</v>
      </c>
      <c r="R75" s="1">
        <v>815</v>
      </c>
      <c r="S75" s="1">
        <v>683</v>
      </c>
      <c r="T75" s="1">
        <v>443</v>
      </c>
      <c r="U75" s="1">
        <v>885</v>
      </c>
      <c r="V75" s="1">
        <v>942</v>
      </c>
      <c r="W75" s="1">
        <v>842</v>
      </c>
      <c r="X75" s="1">
        <v>800</v>
      </c>
      <c r="Y75" s="1">
        <v>1039</v>
      </c>
      <c r="Z75" s="1">
        <v>1114</v>
      </c>
      <c r="AA75" s="1">
        <v>1225</v>
      </c>
      <c r="AB75" s="1">
        <v>1369</v>
      </c>
      <c r="AL75" s="1">
        <f t="shared" si="87"/>
        <v>815</v>
      </c>
      <c r="AM75" s="1">
        <f t="shared" si="88"/>
        <v>942</v>
      </c>
      <c r="AN75" s="1">
        <f t="shared" si="89"/>
        <v>1114</v>
      </c>
      <c r="AZ75" s="34"/>
      <c r="BA75" s="34"/>
      <c r="BB75" s="34"/>
      <c r="BC75" s="34"/>
      <c r="BD75" s="34"/>
      <c r="BE75" s="34"/>
      <c r="BF75" s="34"/>
      <c r="BG75" s="74"/>
      <c r="BH75" s="34"/>
      <c r="BI75" s="34"/>
      <c r="BJ75" s="34"/>
    </row>
    <row r="76" spans="2:102" ht="13.5" customHeight="1">
      <c r="B76" s="1" t="s">
        <v>209</v>
      </c>
      <c r="R76" s="84">
        <v>0</v>
      </c>
      <c r="S76" s="84">
        <v>0</v>
      </c>
      <c r="T76" s="84">
        <v>0</v>
      </c>
      <c r="U76" s="84">
        <v>0</v>
      </c>
      <c r="V76" s="84">
        <v>0</v>
      </c>
      <c r="W76" s="84">
        <v>0</v>
      </c>
      <c r="X76" s="84">
        <v>0</v>
      </c>
      <c r="Y76" s="84">
        <v>0</v>
      </c>
      <c r="Z76" s="84">
        <v>0</v>
      </c>
      <c r="AA76" s="84">
        <v>0</v>
      </c>
      <c r="AB76" s="1">
        <v>130</v>
      </c>
      <c r="AL76" s="1">
        <f t="shared" si="87"/>
        <v>0</v>
      </c>
      <c r="AM76" s="1">
        <f t="shared" si="88"/>
        <v>0</v>
      </c>
      <c r="AN76" s="1">
        <f t="shared" si="89"/>
        <v>0</v>
      </c>
      <c r="AZ76" s="34" t="s">
        <v>125</v>
      </c>
      <c r="BC76" s="62">
        <f>(BC62*BC69)+(BC61*BC74*(1-BC73))</f>
        <v>6.5394781619226003E-2</v>
      </c>
      <c r="BG76" s="47"/>
      <c r="BH76" s="71"/>
    </row>
    <row r="77" spans="2:102" ht="13.5" customHeight="1">
      <c r="B77" s="1" t="s">
        <v>210</v>
      </c>
      <c r="R77" s="84">
        <v>0</v>
      </c>
      <c r="S77" s="84">
        <v>0</v>
      </c>
      <c r="T77" s="84">
        <v>0</v>
      </c>
      <c r="U77" s="84">
        <v>0</v>
      </c>
      <c r="V77" s="84">
        <v>0</v>
      </c>
      <c r="W77" s="84">
        <v>0</v>
      </c>
      <c r="X77" s="84">
        <v>0</v>
      </c>
      <c r="Y77" s="84">
        <v>0</v>
      </c>
      <c r="Z77" s="84">
        <v>0</v>
      </c>
      <c r="AA77" s="84">
        <v>0</v>
      </c>
      <c r="AB77" s="1">
        <v>186</v>
      </c>
      <c r="AL77" s="1">
        <f t="shared" si="87"/>
        <v>0</v>
      </c>
      <c r="AM77" s="1">
        <f t="shared" si="88"/>
        <v>0</v>
      </c>
      <c r="AN77" s="1">
        <f t="shared" si="89"/>
        <v>0</v>
      </c>
      <c r="BG77" s="47"/>
    </row>
    <row r="78" spans="2:102">
      <c r="B78" s="1" t="s">
        <v>211</v>
      </c>
      <c r="R78" s="1">
        <v>2879</v>
      </c>
      <c r="S78" s="1">
        <v>2826</v>
      </c>
      <c r="T78" s="1">
        <v>2796</v>
      </c>
      <c r="U78" s="1">
        <v>2876</v>
      </c>
      <c r="V78" s="1">
        <v>2766</v>
      </c>
      <c r="W78" s="1">
        <v>2850</v>
      </c>
      <c r="X78" s="1">
        <v>2864</v>
      </c>
      <c r="Y78" s="1">
        <v>2808</v>
      </c>
      <c r="Z78" s="1">
        <v>2777</v>
      </c>
      <c r="AA78" s="1">
        <v>2683</v>
      </c>
      <c r="AB78" s="1">
        <v>2702</v>
      </c>
      <c r="AL78" s="1">
        <f t="shared" si="87"/>
        <v>2879</v>
      </c>
      <c r="AM78" s="1">
        <f t="shared" si="88"/>
        <v>2766</v>
      </c>
      <c r="AN78" s="1">
        <f t="shared" si="89"/>
        <v>2777</v>
      </c>
      <c r="BG78" s="47"/>
      <c r="BH78" s="66"/>
    </row>
    <row r="79" spans="2:102" s="2" customFormat="1" ht="15">
      <c r="B79" s="2" t="s">
        <v>129</v>
      </c>
      <c r="R79" s="2">
        <f t="shared" ref="R79:Y79" si="91">SUM(R68:R78)</f>
        <v>22858</v>
      </c>
      <c r="S79" s="2">
        <f t="shared" si="91"/>
        <v>23126</v>
      </c>
      <c r="T79" s="2">
        <f t="shared" si="91"/>
        <v>22753</v>
      </c>
      <c r="U79" s="2">
        <f t="shared" si="91"/>
        <v>22827</v>
      </c>
      <c r="V79" s="2">
        <f t="shared" si="91"/>
        <v>22422</v>
      </c>
      <c r="W79" s="2">
        <f t="shared" si="91"/>
        <v>22118</v>
      </c>
      <c r="X79" s="2">
        <f t="shared" si="91"/>
        <v>21962</v>
      </c>
      <c r="Y79" s="2">
        <f t="shared" si="91"/>
        <v>21482</v>
      </c>
      <c r="Z79" s="2">
        <f>SUM(Z68:Z78)</f>
        <v>21560</v>
      </c>
      <c r="AA79" s="2">
        <f>SUM(AA68:AA78)</f>
        <v>21700</v>
      </c>
      <c r="AB79" s="2">
        <f>SUM(AB68:AB78)</f>
        <v>22088</v>
      </c>
      <c r="AC79" s="34"/>
      <c r="AD79" s="34"/>
      <c r="AL79" s="2">
        <f t="shared" ref="AL79:AN79" si="92">SUM(AL68:AL78)</f>
        <v>22858</v>
      </c>
      <c r="AM79" s="2">
        <f t="shared" si="92"/>
        <v>22422</v>
      </c>
      <c r="AN79" s="2">
        <f t="shared" si="92"/>
        <v>21560</v>
      </c>
      <c r="AO79" s="34"/>
      <c r="AZ79" s="35"/>
      <c r="BA79" s="35"/>
      <c r="BB79" s="35"/>
      <c r="BC79" s="35"/>
      <c r="BD79" s="35"/>
      <c r="BE79" s="35"/>
      <c r="BF79" s="35"/>
      <c r="BG79" s="47"/>
      <c r="BH79" s="66"/>
      <c r="BI79" s="35"/>
      <c r="BJ79" s="35"/>
      <c r="BK79" s="35"/>
      <c r="BL79" s="35"/>
      <c r="BM79" s="35"/>
      <c r="BN79" s="35"/>
      <c r="BO79" s="35"/>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row>
    <row r="80" spans="2:102">
      <c r="B80" s="1" t="s">
        <v>130</v>
      </c>
      <c r="R80" s="1">
        <v>18829</v>
      </c>
      <c r="S80" s="1">
        <v>18730</v>
      </c>
      <c r="T80" s="1">
        <v>18904</v>
      </c>
      <c r="U80" s="1">
        <v>19062</v>
      </c>
      <c r="V80" s="1">
        <v>19579</v>
      </c>
      <c r="W80" s="1">
        <v>19130</v>
      </c>
      <c r="X80" s="1">
        <v>19278</v>
      </c>
      <c r="Y80" s="1">
        <v>19532</v>
      </c>
      <c r="Z80" s="1">
        <v>19635</v>
      </c>
      <c r="AA80" s="1">
        <v>19680</v>
      </c>
      <c r="AB80" s="1">
        <v>19882</v>
      </c>
      <c r="AL80" s="1">
        <f>R80</f>
        <v>18829</v>
      </c>
      <c r="AM80" s="1">
        <f>V80</f>
        <v>19579</v>
      </c>
      <c r="AN80" s="1">
        <f>Z80</f>
        <v>19635</v>
      </c>
      <c r="BG80" s="47"/>
      <c r="BH80" s="67"/>
    </row>
    <row r="81" spans="2:102" s="2" customFormat="1" ht="15">
      <c r="B81" s="2" t="s">
        <v>131</v>
      </c>
      <c r="R81" s="2">
        <f t="shared" ref="R81:Y81" si="93">R79+R80</f>
        <v>41687</v>
      </c>
      <c r="S81" s="2">
        <f t="shared" si="93"/>
        <v>41856</v>
      </c>
      <c r="T81" s="2">
        <f t="shared" si="93"/>
        <v>41657</v>
      </c>
      <c r="U81" s="2">
        <f t="shared" si="93"/>
        <v>41889</v>
      </c>
      <c r="V81" s="2">
        <f t="shared" si="93"/>
        <v>42001</v>
      </c>
      <c r="W81" s="2">
        <f t="shared" si="93"/>
        <v>41248</v>
      </c>
      <c r="X81" s="2">
        <f t="shared" si="93"/>
        <v>41240</v>
      </c>
      <c r="Y81" s="2">
        <f t="shared" si="93"/>
        <v>41014</v>
      </c>
      <c r="Z81" s="2">
        <f>Z79+Z80</f>
        <v>41195</v>
      </c>
      <c r="AA81" s="2">
        <f>AA79+AA80</f>
        <v>41380</v>
      </c>
      <c r="AB81" s="2">
        <f>AB79+AB80</f>
        <v>41970</v>
      </c>
      <c r="AC81" s="34"/>
      <c r="AD81" s="34"/>
      <c r="AL81" s="2">
        <f t="shared" ref="AL81:AN81" si="94">AL79+AL80</f>
        <v>41687</v>
      </c>
      <c r="AM81" s="2">
        <f t="shared" si="94"/>
        <v>42001</v>
      </c>
      <c r="AN81" s="2">
        <f t="shared" si="94"/>
        <v>41195</v>
      </c>
      <c r="AO81" s="34"/>
      <c r="AZ81" s="35"/>
      <c r="BA81" s="35"/>
      <c r="BB81" s="35"/>
      <c r="BC81" s="35"/>
      <c r="BD81" s="35"/>
      <c r="BE81" s="35"/>
      <c r="BF81" s="35"/>
      <c r="BG81" s="47"/>
      <c r="BH81" s="67"/>
      <c r="BI81" s="35"/>
      <c r="BJ81" s="35"/>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row>
    <row r="82" spans="2:102" ht="15">
      <c r="AZ82" s="34"/>
      <c r="BA82" s="34"/>
      <c r="BB82" s="34"/>
      <c r="BC82" s="34"/>
      <c r="BD82" s="34"/>
      <c r="BE82" s="34"/>
      <c r="BF82" s="34"/>
      <c r="BG82" s="47"/>
      <c r="BH82" s="71"/>
      <c r="BI82" s="57"/>
    </row>
    <row r="83" spans="2:102">
      <c r="B83" s="1" t="s">
        <v>62</v>
      </c>
      <c r="R83" s="76">
        <f t="shared" ref="R83:AA83" si="95">SUM(R55:R60)/SUM(R68:R73)</f>
        <v>1.0063718140929536</v>
      </c>
      <c r="S83" s="76">
        <f t="shared" si="95"/>
        <v>0.97510911879202544</v>
      </c>
      <c r="T83" s="76">
        <f t="shared" si="95"/>
        <v>0.89600267230820618</v>
      </c>
      <c r="U83" s="76">
        <f t="shared" si="95"/>
        <v>1.0412642669007901</v>
      </c>
      <c r="V83" s="76">
        <f t="shared" si="95"/>
        <v>1.0766409013494038</v>
      </c>
      <c r="W83" s="76">
        <f t="shared" si="95"/>
        <v>1.0197341925090617</v>
      </c>
      <c r="X83" s="76">
        <f t="shared" si="95"/>
        <v>1.0390603660202131</v>
      </c>
      <c r="Y83" s="76">
        <f t="shared" si="95"/>
        <v>1.1438686351310636</v>
      </c>
      <c r="Z83" s="76">
        <f t="shared" si="95"/>
        <v>1.1891779684472736</v>
      </c>
      <c r="AA83" s="76">
        <f t="shared" si="95"/>
        <v>1.0340658063015928</v>
      </c>
      <c r="AB83" s="76">
        <f>SUM(AB55:AB60)/SUM(AB68:AB73)</f>
        <v>1.1838675589996477</v>
      </c>
      <c r="AL83" s="76">
        <f t="shared" ref="AL83:AN83" si="96">SUM(AL55:AL60)/SUM(AL68:AL73)</f>
        <v>1.0063718140929536</v>
      </c>
      <c r="AM83" s="76">
        <f t="shared" si="96"/>
        <v>1.0766409013494038</v>
      </c>
      <c r="AN83" s="76">
        <f t="shared" si="96"/>
        <v>1.1891779684472736</v>
      </c>
    </row>
    <row r="84" spans="2:102" ht="15">
      <c r="B84" s="1" t="s">
        <v>63</v>
      </c>
      <c r="R84" s="76">
        <f t="shared" ref="R84:AA84" si="97">(SUM(R55:R60)-R58)/SUM(R68:R73)</f>
        <v>0.82246376811594202</v>
      </c>
      <c r="S84" s="76">
        <f t="shared" si="97"/>
        <v>0.80099091659785304</v>
      </c>
      <c r="T84" s="76">
        <f t="shared" si="97"/>
        <v>0.73655494933749022</v>
      </c>
      <c r="U84" s="76">
        <f t="shared" si="97"/>
        <v>0.86579706509469456</v>
      </c>
      <c r="V84" s="76">
        <f t="shared" si="97"/>
        <v>0.90239748460631464</v>
      </c>
      <c r="W84" s="76">
        <f t="shared" si="97"/>
        <v>0.85165794066317624</v>
      </c>
      <c r="X84" s="76">
        <f t="shared" si="97"/>
        <v>0.86724938541382135</v>
      </c>
      <c r="Y84" s="76">
        <f t="shared" si="97"/>
        <v>0.94938234407954203</v>
      </c>
      <c r="Z84" s="76">
        <f t="shared" si="97"/>
        <v>1.0204815942430114</v>
      </c>
      <c r="AA84" s="76">
        <f t="shared" si="97"/>
        <v>0.89059411696314383</v>
      </c>
      <c r="AB84" s="76">
        <f>(SUM(AB55:AB60)-AB58)/SUM(AB68:AB73)</f>
        <v>1.0345191969003169</v>
      </c>
      <c r="AL84" s="76">
        <f t="shared" ref="AL84:AN84" si="98">(SUM(AL55:AL60)-AL58)/SUM(AL68:AL73)</f>
        <v>0.82246376811594202</v>
      </c>
      <c r="AM84" s="76">
        <f t="shared" si="98"/>
        <v>0.90239748460631464</v>
      </c>
      <c r="AN84" s="76">
        <f t="shared" si="98"/>
        <v>1.0204815942430114</v>
      </c>
      <c r="AZ84" s="34"/>
      <c r="BC84" s="62"/>
      <c r="BF84" s="59"/>
      <c r="BH84" s="59"/>
    </row>
    <row r="85" spans="2:102">
      <c r="B85" s="1" t="s">
        <v>64</v>
      </c>
      <c r="R85" s="76">
        <f t="shared" ref="R85:AA85" si="99">SUM(R58:R59)/SUM(R68:R73)</f>
        <v>0.24525237381309345</v>
      </c>
      <c r="S85" s="76">
        <f t="shared" si="99"/>
        <v>0.2290904801226849</v>
      </c>
      <c r="T85" s="76">
        <f t="shared" si="99"/>
        <v>0.21534350295067364</v>
      </c>
      <c r="U85" s="76">
        <f t="shared" si="99"/>
        <v>0.2746770349931017</v>
      </c>
      <c r="V85" s="76">
        <f t="shared" si="99"/>
        <v>0.28429189047556663</v>
      </c>
      <c r="W85" s="76">
        <f t="shared" si="99"/>
        <v>0.25976641159887232</v>
      </c>
      <c r="X85" s="76">
        <f t="shared" si="99"/>
        <v>0.25020486205954656</v>
      </c>
      <c r="Y85" s="76">
        <f t="shared" si="99"/>
        <v>0.3086773124435071</v>
      </c>
      <c r="Z85" s="76">
        <f t="shared" si="99"/>
        <v>0.23567672294492112</v>
      </c>
      <c r="AA85" s="76">
        <f t="shared" si="99"/>
        <v>0.22509010580165098</v>
      </c>
      <c r="AB85" s="76">
        <f>SUM(AB58:AB59)/SUM(AB68:AB73)</f>
        <v>0.22637078783609252</v>
      </c>
      <c r="AL85" s="76">
        <f t="shared" ref="AL85:AN85" si="100">SUM(AL58:AL59)/SUM(AL68:AL73)</f>
        <v>0.24525237381309345</v>
      </c>
      <c r="AM85" s="76">
        <f t="shared" si="100"/>
        <v>0.28429189047556663</v>
      </c>
      <c r="AN85" s="76">
        <f t="shared" si="100"/>
        <v>0.23567672294492112</v>
      </c>
    </row>
    <row r="86" spans="2:102">
      <c r="B86" s="1" t="s">
        <v>133</v>
      </c>
      <c r="R86" s="76">
        <f t="shared" ref="R86:AA86" si="101">R34/SUM(R61)</f>
        <v>1.8658280922431867</v>
      </c>
      <c r="S86" s="76">
        <f t="shared" si="101"/>
        <v>1.8374471086036672</v>
      </c>
      <c r="T86" s="76">
        <f t="shared" si="101"/>
        <v>1.8925000000000001</v>
      </c>
      <c r="U86" s="76">
        <f t="shared" si="101"/>
        <v>1.8933810375670841</v>
      </c>
      <c r="V86" s="76">
        <f t="shared" si="101"/>
        <v>1.9682822523164647</v>
      </c>
      <c r="W86" s="76">
        <f t="shared" si="101"/>
        <v>1.8627949183303085</v>
      </c>
      <c r="X86" s="76">
        <f t="shared" si="101"/>
        <v>1.9788475565280816</v>
      </c>
      <c r="Y86" s="76">
        <f t="shared" si="101"/>
        <v>2.0496197030061571</v>
      </c>
      <c r="Z86" s="76">
        <f t="shared" si="101"/>
        <v>2.1193245778611631</v>
      </c>
      <c r="AA86" s="76">
        <f t="shared" si="101"/>
        <v>2.1610233258088787</v>
      </c>
      <c r="AB86" s="76">
        <f>AB34/SUM(AB61)</f>
        <v>2.189501116902457</v>
      </c>
      <c r="AL86" s="76">
        <f t="shared" ref="AL86:AN86" si="102">AL34/SUM(AL61)</f>
        <v>6.7851153039832282</v>
      </c>
      <c r="AM86" s="76">
        <f t="shared" si="102"/>
        <v>7.5997861724875264</v>
      </c>
      <c r="AN86" s="76">
        <f t="shared" si="102"/>
        <v>8.2045028142589125</v>
      </c>
    </row>
    <row r="87" spans="2:102">
      <c r="B87" s="1" t="s">
        <v>134</v>
      </c>
      <c r="R87" s="76">
        <f t="shared" ref="R87:AA87" si="103">R34/R66</f>
        <v>0.12809748842564828</v>
      </c>
      <c r="S87" s="76">
        <f t="shared" si="103"/>
        <v>0.12461737134111345</v>
      </c>
      <c r="T87" s="76">
        <f t="shared" si="103"/>
        <v>0.12720551167870947</v>
      </c>
      <c r="U87" s="76">
        <f t="shared" si="103"/>
        <v>0.12633388240349494</v>
      </c>
      <c r="V87" s="76">
        <f t="shared" si="103"/>
        <v>0.13149686912216377</v>
      </c>
      <c r="W87" s="76">
        <f t="shared" si="103"/>
        <v>0.12441815360744764</v>
      </c>
      <c r="X87" s="76">
        <f t="shared" si="103"/>
        <v>0.13157129000969933</v>
      </c>
      <c r="Y87" s="76">
        <f t="shared" si="103"/>
        <v>0.13797727605207977</v>
      </c>
      <c r="Z87" s="76">
        <f t="shared" si="103"/>
        <v>0.13710401747784925</v>
      </c>
      <c r="AA87" s="76">
        <f t="shared" si="103"/>
        <v>0.1388110198163364</v>
      </c>
      <c r="AB87" s="76">
        <f>AB34/AB66</f>
        <v>0.13696492617262099</v>
      </c>
      <c r="AL87" s="76">
        <f t="shared" ref="AL87:AN87" si="104">AL34/AL66</f>
        <v>0.46582867560630414</v>
      </c>
      <c r="AM87" s="76">
        <f t="shared" si="104"/>
        <v>0.50772600652365418</v>
      </c>
      <c r="AN87" s="76">
        <f t="shared" si="104"/>
        <v>0.53076829712343732</v>
      </c>
    </row>
    <row r="88" spans="2:102">
      <c r="B88" s="1" t="s">
        <v>65</v>
      </c>
      <c r="R88" s="76">
        <f t="shared" ref="R88:AA88" si="105">R35/AVERAGE(O58:R58)</f>
        <v>2.640625</v>
      </c>
      <c r="S88" s="76">
        <f t="shared" si="105"/>
        <v>2.6207598371777476</v>
      </c>
      <c r="T88" s="76">
        <f t="shared" si="105"/>
        <v>2.6979452054794519</v>
      </c>
      <c r="U88" s="76">
        <f t="shared" si="105"/>
        <v>2.6807406125627273</v>
      </c>
      <c r="V88" s="76">
        <f t="shared" si="105"/>
        <v>2.9277984743657974</v>
      </c>
      <c r="W88" s="76">
        <f t="shared" si="105"/>
        <v>2.7947533715130244</v>
      </c>
      <c r="X88" s="76">
        <f t="shared" si="105"/>
        <v>3.1234968505439968</v>
      </c>
      <c r="Y88" s="76">
        <f t="shared" si="105"/>
        <v>3.2469304229195091</v>
      </c>
      <c r="Z88" s="76">
        <f t="shared" si="105"/>
        <v>3.348207171314741</v>
      </c>
      <c r="AA88" s="76">
        <f t="shared" si="105"/>
        <v>3.4722111155537787</v>
      </c>
      <c r="AB88" s="76">
        <f>AB35/AVERAGE(Y58:AB58)</f>
        <v>3.492025518341308</v>
      </c>
      <c r="AL88" s="76">
        <f t="shared" ref="AL88:AN88" si="106">AL35/AVERAGE(AI58:AL58)</f>
        <v>9.71875</v>
      </c>
      <c r="AM88" s="76">
        <f t="shared" si="106"/>
        <v>11.278372591006423</v>
      </c>
      <c r="AN88" s="76">
        <f t="shared" si="106"/>
        <v>12.116388957970655</v>
      </c>
    </row>
    <row r="89" spans="2:102">
      <c r="B89" s="1" t="s">
        <v>66</v>
      </c>
      <c r="R89" s="77">
        <f t="shared" ref="R89:AA89" si="107">R45/R66</f>
        <v>3.0225250077961954E-3</v>
      </c>
      <c r="S89" s="77">
        <f t="shared" si="107"/>
        <v>6.8155729864166825E-3</v>
      </c>
      <c r="T89" s="77">
        <f t="shared" si="107"/>
        <v>8.8100439301918038E-3</v>
      </c>
      <c r="U89" s="77">
        <f t="shared" si="107"/>
        <v>9.5490462890018852E-3</v>
      </c>
      <c r="V89" s="77">
        <f t="shared" si="107"/>
        <v>1.0856884359896193E-2</v>
      </c>
      <c r="W89" s="77">
        <f t="shared" si="107"/>
        <v>9.3580294802172222E-3</v>
      </c>
      <c r="X89" s="77">
        <f t="shared" si="107"/>
        <v>1.1105722599418041E-2</v>
      </c>
      <c r="Y89" s="77">
        <f t="shared" si="107"/>
        <v>1.1264446286633832E-2</v>
      </c>
      <c r="Z89" s="77">
        <f t="shared" si="107"/>
        <v>7.2824371889792447E-3</v>
      </c>
      <c r="AA89" s="77">
        <f t="shared" si="107"/>
        <v>1.2373127114548091E-2</v>
      </c>
      <c r="AB89" s="77">
        <f>AB45/AB66</f>
        <v>1.3647584889841167E-2</v>
      </c>
      <c r="AL89" s="77">
        <f t="shared" ref="AL89:AN89" si="108">AL45/AL66</f>
        <v>2.8737975867776527E-2</v>
      </c>
      <c r="AM89" s="77">
        <f t="shared" si="108"/>
        <v>3.5903907049832144E-2</v>
      </c>
      <c r="AN89" s="77">
        <f t="shared" si="108"/>
        <v>3.8985313751668894E-2</v>
      </c>
    </row>
    <row r="90" spans="2:102">
      <c r="B90" s="1" t="s">
        <v>67</v>
      </c>
      <c r="R90" s="77">
        <f t="shared" ref="R90:AA90" si="109">R45/R80</f>
        <v>6.6918051941154601E-3</v>
      </c>
      <c r="S90" s="77">
        <f t="shared" si="109"/>
        <v>1.5216230646022424E-2</v>
      </c>
      <c r="T90" s="77">
        <f t="shared" si="109"/>
        <v>1.941388066017774E-2</v>
      </c>
      <c r="U90" s="77">
        <f t="shared" si="109"/>
        <v>2.0984156961494072E-2</v>
      </c>
      <c r="V90" s="77">
        <f t="shared" si="109"/>
        <v>2.329025997241943E-2</v>
      </c>
      <c r="W90" s="77">
        <f t="shared" si="109"/>
        <v>2.0177731312075273E-2</v>
      </c>
      <c r="X90" s="77">
        <f t="shared" si="109"/>
        <v>2.3757651208631599E-2</v>
      </c>
      <c r="Y90" s="77">
        <f t="shared" si="109"/>
        <v>2.3653491705918493E-2</v>
      </c>
      <c r="Z90" s="77">
        <f t="shared" si="109"/>
        <v>1.5278838808250574E-2</v>
      </c>
      <c r="AA90" s="77">
        <f t="shared" si="109"/>
        <v>2.6016260162601626E-2</v>
      </c>
      <c r="AB90" s="77">
        <f>AB45/AB80</f>
        <v>2.9473895986319283E-2</v>
      </c>
      <c r="AL90" s="77">
        <f t="shared" ref="AL90:AN90" si="110">AL45/AL80</f>
        <v>6.362525890912954E-2</v>
      </c>
      <c r="AM90" s="77">
        <f t="shared" si="110"/>
        <v>7.7021298329843196E-2</v>
      </c>
      <c r="AN90" s="77">
        <f t="shared" si="110"/>
        <v>8.1792717086834735E-2</v>
      </c>
    </row>
    <row r="92" spans="2:102">
      <c r="B92" s="1" t="s">
        <v>68</v>
      </c>
      <c r="C92" s="1">
        <f t="shared" ref="C92:AA92" si="111">C45</f>
        <v>195</v>
      </c>
      <c r="D92" s="1">
        <f t="shared" si="111"/>
        <v>278</v>
      </c>
      <c r="E92" s="1">
        <f t="shared" si="111"/>
        <v>431</v>
      </c>
      <c r="F92" s="1">
        <f t="shared" si="111"/>
        <v>184</v>
      </c>
      <c r="G92" s="1">
        <f t="shared" si="111"/>
        <v>405</v>
      </c>
      <c r="H92" s="1">
        <f t="shared" si="111"/>
        <v>413</v>
      </c>
      <c r="I92" s="1">
        <f t="shared" si="111"/>
        <v>479</v>
      </c>
      <c r="J92" s="1">
        <f t="shared" si="111"/>
        <v>484</v>
      </c>
      <c r="K92" s="1">
        <f t="shared" si="111"/>
        <v>475</v>
      </c>
      <c r="L92" s="1">
        <f t="shared" si="111"/>
        <v>470</v>
      </c>
      <c r="M92" s="1">
        <f t="shared" si="111"/>
        <v>-301</v>
      </c>
      <c r="N92" s="1">
        <f t="shared" si="111"/>
        <v>417</v>
      </c>
      <c r="O92" s="1">
        <f t="shared" si="111"/>
        <v>339</v>
      </c>
      <c r="P92" s="1">
        <f t="shared" si="111"/>
        <v>351</v>
      </c>
      <c r="Q92" s="1">
        <f t="shared" si="111"/>
        <v>382</v>
      </c>
      <c r="R92" s="1">
        <f t="shared" si="111"/>
        <v>126</v>
      </c>
      <c r="S92" s="1">
        <f t="shared" si="111"/>
        <v>285</v>
      </c>
      <c r="T92" s="1">
        <f t="shared" si="111"/>
        <v>367</v>
      </c>
      <c r="U92" s="1">
        <f t="shared" si="111"/>
        <v>400</v>
      </c>
      <c r="V92" s="1">
        <f t="shared" si="111"/>
        <v>456</v>
      </c>
      <c r="W92" s="1">
        <f t="shared" si="111"/>
        <v>386</v>
      </c>
      <c r="X92" s="1">
        <f t="shared" si="111"/>
        <v>458</v>
      </c>
      <c r="Y92" s="1">
        <f t="shared" si="111"/>
        <v>462</v>
      </c>
      <c r="Z92" s="1">
        <f t="shared" si="111"/>
        <v>300</v>
      </c>
      <c r="AA92" s="1">
        <f t="shared" si="111"/>
        <v>512</v>
      </c>
      <c r="AB92" s="1">
        <f>AB45</f>
        <v>586</v>
      </c>
      <c r="AI92" s="86">
        <f t="shared" ref="AI92:AI97" si="112">SUM(C92:F92)</f>
        <v>1088</v>
      </c>
      <c r="AJ92" s="86">
        <f t="shared" ref="AJ92:AJ97" si="113">SUM(G92:J92)</f>
        <v>1781</v>
      </c>
      <c r="AK92" s="86">
        <f t="shared" ref="AK92:AK97" si="114">SUM(K92:N92)</f>
        <v>1061</v>
      </c>
      <c r="AL92" s="86">
        <f t="shared" ref="AL92:AL97" si="115">SUM(O92:R92)</f>
        <v>1198</v>
      </c>
      <c r="AM92" s="86">
        <f t="shared" ref="AM92:AM97" si="116">SUM(S92:V92)</f>
        <v>1508</v>
      </c>
      <c r="AN92" s="86">
        <f t="shared" ref="AN92:AN97" si="117">SUM(W92:Z92)</f>
        <v>1606</v>
      </c>
    </row>
    <row r="93" spans="2:102" ht="15">
      <c r="B93" s="1" t="s">
        <v>69</v>
      </c>
      <c r="C93" s="2">
        <v>533</v>
      </c>
      <c r="D93" s="2">
        <v>802</v>
      </c>
      <c r="E93" s="2">
        <v>757</v>
      </c>
      <c r="F93" s="2">
        <v>698</v>
      </c>
      <c r="G93" s="2">
        <v>661</v>
      </c>
      <c r="H93" s="2">
        <v>720</v>
      </c>
      <c r="I93" s="2">
        <v>484</v>
      </c>
      <c r="J93" s="2">
        <v>822</v>
      </c>
      <c r="K93" s="2">
        <v>39</v>
      </c>
      <c r="L93" s="2">
        <v>749</v>
      </c>
      <c r="M93" s="2">
        <v>588</v>
      </c>
      <c r="N93" s="2">
        <v>782</v>
      </c>
      <c r="O93" s="2">
        <v>350</v>
      </c>
      <c r="P93" s="2">
        <v>414</v>
      </c>
      <c r="Q93" s="2">
        <v>543</v>
      </c>
      <c r="R93" s="2">
        <v>789</v>
      </c>
      <c r="S93" s="2">
        <v>-104</v>
      </c>
      <c r="T93" s="2">
        <v>754</v>
      </c>
      <c r="U93" s="2">
        <v>780</v>
      </c>
      <c r="V93" s="2">
        <v>1129</v>
      </c>
      <c r="W93" s="2">
        <v>-42</v>
      </c>
      <c r="X93" s="2">
        <v>640</v>
      </c>
      <c r="Y93" s="2">
        <v>546</v>
      </c>
      <c r="Z93" s="2">
        <v>1962</v>
      </c>
      <c r="AA93" s="2">
        <v>-95</v>
      </c>
      <c r="AB93" s="2">
        <v>879</v>
      </c>
      <c r="AI93" s="87">
        <f t="shared" si="112"/>
        <v>2790</v>
      </c>
      <c r="AJ93" s="87">
        <f t="shared" si="113"/>
        <v>2687</v>
      </c>
      <c r="AK93" s="87">
        <f t="shared" si="114"/>
        <v>2158</v>
      </c>
      <c r="AL93" s="87">
        <f t="shared" si="115"/>
        <v>2096</v>
      </c>
      <c r="AM93" s="87">
        <f t="shared" si="116"/>
        <v>2559</v>
      </c>
      <c r="AN93" s="87">
        <f t="shared" si="117"/>
        <v>3106</v>
      </c>
    </row>
    <row r="94" spans="2:102">
      <c r="B94" s="1" t="s">
        <v>70</v>
      </c>
      <c r="C94" s="1">
        <v>-48</v>
      </c>
      <c r="D94" s="1">
        <v>-60</v>
      </c>
      <c r="E94" s="1">
        <v>-86</v>
      </c>
      <c r="F94" s="1">
        <v>-174</v>
      </c>
      <c r="G94" s="1">
        <v>-67</v>
      </c>
      <c r="H94" s="1">
        <v>-61</v>
      </c>
      <c r="I94" s="1">
        <v>-79</v>
      </c>
      <c r="J94" s="1">
        <v>-135</v>
      </c>
      <c r="K94" s="1">
        <v>-55</v>
      </c>
      <c r="L94" s="1">
        <v>-62</v>
      </c>
      <c r="M94" s="1">
        <v>-64</v>
      </c>
      <c r="N94" s="1">
        <v>-71</v>
      </c>
      <c r="O94" s="1">
        <v>-71</v>
      </c>
      <c r="P94" s="1">
        <v>-93</v>
      </c>
      <c r="Q94" s="1">
        <v>-148</v>
      </c>
      <c r="R94" s="1">
        <v>-137</v>
      </c>
      <c r="S94" s="1">
        <v>-115</v>
      </c>
      <c r="T94" s="1">
        <v>-97</v>
      </c>
      <c r="U94" s="1">
        <v>-78</v>
      </c>
      <c r="V94" s="1">
        <v>-118</v>
      </c>
      <c r="W94" s="1">
        <v>-59</v>
      </c>
      <c r="X94" s="1">
        <v>-88</v>
      </c>
      <c r="Y94" s="1">
        <v>-119</v>
      </c>
      <c r="Z94" s="1">
        <v>-158</v>
      </c>
      <c r="AA94" s="1">
        <v>-99</v>
      </c>
      <c r="AB94" s="1">
        <v>-108</v>
      </c>
      <c r="AI94" s="86">
        <f t="shared" si="112"/>
        <v>-368</v>
      </c>
      <c r="AJ94" s="86">
        <f t="shared" si="113"/>
        <v>-342</v>
      </c>
      <c r="AK94" s="86">
        <f t="shared" si="114"/>
        <v>-252</v>
      </c>
      <c r="AL94" s="86">
        <f t="shared" si="115"/>
        <v>-449</v>
      </c>
      <c r="AM94" s="86">
        <f t="shared" si="116"/>
        <v>-408</v>
      </c>
      <c r="AN94" s="86">
        <f t="shared" si="117"/>
        <v>-424</v>
      </c>
    </row>
    <row r="95" spans="2:102" ht="15">
      <c r="B95" s="1" t="s">
        <v>71</v>
      </c>
      <c r="C95" s="2">
        <f t="shared" ref="C95:R95" si="118">C93+C94</f>
        <v>485</v>
      </c>
      <c r="D95" s="2">
        <f t="shared" si="118"/>
        <v>742</v>
      </c>
      <c r="E95" s="2">
        <f t="shared" si="118"/>
        <v>671</v>
      </c>
      <c r="F95" s="2">
        <f t="shared" si="118"/>
        <v>524</v>
      </c>
      <c r="G95" s="2">
        <f t="shared" si="118"/>
        <v>594</v>
      </c>
      <c r="H95" s="2">
        <f t="shared" si="118"/>
        <v>659</v>
      </c>
      <c r="I95" s="2">
        <f t="shared" si="118"/>
        <v>405</v>
      </c>
      <c r="J95" s="2">
        <f t="shared" si="118"/>
        <v>687</v>
      </c>
      <c r="K95" s="2">
        <f t="shared" si="118"/>
        <v>-16</v>
      </c>
      <c r="L95" s="2">
        <f t="shared" si="118"/>
        <v>687</v>
      </c>
      <c r="M95" s="2">
        <f t="shared" si="118"/>
        <v>524</v>
      </c>
      <c r="N95" s="2">
        <f t="shared" si="118"/>
        <v>711</v>
      </c>
      <c r="O95" s="2">
        <f t="shared" si="118"/>
        <v>279</v>
      </c>
      <c r="P95" s="2">
        <f t="shared" si="118"/>
        <v>321</v>
      </c>
      <c r="Q95" s="2">
        <f t="shared" si="118"/>
        <v>395</v>
      </c>
      <c r="R95" s="2">
        <f t="shared" si="118"/>
        <v>652</v>
      </c>
      <c r="S95" s="2">
        <f t="shared" ref="S95:Y95" si="119">S93+S94</f>
        <v>-219</v>
      </c>
      <c r="T95" s="2">
        <f t="shared" si="119"/>
        <v>657</v>
      </c>
      <c r="U95" s="2">
        <f t="shared" si="119"/>
        <v>702</v>
      </c>
      <c r="V95" s="2">
        <f t="shared" si="119"/>
        <v>1011</v>
      </c>
      <c r="W95" s="2">
        <f t="shared" si="119"/>
        <v>-101</v>
      </c>
      <c r="X95" s="2">
        <f t="shared" si="119"/>
        <v>552</v>
      </c>
      <c r="Y95" s="2">
        <f t="shared" si="119"/>
        <v>427</v>
      </c>
      <c r="Z95" s="2">
        <f>Z93+Z94</f>
        <v>1804</v>
      </c>
      <c r="AA95" s="2">
        <f>AA93+AA94</f>
        <v>-194</v>
      </c>
      <c r="AB95" s="2">
        <f>AB93+AB94</f>
        <v>771</v>
      </c>
      <c r="AI95" s="87">
        <f t="shared" si="112"/>
        <v>2422</v>
      </c>
      <c r="AJ95" s="87">
        <f t="shared" si="113"/>
        <v>2345</v>
      </c>
      <c r="AK95" s="87">
        <f t="shared" si="114"/>
        <v>1906</v>
      </c>
      <c r="AL95" s="87">
        <f t="shared" si="115"/>
        <v>1647</v>
      </c>
      <c r="AM95" s="87">
        <f t="shared" si="116"/>
        <v>2151</v>
      </c>
      <c r="AN95" s="87">
        <f t="shared" si="117"/>
        <v>2682</v>
      </c>
    </row>
    <row r="96" spans="2:102">
      <c r="B96" s="1" t="s">
        <v>72</v>
      </c>
      <c r="C96" s="1">
        <f>C46</f>
        <v>217</v>
      </c>
      <c r="D96" s="1">
        <f t="shared" ref="D96:AB96" si="120">D46</f>
        <v>216</v>
      </c>
      <c r="E96" s="1">
        <f t="shared" si="120"/>
        <v>213</v>
      </c>
      <c r="F96" s="1">
        <f t="shared" si="120"/>
        <v>214</v>
      </c>
      <c r="G96" s="1">
        <f t="shared" si="120"/>
        <v>207</v>
      </c>
      <c r="H96" s="1">
        <f t="shared" si="120"/>
        <v>204</v>
      </c>
      <c r="I96" s="1">
        <f t="shared" si="120"/>
        <v>200</v>
      </c>
      <c r="J96" s="1">
        <f t="shared" si="120"/>
        <v>201</v>
      </c>
      <c r="K96" s="1">
        <f t="shared" si="120"/>
        <v>193</v>
      </c>
      <c r="L96" s="1">
        <f t="shared" si="120"/>
        <v>192</v>
      </c>
      <c r="M96" s="1">
        <f t="shared" si="120"/>
        <v>191</v>
      </c>
      <c r="N96" s="1">
        <f t="shared" si="120"/>
        <v>192</v>
      </c>
      <c r="O96" s="1">
        <f t="shared" si="120"/>
        <v>190</v>
      </c>
      <c r="P96" s="1">
        <f t="shared" si="120"/>
        <v>189</v>
      </c>
      <c r="Q96" s="1">
        <f t="shared" si="120"/>
        <v>189</v>
      </c>
      <c r="R96" s="1">
        <f t="shared" si="120"/>
        <v>190</v>
      </c>
      <c r="S96" s="1">
        <f t="shared" si="120"/>
        <v>190</v>
      </c>
      <c r="T96" s="1">
        <f t="shared" si="120"/>
        <v>190</v>
      </c>
      <c r="U96" s="1">
        <f t="shared" si="120"/>
        <v>190</v>
      </c>
      <c r="V96" s="1">
        <f t="shared" si="120"/>
        <v>190</v>
      </c>
      <c r="W96" s="1">
        <f t="shared" si="120"/>
        <v>188</v>
      </c>
      <c r="X96" s="1">
        <f t="shared" si="120"/>
        <v>187.1</v>
      </c>
      <c r="Y96" s="1">
        <f t="shared" si="120"/>
        <v>187</v>
      </c>
      <c r="Z96" s="1">
        <f t="shared" si="120"/>
        <v>187</v>
      </c>
      <c r="AA96" s="1">
        <f t="shared" si="120"/>
        <v>187</v>
      </c>
      <c r="AB96" s="1">
        <f t="shared" si="120"/>
        <v>186.214</v>
      </c>
      <c r="AI96" s="86">
        <f>AI46</f>
        <v>215</v>
      </c>
      <c r="AJ96" s="86">
        <f t="shared" ref="AJ96:AN96" si="121">AJ46</f>
        <v>203</v>
      </c>
      <c r="AK96" s="86">
        <f t="shared" si="121"/>
        <v>192</v>
      </c>
      <c r="AL96" s="86">
        <f t="shared" si="121"/>
        <v>189.5</v>
      </c>
      <c r="AM96" s="86">
        <f t="shared" si="121"/>
        <v>190</v>
      </c>
      <c r="AN96" s="86">
        <f t="shared" si="121"/>
        <v>187.27500000000001</v>
      </c>
    </row>
    <row r="97" spans="2:40">
      <c r="B97" s="1" t="s">
        <v>73</v>
      </c>
      <c r="C97" s="40">
        <f t="shared" ref="C97:R97" si="122">C95/C96</f>
        <v>2.2350230414746544</v>
      </c>
      <c r="D97" s="40">
        <f t="shared" si="122"/>
        <v>3.4351851851851851</v>
      </c>
      <c r="E97" s="40">
        <f t="shared" si="122"/>
        <v>3.1502347417840375</v>
      </c>
      <c r="F97" s="40">
        <f t="shared" si="122"/>
        <v>2.4485981308411215</v>
      </c>
      <c r="G97" s="40">
        <f t="shared" si="122"/>
        <v>2.8695652173913042</v>
      </c>
      <c r="H97" s="40">
        <f t="shared" si="122"/>
        <v>3.2303921568627452</v>
      </c>
      <c r="I97" s="40">
        <f t="shared" si="122"/>
        <v>2.0249999999999999</v>
      </c>
      <c r="J97" s="40">
        <f t="shared" si="122"/>
        <v>3.4179104477611939</v>
      </c>
      <c r="K97" s="40">
        <f t="shared" si="122"/>
        <v>-8.2901554404145081E-2</v>
      </c>
      <c r="L97" s="40">
        <f t="shared" si="122"/>
        <v>3.578125</v>
      </c>
      <c r="M97" s="40">
        <f t="shared" si="122"/>
        <v>2.743455497382199</v>
      </c>
      <c r="N97" s="40">
        <f t="shared" si="122"/>
        <v>3.703125</v>
      </c>
      <c r="O97" s="40">
        <f t="shared" si="122"/>
        <v>1.4684210526315788</v>
      </c>
      <c r="P97" s="40">
        <f t="shared" si="122"/>
        <v>1.6984126984126984</v>
      </c>
      <c r="Q97" s="40">
        <f t="shared" si="122"/>
        <v>2.0899470899470898</v>
      </c>
      <c r="R97" s="40">
        <f t="shared" si="122"/>
        <v>3.4315789473684211</v>
      </c>
      <c r="S97" s="40">
        <f t="shared" ref="S97:Y97" si="123">S95/S96</f>
        <v>-1.1526315789473685</v>
      </c>
      <c r="T97" s="40">
        <f t="shared" si="123"/>
        <v>3.4578947368421051</v>
      </c>
      <c r="U97" s="40">
        <f t="shared" si="123"/>
        <v>3.6947368421052631</v>
      </c>
      <c r="V97" s="40">
        <f t="shared" si="123"/>
        <v>5.3210526315789473</v>
      </c>
      <c r="W97" s="40">
        <f t="shared" si="123"/>
        <v>-0.53723404255319152</v>
      </c>
      <c r="X97" s="40">
        <f t="shared" si="123"/>
        <v>2.950293960448958</v>
      </c>
      <c r="Y97" s="40">
        <f t="shared" si="123"/>
        <v>2.2834224598930479</v>
      </c>
      <c r="Z97" s="40">
        <f>Z95/Z96</f>
        <v>9.6470588235294112</v>
      </c>
      <c r="AA97" s="40">
        <f>AA95/AA96</f>
        <v>-1.0374331550802138</v>
      </c>
      <c r="AB97" s="40">
        <f>AB95/AB96</f>
        <v>4.1403976070542496</v>
      </c>
      <c r="AI97" s="40">
        <f t="shared" si="112"/>
        <v>11.269041099284999</v>
      </c>
      <c r="AJ97" s="40">
        <f t="shared" si="113"/>
        <v>11.542867822015245</v>
      </c>
      <c r="AK97" s="40">
        <f t="shared" si="114"/>
        <v>9.9418039429780549</v>
      </c>
      <c r="AL97" s="40">
        <f t="shared" si="115"/>
        <v>8.6883597883597865</v>
      </c>
      <c r="AM97" s="40">
        <f t="shared" si="116"/>
        <v>11.321052631578947</v>
      </c>
      <c r="AN97" s="40">
        <f t="shared" si="117"/>
        <v>14.343541201318226</v>
      </c>
    </row>
    <row r="99" spans="2:40">
      <c r="B99" s="1" t="s">
        <v>136</v>
      </c>
      <c r="C99" s="83">
        <f>C93/C34</f>
        <v>0.11521833117163856</v>
      </c>
      <c r="D99" s="83">
        <f t="shared" ref="D99:AB99" si="124">D93/D34</f>
        <v>0.18042744656917886</v>
      </c>
      <c r="E99" s="83">
        <f t="shared" si="124"/>
        <v>0.16961684965269999</v>
      </c>
      <c r="F99" s="83">
        <f t="shared" si="124"/>
        <v>0.1497854077253219</v>
      </c>
      <c r="G99" s="83">
        <f t="shared" si="124"/>
        <v>0.14473396102474273</v>
      </c>
      <c r="H99" s="83">
        <f t="shared" si="124"/>
        <v>0.15424164524421594</v>
      </c>
      <c r="I99" s="83">
        <f t="shared" si="124"/>
        <v>0.11444786001418775</v>
      </c>
      <c r="J99" s="83">
        <f t="shared" si="124"/>
        <v>0.1889655172413793</v>
      </c>
      <c r="K99" s="83">
        <f t="shared" si="124"/>
        <v>9.5052400682427499E-3</v>
      </c>
      <c r="L99" s="83">
        <f t="shared" si="124"/>
        <v>0.18113663845223701</v>
      </c>
      <c r="M99" s="83">
        <f t="shared" si="124"/>
        <v>0.13848327837965144</v>
      </c>
      <c r="N99" s="83">
        <f t="shared" si="124"/>
        <v>0.17081695063346439</v>
      </c>
      <c r="O99" s="83">
        <f t="shared" si="124"/>
        <v>7.82822634757325E-2</v>
      </c>
      <c r="P99" s="83">
        <f t="shared" si="124"/>
        <v>8.8216492648625619E-2</v>
      </c>
      <c r="Q99" s="83">
        <f t="shared" si="124"/>
        <v>0.11047812817904375</v>
      </c>
      <c r="R99" s="83">
        <f t="shared" si="124"/>
        <v>0.14775280898876406</v>
      </c>
      <c r="S99" s="83">
        <f t="shared" si="124"/>
        <v>-1.9957781615812704E-2</v>
      </c>
      <c r="T99" s="83">
        <f t="shared" si="124"/>
        <v>0.14229099830156633</v>
      </c>
      <c r="U99" s="83">
        <f t="shared" si="124"/>
        <v>0.14739229024943309</v>
      </c>
      <c r="V99" s="83">
        <f t="shared" si="124"/>
        <v>0.2044178888285352</v>
      </c>
      <c r="W99" s="83">
        <f t="shared" si="124"/>
        <v>-8.1839438815276694E-3</v>
      </c>
      <c r="X99" s="83">
        <f t="shared" si="124"/>
        <v>0.11795060818282345</v>
      </c>
      <c r="Y99" s="83">
        <f t="shared" si="124"/>
        <v>9.648347764622725E-2</v>
      </c>
      <c r="Z99" s="83">
        <f t="shared" si="124"/>
        <v>0.34737960339943341</v>
      </c>
      <c r="AA99" s="83">
        <f t="shared" si="124"/>
        <v>-1.653899721448468E-2</v>
      </c>
      <c r="AB99" s="83">
        <f t="shared" si="124"/>
        <v>0.14946437680666552</v>
      </c>
      <c r="AI99" s="83">
        <f t="shared" ref="AI99:AN99" si="125">AI93/AI34</f>
        <v>0.15334725733758381</v>
      </c>
      <c r="AJ99" s="83">
        <f t="shared" si="125"/>
        <v>0.15083642079263501</v>
      </c>
      <c r="AK99" s="83">
        <f t="shared" si="125"/>
        <v>0.12647989684679403</v>
      </c>
      <c r="AL99" s="83">
        <f t="shared" si="125"/>
        <v>0.10793552706112571</v>
      </c>
      <c r="AM99" s="83">
        <f t="shared" si="125"/>
        <v>0.12</v>
      </c>
      <c r="AN99" s="83">
        <f t="shared" si="125"/>
        <v>0.14205351017608051</v>
      </c>
    </row>
    <row r="100" spans="2:40">
      <c r="B100" s="1" t="s">
        <v>137</v>
      </c>
      <c r="C100" s="83">
        <f>C95/C34</f>
        <v>0.104842196281885</v>
      </c>
      <c r="D100" s="83">
        <f t="shared" ref="D100:AB100" si="126">D95/D34</f>
        <v>0.16692913385826771</v>
      </c>
      <c r="E100" s="83">
        <f t="shared" si="126"/>
        <v>0.15034730002240645</v>
      </c>
      <c r="F100" s="83">
        <f t="shared" si="126"/>
        <v>0.11244635193133047</v>
      </c>
      <c r="G100" s="83">
        <f t="shared" si="126"/>
        <v>0.13006349901467046</v>
      </c>
      <c r="H100" s="83">
        <f t="shared" si="126"/>
        <v>0.14117395029991431</v>
      </c>
      <c r="I100" s="83">
        <f t="shared" si="126"/>
        <v>9.5767320879640572E-2</v>
      </c>
      <c r="J100" s="83">
        <f t="shared" si="126"/>
        <v>0.15793103448275861</v>
      </c>
      <c r="K100" s="83">
        <f t="shared" si="126"/>
        <v>-3.8995856690226664E-3</v>
      </c>
      <c r="L100" s="83">
        <f t="shared" si="126"/>
        <v>0.16614268440145102</v>
      </c>
      <c r="M100" s="83">
        <f t="shared" si="126"/>
        <v>0.12341026848798869</v>
      </c>
      <c r="N100" s="83">
        <f t="shared" si="126"/>
        <v>0.15530799475753604</v>
      </c>
      <c r="O100" s="83">
        <f t="shared" si="126"/>
        <v>6.2402147170655335E-2</v>
      </c>
      <c r="P100" s="83">
        <f t="shared" si="126"/>
        <v>6.8399744300021312E-2</v>
      </c>
      <c r="Q100" s="83">
        <f t="shared" si="126"/>
        <v>8.0366225839267544E-2</v>
      </c>
      <c r="R100" s="83">
        <f t="shared" si="126"/>
        <v>0.12209737827715356</v>
      </c>
      <c r="S100" s="83">
        <f t="shared" si="126"/>
        <v>-4.2026482440990214E-2</v>
      </c>
      <c r="T100" s="83">
        <f t="shared" si="126"/>
        <v>0.12398565767125873</v>
      </c>
      <c r="U100" s="83">
        <f t="shared" si="126"/>
        <v>0.1326530612244898</v>
      </c>
      <c r="V100" s="83">
        <f t="shared" si="126"/>
        <v>0.1830526887561108</v>
      </c>
      <c r="W100" s="83">
        <f t="shared" si="126"/>
        <v>-1.9680436477007016E-2</v>
      </c>
      <c r="X100" s="83">
        <f t="shared" si="126"/>
        <v>0.10173239955768522</v>
      </c>
      <c r="Y100" s="83">
        <f t="shared" si="126"/>
        <v>7.5455027389998236E-2</v>
      </c>
      <c r="Z100" s="83">
        <f t="shared" si="126"/>
        <v>0.31940509915014165</v>
      </c>
      <c r="AA100" s="83">
        <f t="shared" si="126"/>
        <v>-3.3774373259052921E-2</v>
      </c>
      <c r="AB100" s="83">
        <f t="shared" si="126"/>
        <v>0.13110015303519809</v>
      </c>
      <c r="AI100" s="83">
        <f t="shared" ref="AI100:AN100" si="127">AI95/AI34</f>
        <v>0.13312080905793119</v>
      </c>
      <c r="AJ100" s="83">
        <f t="shared" si="127"/>
        <v>0.13163803749859662</v>
      </c>
      <c r="AK100" s="83">
        <f t="shared" si="127"/>
        <v>0.11171023326690892</v>
      </c>
      <c r="AL100" s="83">
        <f t="shared" si="127"/>
        <v>8.48138421133941E-2</v>
      </c>
      <c r="AM100" s="83">
        <f t="shared" si="127"/>
        <v>0.1008675263774912</v>
      </c>
      <c r="AN100" s="83">
        <f t="shared" si="127"/>
        <v>0.12266178824605534</v>
      </c>
    </row>
    <row r="101" spans="2:40">
      <c r="B101" s="1" t="s">
        <v>138</v>
      </c>
      <c r="C101" s="83">
        <f>C94/C34</f>
        <v>-1.0376134889753566E-2</v>
      </c>
      <c r="D101" s="83">
        <f t="shared" ref="D101:AB101" si="128">D94/D34</f>
        <v>-1.3498312710911136E-2</v>
      </c>
      <c r="E101" s="83">
        <f t="shared" si="128"/>
        <v>-1.9269549630293526E-2</v>
      </c>
      <c r="F101" s="83">
        <f t="shared" si="128"/>
        <v>-3.7339055793991417E-2</v>
      </c>
      <c r="G101" s="83">
        <f t="shared" si="128"/>
        <v>-1.4670462010072258E-2</v>
      </c>
      <c r="H101" s="83">
        <f t="shared" si="128"/>
        <v>-1.3067694944301628E-2</v>
      </c>
      <c r="I101" s="83">
        <f t="shared" si="128"/>
        <v>-1.8680539134547175E-2</v>
      </c>
      <c r="J101" s="83">
        <f t="shared" si="128"/>
        <v>-3.1034482758620689E-2</v>
      </c>
      <c r="K101" s="83">
        <f t="shared" si="128"/>
        <v>-1.3404825737265416E-2</v>
      </c>
      <c r="L101" s="83">
        <f t="shared" si="128"/>
        <v>-1.4993954050785973E-2</v>
      </c>
      <c r="M101" s="83">
        <f t="shared" si="128"/>
        <v>-1.5073009891662742E-2</v>
      </c>
      <c r="N101" s="83">
        <f t="shared" si="128"/>
        <v>-1.5508955875928354E-2</v>
      </c>
      <c r="O101" s="83">
        <f t="shared" si="128"/>
        <v>-1.5880116305077165E-2</v>
      </c>
      <c r="P101" s="83">
        <f t="shared" si="128"/>
        <v>-1.9816748348604304E-2</v>
      </c>
      <c r="Q101" s="83">
        <f t="shared" si="128"/>
        <v>-3.0111902339776196E-2</v>
      </c>
      <c r="R101" s="83">
        <f t="shared" si="128"/>
        <v>-2.5655430711610486E-2</v>
      </c>
      <c r="S101" s="83">
        <f t="shared" si="128"/>
        <v>-2.206870082517751E-2</v>
      </c>
      <c r="T101" s="83">
        <f t="shared" si="128"/>
        <v>-1.8305340630307605E-2</v>
      </c>
      <c r="U101" s="83">
        <f t="shared" si="128"/>
        <v>-1.4739229024943311E-2</v>
      </c>
      <c r="V101" s="83">
        <f t="shared" si="128"/>
        <v>-2.1365200072424408E-2</v>
      </c>
      <c r="W101" s="83">
        <f t="shared" si="128"/>
        <v>-1.1496492595479345E-2</v>
      </c>
      <c r="X101" s="83">
        <f t="shared" si="128"/>
        <v>-1.6218208625138224E-2</v>
      </c>
      <c r="Y101" s="83">
        <f t="shared" si="128"/>
        <v>-2.1028450256229014E-2</v>
      </c>
      <c r="Z101" s="83">
        <f t="shared" si="128"/>
        <v>-2.7974504249291786E-2</v>
      </c>
      <c r="AA101" s="83">
        <f t="shared" si="128"/>
        <v>-1.7235376044568245E-2</v>
      </c>
      <c r="AB101" s="83">
        <f t="shared" si="128"/>
        <v>-1.8364223771467438E-2</v>
      </c>
      <c r="AI101" s="83">
        <f t="shared" ref="AI101:AN101" si="129">AI94/AI34</f>
        <v>-2.0226448279652632E-2</v>
      </c>
      <c r="AJ101" s="83">
        <f t="shared" si="129"/>
        <v>-1.9198383294038397E-2</v>
      </c>
      <c r="AK101" s="83">
        <f t="shared" si="129"/>
        <v>-1.4769663579885125E-2</v>
      </c>
      <c r="AL101" s="83">
        <f t="shared" si="129"/>
        <v>-2.3121684947731602E-2</v>
      </c>
      <c r="AM101" s="83">
        <f t="shared" si="129"/>
        <v>-1.9132473622508792E-2</v>
      </c>
      <c r="AN101" s="83">
        <f t="shared" si="129"/>
        <v>-1.9391721930025155E-2</v>
      </c>
    </row>
  </sheetData>
  <mergeCells count="1">
    <mergeCell ref="BG67:BH67"/>
  </mergeCells>
  <conditionalFormatting sqref="BG67">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Sell",BG67)))</formula>
    </cfRule>
    <cfRule type="containsText" dxfId="3" priority="3" operator="containsText" text="Sell">
      <formula>NOT(ISERROR(SEARCH("Sell",BG67)))</formula>
    </cfRule>
    <cfRule type="containsText" dxfId="2" priority="4" operator="containsText" text="Hold">
      <formula>NOT(ISERROR(SEARCH("Hold",BG67)))</formula>
    </cfRule>
    <cfRule type="beginsWith" dxfId="1" priority="5" operator="beginsWith" text="Buy">
      <formula>LEFT(BG67,LEN("Buy"))="Buy"</formula>
    </cfRule>
    <cfRule type="beginsWith" dxfId="0" priority="6" operator="beginsWith" text="Strong">
      <formula>LEFT(BG67,LEN("Strong"))="Strong"</formula>
    </cfRule>
  </conditionalFormatting>
  <pageMargins left="0.7" right="0.7" top="0.75" bottom="0.75" header="0.3" footer="0.3"/>
  <ignoredErrors>
    <ignoredError sqref="C19:AA19 Y20:Y22 C24:AA24 W20:W22 C15:V15" evalError="1"/>
    <ignoredError sqref="AI34:AN45 R83:AB88 AI93:AN95 AI97:AN97" formulaRange="1"/>
    <ignoredError sqref="AI46:AN46 AI96:AN96" formula="1" formulaRange="1"/>
    <ignoredError sqref="AL79:AN81"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K1557"/>
  <sheetViews>
    <sheetView topLeftCell="P201" zoomScale="85" zoomScaleNormal="85" workbookViewId="0">
      <selection activeCell="S206" sqref="S206"/>
    </sheetView>
  </sheetViews>
  <sheetFormatPr defaultColWidth="9.140625" defaultRowHeight="14.25"/>
  <cols>
    <col min="1" max="7" width="0" style="1" hidden="1" customWidth="1"/>
    <col min="8" max="8" width="3.140625" style="1" hidden="1" customWidth="1"/>
    <col min="9" max="15" width="0" style="1" hidden="1" customWidth="1"/>
    <col min="16" max="16" width="3.140625" style="1" customWidth="1"/>
    <col min="17" max="38" width="9.140625" style="1"/>
    <col min="39" max="39" width="2.85546875" style="1" customWidth="1"/>
    <col min="40" max="16384" width="9.140625" style="1"/>
  </cols>
  <sheetData>
    <row r="1" spans="16:89">
      <c r="CK1" s="1">
        <v>0</v>
      </c>
    </row>
    <row r="2" spans="16:89" ht="15">
      <c r="P2" s="2" t="s">
        <v>93</v>
      </c>
      <c r="AN2" s="2" t="s">
        <v>972</v>
      </c>
    </row>
    <row r="32" spans="17:18">
      <c r="Q32" s="1" t="s">
        <v>15</v>
      </c>
      <c r="R32" s="1" t="s">
        <v>16</v>
      </c>
    </row>
    <row r="33" spans="16:40">
      <c r="R33" s="1" t="s">
        <v>17</v>
      </c>
    </row>
    <row r="34" spans="16:40">
      <c r="R34" s="1" t="s">
        <v>18</v>
      </c>
    </row>
    <row r="35" spans="16:40" ht="15">
      <c r="AN35" s="2" t="s">
        <v>973</v>
      </c>
    </row>
    <row r="36" spans="16:40" ht="15">
      <c r="P36" s="2" t="s">
        <v>971</v>
      </c>
      <c r="AN36" s="2" t="s">
        <v>74</v>
      </c>
    </row>
    <row r="65" spans="16:40">
      <c r="Q65" s="1" t="s">
        <v>15</v>
      </c>
      <c r="R65" s="1" t="s">
        <v>16</v>
      </c>
    </row>
    <row r="66" spans="16:40">
      <c r="R66" s="1" t="s">
        <v>17</v>
      </c>
    </row>
    <row r="67" spans="16:40">
      <c r="R67" s="1" t="s">
        <v>18</v>
      </c>
    </row>
    <row r="69" spans="16:40" ht="15">
      <c r="P69" s="2" t="s">
        <v>14</v>
      </c>
      <c r="AN69" s="2" t="s">
        <v>75</v>
      </c>
    </row>
    <row r="101" spans="16:40">
      <c r="Q101" s="1" t="s">
        <v>15</v>
      </c>
      <c r="R101" s="1" t="s">
        <v>16</v>
      </c>
    </row>
    <row r="102" spans="16:40">
      <c r="R102" s="1" t="s">
        <v>17</v>
      </c>
    </row>
    <row r="103" spans="16:40">
      <c r="R103" s="1" t="s">
        <v>18</v>
      </c>
    </row>
    <row r="105" spans="16:40" ht="15">
      <c r="P105" s="2" t="s">
        <v>96</v>
      </c>
      <c r="AN105" s="2" t="s">
        <v>76</v>
      </c>
    </row>
    <row r="134" spans="16:40">
      <c r="Q134" s="1" t="s">
        <v>15</v>
      </c>
      <c r="R134" s="1" t="s">
        <v>16</v>
      </c>
    </row>
    <row r="135" spans="16:40">
      <c r="R135" s="1" t="s">
        <v>17</v>
      </c>
    </row>
    <row r="136" spans="16:40">
      <c r="R136" s="1" t="s">
        <v>18</v>
      </c>
    </row>
    <row r="138" spans="16:40" ht="15">
      <c r="P138" s="2" t="s">
        <v>95</v>
      </c>
      <c r="AN138" s="2" t="s">
        <v>77</v>
      </c>
    </row>
    <row r="154" ht="15" customHeight="1"/>
    <row r="167" spans="17:18">
      <c r="Q167" s="1" t="s">
        <v>15</v>
      </c>
      <c r="R167" s="1" t="s">
        <v>16</v>
      </c>
    </row>
    <row r="168" spans="17:18">
      <c r="R168" s="1" t="s">
        <v>17</v>
      </c>
    </row>
    <row r="169" spans="17:18">
      <c r="R169" s="1" t="s">
        <v>18</v>
      </c>
    </row>
    <row r="184" spans="1:15">
      <c r="A184" s="1" t="s">
        <v>114</v>
      </c>
      <c r="I184" s="1" t="s">
        <v>969</v>
      </c>
    </row>
    <row r="185" spans="1:15">
      <c r="A185" s="1" t="s">
        <v>968</v>
      </c>
      <c r="I185" s="1" t="s">
        <v>968</v>
      </c>
    </row>
    <row r="186" spans="1:15">
      <c r="A186" s="24" t="s">
        <v>19</v>
      </c>
      <c r="B186" s="24" t="s">
        <v>20</v>
      </c>
      <c r="C186" s="24" t="s">
        <v>21</v>
      </c>
      <c r="D186" s="24" t="s">
        <v>22</v>
      </c>
      <c r="E186" s="24" t="s">
        <v>23</v>
      </c>
      <c r="F186" s="24" t="s">
        <v>24</v>
      </c>
      <c r="G186" s="24" t="s">
        <v>25</v>
      </c>
      <c r="I186" s="24" t="s">
        <v>19</v>
      </c>
      <c r="J186" s="24" t="s">
        <v>20</v>
      </c>
      <c r="K186" s="24" t="s">
        <v>21</v>
      </c>
      <c r="L186" s="24" t="s">
        <v>22</v>
      </c>
      <c r="M186" s="24" t="s">
        <v>23</v>
      </c>
      <c r="N186" s="24" t="s">
        <v>24</v>
      </c>
      <c r="O186" s="24" t="s">
        <v>25</v>
      </c>
    </row>
    <row r="187" spans="1:15">
      <c r="A187" s="94">
        <v>702.3</v>
      </c>
      <c r="B187" s="94">
        <v>705.66</v>
      </c>
      <c r="C187" s="94">
        <v>699.68</v>
      </c>
      <c r="D187" s="94">
        <v>704.41</v>
      </c>
      <c r="E187" s="95">
        <v>6041430.3376449998</v>
      </c>
      <c r="F187" s="93" t="s">
        <v>215</v>
      </c>
      <c r="G187" s="25">
        <f>A187/D187-1</f>
        <v>-2.9954146022912465E-3</v>
      </c>
      <c r="I187" s="94">
        <v>254.23</v>
      </c>
      <c r="J187" s="94">
        <v>254.785</v>
      </c>
      <c r="K187" s="94">
        <v>249.16</v>
      </c>
      <c r="L187" s="94">
        <v>249.16</v>
      </c>
      <c r="M187" s="95">
        <v>1889117.367232</v>
      </c>
      <c r="N187" s="93" t="s">
        <v>215</v>
      </c>
      <c r="O187" s="25">
        <f>I187/L187-1</f>
        <v>2.0348370524963855E-2</v>
      </c>
    </row>
    <row r="188" spans="1:15">
      <c r="A188" s="94">
        <v>710.72</v>
      </c>
      <c r="B188" s="94">
        <v>711.83</v>
      </c>
      <c r="C188" s="94">
        <v>706.33</v>
      </c>
      <c r="D188" s="94">
        <v>708.84</v>
      </c>
      <c r="E188" s="95">
        <v>6210315.5918140002</v>
      </c>
      <c r="F188" s="93" t="s">
        <v>216</v>
      </c>
      <c r="G188" s="25">
        <f t="shared" ref="G188:G251" si="0">A188/D188-1</f>
        <v>2.6522205293155743E-3</v>
      </c>
      <c r="I188" s="94">
        <v>247.55</v>
      </c>
      <c r="J188" s="94">
        <v>251.54</v>
      </c>
      <c r="K188" s="94">
        <v>246.72</v>
      </c>
      <c r="L188" s="94">
        <v>249.5</v>
      </c>
      <c r="M188" s="95">
        <v>1050418.444044</v>
      </c>
      <c r="N188" s="93" t="s">
        <v>216</v>
      </c>
      <c r="O188" s="25">
        <f t="shared" ref="O188:O251" si="1">I188/L188-1</f>
        <v>-7.8156312625250468E-3</v>
      </c>
    </row>
    <row r="189" spans="1:15">
      <c r="A189" s="94">
        <v>706.8</v>
      </c>
      <c r="B189" s="94">
        <v>709.81</v>
      </c>
      <c r="C189" s="94">
        <v>702.49</v>
      </c>
      <c r="D189" s="94">
        <v>704.01</v>
      </c>
      <c r="E189" s="95">
        <v>5798006.4659799999</v>
      </c>
      <c r="F189" s="93" t="s">
        <v>217</v>
      </c>
      <c r="G189" s="25">
        <f t="shared" si="0"/>
        <v>3.9630118890356947E-3</v>
      </c>
      <c r="I189" s="94">
        <v>248.77</v>
      </c>
      <c r="J189" s="94">
        <v>250.19</v>
      </c>
      <c r="K189" s="94">
        <v>243.6</v>
      </c>
      <c r="L189" s="94">
        <v>244.97</v>
      </c>
      <c r="M189" s="95">
        <v>1900703.2985449999</v>
      </c>
      <c r="N189" s="93" t="s">
        <v>217</v>
      </c>
      <c r="O189" s="25">
        <f t="shared" si="1"/>
        <v>1.551210352288046E-2</v>
      </c>
    </row>
    <row r="190" spans="1:15">
      <c r="A190" s="94">
        <v>704.6</v>
      </c>
      <c r="B190" s="94">
        <v>708.17</v>
      </c>
      <c r="C190" s="94">
        <v>703.98050000000001</v>
      </c>
      <c r="D190" s="94">
        <v>705.27</v>
      </c>
      <c r="E190" s="95">
        <v>5588525.677588</v>
      </c>
      <c r="F190" s="93" t="s">
        <v>218</v>
      </c>
      <c r="G190" s="25">
        <f t="shared" si="0"/>
        <v>-9.499907836714172E-4</v>
      </c>
      <c r="I190" s="94">
        <v>243.84</v>
      </c>
      <c r="J190" s="94">
        <v>246.89</v>
      </c>
      <c r="K190" s="94">
        <v>242.95</v>
      </c>
      <c r="L190" s="94">
        <v>245.16</v>
      </c>
      <c r="M190" s="95">
        <v>1235212.825796</v>
      </c>
      <c r="N190" s="93" t="s">
        <v>218</v>
      </c>
      <c r="O190" s="25">
        <f t="shared" si="1"/>
        <v>-5.3842388644150807E-3</v>
      </c>
    </row>
    <row r="191" spans="1:15">
      <c r="A191" s="94">
        <v>701.61</v>
      </c>
      <c r="B191" s="94">
        <v>710.85</v>
      </c>
      <c r="C191" s="94">
        <v>699.19100000000003</v>
      </c>
      <c r="D191" s="94">
        <v>710.75</v>
      </c>
      <c r="E191" s="95">
        <v>6095662.410224</v>
      </c>
      <c r="F191" s="93" t="s">
        <v>219</v>
      </c>
      <c r="G191" s="25">
        <f t="shared" si="0"/>
        <v>-1.2859655293703809E-2</v>
      </c>
      <c r="I191" s="94">
        <v>248.51</v>
      </c>
      <c r="J191" s="94">
        <v>248.63</v>
      </c>
      <c r="K191" s="94">
        <v>242.01</v>
      </c>
      <c r="L191" s="94">
        <v>243.54</v>
      </c>
      <c r="M191" s="95">
        <v>3372290.8953240002</v>
      </c>
      <c r="N191" s="93" t="s">
        <v>219</v>
      </c>
      <c r="O191" s="25">
        <f t="shared" si="1"/>
        <v>2.0407325285374034E-2</v>
      </c>
    </row>
    <row r="192" spans="1:15">
      <c r="A192" s="94">
        <v>709.43</v>
      </c>
      <c r="B192" s="94">
        <v>710.4</v>
      </c>
      <c r="C192" s="94">
        <v>702.69</v>
      </c>
      <c r="D192" s="94">
        <v>704.33</v>
      </c>
      <c r="E192" s="95">
        <v>6035492.2764090002</v>
      </c>
      <c r="F192" s="93" t="s">
        <v>220</v>
      </c>
      <c r="G192" s="25">
        <f t="shared" si="0"/>
        <v>7.2409239986936935E-3</v>
      </c>
      <c r="I192" s="94">
        <v>240.5</v>
      </c>
      <c r="J192" s="94">
        <v>242.2</v>
      </c>
      <c r="K192" s="94">
        <v>238.88</v>
      </c>
      <c r="L192" s="94">
        <v>241.48</v>
      </c>
      <c r="M192" s="95">
        <v>3008243.323814</v>
      </c>
      <c r="N192" s="93" t="s">
        <v>220</v>
      </c>
      <c r="O192" s="25">
        <f t="shared" si="1"/>
        <v>-4.0583071061784937E-3</v>
      </c>
    </row>
    <row r="193" spans="1:21">
      <c r="A193" s="94">
        <v>707.43</v>
      </c>
      <c r="B193" s="94">
        <v>713.62</v>
      </c>
      <c r="C193" s="94">
        <v>704.76</v>
      </c>
      <c r="D193" s="94">
        <v>712.32</v>
      </c>
      <c r="E193" s="95">
        <v>6228217.0692999996</v>
      </c>
      <c r="F193" s="93" t="s">
        <v>221</v>
      </c>
      <c r="G193" s="25">
        <f t="shared" si="0"/>
        <v>-6.8648921832885623E-3</v>
      </c>
      <c r="I193" s="94">
        <v>237.5</v>
      </c>
      <c r="J193" s="94">
        <v>239.44</v>
      </c>
      <c r="K193" s="94">
        <v>236.09</v>
      </c>
      <c r="L193" s="94">
        <v>237.88</v>
      </c>
      <c r="M193" s="95">
        <v>2427008.1321999999</v>
      </c>
      <c r="N193" s="93" t="s">
        <v>221</v>
      </c>
      <c r="O193" s="25">
        <f t="shared" si="1"/>
        <v>-1.5974440894568342E-3</v>
      </c>
    </row>
    <row r="194" spans="1:21">
      <c r="A194" s="94">
        <v>715.2</v>
      </c>
      <c r="B194" s="94">
        <v>715.83500000000004</v>
      </c>
      <c r="C194" s="94">
        <v>713.27</v>
      </c>
      <c r="D194" s="94">
        <v>714.54</v>
      </c>
      <c r="E194" s="95">
        <v>4959098.3596999999</v>
      </c>
      <c r="F194" s="93" t="s">
        <v>222</v>
      </c>
      <c r="G194" s="25">
        <f t="shared" si="0"/>
        <v>9.2367117306246804E-4</v>
      </c>
      <c r="I194" s="94">
        <v>234.72</v>
      </c>
      <c r="J194" s="94">
        <v>238.89</v>
      </c>
      <c r="K194" s="94">
        <v>233.61</v>
      </c>
      <c r="L194" s="94">
        <v>238.75</v>
      </c>
      <c r="M194" s="95">
        <v>1558201.5464999999</v>
      </c>
      <c r="N194" s="93" t="s">
        <v>222</v>
      </c>
      <c r="O194" s="25">
        <f t="shared" si="1"/>
        <v>-1.6879581151832412E-2</v>
      </c>
    </row>
    <row r="195" spans="1:21">
      <c r="A195" s="94">
        <v>715.13</v>
      </c>
      <c r="B195" s="94">
        <v>716.41499999999996</v>
      </c>
      <c r="C195" s="94">
        <v>714.26</v>
      </c>
      <c r="D195" s="94">
        <v>715.81</v>
      </c>
      <c r="E195" s="95">
        <v>3635491.1856999998</v>
      </c>
      <c r="F195" s="93" t="s">
        <v>223</v>
      </c>
      <c r="G195" s="25">
        <f t="shared" si="0"/>
        <v>-9.4997275813402116E-4</v>
      </c>
      <c r="I195" s="94">
        <v>238.25</v>
      </c>
      <c r="J195" s="94">
        <v>238.39</v>
      </c>
      <c r="K195" s="94">
        <v>236.01</v>
      </c>
      <c r="L195" s="94">
        <v>237.08</v>
      </c>
      <c r="M195" s="95">
        <v>1077026.1680999999</v>
      </c>
      <c r="N195" s="93" t="s">
        <v>223</v>
      </c>
      <c r="O195" s="25">
        <f t="shared" si="1"/>
        <v>4.9350430234520459E-3</v>
      </c>
    </row>
    <row r="196" spans="1:21">
      <c r="A196" s="94">
        <v>715.59</v>
      </c>
      <c r="B196" s="94">
        <v>716.43499999999995</v>
      </c>
      <c r="C196" s="94">
        <v>712.54</v>
      </c>
      <c r="D196" s="94">
        <v>713.54</v>
      </c>
      <c r="E196" s="95">
        <v>4345835.7269000001</v>
      </c>
      <c r="F196" s="93" t="s">
        <v>224</v>
      </c>
      <c r="G196" s="25">
        <f t="shared" si="0"/>
        <v>2.872999411385635E-3</v>
      </c>
      <c r="I196" s="94">
        <v>236.97</v>
      </c>
      <c r="J196" s="94">
        <v>238.08</v>
      </c>
      <c r="K196" s="94">
        <v>235.07480000000001</v>
      </c>
      <c r="L196" s="94">
        <v>237</v>
      </c>
      <c r="M196" s="95">
        <v>973952.31160000002</v>
      </c>
      <c r="N196" s="93" t="s">
        <v>224</v>
      </c>
      <c r="O196" s="25">
        <f t="shared" si="1"/>
        <v>-1.2658227848105774E-4</v>
      </c>
    </row>
    <row r="197" spans="1:21">
      <c r="A197" s="94">
        <v>711.28</v>
      </c>
      <c r="B197" s="94">
        <v>714.27</v>
      </c>
      <c r="C197" s="94">
        <v>708.16</v>
      </c>
      <c r="D197" s="94">
        <v>712.25</v>
      </c>
      <c r="E197" s="95">
        <v>4763330.7484999998</v>
      </c>
      <c r="F197" s="93" t="s">
        <v>225</v>
      </c>
      <c r="G197" s="25">
        <f t="shared" si="0"/>
        <v>-1.3618813618814229E-3</v>
      </c>
      <c r="I197" s="94">
        <v>236.92</v>
      </c>
      <c r="J197" s="94">
        <v>237.15</v>
      </c>
      <c r="K197" s="94">
        <v>232.34270000000001</v>
      </c>
      <c r="L197" s="94">
        <v>233.5</v>
      </c>
      <c r="M197" s="95">
        <v>1203427.3836999999</v>
      </c>
      <c r="N197" s="93" t="s">
        <v>225</v>
      </c>
      <c r="O197" s="25">
        <f t="shared" si="1"/>
        <v>1.4646680942184132E-2</v>
      </c>
    </row>
    <row r="198" spans="1:21">
      <c r="A198" s="94">
        <v>714.34</v>
      </c>
      <c r="B198" s="94">
        <v>715.05499999999995</v>
      </c>
      <c r="C198" s="94">
        <v>711.06</v>
      </c>
      <c r="D198" s="94">
        <v>713.06</v>
      </c>
      <c r="E198" s="95">
        <v>4675948.0927999998</v>
      </c>
      <c r="F198" s="93" t="s">
        <v>226</v>
      </c>
      <c r="G198" s="25">
        <f t="shared" si="0"/>
        <v>1.7950803578943297E-3</v>
      </c>
      <c r="I198" s="94">
        <v>233.63</v>
      </c>
      <c r="J198" s="94">
        <v>238.66900000000001</v>
      </c>
      <c r="K198" s="94">
        <v>233.01</v>
      </c>
      <c r="L198" s="94">
        <v>237.17</v>
      </c>
      <c r="M198" s="95">
        <v>978954.71869999997</v>
      </c>
      <c r="N198" s="93" t="s">
        <v>226</v>
      </c>
      <c r="O198" s="25">
        <f t="shared" si="1"/>
        <v>-1.4926002445503239E-2</v>
      </c>
    </row>
    <row r="199" spans="1:21">
      <c r="A199" s="94">
        <v>716.2</v>
      </c>
      <c r="B199" s="94">
        <v>718.47</v>
      </c>
      <c r="C199" s="94">
        <v>715.09</v>
      </c>
      <c r="D199" s="94">
        <v>715.21</v>
      </c>
      <c r="E199" s="95">
        <v>4568431.3262999998</v>
      </c>
      <c r="F199" s="93" t="s">
        <v>227</v>
      </c>
      <c r="G199" s="25">
        <f t="shared" si="0"/>
        <v>1.3842088337692182E-3</v>
      </c>
      <c r="I199" s="94">
        <v>237.9</v>
      </c>
      <c r="J199" s="94">
        <v>239.4599</v>
      </c>
      <c r="K199" s="94">
        <v>235.3</v>
      </c>
      <c r="L199" s="94">
        <v>236.3</v>
      </c>
      <c r="M199" s="95">
        <v>1139704.0467000001</v>
      </c>
      <c r="N199" s="93" t="s">
        <v>227</v>
      </c>
      <c r="O199" s="25">
        <f t="shared" si="1"/>
        <v>6.7710537452390085E-3</v>
      </c>
    </row>
    <row r="200" spans="1:21">
      <c r="A200" s="94">
        <v>712.32</v>
      </c>
      <c r="B200" s="94">
        <v>713.85829999999999</v>
      </c>
      <c r="C200" s="94">
        <v>707.42</v>
      </c>
      <c r="D200" s="94">
        <v>707.44</v>
      </c>
      <c r="E200" s="95">
        <v>6172916.9342999998</v>
      </c>
      <c r="F200" s="93" t="s">
        <v>228</v>
      </c>
      <c r="G200" s="25">
        <f t="shared" si="0"/>
        <v>6.8981115006219174E-3</v>
      </c>
      <c r="I200" s="94">
        <v>236.88</v>
      </c>
      <c r="J200" s="94">
        <v>239.22</v>
      </c>
      <c r="K200" s="94">
        <v>235.54499999999999</v>
      </c>
      <c r="L200" s="94">
        <v>237.04</v>
      </c>
      <c r="M200" s="95">
        <v>1273649.3075999999</v>
      </c>
      <c r="N200" s="93" t="s">
        <v>228</v>
      </c>
      <c r="O200" s="25">
        <f t="shared" si="1"/>
        <v>-6.7499156260542037E-4</v>
      </c>
      <c r="Q200" s="26"/>
      <c r="R200" s="26" t="s">
        <v>26</v>
      </c>
      <c r="S200" s="27">
        <f>MIN(O187:O939)</f>
        <v>-6.4419903528814437E-2</v>
      </c>
    </row>
    <row r="201" spans="1:21">
      <c r="A201" s="94">
        <v>707.54</v>
      </c>
      <c r="B201" s="94">
        <v>710.2</v>
      </c>
      <c r="C201" s="94">
        <v>705.12</v>
      </c>
      <c r="D201" s="94">
        <v>708.31</v>
      </c>
      <c r="E201" s="95">
        <v>6612533.0992000001</v>
      </c>
      <c r="F201" s="93" t="s">
        <v>229</v>
      </c>
      <c r="G201" s="25">
        <f t="shared" si="0"/>
        <v>-1.0870946337055987E-3</v>
      </c>
      <c r="I201" s="94">
        <v>236.6</v>
      </c>
      <c r="J201" s="94">
        <v>238.62</v>
      </c>
      <c r="K201" s="94">
        <v>234.66</v>
      </c>
      <c r="L201" s="94">
        <v>238.22</v>
      </c>
      <c r="M201" s="95">
        <v>1528992.9375</v>
      </c>
      <c r="N201" s="93" t="s">
        <v>229</v>
      </c>
      <c r="O201" s="25">
        <f t="shared" si="1"/>
        <v>-6.8004365712367454E-3</v>
      </c>
      <c r="Q201" s="26"/>
      <c r="R201" s="26" t="s">
        <v>27</v>
      </c>
      <c r="S201" s="27">
        <f>MAX(O187:O939)</f>
        <v>8.4383062680224663E-2</v>
      </c>
    </row>
    <row r="202" spans="1:21">
      <c r="A202" s="94">
        <v>702.35</v>
      </c>
      <c r="B202" s="94">
        <v>703.72500000000002</v>
      </c>
      <c r="C202" s="94">
        <v>697.47</v>
      </c>
      <c r="D202" s="94">
        <v>702.55499999999995</v>
      </c>
      <c r="E202" s="95">
        <v>8433749.3027999997</v>
      </c>
      <c r="F202" s="93" t="s">
        <v>230</v>
      </c>
      <c r="G202" s="25">
        <f t="shared" si="0"/>
        <v>-2.9179210168583936E-4</v>
      </c>
      <c r="I202" s="94">
        <v>238.4</v>
      </c>
      <c r="J202" s="94">
        <v>239.24</v>
      </c>
      <c r="K202" s="94">
        <v>236.07</v>
      </c>
      <c r="L202" s="94">
        <v>236.72</v>
      </c>
      <c r="M202" s="95">
        <v>1310076.1640000001</v>
      </c>
      <c r="N202" s="93" t="s">
        <v>230</v>
      </c>
      <c r="O202" s="25">
        <f t="shared" si="1"/>
        <v>7.0969922271038044E-3</v>
      </c>
      <c r="Q202" s="26"/>
      <c r="R202" s="26" t="s">
        <v>28</v>
      </c>
      <c r="S202" s="27">
        <f>AVERAGE(O187:O939)</f>
        <v>-6.0403240662537964E-4</v>
      </c>
    </row>
    <row r="203" spans="1:21">
      <c r="A203" s="94">
        <v>700.86</v>
      </c>
      <c r="B203" s="94">
        <v>707.2</v>
      </c>
      <c r="C203" s="94">
        <v>700.56</v>
      </c>
      <c r="D203" s="94">
        <v>704.58</v>
      </c>
      <c r="E203" s="95">
        <v>9876125.1484999992</v>
      </c>
      <c r="F203" s="93" t="s">
        <v>231</v>
      </c>
      <c r="G203" s="25">
        <f t="shared" si="0"/>
        <v>-5.2797411223708401E-3</v>
      </c>
      <c r="I203" s="94">
        <v>236.78</v>
      </c>
      <c r="J203" s="94">
        <v>238.69</v>
      </c>
      <c r="K203" s="94">
        <v>234.01</v>
      </c>
      <c r="L203" s="94">
        <v>236.72</v>
      </c>
      <c r="M203" s="95">
        <v>1467397.3998</v>
      </c>
      <c r="N203" s="93" t="s">
        <v>231</v>
      </c>
      <c r="O203" s="25">
        <f t="shared" si="1"/>
        <v>2.5346400811088188E-4</v>
      </c>
      <c r="Q203" s="26"/>
      <c r="R203" s="26" t="s">
        <v>29</v>
      </c>
      <c r="S203" s="27">
        <f>MEDIAN(O187:O939)</f>
        <v>-2.8200789622112588E-4</v>
      </c>
    </row>
    <row r="204" spans="1:21" ht="15">
      <c r="A204" s="94">
        <v>702.46</v>
      </c>
      <c r="B204" s="94">
        <v>705</v>
      </c>
      <c r="C204" s="94">
        <v>700.74</v>
      </c>
      <c r="D204" s="94">
        <v>704.82</v>
      </c>
      <c r="E204" s="95">
        <v>7643258.5592</v>
      </c>
      <c r="F204" s="93" t="s">
        <v>232</v>
      </c>
      <c r="G204" s="25">
        <f t="shared" si="0"/>
        <v>-3.3483726341477782E-3</v>
      </c>
      <c r="I204" s="94">
        <v>236.47</v>
      </c>
      <c r="J204" s="94">
        <v>239.36</v>
      </c>
      <c r="K204" s="94">
        <v>235.02</v>
      </c>
      <c r="L204" s="94">
        <v>236.36</v>
      </c>
      <c r="M204" s="95">
        <v>1833950.3483</v>
      </c>
      <c r="N204" s="93" t="s">
        <v>232</v>
      </c>
      <c r="O204" s="25">
        <f t="shared" si="1"/>
        <v>4.6539177525795061E-4</v>
      </c>
      <c r="Q204" s="26"/>
      <c r="R204" s="26" t="s">
        <v>30</v>
      </c>
      <c r="S204" s="27">
        <f>_xlfn.STDEV.P(O187:O939)</f>
        <v>1.3387238317028772E-2</v>
      </c>
      <c r="U204" s="2"/>
    </row>
    <row r="205" spans="1:21" ht="15">
      <c r="A205" s="94">
        <v>703.61</v>
      </c>
      <c r="B205" s="94">
        <v>707.33</v>
      </c>
      <c r="C205" s="94">
        <v>701.97</v>
      </c>
      <c r="D205" s="94">
        <v>706.29</v>
      </c>
      <c r="E205" s="95">
        <v>8539385.1866999995</v>
      </c>
      <c r="F205" s="93" t="s">
        <v>233</v>
      </c>
      <c r="G205" s="25">
        <f t="shared" si="0"/>
        <v>-3.7944753571478307E-3</v>
      </c>
      <c r="I205" s="94">
        <v>237.7</v>
      </c>
      <c r="J205" s="94">
        <v>240.095</v>
      </c>
      <c r="K205" s="94">
        <v>234.59</v>
      </c>
      <c r="L205" s="94">
        <v>237</v>
      </c>
      <c r="M205" s="95">
        <v>1997238.4826</v>
      </c>
      <c r="N205" s="93" t="s">
        <v>233</v>
      </c>
      <c r="O205" s="25">
        <f t="shared" si="1"/>
        <v>2.9535864978902371E-3</v>
      </c>
      <c r="Q205" s="26"/>
      <c r="R205" s="28" t="s">
        <v>31</v>
      </c>
      <c r="S205" s="27">
        <f>3*S204</f>
        <v>4.0161714951086315E-2</v>
      </c>
      <c r="T205" s="26"/>
      <c r="U205" s="2" t="s">
        <v>87</v>
      </c>
    </row>
    <row r="206" spans="1:21" ht="15">
      <c r="A206" s="94">
        <v>708.96740002961099</v>
      </c>
      <c r="B206" s="94">
        <v>709.82020764793049</v>
      </c>
      <c r="C206" s="94">
        <v>704.36423376230744</v>
      </c>
      <c r="D206" s="94">
        <v>706.6234258739961</v>
      </c>
      <c r="E206" s="95">
        <v>5482247.9407130741</v>
      </c>
      <c r="F206" s="93" t="s">
        <v>234</v>
      </c>
      <c r="G206" s="25">
        <f t="shared" si="0"/>
        <v>3.3171475354298874E-3</v>
      </c>
      <c r="I206" s="94">
        <v>237.69</v>
      </c>
      <c r="J206" s="94">
        <v>240.98</v>
      </c>
      <c r="K206" s="94">
        <v>236.79</v>
      </c>
      <c r="L206" s="94">
        <v>238.11</v>
      </c>
      <c r="M206" s="95">
        <v>1646774.7093</v>
      </c>
      <c r="N206" s="93" t="s">
        <v>234</v>
      </c>
      <c r="O206" s="25">
        <f t="shared" si="1"/>
        <v>-1.7638906387804631E-3</v>
      </c>
      <c r="Q206" s="26"/>
      <c r="R206" s="28" t="s">
        <v>32</v>
      </c>
      <c r="S206" s="56">
        <f>_xlfn.COVARIANCE.P(O187:O435,G187:G435)/_xlfn.VAR.P(G187:G435)</f>
        <v>0.53448517232072212</v>
      </c>
      <c r="T206" s="26"/>
      <c r="U206" s="2" t="s">
        <v>33</v>
      </c>
    </row>
    <row r="207" spans="1:21">
      <c r="A207" s="94">
        <v>705.17714394819097</v>
      </c>
      <c r="B207" s="94">
        <v>706.7680540665765</v>
      </c>
      <c r="C207" s="94">
        <v>701.54548016070419</v>
      </c>
      <c r="D207" s="94">
        <v>702.26463138036308</v>
      </c>
      <c r="E207" s="95">
        <v>9443877.9588237461</v>
      </c>
      <c r="F207" s="93" t="s">
        <v>235</v>
      </c>
      <c r="G207" s="25">
        <f t="shared" si="0"/>
        <v>4.1473148976662877E-3</v>
      </c>
      <c r="I207" s="94">
        <v>238.04</v>
      </c>
      <c r="J207" s="94">
        <v>242.12</v>
      </c>
      <c r="K207" s="94">
        <v>237.85</v>
      </c>
      <c r="L207" s="94">
        <v>239.15</v>
      </c>
      <c r="M207" s="95">
        <v>1450873.8074</v>
      </c>
      <c r="N207" s="93" t="s">
        <v>235</v>
      </c>
      <c r="O207" s="25">
        <f t="shared" si="1"/>
        <v>-4.6414384277650989E-3</v>
      </c>
    </row>
    <row r="208" spans="1:21">
      <c r="A208" s="94">
        <v>705.78557979284005</v>
      </c>
      <c r="B208" s="94">
        <v>710.55332296894198</v>
      </c>
      <c r="C208" s="94">
        <v>704.55215066908102</v>
      </c>
      <c r="D208" s="94">
        <v>710.30895119527145</v>
      </c>
      <c r="E208" s="95">
        <v>13844441.704714816</v>
      </c>
      <c r="F208" s="93" t="s">
        <v>236</v>
      </c>
      <c r="G208" s="25">
        <f t="shared" si="0"/>
        <v>-6.3681745736411388E-3</v>
      </c>
      <c r="I208" s="94">
        <v>239.21</v>
      </c>
      <c r="J208" s="94">
        <v>243.5</v>
      </c>
      <c r="K208" s="94">
        <v>239</v>
      </c>
      <c r="L208" s="94">
        <v>239.99</v>
      </c>
      <c r="M208" s="95">
        <v>1330444.8640000001</v>
      </c>
      <c r="N208" s="93" t="s">
        <v>236</v>
      </c>
      <c r="O208" s="25">
        <f t="shared" si="1"/>
        <v>-3.2501354223092305E-3</v>
      </c>
      <c r="Q208" s="29" t="s">
        <v>34</v>
      </c>
      <c r="R208" s="30">
        <v>1014</v>
      </c>
    </row>
    <row r="209" spans="1:25" ht="15" thickBot="1">
      <c r="A209" s="94">
        <v>710.95229729330197</v>
      </c>
      <c r="B209" s="94">
        <v>712.46839972586997</v>
      </c>
      <c r="C209" s="94">
        <v>710.154348644582</v>
      </c>
      <c r="D209" s="94">
        <v>711.45101519875197</v>
      </c>
      <c r="E209" s="95">
        <v>20783008.039680563</v>
      </c>
      <c r="F209" s="93" t="s">
        <v>237</v>
      </c>
      <c r="G209" s="25">
        <f t="shared" si="0"/>
        <v>-7.0098698968146245E-4</v>
      </c>
      <c r="I209" s="94">
        <v>239.89</v>
      </c>
      <c r="J209" s="94">
        <v>248.62</v>
      </c>
      <c r="K209" s="94">
        <v>239.51</v>
      </c>
      <c r="L209" s="94">
        <v>248.51</v>
      </c>
      <c r="M209" s="95">
        <v>1715492.7712999999</v>
      </c>
      <c r="N209" s="93" t="s">
        <v>237</v>
      </c>
      <c r="O209" s="25">
        <f t="shared" si="1"/>
        <v>-3.4686732928252417E-2</v>
      </c>
      <c r="Q209" s="1" t="s">
        <v>35</v>
      </c>
      <c r="T209" s="1" t="s">
        <v>36</v>
      </c>
      <c r="X209" s="1" t="s">
        <v>37</v>
      </c>
    </row>
    <row r="210" spans="1:25" ht="15" customHeight="1">
      <c r="A210" s="94">
        <v>710.95229729330197</v>
      </c>
      <c r="B210" s="94">
        <v>712.24397666841753</v>
      </c>
      <c r="C210" s="94">
        <v>704.14978506296404</v>
      </c>
      <c r="D210" s="94">
        <v>704.37919529947101</v>
      </c>
      <c r="E210" s="95">
        <v>8882600.7463133484</v>
      </c>
      <c r="F210" s="93" t="s">
        <v>238</v>
      </c>
      <c r="G210" s="25">
        <f t="shared" si="0"/>
        <v>9.3317662385477007E-3</v>
      </c>
      <c r="I210" s="94">
        <v>246.93</v>
      </c>
      <c r="J210" s="94">
        <v>248.18</v>
      </c>
      <c r="K210" s="94">
        <v>244.91</v>
      </c>
      <c r="L210" s="94">
        <v>246.61</v>
      </c>
      <c r="M210" s="95">
        <v>1461888.0083000001</v>
      </c>
      <c r="N210" s="93" t="s">
        <v>238</v>
      </c>
      <c r="O210" s="25">
        <f t="shared" si="1"/>
        <v>1.2975953935363549E-3</v>
      </c>
      <c r="Q210" s="98" t="s">
        <v>38</v>
      </c>
      <c r="R210" s="98" t="s">
        <v>39</v>
      </c>
      <c r="T210" s="31" t="s">
        <v>40</v>
      </c>
      <c r="U210" s="32" t="s">
        <v>41</v>
      </c>
      <c r="X210" s="31" t="s">
        <v>42</v>
      </c>
      <c r="Y210" s="32" t="s">
        <v>43</v>
      </c>
    </row>
    <row r="211" spans="1:25" ht="15">
      <c r="A211" s="94">
        <v>699.98050337340192</v>
      </c>
      <c r="B211" s="94">
        <v>700.38945205587106</v>
      </c>
      <c r="C211" s="94">
        <v>696.70891391365001</v>
      </c>
      <c r="D211" s="94">
        <v>699.7810162112221</v>
      </c>
      <c r="E211" s="95">
        <v>9618703.4225722924</v>
      </c>
      <c r="F211" s="93" t="s">
        <v>239</v>
      </c>
      <c r="G211" s="25">
        <f t="shared" si="0"/>
        <v>2.8507084010342965E-4</v>
      </c>
      <c r="I211" s="94">
        <v>247.29</v>
      </c>
      <c r="J211" s="94">
        <v>251.5</v>
      </c>
      <c r="K211" s="94">
        <v>246.11</v>
      </c>
      <c r="L211" s="94">
        <v>250.03</v>
      </c>
      <c r="M211" s="95">
        <v>2845995.2111</v>
      </c>
      <c r="N211" s="93" t="s">
        <v>239</v>
      </c>
      <c r="O211" s="25">
        <f t="shared" si="1"/>
        <v>-1.0958684957805054E-2</v>
      </c>
      <c r="Q211" s="96">
        <v>-4.200000000000003E-2</v>
      </c>
      <c r="R211">
        <v>4</v>
      </c>
      <c r="T211" s="55">
        <f t="shared" ref="T211:T213" si="2">T212-0.001</f>
        <v>-4.5000000000000033E-2</v>
      </c>
      <c r="U211" s="1">
        <f>_xlfn.NORM.DIST(T211,$S$202,$S$204,FALSE)</f>
        <v>0.12192178128524767</v>
      </c>
      <c r="W211" s="1" t="s">
        <v>78</v>
      </c>
      <c r="X211" s="55">
        <f>S202</f>
        <v>-6.0403240662537964E-4</v>
      </c>
      <c r="Y211" s="1">
        <v>0</v>
      </c>
    </row>
    <row r="212" spans="1:25" ht="15">
      <c r="A212" s="94">
        <v>699.23242651522696</v>
      </c>
      <c r="B212" s="94">
        <v>700.08024695449194</v>
      </c>
      <c r="C212" s="94">
        <v>696.81863185284897</v>
      </c>
      <c r="D212" s="94">
        <v>699.80096492744008</v>
      </c>
      <c r="E212" s="95">
        <v>9928828.2189949192</v>
      </c>
      <c r="F212" s="93" t="s">
        <v>240</v>
      </c>
      <c r="G212" s="25">
        <f t="shared" si="0"/>
        <v>-8.1242873432174623E-4</v>
      </c>
      <c r="I212" s="94">
        <v>250.46</v>
      </c>
      <c r="J212" s="94">
        <v>252.08500000000001</v>
      </c>
      <c r="K212" s="94">
        <v>246.63</v>
      </c>
      <c r="L212" s="94">
        <v>251</v>
      </c>
      <c r="M212" s="95">
        <v>1904502.4745</v>
      </c>
      <c r="N212" s="93" t="s">
        <v>240</v>
      </c>
      <c r="O212" s="25">
        <f t="shared" si="1"/>
        <v>-2.1513944223107151E-3</v>
      </c>
      <c r="Q212" s="96">
        <v>-4.1000000000000029E-2</v>
      </c>
      <c r="R212">
        <v>1</v>
      </c>
      <c r="T212" s="55">
        <f t="shared" si="2"/>
        <v>-4.4000000000000032E-2</v>
      </c>
      <c r="U212" s="1">
        <f t="shared" ref="U212:U275" si="3">_xlfn.NORM.DIST(T212,$S$202,$S$204,FALSE)</f>
        <v>0.15575902031641795</v>
      </c>
      <c r="X212" s="55">
        <f>S202</f>
        <v>-6.0403240662537964E-4</v>
      </c>
      <c r="Y212" s="1">
        <v>29.75</v>
      </c>
    </row>
    <row r="213" spans="1:25" ht="15">
      <c r="A213" s="94">
        <v>691.46240154831605</v>
      </c>
      <c r="B213" s="94">
        <v>698.30481121109005</v>
      </c>
      <c r="C213" s="94">
        <v>687.27317114253594</v>
      </c>
      <c r="D213" s="94">
        <v>696.37976009605291</v>
      </c>
      <c r="E213" s="95">
        <v>14204832.559616694</v>
      </c>
      <c r="F213" s="93" t="s">
        <v>241</v>
      </c>
      <c r="G213" s="25">
        <f t="shared" si="0"/>
        <v>-7.0613174441752635E-3</v>
      </c>
      <c r="I213" s="94">
        <v>250.74</v>
      </c>
      <c r="J213" s="94">
        <v>251.91499999999999</v>
      </c>
      <c r="K213" s="94">
        <v>248.13499999999999</v>
      </c>
      <c r="L213" s="94">
        <v>250.07</v>
      </c>
      <c r="M213" s="95">
        <v>1285323.0245999999</v>
      </c>
      <c r="N213" s="93" t="s">
        <v>241</v>
      </c>
      <c r="O213" s="25">
        <f t="shared" si="1"/>
        <v>2.6792498100531859E-3</v>
      </c>
      <c r="Q213" s="96">
        <v>-4.0000000000000029E-2</v>
      </c>
      <c r="R213">
        <v>0</v>
      </c>
      <c r="T213" s="55">
        <f t="shared" si="2"/>
        <v>-4.3000000000000031E-2</v>
      </c>
      <c r="U213" s="1">
        <f t="shared" si="3"/>
        <v>0.1978799727340067</v>
      </c>
      <c r="W213" s="39" t="s">
        <v>79</v>
      </c>
      <c r="X213" s="55">
        <f>($S$204*-3)+$S$202</f>
        <v>-4.0765747357711692E-2</v>
      </c>
      <c r="Y213" s="1">
        <v>0</v>
      </c>
    </row>
    <row r="214" spans="1:25" ht="15">
      <c r="A214" s="94">
        <v>694.41481154858002</v>
      </c>
      <c r="B214" s="94">
        <v>697.14778567044607</v>
      </c>
      <c r="C214" s="94">
        <v>693.30765779848105</v>
      </c>
      <c r="D214" s="94">
        <v>696.97822158259294</v>
      </c>
      <c r="E214" s="95">
        <v>9682716.0846426357</v>
      </c>
      <c r="F214" s="93" t="s">
        <v>242</v>
      </c>
      <c r="G214" s="25">
        <f t="shared" si="0"/>
        <v>-3.677891151594781E-3</v>
      </c>
      <c r="I214" s="94">
        <v>249.66</v>
      </c>
      <c r="J214" s="94">
        <v>253.12</v>
      </c>
      <c r="K214" s="94">
        <v>247.86500000000001</v>
      </c>
      <c r="L214" s="94">
        <v>251.9</v>
      </c>
      <c r="M214" s="95">
        <v>1445385.1791999999</v>
      </c>
      <c r="N214" s="93" t="s">
        <v>242</v>
      </c>
      <c r="O214" s="25">
        <f t="shared" si="1"/>
        <v>-8.8924176260420928E-3</v>
      </c>
      <c r="Q214" s="96">
        <v>-3.9000000000000028E-2</v>
      </c>
      <c r="R214">
        <v>0</v>
      </c>
      <c r="T214" s="55">
        <f t="shared" ref="T214:T224" si="4">T215-0.001</f>
        <v>-4.200000000000003E-2</v>
      </c>
      <c r="U214" s="1">
        <f t="shared" si="3"/>
        <v>0.24999262908897674</v>
      </c>
      <c r="W214" s="40"/>
      <c r="X214" s="55">
        <f>($S$204*-3)+$S$202</f>
        <v>-4.0765747357711692E-2</v>
      </c>
      <c r="Y214" s="1">
        <v>2</v>
      </c>
    </row>
    <row r="215" spans="1:25" ht="15">
      <c r="A215" s="94">
        <v>697.50686256236997</v>
      </c>
      <c r="B215" s="94">
        <v>700.05032388016502</v>
      </c>
      <c r="C215" s="94">
        <v>694.93347817024801</v>
      </c>
      <c r="D215" s="94">
        <v>695.99076012980197</v>
      </c>
      <c r="E215" s="95">
        <v>6793476.3852982894</v>
      </c>
      <c r="F215" s="93" t="s">
        <v>243</v>
      </c>
      <c r="G215" s="25">
        <f t="shared" si="0"/>
        <v>2.1783370116654766E-3</v>
      </c>
      <c r="I215" s="94">
        <v>248.93</v>
      </c>
      <c r="J215" s="94">
        <v>250.2696</v>
      </c>
      <c r="K215" s="94">
        <v>245.77</v>
      </c>
      <c r="L215" s="94">
        <v>247.81</v>
      </c>
      <c r="M215" s="95">
        <v>2313915.301</v>
      </c>
      <c r="N215" s="93" t="s">
        <v>243</v>
      </c>
      <c r="O215" s="25">
        <f t="shared" si="1"/>
        <v>4.5195916226141719E-3</v>
      </c>
      <c r="Q215" s="96">
        <v>-3.8000000000000027E-2</v>
      </c>
      <c r="R215">
        <v>1</v>
      </c>
      <c r="T215" s="55">
        <f t="shared" si="4"/>
        <v>-4.1000000000000029E-2</v>
      </c>
      <c r="U215" s="1">
        <f t="shared" si="3"/>
        <v>0.3140720527647789</v>
      </c>
      <c r="W215" s="39" t="s">
        <v>80</v>
      </c>
      <c r="X215" s="55">
        <f>($S$204*-2)+$S$202</f>
        <v>-2.7378509040682925E-2</v>
      </c>
      <c r="Y215" s="1">
        <v>0</v>
      </c>
    </row>
    <row r="216" spans="1:25" ht="15">
      <c r="A216" s="94">
        <v>700.7585033059039</v>
      </c>
      <c r="B216" s="94">
        <v>702.68894057431987</v>
      </c>
      <c r="C216" s="94">
        <v>700.13011874503695</v>
      </c>
      <c r="D216" s="94">
        <v>701.19737506269996</v>
      </c>
      <c r="E216" s="95">
        <v>5812878.2292951858</v>
      </c>
      <c r="F216" s="93" t="s">
        <v>244</v>
      </c>
      <c r="G216" s="25">
        <f t="shared" si="0"/>
        <v>-6.2588904694171887E-4</v>
      </c>
      <c r="I216" s="94">
        <v>245.54</v>
      </c>
      <c r="J216" s="94">
        <v>251.8511</v>
      </c>
      <c r="K216" s="94">
        <v>244.76</v>
      </c>
      <c r="L216" s="94">
        <v>250.57</v>
      </c>
      <c r="M216" s="95">
        <v>1924090.5033</v>
      </c>
      <c r="N216" s="93" t="s">
        <v>244</v>
      </c>
      <c r="O216" s="25">
        <f t="shared" si="1"/>
        <v>-2.007423075388115E-2</v>
      </c>
      <c r="Q216" s="96">
        <v>-3.7000000000000026E-2</v>
      </c>
      <c r="R216">
        <v>3</v>
      </c>
      <c r="T216" s="55">
        <f t="shared" si="4"/>
        <v>-4.0000000000000029E-2</v>
      </c>
      <c r="U216" s="1">
        <f t="shared" si="3"/>
        <v>0.39238112620713478</v>
      </c>
      <c r="W216" s="40"/>
      <c r="X216" s="55">
        <f>($S$204*-2)+$S$202</f>
        <v>-2.7378509040682925E-2</v>
      </c>
      <c r="Y216" s="1">
        <v>4</v>
      </c>
    </row>
    <row r="217" spans="1:25" ht="15">
      <c r="A217" s="94">
        <v>694.86365766348501</v>
      </c>
      <c r="B217" s="94">
        <v>696.848554927176</v>
      </c>
      <c r="C217" s="94">
        <v>693.75859852858889</v>
      </c>
      <c r="D217" s="94">
        <v>694.99332431890195</v>
      </c>
      <c r="E217" s="95">
        <v>18360495.179309387</v>
      </c>
      <c r="F217" s="93" t="s">
        <v>245</v>
      </c>
      <c r="G217" s="25">
        <f t="shared" si="0"/>
        <v>-1.8657251930298546E-4</v>
      </c>
      <c r="I217" s="94">
        <v>248.37</v>
      </c>
      <c r="J217" s="94">
        <v>252.21</v>
      </c>
      <c r="K217" s="94">
        <v>246.51</v>
      </c>
      <c r="L217" s="94">
        <v>250.81</v>
      </c>
      <c r="M217" s="95">
        <v>1675802.1703999999</v>
      </c>
      <c r="N217" s="93" t="s">
        <v>245</v>
      </c>
      <c r="O217" s="25">
        <f t="shared" si="1"/>
        <v>-9.7284797256887989E-3</v>
      </c>
      <c r="Q217" s="96">
        <v>-3.6000000000000025E-2</v>
      </c>
      <c r="R217">
        <v>0</v>
      </c>
      <c r="T217" s="55">
        <f t="shared" si="4"/>
        <v>-3.9000000000000028E-2</v>
      </c>
      <c r="U217" s="1">
        <f t="shared" si="3"/>
        <v>0.48748768928444158</v>
      </c>
      <c r="W217" s="41" t="s">
        <v>81</v>
      </c>
      <c r="X217" s="55">
        <f>($S$204*-1)+$S$202</f>
        <v>-1.3991270723654152E-2</v>
      </c>
      <c r="Y217" s="1">
        <v>0</v>
      </c>
    </row>
    <row r="218" spans="1:25" ht="15">
      <c r="A218" s="94">
        <v>699.07283678548299</v>
      </c>
      <c r="B218" s="94">
        <v>700.90811867753905</v>
      </c>
      <c r="C218" s="94">
        <v>697.69138818738656</v>
      </c>
      <c r="D218" s="94">
        <v>700.54904178561503</v>
      </c>
      <c r="E218" s="95">
        <v>4311927.8365584891</v>
      </c>
      <c r="F218" s="93" t="s">
        <v>246</v>
      </c>
      <c r="G218" s="25">
        <f t="shared" si="0"/>
        <v>-2.107211504235873E-3</v>
      </c>
      <c r="I218" s="94">
        <v>250.41</v>
      </c>
      <c r="J218" s="94">
        <v>258.04000000000002</v>
      </c>
      <c r="K218" s="94">
        <v>250.28</v>
      </c>
      <c r="L218" s="94">
        <v>256.32</v>
      </c>
      <c r="M218" s="95">
        <v>1251789.4982</v>
      </c>
      <c r="N218" s="93" t="s">
        <v>246</v>
      </c>
      <c r="O218" s="25">
        <f t="shared" si="1"/>
        <v>-2.3057116104868935E-2</v>
      </c>
      <c r="Q218" s="96">
        <v>-3.5000000000000024E-2</v>
      </c>
      <c r="R218">
        <v>0</v>
      </c>
      <c r="T218" s="55">
        <f t="shared" si="4"/>
        <v>-3.8000000000000027E-2</v>
      </c>
      <c r="U218" s="1">
        <f t="shared" si="3"/>
        <v>0.60227650744275729</v>
      </c>
      <c r="X218" s="55">
        <f>($S$204*-1)+$S$202</f>
        <v>-1.3991270723654152E-2</v>
      </c>
      <c r="Y218" s="1">
        <v>18</v>
      </c>
    </row>
    <row r="219" spans="1:25" ht="15">
      <c r="A219" s="94">
        <v>702.26463138036308</v>
      </c>
      <c r="B219" s="94">
        <v>705.69581056985896</v>
      </c>
      <c r="C219" s="94">
        <v>701.56642631273303</v>
      </c>
      <c r="D219" s="94">
        <v>705.16716959008204</v>
      </c>
      <c r="E219" s="95">
        <v>7847676.9531034688</v>
      </c>
      <c r="F219" s="93" t="s">
        <v>247</v>
      </c>
      <c r="G219" s="25">
        <f t="shared" si="0"/>
        <v>-4.1160994653313132E-3</v>
      </c>
      <c r="I219" s="94">
        <v>255.74</v>
      </c>
      <c r="J219" s="94">
        <v>257.06</v>
      </c>
      <c r="K219" s="94">
        <v>253.3</v>
      </c>
      <c r="L219" s="94">
        <v>253.6</v>
      </c>
      <c r="M219" s="95">
        <v>1479861.0669</v>
      </c>
      <c r="N219" s="93" t="s">
        <v>247</v>
      </c>
      <c r="O219" s="25">
        <f t="shared" si="1"/>
        <v>8.4384858044164179E-3</v>
      </c>
      <c r="Q219" s="96">
        <v>-3.4000000000000023E-2</v>
      </c>
      <c r="R219">
        <v>3</v>
      </c>
      <c r="T219" s="55">
        <f t="shared" si="4"/>
        <v>-3.7000000000000026E-2</v>
      </c>
      <c r="U219" s="1">
        <f t="shared" si="3"/>
        <v>0.73995433860851878</v>
      </c>
      <c r="W219" s="1" t="s">
        <v>82</v>
      </c>
      <c r="X219" s="55">
        <f>($S$204*1)+$S$202</f>
        <v>1.2783205910403392E-2</v>
      </c>
      <c r="Y219" s="1">
        <v>0</v>
      </c>
    </row>
    <row r="220" spans="1:25" ht="15" customHeight="1">
      <c r="A220" s="94">
        <v>706.19452847530897</v>
      </c>
      <c r="B220" s="94">
        <v>708.62827185390506</v>
      </c>
      <c r="C220" s="94">
        <v>705.08737472521</v>
      </c>
      <c r="D220" s="94">
        <v>707.90014371194798</v>
      </c>
      <c r="E220" s="95">
        <v>6833680.7221205411</v>
      </c>
      <c r="F220" s="93" t="s">
        <v>248</v>
      </c>
      <c r="G220" s="25">
        <f t="shared" si="0"/>
        <v>-2.4094008904920194E-3</v>
      </c>
      <c r="I220" s="94">
        <v>256.45</v>
      </c>
      <c r="J220" s="94">
        <v>259.77999999999997</v>
      </c>
      <c r="K220" s="94">
        <v>256.05</v>
      </c>
      <c r="L220" s="94">
        <v>259.52</v>
      </c>
      <c r="M220" s="95">
        <v>1213222.7187999999</v>
      </c>
      <c r="N220" s="93" t="s">
        <v>248</v>
      </c>
      <c r="O220" s="25">
        <f t="shared" si="1"/>
        <v>-1.1829531442663299E-2</v>
      </c>
      <c r="Q220" s="96">
        <v>-3.3000000000000022E-2</v>
      </c>
      <c r="R220">
        <v>1</v>
      </c>
      <c r="T220" s="55">
        <f t="shared" si="4"/>
        <v>-3.6000000000000025E-2</v>
      </c>
      <c r="U220" s="1">
        <f t="shared" si="3"/>
        <v>0.90404624302077297</v>
      </c>
      <c r="X220" s="55">
        <f>($S$204*1)+$S$202</f>
        <v>1.2783205910403392E-2</v>
      </c>
      <c r="Y220" s="1">
        <v>18</v>
      </c>
    </row>
    <row r="221" spans="1:25" ht="15">
      <c r="A221" s="94">
        <v>708.89757952284799</v>
      </c>
      <c r="B221" s="94">
        <v>709.69054099251343</v>
      </c>
      <c r="C221" s="94">
        <v>703.70093894805893</v>
      </c>
      <c r="D221" s="94">
        <v>704.01014404943805</v>
      </c>
      <c r="E221" s="95">
        <v>8616616.3817048483</v>
      </c>
      <c r="F221" s="93" t="s">
        <v>249</v>
      </c>
      <c r="G221" s="25">
        <f t="shared" si="0"/>
        <v>6.9422799013911796E-3</v>
      </c>
      <c r="I221" s="94">
        <v>260.89000001119797</v>
      </c>
      <c r="J221" s="94">
        <v>263.73636226050002</v>
      </c>
      <c r="K221" s="94">
        <v>257.90430534409796</v>
      </c>
      <c r="L221" s="94">
        <v>262.97998627816798</v>
      </c>
      <c r="M221" s="95">
        <v>1420917.2365976258</v>
      </c>
      <c r="N221" s="93" t="s">
        <v>249</v>
      </c>
      <c r="O221" s="25">
        <f t="shared" si="1"/>
        <v>-7.9473206176203792E-3</v>
      </c>
      <c r="Q221" s="96">
        <v>-3.2000000000000021E-2</v>
      </c>
      <c r="R221">
        <v>1</v>
      </c>
      <c r="T221" s="55">
        <f t="shared" si="4"/>
        <v>-3.5000000000000024E-2</v>
      </c>
      <c r="U221" s="1">
        <f t="shared" si="3"/>
        <v>1.0983812170384721</v>
      </c>
      <c r="W221" s="42" t="s">
        <v>83</v>
      </c>
      <c r="X221" s="55">
        <f>($S$204*2)+$S$202</f>
        <v>2.6170444227432164E-2</v>
      </c>
      <c r="Y221" s="1">
        <v>0</v>
      </c>
    </row>
    <row r="222" spans="1:25" ht="15">
      <c r="A222" s="94">
        <v>701.60632374516899</v>
      </c>
      <c r="B222" s="94">
        <v>702.72345185337701</v>
      </c>
      <c r="C222" s="94">
        <v>698.38460607596198</v>
      </c>
      <c r="D222" s="94">
        <v>699.05288806926501</v>
      </c>
      <c r="E222" s="95">
        <v>7724754.4959787652</v>
      </c>
      <c r="F222" s="93" t="s">
        <v>250</v>
      </c>
      <c r="G222" s="25">
        <f t="shared" si="0"/>
        <v>3.6527074266961002E-3</v>
      </c>
      <c r="I222" s="94">
        <v>260.06395781996702</v>
      </c>
      <c r="J222" s="94">
        <v>265.22920959405002</v>
      </c>
      <c r="K222" s="94">
        <v>258.87963226868402</v>
      </c>
      <c r="L222" s="94">
        <v>263.23874648265001</v>
      </c>
      <c r="M222" s="95">
        <v>1320485.0518185794</v>
      </c>
      <c r="N222" s="93" t="s">
        <v>250</v>
      </c>
      <c r="O222" s="25">
        <f t="shared" si="1"/>
        <v>-1.2060491493383729E-2</v>
      </c>
      <c r="Q222" s="96">
        <v>-3.1000000000000021E-2</v>
      </c>
      <c r="R222">
        <v>1</v>
      </c>
      <c r="T222" s="55">
        <f t="shared" si="4"/>
        <v>-3.4000000000000023E-2</v>
      </c>
      <c r="U222" s="1">
        <f t="shared" si="3"/>
        <v>1.327065248628061</v>
      </c>
      <c r="X222" s="55">
        <f>($S$204*2)+$S$202</f>
        <v>2.6170444227432164E-2</v>
      </c>
      <c r="Y222" s="1">
        <v>4</v>
      </c>
    </row>
    <row r="223" spans="1:25" ht="15">
      <c r="A223" s="94">
        <v>698.48434965705201</v>
      </c>
      <c r="B223" s="94">
        <v>701.10760583971899</v>
      </c>
      <c r="C223" s="94">
        <v>696.34963753456384</v>
      </c>
      <c r="D223" s="94">
        <v>698.65391374490503</v>
      </c>
      <c r="E223" s="95">
        <v>6503579.9945329595</v>
      </c>
      <c r="F223" s="93" t="s">
        <v>251</v>
      </c>
      <c r="G223" s="25">
        <f t="shared" si="0"/>
        <v>-2.42701120708122E-4</v>
      </c>
      <c r="I223" s="94">
        <v>262.30322882029202</v>
      </c>
      <c r="J223" s="94">
        <v>268.21480473799443</v>
      </c>
      <c r="K223" s="94">
        <v>260.92980927342603</v>
      </c>
      <c r="L223" s="94">
        <v>265.22920959405002</v>
      </c>
      <c r="M223" s="95">
        <v>1347020.5673463456</v>
      </c>
      <c r="N223" s="93" t="s">
        <v>251</v>
      </c>
      <c r="O223" s="25">
        <f t="shared" si="1"/>
        <v>-1.1031894934333986E-2</v>
      </c>
      <c r="Q223" s="96">
        <v>-3.000000000000002E-2</v>
      </c>
      <c r="R223">
        <v>0</v>
      </c>
      <c r="T223" s="55">
        <f t="shared" si="4"/>
        <v>-3.3000000000000022E-2</v>
      </c>
      <c r="U223" s="1">
        <f t="shared" si="3"/>
        <v>1.5944400061999207</v>
      </c>
      <c r="W223" s="42" t="s">
        <v>84</v>
      </c>
      <c r="X223" s="55">
        <f>($S$204*3)+$S$202</f>
        <v>3.9557682544460938E-2</v>
      </c>
      <c r="Y223" s="1">
        <v>0</v>
      </c>
    </row>
    <row r="224" spans="1:25" ht="15">
      <c r="A224" s="94">
        <v>703.08252874530103</v>
      </c>
      <c r="B224" s="94">
        <v>704.12983634674606</v>
      </c>
      <c r="C224" s="94">
        <v>701.157477630264</v>
      </c>
      <c r="D224" s="94">
        <v>703.55132357642401</v>
      </c>
      <c r="E224" s="95">
        <v>5756351.8934810283</v>
      </c>
      <c r="F224" s="93" t="s">
        <v>252</v>
      </c>
      <c r="G224" s="25">
        <f t="shared" si="0"/>
        <v>-6.6632641488029165E-4</v>
      </c>
      <c r="I224" s="94">
        <v>264.98040170512502</v>
      </c>
      <c r="J224" s="94">
        <v>266.56779603646652</v>
      </c>
      <c r="K224" s="94">
        <v>260.10376708219502</v>
      </c>
      <c r="L224" s="94">
        <v>261.79566072688499</v>
      </c>
      <c r="M224" s="95">
        <v>2599977.6807519086</v>
      </c>
      <c r="N224" s="93" t="s">
        <v>252</v>
      </c>
      <c r="O224" s="25">
        <f t="shared" si="1"/>
        <v>1.2164987644934566E-2</v>
      </c>
      <c r="Q224" s="96">
        <v>-2.9000000000000019E-2</v>
      </c>
      <c r="R224">
        <v>3</v>
      </c>
      <c r="T224" s="55">
        <f t="shared" si="4"/>
        <v>-3.2000000000000021E-2</v>
      </c>
      <c r="U224" s="1">
        <f t="shared" si="3"/>
        <v>1.9050255992511251</v>
      </c>
      <c r="W224" s="42"/>
      <c r="X224" s="55">
        <f>($S$204*3)+$S$202</f>
        <v>3.9557682544460938E-2</v>
      </c>
      <c r="Y224" s="1">
        <v>2</v>
      </c>
    </row>
    <row r="225" spans="1:21" ht="15">
      <c r="A225" s="94">
        <v>705.42650290091603</v>
      </c>
      <c r="B225" s="94">
        <v>710.8417814054543</v>
      </c>
      <c r="C225" s="94">
        <v>704.449015806234</v>
      </c>
      <c r="D225" s="94">
        <v>707.57098989435099</v>
      </c>
      <c r="E225" s="95">
        <v>8105322.4741401756</v>
      </c>
      <c r="F225" s="93" t="s">
        <v>253</v>
      </c>
      <c r="G225" s="25">
        <f t="shared" si="0"/>
        <v>-3.0307729175770293E-3</v>
      </c>
      <c r="I225" s="94">
        <v>261.56675746907399</v>
      </c>
      <c r="J225" s="94">
        <v>263.87569467829798</v>
      </c>
      <c r="K225" s="94">
        <v>260.20329023776497</v>
      </c>
      <c r="L225" s="94">
        <v>263.06955711818097</v>
      </c>
      <c r="M225" s="95">
        <v>1622885.3789347347</v>
      </c>
      <c r="N225" s="93" t="s">
        <v>253</v>
      </c>
      <c r="O225" s="25">
        <f t="shared" si="1"/>
        <v>-5.7125562743539637E-3</v>
      </c>
      <c r="Q225" s="96">
        <v>-2.8000000000000018E-2</v>
      </c>
      <c r="R225">
        <v>2</v>
      </c>
      <c r="T225" s="55">
        <f t="shared" ref="T225:T253" si="5">T226-0.001</f>
        <v>-3.1000000000000021E-2</v>
      </c>
      <c r="U225" s="1">
        <f t="shared" si="3"/>
        <v>2.2634462009335778</v>
      </c>
    </row>
    <row r="226" spans="1:21" ht="15">
      <c r="A226" s="94">
        <v>706.93263097537499</v>
      </c>
      <c r="B226" s="94">
        <v>708.13454112750958</v>
      </c>
      <c r="C226" s="94">
        <v>703.40210717911339</v>
      </c>
      <c r="D226" s="94">
        <v>704.57868246165094</v>
      </c>
      <c r="E226" s="95">
        <v>6773106.5507906759</v>
      </c>
      <c r="F226" s="93" t="s">
        <v>254</v>
      </c>
      <c r="G226" s="25">
        <f t="shared" si="0"/>
        <v>3.3409306473761724E-3</v>
      </c>
      <c r="I226" s="94">
        <v>260.73076296228601</v>
      </c>
      <c r="J226" s="94">
        <v>262.20370566472195</v>
      </c>
      <c r="K226" s="94">
        <v>258.3615147207866</v>
      </c>
      <c r="L226" s="94">
        <v>260.899952326755</v>
      </c>
      <c r="M226" s="95">
        <v>1693285.0407006042</v>
      </c>
      <c r="N226" s="93" t="s">
        <v>254</v>
      </c>
      <c r="O226" s="25">
        <f t="shared" si="1"/>
        <v>-6.4848369254244531E-4</v>
      </c>
      <c r="Q226" s="96">
        <v>-2.7000000000000017E-2</v>
      </c>
      <c r="R226">
        <v>4</v>
      </c>
      <c r="T226" s="55">
        <f t="shared" si="5"/>
        <v>-3.000000000000002E-2</v>
      </c>
      <c r="U226" s="1">
        <f t="shared" si="3"/>
        <v>2.6743378062102567</v>
      </c>
    </row>
    <row r="227" spans="1:21" ht="15">
      <c r="A227" s="94">
        <v>702.39429803578003</v>
      </c>
      <c r="B227" s="94">
        <v>703.51142614398805</v>
      </c>
      <c r="C227" s="94">
        <v>700.42934948830703</v>
      </c>
      <c r="D227" s="94">
        <v>701.09763148160994</v>
      </c>
      <c r="E227" s="95">
        <v>7176219.4065815648</v>
      </c>
      <c r="F227" s="93" t="s">
        <v>255</v>
      </c>
      <c r="G227" s="25">
        <f t="shared" si="0"/>
        <v>1.849480722720287E-3</v>
      </c>
      <c r="I227" s="94">
        <v>261.70608988687195</v>
      </c>
      <c r="J227" s="94">
        <v>263.58707752714503</v>
      </c>
      <c r="K227" s="94">
        <v>257.30358357707752</v>
      </c>
      <c r="L227" s="94">
        <v>258.740299850886</v>
      </c>
      <c r="M227" s="95">
        <v>1402369.4526228535</v>
      </c>
      <c r="N227" s="93" t="s">
        <v>255</v>
      </c>
      <c r="O227" s="25">
        <f t="shared" si="1"/>
        <v>1.1462420186167943E-2</v>
      </c>
      <c r="Q227" s="96">
        <v>-2.6000000000000016E-2</v>
      </c>
      <c r="R227">
        <v>2</v>
      </c>
      <c r="T227" s="55">
        <f t="shared" si="5"/>
        <v>-2.9000000000000019E-2</v>
      </c>
      <c r="U227" s="1">
        <f t="shared" si="3"/>
        <v>3.1422380151309985</v>
      </c>
    </row>
    <row r="228" spans="1:21" ht="15">
      <c r="A228" s="94">
        <v>702.21475958981796</v>
      </c>
      <c r="B228" s="94">
        <v>703.02796900644478</v>
      </c>
      <c r="C228" s="94">
        <v>699.65134955580504</v>
      </c>
      <c r="D228" s="94">
        <v>702.47908007970648</v>
      </c>
      <c r="E228" s="95">
        <v>4335609.914885601</v>
      </c>
      <c r="F228" s="93" t="s">
        <v>256</v>
      </c>
      <c r="G228" s="25">
        <f t="shared" si="0"/>
        <v>-3.7626813008939664E-4</v>
      </c>
      <c r="I228" s="94">
        <v>260.919856957869</v>
      </c>
      <c r="J228" s="94">
        <v>262.55701286699548</v>
      </c>
      <c r="K228" s="94">
        <v>259.70567445991497</v>
      </c>
      <c r="L228" s="94">
        <v>261.98475472246798</v>
      </c>
      <c r="M228" s="95">
        <v>1757363.1839575723</v>
      </c>
      <c r="N228" s="93" t="s">
        <v>256</v>
      </c>
      <c r="O228" s="25">
        <f t="shared" si="1"/>
        <v>-4.0647318036771685E-3</v>
      </c>
      <c r="Q228" s="96">
        <v>-2.5000000000000015E-2</v>
      </c>
      <c r="R228">
        <v>3</v>
      </c>
      <c r="T228" s="55">
        <f t="shared" si="5"/>
        <v>-2.8000000000000018E-2</v>
      </c>
      <c r="U228" s="1">
        <f t="shared" si="3"/>
        <v>3.6714584714617176</v>
      </c>
    </row>
    <row r="229" spans="1:21" ht="15">
      <c r="A229" s="94">
        <v>700.03037516394704</v>
      </c>
      <c r="B229" s="94">
        <v>701.58627528536988</v>
      </c>
      <c r="C229" s="94">
        <v>698.73370860977695</v>
      </c>
      <c r="D229" s="94">
        <v>701.16745198837305</v>
      </c>
      <c r="E229" s="95">
        <v>7757366.3376076007</v>
      </c>
      <c r="F229" s="93" t="s">
        <v>257</v>
      </c>
      <c r="G229" s="25">
        <f t="shared" si="0"/>
        <v>-1.6216908260665575E-3</v>
      </c>
      <c r="I229" s="94">
        <v>261.57670978463096</v>
      </c>
      <c r="J229" s="94">
        <v>264.50766671616748</v>
      </c>
      <c r="K229" s="94">
        <v>260.30281339333499</v>
      </c>
      <c r="L229" s="94">
        <v>264.42307203393301</v>
      </c>
      <c r="M229" s="95">
        <v>1583962.6230412542</v>
      </c>
      <c r="N229" s="93" t="s">
        <v>257</v>
      </c>
      <c r="O229" s="25">
        <f t="shared" si="1"/>
        <v>-1.0764424705483999E-2</v>
      </c>
      <c r="Q229" s="96">
        <v>-2.4000000000000014E-2</v>
      </c>
      <c r="R229">
        <v>1</v>
      </c>
      <c r="T229" s="55">
        <f t="shared" si="5"/>
        <v>-2.7000000000000017E-2</v>
      </c>
      <c r="U229" s="1">
        <f t="shared" si="3"/>
        <v>4.265941435948001</v>
      </c>
    </row>
    <row r="230" spans="1:21" ht="15">
      <c r="A230" s="94">
        <v>701.90555448843907</v>
      </c>
      <c r="B230" s="94">
        <v>703.99019533321996</v>
      </c>
      <c r="C230" s="94">
        <v>700.63881100859601</v>
      </c>
      <c r="D230" s="94">
        <v>702.26463138036308</v>
      </c>
      <c r="E230" s="95">
        <v>10705588.617542185</v>
      </c>
      <c r="F230" s="93" t="s">
        <v>258</v>
      </c>
      <c r="G230" s="25">
        <f t="shared" si="0"/>
        <v>-5.1131279560279186E-4</v>
      </c>
      <c r="I230" s="94">
        <v>265.45811285186102</v>
      </c>
      <c r="J230" s="94">
        <v>270.45417526147497</v>
      </c>
      <c r="K230" s="94">
        <v>265.15954338515098</v>
      </c>
      <c r="L230" s="94">
        <v>269.87694095916902</v>
      </c>
      <c r="M230" s="95">
        <v>1948245.4289104892</v>
      </c>
      <c r="N230" s="93" t="s">
        <v>258</v>
      </c>
      <c r="O230" s="25">
        <f t="shared" si="1"/>
        <v>-1.6373492642991483E-2</v>
      </c>
      <c r="Q230" s="96">
        <v>-2.3000000000000013E-2</v>
      </c>
      <c r="R230">
        <v>3</v>
      </c>
      <c r="T230" s="55">
        <f t="shared" si="5"/>
        <v>-2.6000000000000016E-2</v>
      </c>
      <c r="U230" s="1">
        <f t="shared" si="3"/>
        <v>4.9291029047779444</v>
      </c>
    </row>
    <row r="231" spans="1:21" ht="15">
      <c r="A231" s="94">
        <v>699.21247779900898</v>
      </c>
      <c r="B231" s="94">
        <v>704.26947736027205</v>
      </c>
      <c r="C231" s="94">
        <v>698.67595707632586</v>
      </c>
      <c r="D231" s="94">
        <v>702.24468266414499</v>
      </c>
      <c r="E231" s="95">
        <v>8480359.9772176575</v>
      </c>
      <c r="F231" s="93" t="s">
        <v>259</v>
      </c>
      <c r="G231" s="25">
        <f t="shared" si="0"/>
        <v>-4.3178751509126423E-3</v>
      </c>
      <c r="I231" s="94">
        <v>269.15042192350802</v>
      </c>
      <c r="J231" s="94">
        <v>275.300952937734</v>
      </c>
      <c r="K231" s="94">
        <v>268.30447510116295</v>
      </c>
      <c r="L231" s="94">
        <v>274.37538759093297</v>
      </c>
      <c r="M231" s="95">
        <v>1737582.8697309461</v>
      </c>
      <c r="N231" s="93" t="s">
        <v>259</v>
      </c>
      <c r="O231" s="25">
        <f t="shared" si="1"/>
        <v>-1.9043128151184141E-2</v>
      </c>
      <c r="Q231" s="96">
        <v>-2.2000000000000013E-2</v>
      </c>
      <c r="R231">
        <v>2</v>
      </c>
      <c r="T231" s="55">
        <f t="shared" si="5"/>
        <v>-2.5000000000000015E-2</v>
      </c>
      <c r="U231" s="1">
        <f t="shared" si="3"/>
        <v>5.6636656615640533</v>
      </c>
    </row>
    <row r="232" spans="1:21" ht="15">
      <c r="A232" s="94">
        <v>705.09734908331893</v>
      </c>
      <c r="B232" s="94">
        <v>708.27916932008998</v>
      </c>
      <c r="C232" s="94">
        <v>704.28443889743551</v>
      </c>
      <c r="D232" s="94">
        <v>706.37406692127104</v>
      </c>
      <c r="E232" s="95">
        <v>7039831.7362038074</v>
      </c>
      <c r="F232" s="93" t="s">
        <v>260</v>
      </c>
      <c r="G232" s="25">
        <f t="shared" si="0"/>
        <v>-1.8074245612055284E-3</v>
      </c>
      <c r="I232" s="94">
        <v>275.78861640002702</v>
      </c>
      <c r="J232" s="94">
        <v>279.66006715169999</v>
      </c>
      <c r="K232" s="94">
        <v>275.03224041769499</v>
      </c>
      <c r="L232" s="94">
        <v>279.66006715169999</v>
      </c>
      <c r="M232" s="95">
        <v>1082339.8356198242</v>
      </c>
      <c r="N232" s="93" t="s">
        <v>260</v>
      </c>
      <c r="O232" s="25">
        <f t="shared" si="1"/>
        <v>-1.3843416370106665E-2</v>
      </c>
      <c r="Q232" s="96">
        <v>-2.1000000000000012E-2</v>
      </c>
      <c r="R232">
        <v>6</v>
      </c>
      <c r="T232" s="55">
        <f t="shared" si="5"/>
        <v>-2.4000000000000014E-2</v>
      </c>
      <c r="U232" s="1">
        <f t="shared" si="3"/>
        <v>6.4714866306117296</v>
      </c>
    </row>
    <row r="233" spans="1:21" ht="15">
      <c r="A233" s="94">
        <v>703.59122100885997</v>
      </c>
      <c r="B233" s="94">
        <v>705.53622084011499</v>
      </c>
      <c r="C233" s="94">
        <v>703.15234925206403</v>
      </c>
      <c r="D233" s="94">
        <v>704.79811834004897</v>
      </c>
      <c r="E233" s="95">
        <v>5292120.7156549674</v>
      </c>
      <c r="F233" s="93" t="s">
        <v>261</v>
      </c>
      <c r="G233" s="25">
        <f t="shared" si="0"/>
        <v>-1.7124014661552556E-3</v>
      </c>
      <c r="I233" s="94">
        <v>278.20702908037799</v>
      </c>
      <c r="J233" s="94">
        <v>282.6457618188</v>
      </c>
      <c r="K233" s="94">
        <v>278.00798276923797</v>
      </c>
      <c r="L233" s="94">
        <v>278.66483559599999</v>
      </c>
      <c r="M233" s="95">
        <v>1820631.4557877518</v>
      </c>
      <c r="N233" s="93" t="s">
        <v>261</v>
      </c>
      <c r="O233" s="25">
        <f t="shared" si="1"/>
        <v>-1.6428571428571681E-3</v>
      </c>
      <c r="Q233" s="96">
        <v>-2.0000000000000011E-2</v>
      </c>
      <c r="R233">
        <v>8</v>
      </c>
      <c r="T233" s="55">
        <f t="shared" si="5"/>
        <v>-2.3000000000000013E-2</v>
      </c>
      <c r="U233" s="1">
        <f t="shared" si="3"/>
        <v>7.3533838280001191</v>
      </c>
    </row>
    <row r="234" spans="1:21" ht="15">
      <c r="A234" s="94">
        <v>708.448733407943</v>
      </c>
      <c r="B234" s="94">
        <v>712.2140535940905</v>
      </c>
      <c r="C234" s="94">
        <v>708.27916932008998</v>
      </c>
      <c r="D234" s="94">
        <v>711.67045107715001</v>
      </c>
      <c r="E234" s="95">
        <v>5759776.8433000222</v>
      </c>
      <c r="F234" s="93" t="s">
        <v>262</v>
      </c>
      <c r="G234" s="25">
        <f t="shared" si="0"/>
        <v>-4.5269796776453708E-3</v>
      </c>
      <c r="I234" s="94">
        <v>277.05256047576597</v>
      </c>
      <c r="J234" s="94">
        <v>284.58576669032601</v>
      </c>
      <c r="K234" s="94">
        <v>276.44546922678899</v>
      </c>
      <c r="L234" s="94">
        <v>281.65053026309999</v>
      </c>
      <c r="M234" s="95">
        <v>2995637.3917455357</v>
      </c>
      <c r="N234" s="93" t="s">
        <v>262</v>
      </c>
      <c r="O234" s="25">
        <f t="shared" si="1"/>
        <v>-1.6325088339222749E-2</v>
      </c>
      <c r="Q234" s="96">
        <v>-1.900000000000001E-2</v>
      </c>
      <c r="R234">
        <v>3</v>
      </c>
      <c r="T234" s="55">
        <f t="shared" si="5"/>
        <v>-2.2000000000000013E-2</v>
      </c>
      <c r="U234" s="1">
        <f t="shared" si="3"/>
        <v>8.3089690272680681</v>
      </c>
    </row>
    <row r="235" spans="1:21" ht="15">
      <c r="A235" s="94">
        <v>711.78016901634896</v>
      </c>
      <c r="B235" s="94">
        <v>714.05432266520097</v>
      </c>
      <c r="C235" s="94">
        <v>710.97224600951995</v>
      </c>
      <c r="D235" s="94">
        <v>713.79498935436698</v>
      </c>
      <c r="E235" s="95">
        <v>4224899.2813859275</v>
      </c>
      <c r="F235" s="93" t="s">
        <v>263</v>
      </c>
      <c r="G235" s="25">
        <f t="shared" si="0"/>
        <v>-2.8226877017453189E-3</v>
      </c>
      <c r="I235" s="94">
        <v>290.42847258437399</v>
      </c>
      <c r="J235" s="94">
        <v>291.60284582010001</v>
      </c>
      <c r="K235" s="94">
        <v>287.41292097060301</v>
      </c>
      <c r="L235" s="94">
        <v>290.16971237989202</v>
      </c>
      <c r="M235" s="95">
        <v>1016650.6401501151</v>
      </c>
      <c r="N235" s="93" t="s">
        <v>263</v>
      </c>
      <c r="O235" s="25">
        <f t="shared" si="1"/>
        <v>8.9175469886115799E-4</v>
      </c>
      <c r="Q235" s="96">
        <v>-1.8000000000000009E-2</v>
      </c>
      <c r="R235">
        <v>4</v>
      </c>
      <c r="T235" s="55">
        <f t="shared" si="5"/>
        <v>-2.1000000000000012E-2</v>
      </c>
      <c r="U235" s="1">
        <f t="shared" si="3"/>
        <v>9.3364929079795207</v>
      </c>
    </row>
    <row r="236" spans="1:21" ht="15">
      <c r="A236" s="94">
        <v>713.11673300295502</v>
      </c>
      <c r="B236" s="94">
        <v>714.55304057065098</v>
      </c>
      <c r="C236" s="94">
        <v>709.78031021549452</v>
      </c>
      <c r="D236" s="94">
        <v>710.47352810406994</v>
      </c>
      <c r="E236" s="95">
        <v>4562935.4456336983</v>
      </c>
      <c r="F236" s="93" t="s">
        <v>264</v>
      </c>
      <c r="G236" s="25">
        <f t="shared" si="0"/>
        <v>3.7203425522955857E-3</v>
      </c>
      <c r="I236" s="94">
        <v>287.084494557222</v>
      </c>
      <c r="J236" s="94">
        <v>290.40359179548153</v>
      </c>
      <c r="K236" s="94">
        <v>284.92484208135301</v>
      </c>
      <c r="L236" s="94">
        <v>289.68204891759899</v>
      </c>
      <c r="M236" s="95">
        <v>1106806.460457572</v>
      </c>
      <c r="N236" s="93" t="s">
        <v>264</v>
      </c>
      <c r="O236" s="25">
        <f t="shared" si="1"/>
        <v>-8.966915175043777E-3</v>
      </c>
      <c r="Q236" s="96">
        <v>-1.7000000000000008E-2</v>
      </c>
      <c r="R236">
        <v>6</v>
      </c>
      <c r="T236" s="55">
        <f t="shared" si="5"/>
        <v>-2.0000000000000011E-2</v>
      </c>
      <c r="U236" s="1">
        <f t="shared" si="3"/>
        <v>10.432709878905516</v>
      </c>
    </row>
    <row r="237" spans="1:21" ht="15">
      <c r="A237" s="94">
        <v>708.34898982685297</v>
      </c>
      <c r="B237" s="94">
        <v>710.43363067163398</v>
      </c>
      <c r="C237" s="94">
        <v>707.11216942133694</v>
      </c>
      <c r="D237" s="94">
        <v>710.29398965810799</v>
      </c>
      <c r="E237" s="95">
        <v>4883810.5144877145</v>
      </c>
      <c r="F237" s="93" t="s">
        <v>265</v>
      </c>
      <c r="G237" s="25">
        <f t="shared" si="0"/>
        <v>-2.7383025332808897E-3</v>
      </c>
      <c r="I237" s="94">
        <v>289.35362250421798</v>
      </c>
      <c r="J237" s="94">
        <v>289.39343176644599</v>
      </c>
      <c r="K237" s="94">
        <v>280.65529870739999</v>
      </c>
      <c r="L237" s="94">
        <v>283.372280854461</v>
      </c>
      <c r="M237" s="95">
        <v>1817009.1300291354</v>
      </c>
      <c r="N237" s="93" t="s">
        <v>265</v>
      </c>
      <c r="O237" s="25">
        <f t="shared" si="1"/>
        <v>2.1107716081902206E-2</v>
      </c>
      <c r="Q237" s="96">
        <v>-1.6000000000000007E-2</v>
      </c>
      <c r="R237">
        <v>13</v>
      </c>
      <c r="T237" s="55">
        <f t="shared" si="5"/>
        <v>-1.900000000000001E-2</v>
      </c>
      <c r="U237" s="1">
        <f t="shared" si="3"/>
        <v>11.592769908838184</v>
      </c>
    </row>
    <row r="238" spans="1:21" ht="15">
      <c r="A238" s="94">
        <v>706.603477157778</v>
      </c>
      <c r="B238" s="94">
        <v>710.17429736079998</v>
      </c>
      <c r="C238" s="94">
        <v>705.18711830630002</v>
      </c>
      <c r="D238" s="94">
        <v>710.13439992836402</v>
      </c>
      <c r="E238" s="95">
        <v>5023320.7228433192</v>
      </c>
      <c r="F238" s="93" t="s">
        <v>266</v>
      </c>
      <c r="G238" s="25">
        <f t="shared" si="0"/>
        <v>-4.9721894488454765E-3</v>
      </c>
      <c r="I238" s="94">
        <v>284.656129561314</v>
      </c>
      <c r="J238" s="94">
        <v>289.43324102867399</v>
      </c>
      <c r="K238" s="94">
        <v>284.30779851681899</v>
      </c>
      <c r="L238" s="94">
        <v>287.62191959730001</v>
      </c>
      <c r="M238" s="95">
        <v>1075119.5711910645</v>
      </c>
      <c r="N238" s="93" t="s">
        <v>266</v>
      </c>
      <c r="O238" s="25">
        <f t="shared" si="1"/>
        <v>-1.0311418685121088E-2</v>
      </c>
      <c r="Q238" s="96">
        <v>-1.5000000000000006E-2</v>
      </c>
      <c r="R238">
        <v>7</v>
      </c>
      <c r="T238" s="55">
        <f t="shared" si="5"/>
        <v>-1.8000000000000009E-2</v>
      </c>
      <c r="U238" s="1">
        <f t="shared" si="3"/>
        <v>12.81014451226279</v>
      </c>
    </row>
    <row r="239" spans="1:21" ht="15">
      <c r="A239" s="94">
        <v>708.827759016085</v>
      </c>
      <c r="B239" s="94">
        <v>710.61097475881206</v>
      </c>
      <c r="C239" s="94">
        <v>707.68070783354995</v>
      </c>
      <c r="D239" s="94">
        <v>708.48863084037896</v>
      </c>
      <c r="E239" s="95">
        <v>6675037.2232900541</v>
      </c>
      <c r="F239" s="93" t="s">
        <v>267</v>
      </c>
      <c r="G239" s="25">
        <f t="shared" si="0"/>
        <v>4.7866424518883122E-4</v>
      </c>
      <c r="I239" s="94">
        <v>288.33848631740403</v>
      </c>
      <c r="J239" s="94">
        <v>292.73740979359798</v>
      </c>
      <c r="K239" s="94">
        <v>286.84563898385403</v>
      </c>
      <c r="L239" s="94">
        <v>287.48258717950199</v>
      </c>
      <c r="M239" s="95">
        <v>1085171.8843866235</v>
      </c>
      <c r="N239" s="93" t="s">
        <v>267</v>
      </c>
      <c r="O239" s="25">
        <f t="shared" si="1"/>
        <v>2.9772207990030886E-3</v>
      </c>
      <c r="Q239" s="96">
        <v>-1.4000000000000005E-2</v>
      </c>
      <c r="R239">
        <v>10</v>
      </c>
      <c r="T239" s="55">
        <f t="shared" si="5"/>
        <v>-1.7000000000000008E-2</v>
      </c>
      <c r="U239" s="1">
        <f t="shared" si="3"/>
        <v>14.076593492787289</v>
      </c>
    </row>
    <row r="240" spans="1:21" ht="15">
      <c r="A240" s="94">
        <v>708.88760516473906</v>
      </c>
      <c r="B240" s="94">
        <v>709.54591279993303</v>
      </c>
      <c r="C240" s="94">
        <v>705.62599006309608</v>
      </c>
      <c r="D240" s="94">
        <v>706.91268225915701</v>
      </c>
      <c r="E240" s="95">
        <v>4665094.1327256085</v>
      </c>
      <c r="F240" s="93" t="s">
        <v>268</v>
      </c>
      <c r="G240" s="25">
        <f t="shared" si="0"/>
        <v>2.7937296290547753E-3</v>
      </c>
      <c r="I240" s="94">
        <v>285.30303007251899</v>
      </c>
      <c r="J240" s="94">
        <v>287.788322313413</v>
      </c>
      <c r="K240" s="94">
        <v>282.77514192104098</v>
      </c>
      <c r="L240" s="94">
        <v>287.23377929057699</v>
      </c>
      <c r="M240" s="95">
        <v>1099480.286706106</v>
      </c>
      <c r="N240" s="93" t="s">
        <v>268</v>
      </c>
      <c r="O240" s="25">
        <f t="shared" si="1"/>
        <v>-6.7218738089462882E-3</v>
      </c>
      <c r="Q240" s="96">
        <v>-1.3000000000000005E-2</v>
      </c>
      <c r="R240">
        <v>9</v>
      </c>
      <c r="T240" s="55">
        <f t="shared" si="5"/>
        <v>-1.6000000000000007E-2</v>
      </c>
      <c r="U240" s="1">
        <f t="shared" si="3"/>
        <v>15.382178130030439</v>
      </c>
    </row>
    <row r="241" spans="1:21" ht="15">
      <c r="A241" s="94">
        <v>704.58865681975999</v>
      </c>
      <c r="B241" s="94">
        <v>707.64270552915468</v>
      </c>
      <c r="C241" s="94">
        <v>703.621144083187</v>
      </c>
      <c r="D241" s="94">
        <v>706.11473361043693</v>
      </c>
      <c r="E241" s="95">
        <v>4680742.7225691155</v>
      </c>
      <c r="F241" s="93" t="s">
        <v>269</v>
      </c>
      <c r="G241" s="25">
        <f t="shared" si="0"/>
        <v>-2.1612306301469486E-3</v>
      </c>
      <c r="I241" s="94">
        <v>288.14939232182098</v>
      </c>
      <c r="J241" s="94">
        <v>289.990570699866</v>
      </c>
      <c r="K241" s="94">
        <v>285.49779688796951</v>
      </c>
      <c r="L241" s="94">
        <v>288.06977379736497</v>
      </c>
      <c r="M241" s="95">
        <v>1023001.0701217158</v>
      </c>
      <c r="N241" s="93" t="s">
        <v>269</v>
      </c>
      <c r="O241" s="25">
        <f t="shared" si="1"/>
        <v>2.7638624978409965E-4</v>
      </c>
      <c r="Q241" s="96">
        <v>-1.2000000000000004E-2</v>
      </c>
      <c r="R241">
        <v>12</v>
      </c>
      <c r="T241" s="55">
        <f t="shared" si="5"/>
        <v>-1.5000000000000006E-2</v>
      </c>
      <c r="U241" s="1">
        <f t="shared" si="3"/>
        <v>16.715325211375148</v>
      </c>
    </row>
    <row r="242" spans="1:21" ht="15">
      <c r="A242" s="94">
        <v>705.78557979284005</v>
      </c>
      <c r="B242" s="94">
        <v>712.32875871234398</v>
      </c>
      <c r="C242" s="94">
        <v>705.50629776578808</v>
      </c>
      <c r="D242" s="94">
        <v>711.31137418522599</v>
      </c>
      <c r="E242" s="95">
        <v>5200806.9451800352</v>
      </c>
      <c r="F242" s="93" t="s">
        <v>270</v>
      </c>
      <c r="G242" s="25">
        <f t="shared" si="0"/>
        <v>-7.7684606108197052E-3</v>
      </c>
      <c r="I242" s="94">
        <v>284.75565271688401</v>
      </c>
      <c r="J242" s="94">
        <v>289.10481461529298</v>
      </c>
      <c r="K242" s="94">
        <v>283.03390212552296</v>
      </c>
      <c r="L242" s="94">
        <v>285.43241017476004</v>
      </c>
      <c r="M242" s="95">
        <v>1286791.8850294552</v>
      </c>
      <c r="N242" s="93" t="s">
        <v>270</v>
      </c>
      <c r="O242" s="25">
        <f t="shared" si="1"/>
        <v>-2.3709902370990799E-3</v>
      </c>
      <c r="Q242" s="96">
        <v>-1.1000000000000003E-2</v>
      </c>
      <c r="R242">
        <v>22</v>
      </c>
      <c r="T242" s="55">
        <f t="shared" si="5"/>
        <v>-1.4000000000000005E-2</v>
      </c>
      <c r="U242" s="1">
        <f t="shared" si="3"/>
        <v>18.062944686405629</v>
      </c>
    </row>
    <row r="243" spans="1:21" ht="15">
      <c r="A243" s="94">
        <v>707.16204121188207</v>
      </c>
      <c r="B243" s="94">
        <v>709.08539668604055</v>
      </c>
      <c r="C243" s="94">
        <v>697.27745232586301</v>
      </c>
      <c r="D243" s="94">
        <v>697.36722154884399</v>
      </c>
      <c r="E243" s="95">
        <v>6527590.6302433321</v>
      </c>
      <c r="F243" s="93" t="s">
        <v>271</v>
      </c>
      <c r="G243" s="25">
        <f t="shared" si="0"/>
        <v>1.4045425939699152E-2</v>
      </c>
      <c r="I243" s="94">
        <v>283.93956284121003</v>
      </c>
      <c r="J243" s="94">
        <v>285.00446060580902</v>
      </c>
      <c r="K243" s="94">
        <v>275.45023767108898</v>
      </c>
      <c r="L243" s="94">
        <v>278.35631381373298</v>
      </c>
      <c r="M243" s="95">
        <v>1594600.5098117893</v>
      </c>
      <c r="N243" s="93" t="s">
        <v>271</v>
      </c>
      <c r="O243" s="25">
        <f t="shared" si="1"/>
        <v>2.005792126997763E-2</v>
      </c>
      <c r="Q243" s="96">
        <v>-1.0000000000000002E-2</v>
      </c>
      <c r="R243">
        <v>14</v>
      </c>
      <c r="T243" s="55">
        <f t="shared" si="5"/>
        <v>-1.3000000000000005E-2</v>
      </c>
      <c r="U243" s="1">
        <f t="shared" si="3"/>
        <v>19.410601809384453</v>
      </c>
    </row>
    <row r="244" spans="1:21" ht="15">
      <c r="A244" s="94">
        <v>694.61429871075995</v>
      </c>
      <c r="B244" s="94">
        <v>695.52196529867899</v>
      </c>
      <c r="C244" s="94">
        <v>686.84427374384904</v>
      </c>
      <c r="D244" s="94">
        <v>687.06370962224707</v>
      </c>
      <c r="E244" s="95">
        <v>7262939.5601541065</v>
      </c>
      <c r="F244" s="93" t="s">
        <v>272</v>
      </c>
      <c r="G244" s="25">
        <f t="shared" si="0"/>
        <v>1.09896491151662E-2</v>
      </c>
      <c r="I244" s="94">
        <v>276.53504006680203</v>
      </c>
      <c r="J244" s="94">
        <v>280.15758340639445</v>
      </c>
      <c r="K244" s="94">
        <v>273.40006066634697</v>
      </c>
      <c r="L244" s="94">
        <v>275.67914092889998</v>
      </c>
      <c r="M244" s="95">
        <v>3390034.9338571522</v>
      </c>
      <c r="N244" s="93" t="s">
        <v>272</v>
      </c>
      <c r="O244" s="25">
        <f t="shared" si="1"/>
        <v>3.1046931407943124E-3</v>
      </c>
      <c r="Q244" s="96">
        <v>-9.0000000000000011E-3</v>
      </c>
      <c r="R244">
        <v>21</v>
      </c>
      <c r="T244" s="55">
        <f t="shared" si="5"/>
        <v>-1.2000000000000004E-2</v>
      </c>
      <c r="U244" s="1">
        <f t="shared" si="3"/>
        <v>20.742742505904207</v>
      </c>
    </row>
    <row r="245" spans="1:21" ht="15">
      <c r="A245" s="94">
        <v>684.88929955448498</v>
      </c>
      <c r="B245" s="94">
        <v>686.58494043301505</v>
      </c>
      <c r="C245" s="94">
        <v>676.32132593885399</v>
      </c>
      <c r="D245" s="94">
        <v>682.74481256105003</v>
      </c>
      <c r="E245" s="95">
        <v>7681264.3957377691</v>
      </c>
      <c r="F245" s="93" t="s">
        <v>273</v>
      </c>
      <c r="G245" s="25">
        <f t="shared" si="0"/>
        <v>3.1409788166543162E-3</v>
      </c>
      <c r="I245" s="94">
        <v>275.73885482224199</v>
      </c>
      <c r="J245" s="94">
        <v>278.19707676482096</v>
      </c>
      <c r="K245" s="94">
        <v>268.88170940346902</v>
      </c>
      <c r="L245" s="94">
        <v>271.688262390543</v>
      </c>
      <c r="M245" s="95">
        <v>2291542.0161651936</v>
      </c>
      <c r="N245" s="93" t="s">
        <v>273</v>
      </c>
      <c r="O245" s="25">
        <f t="shared" si="1"/>
        <v>1.4908971024579554E-2</v>
      </c>
      <c r="Q245" s="96">
        <v>-8.0000000000000002E-3</v>
      </c>
      <c r="R245">
        <v>27</v>
      </c>
      <c r="T245" s="55">
        <f t="shared" si="5"/>
        <v>-1.1000000000000003E-2</v>
      </c>
      <c r="U245" s="1">
        <f t="shared" si="3"/>
        <v>22.042968445161385</v>
      </c>
    </row>
    <row r="246" spans="1:21" ht="15">
      <c r="A246" s="94">
        <v>680.04176151351101</v>
      </c>
      <c r="B246" s="94">
        <v>680.68640427809567</v>
      </c>
      <c r="C246" s="94">
        <v>673.47863387778898</v>
      </c>
      <c r="D246" s="94">
        <v>674.80522350628598</v>
      </c>
      <c r="E246" s="95">
        <v>6024552.5603075176</v>
      </c>
      <c r="F246" s="93" t="s">
        <v>274</v>
      </c>
      <c r="G246" s="25">
        <f t="shared" si="0"/>
        <v>7.7600733142164646E-3</v>
      </c>
      <c r="I246" s="94">
        <v>270.60345999482996</v>
      </c>
      <c r="J246" s="94">
        <v>280.65529870739999</v>
      </c>
      <c r="K246" s="94">
        <v>261.42742505127603</v>
      </c>
      <c r="L246" s="94">
        <v>276.69427711571399</v>
      </c>
      <c r="M246" s="95">
        <v>4058166.9067549645</v>
      </c>
      <c r="N246" s="93" t="s">
        <v>274</v>
      </c>
      <c r="O246" s="25">
        <f t="shared" si="1"/>
        <v>-2.2012804834184663E-2</v>
      </c>
      <c r="Q246" s="96">
        <v>-7.0000000000000001E-3</v>
      </c>
      <c r="R246">
        <v>17</v>
      </c>
      <c r="T246" s="55">
        <f t="shared" si="5"/>
        <v>-1.0000000000000002E-2</v>
      </c>
      <c r="U246" s="1">
        <f t="shared" si="3"/>
        <v>23.294356025542758</v>
      </c>
    </row>
    <row r="247" spans="1:21" ht="15">
      <c r="A247" s="94">
        <v>668.91037786386698</v>
      </c>
      <c r="B247" s="94">
        <v>680.87960759466705</v>
      </c>
      <c r="C247" s="94">
        <v>668.43659585368948</v>
      </c>
      <c r="D247" s="94">
        <v>678.37604370930796</v>
      </c>
      <c r="E247" s="95">
        <v>7865612.4309602929</v>
      </c>
      <c r="F247" s="93" t="s">
        <v>275</v>
      </c>
      <c r="G247" s="25">
        <f t="shared" si="0"/>
        <v>-1.3953419984708559E-2</v>
      </c>
      <c r="I247" s="94">
        <v>296.111244767421</v>
      </c>
      <c r="J247" s="94">
        <v>306.86332840258149</v>
      </c>
      <c r="K247" s="94">
        <v>293.59330893150002</v>
      </c>
      <c r="L247" s="94">
        <v>305.655515386584</v>
      </c>
      <c r="M247" s="95">
        <v>1267409.019916791</v>
      </c>
      <c r="N247" s="93" t="s">
        <v>275</v>
      </c>
      <c r="O247" s="25">
        <f t="shared" si="1"/>
        <v>-3.1225579578015084E-2</v>
      </c>
      <c r="Q247" s="96">
        <v>-6.0000000000000001E-3</v>
      </c>
      <c r="R247">
        <v>24</v>
      </c>
      <c r="T247" s="55">
        <f t="shared" si="5"/>
        <v>-9.0000000000000011E-3</v>
      </c>
      <c r="U247" s="1">
        <f t="shared" si="3"/>
        <v>24.479811304413829</v>
      </c>
    </row>
    <row r="248" spans="1:21" ht="15">
      <c r="A248" s="94">
        <v>679.21388979046401</v>
      </c>
      <c r="B248" s="94">
        <v>681.00428707102947</v>
      </c>
      <c r="C248" s="94">
        <v>674.74547710121305</v>
      </c>
      <c r="D248" s="94">
        <v>677.70776171600505</v>
      </c>
      <c r="E248" s="95">
        <v>5033988.0650258698</v>
      </c>
      <c r="F248" s="93" t="s">
        <v>276</v>
      </c>
      <c r="G248" s="25">
        <f t="shared" si="0"/>
        <v>2.2223857531826763E-3</v>
      </c>
      <c r="I248" s="94">
        <v>303.74467079964001</v>
      </c>
      <c r="J248" s="94">
        <v>307.41707524017301</v>
      </c>
      <c r="K248" s="94">
        <v>301.08471542072061</v>
      </c>
      <c r="L248" s="94">
        <v>305.25742276430401</v>
      </c>
      <c r="M248" s="95">
        <v>1635896.4008681101</v>
      </c>
      <c r="N248" s="93" t="s">
        <v>276</v>
      </c>
      <c r="O248" s="25">
        <f t="shared" si="1"/>
        <v>-4.9556598852373845E-3</v>
      </c>
      <c r="Q248" s="96">
        <v>-5.0000000000000001E-3</v>
      </c>
      <c r="R248">
        <v>20</v>
      </c>
      <c r="T248" s="55">
        <f t="shared" si="5"/>
        <v>-8.0000000000000002E-3</v>
      </c>
      <c r="U248" s="1">
        <f t="shared" si="3"/>
        <v>25.58245094224359</v>
      </c>
    </row>
    <row r="249" spans="1:21" ht="15">
      <c r="A249" s="94">
        <v>677.56812070247895</v>
      </c>
      <c r="B249" s="94">
        <v>683.4820173688862</v>
      </c>
      <c r="C249" s="94">
        <v>674.66059531370547</v>
      </c>
      <c r="D249" s="94">
        <v>682.93432536512103</v>
      </c>
      <c r="E249" s="95">
        <v>5221145.8172942158</v>
      </c>
      <c r="F249" s="93" t="s">
        <v>277</v>
      </c>
      <c r="G249" s="25">
        <f t="shared" si="0"/>
        <v>-7.8575705793864081E-3</v>
      </c>
      <c r="I249" s="94">
        <v>302.03287252383603</v>
      </c>
      <c r="J249" s="94">
        <v>304.84937782646699</v>
      </c>
      <c r="K249" s="94">
        <v>299.56469826569997</v>
      </c>
      <c r="L249" s="94">
        <v>299.56469826569997</v>
      </c>
      <c r="M249" s="95">
        <v>1202026.5761756133</v>
      </c>
      <c r="N249" s="93" t="s">
        <v>277</v>
      </c>
      <c r="O249" s="25">
        <f t="shared" si="1"/>
        <v>8.2392026578075317E-3</v>
      </c>
      <c r="Q249" s="96">
        <v>-4.0000000000000001E-3</v>
      </c>
      <c r="R249">
        <v>18</v>
      </c>
      <c r="T249" s="55">
        <f t="shared" si="5"/>
        <v>-7.0000000000000001E-3</v>
      </c>
      <c r="U249" s="1">
        <f t="shared" si="3"/>
        <v>26.585997601369563</v>
      </c>
    </row>
    <row r="250" spans="1:21" ht="15">
      <c r="A250" s="94">
        <v>677.39855661462593</v>
      </c>
      <c r="B250" s="94">
        <v>681.79724854069491</v>
      </c>
      <c r="C250" s="94">
        <v>675.96224904693008</v>
      </c>
      <c r="D250" s="94">
        <v>677.05942843892001</v>
      </c>
      <c r="E250" s="95">
        <v>6302968.9782516705</v>
      </c>
      <c r="F250" s="93" t="s">
        <v>278</v>
      </c>
      <c r="G250" s="25">
        <f t="shared" si="0"/>
        <v>5.0088391278713118E-4</v>
      </c>
      <c r="I250" s="94">
        <v>298.77846533669697</v>
      </c>
      <c r="J250" s="94">
        <v>304.95885329759403</v>
      </c>
      <c r="K250" s="94">
        <v>297.82304304322497</v>
      </c>
      <c r="L250" s="94">
        <v>299.39550890123098</v>
      </c>
      <c r="M250" s="95">
        <v>1020153.9271791802</v>
      </c>
      <c r="N250" s="93" t="s">
        <v>278</v>
      </c>
      <c r="O250" s="25">
        <f t="shared" si="1"/>
        <v>-2.0609646644285107E-3</v>
      </c>
      <c r="Q250" s="96">
        <v>-3.0000000000000001E-3</v>
      </c>
      <c r="R250">
        <v>29</v>
      </c>
      <c r="T250" s="55">
        <f t="shared" si="5"/>
        <v>-6.0000000000000001E-3</v>
      </c>
      <c r="U250" s="1">
        <f t="shared" si="3"/>
        <v>27.475177043999917</v>
      </c>
    </row>
    <row r="251" spans="1:21" ht="15">
      <c r="A251" s="94">
        <v>676.86991563484901</v>
      </c>
      <c r="B251" s="94">
        <v>680.79931401188946</v>
      </c>
      <c r="C251" s="94">
        <v>674.02223639472948</v>
      </c>
      <c r="D251" s="94">
        <v>677.80750529709496</v>
      </c>
      <c r="E251" s="95">
        <v>4955511.6808369253</v>
      </c>
      <c r="F251" s="93" t="s">
        <v>279</v>
      </c>
      <c r="G251" s="25">
        <f t="shared" si="0"/>
        <v>-1.383268339342103E-3</v>
      </c>
      <c r="I251" s="94">
        <v>298.24104029661902</v>
      </c>
      <c r="J251" s="94">
        <v>302.49067903945797</v>
      </c>
      <c r="K251" s="94">
        <v>288.11953537515001</v>
      </c>
      <c r="L251" s="94">
        <v>288.11953537515001</v>
      </c>
      <c r="M251" s="95">
        <v>2038658.677651091</v>
      </c>
      <c r="N251" s="93" t="s">
        <v>279</v>
      </c>
      <c r="O251" s="25">
        <f t="shared" si="1"/>
        <v>3.5129533678756486E-2</v>
      </c>
      <c r="Q251" s="96">
        <v>-2E-3</v>
      </c>
      <c r="R251">
        <v>29</v>
      </c>
      <c r="T251" s="55">
        <f t="shared" si="5"/>
        <v>-5.0000000000000001E-3</v>
      </c>
      <c r="U251" s="1">
        <f t="shared" si="3"/>
        <v>28.236103496831369</v>
      </c>
    </row>
    <row r="252" spans="1:21" ht="15">
      <c r="A252" s="94">
        <v>685.26832516262698</v>
      </c>
      <c r="B252" s="94">
        <v>687.63224803445996</v>
      </c>
      <c r="C252" s="94">
        <v>684.26091499361803</v>
      </c>
      <c r="D252" s="94">
        <v>684.53022266256096</v>
      </c>
      <c r="E252" s="95">
        <v>3357712.487762053</v>
      </c>
      <c r="F252" s="93" t="s">
        <v>280</v>
      </c>
      <c r="G252" s="25">
        <f t="shared" ref="G252:G315" si="6">A252/D252-1</f>
        <v>1.0782613763860027E-3</v>
      </c>
      <c r="I252" s="94">
        <v>283.80023042341202</v>
      </c>
      <c r="J252" s="94">
        <v>284.51679714351599</v>
      </c>
      <c r="K252" s="94">
        <v>278.17717213370696</v>
      </c>
      <c r="L252" s="94">
        <v>280.65529870739999</v>
      </c>
      <c r="M252" s="95">
        <v>1172027.9722034943</v>
      </c>
      <c r="N252" s="93" t="s">
        <v>280</v>
      </c>
      <c r="O252" s="25">
        <f t="shared" ref="O252:O315" si="7">I252/L252-1</f>
        <v>1.1205673758865276E-2</v>
      </c>
      <c r="Q252" s="96">
        <v>-1E-3</v>
      </c>
      <c r="R252">
        <v>26</v>
      </c>
      <c r="T252" s="55">
        <f t="shared" si="5"/>
        <v>-4.0000000000000001E-3</v>
      </c>
      <c r="U252" s="1">
        <f t="shared" si="3"/>
        <v>28.856639750204661</v>
      </c>
    </row>
    <row r="253" spans="1:21" ht="15">
      <c r="A253" s="94">
        <v>686.10617124378302</v>
      </c>
      <c r="B253" s="94">
        <v>686.71959426748651</v>
      </c>
      <c r="C253" s="94">
        <v>682.27601772992693</v>
      </c>
      <c r="D253" s="94">
        <v>684.19109448685504</v>
      </c>
      <c r="E253" s="95">
        <v>4065141.6649472136</v>
      </c>
      <c r="F253" s="93" t="s">
        <v>281</v>
      </c>
      <c r="G253" s="25">
        <f t="shared" si="6"/>
        <v>2.7990378307456432E-3</v>
      </c>
      <c r="I253" s="94">
        <v>276.38575533344698</v>
      </c>
      <c r="J253" s="94">
        <v>279.86906577839699</v>
      </c>
      <c r="K253" s="94">
        <v>269.03099413682401</v>
      </c>
      <c r="L253" s="94">
        <v>273.847914866412</v>
      </c>
      <c r="M253" s="95">
        <v>1750032.0869297371</v>
      </c>
      <c r="N253" s="93" t="s">
        <v>281</v>
      </c>
      <c r="O253" s="25">
        <f t="shared" si="7"/>
        <v>9.2673353685128745E-3</v>
      </c>
      <c r="Q253" s="96">
        <v>0</v>
      </c>
      <c r="R253">
        <v>30</v>
      </c>
      <c r="T253" s="55">
        <f t="shared" si="5"/>
        <v>-3.0000000000000001E-3</v>
      </c>
      <c r="U253" s="1">
        <f t="shared" si="3"/>
        <v>29.326718967314321</v>
      </c>
    </row>
    <row r="254" spans="1:21" ht="15">
      <c r="A254" s="94">
        <v>680.46068455408908</v>
      </c>
      <c r="B254" s="94">
        <v>686.43532506138001</v>
      </c>
      <c r="C254" s="94">
        <v>679.82232563511309</v>
      </c>
      <c r="D254" s="94">
        <v>684.90924827070296</v>
      </c>
      <c r="E254" s="95">
        <v>5335666.9989599632</v>
      </c>
      <c r="F254" s="93" t="s">
        <v>282</v>
      </c>
      <c r="G254" s="25">
        <f t="shared" si="6"/>
        <v>-6.4951141013877001E-3</v>
      </c>
      <c r="I254" s="94">
        <v>279.21221295163502</v>
      </c>
      <c r="J254" s="94">
        <v>283.372280854461</v>
      </c>
      <c r="K254" s="94">
        <v>279.10273748050798</v>
      </c>
      <c r="L254" s="94">
        <v>282.35714466764699</v>
      </c>
      <c r="M254" s="95">
        <v>1404958.1202401982</v>
      </c>
      <c r="N254" s="93" t="s">
        <v>282</v>
      </c>
      <c r="O254" s="25">
        <f t="shared" si="7"/>
        <v>-1.1138134010080569E-2</v>
      </c>
      <c r="Q254" s="96">
        <v>1E-3</v>
      </c>
      <c r="R254">
        <v>33</v>
      </c>
      <c r="T254" s="55">
        <f>T255-0.001</f>
        <v>-2E-3</v>
      </c>
      <c r="U254" s="1">
        <f t="shared" si="3"/>
        <v>29.638616289878048</v>
      </c>
    </row>
    <row r="255" spans="1:21" ht="15">
      <c r="A255" s="94">
        <v>681.41822293255291</v>
      </c>
      <c r="B255" s="94">
        <v>685.10404748457177</v>
      </c>
      <c r="C255" s="94">
        <v>679.17399235802793</v>
      </c>
      <c r="D255" s="94">
        <v>680.37091533110799</v>
      </c>
      <c r="E255" s="95">
        <v>5642108.8555283593</v>
      </c>
      <c r="F255" s="93" t="s">
        <v>283</v>
      </c>
      <c r="G255" s="25">
        <f t="shared" si="6"/>
        <v>1.5393185949685861E-3</v>
      </c>
      <c r="I255" s="94">
        <v>280.66525102295697</v>
      </c>
      <c r="J255" s="94">
        <v>288.81619746413998</v>
      </c>
      <c r="K255" s="94">
        <v>280.16763524510696</v>
      </c>
      <c r="L255" s="94">
        <v>285.73097964147001</v>
      </c>
      <c r="M255" s="95">
        <v>1143780.2689037065</v>
      </c>
      <c r="N255" s="93" t="s">
        <v>283</v>
      </c>
      <c r="O255" s="25">
        <f t="shared" si="7"/>
        <v>-1.7729014280738586E-2</v>
      </c>
      <c r="Q255" s="96">
        <v>2E-3</v>
      </c>
      <c r="R255">
        <v>25</v>
      </c>
      <c r="T255" s="55">
        <f>T256-0.001</f>
        <v>-1E-3</v>
      </c>
      <c r="U255" s="1">
        <f t="shared" si="3"/>
        <v>29.787160003080363</v>
      </c>
    </row>
    <row r="256" spans="1:21" ht="15">
      <c r="A256" s="94">
        <v>688.37035053452598</v>
      </c>
      <c r="B256" s="94">
        <v>691.77160664969495</v>
      </c>
      <c r="C256" s="94">
        <v>685.66729948698696</v>
      </c>
      <c r="D256" s="94">
        <v>690.20563242658204</v>
      </c>
      <c r="E256" s="95">
        <v>4734752.0055839214</v>
      </c>
      <c r="F256" s="93" t="s">
        <v>284</v>
      </c>
      <c r="G256" s="25">
        <f t="shared" si="6"/>
        <v>-2.6590363883349788E-3</v>
      </c>
      <c r="I256" s="94">
        <v>283.07371138775102</v>
      </c>
      <c r="J256" s="94">
        <v>286.6266880416</v>
      </c>
      <c r="K256" s="94">
        <v>281.11310522302199</v>
      </c>
      <c r="L256" s="94">
        <v>285.571742592558</v>
      </c>
      <c r="M256" s="95">
        <v>1039769.805602839</v>
      </c>
      <c r="N256" s="93" t="s">
        <v>284</v>
      </c>
      <c r="O256" s="25">
        <f t="shared" si="7"/>
        <v>-8.747473339373979E-3</v>
      </c>
      <c r="Q256" s="96">
        <v>3.0000000000000001E-3</v>
      </c>
      <c r="R256">
        <v>29</v>
      </c>
      <c r="T256" s="55">
        <v>0</v>
      </c>
      <c r="U256" s="1">
        <f t="shared" si="3"/>
        <v>29.769874194044213</v>
      </c>
    </row>
    <row r="257" spans="1:21" ht="15">
      <c r="A257" s="94">
        <v>692.02096560242001</v>
      </c>
      <c r="B257" s="94">
        <v>692.71917067004995</v>
      </c>
      <c r="C257" s="94">
        <v>687.81178648042203</v>
      </c>
      <c r="D257" s="94">
        <v>691.49232462264297</v>
      </c>
      <c r="E257" s="95">
        <v>4120626.0035835658</v>
      </c>
      <c r="F257" s="93" t="s">
        <v>285</v>
      </c>
      <c r="G257" s="25">
        <f t="shared" si="6"/>
        <v>7.6449291041003065E-4</v>
      </c>
      <c r="I257" s="94">
        <v>285.45231480587398</v>
      </c>
      <c r="J257" s="94">
        <v>291.5779650312075</v>
      </c>
      <c r="K257" s="94">
        <v>284.66110571909246</v>
      </c>
      <c r="L257" s="94">
        <v>290.28914016657603</v>
      </c>
      <c r="M257" s="95">
        <v>987271.5978231919</v>
      </c>
      <c r="N257" s="93" t="s">
        <v>285</v>
      </c>
      <c r="O257" s="25">
        <f t="shared" si="7"/>
        <v>-1.6662095447065428E-2</v>
      </c>
      <c r="Q257" s="96">
        <v>4.0000000000000001E-3</v>
      </c>
      <c r="R257">
        <v>25</v>
      </c>
      <c r="T257" s="25">
        <f>T256+0.001</f>
        <v>1E-3</v>
      </c>
      <c r="U257" s="1">
        <f t="shared" si="3"/>
        <v>29.587047404867636</v>
      </c>
    </row>
    <row r="258" spans="1:21" ht="15">
      <c r="A258" s="94">
        <v>689.32788891299003</v>
      </c>
      <c r="B258" s="94">
        <v>690.62455546716001</v>
      </c>
      <c r="C258" s="94">
        <v>686.43532506138001</v>
      </c>
      <c r="D258" s="94">
        <v>688.44017104128909</v>
      </c>
      <c r="E258" s="95">
        <v>4581788.9784570597</v>
      </c>
      <c r="F258" s="93" t="s">
        <v>286</v>
      </c>
      <c r="G258" s="25">
        <f t="shared" si="6"/>
        <v>1.289462627316329E-3</v>
      </c>
      <c r="I258" s="94">
        <v>288.62710346855698</v>
      </c>
      <c r="J258" s="94">
        <v>293.32459641146102</v>
      </c>
      <c r="K258" s="94">
        <v>287.62201912045555</v>
      </c>
      <c r="L258" s="94">
        <v>288.51762799743</v>
      </c>
      <c r="M258" s="95">
        <v>1034542.9800764505</v>
      </c>
      <c r="N258" s="93" t="s">
        <v>286</v>
      </c>
      <c r="O258" s="25">
        <f t="shared" si="7"/>
        <v>3.7944118661603632E-4</v>
      </c>
      <c r="Q258" s="96">
        <v>5.0000000000000001E-3</v>
      </c>
      <c r="R258">
        <v>21</v>
      </c>
      <c r="T258" s="25">
        <f>T257+0.001</f>
        <v>2E-3</v>
      </c>
      <c r="U258" s="1">
        <f t="shared" si="3"/>
        <v>29.241724620066041</v>
      </c>
    </row>
    <row r="259" spans="1:21" ht="15">
      <c r="A259" s="94">
        <v>686.73455580464997</v>
      </c>
      <c r="B259" s="94">
        <v>691.18311952126408</v>
      </c>
      <c r="C259" s="94">
        <v>685.77701742618592</v>
      </c>
      <c r="D259" s="94">
        <v>689.82660681844004</v>
      </c>
      <c r="E259" s="95">
        <v>6604827.383584369</v>
      </c>
      <c r="F259" s="93" t="s">
        <v>287</v>
      </c>
      <c r="G259" s="25">
        <f t="shared" si="6"/>
        <v>-4.4823597455176944E-3</v>
      </c>
      <c r="I259" s="94">
        <v>287.313397815033</v>
      </c>
      <c r="J259" s="94">
        <v>292.04572386238647</v>
      </c>
      <c r="K259" s="94">
        <v>286.95511445498096</v>
      </c>
      <c r="L259" s="94">
        <v>290.68723278885597</v>
      </c>
      <c r="M259" s="95">
        <v>718933.72522412275</v>
      </c>
      <c r="N259" s="93" t="s">
        <v>287</v>
      </c>
      <c r="O259" s="25">
        <f t="shared" si="7"/>
        <v>-1.1606409202957968E-2</v>
      </c>
      <c r="Q259" s="96">
        <v>6.0000000000000001E-3</v>
      </c>
      <c r="R259">
        <v>24</v>
      </c>
      <c r="T259" s="25">
        <f>T258+0.001</f>
        <v>3.0000000000000001E-3</v>
      </c>
      <c r="U259" s="1">
        <f t="shared" si="3"/>
        <v>28.739622899345346</v>
      </c>
    </row>
    <row r="260" spans="1:21" ht="15">
      <c r="A260" s="94">
        <v>692.08081175107407</v>
      </c>
      <c r="B260" s="94">
        <v>692.54960658219704</v>
      </c>
      <c r="C260" s="94">
        <v>685.86678664916701</v>
      </c>
      <c r="D260" s="94">
        <v>689.47750428462496</v>
      </c>
      <c r="E260" s="95">
        <v>4678890.4153030142</v>
      </c>
      <c r="F260" s="93" t="s">
        <v>288</v>
      </c>
      <c r="G260" s="25">
        <f t="shared" si="6"/>
        <v>3.7757685352624026E-3</v>
      </c>
      <c r="I260" s="94">
        <v>289.38347945088896</v>
      </c>
      <c r="J260" s="94">
        <v>289.98061838430903</v>
      </c>
      <c r="K260" s="94">
        <v>286.7411396705055</v>
      </c>
      <c r="L260" s="94">
        <v>289.264051664205</v>
      </c>
      <c r="M260" s="95">
        <v>627201.55568314844</v>
      </c>
      <c r="N260" s="93" t="s">
        <v>288</v>
      </c>
      <c r="O260" s="25">
        <f t="shared" si="7"/>
        <v>4.1286771030435432E-4</v>
      </c>
      <c r="Q260" s="96">
        <v>7.0000000000000001E-3</v>
      </c>
      <c r="R260">
        <v>16</v>
      </c>
      <c r="T260" s="25">
        <f t="shared" ref="T260:T301" si="8">T259+0.001</f>
        <v>4.0000000000000001E-3</v>
      </c>
      <c r="U260" s="1">
        <f t="shared" si="3"/>
        <v>28.08897392223172</v>
      </c>
    </row>
    <row r="261" spans="1:21" ht="15">
      <c r="A261" s="94">
        <v>688.918940230521</v>
      </c>
      <c r="B261" s="94">
        <v>689.41386787988961</v>
      </c>
      <c r="C261" s="94">
        <v>683.53278685166094</v>
      </c>
      <c r="D261" s="94">
        <v>685.18853029775505</v>
      </c>
      <c r="E261" s="95">
        <v>6412322.7891014963</v>
      </c>
      <c r="F261" s="93" t="s">
        <v>289</v>
      </c>
      <c r="G261" s="25">
        <f t="shared" si="6"/>
        <v>5.4443554843874864E-3</v>
      </c>
      <c r="I261" s="94">
        <v>288.48777105075902</v>
      </c>
      <c r="J261" s="94">
        <v>293.52264749104529</v>
      </c>
      <c r="K261" s="94">
        <v>286.80582972162603</v>
      </c>
      <c r="L261" s="94">
        <v>290.87632678443896</v>
      </c>
      <c r="M261" s="95">
        <v>914552.91583857883</v>
      </c>
      <c r="N261" s="93" t="s">
        <v>289</v>
      </c>
      <c r="O261" s="25">
        <f t="shared" si="7"/>
        <v>-8.2115851780885096E-3</v>
      </c>
      <c r="Q261" s="96">
        <v>8.0000000000000002E-3</v>
      </c>
      <c r="R261">
        <v>20</v>
      </c>
      <c r="T261" s="25">
        <f t="shared" si="8"/>
        <v>5.0000000000000001E-3</v>
      </c>
      <c r="U261" s="1">
        <f t="shared" si="3"/>
        <v>27.300299504376074</v>
      </c>
    </row>
    <row r="262" spans="1:21" ht="15">
      <c r="A262" s="94">
        <v>683.50286377733403</v>
      </c>
      <c r="B262" s="94">
        <v>684.08137654765608</v>
      </c>
      <c r="C262" s="94">
        <v>677.98704374305703</v>
      </c>
      <c r="D262" s="94">
        <v>681.34840242579003</v>
      </c>
      <c r="E262" s="95">
        <v>4817716.278067112</v>
      </c>
      <c r="F262" s="93" t="s">
        <v>290</v>
      </c>
      <c r="G262" s="25">
        <f t="shared" si="6"/>
        <v>3.1620553359683612E-3</v>
      </c>
      <c r="I262" s="94">
        <v>292.04074770460801</v>
      </c>
      <c r="J262" s="94">
        <v>293.12555010032099</v>
      </c>
      <c r="K262" s="94">
        <v>289.33371787310404</v>
      </c>
      <c r="L262" s="94">
        <v>291.97108149570903</v>
      </c>
      <c r="M262" s="95">
        <v>1250413.2746521595</v>
      </c>
      <c r="N262" s="93" t="s">
        <v>290</v>
      </c>
      <c r="O262" s="25">
        <f t="shared" si="7"/>
        <v>2.3860653781904162E-4</v>
      </c>
      <c r="Q262" s="96">
        <v>9.0000000000000011E-3</v>
      </c>
      <c r="R262">
        <v>21</v>
      </c>
      <c r="T262" s="25">
        <f t="shared" si="8"/>
        <v>6.0000000000000001E-3</v>
      </c>
      <c r="U262" s="1">
        <f t="shared" si="3"/>
        <v>26.386128639351735</v>
      </c>
    </row>
    <row r="263" spans="1:21" ht="15">
      <c r="A263" s="94">
        <v>685.31819695317199</v>
      </c>
      <c r="B263" s="94">
        <v>688.47009411561601</v>
      </c>
      <c r="C263" s="94">
        <v>683.23255867258013</v>
      </c>
      <c r="D263" s="94">
        <v>687.81178648042203</v>
      </c>
      <c r="E263" s="95">
        <v>4828423.4676258704</v>
      </c>
      <c r="F263" s="93" t="s">
        <v>291</v>
      </c>
      <c r="G263" s="25">
        <f t="shared" si="6"/>
        <v>-3.6253951680733643E-3</v>
      </c>
      <c r="I263" s="94">
        <v>293.99140155377995</v>
      </c>
      <c r="J263" s="94">
        <v>303.04800871064998</v>
      </c>
      <c r="K263" s="94">
        <v>292.976265366966</v>
      </c>
      <c r="L263" s="94">
        <v>302.15230031052005</v>
      </c>
      <c r="M263" s="95">
        <v>1230201.4467767344</v>
      </c>
      <c r="N263" s="93" t="s">
        <v>291</v>
      </c>
      <c r="O263" s="25">
        <f t="shared" si="7"/>
        <v>-2.7009222661396937E-2</v>
      </c>
      <c r="Q263" s="96">
        <v>1.0000000000000002E-2</v>
      </c>
      <c r="R263">
        <v>18</v>
      </c>
      <c r="T263" s="25">
        <f t="shared" si="8"/>
        <v>7.0000000000000001E-3</v>
      </c>
      <c r="U263" s="1">
        <f t="shared" si="3"/>
        <v>25.360666695518582</v>
      </c>
    </row>
    <row r="264" spans="1:21" ht="15">
      <c r="A264" s="94">
        <v>688.84911972375801</v>
      </c>
      <c r="B264" s="94">
        <v>689.80167092316753</v>
      </c>
      <c r="C264" s="94">
        <v>685.23840208829995</v>
      </c>
      <c r="D264" s="94">
        <v>686.34555583839904</v>
      </c>
      <c r="E264" s="95">
        <v>5589993.0189683149</v>
      </c>
      <c r="F264" s="93" t="s">
        <v>292</v>
      </c>
      <c r="G264" s="25">
        <f t="shared" si="6"/>
        <v>3.6476726104837098E-3</v>
      </c>
      <c r="I264" s="94">
        <v>299.83341078573898</v>
      </c>
      <c r="J264" s="94">
        <v>301.37601969707401</v>
      </c>
      <c r="K264" s="94">
        <v>296.35010034078897</v>
      </c>
      <c r="L264" s="94">
        <v>300.37083582581698</v>
      </c>
      <c r="M264" s="95">
        <v>892329.75824944489</v>
      </c>
      <c r="N264" s="93" t="s">
        <v>292</v>
      </c>
      <c r="O264" s="25">
        <f t="shared" si="7"/>
        <v>-1.7892051290546718E-3</v>
      </c>
      <c r="Q264" s="96">
        <v>1.1000000000000003E-2</v>
      </c>
      <c r="R264">
        <v>13</v>
      </c>
      <c r="T264" s="25">
        <f t="shared" si="8"/>
        <v>8.0000000000000002E-3</v>
      </c>
      <c r="U264" s="1">
        <f t="shared" si="3"/>
        <v>24.239428961031564</v>
      </c>
    </row>
    <row r="265" spans="1:21" ht="15">
      <c r="A265" s="94">
        <v>683.08394073675606</v>
      </c>
      <c r="B265" s="94">
        <v>688.72942742645</v>
      </c>
      <c r="C265" s="94">
        <v>678.47080011134358</v>
      </c>
      <c r="D265" s="94">
        <v>685.21845337208197</v>
      </c>
      <c r="E265" s="95">
        <v>6998762.9653091291</v>
      </c>
      <c r="F265" s="93" t="s">
        <v>293</v>
      </c>
      <c r="G265" s="25">
        <f t="shared" si="6"/>
        <v>-3.1150834085416079E-3</v>
      </c>
      <c r="I265" s="94">
        <v>300.62959603029901</v>
      </c>
      <c r="J265" s="94">
        <v>301.65468453267005</v>
      </c>
      <c r="K265" s="94">
        <v>295.01350436148391</v>
      </c>
      <c r="L265" s="94">
        <v>295.81267530071102</v>
      </c>
      <c r="M265" s="95">
        <v>1422255.5843342617</v>
      </c>
      <c r="N265" s="93" t="s">
        <v>293</v>
      </c>
      <c r="O265" s="25">
        <f t="shared" si="7"/>
        <v>1.6283686034384015E-2</v>
      </c>
      <c r="Q265" s="96">
        <v>1.2000000000000004E-2</v>
      </c>
      <c r="R265">
        <v>13</v>
      </c>
      <c r="T265" s="25">
        <f t="shared" si="8"/>
        <v>9.0000000000000011E-3</v>
      </c>
      <c r="U265" s="1">
        <f t="shared" si="3"/>
        <v>23.038851717423722</v>
      </c>
    </row>
    <row r="266" spans="1:21" ht="15">
      <c r="A266" s="94">
        <v>683.70235093951408</v>
      </c>
      <c r="B266" s="94">
        <v>687.06370962224707</v>
      </c>
      <c r="C266" s="94">
        <v>680.55045377706995</v>
      </c>
      <c r="D266" s="94">
        <v>682.97422279755699</v>
      </c>
      <c r="E266" s="95">
        <v>8650055.3813231848</v>
      </c>
      <c r="F266" s="93" t="s">
        <v>294</v>
      </c>
      <c r="G266" s="25">
        <f t="shared" si="6"/>
        <v>1.0661136506362467E-3</v>
      </c>
      <c r="I266" s="94">
        <v>290.83651752221101</v>
      </c>
      <c r="J266" s="94">
        <v>294.93687153169503</v>
      </c>
      <c r="K266" s="94">
        <v>290.53794805550098</v>
      </c>
      <c r="L266" s="94">
        <v>292.58812506024299</v>
      </c>
      <c r="M266" s="95">
        <v>1903846.9294387547</v>
      </c>
      <c r="N266" s="93" t="s">
        <v>294</v>
      </c>
      <c r="O266" s="25">
        <f t="shared" si="7"/>
        <v>-5.98659818361158E-3</v>
      </c>
      <c r="Q266" s="96">
        <v>1.3000000000000005E-2</v>
      </c>
      <c r="R266">
        <v>11</v>
      </c>
      <c r="T266" s="25">
        <f t="shared" si="8"/>
        <v>1.0000000000000002E-2</v>
      </c>
      <c r="U266" s="1">
        <f t="shared" si="3"/>
        <v>21.775894402667053</v>
      </c>
    </row>
    <row r="267" spans="1:21" ht="15">
      <c r="A267" s="94">
        <v>685.04888928422895</v>
      </c>
      <c r="B267" s="94">
        <v>685.76604563226613</v>
      </c>
      <c r="C267" s="94">
        <v>679.24381286479104</v>
      </c>
      <c r="D267" s="94">
        <v>679.57296668238803</v>
      </c>
      <c r="E267" s="95">
        <v>9879044.6329662669</v>
      </c>
      <c r="F267" s="93" t="s">
        <v>295</v>
      </c>
      <c r="G267" s="25">
        <f t="shared" si="6"/>
        <v>8.0578876298948998E-3</v>
      </c>
      <c r="I267" s="94">
        <v>289.20433777086299</v>
      </c>
      <c r="J267" s="94">
        <v>290.36875869103199</v>
      </c>
      <c r="K267" s="94">
        <v>286.6266880416</v>
      </c>
      <c r="L267" s="94">
        <v>289.20433777086299</v>
      </c>
      <c r="M267" s="95">
        <v>2207562.5791976685</v>
      </c>
      <c r="N267" s="93" t="s">
        <v>295</v>
      </c>
      <c r="O267" s="25">
        <f t="shared" si="7"/>
        <v>0</v>
      </c>
      <c r="Q267" s="96">
        <v>1.4000000000000005E-2</v>
      </c>
      <c r="R267">
        <v>8</v>
      </c>
      <c r="T267" s="25">
        <f t="shared" si="8"/>
        <v>1.1000000000000003E-2</v>
      </c>
      <c r="U267" s="1">
        <f t="shared" si="3"/>
        <v>20.467646201479173</v>
      </c>
    </row>
    <row r="268" spans="1:21" ht="15">
      <c r="A268" s="94">
        <v>679.26376158100902</v>
      </c>
      <c r="B268" s="94">
        <v>679.81733845605856</v>
      </c>
      <c r="C268" s="94">
        <v>671.20448022893697</v>
      </c>
      <c r="D268" s="94">
        <v>675.27401833740896</v>
      </c>
      <c r="E268" s="95">
        <v>5663751.7172183972</v>
      </c>
      <c r="F268" s="93" t="s">
        <v>296</v>
      </c>
      <c r="G268" s="25">
        <f t="shared" si="6"/>
        <v>5.9083322255211179E-3</v>
      </c>
      <c r="I268" s="94">
        <v>288.00010758846599</v>
      </c>
      <c r="J268" s="94">
        <v>291.72724976456249</v>
      </c>
      <c r="K268" s="94">
        <v>285.87031205926803</v>
      </c>
      <c r="L268" s="94">
        <v>289.48300260645902</v>
      </c>
      <c r="M268" s="95">
        <v>1295899.0968618058</v>
      </c>
      <c r="N268" s="93" t="s">
        <v>296</v>
      </c>
      <c r="O268" s="25">
        <f t="shared" si="7"/>
        <v>-5.1225633444494933E-3</v>
      </c>
      <c r="Q268" s="96">
        <v>1.5000000000000006E-2</v>
      </c>
      <c r="R268">
        <v>10</v>
      </c>
      <c r="T268" s="25">
        <f t="shared" si="8"/>
        <v>1.2000000000000004E-2</v>
      </c>
      <c r="U268" s="1">
        <f t="shared" si="3"/>
        <v>19.130949609747812</v>
      </c>
    </row>
    <row r="269" spans="1:21" ht="15">
      <c r="A269" s="94">
        <v>668.54132661383403</v>
      </c>
      <c r="B269" s="94">
        <v>675.21915936780954</v>
      </c>
      <c r="C269" s="94">
        <v>666.38686526229003</v>
      </c>
      <c r="D269" s="94">
        <v>668.24209587056407</v>
      </c>
      <c r="E269" s="95">
        <v>5950907.8819259387</v>
      </c>
      <c r="F269" s="93" t="s">
        <v>297</v>
      </c>
      <c r="G269" s="25">
        <f t="shared" si="6"/>
        <v>4.4778792763744413E-4</v>
      </c>
      <c r="I269" s="94">
        <v>289.86119059762501</v>
      </c>
      <c r="J269" s="94">
        <v>295.20558405173398</v>
      </c>
      <c r="K269" s="94">
        <v>287.32335013058997</v>
      </c>
      <c r="L269" s="94">
        <v>288.77638820191203</v>
      </c>
      <c r="M269" s="95">
        <v>2130265.5247992151</v>
      </c>
      <c r="N269" s="93" t="s">
        <v>297</v>
      </c>
      <c r="O269" s="25">
        <f t="shared" si="7"/>
        <v>3.7565481113868149E-3</v>
      </c>
      <c r="Q269" s="96">
        <v>1.6000000000000007E-2</v>
      </c>
      <c r="R269">
        <v>7</v>
      </c>
      <c r="T269" s="25">
        <f t="shared" si="8"/>
        <v>1.3000000000000005E-2</v>
      </c>
      <c r="U269" s="1">
        <f t="shared" si="3"/>
        <v>17.782052226235791</v>
      </c>
    </row>
    <row r="270" spans="1:21" ht="15">
      <c r="A270" s="94">
        <v>672.02018322258823</v>
      </c>
      <c r="B270" s="94">
        <v>677.81834762475421</v>
      </c>
      <c r="C270" s="94">
        <v>668.90727506156247</v>
      </c>
      <c r="D270" s="94">
        <v>677.42053188532611</v>
      </c>
      <c r="E270" s="95">
        <v>23415648.27321526</v>
      </c>
      <c r="F270" s="93" t="s">
        <v>298</v>
      </c>
      <c r="G270" s="25">
        <f t="shared" si="6"/>
        <v>-7.9719294124555029E-3</v>
      </c>
      <c r="I270" s="94">
        <v>287.14420845056395</v>
      </c>
      <c r="J270" s="94">
        <v>292.71252900470552</v>
      </c>
      <c r="K270" s="94">
        <v>285.13384070805</v>
      </c>
      <c r="L270" s="94">
        <v>287.28354086836202</v>
      </c>
      <c r="M270" s="95">
        <v>1436975.126551446</v>
      </c>
      <c r="N270" s="93" t="s">
        <v>298</v>
      </c>
      <c r="O270" s="25">
        <f t="shared" si="7"/>
        <v>-4.8499965357196029E-4</v>
      </c>
      <c r="Q270" s="96">
        <v>1.7000000000000008E-2</v>
      </c>
      <c r="R270">
        <v>7</v>
      </c>
      <c r="T270" s="25">
        <f t="shared" si="8"/>
        <v>1.4000000000000005E-2</v>
      </c>
      <c r="U270" s="1">
        <f t="shared" si="3"/>
        <v>16.436296317045745</v>
      </c>
    </row>
    <row r="271" spans="1:21" ht="15">
      <c r="A271" s="94">
        <v>672.00029243561676</v>
      </c>
      <c r="B271" s="94">
        <v>678.34545347949677</v>
      </c>
      <c r="C271" s="94">
        <v>670.00126834498997</v>
      </c>
      <c r="D271" s="94">
        <v>673.97942573927207</v>
      </c>
      <c r="E271" s="95">
        <v>9618278.8695581611</v>
      </c>
      <c r="F271" s="93" t="s">
        <v>299</v>
      </c>
      <c r="G271" s="25">
        <f t="shared" si="6"/>
        <v>-2.9364891984416941E-3</v>
      </c>
      <c r="I271" s="94">
        <v>285.90016900593901</v>
      </c>
      <c r="J271" s="94">
        <v>294.67313516943449</v>
      </c>
      <c r="K271" s="94">
        <v>285.74093195702699</v>
      </c>
      <c r="L271" s="94">
        <v>293.49378577592995</v>
      </c>
      <c r="M271" s="95">
        <v>2308129.2061567619</v>
      </c>
      <c r="N271" s="93" t="s">
        <v>299</v>
      </c>
      <c r="O271" s="25">
        <f t="shared" si="7"/>
        <v>-2.5873177348253451E-2</v>
      </c>
      <c r="Q271" s="96">
        <v>1.8000000000000009E-2</v>
      </c>
      <c r="R271">
        <v>8</v>
      </c>
      <c r="T271" s="25">
        <f t="shared" si="8"/>
        <v>1.5000000000000006E-2</v>
      </c>
      <c r="U271" s="1">
        <f t="shared" si="3"/>
        <v>15.107853682901061</v>
      </c>
    </row>
    <row r="272" spans="1:21" ht="15">
      <c r="A272" s="94">
        <v>672.64674301218759</v>
      </c>
      <c r="B272" s="94">
        <v>678.00611665376437</v>
      </c>
      <c r="C272" s="94">
        <v>671.33395107207446</v>
      </c>
      <c r="D272" s="94">
        <v>672.66166110241613</v>
      </c>
      <c r="E272" s="95">
        <v>17308363.329658005</v>
      </c>
      <c r="F272" s="93" t="s">
        <v>300</v>
      </c>
      <c r="G272" s="25">
        <f t="shared" si="6"/>
        <v>-2.2177702537873323E-5</v>
      </c>
      <c r="I272" s="94">
        <v>292.36917411798896</v>
      </c>
      <c r="J272" s="94">
        <v>292.87674221139599</v>
      </c>
      <c r="K272" s="94">
        <v>285.29307775696202</v>
      </c>
      <c r="L272" s="94">
        <v>287.20392234390596</v>
      </c>
      <c r="M272" s="95">
        <v>2353507.2238063682</v>
      </c>
      <c r="N272" s="93" t="s">
        <v>300</v>
      </c>
      <c r="O272" s="25">
        <f t="shared" si="7"/>
        <v>1.7984614318386605E-2</v>
      </c>
      <c r="Q272" s="96">
        <v>1.900000000000001E-2</v>
      </c>
      <c r="R272">
        <v>7</v>
      </c>
      <c r="T272" s="25">
        <f t="shared" si="8"/>
        <v>1.6000000000000007E-2</v>
      </c>
      <c r="U272" s="1">
        <f t="shared" si="3"/>
        <v>13.809511152511178</v>
      </c>
    </row>
    <row r="273" spans="1:21" ht="15">
      <c r="A273" s="94">
        <v>682.35344705423586</v>
      </c>
      <c r="B273" s="94">
        <v>687.72395953651665</v>
      </c>
      <c r="C273" s="94">
        <v>681.25945377080825</v>
      </c>
      <c r="D273" s="94">
        <v>685.40668285434731</v>
      </c>
      <c r="E273" s="95">
        <v>13399543.572563859</v>
      </c>
      <c r="F273" s="93" t="s">
        <v>301</v>
      </c>
      <c r="G273" s="25">
        <f t="shared" si="6"/>
        <v>-4.4546338349027437E-3</v>
      </c>
      <c r="I273" s="94">
        <v>284.46703556573101</v>
      </c>
      <c r="J273" s="94">
        <v>291.14503930447802</v>
      </c>
      <c r="K273" s="94">
        <v>281.06334364523701</v>
      </c>
      <c r="L273" s="94">
        <v>290.60761426440001</v>
      </c>
      <c r="M273" s="95">
        <v>2521538.2390431976</v>
      </c>
      <c r="N273" s="93" t="s">
        <v>301</v>
      </c>
      <c r="O273" s="25">
        <f t="shared" si="7"/>
        <v>-2.1130136986301395E-2</v>
      </c>
      <c r="Q273" s="96">
        <v>2.0000000000000011E-2</v>
      </c>
      <c r="R273">
        <v>2</v>
      </c>
      <c r="T273" s="25">
        <f t="shared" si="8"/>
        <v>1.7000000000000008E-2</v>
      </c>
      <c r="U273" s="1">
        <f t="shared" si="3"/>
        <v>12.55250974616871</v>
      </c>
    </row>
    <row r="274" spans="1:21" ht="15">
      <c r="A274" s="94">
        <v>684.35247114486265</v>
      </c>
      <c r="B274" s="94">
        <v>685.93378870908975</v>
      </c>
      <c r="C274" s="94">
        <v>681.95563131480776</v>
      </c>
      <c r="D274" s="94">
        <v>685.53597296966154</v>
      </c>
      <c r="E274" s="95">
        <v>17814551.382371638</v>
      </c>
      <c r="F274" s="93" t="s">
        <v>302</v>
      </c>
      <c r="G274" s="25">
        <f t="shared" si="6"/>
        <v>-1.7263890903814749E-3</v>
      </c>
      <c r="I274" s="94">
        <v>293.414167251474</v>
      </c>
      <c r="J274" s="94">
        <v>316.05727751413809</v>
      </c>
      <c r="K274" s="94">
        <v>290.26923553546203</v>
      </c>
      <c r="L274" s="94">
        <v>313.61736783218402</v>
      </c>
      <c r="M274" s="95">
        <v>2707041.0987974266</v>
      </c>
      <c r="N274" s="93" t="s">
        <v>302</v>
      </c>
      <c r="O274" s="25">
        <f t="shared" si="7"/>
        <v>-6.4419903528814437E-2</v>
      </c>
      <c r="Q274" s="96">
        <v>2.1000000000000012E-2</v>
      </c>
      <c r="R274">
        <v>9</v>
      </c>
      <c r="T274" s="25">
        <f t="shared" si="8"/>
        <v>1.8000000000000009E-2</v>
      </c>
      <c r="U274" s="1">
        <f t="shared" si="3"/>
        <v>11.346438316806447</v>
      </c>
    </row>
    <row r="275" spans="1:21" ht="15">
      <c r="A275" s="94">
        <v>677.68905750944009</v>
      </c>
      <c r="B275" s="94">
        <v>687.75379571697374</v>
      </c>
      <c r="C275" s="94">
        <v>675.92872286247029</v>
      </c>
      <c r="D275" s="94">
        <v>686.98800041857453</v>
      </c>
      <c r="E275" s="95">
        <v>15043100.550424442</v>
      </c>
      <c r="F275" s="93" t="s">
        <v>303</v>
      </c>
      <c r="G275" s="25">
        <f t="shared" si="6"/>
        <v>-1.3535815623371472E-2</v>
      </c>
      <c r="I275" s="94">
        <v>311.67666629856899</v>
      </c>
      <c r="J275" s="94">
        <v>317.00115512156395</v>
      </c>
      <c r="K275" s="94">
        <v>307.06655468625547</v>
      </c>
      <c r="L275" s="94">
        <v>307.18817198236201</v>
      </c>
      <c r="M275" s="95">
        <v>1495632.7861339336</v>
      </c>
      <c r="N275" s="93" t="s">
        <v>303</v>
      </c>
      <c r="O275" s="25">
        <f t="shared" si="7"/>
        <v>1.4611546685673549E-2</v>
      </c>
      <c r="Q275" s="96">
        <v>2.2000000000000013E-2</v>
      </c>
      <c r="R275">
        <v>5</v>
      </c>
      <c r="T275" s="25">
        <f t="shared" si="8"/>
        <v>1.900000000000001E-2</v>
      </c>
      <c r="U275" s="1">
        <f t="shared" si="3"/>
        <v>10.199180384684709</v>
      </c>
    </row>
    <row r="276" spans="1:21" ht="15">
      <c r="A276" s="94">
        <v>685.98351567651832</v>
      </c>
      <c r="B276" s="94">
        <v>690.77719533662821</v>
      </c>
      <c r="C276" s="94">
        <v>685.67520847846151</v>
      </c>
      <c r="D276" s="94">
        <v>690.04123621868609</v>
      </c>
      <c r="E276" s="95">
        <v>13356562.333800968</v>
      </c>
      <c r="F276" s="93" t="s">
        <v>304</v>
      </c>
      <c r="G276" s="25">
        <f t="shared" si="6"/>
        <v>-5.8804029805572533E-3</v>
      </c>
      <c r="I276" s="94">
        <v>308.96963646706496</v>
      </c>
      <c r="J276" s="94">
        <v>309.61653697827001</v>
      </c>
      <c r="K276" s="94">
        <v>301.26156806816846</v>
      </c>
      <c r="L276" s="94">
        <v>302.64991608837005</v>
      </c>
      <c r="M276" s="95">
        <v>1369172.9239248035</v>
      </c>
      <c r="N276" s="93" t="s">
        <v>304</v>
      </c>
      <c r="O276" s="25">
        <f t="shared" si="7"/>
        <v>2.0881289049654361E-2</v>
      </c>
      <c r="Q276" s="96">
        <v>2.3000000000000013E-2</v>
      </c>
      <c r="R276">
        <v>6</v>
      </c>
      <c r="T276" s="25">
        <f t="shared" si="8"/>
        <v>2.0000000000000011E-2</v>
      </c>
      <c r="U276" s="1">
        <f t="shared" ref="U276:U301" si="9">_xlfn.NORM.DIST(T276,$S$202,$S$204,FALSE)</f>
        <v>9.1169110242736391</v>
      </c>
    </row>
    <row r="277" spans="1:21" ht="15">
      <c r="A277" s="94">
        <v>690.04123621868609</v>
      </c>
      <c r="B277" s="94">
        <v>691.95075176794137</v>
      </c>
      <c r="C277" s="94">
        <v>687.48527009285976</v>
      </c>
      <c r="D277" s="94">
        <v>687.5250516668026</v>
      </c>
      <c r="E277" s="95">
        <v>14094112.851087499</v>
      </c>
      <c r="F277" s="93" t="s">
        <v>305</v>
      </c>
      <c r="G277" s="25">
        <f t="shared" si="6"/>
        <v>3.6597714451034324E-3</v>
      </c>
      <c r="I277" s="94">
        <v>302.71958229726903</v>
      </c>
      <c r="J277" s="94">
        <v>307.09860114234897</v>
      </c>
      <c r="K277" s="94">
        <v>298.92775007005201</v>
      </c>
      <c r="L277" s="94">
        <v>306.03370337774999</v>
      </c>
      <c r="M277" s="95">
        <v>1401438.4505915241</v>
      </c>
      <c r="N277" s="93" t="s">
        <v>305</v>
      </c>
      <c r="O277" s="25">
        <f t="shared" si="7"/>
        <v>-1.0829268292682825E-2</v>
      </c>
      <c r="Q277" s="96">
        <v>2.4000000000000014E-2</v>
      </c>
      <c r="R277">
        <v>3</v>
      </c>
      <c r="T277" s="25">
        <f t="shared" si="8"/>
        <v>2.1000000000000012E-2</v>
      </c>
      <c r="U277" s="1">
        <f t="shared" si="9"/>
        <v>8.104139105494724</v>
      </c>
    </row>
    <row r="278" spans="1:21" ht="15">
      <c r="A278" s="94">
        <v>678.22610875766827</v>
      </c>
      <c r="B278" s="94">
        <v>680.70121883445574</v>
      </c>
      <c r="C278" s="94">
        <v>672.11963715744514</v>
      </c>
      <c r="D278" s="94">
        <v>677.355886827669</v>
      </c>
      <c r="E278" s="95">
        <v>6330869.3153768443</v>
      </c>
      <c r="F278" s="93" t="s">
        <v>306</v>
      </c>
      <c r="G278" s="25">
        <f t="shared" si="6"/>
        <v>1.2847336930588149E-3</v>
      </c>
      <c r="I278" s="94">
        <v>306.32232052890299</v>
      </c>
      <c r="J278" s="94">
        <v>311.80604640081003</v>
      </c>
      <c r="K278" s="94">
        <v>304.54085604419998</v>
      </c>
      <c r="L278" s="94">
        <v>311.43781072520102</v>
      </c>
      <c r="M278" s="95">
        <v>872607.69800368184</v>
      </c>
      <c r="N278" s="93" t="s">
        <v>306</v>
      </c>
      <c r="O278" s="25">
        <f t="shared" si="7"/>
        <v>-1.6425398651455647E-2</v>
      </c>
      <c r="Q278" s="96">
        <v>2.5000000000000015E-2</v>
      </c>
      <c r="R278">
        <v>2</v>
      </c>
      <c r="T278" s="25">
        <f t="shared" si="8"/>
        <v>2.2000000000000013E-2</v>
      </c>
      <c r="U278" s="1">
        <f t="shared" si="9"/>
        <v>7.1637889820297227</v>
      </c>
    </row>
    <row r="279" spans="1:21" ht="15">
      <c r="A279" s="94">
        <v>674.52642238098588</v>
      </c>
      <c r="B279" s="94">
        <v>676.66468198041252</v>
      </c>
      <c r="C279" s="94">
        <v>662.36320614796841</v>
      </c>
      <c r="D279" s="94">
        <v>666.44081747710754</v>
      </c>
      <c r="E279" s="95">
        <v>19977996.368628435</v>
      </c>
      <c r="F279" s="93" t="s">
        <v>307</v>
      </c>
      <c r="G279" s="25">
        <f t="shared" si="6"/>
        <v>1.2132517534696241E-2</v>
      </c>
      <c r="I279" s="94">
        <v>310.68143474286899</v>
      </c>
      <c r="J279" s="94">
        <v>314.20953060782546</v>
      </c>
      <c r="K279" s="94">
        <v>302.36129893721699</v>
      </c>
      <c r="L279" s="94">
        <v>302.709629981712</v>
      </c>
      <c r="M279" s="95">
        <v>1107553.23410612</v>
      </c>
      <c r="N279" s="93" t="s">
        <v>307</v>
      </c>
      <c r="O279" s="25">
        <f t="shared" si="7"/>
        <v>2.6334823776959393E-2</v>
      </c>
      <c r="Q279" s="96">
        <v>2.6000000000000016E-2</v>
      </c>
      <c r="R279">
        <v>1</v>
      </c>
      <c r="T279" s="25">
        <f t="shared" si="8"/>
        <v>2.3000000000000013E-2</v>
      </c>
      <c r="U279" s="1">
        <f t="shared" si="9"/>
        <v>6.2973148800160512</v>
      </c>
    </row>
    <row r="280" spans="1:21" ht="15">
      <c r="A280" s="94">
        <v>663.40747246396734</v>
      </c>
      <c r="B280" s="94">
        <v>675.16790026081389</v>
      </c>
      <c r="C280" s="94">
        <v>663.23840077471039</v>
      </c>
      <c r="D280" s="94">
        <v>670.63280083133236</v>
      </c>
      <c r="E280" s="95">
        <v>16398150.973655067</v>
      </c>
      <c r="F280" s="93" t="s">
        <v>308</v>
      </c>
      <c r="G280" s="25">
        <f t="shared" si="6"/>
        <v>-1.0773896472716982E-2</v>
      </c>
      <c r="I280" s="94">
        <v>301.55516137709998</v>
      </c>
      <c r="J280" s="94">
        <v>308.52178226699999</v>
      </c>
      <c r="K280" s="94">
        <v>301.43573359041602</v>
      </c>
      <c r="L280" s="94">
        <v>307.92464333357998</v>
      </c>
      <c r="M280" s="95">
        <v>747016.58095747221</v>
      </c>
      <c r="N280" s="93" t="s">
        <v>308</v>
      </c>
      <c r="O280" s="25">
        <f t="shared" si="7"/>
        <v>-2.0685197155785429E-2</v>
      </c>
      <c r="Q280" s="96">
        <v>2.7000000000000017E-2</v>
      </c>
      <c r="R280">
        <v>6</v>
      </c>
      <c r="T280" s="25">
        <f t="shared" si="8"/>
        <v>2.4000000000000014E-2</v>
      </c>
      <c r="U280" s="1">
        <f t="shared" si="9"/>
        <v>5.5048407725195094</v>
      </c>
    </row>
    <row r="281" spans="1:21" ht="15">
      <c r="A281" s="94">
        <v>673.99931652624355</v>
      </c>
      <c r="B281" s="94">
        <v>683.00984302429242</v>
      </c>
      <c r="C281" s="94">
        <v>660.69247949630471</v>
      </c>
      <c r="D281" s="94">
        <v>679.97649801115233</v>
      </c>
      <c r="E281" s="95">
        <v>13859820.889854478</v>
      </c>
      <c r="F281" s="93" t="s">
        <v>309</v>
      </c>
      <c r="G281" s="25">
        <f t="shared" si="6"/>
        <v>-8.7902765792513549E-3</v>
      </c>
      <c r="I281" s="94">
        <v>306.70050852006904</v>
      </c>
      <c r="J281" s="94">
        <v>306.73036546674001</v>
      </c>
      <c r="K281" s="94">
        <v>300.798785394768</v>
      </c>
      <c r="L281" s="94">
        <v>301.91344473715202</v>
      </c>
      <c r="M281" s="95">
        <v>880909.67712871928</v>
      </c>
      <c r="N281" s="93" t="s">
        <v>309</v>
      </c>
      <c r="O281" s="25">
        <f t="shared" si="7"/>
        <v>1.585574894514763E-2</v>
      </c>
      <c r="Q281" s="96">
        <v>2.8000000000000018E-2</v>
      </c>
      <c r="R281">
        <v>2</v>
      </c>
      <c r="T281" s="25">
        <f t="shared" si="8"/>
        <v>2.5000000000000015E-2</v>
      </c>
      <c r="U281" s="1">
        <f t="shared" si="9"/>
        <v>4.7853184105338595</v>
      </c>
    </row>
    <row r="282" spans="1:21" ht="15">
      <c r="A282" s="94">
        <v>675.96850443641301</v>
      </c>
      <c r="B282" s="94">
        <v>681.5478701818937</v>
      </c>
      <c r="C282" s="94">
        <v>674.99385587481402</v>
      </c>
      <c r="D282" s="94">
        <v>679.73780856749545</v>
      </c>
      <c r="E282" s="95">
        <v>8792759.6476389263</v>
      </c>
      <c r="F282" s="93" t="s">
        <v>310</v>
      </c>
      <c r="G282" s="25">
        <f t="shared" si="6"/>
        <v>-5.5452324169315004E-3</v>
      </c>
      <c r="I282" s="94">
        <v>300.65945297697004</v>
      </c>
      <c r="J282" s="94">
        <v>307.23474881916877</v>
      </c>
      <c r="K282" s="94">
        <v>297.95739930324447</v>
      </c>
      <c r="L282" s="94">
        <v>305.05837645316399</v>
      </c>
      <c r="M282" s="95">
        <v>929425.32710330142</v>
      </c>
      <c r="N282" s="93" t="s">
        <v>310</v>
      </c>
      <c r="O282" s="25">
        <f t="shared" si="7"/>
        <v>-1.441993997129043E-2</v>
      </c>
      <c r="Q282" s="96">
        <v>2.9000000000000019E-2</v>
      </c>
      <c r="R282">
        <v>0</v>
      </c>
      <c r="T282" s="25">
        <f t="shared" si="8"/>
        <v>2.6000000000000016E-2</v>
      </c>
      <c r="U282" s="1">
        <f t="shared" si="9"/>
        <v>4.1366963853165002</v>
      </c>
    </row>
    <row r="283" spans="1:21" ht="15">
      <c r="A283" s="94">
        <v>674.29767833081462</v>
      </c>
      <c r="B283" s="94">
        <v>688.40024629354457</v>
      </c>
      <c r="C283" s="94">
        <v>672.55723447081618</v>
      </c>
      <c r="D283" s="94">
        <v>687.93281279971654</v>
      </c>
      <c r="E283" s="95">
        <v>10747916.965441236</v>
      </c>
      <c r="F283" s="93" t="s">
        <v>311</v>
      </c>
      <c r="G283" s="25">
        <f t="shared" si="6"/>
        <v>-1.9820444984169794E-2</v>
      </c>
      <c r="I283" s="94">
        <v>306.362129791131</v>
      </c>
      <c r="J283" s="94">
        <v>309.97482033832199</v>
      </c>
      <c r="K283" s="94">
        <v>304.98373408648649</v>
      </c>
      <c r="L283" s="94">
        <v>308.50187763588599</v>
      </c>
      <c r="M283" s="95">
        <v>704734.77321233612</v>
      </c>
      <c r="N283" s="93" t="s">
        <v>311</v>
      </c>
      <c r="O283" s="25">
        <f t="shared" si="7"/>
        <v>-6.9359313504097075E-3</v>
      </c>
      <c r="Q283" s="96">
        <v>3.000000000000002E-2</v>
      </c>
      <c r="R283">
        <v>1</v>
      </c>
      <c r="T283" s="25">
        <f t="shared" si="8"/>
        <v>2.7000000000000017E-2</v>
      </c>
      <c r="U283" s="1">
        <f t="shared" si="9"/>
        <v>3.5560935724676086</v>
      </c>
    </row>
    <row r="284" spans="1:21" ht="15">
      <c r="A284" s="94">
        <v>692.25905896599818</v>
      </c>
      <c r="B284" s="94">
        <v>693.39283382336873</v>
      </c>
      <c r="C284" s="94">
        <v>687.12723592737439</v>
      </c>
      <c r="D284" s="94">
        <v>687.71401414303102</v>
      </c>
      <c r="E284" s="95">
        <v>6610989.7924604565</v>
      </c>
      <c r="F284" s="93" t="s">
        <v>312</v>
      </c>
      <c r="G284" s="25">
        <f t="shared" si="6"/>
        <v>6.6089169763841049E-3</v>
      </c>
      <c r="I284" s="94">
        <v>307.05879187989603</v>
      </c>
      <c r="J284" s="94">
        <v>307.24216677981786</v>
      </c>
      <c r="K284" s="94">
        <v>303.61927348676795</v>
      </c>
      <c r="L284" s="94">
        <v>305.57196836701644</v>
      </c>
      <c r="M284" s="95">
        <v>891997.77280990023</v>
      </c>
      <c r="N284" s="93" t="s">
        <v>312</v>
      </c>
      <c r="O284" s="25">
        <f t="shared" si="7"/>
        <v>4.8657065005839328E-3</v>
      </c>
      <c r="Q284" s="96">
        <v>3.1000000000000021E-2</v>
      </c>
      <c r="R284">
        <v>0</v>
      </c>
      <c r="T284" s="25">
        <f t="shared" si="8"/>
        <v>2.8000000000000018E-2</v>
      </c>
      <c r="U284" s="1">
        <f t="shared" si="9"/>
        <v>3.039970999732541</v>
      </c>
    </row>
    <row r="285" spans="1:21" ht="15">
      <c r="A285" s="94">
        <v>689.57380272485784</v>
      </c>
      <c r="B285" s="94">
        <v>693.84027707629059</v>
      </c>
      <c r="C285" s="94">
        <v>689.06658765708687</v>
      </c>
      <c r="D285" s="94">
        <v>693.27348910154024</v>
      </c>
      <c r="E285" s="95">
        <v>5914876.338231544</v>
      </c>
      <c r="F285" s="93" t="s">
        <v>313</v>
      </c>
      <c r="G285" s="25">
        <f t="shared" si="6"/>
        <v>-5.336546737820691E-3</v>
      </c>
      <c r="I285" s="94">
        <v>300.78439665554413</v>
      </c>
      <c r="J285" s="94">
        <v>306.31736255480678</v>
      </c>
      <c r="K285" s="94">
        <v>298.84161393204812</v>
      </c>
      <c r="L285" s="94">
        <v>302.84612526007049</v>
      </c>
      <c r="M285" s="95">
        <v>926277.57895937911</v>
      </c>
      <c r="N285" s="93" t="s">
        <v>313</v>
      </c>
      <c r="O285" s="25">
        <f t="shared" si="7"/>
        <v>-6.8078421104309506E-3</v>
      </c>
      <c r="Q285" s="96">
        <v>3.2000000000000021E-2</v>
      </c>
      <c r="R285">
        <v>1</v>
      </c>
      <c r="T285" s="25">
        <f t="shared" si="8"/>
        <v>2.9000000000000019E-2</v>
      </c>
      <c r="U285" s="1">
        <f t="shared" si="9"/>
        <v>2.5842970282814357</v>
      </c>
    </row>
    <row r="286" spans="1:21" ht="15">
      <c r="A286" s="94">
        <v>694.44704553285339</v>
      </c>
      <c r="B286" s="94">
        <v>695.33218555308122</v>
      </c>
      <c r="C286" s="94">
        <v>691.98058794839847</v>
      </c>
      <c r="D286" s="94">
        <v>692.25905896599818</v>
      </c>
      <c r="E286" s="95">
        <v>4724193.7123484621</v>
      </c>
      <c r="F286" s="93" t="s">
        <v>314</v>
      </c>
      <c r="G286" s="25">
        <f t="shared" si="6"/>
        <v>3.1606470706548873E-3</v>
      </c>
      <c r="I286" s="94">
        <v>305.413373858976</v>
      </c>
      <c r="J286" s="94">
        <v>307.76255500932575</v>
      </c>
      <c r="K286" s="94">
        <v>304.47171896748557</v>
      </c>
      <c r="L286" s="94">
        <v>305.413373858976</v>
      </c>
      <c r="M286" s="95">
        <v>731168.87090689212</v>
      </c>
      <c r="N286" s="93" t="s">
        <v>314</v>
      </c>
      <c r="O286" s="25">
        <f t="shared" si="7"/>
        <v>0</v>
      </c>
      <c r="Q286" s="96">
        <v>3.3000000000000022E-2</v>
      </c>
      <c r="R286">
        <v>2</v>
      </c>
      <c r="T286" s="25">
        <f t="shared" si="8"/>
        <v>3.000000000000002E-2</v>
      </c>
      <c r="U286" s="1">
        <f t="shared" si="9"/>
        <v>2.1847016811459903</v>
      </c>
    </row>
    <row r="287" spans="1:21" ht="15">
      <c r="A287" s="94">
        <v>693.49228775822564</v>
      </c>
      <c r="B287" s="94">
        <v>695.24267701170982</v>
      </c>
      <c r="C287" s="94">
        <v>690.15063554702886</v>
      </c>
      <c r="D287" s="94">
        <v>690.747359156171</v>
      </c>
      <c r="E287" s="95">
        <v>10003458.272314427</v>
      </c>
      <c r="F287" s="93" t="s">
        <v>315</v>
      </c>
      <c r="G287" s="25">
        <f t="shared" si="6"/>
        <v>3.9738531977999703E-3</v>
      </c>
      <c r="I287" s="94">
        <v>306.87046090159799</v>
      </c>
      <c r="J287" s="94">
        <v>310.27717005587527</v>
      </c>
      <c r="K287" s="94">
        <v>304.83321532425038</v>
      </c>
      <c r="L287" s="94">
        <v>309.63099655717781</v>
      </c>
      <c r="M287" s="95">
        <v>1065099.2473766673</v>
      </c>
      <c r="N287" s="93" t="s">
        <v>315</v>
      </c>
      <c r="O287" s="25">
        <f t="shared" si="7"/>
        <v>-8.9155662264905899E-3</v>
      </c>
      <c r="Q287" s="96">
        <v>3.4000000000000023E-2</v>
      </c>
      <c r="R287">
        <v>0</v>
      </c>
      <c r="T287" s="25">
        <f t="shared" si="8"/>
        <v>3.1000000000000021E-2</v>
      </c>
      <c r="U287" s="1">
        <f t="shared" si="9"/>
        <v>1.8366169356797168</v>
      </c>
    </row>
    <row r="288" spans="1:21" ht="15">
      <c r="A288" s="94">
        <v>691.69217153731313</v>
      </c>
      <c r="B288" s="94">
        <v>693.19392595365457</v>
      </c>
      <c r="C288" s="94">
        <v>690.10090857960029</v>
      </c>
      <c r="D288" s="94">
        <v>691.20484725651352</v>
      </c>
      <c r="E288" s="95">
        <v>5066888.089891063</v>
      </c>
      <c r="F288" s="93" t="s">
        <v>316</v>
      </c>
      <c r="G288" s="25">
        <f t="shared" si="6"/>
        <v>7.0503597122306694E-4</v>
      </c>
      <c r="I288" s="94">
        <v>312.41135652626269</v>
      </c>
      <c r="J288" s="94">
        <v>312.52039025054052</v>
      </c>
      <c r="K288" s="94">
        <v>306.02792757763291</v>
      </c>
      <c r="L288" s="94">
        <v>311.83645143461592</v>
      </c>
      <c r="M288" s="95">
        <v>1718930.7506310267</v>
      </c>
      <c r="N288" s="93" t="s">
        <v>316</v>
      </c>
      <c r="O288" s="25">
        <f t="shared" si="7"/>
        <v>1.8436109345199014E-3</v>
      </c>
      <c r="Q288" s="96">
        <v>3.5000000000000024E-2</v>
      </c>
      <c r="R288">
        <v>0</v>
      </c>
      <c r="T288" s="25">
        <f t="shared" si="8"/>
        <v>3.2000000000000021E-2</v>
      </c>
      <c r="U288" s="1">
        <f t="shared" si="9"/>
        <v>1.5354007683998163</v>
      </c>
    </row>
    <row r="289" spans="1:21" ht="15">
      <c r="A289" s="94">
        <v>690.12079936657165</v>
      </c>
      <c r="B289" s="94">
        <v>690.49872431902838</v>
      </c>
      <c r="C289" s="94">
        <v>685.08843026280488</v>
      </c>
      <c r="D289" s="94">
        <v>685.99346107000395</v>
      </c>
      <c r="E289" s="95">
        <v>8491219.4834100865</v>
      </c>
      <c r="F289" s="93" t="s">
        <v>317</v>
      </c>
      <c r="G289" s="25">
        <f t="shared" si="6"/>
        <v>6.016585479007297E-3</v>
      </c>
      <c r="I289" s="94">
        <v>312.01487025616143</v>
      </c>
      <c r="J289" s="94">
        <v>312.6195118180658</v>
      </c>
      <c r="K289" s="94">
        <v>307.6584773634242</v>
      </c>
      <c r="L289" s="94">
        <v>307.6584773634242</v>
      </c>
      <c r="M289" s="95">
        <v>1505768.6120822644</v>
      </c>
      <c r="N289" s="93" t="s">
        <v>317</v>
      </c>
      <c r="O289" s="25">
        <f t="shared" si="7"/>
        <v>1.4159833754852746E-2</v>
      </c>
      <c r="Q289" s="96">
        <v>3.6000000000000025E-2</v>
      </c>
      <c r="R289">
        <v>3</v>
      </c>
      <c r="T289" s="25">
        <f t="shared" si="8"/>
        <v>3.3000000000000022E-2</v>
      </c>
      <c r="U289" s="1">
        <f t="shared" si="9"/>
        <v>1.2764436573732276</v>
      </c>
    </row>
    <row r="290" spans="1:21" ht="15">
      <c r="A290" s="94">
        <v>686.19236893971811</v>
      </c>
      <c r="B290" s="94">
        <v>687.00789120554589</v>
      </c>
      <c r="C290" s="94">
        <v>684.16350866863422</v>
      </c>
      <c r="D290" s="94">
        <v>686.59018467914632</v>
      </c>
      <c r="E290" s="95">
        <v>7375641.7633382827</v>
      </c>
      <c r="F290" s="93" t="s">
        <v>318</v>
      </c>
      <c r="G290" s="25">
        <f t="shared" si="6"/>
        <v>-5.7940784518217825E-4</v>
      </c>
      <c r="I290" s="94">
        <v>306.33520443696136</v>
      </c>
      <c r="J290" s="94">
        <v>309.9927902786452</v>
      </c>
      <c r="K290" s="94">
        <v>305.44311032923355</v>
      </c>
      <c r="L290" s="94">
        <v>308.29781147396238</v>
      </c>
      <c r="M290" s="95">
        <v>974090.5988532583</v>
      </c>
      <c r="N290" s="93" t="s">
        <v>318</v>
      </c>
      <c r="O290" s="25">
        <f t="shared" si="7"/>
        <v>-6.3659454071952615E-3</v>
      </c>
      <c r="Q290" s="96">
        <v>3.7000000000000026E-2</v>
      </c>
      <c r="R290">
        <v>0</v>
      </c>
      <c r="T290" s="25">
        <f t="shared" si="8"/>
        <v>3.4000000000000023E-2</v>
      </c>
      <c r="U290" s="1">
        <f t="shared" si="9"/>
        <v>1.0552570756407125</v>
      </c>
    </row>
    <row r="291" spans="1:21" ht="15">
      <c r="A291" s="94">
        <v>686.24209590714656</v>
      </c>
      <c r="B291" s="94">
        <v>687.73440219967665</v>
      </c>
      <c r="C291" s="94">
        <v>684.32263496440555</v>
      </c>
      <c r="D291" s="94">
        <v>685.88406174166118</v>
      </c>
      <c r="E291" s="95">
        <v>6639066.6588409934</v>
      </c>
      <c r="F291" s="93" t="s">
        <v>319</v>
      </c>
      <c r="G291" s="25">
        <f t="shared" si="6"/>
        <v>5.220039150293232E-4</v>
      </c>
      <c r="I291" s="94">
        <v>310.71637772157993</v>
      </c>
      <c r="J291" s="94">
        <v>311.72741771033805</v>
      </c>
      <c r="K291" s="94">
        <v>306.48537361176221</v>
      </c>
      <c r="L291" s="94">
        <v>311.08312752142353</v>
      </c>
      <c r="M291" s="95">
        <v>920432.81747644464</v>
      </c>
      <c r="N291" s="93" t="s">
        <v>319</v>
      </c>
      <c r="O291" s="25">
        <f t="shared" si="7"/>
        <v>-1.1789446851897534E-3</v>
      </c>
      <c r="Q291" s="96">
        <v>3.8000000000000027E-2</v>
      </c>
      <c r="R291">
        <v>0</v>
      </c>
      <c r="T291" s="25">
        <f t="shared" si="8"/>
        <v>3.5000000000000024E-2</v>
      </c>
      <c r="U291" s="1">
        <f t="shared" si="9"/>
        <v>0.86754422494934191</v>
      </c>
    </row>
    <row r="292" spans="1:21" ht="15">
      <c r="A292" s="94">
        <v>681.80645041252205</v>
      </c>
      <c r="B292" s="94">
        <v>684.81990463869079</v>
      </c>
      <c r="C292" s="94">
        <v>680.74219385561685</v>
      </c>
      <c r="D292" s="94">
        <v>682.35344705423586</v>
      </c>
      <c r="E292" s="95">
        <v>4287137.9216200598</v>
      </c>
      <c r="F292" s="93" t="s">
        <v>320</v>
      </c>
      <c r="G292" s="25">
        <f t="shared" si="6"/>
        <v>-8.0163241509989547E-4</v>
      </c>
      <c r="I292" s="94">
        <v>309.23946636545287</v>
      </c>
      <c r="J292" s="94">
        <v>309.51205067614745</v>
      </c>
      <c r="K292" s="94">
        <v>303.63909780027296</v>
      </c>
      <c r="L292" s="94">
        <v>306.31042404507997</v>
      </c>
      <c r="M292" s="95">
        <v>820261.53550529387</v>
      </c>
      <c r="N292" s="93" t="s">
        <v>320</v>
      </c>
      <c r="O292" s="25">
        <f t="shared" si="7"/>
        <v>9.5623331445677806E-3</v>
      </c>
      <c r="Q292" s="96">
        <v>3.9000000000000028E-2</v>
      </c>
      <c r="R292">
        <v>0</v>
      </c>
      <c r="T292" s="25">
        <f t="shared" si="8"/>
        <v>3.6000000000000025E-2</v>
      </c>
      <c r="U292" s="1">
        <f t="shared" si="9"/>
        <v>0.70925384773585487</v>
      </c>
    </row>
    <row r="293" spans="1:21" ht="15">
      <c r="A293" s="94">
        <v>679.11124877789598</v>
      </c>
      <c r="B293" s="94">
        <v>681.08540938480849</v>
      </c>
      <c r="C293" s="94">
        <v>673.91975337835788</v>
      </c>
      <c r="D293" s="94">
        <v>675.37178082727087</v>
      </c>
      <c r="E293" s="95">
        <v>7328955.3834914351</v>
      </c>
      <c r="F293" s="93" t="s">
        <v>321</v>
      </c>
      <c r="G293" s="25">
        <f t="shared" si="6"/>
        <v>5.5369028685867683E-3</v>
      </c>
      <c r="I293" s="94">
        <v>303.63909780027296</v>
      </c>
      <c r="J293" s="94">
        <v>306.5384036503882</v>
      </c>
      <c r="K293" s="94">
        <v>302.3207809521864</v>
      </c>
      <c r="L293" s="94">
        <v>306.13696130191073</v>
      </c>
      <c r="M293" s="95">
        <v>871510.65148303541</v>
      </c>
      <c r="N293" s="93" t="s">
        <v>321</v>
      </c>
      <c r="O293" s="25">
        <f t="shared" si="7"/>
        <v>-8.1593006313745997E-3</v>
      </c>
      <c r="Q293" s="96">
        <v>4.0000000000000029E-2</v>
      </c>
      <c r="R293">
        <v>1</v>
      </c>
      <c r="T293" s="25">
        <f t="shared" si="8"/>
        <v>3.7000000000000026E-2</v>
      </c>
      <c r="U293" s="1">
        <f t="shared" si="9"/>
        <v>0.57661841113090784</v>
      </c>
    </row>
    <row r="294" spans="1:21" ht="15">
      <c r="A294" s="94">
        <v>677.84818380521142</v>
      </c>
      <c r="B294" s="94">
        <v>678.27583572509673</v>
      </c>
      <c r="C294" s="94">
        <v>671.05557950840955</v>
      </c>
      <c r="D294" s="94">
        <v>672.62685222521623</v>
      </c>
      <c r="E294" s="95">
        <v>5467375.9044481125</v>
      </c>
      <c r="F294" s="93" t="s">
        <v>322</v>
      </c>
      <c r="G294" s="25">
        <f t="shared" si="6"/>
        <v>7.762597586941089E-3</v>
      </c>
      <c r="I294" s="94">
        <v>306.43432600448665</v>
      </c>
      <c r="J294" s="94">
        <v>308.36719657123018</v>
      </c>
      <c r="K294" s="94">
        <v>300.91821077170329</v>
      </c>
      <c r="L294" s="94">
        <v>306.28564365319869</v>
      </c>
      <c r="M294" s="95">
        <v>1525829.4077258797</v>
      </c>
      <c r="N294" s="93" t="s">
        <v>322</v>
      </c>
      <c r="O294" s="25">
        <f t="shared" si="7"/>
        <v>4.8543689320390548E-4</v>
      </c>
      <c r="Q294" s="96">
        <v>4.1000000000000029E-2</v>
      </c>
      <c r="R294">
        <v>1</v>
      </c>
      <c r="T294" s="25">
        <f t="shared" si="8"/>
        <v>3.8000000000000027E-2</v>
      </c>
      <c r="U294" s="1">
        <f t="shared" si="9"/>
        <v>0.46617828166631148</v>
      </c>
    </row>
    <row r="295" spans="1:21" ht="15">
      <c r="A295" s="94">
        <v>670.90629915218915</v>
      </c>
      <c r="B295" s="94">
        <v>674.44685923310021</v>
      </c>
      <c r="C295" s="94">
        <v>668.87743888110526</v>
      </c>
      <c r="D295" s="94">
        <v>671.87100232030252</v>
      </c>
      <c r="E295" s="95">
        <v>5625822.8939277111</v>
      </c>
      <c r="F295" s="93" t="s">
        <v>323</v>
      </c>
      <c r="G295" s="25">
        <f t="shared" si="6"/>
        <v>-1.4358458168037824E-3</v>
      </c>
      <c r="I295" s="94">
        <v>305.44311032923355</v>
      </c>
      <c r="J295" s="94">
        <v>309.14034479792753</v>
      </c>
      <c r="K295" s="94">
        <v>302.27122016842372</v>
      </c>
      <c r="L295" s="94">
        <v>309.05113538715477</v>
      </c>
      <c r="M295" s="95">
        <v>1208887.3621717761</v>
      </c>
      <c r="N295" s="93" t="s">
        <v>323</v>
      </c>
      <c r="O295" s="25">
        <f t="shared" si="7"/>
        <v>-1.1674524519708962E-2</v>
      </c>
      <c r="Q295" s="96">
        <v>4.200000000000003E-2</v>
      </c>
      <c r="R295">
        <v>1</v>
      </c>
      <c r="T295" s="25">
        <f t="shared" si="8"/>
        <v>3.9000000000000028E-2</v>
      </c>
      <c r="U295" s="1">
        <f t="shared" si="9"/>
        <v>0.37479371155035718</v>
      </c>
    </row>
    <row r="296" spans="1:21" ht="15.75" thickBot="1">
      <c r="A296" s="94">
        <v>675.2027091380138</v>
      </c>
      <c r="B296" s="94">
        <v>677.88796537915425</v>
      </c>
      <c r="C296" s="94">
        <v>670.56815577367513</v>
      </c>
      <c r="D296" s="94">
        <v>676.46577411069836</v>
      </c>
      <c r="E296" s="95">
        <v>7589447.639300487</v>
      </c>
      <c r="F296" s="93" t="s">
        <v>324</v>
      </c>
      <c r="G296" s="25">
        <f t="shared" si="6"/>
        <v>-1.8671528124908354E-3</v>
      </c>
      <c r="I296" s="94">
        <v>308.42666951174533</v>
      </c>
      <c r="J296" s="94">
        <v>308.57535186303329</v>
      </c>
      <c r="K296" s="94">
        <v>300.4523394043344</v>
      </c>
      <c r="L296" s="94">
        <v>301.31965312018082</v>
      </c>
      <c r="M296" s="95">
        <v>1126679.1549829668</v>
      </c>
      <c r="N296" s="93" t="s">
        <v>324</v>
      </c>
      <c r="O296" s="25">
        <f t="shared" si="7"/>
        <v>2.358630218099278E-2</v>
      </c>
      <c r="Q296" s="97" t="s">
        <v>970</v>
      </c>
      <c r="R296" s="97">
        <v>1</v>
      </c>
      <c r="T296" s="25">
        <f t="shared" si="8"/>
        <v>4.0000000000000029E-2</v>
      </c>
      <c r="U296" s="1">
        <f t="shared" si="9"/>
        <v>0.2996465497281755</v>
      </c>
    </row>
    <row r="297" spans="1:21">
      <c r="A297" s="94">
        <v>675.72981499275625</v>
      </c>
      <c r="B297" s="94">
        <v>679.7875355349239</v>
      </c>
      <c r="C297" s="94">
        <v>674.73627018353432</v>
      </c>
      <c r="D297" s="94">
        <v>678.31561729903956</v>
      </c>
      <c r="E297" s="95">
        <v>6438468.0519716404</v>
      </c>
      <c r="F297" s="93" t="s">
        <v>325</v>
      </c>
      <c r="G297" s="25">
        <f t="shared" si="6"/>
        <v>-3.8120931323675222E-3</v>
      </c>
      <c r="I297" s="94">
        <v>300.72492371502898</v>
      </c>
      <c r="J297" s="94">
        <v>307.13808913391637</v>
      </c>
      <c r="K297" s="94">
        <v>300.51676842322581</v>
      </c>
      <c r="L297" s="94">
        <v>304.29330014594001</v>
      </c>
      <c r="M297" s="95">
        <v>1284063.136789117</v>
      </c>
      <c r="N297" s="93" t="s">
        <v>325</v>
      </c>
      <c r="O297" s="25">
        <f t="shared" si="7"/>
        <v>-1.1726766344180573E-2</v>
      </c>
      <c r="T297" s="25">
        <f t="shared" si="8"/>
        <v>4.1000000000000029E-2</v>
      </c>
      <c r="U297" s="1">
        <f t="shared" si="9"/>
        <v>0.23823358951845935</v>
      </c>
    </row>
    <row r="298" spans="1:21">
      <c r="A298" s="94">
        <v>683.9745461924058</v>
      </c>
      <c r="B298" s="94">
        <v>685.33706509994749</v>
      </c>
      <c r="C298" s="94">
        <v>679.92677104372376</v>
      </c>
      <c r="D298" s="94">
        <v>680.00633419160943</v>
      </c>
      <c r="E298" s="95">
        <v>5367141.9009938678</v>
      </c>
      <c r="F298" s="93" t="s">
        <v>326</v>
      </c>
      <c r="G298" s="25">
        <f t="shared" si="6"/>
        <v>5.8355515254335799E-3</v>
      </c>
      <c r="I298" s="94">
        <v>304.91776602134945</v>
      </c>
      <c r="J298" s="94">
        <v>307.78237932283082</v>
      </c>
      <c r="K298" s="94">
        <v>301.71118331190576</v>
      </c>
      <c r="L298" s="94">
        <v>303.0939291788838</v>
      </c>
      <c r="M298" s="95">
        <v>977805.52729106764</v>
      </c>
      <c r="N298" s="93" t="s">
        <v>326</v>
      </c>
      <c r="O298" s="25">
        <f t="shared" si="7"/>
        <v>6.0173981293740741E-3</v>
      </c>
      <c r="T298" s="25">
        <f t="shared" si="8"/>
        <v>4.200000000000003E-2</v>
      </c>
      <c r="U298" s="1">
        <f t="shared" si="9"/>
        <v>0.18835338716165567</v>
      </c>
    </row>
    <row r="299" spans="1:21">
      <c r="A299" s="94">
        <v>678.68359685801056</v>
      </c>
      <c r="B299" s="94">
        <v>680.17540588086638</v>
      </c>
      <c r="C299" s="94">
        <v>672.50750750338773</v>
      </c>
      <c r="D299" s="94">
        <v>675.19276374452807</v>
      </c>
      <c r="E299" s="95">
        <v>4909318.4452860085</v>
      </c>
      <c r="F299" s="93" t="s">
        <v>327</v>
      </c>
      <c r="G299" s="25">
        <f t="shared" si="6"/>
        <v>5.1701281484755057E-3</v>
      </c>
      <c r="I299" s="94">
        <v>302.25139585491871</v>
      </c>
      <c r="J299" s="94">
        <v>304.88307347271558</v>
      </c>
      <c r="K299" s="94">
        <v>295.42191985242505</v>
      </c>
      <c r="L299" s="94">
        <v>303.87698956233373</v>
      </c>
      <c r="M299" s="95">
        <v>805913.12137597846</v>
      </c>
      <c r="N299" s="93" t="s">
        <v>327</v>
      </c>
      <c r="O299" s="25">
        <f t="shared" si="7"/>
        <v>-5.349512346283003E-3</v>
      </c>
      <c r="T299" s="25">
        <f t="shared" si="8"/>
        <v>4.3000000000000031E-2</v>
      </c>
      <c r="U299" s="1">
        <f t="shared" si="9"/>
        <v>0.14808825027633418</v>
      </c>
    </row>
    <row r="300" spans="1:21">
      <c r="A300" s="94">
        <v>674.96401969435681</v>
      </c>
      <c r="B300" s="94">
        <v>675.55079791001344</v>
      </c>
      <c r="C300" s="94">
        <v>669.12607371824788</v>
      </c>
      <c r="D300" s="94">
        <v>673.77057247607229</v>
      </c>
      <c r="E300" s="95">
        <v>6053085.8534182142</v>
      </c>
      <c r="F300" s="93" t="s">
        <v>328</v>
      </c>
      <c r="G300" s="25">
        <f t="shared" si="6"/>
        <v>1.771296145954615E-3</v>
      </c>
      <c r="I300" s="94">
        <v>306.75151502056764</v>
      </c>
      <c r="J300" s="94">
        <v>307.53655783536806</v>
      </c>
      <c r="K300" s="94">
        <v>299.36695823993222</v>
      </c>
      <c r="L300" s="94">
        <v>299.6940594127658</v>
      </c>
      <c r="M300" s="95">
        <v>1350165.7466810271</v>
      </c>
      <c r="N300" s="93" t="s">
        <v>328</v>
      </c>
      <c r="O300" s="25">
        <f t="shared" si="7"/>
        <v>2.354886720687932E-2</v>
      </c>
      <c r="T300" s="25">
        <f t="shared" si="8"/>
        <v>4.4000000000000032E-2</v>
      </c>
      <c r="U300" s="1">
        <f t="shared" si="9"/>
        <v>0.11578291948047104</v>
      </c>
    </row>
    <row r="301" spans="1:21">
      <c r="A301" s="94">
        <v>675.8093781406418</v>
      </c>
      <c r="B301" s="94">
        <v>677.34096873744033</v>
      </c>
      <c r="C301" s="94">
        <v>673.38270213012981</v>
      </c>
      <c r="D301" s="94">
        <v>673.38270213012981</v>
      </c>
      <c r="E301" s="95">
        <v>5691574.1888302099</v>
      </c>
      <c r="F301" s="93" t="s">
        <v>329</v>
      </c>
      <c r="G301" s="25">
        <f t="shared" si="6"/>
        <v>3.6037100490340368E-3</v>
      </c>
      <c r="I301" s="94">
        <v>299.6940594127658</v>
      </c>
      <c r="J301" s="94">
        <v>301.2403558661606</v>
      </c>
      <c r="K301" s="94">
        <v>294.06484647143606</v>
      </c>
      <c r="L301" s="94">
        <v>295.38227122541491</v>
      </c>
      <c r="M301" s="95">
        <v>1297111.6002294251</v>
      </c>
      <c r="N301" s="93" t="s">
        <v>329</v>
      </c>
      <c r="O301" s="25">
        <f t="shared" si="7"/>
        <v>1.4597315436241765E-2</v>
      </c>
      <c r="T301" s="25">
        <f t="shared" si="8"/>
        <v>4.5000000000000033E-2</v>
      </c>
      <c r="U301" s="1">
        <f t="shared" si="9"/>
        <v>9.0021266284259951E-2</v>
      </c>
    </row>
    <row r="302" spans="1:21">
      <c r="A302" s="94">
        <v>674.33745990475745</v>
      </c>
      <c r="B302" s="94">
        <v>674.82478418555695</v>
      </c>
      <c r="C302" s="94">
        <v>671.68203984407421</v>
      </c>
      <c r="D302" s="94">
        <v>672.01023782910249</v>
      </c>
      <c r="E302" s="95">
        <v>4333455.8999546627</v>
      </c>
      <c r="F302" s="93" t="s">
        <v>330</v>
      </c>
      <c r="G302" s="25">
        <f t="shared" si="6"/>
        <v>3.4630753292881344E-3</v>
      </c>
      <c r="I302" s="94">
        <v>297.00786493282993</v>
      </c>
      <c r="J302" s="94">
        <v>300.30375617461397</v>
      </c>
      <c r="K302" s="94">
        <v>295.04525789582891</v>
      </c>
      <c r="L302" s="94">
        <v>298.19732374313361</v>
      </c>
      <c r="M302" s="95">
        <v>1130167.2488320854</v>
      </c>
      <c r="N302" s="93" t="s">
        <v>330</v>
      </c>
      <c r="O302" s="25">
        <f t="shared" si="7"/>
        <v>-3.9888312724370989E-3</v>
      </c>
    </row>
    <row r="303" spans="1:21">
      <c r="A303" s="94">
        <v>668.86749348761953</v>
      </c>
      <c r="B303" s="94">
        <v>673.06454899252196</v>
      </c>
      <c r="C303" s="94">
        <v>667.25633974293532</v>
      </c>
      <c r="D303" s="94">
        <v>672.12958255093099</v>
      </c>
      <c r="E303" s="95">
        <v>6082581.6993514737</v>
      </c>
      <c r="F303" s="93" t="s">
        <v>331</v>
      </c>
      <c r="G303" s="25">
        <f t="shared" si="6"/>
        <v>-4.8533633215946947E-3</v>
      </c>
      <c r="I303" s="94">
        <v>298.53433707271967</v>
      </c>
      <c r="J303" s="94">
        <v>302.31086879543386</v>
      </c>
      <c r="K303" s="94">
        <v>296.4726084681933</v>
      </c>
      <c r="L303" s="94">
        <v>300.38791038544292</v>
      </c>
      <c r="M303" s="95">
        <v>1331540.0255983914</v>
      </c>
      <c r="N303" s="93" t="s">
        <v>331</v>
      </c>
      <c r="O303" s="25">
        <f t="shared" si="7"/>
        <v>-6.170598911070857E-3</v>
      </c>
    </row>
    <row r="304" spans="1:21">
      <c r="A304" s="94">
        <v>670.97591690658908</v>
      </c>
      <c r="B304" s="94">
        <v>671.65220366361712</v>
      </c>
      <c r="C304" s="94">
        <v>665.49600509596553</v>
      </c>
      <c r="D304" s="94">
        <v>665.79436690053672</v>
      </c>
      <c r="E304" s="95">
        <v>6432672.4269837653</v>
      </c>
      <c r="F304" s="93" t="s">
        <v>332</v>
      </c>
      <c r="G304" s="25">
        <f t="shared" si="6"/>
        <v>7.7825080289788406E-3</v>
      </c>
      <c r="I304" s="94">
        <v>299.54537706147778</v>
      </c>
      <c r="J304" s="94">
        <v>301.70622723352949</v>
      </c>
      <c r="K304" s="94">
        <v>296.38835513579676</v>
      </c>
      <c r="L304" s="94">
        <v>299.04976922385129</v>
      </c>
      <c r="M304" s="95">
        <v>2300862.3779256921</v>
      </c>
      <c r="N304" s="93" t="s">
        <v>332</v>
      </c>
      <c r="O304" s="25">
        <f t="shared" si="7"/>
        <v>1.6572754391779299E-3</v>
      </c>
    </row>
    <row r="305" spans="1:15">
      <c r="A305" s="94">
        <v>661.6670286039689</v>
      </c>
      <c r="B305" s="94">
        <v>662.9102027896821</v>
      </c>
      <c r="C305" s="94">
        <v>659.70778608728506</v>
      </c>
      <c r="D305" s="94">
        <v>659.95642092442779</v>
      </c>
      <c r="E305" s="95">
        <v>4974776.3077562777</v>
      </c>
      <c r="F305" s="93" t="s">
        <v>333</v>
      </c>
      <c r="G305" s="25">
        <f t="shared" si="6"/>
        <v>2.5920009644651021E-3</v>
      </c>
      <c r="I305" s="94">
        <v>299.99142411534166</v>
      </c>
      <c r="J305" s="94">
        <v>308.50101068738934</v>
      </c>
      <c r="K305" s="94">
        <v>297.43408767318874</v>
      </c>
      <c r="L305" s="94">
        <v>307.72290638231561</v>
      </c>
      <c r="M305" s="95">
        <v>2096799.5513886143</v>
      </c>
      <c r="N305" s="93" t="s">
        <v>333</v>
      </c>
      <c r="O305" s="25">
        <f t="shared" si="7"/>
        <v>-2.5124818811402827E-2</v>
      </c>
    </row>
    <row r="306" spans="1:15">
      <c r="A306" s="94">
        <v>656.51531477837364</v>
      </c>
      <c r="B306" s="94">
        <v>660.22494654854177</v>
      </c>
      <c r="C306" s="94">
        <v>653.80022235677609</v>
      </c>
      <c r="D306" s="94">
        <v>658.37510336020057</v>
      </c>
      <c r="E306" s="95">
        <v>5960001.3531085365</v>
      </c>
      <c r="F306" s="93" t="s">
        <v>334</v>
      </c>
      <c r="G306" s="25">
        <f t="shared" si="6"/>
        <v>-2.8248160848352022E-3</v>
      </c>
      <c r="I306" s="94">
        <v>305.90898169660255</v>
      </c>
      <c r="J306" s="94">
        <v>312.85740358012652</v>
      </c>
      <c r="K306" s="94">
        <v>305.51249542650135</v>
      </c>
      <c r="L306" s="94">
        <v>309.30885146272055</v>
      </c>
      <c r="M306" s="95">
        <v>1453351.3822127562</v>
      </c>
      <c r="N306" s="93" t="s">
        <v>334</v>
      </c>
      <c r="O306" s="25">
        <f t="shared" si="7"/>
        <v>-1.0991828232654877E-2</v>
      </c>
    </row>
    <row r="307" spans="1:15">
      <c r="A307" s="94">
        <v>658.9022092149429</v>
      </c>
      <c r="B307" s="94">
        <v>662.77593997762506</v>
      </c>
      <c r="C307" s="94">
        <v>658.76297370614304</v>
      </c>
      <c r="D307" s="94">
        <v>659.46909664362818</v>
      </c>
      <c r="E307" s="95">
        <v>4961324.2346741715</v>
      </c>
      <c r="F307" s="93" t="s">
        <v>335</v>
      </c>
      <c r="G307" s="25">
        <f t="shared" si="6"/>
        <v>-8.59611817400463E-4</v>
      </c>
      <c r="I307" s="94">
        <v>310.61725615405459</v>
      </c>
      <c r="J307" s="94">
        <v>319.81573762040307</v>
      </c>
      <c r="K307" s="94">
        <v>309.76481067333697</v>
      </c>
      <c r="L307" s="94">
        <v>319.17144743148862</v>
      </c>
      <c r="M307" s="95">
        <v>1424268.3817924492</v>
      </c>
      <c r="N307" s="93" t="s">
        <v>335</v>
      </c>
      <c r="O307" s="25">
        <f t="shared" si="7"/>
        <v>-2.680124223602498E-2</v>
      </c>
    </row>
    <row r="308" spans="1:15">
      <c r="A308" s="94">
        <v>656.97280287871615</v>
      </c>
      <c r="B308" s="94">
        <v>658.15630470351505</v>
      </c>
      <c r="C308" s="94">
        <v>649.57840282209429</v>
      </c>
      <c r="D308" s="94">
        <v>653.41235201083362</v>
      </c>
      <c r="E308" s="95">
        <v>5935099.1155695217</v>
      </c>
      <c r="F308" s="93" t="s">
        <v>336</v>
      </c>
      <c r="G308" s="25">
        <f t="shared" si="6"/>
        <v>5.4490106544902162E-3</v>
      </c>
      <c r="I308" s="94">
        <v>317.73418470237164</v>
      </c>
      <c r="J308" s="94">
        <v>322.62137358920694</v>
      </c>
      <c r="K308" s="94">
        <v>310.26041851096352</v>
      </c>
      <c r="L308" s="94">
        <v>318.76504900463482</v>
      </c>
      <c r="M308" s="95">
        <v>2628346.6984466761</v>
      </c>
      <c r="N308" s="93" t="s">
        <v>336</v>
      </c>
      <c r="O308" s="25">
        <f t="shared" si="7"/>
        <v>-3.2339314033396072E-3</v>
      </c>
    </row>
    <row r="309" spans="1:15">
      <c r="A309" s="94">
        <v>650.66742340877897</v>
      </c>
      <c r="B309" s="94">
        <v>651.14848209168258</v>
      </c>
      <c r="C309" s="94">
        <v>647.70369615003881</v>
      </c>
      <c r="D309" s="94">
        <v>650.05080901266524</v>
      </c>
      <c r="E309" s="95">
        <v>6237160.3812517598</v>
      </c>
      <c r="F309" s="93" t="s">
        <v>337</v>
      </c>
      <c r="G309" s="25">
        <f t="shared" si="6"/>
        <v>9.4856338545334928E-4</v>
      </c>
      <c r="I309" s="94">
        <v>318.57671802633672</v>
      </c>
      <c r="J309" s="94">
        <v>323.88963404569319</v>
      </c>
      <c r="K309" s="94">
        <v>316.8024419676338</v>
      </c>
      <c r="L309" s="94">
        <v>322.62087798136929</v>
      </c>
      <c r="M309" s="95">
        <v>1594902.0250273766</v>
      </c>
      <c r="N309" s="93" t="s">
        <v>337</v>
      </c>
      <c r="O309" s="25">
        <f t="shared" si="7"/>
        <v>-1.2535332432100366E-2</v>
      </c>
    </row>
    <row r="310" spans="1:15">
      <c r="A310" s="94">
        <v>650.68731419575045</v>
      </c>
      <c r="B310" s="94">
        <v>651.81114365963515</v>
      </c>
      <c r="C310" s="94">
        <v>648.44960066146677</v>
      </c>
      <c r="D310" s="94">
        <v>650.83649509803593</v>
      </c>
      <c r="E310" s="95">
        <v>5539921.383421571</v>
      </c>
      <c r="F310" s="93" t="s">
        <v>338</v>
      </c>
      <c r="G310" s="25">
        <f t="shared" si="6"/>
        <v>-2.2921410125131825E-4</v>
      </c>
      <c r="I310" s="94">
        <v>322.02614857621745</v>
      </c>
      <c r="J310" s="94">
        <v>323.2651681702838</v>
      </c>
      <c r="K310" s="94">
        <v>319.02772115857692</v>
      </c>
      <c r="L310" s="94">
        <v>320.90607486318146</v>
      </c>
      <c r="M310" s="95">
        <v>1529317.5393064434</v>
      </c>
      <c r="N310" s="93" t="s">
        <v>338</v>
      </c>
      <c r="O310" s="25">
        <f t="shared" si="7"/>
        <v>3.4903474903476006E-3</v>
      </c>
    </row>
    <row r="311" spans="1:15">
      <c r="A311" s="94">
        <v>653.90962168511896</v>
      </c>
      <c r="B311" s="94">
        <v>654.30743742454706</v>
      </c>
      <c r="C311" s="94">
        <v>651.26414701792135</v>
      </c>
      <c r="D311" s="94">
        <v>652.08961467723486</v>
      </c>
      <c r="E311" s="95">
        <v>5311300.4697022615</v>
      </c>
      <c r="F311" s="93" t="s">
        <v>339</v>
      </c>
      <c r="G311" s="25">
        <f t="shared" si="6"/>
        <v>2.791038174691618E-3</v>
      </c>
      <c r="I311" s="94">
        <v>317.64497529159888</v>
      </c>
      <c r="J311" s="94">
        <v>321.81799328441434</v>
      </c>
      <c r="K311" s="94">
        <v>315.47421296279464</v>
      </c>
      <c r="L311" s="94">
        <v>315.63280747083513</v>
      </c>
      <c r="M311" s="95">
        <v>1266379.7776195549</v>
      </c>
      <c r="N311" s="93" t="s">
        <v>339</v>
      </c>
      <c r="O311" s="25">
        <f t="shared" si="7"/>
        <v>6.3750274785667749E-3</v>
      </c>
    </row>
    <row r="312" spans="1:15">
      <c r="A312" s="94">
        <v>652.83551918866272</v>
      </c>
      <c r="B312" s="94">
        <v>653.23333492809104</v>
      </c>
      <c r="C312" s="94">
        <v>648.26083709310808</v>
      </c>
      <c r="D312" s="94">
        <v>649.83201035597972</v>
      </c>
      <c r="E312" s="95">
        <v>4748929.650283305</v>
      </c>
      <c r="F312" s="93" t="s">
        <v>340</v>
      </c>
      <c r="G312" s="25">
        <f t="shared" si="6"/>
        <v>4.6219773492501837E-3</v>
      </c>
      <c r="I312" s="94">
        <v>314.72088904960231</v>
      </c>
      <c r="J312" s="94">
        <v>325.93153833671454</v>
      </c>
      <c r="K312" s="94">
        <v>311.98513378590383</v>
      </c>
      <c r="L312" s="94">
        <v>325.93153833671454</v>
      </c>
      <c r="M312" s="95">
        <v>2285786.2648525364</v>
      </c>
      <c r="N312" s="93" t="s">
        <v>340</v>
      </c>
      <c r="O312" s="25">
        <f t="shared" si="7"/>
        <v>-3.4395718022018129E-2</v>
      </c>
    </row>
    <row r="313" spans="1:15">
      <c r="A313" s="94">
        <v>647.70369615003881</v>
      </c>
      <c r="B313" s="94">
        <v>651.32381937883554</v>
      </c>
      <c r="C313" s="94">
        <v>642.13427579804386</v>
      </c>
      <c r="D313" s="94">
        <v>648.6683993181523</v>
      </c>
      <c r="E313" s="95">
        <v>6049829.5016160915</v>
      </c>
      <c r="F313" s="93" t="s">
        <v>341</v>
      </c>
      <c r="G313" s="25">
        <f t="shared" si="6"/>
        <v>-1.4872054336662055E-3</v>
      </c>
      <c r="I313" s="94">
        <v>327.31924028206885</v>
      </c>
      <c r="J313" s="94">
        <v>331.80944729096524</v>
      </c>
      <c r="K313" s="94">
        <v>322.98762778121295</v>
      </c>
      <c r="L313" s="94">
        <v>330.18385358355022</v>
      </c>
      <c r="M313" s="95">
        <v>2121065.8277404881</v>
      </c>
      <c r="N313" s="93" t="s">
        <v>341</v>
      </c>
      <c r="O313" s="25">
        <f t="shared" si="7"/>
        <v>-8.6758127945723018E-3</v>
      </c>
    </row>
    <row r="314" spans="1:15">
      <c r="A314" s="94">
        <v>650.32928003026495</v>
      </c>
      <c r="B314" s="94">
        <v>650.61769644135052</v>
      </c>
      <c r="C314" s="94">
        <v>647.53462446078186</v>
      </c>
      <c r="D314" s="94">
        <v>648.41976448100968</v>
      </c>
      <c r="E314" s="95">
        <v>4516534.5547728017</v>
      </c>
      <c r="F314" s="93" t="s">
        <v>342</v>
      </c>
      <c r="G314" s="25">
        <f t="shared" si="6"/>
        <v>2.9448756096810413E-3</v>
      </c>
      <c r="I314" s="94">
        <v>328.74659085443329</v>
      </c>
      <c r="J314" s="94">
        <v>341.17643542210675</v>
      </c>
      <c r="K314" s="94">
        <v>326.98222695248279</v>
      </c>
      <c r="L314" s="94">
        <v>340.31407778463659</v>
      </c>
      <c r="M314" s="95">
        <v>2175759.840913916</v>
      </c>
      <c r="N314" s="93" t="s">
        <v>342</v>
      </c>
      <c r="O314" s="25">
        <f t="shared" si="7"/>
        <v>-3.3990621268167542E-2</v>
      </c>
    </row>
    <row r="315" spans="1:15">
      <c r="A315" s="94">
        <v>643.71559336227108</v>
      </c>
      <c r="B315" s="94">
        <v>650.28949845632224</v>
      </c>
      <c r="C315" s="94">
        <v>642.41314463138303</v>
      </c>
      <c r="D315" s="94">
        <v>649.37452225563743</v>
      </c>
      <c r="E315" s="95">
        <v>8503460.7723218799</v>
      </c>
      <c r="F315" s="93" t="s">
        <v>343</v>
      </c>
      <c r="G315" s="25">
        <f t="shared" si="6"/>
        <v>-8.7144301160904103E-3</v>
      </c>
      <c r="I315" s="94">
        <v>337.3106942886198</v>
      </c>
      <c r="J315" s="94">
        <v>344.29876479915396</v>
      </c>
      <c r="K315" s="94">
        <v>333.51433825240053</v>
      </c>
      <c r="L315" s="94">
        <v>343.55535304271416</v>
      </c>
      <c r="M315" s="95">
        <v>1595353.7477060817</v>
      </c>
      <c r="N315" s="93" t="s">
        <v>343</v>
      </c>
      <c r="O315" s="25">
        <f t="shared" si="7"/>
        <v>-1.8176572417772707E-2</v>
      </c>
    </row>
    <row r="316" spans="1:15">
      <c r="A316" s="94">
        <v>647.98216716763852</v>
      </c>
      <c r="B316" s="94">
        <v>649.03637887712341</v>
      </c>
      <c r="C316" s="94">
        <v>645.62510891152647</v>
      </c>
      <c r="D316" s="94">
        <v>648.06173031552419</v>
      </c>
      <c r="E316" s="95">
        <v>6385417.708135739</v>
      </c>
      <c r="F316" s="93" t="s">
        <v>344</v>
      </c>
      <c r="G316" s="25">
        <f t="shared" ref="G316:G379" si="10">A316/D316-1</f>
        <v>-1.2277094011847733E-4</v>
      </c>
      <c r="I316" s="94">
        <v>345.50804792296265</v>
      </c>
      <c r="J316" s="94">
        <v>350.49386276948565</v>
      </c>
      <c r="K316" s="94">
        <v>344.40779852343172</v>
      </c>
      <c r="L316" s="94">
        <v>348.08520867862069</v>
      </c>
      <c r="M316" s="95">
        <v>845847.71683109354</v>
      </c>
      <c r="N316" s="93" t="s">
        <v>344</v>
      </c>
      <c r="O316" s="25">
        <f t="shared" ref="O316:O379" si="11">I316/L316-1</f>
        <v>-7.4038215109493155E-3</v>
      </c>
    </row>
    <row r="317" spans="1:15">
      <c r="A317" s="94">
        <v>649.21539595986599</v>
      </c>
      <c r="B317" s="94">
        <v>651.30392859186418</v>
      </c>
      <c r="C317" s="94">
        <v>645.31680171346966</v>
      </c>
      <c r="D317" s="94">
        <v>645.63505430501209</v>
      </c>
      <c r="E317" s="95">
        <v>7826716.5926497644</v>
      </c>
      <c r="F317" s="93" t="s">
        <v>345</v>
      </c>
      <c r="G317" s="25">
        <f t="shared" si="10"/>
        <v>5.5454573461906076E-3</v>
      </c>
      <c r="I317" s="94">
        <v>347.27241182491315</v>
      </c>
      <c r="J317" s="94">
        <v>353.33865175746195</v>
      </c>
      <c r="K317" s="94">
        <v>346.08295301460942</v>
      </c>
      <c r="L317" s="94">
        <v>347.97617495434281</v>
      </c>
      <c r="M317" s="95">
        <v>1227714.0116749082</v>
      </c>
      <c r="N317" s="93" t="s">
        <v>345</v>
      </c>
      <c r="O317" s="25">
        <f t="shared" si="11"/>
        <v>-2.0224463054747677E-3</v>
      </c>
    </row>
    <row r="318" spans="1:15">
      <c r="A318" s="94">
        <v>641.33864431918755</v>
      </c>
      <c r="B318" s="94">
        <v>642.54203693095792</v>
      </c>
      <c r="C318" s="94">
        <v>638.64344268456136</v>
      </c>
      <c r="D318" s="94">
        <v>640.9905555471878</v>
      </c>
      <c r="E318" s="95">
        <v>5890210.8880055081</v>
      </c>
      <c r="F318" s="93" t="s">
        <v>346</v>
      </c>
      <c r="G318" s="25">
        <f t="shared" si="10"/>
        <v>5.4304820716533087E-4</v>
      </c>
      <c r="I318" s="94">
        <v>350.30553179118755</v>
      </c>
      <c r="J318" s="94">
        <v>355.77278009118089</v>
      </c>
      <c r="K318" s="94">
        <v>348.62046514325732</v>
      </c>
      <c r="L318" s="94">
        <v>354.44881331374535</v>
      </c>
      <c r="M318" s="95">
        <v>1022839.0588568426</v>
      </c>
      <c r="N318" s="93" t="s">
        <v>346</v>
      </c>
      <c r="O318" s="25">
        <f t="shared" si="11"/>
        <v>-1.1689364915126177E-2</v>
      </c>
    </row>
    <row r="319" spans="1:15">
      <c r="A319" s="94">
        <v>639.93634383770313</v>
      </c>
      <c r="B319" s="94">
        <v>640.27448721621704</v>
      </c>
      <c r="C319" s="94">
        <v>634.74484843816492</v>
      </c>
      <c r="D319" s="94">
        <v>635.69960621279267</v>
      </c>
      <c r="E319" s="95">
        <v>5078177.898500585</v>
      </c>
      <c r="F319" s="93" t="s">
        <v>347</v>
      </c>
      <c r="G319" s="25">
        <f t="shared" si="10"/>
        <v>6.6646849919429485E-3</v>
      </c>
      <c r="I319" s="94">
        <v>352.79348313607278</v>
      </c>
      <c r="J319" s="94">
        <v>355.24674193232408</v>
      </c>
      <c r="K319" s="94">
        <v>350.59298433701093</v>
      </c>
      <c r="L319" s="94">
        <v>351.8815647148399</v>
      </c>
      <c r="M319" s="95">
        <v>949545.97248444264</v>
      </c>
      <c r="N319" s="93" t="s">
        <v>347</v>
      </c>
      <c r="O319" s="25">
        <f t="shared" si="11"/>
        <v>2.5915492957748754E-3</v>
      </c>
    </row>
    <row r="320" spans="1:15">
      <c r="A320" s="94">
        <v>634.86419315999342</v>
      </c>
      <c r="B320" s="94">
        <v>635.03326484925037</v>
      </c>
      <c r="C320" s="94">
        <v>628.76766695325614</v>
      </c>
      <c r="D320" s="94">
        <v>628.77263964999895</v>
      </c>
      <c r="E320" s="95">
        <v>5026396.5040549859</v>
      </c>
      <c r="F320" s="93" t="s">
        <v>348</v>
      </c>
      <c r="G320" s="25">
        <f t="shared" si="10"/>
        <v>9.6880066432045719E-3</v>
      </c>
      <c r="I320" s="94">
        <v>352.43664549298165</v>
      </c>
      <c r="J320" s="94">
        <v>356.4907176047667</v>
      </c>
      <c r="K320" s="94">
        <v>348.97730278634839</v>
      </c>
      <c r="L320" s="94">
        <v>355.18231291343261</v>
      </c>
      <c r="M320" s="95">
        <v>943317.65824957762</v>
      </c>
      <c r="N320" s="93" t="s">
        <v>348</v>
      </c>
      <c r="O320" s="25">
        <f t="shared" si="11"/>
        <v>-7.7303044679484234E-3</v>
      </c>
    </row>
    <row r="321" spans="1:15">
      <c r="A321" s="94">
        <v>627.27585793040032</v>
      </c>
      <c r="B321" s="94">
        <v>627.45487501314301</v>
      </c>
      <c r="C321" s="94">
        <v>618.58358402389399</v>
      </c>
      <c r="D321" s="94">
        <v>619.3493793222932</v>
      </c>
      <c r="E321" s="95">
        <v>5128925.1582973367</v>
      </c>
      <c r="F321" s="93" t="s">
        <v>349</v>
      </c>
      <c r="G321" s="25">
        <f t="shared" si="10"/>
        <v>1.2798073063027049E-2</v>
      </c>
      <c r="I321" s="94">
        <v>354.80565095683647</v>
      </c>
      <c r="J321" s="94">
        <v>356.97631416407319</v>
      </c>
      <c r="K321" s="94">
        <v>351.3859568772134</v>
      </c>
      <c r="L321" s="94">
        <v>352.11945647690067</v>
      </c>
      <c r="M321" s="95">
        <v>1073764.7235333137</v>
      </c>
      <c r="N321" s="93" t="s">
        <v>349</v>
      </c>
      <c r="O321" s="25">
        <f t="shared" si="11"/>
        <v>7.6286454228127187E-3</v>
      </c>
    </row>
    <row r="322" spans="1:15">
      <c r="A322" s="94">
        <v>621.18927711714878</v>
      </c>
      <c r="B322" s="94">
        <v>623.5662261602323</v>
      </c>
      <c r="C322" s="94">
        <v>620.31408249040669</v>
      </c>
      <c r="D322" s="94">
        <v>622.90485749343293</v>
      </c>
      <c r="E322" s="95">
        <v>4599410.7842738964</v>
      </c>
      <c r="F322" s="93" t="s">
        <v>350</v>
      </c>
      <c r="G322" s="25">
        <f t="shared" si="10"/>
        <v>-2.7541611783019615E-3</v>
      </c>
      <c r="I322" s="94">
        <v>350.48395061273305</v>
      </c>
      <c r="J322" s="94">
        <v>354.51344057577182</v>
      </c>
      <c r="K322" s="94">
        <v>341.87028639478388</v>
      </c>
      <c r="L322" s="94">
        <v>352.95207764411322</v>
      </c>
      <c r="M322" s="95">
        <v>1243655.9039335891</v>
      </c>
      <c r="N322" s="93" t="s">
        <v>350</v>
      </c>
      <c r="O322" s="25">
        <f t="shared" si="11"/>
        <v>-6.9928106043586347E-3</v>
      </c>
    </row>
    <row r="323" spans="1:15">
      <c r="A323" s="94">
        <v>621.60698364354835</v>
      </c>
      <c r="B323" s="94">
        <v>622.75070389440441</v>
      </c>
      <c r="C323" s="94">
        <v>616.01767250458192</v>
      </c>
      <c r="D323" s="94">
        <v>616.95253949223832</v>
      </c>
      <c r="E323" s="95">
        <v>5500332.8753785351</v>
      </c>
      <c r="F323" s="93" t="s">
        <v>351</v>
      </c>
      <c r="G323" s="25">
        <f t="shared" si="10"/>
        <v>7.5442499274591679E-3</v>
      </c>
      <c r="I323" s="94">
        <v>354.82547527034154</v>
      </c>
      <c r="J323" s="94">
        <v>361.07013402443584</v>
      </c>
      <c r="K323" s="94">
        <v>354.73626585956873</v>
      </c>
      <c r="L323" s="94">
        <v>358.18569640944946</v>
      </c>
      <c r="M323" s="95">
        <v>1037342.2104502934</v>
      </c>
      <c r="N323" s="93" t="s">
        <v>351</v>
      </c>
      <c r="O323" s="25">
        <f t="shared" si="11"/>
        <v>-9.3812264777507481E-3</v>
      </c>
    </row>
    <row r="324" spans="1:15">
      <c r="A324" s="94">
        <v>617.94707884080879</v>
      </c>
      <c r="B324" s="94">
        <v>619.09079909166496</v>
      </c>
      <c r="C324" s="94">
        <v>613.92913987258385</v>
      </c>
      <c r="D324" s="94">
        <v>618.39959424440838</v>
      </c>
      <c r="E324" s="95">
        <v>9819192.7761694994</v>
      </c>
      <c r="F324" s="93" t="s">
        <v>352</v>
      </c>
      <c r="G324" s="25">
        <f t="shared" si="10"/>
        <v>-7.3175242644285543E-4</v>
      </c>
      <c r="I324" s="94">
        <v>358.79033797135384</v>
      </c>
      <c r="J324" s="94">
        <v>359.2760336522278</v>
      </c>
      <c r="K324" s="94">
        <v>348.82862043506049</v>
      </c>
      <c r="L324" s="94">
        <v>349.07642435387373</v>
      </c>
      <c r="M324" s="95">
        <v>1396161.8544285765</v>
      </c>
      <c r="N324" s="93" t="s">
        <v>352</v>
      </c>
      <c r="O324" s="25">
        <f t="shared" si="11"/>
        <v>2.7827469687934814E-2</v>
      </c>
    </row>
    <row r="325" spans="1:15">
      <c r="A325" s="94">
        <v>602.73062680767976</v>
      </c>
      <c r="B325" s="94">
        <v>602.99915243179373</v>
      </c>
      <c r="C325" s="94">
        <v>595.23180011945806</v>
      </c>
      <c r="D325" s="94">
        <v>600.2840600101963</v>
      </c>
      <c r="E325" s="95">
        <v>6180055.1076578777</v>
      </c>
      <c r="F325" s="93" t="s">
        <v>353</v>
      </c>
      <c r="G325" s="25">
        <f t="shared" si="10"/>
        <v>4.0756817654659105E-3</v>
      </c>
      <c r="I325" s="94">
        <v>350.89034903958685</v>
      </c>
      <c r="J325" s="94">
        <v>354.25552625707098</v>
      </c>
      <c r="K325" s="94">
        <v>349.30440395918191</v>
      </c>
      <c r="L325" s="94">
        <v>351.8815647148399</v>
      </c>
      <c r="M325" s="95">
        <v>751259.04804711521</v>
      </c>
      <c r="N325" s="93" t="s">
        <v>353</v>
      </c>
      <c r="O325" s="25">
        <f t="shared" si="11"/>
        <v>-2.8169014084505895E-3</v>
      </c>
    </row>
    <row r="326" spans="1:15">
      <c r="A326" s="94">
        <v>602.36264724870864</v>
      </c>
      <c r="B326" s="94">
        <v>603.12844254710808</v>
      </c>
      <c r="C326" s="94">
        <v>599.31935684208293</v>
      </c>
      <c r="D326" s="94">
        <v>599.62766404013973</v>
      </c>
      <c r="E326" s="95">
        <v>6317133.831788755</v>
      </c>
      <c r="F326" s="93" t="s">
        <v>354</v>
      </c>
      <c r="G326" s="25">
        <f t="shared" si="10"/>
        <v>4.5611358057453533E-3</v>
      </c>
      <c r="I326" s="94">
        <v>355.57879918353387</v>
      </c>
      <c r="J326" s="94">
        <v>356.83764309110529</v>
      </c>
      <c r="K326" s="94">
        <v>350.41456551546537</v>
      </c>
      <c r="L326" s="94">
        <v>353.3981246979771</v>
      </c>
      <c r="M326" s="95">
        <v>1020080.8123235621</v>
      </c>
      <c r="N326" s="93" t="s">
        <v>354</v>
      </c>
      <c r="O326" s="25">
        <f t="shared" si="11"/>
        <v>6.1705887302612172E-3</v>
      </c>
    </row>
    <row r="327" spans="1:15">
      <c r="A327" s="94">
        <v>599.69728179453966</v>
      </c>
      <c r="B327" s="94">
        <v>601.48745262196655</v>
      </c>
      <c r="C327" s="94">
        <v>589.79365896147442</v>
      </c>
      <c r="D327" s="94">
        <v>590.98511710106197</v>
      </c>
      <c r="E327" s="95">
        <v>12809464.146602983</v>
      </c>
      <c r="F327" s="93" t="s">
        <v>355</v>
      </c>
      <c r="G327" s="25">
        <f t="shared" si="10"/>
        <v>1.4741766656008348E-2</v>
      </c>
      <c r="I327" s="94">
        <v>352.872780390093</v>
      </c>
      <c r="J327" s="94">
        <v>357.63061563130776</v>
      </c>
      <c r="K327" s="94">
        <v>347.91670201382766</v>
      </c>
      <c r="L327" s="94">
        <v>349.44317415371739</v>
      </c>
      <c r="M327" s="95">
        <v>1018254.2037002292</v>
      </c>
      <c r="N327" s="93" t="s">
        <v>355</v>
      </c>
      <c r="O327" s="25">
        <f t="shared" si="11"/>
        <v>9.8144891359845943E-3</v>
      </c>
    </row>
    <row r="328" spans="1:15">
      <c r="A328" s="94">
        <v>599.011049644026</v>
      </c>
      <c r="B328" s="94">
        <v>602.04439465716621</v>
      </c>
      <c r="C328" s="94">
        <v>596.99213476642785</v>
      </c>
      <c r="D328" s="94">
        <v>597.77782085179854</v>
      </c>
      <c r="E328" s="95">
        <v>11343588.144215105</v>
      </c>
      <c r="F328" s="93" t="s">
        <v>356</v>
      </c>
      <c r="G328" s="25">
        <f t="shared" si="10"/>
        <v>2.0630219944763883E-3</v>
      </c>
      <c r="I328" s="94">
        <v>350.8011396288141</v>
      </c>
      <c r="J328" s="94">
        <v>352.41682117947659</v>
      </c>
      <c r="K328" s="94">
        <v>344.06087303709319</v>
      </c>
      <c r="L328" s="94">
        <v>345.77567615528096</v>
      </c>
      <c r="M328" s="95">
        <v>1313500.758417276</v>
      </c>
      <c r="N328" s="93" t="s">
        <v>356</v>
      </c>
      <c r="O328" s="25">
        <f t="shared" si="11"/>
        <v>1.4533883728930386E-2</v>
      </c>
    </row>
    <row r="329" spans="1:15">
      <c r="A329" s="94">
        <v>594.28698773831604</v>
      </c>
      <c r="B329" s="94">
        <v>595.57988889145781</v>
      </c>
      <c r="C329" s="94">
        <v>583.29732793661174</v>
      </c>
      <c r="D329" s="94">
        <v>584.14268638289673</v>
      </c>
      <c r="E329" s="95">
        <v>12407189.635016242</v>
      </c>
      <c r="F329" s="93" t="s">
        <v>357</v>
      </c>
      <c r="G329" s="25">
        <f t="shared" si="10"/>
        <v>1.7366136034732138E-2</v>
      </c>
      <c r="I329" s="94">
        <v>342.11809031359718</v>
      </c>
      <c r="J329" s="94">
        <v>346.65785810625624</v>
      </c>
      <c r="K329" s="94">
        <v>337.01342870761135</v>
      </c>
      <c r="L329" s="94">
        <v>340.83942209252075</v>
      </c>
      <c r="M329" s="95">
        <v>1240970.1977180168</v>
      </c>
      <c r="N329" s="93" t="s">
        <v>357</v>
      </c>
      <c r="O329" s="25">
        <f t="shared" si="11"/>
        <v>3.751526784156356E-3</v>
      </c>
    </row>
    <row r="330" spans="1:15">
      <c r="A330" s="94">
        <v>577.75774376507388</v>
      </c>
      <c r="B330" s="94">
        <v>585.45547832300974</v>
      </c>
      <c r="C330" s="94">
        <v>575.3012315741048</v>
      </c>
      <c r="D330" s="94">
        <v>585.17700730541003</v>
      </c>
      <c r="E330" s="95">
        <v>11806944.07031532</v>
      </c>
      <c r="F330" s="93" t="s">
        <v>358</v>
      </c>
      <c r="G330" s="25">
        <f t="shared" si="10"/>
        <v>-1.2678665510970744E-2</v>
      </c>
      <c r="I330" s="94">
        <v>336.94394448877614</v>
      </c>
      <c r="J330" s="94">
        <v>347.38144554919097</v>
      </c>
      <c r="K330" s="94">
        <v>334.0595068737897</v>
      </c>
      <c r="L330" s="94">
        <v>345.08182518260384</v>
      </c>
      <c r="M330" s="95">
        <v>1430734.0251029865</v>
      </c>
      <c r="N330" s="93" t="s">
        <v>358</v>
      </c>
      <c r="O330" s="25">
        <f t="shared" si="11"/>
        <v>-2.3582466823691584E-2</v>
      </c>
    </row>
    <row r="331" spans="1:15">
      <c r="A331" s="94">
        <v>579.77665864267215</v>
      </c>
      <c r="B331" s="94">
        <v>587.60368331592213</v>
      </c>
      <c r="C331" s="94">
        <v>578.85173704850149</v>
      </c>
      <c r="D331" s="94">
        <v>587.45450241363653</v>
      </c>
      <c r="E331" s="95">
        <v>11667574.414806742</v>
      </c>
      <c r="F331" s="93" t="s">
        <v>359</v>
      </c>
      <c r="G331" s="25">
        <f t="shared" si="10"/>
        <v>-1.306968239994577E-2</v>
      </c>
      <c r="I331" s="94">
        <v>339.98697661180307</v>
      </c>
      <c r="J331" s="94">
        <v>346.71237496839518</v>
      </c>
      <c r="K331" s="94">
        <v>339.7490848497423</v>
      </c>
      <c r="L331" s="94">
        <v>344.86375773404819</v>
      </c>
      <c r="M331" s="95">
        <v>1106845.1150350205</v>
      </c>
      <c r="N331" s="93" t="s">
        <v>359</v>
      </c>
      <c r="O331" s="25">
        <f t="shared" si="11"/>
        <v>-1.4141181880892195E-2</v>
      </c>
    </row>
    <row r="332" spans="1:15">
      <c r="A332" s="94">
        <v>589.80917378984429</v>
      </c>
      <c r="B332" s="94">
        <v>598.71698564102053</v>
      </c>
      <c r="C332" s="94">
        <v>589.5712355767912</v>
      </c>
      <c r="D332" s="94">
        <v>596.12940757406784</v>
      </c>
      <c r="E332" s="95">
        <v>7652288.4902455918</v>
      </c>
      <c r="F332" s="93" t="s">
        <v>360</v>
      </c>
      <c r="G332" s="25">
        <f t="shared" si="10"/>
        <v>-1.0602117097265107E-2</v>
      </c>
      <c r="I332" s="94">
        <v>346.27128399290751</v>
      </c>
      <c r="J332" s="94">
        <v>350.83087609907165</v>
      </c>
      <c r="K332" s="94">
        <v>344.58631646654487</v>
      </c>
      <c r="L332" s="94">
        <v>345.92435850656898</v>
      </c>
      <c r="M332" s="95">
        <v>924454.47895691136</v>
      </c>
      <c r="N332" s="93" t="s">
        <v>360</v>
      </c>
      <c r="O332" s="25">
        <f t="shared" si="11"/>
        <v>1.0028940657325069E-3</v>
      </c>
    </row>
    <row r="333" spans="1:15">
      <c r="A333" s="94">
        <v>600.4569088239715</v>
      </c>
      <c r="B333" s="94">
        <v>604.20443567955817</v>
      </c>
      <c r="C333" s="94">
        <v>598.17666761554574</v>
      </c>
      <c r="D333" s="94">
        <v>602.18196086860655</v>
      </c>
      <c r="E333" s="95">
        <v>23433605.954244886</v>
      </c>
      <c r="F333" s="93" t="s">
        <v>361</v>
      </c>
      <c r="G333" s="25">
        <f t="shared" si="10"/>
        <v>-2.8646690813300957E-3</v>
      </c>
      <c r="I333" s="94">
        <v>348.92774200258577</v>
      </c>
      <c r="J333" s="94">
        <v>353.58645567627525</v>
      </c>
      <c r="K333" s="94">
        <v>347.11877339524892</v>
      </c>
      <c r="L333" s="94">
        <v>349.80992395356105</v>
      </c>
      <c r="M333" s="95">
        <v>1460658.6040221276</v>
      </c>
      <c r="N333" s="93" t="s">
        <v>361</v>
      </c>
      <c r="O333" s="25">
        <f t="shared" si="11"/>
        <v>-2.521889433566793E-3</v>
      </c>
    </row>
    <row r="334" spans="1:15">
      <c r="A334" s="94">
        <v>597.20508657891219</v>
      </c>
      <c r="B334" s="94">
        <v>600.70476112923518</v>
      </c>
      <c r="C334" s="94">
        <v>594.17137436248493</v>
      </c>
      <c r="D334" s="94">
        <v>595.47012044206656</v>
      </c>
      <c r="E334" s="95">
        <v>18356444.145375215</v>
      </c>
      <c r="F334" s="93" t="s">
        <v>362</v>
      </c>
      <c r="G334" s="25">
        <f t="shared" si="10"/>
        <v>2.913607378918659E-3</v>
      </c>
      <c r="I334" s="94">
        <v>348.33301259743394</v>
      </c>
      <c r="J334" s="94">
        <v>348.62046514325732</v>
      </c>
      <c r="K334" s="94">
        <v>338.06203577046159</v>
      </c>
      <c r="L334" s="94">
        <v>339.4120715201563</v>
      </c>
      <c r="M334" s="95">
        <v>1306142.1698859376</v>
      </c>
      <c r="N334" s="93" t="s">
        <v>362</v>
      </c>
      <c r="O334" s="25">
        <f t="shared" si="11"/>
        <v>2.628351147713337E-2</v>
      </c>
    </row>
    <row r="335" spans="1:15">
      <c r="A335" s="94">
        <v>599.23747548207416</v>
      </c>
      <c r="B335" s="94">
        <v>605.77581929492976</v>
      </c>
      <c r="C335" s="94">
        <v>597.87924484922928</v>
      </c>
      <c r="D335" s="94">
        <v>601.64659988923711</v>
      </c>
      <c r="E335" s="95">
        <v>24174828.736617487</v>
      </c>
      <c r="F335" s="93" t="s">
        <v>363</v>
      </c>
      <c r="G335" s="25">
        <f t="shared" si="10"/>
        <v>-4.0042184358832777E-3</v>
      </c>
      <c r="I335" s="94">
        <v>342.4451914864307</v>
      </c>
      <c r="J335" s="94">
        <v>354.21092155168463</v>
      </c>
      <c r="K335" s="94">
        <v>341.96940796230922</v>
      </c>
      <c r="L335" s="94">
        <v>352.2780509849411</v>
      </c>
      <c r="M335" s="95">
        <v>2258587.0475952863</v>
      </c>
      <c r="N335" s="93" t="s">
        <v>363</v>
      </c>
      <c r="O335" s="25">
        <f t="shared" si="11"/>
        <v>-2.7912211592571623E-2</v>
      </c>
    </row>
    <row r="336" spans="1:15">
      <c r="A336" s="94">
        <v>592.80322963742947</v>
      </c>
      <c r="B336" s="94">
        <v>600.39742427070826</v>
      </c>
      <c r="C336" s="94">
        <v>589.46218056247528</v>
      </c>
      <c r="D336" s="94">
        <v>600.22888470312887</v>
      </c>
      <c r="E336" s="95">
        <v>17684300.024816088</v>
      </c>
      <c r="F336" s="93" t="s">
        <v>364</v>
      </c>
      <c r="G336" s="25">
        <f t="shared" si="10"/>
        <v>-1.2371372412995574E-2</v>
      </c>
      <c r="I336" s="94">
        <v>349.75045101304585</v>
      </c>
      <c r="J336" s="94">
        <v>363.08230184519965</v>
      </c>
      <c r="K336" s="94">
        <v>347.85722907331245</v>
      </c>
      <c r="L336" s="94">
        <v>359.97979678165751</v>
      </c>
      <c r="M336" s="95">
        <v>2477891.4870095449</v>
      </c>
      <c r="N336" s="93" t="s">
        <v>364</v>
      </c>
      <c r="O336" s="25">
        <f t="shared" si="11"/>
        <v>-2.8416444089544801E-2</v>
      </c>
    </row>
    <row r="337" spans="1:15">
      <c r="A337" s="94">
        <v>601.53754487492108</v>
      </c>
      <c r="B337" s="94">
        <v>604.45228798482185</v>
      </c>
      <c r="C337" s="94">
        <v>597.36371205428088</v>
      </c>
      <c r="D337" s="94">
        <v>598.94996680796839</v>
      </c>
      <c r="E337" s="95">
        <v>10276101.226859786</v>
      </c>
      <c r="F337" s="93" t="s">
        <v>365</v>
      </c>
      <c r="G337" s="25">
        <f t="shared" si="10"/>
        <v>4.3201906842784688E-3</v>
      </c>
      <c r="I337" s="94">
        <v>360.50514108954161</v>
      </c>
      <c r="J337" s="94">
        <v>363.56799752607361</v>
      </c>
      <c r="K337" s="94">
        <v>353.2791788169468</v>
      </c>
      <c r="L337" s="94">
        <v>361.12960696495105</v>
      </c>
      <c r="M337" s="95">
        <v>1118506.744273328</v>
      </c>
      <c r="N337" s="93" t="s">
        <v>365</v>
      </c>
      <c r="O337" s="25">
        <f t="shared" si="11"/>
        <v>-1.7292015480471212E-3</v>
      </c>
    </row>
    <row r="338" spans="1:15">
      <c r="A338" s="94">
        <v>603.15354190524022</v>
      </c>
      <c r="B338" s="94">
        <v>610.59902515536078</v>
      </c>
      <c r="C338" s="94">
        <v>602.90568959997654</v>
      </c>
      <c r="D338" s="94">
        <v>609.40933409009517</v>
      </c>
      <c r="E338" s="95">
        <v>12393947.692788729</v>
      </c>
      <c r="F338" s="93" t="s">
        <v>366</v>
      </c>
      <c r="G338" s="25">
        <f t="shared" si="10"/>
        <v>-1.0265336999137786E-2</v>
      </c>
      <c r="I338" s="94">
        <v>365.14403044972602</v>
      </c>
      <c r="J338" s="94">
        <v>371.08141234449187</v>
      </c>
      <c r="K338" s="94">
        <v>364.56912535807925</v>
      </c>
      <c r="L338" s="94">
        <v>366.25419200600942</v>
      </c>
      <c r="M338" s="95">
        <v>1243669.4767617192</v>
      </c>
      <c r="N338" s="93" t="s">
        <v>366</v>
      </c>
      <c r="O338" s="25">
        <f t="shared" si="11"/>
        <v>-3.0311231393774785E-3</v>
      </c>
    </row>
    <row r="339" spans="1:15">
      <c r="A339" s="94">
        <v>611.59043437641537</v>
      </c>
      <c r="B339" s="94">
        <v>614.94139754358025</v>
      </c>
      <c r="C339" s="94">
        <v>610.97576065936153</v>
      </c>
      <c r="D339" s="94">
        <v>613.05772002357639</v>
      </c>
      <c r="E339" s="95">
        <v>8822710.7868685648</v>
      </c>
      <c r="F339" s="93" t="s">
        <v>367</v>
      </c>
      <c r="G339" s="25">
        <f t="shared" si="10"/>
        <v>-2.3933890712681816E-3</v>
      </c>
      <c r="I339" s="94">
        <v>365.6198139738475</v>
      </c>
      <c r="J339" s="94">
        <v>366.31366494652463</v>
      </c>
      <c r="K339" s="94">
        <v>359.21665983328018</v>
      </c>
      <c r="L339" s="94">
        <v>363.00300459117938</v>
      </c>
      <c r="M339" s="95">
        <v>1357018.8179848739</v>
      </c>
      <c r="N339" s="93" t="s">
        <v>367</v>
      </c>
      <c r="O339" s="25">
        <f t="shared" si="11"/>
        <v>7.2087816066845889E-3</v>
      </c>
    </row>
    <row r="340" spans="1:15">
      <c r="A340" s="94">
        <v>609.90503870062253</v>
      </c>
      <c r="B340" s="94">
        <v>612.77021134947051</v>
      </c>
      <c r="C340" s="94">
        <v>608.26921348588223</v>
      </c>
      <c r="D340" s="94">
        <v>609.43907636672679</v>
      </c>
      <c r="E340" s="95">
        <v>8295330.8616104685</v>
      </c>
      <c r="F340" s="93" t="s">
        <v>368</v>
      </c>
      <c r="G340" s="25">
        <f t="shared" si="10"/>
        <v>7.645757418011101E-4</v>
      </c>
      <c r="I340" s="94">
        <v>362.99309243442684</v>
      </c>
      <c r="J340" s="94">
        <v>365.33226230645658</v>
      </c>
      <c r="K340" s="94">
        <v>356.8574674046103</v>
      </c>
      <c r="L340" s="94">
        <v>356.8574674046103</v>
      </c>
      <c r="M340" s="95">
        <v>1394934.7823287637</v>
      </c>
      <c r="N340" s="93" t="s">
        <v>368</v>
      </c>
      <c r="O340" s="25">
        <f t="shared" si="11"/>
        <v>1.7193489250597382E-2</v>
      </c>
    </row>
    <row r="341" spans="1:15">
      <c r="A341" s="94">
        <v>603.85744245218905</v>
      </c>
      <c r="B341" s="94">
        <v>613.02202929161831</v>
      </c>
      <c r="C341" s="94">
        <v>603.02465870650315</v>
      </c>
      <c r="D341" s="94">
        <v>610.25203192799165</v>
      </c>
      <c r="E341" s="95">
        <v>23721145.670283373</v>
      </c>
      <c r="F341" s="93" t="s">
        <v>369</v>
      </c>
      <c r="G341" s="25">
        <f t="shared" si="10"/>
        <v>-1.0478604152451498E-2</v>
      </c>
      <c r="I341" s="94">
        <v>355.80677878884205</v>
      </c>
      <c r="J341" s="94">
        <v>360.80250579211753</v>
      </c>
      <c r="K341" s="94">
        <v>352.35734823896144</v>
      </c>
      <c r="L341" s="94">
        <v>357.02597406940333</v>
      </c>
      <c r="M341" s="95">
        <v>1144556.7039790275</v>
      </c>
      <c r="N341" s="93" t="s">
        <v>369</v>
      </c>
      <c r="O341" s="25">
        <f t="shared" si="11"/>
        <v>-3.4148643771343412E-3</v>
      </c>
    </row>
    <row r="342" spans="1:15">
      <c r="A342" s="94">
        <v>607.23814789598543</v>
      </c>
      <c r="B342" s="94">
        <v>612.40338993768034</v>
      </c>
      <c r="C342" s="94">
        <v>607.15883515830103</v>
      </c>
      <c r="D342" s="94">
        <v>611.91759941936346</v>
      </c>
      <c r="E342" s="95">
        <v>12107120.92190446</v>
      </c>
      <c r="F342" s="93" t="s">
        <v>370</v>
      </c>
      <c r="G342" s="25">
        <f t="shared" si="10"/>
        <v>-7.6471922491169186E-3</v>
      </c>
      <c r="I342" s="94">
        <v>354.73626585956873</v>
      </c>
      <c r="J342" s="94">
        <v>362.21994420772944</v>
      </c>
      <c r="K342" s="94">
        <v>353.84417175184103</v>
      </c>
      <c r="L342" s="94">
        <v>358.70112856058103</v>
      </c>
      <c r="M342" s="95">
        <v>1560769.4617067226</v>
      </c>
      <c r="N342" s="93" t="s">
        <v>370</v>
      </c>
      <c r="O342" s="25">
        <f t="shared" si="11"/>
        <v>-1.1053387863380171E-2</v>
      </c>
    </row>
    <row r="343" spans="1:15">
      <c r="A343" s="94">
        <v>616.68627777263646</v>
      </c>
      <c r="B343" s="94">
        <v>620.05706912422227</v>
      </c>
      <c r="C343" s="94">
        <v>613.97973059915716</v>
      </c>
      <c r="D343" s="94">
        <v>617.84622656127044</v>
      </c>
      <c r="E343" s="95">
        <v>6381616.6919140611</v>
      </c>
      <c r="F343" s="93" t="s">
        <v>371</v>
      </c>
      <c r="G343" s="25">
        <f t="shared" si="10"/>
        <v>-1.8774069319640319E-3</v>
      </c>
      <c r="I343" s="94">
        <v>361.06022186768337</v>
      </c>
      <c r="J343" s="94">
        <v>363.55808536932108</v>
      </c>
      <c r="K343" s="94">
        <v>355.40038036198831</v>
      </c>
      <c r="L343" s="94">
        <v>355.83651525909966</v>
      </c>
      <c r="M343" s="95">
        <v>1106650.558890667</v>
      </c>
      <c r="N343" s="93" t="s">
        <v>371</v>
      </c>
      <c r="O343" s="25">
        <f t="shared" si="11"/>
        <v>1.4680074653890207E-2</v>
      </c>
    </row>
    <row r="344" spans="1:15">
      <c r="A344" s="94">
        <v>617.37035013516424</v>
      </c>
      <c r="B344" s="94">
        <v>623.10109199654858</v>
      </c>
      <c r="C344" s="94">
        <v>615.29830486315996</v>
      </c>
      <c r="D344" s="94">
        <v>617.96519566779705</v>
      </c>
      <c r="E344" s="95">
        <v>15669426.13078979</v>
      </c>
      <c r="F344" s="93" t="s">
        <v>372</v>
      </c>
      <c r="G344" s="25">
        <f t="shared" si="10"/>
        <v>-9.625874350253083E-4</v>
      </c>
      <c r="I344" s="94">
        <v>358.54253405254059</v>
      </c>
      <c r="J344" s="94">
        <v>363.54916442824384</v>
      </c>
      <c r="K344" s="94">
        <v>357.37289955574192</v>
      </c>
      <c r="L344" s="94">
        <v>362.34880224551233</v>
      </c>
      <c r="M344" s="95">
        <v>1291724.4866745102</v>
      </c>
      <c r="N344" s="93" t="s">
        <v>372</v>
      </c>
      <c r="O344" s="25">
        <f t="shared" si="11"/>
        <v>-1.0504431557063043E-2</v>
      </c>
    </row>
    <row r="345" spans="1:15">
      <c r="A345" s="94">
        <v>618.44107209390313</v>
      </c>
      <c r="B345" s="94">
        <v>619.94801410990635</v>
      </c>
      <c r="C345" s="94">
        <v>603.96649746650507</v>
      </c>
      <c r="D345" s="94">
        <v>607.59505521556514</v>
      </c>
      <c r="E345" s="95">
        <v>13293092.279170223</v>
      </c>
      <c r="F345" s="93" t="s">
        <v>373</v>
      </c>
      <c r="G345" s="25">
        <f t="shared" si="10"/>
        <v>1.7850732630616983E-2</v>
      </c>
      <c r="I345" s="94">
        <v>367.99873159445485</v>
      </c>
      <c r="J345" s="94">
        <v>369.84239275042557</v>
      </c>
      <c r="K345" s="94">
        <v>360.18795207346062</v>
      </c>
      <c r="L345" s="94">
        <v>362.78493714262368</v>
      </c>
      <c r="M345" s="95">
        <v>2267074.0783293922</v>
      </c>
      <c r="N345" s="93" t="s">
        <v>373</v>
      </c>
      <c r="O345" s="25">
        <f t="shared" si="11"/>
        <v>1.4371584699453654E-2</v>
      </c>
    </row>
    <row r="346" spans="1:15">
      <c r="A346" s="94">
        <v>613.11720457683964</v>
      </c>
      <c r="B346" s="94">
        <v>616.47808183621498</v>
      </c>
      <c r="C346" s="94">
        <v>610.7080801696768</v>
      </c>
      <c r="D346" s="94">
        <v>614.01442992189413</v>
      </c>
      <c r="E346" s="95">
        <v>9746282.1071211006</v>
      </c>
      <c r="F346" s="93" t="s">
        <v>374</v>
      </c>
      <c r="G346" s="25">
        <f t="shared" si="10"/>
        <v>-1.461244722161692E-3</v>
      </c>
      <c r="I346" s="94">
        <v>363.38957870452811</v>
      </c>
      <c r="J346" s="94">
        <v>364.15281477447292</v>
      </c>
      <c r="K346" s="94">
        <v>352.14919294715821</v>
      </c>
      <c r="L346" s="94">
        <v>356.83764309110529</v>
      </c>
      <c r="M346" s="95">
        <v>1701487.8314645339</v>
      </c>
      <c r="N346" s="93" t="s">
        <v>374</v>
      </c>
      <c r="O346" s="25">
        <f t="shared" si="11"/>
        <v>1.8361111111111272E-2</v>
      </c>
    </row>
    <row r="347" spans="1:15">
      <c r="A347" s="94">
        <v>621.42521384927772</v>
      </c>
      <c r="B347" s="94">
        <v>625.08351387496953</v>
      </c>
      <c r="C347" s="94">
        <v>616.06168996337203</v>
      </c>
      <c r="D347" s="94">
        <v>621.90109027538392</v>
      </c>
      <c r="E347" s="95">
        <v>12264399.336900564</v>
      </c>
      <c r="F347" s="93" t="s">
        <v>375</v>
      </c>
      <c r="G347" s="25">
        <f t="shared" si="10"/>
        <v>-7.6519632068094978E-4</v>
      </c>
      <c r="I347" s="94">
        <v>355.6977450588152</v>
      </c>
      <c r="J347" s="94">
        <v>363.95554330566796</v>
      </c>
      <c r="K347" s="94">
        <v>353.18879678764222</v>
      </c>
      <c r="L347" s="94">
        <v>360.74527484845845</v>
      </c>
      <c r="M347" s="95">
        <v>1143267.5495899995</v>
      </c>
      <c r="N347" s="93" t="s">
        <v>375</v>
      </c>
      <c r="O347" s="25">
        <f t="shared" si="11"/>
        <v>-1.3991949837079964E-2</v>
      </c>
    </row>
    <row r="348" spans="1:15">
      <c r="A348" s="94">
        <v>624.76626292423191</v>
      </c>
      <c r="B348" s="94">
        <v>626.53097133770939</v>
      </c>
      <c r="C348" s="94">
        <v>619.70016180464268</v>
      </c>
      <c r="D348" s="94">
        <v>621.53426886359375</v>
      </c>
      <c r="E348" s="95">
        <v>13501509.98934664</v>
      </c>
      <c r="F348" s="93" t="s">
        <v>376</v>
      </c>
      <c r="G348" s="25">
        <f t="shared" si="10"/>
        <v>5.2000255215975955E-3</v>
      </c>
      <c r="I348" s="94">
        <v>364.24199802954206</v>
      </c>
      <c r="J348" s="94">
        <v>364.61241362075856</v>
      </c>
      <c r="K348" s="94">
        <v>356.87319720160883</v>
      </c>
      <c r="L348" s="94">
        <v>364.35065326963223</v>
      </c>
      <c r="M348" s="95">
        <v>959452.04913713934</v>
      </c>
      <c r="N348" s="93" t="s">
        <v>376</v>
      </c>
      <c r="O348" s="25">
        <f t="shared" si="11"/>
        <v>-2.9821612535918529E-4</v>
      </c>
    </row>
    <row r="349" spans="1:15">
      <c r="A349" s="94">
        <v>620.34457779832826</v>
      </c>
      <c r="B349" s="94">
        <v>622.39679488591128</v>
      </c>
      <c r="C349" s="94">
        <v>610.5891110631502</v>
      </c>
      <c r="D349" s="94">
        <v>615.47675852294969</v>
      </c>
      <c r="E349" s="95">
        <v>17904668.190413319</v>
      </c>
      <c r="F349" s="93" t="s">
        <v>377</v>
      </c>
      <c r="G349" s="25">
        <f t="shared" si="10"/>
        <v>7.9090220840516423E-3</v>
      </c>
      <c r="I349" s="94">
        <v>363.50116684710912</v>
      </c>
      <c r="J349" s="94">
        <v>372.98380598225111</v>
      </c>
      <c r="K349" s="94">
        <v>362.01950448224318</v>
      </c>
      <c r="L349" s="94">
        <v>368.24248641468012</v>
      </c>
      <c r="M349" s="95">
        <v>1487583.1910257332</v>
      </c>
      <c r="N349" s="93" t="s">
        <v>377</v>
      </c>
      <c r="O349" s="25">
        <f t="shared" si="11"/>
        <v>-1.2875536480686733E-2</v>
      </c>
    </row>
    <row r="350" spans="1:15">
      <c r="A350" s="94">
        <v>625.85681306739207</v>
      </c>
      <c r="B350" s="94">
        <v>627.89911606276485</v>
      </c>
      <c r="C350" s="94">
        <v>618.24279024969235</v>
      </c>
      <c r="D350" s="94">
        <v>618.82276464400923</v>
      </c>
      <c r="E350" s="95">
        <v>9220282.6347284149</v>
      </c>
      <c r="F350" s="93" t="s">
        <v>378</v>
      </c>
      <c r="G350" s="25">
        <f t="shared" si="10"/>
        <v>1.1366822336326576E-2</v>
      </c>
      <c r="I350" s="94">
        <v>373.85304790297243</v>
      </c>
      <c r="J350" s="94">
        <v>374.59387908540543</v>
      </c>
      <c r="K350" s="94">
        <v>362.00053920397289</v>
      </c>
      <c r="L350" s="94">
        <v>365.79280463810176</v>
      </c>
      <c r="M350" s="95">
        <v>2975122.203464258</v>
      </c>
      <c r="N350" s="93" t="s">
        <v>378</v>
      </c>
      <c r="O350" s="25">
        <f t="shared" si="11"/>
        <v>2.2034996759559222E-2</v>
      </c>
    </row>
    <row r="351" spans="1:15">
      <c r="A351" s="94">
        <v>625.61887485433897</v>
      </c>
      <c r="B351" s="94">
        <v>626.26329084802467</v>
      </c>
      <c r="C351" s="94">
        <v>621.55409704801491</v>
      </c>
      <c r="D351" s="94">
        <v>622.84292903538596</v>
      </c>
      <c r="E351" s="95">
        <v>10518490.717795083</v>
      </c>
      <c r="F351" s="93" t="s">
        <v>379</v>
      </c>
      <c r="G351" s="25">
        <f t="shared" si="10"/>
        <v>4.4568954539665473E-3</v>
      </c>
      <c r="I351" s="94">
        <v>360.08346565881834</v>
      </c>
      <c r="J351" s="94">
        <v>361.26188112634173</v>
      </c>
      <c r="K351" s="94">
        <v>351.42067969890218</v>
      </c>
      <c r="L351" s="94">
        <v>353.05050830025471</v>
      </c>
      <c r="M351" s="95">
        <v>1962940.4413354076</v>
      </c>
      <c r="N351" s="93" t="s">
        <v>379</v>
      </c>
      <c r="O351" s="25">
        <f t="shared" si="11"/>
        <v>1.9920541659672164E-2</v>
      </c>
    </row>
    <row r="352" spans="1:15">
      <c r="A352" s="94">
        <v>628.50387568760812</v>
      </c>
      <c r="B352" s="94">
        <v>632.29105891203699</v>
      </c>
      <c r="C352" s="94">
        <v>624.02270600844099</v>
      </c>
      <c r="D352" s="94">
        <v>632.17208980551038</v>
      </c>
      <c r="E352" s="95">
        <v>9489584.1528401561</v>
      </c>
      <c r="F352" s="93" t="s">
        <v>380</v>
      </c>
      <c r="G352" s="25">
        <f t="shared" si="10"/>
        <v>-5.8025562612717962E-3</v>
      </c>
      <c r="I352" s="94">
        <v>350.81813700385675</v>
      </c>
      <c r="J352" s="94">
        <v>351.80591191376737</v>
      </c>
      <c r="K352" s="94">
        <v>336.38674557006254</v>
      </c>
      <c r="L352" s="94">
        <v>337.27574298898207</v>
      </c>
      <c r="M352" s="95">
        <v>1568826.3367007547</v>
      </c>
      <c r="N352" s="93" t="s">
        <v>380</v>
      </c>
      <c r="O352" s="25">
        <f t="shared" si="11"/>
        <v>4.0152291697173936E-2</v>
      </c>
    </row>
    <row r="353" spans="1:15">
      <c r="A353" s="94">
        <v>632.05312069898378</v>
      </c>
      <c r="B353" s="94">
        <v>632.51908303287951</v>
      </c>
      <c r="C353" s="94">
        <v>629.28708897224135</v>
      </c>
      <c r="D353" s="94">
        <v>629.31683124887297</v>
      </c>
      <c r="E353" s="95">
        <v>12096868.558516931</v>
      </c>
      <c r="F353" s="93" t="s">
        <v>381</v>
      </c>
      <c r="G353" s="25">
        <f t="shared" si="10"/>
        <v>4.3480315704900185E-3</v>
      </c>
      <c r="I353" s="94">
        <v>336.88063302501786</v>
      </c>
      <c r="J353" s="94">
        <v>349.91926183583803</v>
      </c>
      <c r="K353" s="94">
        <v>325.25501622282479</v>
      </c>
      <c r="L353" s="94">
        <v>349.91926183583803</v>
      </c>
      <c r="M353" s="95">
        <v>1790368.6702874633</v>
      </c>
      <c r="N353" s="93" t="s">
        <v>381</v>
      </c>
      <c r="O353" s="25">
        <f t="shared" si="11"/>
        <v>-3.7261820748059171E-2</v>
      </c>
    </row>
    <row r="354" spans="1:15">
      <c r="A354" s="94">
        <v>626.77882364297307</v>
      </c>
      <c r="B354" s="94">
        <v>627.65126375750117</v>
      </c>
      <c r="C354" s="94">
        <v>620.02732684759064</v>
      </c>
      <c r="D354" s="94">
        <v>621.76229298443639</v>
      </c>
      <c r="E354" s="95">
        <v>6952124.2548740897</v>
      </c>
      <c r="F354" s="93" t="s">
        <v>382</v>
      </c>
      <c r="G354" s="25">
        <f t="shared" si="10"/>
        <v>8.0682452363869395E-3</v>
      </c>
      <c r="I354" s="94">
        <v>349.93901733403624</v>
      </c>
      <c r="J354" s="94">
        <v>351.94420040115483</v>
      </c>
      <c r="K354" s="94">
        <v>344.63466606781617</v>
      </c>
      <c r="L354" s="94">
        <v>349.46488537727919</v>
      </c>
      <c r="M354" s="95">
        <v>820100.18079250306</v>
      </c>
      <c r="N354" s="93" t="s">
        <v>382</v>
      </c>
      <c r="O354" s="25">
        <f t="shared" si="11"/>
        <v>1.3567370474008023E-3</v>
      </c>
    </row>
    <row r="355" spans="1:15">
      <c r="A355" s="94">
        <v>622.23816941054258</v>
      </c>
      <c r="B355" s="94">
        <v>629.15820577350416</v>
      </c>
      <c r="C355" s="94">
        <v>620.37432007495977</v>
      </c>
      <c r="D355" s="94">
        <v>627.17538733139486</v>
      </c>
      <c r="E355" s="95">
        <v>10911504.879581373</v>
      </c>
      <c r="F355" s="93" t="s">
        <v>383</v>
      </c>
      <c r="G355" s="25">
        <f t="shared" si="10"/>
        <v>-7.8721487172191962E-3</v>
      </c>
      <c r="I355" s="94">
        <v>350.79838150565848</v>
      </c>
      <c r="J355" s="94">
        <v>355.13471336016607</v>
      </c>
      <c r="K355" s="94">
        <v>349.86987309034248</v>
      </c>
      <c r="L355" s="94">
        <v>350.89715899664958</v>
      </c>
      <c r="M355" s="95">
        <v>1063445.0324265151</v>
      </c>
      <c r="N355" s="93" t="s">
        <v>383</v>
      </c>
      <c r="O355" s="25">
        <f t="shared" si="11"/>
        <v>-2.8149983110015153E-4</v>
      </c>
    </row>
    <row r="356" spans="1:15">
      <c r="A356" s="94">
        <v>628.57327433308194</v>
      </c>
      <c r="B356" s="94">
        <v>629.12846349687266</v>
      </c>
      <c r="C356" s="94">
        <v>621.64332387790978</v>
      </c>
      <c r="D356" s="94">
        <v>622.08945802738447</v>
      </c>
      <c r="E356" s="95">
        <v>7512598.0693186289</v>
      </c>
      <c r="F356" s="93" t="s">
        <v>384</v>
      </c>
      <c r="G356" s="25">
        <f t="shared" si="10"/>
        <v>1.0422642952763406E-2</v>
      </c>
      <c r="I356" s="94">
        <v>351.78615641556911</v>
      </c>
      <c r="J356" s="94">
        <v>357.8066444914744</v>
      </c>
      <c r="K356" s="94">
        <v>349.60317386466664</v>
      </c>
      <c r="L356" s="94">
        <v>355.50019007683301</v>
      </c>
      <c r="M356" s="95">
        <v>1054453.7926097398</v>
      </c>
      <c r="N356" s="93" t="s">
        <v>384</v>
      </c>
      <c r="O356" s="25">
        <f t="shared" si="11"/>
        <v>-1.0447346485134679E-2</v>
      </c>
    </row>
    <row r="357" spans="1:15">
      <c r="A357" s="94">
        <v>624.12184693054644</v>
      </c>
      <c r="B357" s="94">
        <v>625.65853122318128</v>
      </c>
      <c r="C357" s="94">
        <v>621.42521384927772</v>
      </c>
      <c r="D357" s="94">
        <v>623.54682958233479</v>
      </c>
      <c r="E357" s="95">
        <v>5215367.0655791443</v>
      </c>
      <c r="F357" s="93" t="s">
        <v>385</v>
      </c>
      <c r="G357" s="25">
        <f t="shared" si="10"/>
        <v>9.2217187375776E-4</v>
      </c>
      <c r="I357" s="94">
        <v>354.3148601849403</v>
      </c>
      <c r="J357" s="94">
        <v>356.93246369620346</v>
      </c>
      <c r="K357" s="94">
        <v>347.29178057547574</v>
      </c>
      <c r="L357" s="94">
        <v>347.29178057547574</v>
      </c>
      <c r="M357" s="95">
        <v>961072.19415595219</v>
      </c>
      <c r="N357" s="93" t="s">
        <v>385</v>
      </c>
      <c r="O357" s="25">
        <f t="shared" si="11"/>
        <v>2.0222418157513022E-2</v>
      </c>
    </row>
    <row r="358" spans="1:15">
      <c r="A358" s="94">
        <v>625.727929868655</v>
      </c>
      <c r="B358" s="94">
        <v>628.35516430444989</v>
      </c>
      <c r="C358" s="94">
        <v>622.60499082233287</v>
      </c>
      <c r="D358" s="94">
        <v>623.70545505770349</v>
      </c>
      <c r="E358" s="95">
        <v>9591574.0927687287</v>
      </c>
      <c r="F358" s="93" t="s">
        <v>386</v>
      </c>
      <c r="G358" s="25">
        <f t="shared" si="10"/>
        <v>3.2426761615615973E-3</v>
      </c>
      <c r="I358" s="94">
        <v>347.81530127772839</v>
      </c>
      <c r="J358" s="94">
        <v>349.09446978606269</v>
      </c>
      <c r="K358" s="94">
        <v>344.73344355880727</v>
      </c>
      <c r="L358" s="94">
        <v>346.37314990925893</v>
      </c>
      <c r="M358" s="95">
        <v>1055091.5897370803</v>
      </c>
      <c r="N358" s="93" t="s">
        <v>386</v>
      </c>
      <c r="O358" s="25">
        <f t="shared" si="11"/>
        <v>4.1635772543202609E-3</v>
      </c>
    </row>
    <row r="359" spans="1:15">
      <c r="A359" s="94">
        <v>622.59507673012229</v>
      </c>
      <c r="B359" s="94">
        <v>624.51841061896835</v>
      </c>
      <c r="C359" s="94">
        <v>616.17074497768806</v>
      </c>
      <c r="D359" s="94">
        <v>620.16612413853829</v>
      </c>
      <c r="E359" s="95">
        <v>8109088.3857702948</v>
      </c>
      <c r="F359" s="93" t="s">
        <v>387</v>
      </c>
      <c r="G359" s="25">
        <f t="shared" si="10"/>
        <v>3.9166160437382747E-3</v>
      </c>
      <c r="I359" s="94">
        <v>342.35290602592266</v>
      </c>
      <c r="J359" s="94">
        <v>345.58292998133044</v>
      </c>
      <c r="K359" s="94">
        <v>338.84630509573998</v>
      </c>
      <c r="L359" s="94">
        <v>341.64170809078701</v>
      </c>
      <c r="M359" s="95">
        <v>1238099.8826044875</v>
      </c>
      <c r="N359" s="93" t="s">
        <v>387</v>
      </c>
      <c r="O359" s="25">
        <f t="shared" si="11"/>
        <v>2.081706999739863E-3</v>
      </c>
    </row>
    <row r="360" spans="1:15">
      <c r="A360" s="94">
        <v>621.50452658696213</v>
      </c>
      <c r="B360" s="94">
        <v>625.74775805307604</v>
      </c>
      <c r="C360" s="94">
        <v>617.7619567774808</v>
      </c>
      <c r="D360" s="94">
        <v>621.54418295580433</v>
      </c>
      <c r="E360" s="95">
        <v>9328894.4701977801</v>
      </c>
      <c r="F360" s="93" t="s">
        <v>388</v>
      </c>
      <c r="G360" s="25">
        <f t="shared" si="10"/>
        <v>-6.3802976408844359E-5</v>
      </c>
      <c r="I360" s="94">
        <v>341.27623137412007</v>
      </c>
      <c r="J360" s="94">
        <v>345.12855352277148</v>
      </c>
      <c r="K360" s="94">
        <v>335.45329828019698</v>
      </c>
      <c r="L360" s="94">
        <v>335.68542538402596</v>
      </c>
      <c r="M360" s="95">
        <v>1042051.1694239489</v>
      </c>
      <c r="N360" s="93" t="s">
        <v>388</v>
      </c>
      <c r="O360" s="25">
        <f t="shared" si="11"/>
        <v>1.6654896421845589E-2</v>
      </c>
    </row>
    <row r="361" spans="1:15">
      <c r="A361" s="94">
        <v>621.10796289854034</v>
      </c>
      <c r="B361" s="94">
        <v>634.02602504888262</v>
      </c>
      <c r="C361" s="94">
        <v>620.38423416717035</v>
      </c>
      <c r="D361" s="94">
        <v>633.02470173561744</v>
      </c>
      <c r="E361" s="95">
        <v>8943705.3960092701</v>
      </c>
      <c r="F361" s="93" t="s">
        <v>389</v>
      </c>
      <c r="G361" s="25">
        <f t="shared" si="10"/>
        <v>-1.8825077132699541E-2</v>
      </c>
      <c r="I361" s="94">
        <v>335.74469187862059</v>
      </c>
      <c r="J361" s="94">
        <v>340.91263142978198</v>
      </c>
      <c r="K361" s="94">
        <v>333.72874206498403</v>
      </c>
      <c r="L361" s="94">
        <v>337.34488723267577</v>
      </c>
      <c r="M361" s="95">
        <v>1508867.03544116</v>
      </c>
      <c r="N361" s="93" t="s">
        <v>389</v>
      </c>
      <c r="O361" s="25">
        <f t="shared" si="11"/>
        <v>-4.7434996486296344E-3</v>
      </c>
    </row>
    <row r="362" spans="1:15">
      <c r="A362" s="94">
        <v>630.88325781813933</v>
      </c>
      <c r="B362" s="94">
        <v>635.64202207920175</v>
      </c>
      <c r="C362" s="94">
        <v>628.39482067329209</v>
      </c>
      <c r="D362" s="94">
        <v>634.9876919933057</v>
      </c>
      <c r="E362" s="95">
        <v>5363165.7715908969</v>
      </c>
      <c r="F362" s="93" t="s">
        <v>390</v>
      </c>
      <c r="G362" s="25">
        <f t="shared" si="10"/>
        <v>-6.4638011522428762E-3</v>
      </c>
      <c r="I362" s="94">
        <v>336.12992409348578</v>
      </c>
      <c r="J362" s="94">
        <v>341.66146358898521</v>
      </c>
      <c r="K362" s="94">
        <v>333.13696611645656</v>
      </c>
      <c r="L362" s="94">
        <v>340.91075465745314</v>
      </c>
      <c r="M362" s="95">
        <v>1124712.7142564533</v>
      </c>
      <c r="N362" s="93" t="s">
        <v>390</v>
      </c>
      <c r="O362" s="25">
        <f t="shared" si="11"/>
        <v>-1.4023701214035178E-2</v>
      </c>
    </row>
    <row r="363" spans="1:15">
      <c r="A363" s="94">
        <v>630.97248464803431</v>
      </c>
      <c r="B363" s="94">
        <v>635.11657519204277</v>
      </c>
      <c r="C363" s="94">
        <v>630.61557732845461</v>
      </c>
      <c r="D363" s="94">
        <v>633.64928954488187</v>
      </c>
      <c r="E363" s="95">
        <v>13737970.870909363</v>
      </c>
      <c r="F363" s="93" t="s">
        <v>391</v>
      </c>
      <c r="G363" s="25">
        <f t="shared" si="10"/>
        <v>-4.2244265732076514E-3</v>
      </c>
      <c r="I363" s="94">
        <v>340.86136591195759</v>
      </c>
      <c r="J363" s="94">
        <v>346.97569260430436</v>
      </c>
      <c r="K363" s="94">
        <v>337.21647649438739</v>
      </c>
      <c r="L363" s="94">
        <v>346.97569260430436</v>
      </c>
      <c r="M363" s="95">
        <v>931295.16732029244</v>
      </c>
      <c r="N363" s="93" t="s">
        <v>391</v>
      </c>
      <c r="O363" s="25">
        <f t="shared" si="11"/>
        <v>-1.7621772425769344E-2</v>
      </c>
    </row>
    <row r="364" spans="1:15">
      <c r="A364" s="94">
        <v>632.74710715372214</v>
      </c>
      <c r="B364" s="94">
        <v>634.49198738277835</v>
      </c>
      <c r="C364" s="94">
        <v>627.67109194192221</v>
      </c>
      <c r="D364" s="94">
        <v>628.62284479413472</v>
      </c>
      <c r="E364" s="95">
        <v>8962171.0301906075</v>
      </c>
      <c r="F364" s="93" t="s">
        <v>392</v>
      </c>
      <c r="G364" s="25">
        <f t="shared" si="10"/>
        <v>6.5607898181587743E-3</v>
      </c>
      <c r="I364" s="94">
        <v>346.3138834146643</v>
      </c>
      <c r="J364" s="94">
        <v>347.69676828853915</v>
      </c>
      <c r="K364" s="94">
        <v>343.25178119394133</v>
      </c>
      <c r="L364" s="94">
        <v>345.3853749993483</v>
      </c>
      <c r="M364" s="95">
        <v>818931.51150518085</v>
      </c>
      <c r="N364" s="93" t="s">
        <v>392</v>
      </c>
      <c r="O364" s="25">
        <f t="shared" si="11"/>
        <v>2.6883258022079026E-3</v>
      </c>
    </row>
    <row r="365" spans="1:15">
      <c r="A365" s="94">
        <v>629.7827935827687</v>
      </c>
      <c r="B365" s="94">
        <v>631.25007922992961</v>
      </c>
      <c r="C365" s="94">
        <v>620.82045422443446</v>
      </c>
      <c r="D365" s="94">
        <v>621.33598701938286</v>
      </c>
      <c r="E365" s="95">
        <v>13071716.224520942</v>
      </c>
      <c r="F365" s="93" t="s">
        <v>393</v>
      </c>
      <c r="G365" s="25">
        <f t="shared" si="10"/>
        <v>1.3594587694664373E-2</v>
      </c>
      <c r="I365" s="94">
        <v>345.3853749993483</v>
      </c>
      <c r="J365" s="94">
        <v>345.51378573763668</v>
      </c>
      <c r="K365" s="94">
        <v>339.43403116713677</v>
      </c>
      <c r="L365" s="94">
        <v>342.65911624799492</v>
      </c>
      <c r="M365" s="95">
        <v>987728.06457321392</v>
      </c>
      <c r="N365" s="93" t="s">
        <v>393</v>
      </c>
      <c r="O365" s="25">
        <f t="shared" si="11"/>
        <v>7.9561833381380787E-3</v>
      </c>
    </row>
    <row r="366" spans="1:15">
      <c r="A366" s="94">
        <v>617.74708563916499</v>
      </c>
      <c r="B366" s="94">
        <v>623.34854773812378</v>
      </c>
      <c r="C366" s="94">
        <v>616.16083088547748</v>
      </c>
      <c r="D366" s="94">
        <v>620.86011059327666</v>
      </c>
      <c r="E366" s="95">
        <v>11606691.521144789</v>
      </c>
      <c r="F366" s="93" t="s">
        <v>394</v>
      </c>
      <c r="G366" s="25">
        <f t="shared" si="10"/>
        <v>-5.0140521205926936E-3</v>
      </c>
      <c r="I366" s="94">
        <v>338.03632966961328</v>
      </c>
      <c r="J366" s="94">
        <v>345.72121846871789</v>
      </c>
      <c r="K366" s="94">
        <v>333.56170932771812</v>
      </c>
      <c r="L366" s="94">
        <v>334.70752822321447</v>
      </c>
      <c r="M366" s="95">
        <v>1370587.5563517802</v>
      </c>
      <c r="N366" s="93" t="s">
        <v>394</v>
      </c>
      <c r="O366" s="25">
        <f t="shared" si="11"/>
        <v>9.9454035709016786E-3</v>
      </c>
    </row>
    <row r="367" spans="1:15">
      <c r="A367" s="94">
        <v>625.4899916556019</v>
      </c>
      <c r="B367" s="94">
        <v>630.4569518530858</v>
      </c>
      <c r="C367" s="94">
        <v>621.61358160127816</v>
      </c>
      <c r="D367" s="94">
        <v>629.47545672424167</v>
      </c>
      <c r="E367" s="95">
        <v>11325536.177740304</v>
      </c>
      <c r="F367" s="93" t="s">
        <v>395</v>
      </c>
      <c r="G367" s="25">
        <f t="shared" si="10"/>
        <v>-6.3314066117524659E-3</v>
      </c>
      <c r="I367" s="94">
        <v>334.92483870339476</v>
      </c>
      <c r="J367" s="94">
        <v>351.63799017908252</v>
      </c>
      <c r="K367" s="94">
        <v>332.43564593042004</v>
      </c>
      <c r="L367" s="94">
        <v>347.87456777232308</v>
      </c>
      <c r="M367" s="95">
        <v>1839055.6206417209</v>
      </c>
      <c r="N367" s="93" t="s">
        <v>395</v>
      </c>
      <c r="O367" s="25">
        <f t="shared" si="11"/>
        <v>-3.7225282525981229E-2</v>
      </c>
    </row>
    <row r="368" spans="1:15">
      <c r="A368" s="94">
        <v>628.70215753181901</v>
      </c>
      <c r="B368" s="94">
        <v>635.49331069604352</v>
      </c>
      <c r="C368" s="94">
        <v>623.70049801159826</v>
      </c>
      <c r="D368" s="94">
        <v>634.82906651793701</v>
      </c>
      <c r="E368" s="95">
        <v>9727764.0707642585</v>
      </c>
      <c r="F368" s="93" t="s">
        <v>396</v>
      </c>
      <c r="G368" s="25">
        <f t="shared" si="10"/>
        <v>-9.6512735620697399E-3</v>
      </c>
      <c r="I368" s="94">
        <v>347.27202507727759</v>
      </c>
      <c r="J368" s="94">
        <v>347.43994681196239</v>
      </c>
      <c r="K368" s="94">
        <v>338.41168413537929</v>
      </c>
      <c r="L368" s="94">
        <v>339.87359100204702</v>
      </c>
      <c r="M368" s="95">
        <v>1450956.0686550369</v>
      </c>
      <c r="N368" s="93" t="s">
        <v>396</v>
      </c>
      <c r="O368" s="25">
        <f t="shared" si="11"/>
        <v>2.176819344338532E-2</v>
      </c>
    </row>
    <row r="369" spans="1:15">
      <c r="A369" s="94">
        <v>634.18465052425131</v>
      </c>
      <c r="B369" s="94">
        <v>635.45365432720143</v>
      </c>
      <c r="C369" s="94">
        <v>628.62284479413472</v>
      </c>
      <c r="D369" s="94">
        <v>628.73189980845063</v>
      </c>
      <c r="E369" s="95">
        <v>9203597.0679123215</v>
      </c>
      <c r="F369" s="93" t="s">
        <v>397</v>
      </c>
      <c r="G369" s="25">
        <f t="shared" si="10"/>
        <v>8.6726166072723654E-3</v>
      </c>
      <c r="I369" s="94">
        <v>336.08053534799024</v>
      </c>
      <c r="J369" s="94">
        <v>338.46107288087478</v>
      </c>
      <c r="K369" s="94">
        <v>331.52689301330224</v>
      </c>
      <c r="L369" s="94">
        <v>333.86791954979043</v>
      </c>
      <c r="M369" s="95">
        <v>1490679.6935480302</v>
      </c>
      <c r="N369" s="93" t="s">
        <v>397</v>
      </c>
      <c r="O369" s="25">
        <f t="shared" si="11"/>
        <v>6.6272189349112498E-3</v>
      </c>
    </row>
    <row r="370" spans="1:15">
      <c r="A370" s="94">
        <v>630.75437461940226</v>
      </c>
      <c r="B370" s="94">
        <v>632.96521718235419</v>
      </c>
      <c r="C370" s="94">
        <v>626.52105724549881</v>
      </c>
      <c r="D370" s="94">
        <v>630.78411689603388</v>
      </c>
      <c r="E370" s="95">
        <v>6576045.351953093</v>
      </c>
      <c r="F370" s="93" t="s">
        <v>398</v>
      </c>
      <c r="G370" s="25">
        <f t="shared" si="10"/>
        <v>-4.71512770137128E-5</v>
      </c>
      <c r="I370" s="94">
        <v>338.65862786285697</v>
      </c>
      <c r="J370" s="94">
        <v>348.89187715204002</v>
      </c>
      <c r="K370" s="94">
        <v>335.45823715474654</v>
      </c>
      <c r="L370" s="94">
        <v>346.62997138583569</v>
      </c>
      <c r="M370" s="95">
        <v>2272281.8503287258</v>
      </c>
      <c r="N370" s="93" t="s">
        <v>398</v>
      </c>
      <c r="O370" s="25">
        <f t="shared" si="11"/>
        <v>-2.299669440328278E-2</v>
      </c>
    </row>
    <row r="371" spans="1:15">
      <c r="A371" s="94">
        <v>632.78676352256423</v>
      </c>
      <c r="B371" s="94">
        <v>635.53296706488572</v>
      </c>
      <c r="C371" s="94">
        <v>624.40935560465243</v>
      </c>
      <c r="D371" s="94">
        <v>634.92820744004234</v>
      </c>
      <c r="E371" s="95">
        <v>8559388.8172360025</v>
      </c>
      <c r="F371" s="93" t="s">
        <v>399</v>
      </c>
      <c r="G371" s="25">
        <f t="shared" si="10"/>
        <v>-3.372733944381201E-3</v>
      </c>
      <c r="I371" s="94">
        <v>351.66762342637981</v>
      </c>
      <c r="J371" s="94">
        <v>365.07182773135798</v>
      </c>
      <c r="K371" s="94">
        <v>347.69676828853915</v>
      </c>
      <c r="L371" s="94">
        <v>355.5989675678241</v>
      </c>
      <c r="M371" s="95">
        <v>2135724.4234831654</v>
      </c>
      <c r="N371" s="93" t="s">
        <v>399</v>
      </c>
      <c r="O371" s="25">
        <f t="shared" si="11"/>
        <v>-1.1055555555555596E-2</v>
      </c>
    </row>
    <row r="372" spans="1:15">
      <c r="A372" s="94">
        <v>634.10533778656702</v>
      </c>
      <c r="B372" s="94">
        <v>636.2963521650978</v>
      </c>
      <c r="C372" s="94">
        <v>632.73719306151156</v>
      </c>
      <c r="D372" s="94">
        <v>635.54288115709619</v>
      </c>
      <c r="E372" s="95">
        <v>5535930.9591264632</v>
      </c>
      <c r="F372" s="93" t="s">
        <v>400</v>
      </c>
      <c r="G372" s="25">
        <f t="shared" si="10"/>
        <v>-2.2619140472660559E-3</v>
      </c>
      <c r="I372" s="94">
        <v>355.89530004079734</v>
      </c>
      <c r="J372" s="94">
        <v>357.40659565296056</v>
      </c>
      <c r="K372" s="94">
        <v>350.69960401466744</v>
      </c>
      <c r="L372" s="94">
        <v>352.85295331827263</v>
      </c>
      <c r="M372" s="95">
        <v>1486050.0963046525</v>
      </c>
      <c r="N372" s="93" t="s">
        <v>400</v>
      </c>
      <c r="O372" s="25">
        <f t="shared" si="11"/>
        <v>8.6221376182744613E-3</v>
      </c>
    </row>
    <row r="373" spans="1:15">
      <c r="A373" s="94">
        <v>634.20447870867247</v>
      </c>
      <c r="B373" s="94">
        <v>635.09268222981541</v>
      </c>
      <c r="C373" s="94">
        <v>632.39019983414244</v>
      </c>
      <c r="D373" s="94">
        <v>632.93547490572246</v>
      </c>
      <c r="E373" s="95">
        <v>4345638.4190342566</v>
      </c>
      <c r="F373" s="93" t="s">
        <v>401</v>
      </c>
      <c r="G373" s="25">
        <f t="shared" si="10"/>
        <v>2.0049497196203969E-3</v>
      </c>
      <c r="I373" s="94">
        <v>356.13236601917589</v>
      </c>
      <c r="J373" s="94">
        <v>357.98938284980784</v>
      </c>
      <c r="K373" s="94">
        <v>348.86244145972466</v>
      </c>
      <c r="L373" s="94">
        <v>350.13657231601843</v>
      </c>
      <c r="M373" s="95">
        <v>1292243.7968337315</v>
      </c>
      <c r="N373" s="93" t="s">
        <v>401</v>
      </c>
      <c r="O373" s="25">
        <f t="shared" si="11"/>
        <v>1.7124157192428102E-2</v>
      </c>
    </row>
    <row r="374" spans="1:15">
      <c r="A374" s="94">
        <v>631.61690064171978</v>
      </c>
      <c r="B374" s="94">
        <v>632.90573262909083</v>
      </c>
      <c r="C374" s="94">
        <v>629.0689789436093</v>
      </c>
      <c r="D374" s="94">
        <v>629.57459764634712</v>
      </c>
      <c r="E374" s="95">
        <v>9054170.376235595</v>
      </c>
      <c r="F374" s="93" t="s">
        <v>402</v>
      </c>
      <c r="G374" s="25">
        <f t="shared" si="10"/>
        <v>3.2439412311229265E-3</v>
      </c>
      <c r="I374" s="94">
        <v>349.86987309034248</v>
      </c>
      <c r="J374" s="94">
        <v>352.02322239394766</v>
      </c>
      <c r="K374" s="94">
        <v>347.18312533538563</v>
      </c>
      <c r="L374" s="94">
        <v>349.86987309034248</v>
      </c>
      <c r="M374" s="95">
        <v>1228186.6929681096</v>
      </c>
      <c r="N374" s="93" t="s">
        <v>402</v>
      </c>
      <c r="O374" s="25">
        <f t="shared" si="11"/>
        <v>0</v>
      </c>
    </row>
    <row r="375" spans="1:15">
      <c r="A375" s="94">
        <v>628.38490658108162</v>
      </c>
      <c r="B375" s="94">
        <v>630.01131340822178</v>
      </c>
      <c r="C375" s="94">
        <v>626.54088542991985</v>
      </c>
      <c r="D375" s="94">
        <v>627.44306782107958</v>
      </c>
      <c r="E375" s="95">
        <v>5877748.4375230186</v>
      </c>
      <c r="F375" s="93" t="s">
        <v>403</v>
      </c>
      <c r="G375" s="25">
        <f t="shared" si="10"/>
        <v>1.5010744532930609E-3</v>
      </c>
      <c r="I375" s="94">
        <v>350.39339379259513</v>
      </c>
      <c r="J375" s="94">
        <v>356.27065450656335</v>
      </c>
      <c r="K375" s="94">
        <v>349.16855290430595</v>
      </c>
      <c r="L375" s="94">
        <v>352.43808785611014</v>
      </c>
      <c r="M375" s="95">
        <v>1483212.4052761835</v>
      </c>
      <c r="N375" s="93" t="s">
        <v>403</v>
      </c>
      <c r="O375" s="25">
        <f t="shared" si="11"/>
        <v>-5.8015695067265005E-3</v>
      </c>
    </row>
    <row r="376" spans="1:15">
      <c r="A376" s="94">
        <v>628.12714018360737</v>
      </c>
      <c r="B376" s="94">
        <v>630.15952908676945</v>
      </c>
      <c r="C376" s="94">
        <v>626.3227754012878</v>
      </c>
      <c r="D376" s="94">
        <v>628.97975211371431</v>
      </c>
      <c r="E376" s="95">
        <v>6110276.0306744725</v>
      </c>
      <c r="F376" s="93" t="s">
        <v>404</v>
      </c>
      <c r="G376" s="25">
        <f t="shared" si="10"/>
        <v>-1.3555474993299788E-3</v>
      </c>
      <c r="I376" s="94">
        <v>351.40092420070397</v>
      </c>
      <c r="J376" s="94">
        <v>351.98371139755119</v>
      </c>
      <c r="K376" s="94">
        <v>342.41711139506685</v>
      </c>
      <c r="L376" s="94">
        <v>343.98273462727519</v>
      </c>
      <c r="M376" s="95">
        <v>1370915.5663029838</v>
      </c>
      <c r="N376" s="93" t="s">
        <v>404</v>
      </c>
      <c r="O376" s="25">
        <f t="shared" si="11"/>
        <v>2.156558695152766E-2</v>
      </c>
    </row>
    <row r="377" spans="1:15">
      <c r="A377" s="94">
        <v>624.87531793854794</v>
      </c>
      <c r="B377" s="94">
        <v>627.95860061602798</v>
      </c>
      <c r="C377" s="94">
        <v>618.29236071074502</v>
      </c>
      <c r="D377" s="94">
        <v>619.65059134358989</v>
      </c>
      <c r="E377" s="95">
        <v>10444706.161784818</v>
      </c>
      <c r="F377" s="93" t="s">
        <v>405</v>
      </c>
      <c r="G377" s="25">
        <f t="shared" si="10"/>
        <v>8.4317301846339454E-3</v>
      </c>
      <c r="I377" s="94">
        <v>343.55799141601364</v>
      </c>
      <c r="J377" s="94">
        <v>344.9309985407894</v>
      </c>
      <c r="K377" s="94">
        <v>338.85618284483905</v>
      </c>
      <c r="L377" s="94">
        <v>339.65628052186668</v>
      </c>
      <c r="M377" s="95">
        <v>2280707.8590443684</v>
      </c>
      <c r="N377" s="93" t="s">
        <v>405</v>
      </c>
      <c r="O377" s="25">
        <f t="shared" si="11"/>
        <v>1.1487233176292744E-2</v>
      </c>
    </row>
    <row r="378" spans="1:15">
      <c r="A378" s="94">
        <v>617.79665610021766</v>
      </c>
      <c r="B378" s="94">
        <v>624.34977191046698</v>
      </c>
      <c r="C378" s="94">
        <v>616.87464552463689</v>
      </c>
      <c r="D378" s="94">
        <v>621.37564338822506</v>
      </c>
      <c r="E378" s="95">
        <v>15006546.927385891</v>
      </c>
      <c r="F378" s="93" t="s">
        <v>406</v>
      </c>
      <c r="G378" s="25">
        <f t="shared" si="10"/>
        <v>-5.7597804582296686E-3</v>
      </c>
      <c r="I378" s="94">
        <v>338.1449849097034</v>
      </c>
      <c r="J378" s="94">
        <v>346.18774455866873</v>
      </c>
      <c r="K378" s="94">
        <v>336.12004634438659</v>
      </c>
      <c r="L378" s="94">
        <v>340.89099915925499</v>
      </c>
      <c r="M378" s="95">
        <v>1880198.5972371453</v>
      </c>
      <c r="N378" s="93" t="s">
        <v>406</v>
      </c>
      <c r="O378" s="25">
        <f t="shared" si="11"/>
        <v>-8.0554026252500632E-3</v>
      </c>
    </row>
    <row r="379" spans="1:15">
      <c r="A379" s="94">
        <v>630.62549142066518</v>
      </c>
      <c r="B379" s="94">
        <v>633.02460259469535</v>
      </c>
      <c r="C379" s="94">
        <v>629.22760441897799</v>
      </c>
      <c r="D379" s="94">
        <v>632.47942666403742</v>
      </c>
      <c r="E379" s="95">
        <v>6752046.3375142086</v>
      </c>
      <c r="F379" s="93" t="s">
        <v>407</v>
      </c>
      <c r="G379" s="25">
        <f t="shared" si="10"/>
        <v>-2.9312182581979762E-3</v>
      </c>
      <c r="I379" s="94">
        <v>342.22449528763428</v>
      </c>
      <c r="J379" s="94">
        <v>343.3604364340315</v>
      </c>
      <c r="K379" s="94">
        <v>335.11251593627782</v>
      </c>
      <c r="L379" s="94">
        <v>336.8114887813241</v>
      </c>
      <c r="M379" s="95">
        <v>1534062.0467238943</v>
      </c>
      <c r="N379" s="93" t="s">
        <v>407</v>
      </c>
      <c r="O379" s="25">
        <f t="shared" si="11"/>
        <v>1.6071323831309714E-2</v>
      </c>
    </row>
    <row r="380" spans="1:15">
      <c r="A380" s="94">
        <v>631.15093830782405</v>
      </c>
      <c r="B380" s="94">
        <v>634.08550960214598</v>
      </c>
      <c r="C380" s="94">
        <v>630.23884182445386</v>
      </c>
      <c r="D380" s="94">
        <v>633.28246813309158</v>
      </c>
      <c r="E380" s="95">
        <v>6810105.1075736275</v>
      </c>
      <c r="F380" s="93" t="s">
        <v>408</v>
      </c>
      <c r="G380" s="25">
        <f t="shared" ref="G380:G443" si="12">A380/D380-1</f>
        <v>-3.3658437309203038E-3</v>
      </c>
      <c r="I380" s="94">
        <v>336.25833483177416</v>
      </c>
      <c r="J380" s="94">
        <v>338.60923911736143</v>
      </c>
      <c r="K380" s="94">
        <v>328.81051201104805</v>
      </c>
      <c r="L380" s="94">
        <v>336.86087752681959</v>
      </c>
      <c r="M380" s="95">
        <v>2133371.6607467537</v>
      </c>
      <c r="N380" s="93" t="s">
        <v>408</v>
      </c>
      <c r="O380" s="25">
        <f t="shared" ref="O380:O443" si="13">I380/L380-1</f>
        <v>-1.7886989414419574E-3</v>
      </c>
    </row>
    <row r="381" spans="1:15">
      <c r="A381" s="94">
        <v>629.48537081645225</v>
      </c>
      <c r="B381" s="94">
        <v>630.65424228807569</v>
      </c>
      <c r="C381" s="94">
        <v>625.57921848549688</v>
      </c>
      <c r="D381" s="94">
        <v>630.03064588803227</v>
      </c>
      <c r="E381" s="95">
        <v>8650571.1444528438</v>
      </c>
      <c r="F381" s="93" t="s">
        <v>409</v>
      </c>
      <c r="G381" s="25">
        <f t="shared" si="12"/>
        <v>-8.6547388629243382E-4</v>
      </c>
      <c r="I381" s="94">
        <v>338.65862786285697</v>
      </c>
      <c r="J381" s="94">
        <v>340.60454443538089</v>
      </c>
      <c r="K381" s="94">
        <v>330.32180762321133</v>
      </c>
      <c r="L381" s="94">
        <v>335.35945966375544</v>
      </c>
      <c r="M381" s="95">
        <v>2171721.4908749838</v>
      </c>
      <c r="N381" s="93" t="s">
        <v>409</v>
      </c>
      <c r="O381" s="25">
        <f t="shared" si="13"/>
        <v>9.8377072840272195E-3</v>
      </c>
    </row>
    <row r="382" spans="1:15">
      <c r="A382" s="94">
        <v>632.54882530951113</v>
      </c>
      <c r="B382" s="94">
        <v>634.65130684460189</v>
      </c>
      <c r="C382" s="94">
        <v>630.35285388487512</v>
      </c>
      <c r="D382" s="94">
        <v>634.18465052425131</v>
      </c>
      <c r="E382" s="95">
        <v>8913703.657707544</v>
      </c>
      <c r="F382" s="93" t="s">
        <v>410</v>
      </c>
      <c r="G382" s="25">
        <f t="shared" si="12"/>
        <v>-2.5794147073536777E-3</v>
      </c>
      <c r="I382" s="94">
        <v>337.06831025790086</v>
      </c>
      <c r="J382" s="94">
        <v>357.16952967458201</v>
      </c>
      <c r="K382" s="94">
        <v>331.10214980204069</v>
      </c>
      <c r="L382" s="94">
        <v>357.16952967458201</v>
      </c>
      <c r="M382" s="95">
        <v>4784578.9081923869</v>
      </c>
      <c r="N382" s="93" t="s">
        <v>410</v>
      </c>
      <c r="O382" s="25">
        <f t="shared" si="13"/>
        <v>-5.6279211261373363E-2</v>
      </c>
    </row>
    <row r="383" spans="1:15">
      <c r="A383" s="94">
        <v>633.84757138909276</v>
      </c>
      <c r="B383" s="94">
        <v>634.66052695035762</v>
      </c>
      <c r="C383" s="94">
        <v>629.70348084508419</v>
      </c>
      <c r="D383" s="94">
        <v>629.73322312171592</v>
      </c>
      <c r="E383" s="95">
        <v>7958251.5801160997</v>
      </c>
      <c r="F383" s="93" t="s">
        <v>411</v>
      </c>
      <c r="G383" s="25">
        <f t="shared" si="12"/>
        <v>6.5334781718855428E-3</v>
      </c>
      <c r="I383" s="94">
        <v>336.51515630835092</v>
      </c>
      <c r="J383" s="94">
        <v>337.63628083109944</v>
      </c>
      <c r="K383" s="94">
        <v>333.86791954979043</v>
      </c>
      <c r="L383" s="94">
        <v>334.7865502160073</v>
      </c>
      <c r="M383" s="95">
        <v>1459634.1590924377</v>
      </c>
      <c r="N383" s="93" t="s">
        <v>411</v>
      </c>
      <c r="O383" s="25">
        <f t="shared" si="13"/>
        <v>5.1633080577111468E-3</v>
      </c>
    </row>
    <row r="384" spans="1:15">
      <c r="A384" s="94">
        <v>632.82641989140643</v>
      </c>
      <c r="B384" s="94">
        <v>633.94671231119833</v>
      </c>
      <c r="C384" s="94">
        <v>628.35516430444989</v>
      </c>
      <c r="D384" s="94">
        <v>629.69356675287372</v>
      </c>
      <c r="E384" s="95">
        <v>7911683.5242421729</v>
      </c>
      <c r="F384" s="93" t="s">
        <v>412</v>
      </c>
      <c r="G384" s="25">
        <f t="shared" si="12"/>
        <v>4.9752027080216532E-3</v>
      </c>
      <c r="I384" s="94">
        <v>331.6651815006897</v>
      </c>
      <c r="J384" s="94">
        <v>334.09510777906991</v>
      </c>
      <c r="K384" s="94">
        <v>323.24933926825122</v>
      </c>
      <c r="L384" s="94">
        <v>323.4962829957289</v>
      </c>
      <c r="M384" s="95">
        <v>1917643.3628703873</v>
      </c>
      <c r="N384" s="93" t="s">
        <v>412</v>
      </c>
      <c r="O384" s="25">
        <f t="shared" si="13"/>
        <v>2.5251908396946465E-2</v>
      </c>
    </row>
    <row r="385" spans="1:15">
      <c r="A385" s="94">
        <v>628.61293070192403</v>
      </c>
      <c r="B385" s="94">
        <v>629.64409543274314</v>
      </c>
      <c r="C385" s="94">
        <v>626.80479856456463</v>
      </c>
      <c r="D385" s="94">
        <v>628.03791335371238</v>
      </c>
      <c r="E385" s="95">
        <v>9040463.6245619077</v>
      </c>
      <c r="F385" s="93" t="s">
        <v>413</v>
      </c>
      <c r="G385" s="25">
        <f t="shared" si="12"/>
        <v>9.155774452231924E-4</v>
      </c>
      <c r="I385" s="94">
        <v>321.7577991542862</v>
      </c>
      <c r="J385" s="94">
        <v>332.53442342141108</v>
      </c>
      <c r="K385" s="94">
        <v>319.00190715563554</v>
      </c>
      <c r="L385" s="94">
        <v>328.8599007565436</v>
      </c>
      <c r="M385" s="95">
        <v>3587801.1928048148</v>
      </c>
      <c r="N385" s="93" t="s">
        <v>413</v>
      </c>
      <c r="O385" s="25">
        <f t="shared" si="13"/>
        <v>-2.1596131318895928E-2</v>
      </c>
    </row>
    <row r="386" spans="1:15">
      <c r="A386" s="94">
        <v>628.72198571624006</v>
      </c>
      <c r="B386" s="94">
        <v>632.73719306151156</v>
      </c>
      <c r="C386" s="94">
        <v>628.48404750318696</v>
      </c>
      <c r="D386" s="94">
        <v>631.11128193898196</v>
      </c>
      <c r="E386" s="95">
        <v>8872984.8514440171</v>
      </c>
      <c r="F386" s="93" t="s">
        <v>414</v>
      </c>
      <c r="G386" s="25">
        <f t="shared" si="12"/>
        <v>-3.7858556662165865E-3</v>
      </c>
      <c r="I386" s="94">
        <v>305.97315609391444</v>
      </c>
      <c r="J386" s="94">
        <v>317.58445015991379</v>
      </c>
      <c r="K386" s="94">
        <v>305.11379192229219</v>
      </c>
      <c r="L386" s="94">
        <v>314.10748247702844</v>
      </c>
      <c r="M386" s="95">
        <v>2157787.1422071829</v>
      </c>
      <c r="N386" s="93" t="s">
        <v>414</v>
      </c>
      <c r="O386" s="25">
        <f t="shared" si="13"/>
        <v>-2.5896633594867935E-2</v>
      </c>
    </row>
    <row r="387" spans="1:15">
      <c r="A387" s="94">
        <v>630.74446052719168</v>
      </c>
      <c r="B387" s="94">
        <v>631.2104228610873</v>
      </c>
      <c r="C387" s="94">
        <v>627.09607459371045</v>
      </c>
      <c r="D387" s="94">
        <v>627.20512960802648</v>
      </c>
      <c r="E387" s="95">
        <v>8705688.6467309333</v>
      </c>
      <c r="F387" s="93" t="s">
        <v>415</v>
      </c>
      <c r="G387" s="25">
        <f t="shared" si="12"/>
        <v>5.6430197268588778E-3</v>
      </c>
      <c r="I387" s="94">
        <v>310.62557591959353</v>
      </c>
      <c r="J387" s="94">
        <v>312.98635795427987</v>
      </c>
      <c r="K387" s="94">
        <v>307.84992842274465</v>
      </c>
      <c r="L387" s="94">
        <v>307.86968392094286</v>
      </c>
      <c r="M387" s="95">
        <v>1117741.4904169827</v>
      </c>
      <c r="N387" s="93" t="s">
        <v>415</v>
      </c>
      <c r="O387" s="25">
        <f t="shared" si="13"/>
        <v>8.9514887063655291E-3</v>
      </c>
    </row>
    <row r="388" spans="1:15">
      <c r="A388" s="94">
        <v>627.02667594823674</v>
      </c>
      <c r="B388" s="94">
        <v>628.59310251750298</v>
      </c>
      <c r="C388" s="94">
        <v>625.8072426063394</v>
      </c>
      <c r="D388" s="94">
        <v>625.95595398949763</v>
      </c>
      <c r="E388" s="95">
        <v>16280268.185149305</v>
      </c>
      <c r="F388" s="93" t="s">
        <v>416</v>
      </c>
      <c r="G388" s="25">
        <f t="shared" si="12"/>
        <v>1.7105388197282689E-3</v>
      </c>
      <c r="I388" s="94">
        <v>307.57335144796963</v>
      </c>
      <c r="J388" s="94">
        <v>311.20836311644075</v>
      </c>
      <c r="K388" s="94">
        <v>303.3950635790477</v>
      </c>
      <c r="L388" s="94">
        <v>303.63212955742625</v>
      </c>
      <c r="M388" s="95">
        <v>1309542.272254155</v>
      </c>
      <c r="N388" s="93" t="s">
        <v>416</v>
      </c>
      <c r="O388" s="25">
        <f t="shared" si="13"/>
        <v>1.2980253098669348E-2</v>
      </c>
    </row>
    <row r="389" spans="1:15">
      <c r="A389" s="94">
        <v>622.90241358864921</v>
      </c>
      <c r="B389" s="94">
        <v>626.23354857139293</v>
      </c>
      <c r="C389" s="94">
        <v>619.83895909559033</v>
      </c>
      <c r="D389" s="94">
        <v>625.21735411981183</v>
      </c>
      <c r="E389" s="95">
        <v>11092840.137497121</v>
      </c>
      <c r="F389" s="93" t="s">
        <v>417</v>
      </c>
      <c r="G389" s="25">
        <f t="shared" si="12"/>
        <v>-3.7026172032950111E-3</v>
      </c>
      <c r="I389" s="94">
        <v>300.75770456958639</v>
      </c>
      <c r="J389" s="94">
        <v>300.82684881328009</v>
      </c>
      <c r="K389" s="94">
        <v>287.45306797552718</v>
      </c>
      <c r="L389" s="94">
        <v>290.40582351372302</v>
      </c>
      <c r="M389" s="95">
        <v>942677.31510233856</v>
      </c>
      <c r="N389" s="93" t="s">
        <v>417</v>
      </c>
      <c r="O389" s="25">
        <f t="shared" si="13"/>
        <v>3.564625850340164E-2</v>
      </c>
    </row>
    <row r="390" spans="1:15">
      <c r="A390" s="94">
        <v>621.74246480001523</v>
      </c>
      <c r="B390" s="94">
        <v>626.70942499749913</v>
      </c>
      <c r="C390" s="94">
        <v>621.55409704801491</v>
      </c>
      <c r="D390" s="94">
        <v>626.51114315328823</v>
      </c>
      <c r="E390" s="95">
        <v>5558948.6994453641</v>
      </c>
      <c r="F390" s="93" t="s">
        <v>418</v>
      </c>
      <c r="G390" s="25">
        <f t="shared" si="12"/>
        <v>-7.6114821027313262E-3</v>
      </c>
      <c r="I390" s="94">
        <v>289.98108030246146</v>
      </c>
      <c r="J390" s="94">
        <v>292.80117767025632</v>
      </c>
      <c r="K390" s="94">
        <v>289.92181380786684</v>
      </c>
      <c r="L390" s="94">
        <v>291.81834163489521</v>
      </c>
      <c r="M390" s="95">
        <v>507862.66685533797</v>
      </c>
      <c r="N390" s="93" t="s">
        <v>418</v>
      </c>
      <c r="O390" s="25">
        <f t="shared" si="13"/>
        <v>-6.2959076600209718E-3</v>
      </c>
    </row>
    <row r="391" spans="1:15">
      <c r="A391" s="94">
        <v>626.29303312465618</v>
      </c>
      <c r="B391" s="94">
        <v>627.77023286402766</v>
      </c>
      <c r="C391" s="94">
        <v>625.98569626612925</v>
      </c>
      <c r="D391" s="94">
        <v>626.76890955076249</v>
      </c>
      <c r="E391" s="95">
        <v>4186835.1754730204</v>
      </c>
      <c r="F391" s="93" t="s">
        <v>419</v>
      </c>
      <c r="G391" s="25">
        <f t="shared" si="12"/>
        <v>-7.5925340082261261E-4</v>
      </c>
      <c r="I391" s="94">
        <v>291.85785263129168</v>
      </c>
      <c r="J391" s="94">
        <v>292.94440503219334</v>
      </c>
      <c r="K391" s="94">
        <v>291.39359842363365</v>
      </c>
      <c r="L391" s="94">
        <v>292.67770580651745</v>
      </c>
      <c r="M391" s="95">
        <v>419460.94787676918</v>
      </c>
      <c r="N391" s="93" t="s">
        <v>419</v>
      </c>
      <c r="O391" s="25">
        <f t="shared" si="13"/>
        <v>-2.8012149848125611E-3</v>
      </c>
    </row>
    <row r="392" spans="1:15">
      <c r="A392" s="94">
        <v>627.16547323918428</v>
      </c>
      <c r="B392" s="94">
        <v>628.34525021223931</v>
      </c>
      <c r="C392" s="94">
        <v>625.5296480244441</v>
      </c>
      <c r="D392" s="94">
        <v>626.86805047286782</v>
      </c>
      <c r="E392" s="95">
        <v>6553250.5266477978</v>
      </c>
      <c r="F392" s="93" t="s">
        <v>420</v>
      </c>
      <c r="G392" s="25">
        <f t="shared" si="12"/>
        <v>4.744583267437541E-4</v>
      </c>
      <c r="I392" s="94">
        <v>292.31222908985052</v>
      </c>
      <c r="J392" s="94">
        <v>294.39643414976194</v>
      </c>
      <c r="K392" s="94">
        <v>291.75907514030058</v>
      </c>
      <c r="L392" s="94">
        <v>293.14196001417542</v>
      </c>
      <c r="M392" s="95">
        <v>419735.30187916482</v>
      </c>
      <c r="N392" s="93" t="s">
        <v>420</v>
      </c>
      <c r="O392" s="25">
        <f t="shared" si="13"/>
        <v>-2.830474778447889E-3</v>
      </c>
    </row>
    <row r="393" spans="1:15">
      <c r="A393" s="94">
        <v>629.3862298943468</v>
      </c>
      <c r="B393" s="94">
        <v>630.61062028234937</v>
      </c>
      <c r="C393" s="94">
        <v>628.43447704213429</v>
      </c>
      <c r="D393" s="94">
        <v>629.68365266066314</v>
      </c>
      <c r="E393" s="95">
        <v>3863041.5358914714</v>
      </c>
      <c r="F393" s="93" t="s">
        <v>421</v>
      </c>
      <c r="G393" s="25">
        <f t="shared" si="12"/>
        <v>-4.7233680763292263E-4</v>
      </c>
      <c r="I393" s="94">
        <v>293.14196001417542</v>
      </c>
      <c r="J393" s="94">
        <v>295.31506481597887</v>
      </c>
      <c r="K393" s="94">
        <v>291.70968639480503</v>
      </c>
      <c r="L393" s="94">
        <v>294.16924592048252</v>
      </c>
      <c r="M393" s="95">
        <v>470881.56960990856</v>
      </c>
      <c r="N393" s="93" t="s">
        <v>421</v>
      </c>
      <c r="O393" s="25">
        <f t="shared" si="13"/>
        <v>-3.4921594305095116E-3</v>
      </c>
    </row>
    <row r="394" spans="1:15">
      <c r="A394" s="94">
        <v>629.32674534108344</v>
      </c>
      <c r="B394" s="94">
        <v>629.86210632045311</v>
      </c>
      <c r="C394" s="94">
        <v>627.10598868592103</v>
      </c>
      <c r="D394" s="94">
        <v>627.23487188465811</v>
      </c>
      <c r="E394" s="95">
        <v>3301779.8609112306</v>
      </c>
      <c r="F394" s="93" t="s">
        <v>422</v>
      </c>
      <c r="G394" s="25">
        <f t="shared" si="12"/>
        <v>3.3350719964593267E-3</v>
      </c>
      <c r="I394" s="94">
        <v>294.49521164075298</v>
      </c>
      <c r="J394" s="94">
        <v>296.16455123850193</v>
      </c>
      <c r="K394" s="94">
        <v>294.1791236695816</v>
      </c>
      <c r="L394" s="94">
        <v>294.1791236695816</v>
      </c>
      <c r="M394" s="95">
        <v>367754.83600091544</v>
      </c>
      <c r="N394" s="93" t="s">
        <v>422</v>
      </c>
      <c r="O394" s="25">
        <f t="shared" si="13"/>
        <v>1.0744745148074664E-3</v>
      </c>
    </row>
    <row r="395" spans="1:15">
      <c r="A395" s="94">
        <v>627.23487188465811</v>
      </c>
      <c r="B395" s="94">
        <v>627.44306782107958</v>
      </c>
      <c r="C395" s="94">
        <v>623.51708730570306</v>
      </c>
      <c r="D395" s="94">
        <v>623.53691549012433</v>
      </c>
      <c r="E395" s="95">
        <v>13878095.651927857</v>
      </c>
      <c r="F395" s="93" t="s">
        <v>423</v>
      </c>
      <c r="G395" s="25">
        <f t="shared" si="12"/>
        <v>5.9306134130439059E-3</v>
      </c>
      <c r="I395" s="94">
        <v>294.18900141868068</v>
      </c>
      <c r="J395" s="94">
        <v>295.12738758309575</v>
      </c>
      <c r="K395" s="94">
        <v>290.84044447408371</v>
      </c>
      <c r="L395" s="94">
        <v>291.86773038039075</v>
      </c>
      <c r="M395" s="95">
        <v>1063568.2172723531</v>
      </c>
      <c r="N395" s="93" t="s">
        <v>423</v>
      </c>
      <c r="O395" s="25">
        <f t="shared" si="13"/>
        <v>7.9531609584404528E-3</v>
      </c>
    </row>
    <row r="396" spans="1:15">
      <c r="A396" s="94">
        <v>624.32012877475745</v>
      </c>
      <c r="B396" s="94">
        <v>624.85548975412689</v>
      </c>
      <c r="C396" s="94">
        <v>622.40670897812186</v>
      </c>
      <c r="D396" s="94">
        <v>623.56170072065061</v>
      </c>
      <c r="E396" s="95">
        <v>9880951.0663808994</v>
      </c>
      <c r="F396" s="93" t="s">
        <v>424</v>
      </c>
      <c r="G396" s="25">
        <f t="shared" si="12"/>
        <v>1.2162838949703048E-3</v>
      </c>
      <c r="I396" s="94">
        <v>291.49237591462474</v>
      </c>
      <c r="J396" s="94">
        <v>291.60103115471486</v>
      </c>
      <c r="K396" s="94">
        <v>283.93589785380846</v>
      </c>
      <c r="L396" s="94">
        <v>284.62734029074585</v>
      </c>
      <c r="M396" s="95">
        <v>930354.6696515634</v>
      </c>
      <c r="N396" s="93" t="s">
        <v>424</v>
      </c>
      <c r="O396" s="25">
        <f t="shared" si="13"/>
        <v>2.4119382266181155E-2</v>
      </c>
    </row>
    <row r="397" spans="1:15">
      <c r="A397" s="94">
        <v>620.41298504726694</v>
      </c>
      <c r="B397" s="94">
        <v>620.97649355876695</v>
      </c>
      <c r="C397" s="94">
        <v>616.75512277963537</v>
      </c>
      <c r="D397" s="94">
        <v>616.87375615047745</v>
      </c>
      <c r="E397" s="95">
        <v>10567676.793644959</v>
      </c>
      <c r="F397" s="93" t="s">
        <v>425</v>
      </c>
      <c r="G397" s="25">
        <f t="shared" si="12"/>
        <v>5.7373633770312349E-3</v>
      </c>
      <c r="I397" s="94">
        <v>283.93589785380846</v>
      </c>
      <c r="J397" s="94">
        <v>286.16826915020641</v>
      </c>
      <c r="K397" s="94">
        <v>280.08584758744985</v>
      </c>
      <c r="L397" s="94">
        <v>280.33051943263467</v>
      </c>
      <c r="M397" s="95">
        <v>1503539.9108632782</v>
      </c>
      <c r="N397" s="93" t="s">
        <v>425</v>
      </c>
      <c r="O397" s="25">
        <f t="shared" si="13"/>
        <v>1.2861169837913966E-2</v>
      </c>
    </row>
    <row r="398" spans="1:15">
      <c r="A398" s="94">
        <v>614.92619164581959</v>
      </c>
      <c r="B398" s="94">
        <v>618.81143454089863</v>
      </c>
      <c r="C398" s="94">
        <v>613.50259119571433</v>
      </c>
      <c r="D398" s="94">
        <v>615.9543475264511</v>
      </c>
      <c r="E398" s="95">
        <v>33805939.522175051</v>
      </c>
      <c r="F398" s="93" t="s">
        <v>426</v>
      </c>
      <c r="G398" s="25">
        <f t="shared" si="12"/>
        <v>-1.6692079287375927E-3</v>
      </c>
      <c r="I398" s="94">
        <v>279.26372252993121</v>
      </c>
      <c r="J398" s="94">
        <v>280.92318437858103</v>
      </c>
      <c r="K398" s="94">
        <v>276.75477425875823</v>
      </c>
      <c r="L398" s="94">
        <v>276.76465200785731</v>
      </c>
      <c r="M398" s="95">
        <v>1115575.0049368101</v>
      </c>
      <c r="N398" s="93" t="s">
        <v>426</v>
      </c>
      <c r="O398" s="25">
        <f t="shared" si="13"/>
        <v>9.0295870659196087E-3</v>
      </c>
    </row>
    <row r="399" spans="1:15">
      <c r="A399" s="94">
        <v>610.31926241145118</v>
      </c>
      <c r="B399" s="94">
        <v>618.51485111379327</v>
      </c>
      <c r="C399" s="94">
        <v>610.13043762952748</v>
      </c>
      <c r="D399" s="94">
        <v>618.06997597313546</v>
      </c>
      <c r="E399" s="95">
        <v>21194451.629857816</v>
      </c>
      <c r="F399" s="93" t="s">
        <v>427</v>
      </c>
      <c r="G399" s="25">
        <f t="shared" si="12"/>
        <v>-1.2540187782913992E-2</v>
      </c>
      <c r="I399" s="94">
        <v>275.31262289028876</v>
      </c>
      <c r="J399" s="94">
        <v>279.34274452272405</v>
      </c>
      <c r="K399" s="94">
        <v>274.17668174389149</v>
      </c>
      <c r="L399" s="94">
        <v>275.63364973600966</v>
      </c>
      <c r="M399" s="95">
        <v>1271707.7417097606</v>
      </c>
      <c r="N399" s="93" t="s">
        <v>427</v>
      </c>
      <c r="O399" s="25">
        <f t="shared" si="13"/>
        <v>-1.1646866992777172E-3</v>
      </c>
    </row>
    <row r="400" spans="1:15">
      <c r="A400" s="94">
        <v>617.10113677792492</v>
      </c>
      <c r="B400" s="94">
        <v>619.08824573953018</v>
      </c>
      <c r="C400" s="94">
        <v>613.58168010960901</v>
      </c>
      <c r="D400" s="94">
        <v>617.43726466197745</v>
      </c>
      <c r="E400" s="95">
        <v>14082814.204306746</v>
      </c>
      <c r="F400" s="93" t="s">
        <v>428</v>
      </c>
      <c r="G400" s="25">
        <f t="shared" si="12"/>
        <v>-5.4439196221267583E-4</v>
      </c>
      <c r="I400" s="94">
        <v>279.3921332682196</v>
      </c>
      <c r="J400" s="94">
        <v>287.08196094187377</v>
      </c>
      <c r="K400" s="94">
        <v>278.11790363443487</v>
      </c>
      <c r="L400" s="94">
        <v>286.95848907813496</v>
      </c>
      <c r="M400" s="95">
        <v>1161426.5441342352</v>
      </c>
      <c r="N400" s="93" t="s">
        <v>428</v>
      </c>
      <c r="O400" s="25">
        <f t="shared" si="13"/>
        <v>-2.6367422808164953E-2</v>
      </c>
    </row>
    <row r="401" spans="1:15">
      <c r="A401" s="94">
        <v>618.83120676937222</v>
      </c>
      <c r="B401" s="94">
        <v>623.37881931831953</v>
      </c>
      <c r="C401" s="94">
        <v>617.45703689045126</v>
      </c>
      <c r="D401" s="94">
        <v>623.37881931831953</v>
      </c>
      <c r="E401" s="95">
        <v>11437177.164980516</v>
      </c>
      <c r="F401" s="93" t="s">
        <v>429</v>
      </c>
      <c r="G401" s="25">
        <f t="shared" si="12"/>
        <v>-7.2951027657953693E-3</v>
      </c>
      <c r="I401" s="94">
        <v>285.00269475651191</v>
      </c>
      <c r="J401" s="94">
        <v>285.83242568083688</v>
      </c>
      <c r="K401" s="94">
        <v>283.35311065696118</v>
      </c>
      <c r="L401" s="94">
        <v>283.93589785380846</v>
      </c>
      <c r="M401" s="95">
        <v>904694.97760462388</v>
      </c>
      <c r="N401" s="93" t="s">
        <v>429</v>
      </c>
      <c r="O401" s="25">
        <f t="shared" si="13"/>
        <v>3.7571751608975745E-3</v>
      </c>
    </row>
    <row r="402" spans="1:15">
      <c r="A402" s="94">
        <v>619.73084316492486</v>
      </c>
      <c r="B402" s="94">
        <v>626.21613410429325</v>
      </c>
      <c r="C402" s="94">
        <v>617.36806186231956</v>
      </c>
      <c r="D402" s="94">
        <v>625.59330890737226</v>
      </c>
      <c r="E402" s="95">
        <v>8602756.1448820643</v>
      </c>
      <c r="F402" s="93" t="s">
        <v>430</v>
      </c>
      <c r="G402" s="25">
        <f t="shared" si="12"/>
        <v>-9.3710493046775811E-3</v>
      </c>
      <c r="I402" s="94">
        <v>283.44201039885314</v>
      </c>
      <c r="J402" s="94">
        <v>289.30939336372222</v>
      </c>
      <c r="K402" s="94">
        <v>283.08641143128528</v>
      </c>
      <c r="L402" s="94">
        <v>289.03281638894725</v>
      </c>
      <c r="M402" s="95">
        <v>1324724.8810140365</v>
      </c>
      <c r="N402" s="93" t="s">
        <v>430</v>
      </c>
      <c r="O402" s="25">
        <f t="shared" si="13"/>
        <v>-1.9343153002289726E-2</v>
      </c>
    </row>
    <row r="403" spans="1:15">
      <c r="A403" s="94">
        <v>626.49294530292491</v>
      </c>
      <c r="B403" s="94">
        <v>626.65112313071438</v>
      </c>
      <c r="C403" s="94">
        <v>620.12628773439849</v>
      </c>
      <c r="D403" s="94">
        <v>622.82519692105643</v>
      </c>
      <c r="E403" s="95">
        <v>22383144.145285767</v>
      </c>
      <c r="F403" s="93" t="s">
        <v>431</v>
      </c>
      <c r="G403" s="25">
        <f t="shared" si="12"/>
        <v>5.8888888888890545E-3</v>
      </c>
      <c r="I403" s="94">
        <v>286.31643538669306</v>
      </c>
      <c r="J403" s="94">
        <v>288.8797112779111</v>
      </c>
      <c r="K403" s="94">
        <v>282.84934545290679</v>
      </c>
      <c r="L403" s="94">
        <v>283.43213264975401</v>
      </c>
      <c r="M403" s="95">
        <v>1119298.5253088074</v>
      </c>
      <c r="N403" s="93" t="s">
        <v>431</v>
      </c>
      <c r="O403" s="25">
        <f t="shared" si="13"/>
        <v>1.0176343486443251E-2</v>
      </c>
    </row>
    <row r="404" spans="1:15">
      <c r="A404" s="94">
        <v>624.96059759621437</v>
      </c>
      <c r="B404" s="94">
        <v>626.2902799610697</v>
      </c>
      <c r="C404" s="94">
        <v>619.33539859545124</v>
      </c>
      <c r="D404" s="94">
        <v>620.48218784692483</v>
      </c>
      <c r="E404" s="95">
        <v>22657269.037541274</v>
      </c>
      <c r="F404" s="93" t="s">
        <v>432</v>
      </c>
      <c r="G404" s="25">
        <f t="shared" si="12"/>
        <v>7.2176282204483577E-3</v>
      </c>
      <c r="I404" s="94">
        <v>282.44435773984338</v>
      </c>
      <c r="J404" s="94">
        <v>285.90156992453058</v>
      </c>
      <c r="K404" s="94">
        <v>272.73453037542203</v>
      </c>
      <c r="L404" s="94">
        <v>273.73218303443173</v>
      </c>
      <c r="M404" s="95">
        <v>1380371.1618099047</v>
      </c>
      <c r="N404" s="93" t="s">
        <v>432</v>
      </c>
      <c r="O404" s="25">
        <f t="shared" si="13"/>
        <v>3.1827367205542689E-2</v>
      </c>
    </row>
    <row r="405" spans="1:15">
      <c r="A405" s="94">
        <v>620.94683521605646</v>
      </c>
      <c r="B405" s="94">
        <v>623.03280532003021</v>
      </c>
      <c r="C405" s="94">
        <v>620.51184618963532</v>
      </c>
      <c r="D405" s="94">
        <v>621.02592412995114</v>
      </c>
      <c r="E405" s="95">
        <v>9728636.3171463218</v>
      </c>
      <c r="F405" s="93" t="s">
        <v>433</v>
      </c>
      <c r="G405" s="25">
        <f t="shared" si="12"/>
        <v>-1.2735203285674235E-4</v>
      </c>
      <c r="I405" s="94">
        <v>273.97912676190936</v>
      </c>
      <c r="J405" s="94">
        <v>281.71340430650952</v>
      </c>
      <c r="K405" s="94">
        <v>273.80132727812548</v>
      </c>
      <c r="L405" s="94">
        <v>278.67105758398486</v>
      </c>
      <c r="M405" s="95">
        <v>1022018.2653671021</v>
      </c>
      <c r="N405" s="93" t="s">
        <v>433</v>
      </c>
      <c r="O405" s="25">
        <f t="shared" si="13"/>
        <v>-1.6836807032468593E-2</v>
      </c>
    </row>
    <row r="406" spans="1:15">
      <c r="A406" s="94">
        <v>621.45102704213537</v>
      </c>
      <c r="B406" s="94">
        <v>624.27845571387229</v>
      </c>
      <c r="C406" s="94">
        <v>619.56376783432222</v>
      </c>
      <c r="D406" s="94">
        <v>624.16970845726701</v>
      </c>
      <c r="E406" s="95">
        <v>6912612.8186263889</v>
      </c>
      <c r="F406" s="93" t="s">
        <v>434</v>
      </c>
      <c r="G406" s="25">
        <f t="shared" si="12"/>
        <v>-4.3556766345667075E-3</v>
      </c>
      <c r="I406" s="94">
        <v>278.20680337632683</v>
      </c>
      <c r="J406" s="94">
        <v>278.30558086731793</v>
      </c>
      <c r="K406" s="94">
        <v>273.71242753623352</v>
      </c>
      <c r="L406" s="94">
        <v>275.71761060335206</v>
      </c>
      <c r="M406" s="95">
        <v>1069274.9829974615</v>
      </c>
      <c r="N406" s="93" t="s">
        <v>434</v>
      </c>
      <c r="O406" s="25">
        <f t="shared" si="13"/>
        <v>9.0280514455629568E-3</v>
      </c>
    </row>
    <row r="407" spans="1:15">
      <c r="A407" s="94">
        <v>623.29973040442496</v>
      </c>
      <c r="B407" s="94">
        <v>625.77125896363543</v>
      </c>
      <c r="C407" s="94">
        <v>622.31111898074073</v>
      </c>
      <c r="D407" s="94">
        <v>623.12178034816168</v>
      </c>
      <c r="E407" s="95">
        <v>5065238.8593068877</v>
      </c>
      <c r="F407" s="93" t="s">
        <v>435</v>
      </c>
      <c r="G407" s="25">
        <f t="shared" si="12"/>
        <v>2.8557829604980434E-4</v>
      </c>
      <c r="I407" s="94">
        <v>275.09531241010836</v>
      </c>
      <c r="J407" s="94">
        <v>276.7942852551547</v>
      </c>
      <c r="K407" s="94">
        <v>271.91467720019614</v>
      </c>
      <c r="L407" s="94">
        <v>275.89541008713599</v>
      </c>
      <c r="M407" s="95">
        <v>714873.39161499206</v>
      </c>
      <c r="N407" s="93" t="s">
        <v>435</v>
      </c>
      <c r="O407" s="25">
        <f t="shared" si="13"/>
        <v>-2.9000035802514423E-3</v>
      </c>
    </row>
    <row r="408" spans="1:15">
      <c r="A408" s="94">
        <v>622.13316892447745</v>
      </c>
      <c r="B408" s="94">
        <v>623.0031469773196</v>
      </c>
      <c r="C408" s="94">
        <v>619.34528470968803</v>
      </c>
      <c r="D408" s="94">
        <v>622.95371640613541</v>
      </c>
      <c r="E408" s="95">
        <v>5173351.1038545901</v>
      </c>
      <c r="F408" s="93" t="s">
        <v>436</v>
      </c>
      <c r="G408" s="25">
        <f t="shared" si="12"/>
        <v>-1.3171885166554098E-3</v>
      </c>
      <c r="I408" s="94">
        <v>277.08073997902875</v>
      </c>
      <c r="J408" s="94">
        <v>280.18235319614809</v>
      </c>
      <c r="K408" s="94">
        <v>274.2112538657384</v>
      </c>
      <c r="L408" s="94">
        <v>274.74959119163964</v>
      </c>
      <c r="M408" s="95">
        <v>1237171.5334524696</v>
      </c>
      <c r="N408" s="93" t="s">
        <v>436</v>
      </c>
      <c r="O408" s="25">
        <f t="shared" si="13"/>
        <v>8.4846305950028178E-3</v>
      </c>
    </row>
    <row r="409" spans="1:15">
      <c r="A409" s="94">
        <v>621.60920486992484</v>
      </c>
      <c r="B409" s="94">
        <v>622.60770240784586</v>
      </c>
      <c r="C409" s="94">
        <v>617.83270923145119</v>
      </c>
      <c r="D409" s="94">
        <v>618.64337059887225</v>
      </c>
      <c r="E409" s="95">
        <v>5208852.4132256731</v>
      </c>
      <c r="F409" s="93" t="s">
        <v>437</v>
      </c>
      <c r="G409" s="25">
        <f t="shared" si="12"/>
        <v>4.7940936765902276E-3</v>
      </c>
      <c r="I409" s="94">
        <v>274.34460347857635</v>
      </c>
      <c r="J409" s="94">
        <v>274.40386997317097</v>
      </c>
      <c r="K409" s="94">
        <v>268.90196372496882</v>
      </c>
      <c r="L409" s="94">
        <v>270.8182470501954</v>
      </c>
      <c r="M409" s="95">
        <v>921719.09902265167</v>
      </c>
      <c r="N409" s="93" t="s">
        <v>437</v>
      </c>
      <c r="O409" s="25">
        <f t="shared" si="13"/>
        <v>1.3021118284276323E-2</v>
      </c>
    </row>
    <row r="410" spans="1:15">
      <c r="A410" s="94">
        <v>619.44414585205652</v>
      </c>
      <c r="B410" s="94">
        <v>621.60920486992484</v>
      </c>
      <c r="C410" s="94">
        <v>617.50646746163534</v>
      </c>
      <c r="D410" s="94">
        <v>619.86924876424064</v>
      </c>
      <c r="E410" s="95">
        <v>5317354.0928848628</v>
      </c>
      <c r="F410" s="93" t="s">
        <v>438</v>
      </c>
      <c r="G410" s="25">
        <f t="shared" si="12"/>
        <v>-6.8579448493633066E-4</v>
      </c>
      <c r="I410" s="94">
        <v>270.62069206821332</v>
      </c>
      <c r="J410" s="94">
        <v>272.91232985920595</v>
      </c>
      <c r="K410" s="94">
        <v>269.60328391100529</v>
      </c>
      <c r="L410" s="94">
        <v>270.23545985334812</v>
      </c>
      <c r="M410" s="95">
        <v>1063622.8855975538</v>
      </c>
      <c r="N410" s="93" t="s">
        <v>438</v>
      </c>
      <c r="O410" s="25">
        <f t="shared" si="13"/>
        <v>1.4255428028366879E-3</v>
      </c>
    </row>
    <row r="411" spans="1:15">
      <c r="A411" s="94">
        <v>618.39621774295119</v>
      </c>
      <c r="B411" s="94">
        <v>620.85786018792487</v>
      </c>
      <c r="C411" s="94">
        <v>616.99238952131964</v>
      </c>
      <c r="D411" s="94">
        <v>617.06159232097741</v>
      </c>
      <c r="E411" s="95">
        <v>8477913.3633369636</v>
      </c>
      <c r="F411" s="93" t="s">
        <v>439</v>
      </c>
      <c r="G411" s="25">
        <f t="shared" si="12"/>
        <v>2.1628722944071477E-3</v>
      </c>
      <c r="I411" s="94">
        <v>268.99086346686073</v>
      </c>
      <c r="J411" s="94">
        <v>273.96924901281028</v>
      </c>
      <c r="K411" s="94">
        <v>268.8130639830768</v>
      </c>
      <c r="L411" s="94">
        <v>272.76416362271931</v>
      </c>
      <c r="M411" s="95">
        <v>1140373.1646736437</v>
      </c>
      <c r="N411" s="93" t="s">
        <v>439</v>
      </c>
      <c r="O411" s="25">
        <f t="shared" si="13"/>
        <v>-1.3833562685594214E-2</v>
      </c>
    </row>
    <row r="412" spans="1:15">
      <c r="A412" s="94">
        <v>621.2533047573985</v>
      </c>
      <c r="B412" s="94">
        <v>621.47079927060906</v>
      </c>
      <c r="C412" s="94">
        <v>618.57911085633282</v>
      </c>
      <c r="D412" s="94">
        <v>618.89546651191165</v>
      </c>
      <c r="E412" s="95">
        <v>2983140.7258166848</v>
      </c>
      <c r="F412" s="93" t="s">
        <v>440</v>
      </c>
      <c r="G412" s="25">
        <f t="shared" si="12"/>
        <v>3.8097520067090773E-3</v>
      </c>
      <c r="I412" s="94">
        <v>275.28298964299142</v>
      </c>
      <c r="J412" s="94">
        <v>275.60885658577092</v>
      </c>
      <c r="K412" s="94">
        <v>272.47770889884526</v>
      </c>
      <c r="L412" s="94">
        <v>272.88269661190856</v>
      </c>
      <c r="M412" s="95">
        <v>482986.55413627392</v>
      </c>
      <c r="N412" s="93" t="s">
        <v>440</v>
      </c>
      <c r="O412" s="25">
        <f t="shared" si="13"/>
        <v>8.7960616810254244E-3</v>
      </c>
    </row>
    <row r="413" spans="1:15">
      <c r="A413" s="94">
        <v>617.83270923145119</v>
      </c>
      <c r="B413" s="94">
        <v>619.67152647950377</v>
      </c>
      <c r="C413" s="94">
        <v>615.17334450174064</v>
      </c>
      <c r="D413" s="94">
        <v>615.96423364068801</v>
      </c>
      <c r="E413" s="95">
        <v>5353501.763389037</v>
      </c>
      <c r="F413" s="93" t="s">
        <v>441</v>
      </c>
      <c r="G413" s="25">
        <f t="shared" si="12"/>
        <v>3.0334157224023439E-3</v>
      </c>
      <c r="I413" s="94">
        <v>272.76416362271931</v>
      </c>
      <c r="J413" s="94">
        <v>274.53228071145935</v>
      </c>
      <c r="K413" s="94">
        <v>272.19125417497116</v>
      </c>
      <c r="L413" s="94">
        <v>273.57413904884601</v>
      </c>
      <c r="M413" s="95">
        <v>866564.83315358893</v>
      </c>
      <c r="N413" s="93" t="s">
        <v>441</v>
      </c>
      <c r="O413" s="25">
        <f t="shared" si="13"/>
        <v>-2.9607163489312471E-3</v>
      </c>
    </row>
    <row r="414" spans="1:15">
      <c r="A414" s="94">
        <v>613.5915662238458</v>
      </c>
      <c r="B414" s="94">
        <v>614.66915267566173</v>
      </c>
      <c r="C414" s="94">
        <v>604.03169375681955</v>
      </c>
      <c r="D414" s="94">
        <v>607.77853105258271</v>
      </c>
      <c r="E414" s="95">
        <v>7373883.0296265623</v>
      </c>
      <c r="F414" s="93" t="s">
        <v>442</v>
      </c>
      <c r="G414" s="25">
        <f t="shared" si="12"/>
        <v>9.5643970200720574E-3</v>
      </c>
      <c r="I414" s="94">
        <v>272.95184085560231</v>
      </c>
      <c r="J414" s="94">
        <v>273.82108277632364</v>
      </c>
      <c r="K414" s="94">
        <v>270.58118107181684</v>
      </c>
      <c r="L414" s="94">
        <v>272.29990941506134</v>
      </c>
      <c r="M414" s="95">
        <v>1620648.5748305244</v>
      </c>
      <c r="N414" s="93" t="s">
        <v>442</v>
      </c>
      <c r="O414" s="25">
        <f t="shared" si="13"/>
        <v>2.3941669387310682E-3</v>
      </c>
    </row>
    <row r="415" spans="1:15">
      <c r="A415" s="94">
        <v>607.93670888037218</v>
      </c>
      <c r="B415" s="94">
        <v>609.07361201760909</v>
      </c>
      <c r="C415" s="94">
        <v>601.37727208422734</v>
      </c>
      <c r="D415" s="94">
        <v>602.34116822231942</v>
      </c>
      <c r="E415" s="95">
        <v>6290195.3700125758</v>
      </c>
      <c r="F415" s="93" t="s">
        <v>443</v>
      </c>
      <c r="G415" s="25">
        <f t="shared" si="12"/>
        <v>9.2896533613446852E-3</v>
      </c>
      <c r="I415" s="94">
        <v>272.03321018938544</v>
      </c>
      <c r="J415" s="94">
        <v>273.39633956506208</v>
      </c>
      <c r="K415" s="94">
        <v>269.70206140199639</v>
      </c>
      <c r="L415" s="94">
        <v>272.62587513533185</v>
      </c>
      <c r="M415" s="95">
        <v>2097953.6726515051</v>
      </c>
      <c r="N415" s="93" t="s">
        <v>443</v>
      </c>
      <c r="O415" s="25">
        <f t="shared" si="13"/>
        <v>-2.1739130434783593E-3</v>
      </c>
    </row>
    <row r="416" spans="1:15">
      <c r="A416" s="94">
        <v>599.02931995297729</v>
      </c>
      <c r="B416" s="94">
        <v>604.05146598529313</v>
      </c>
      <c r="C416" s="94">
        <v>591.56530370416158</v>
      </c>
      <c r="D416" s="94">
        <v>595.39122991381942</v>
      </c>
      <c r="E416" s="95">
        <v>9902643.0055972021</v>
      </c>
      <c r="F416" s="93" t="s">
        <v>444</v>
      </c>
      <c r="G416" s="25">
        <f t="shared" si="12"/>
        <v>6.1104192611041164E-3</v>
      </c>
      <c r="I416" s="94">
        <v>274.38411447497271</v>
      </c>
      <c r="J416" s="94">
        <v>281.07135061506767</v>
      </c>
      <c r="K416" s="94">
        <v>273.70254978713439</v>
      </c>
      <c r="L416" s="94">
        <v>281.07135061506767</v>
      </c>
      <c r="M416" s="95">
        <v>1715457.6239978834</v>
      </c>
      <c r="N416" s="93" t="s">
        <v>444</v>
      </c>
      <c r="O416" s="25">
        <f t="shared" si="13"/>
        <v>-2.3791952205236555E-2</v>
      </c>
    </row>
    <row r="417" spans="1:15">
      <c r="A417" s="94">
        <v>593.12730975358261</v>
      </c>
      <c r="B417" s="94">
        <v>614.05502725926897</v>
      </c>
      <c r="C417" s="94">
        <v>592.53414289937211</v>
      </c>
      <c r="D417" s="94">
        <v>611.67366006189854</v>
      </c>
      <c r="E417" s="95">
        <v>14017291.999678964</v>
      </c>
      <c r="F417" s="93" t="s">
        <v>445</v>
      </c>
      <c r="G417" s="25">
        <f t="shared" si="12"/>
        <v>-3.0320662011895538E-2</v>
      </c>
      <c r="I417" s="94">
        <v>280.74538489479716</v>
      </c>
      <c r="J417" s="94">
        <v>287.49188752948669</v>
      </c>
      <c r="K417" s="94">
        <v>279.11555629344463</v>
      </c>
      <c r="L417" s="94">
        <v>285.16073874209764</v>
      </c>
      <c r="M417" s="95">
        <v>1028797.1376919781</v>
      </c>
      <c r="N417" s="93" t="s">
        <v>445</v>
      </c>
      <c r="O417" s="25">
        <f t="shared" si="13"/>
        <v>-1.548373688039073E-2</v>
      </c>
    </row>
    <row r="418" spans="1:15">
      <c r="A418" s="94">
        <v>602.26207930842486</v>
      </c>
      <c r="B418" s="94">
        <v>606.58221236878239</v>
      </c>
      <c r="C418" s="94">
        <v>598.77228098281944</v>
      </c>
      <c r="D418" s="94">
        <v>600.60121211663522</v>
      </c>
      <c r="E418" s="95">
        <v>7381361.1952868868</v>
      </c>
      <c r="F418" s="93" t="s">
        <v>446</v>
      </c>
      <c r="G418" s="25">
        <f t="shared" si="12"/>
        <v>2.7653410587307192E-3</v>
      </c>
      <c r="I418" s="94">
        <v>281.76279305200507</v>
      </c>
      <c r="J418" s="94">
        <v>283.24939429142057</v>
      </c>
      <c r="K418" s="94">
        <v>279.04641204975087</v>
      </c>
      <c r="L418" s="94">
        <v>280.69599614930161</v>
      </c>
      <c r="M418" s="95">
        <v>975893.38454367383</v>
      </c>
      <c r="N418" s="93" t="s">
        <v>446</v>
      </c>
      <c r="O418" s="25">
        <f t="shared" si="13"/>
        <v>3.8005419291269327E-3</v>
      </c>
    </row>
    <row r="419" spans="1:15">
      <c r="A419" s="94">
        <v>600.08713417631952</v>
      </c>
      <c r="B419" s="94">
        <v>604.54577169713525</v>
      </c>
      <c r="C419" s="94">
        <v>596.13268848158259</v>
      </c>
      <c r="D419" s="94">
        <v>601.78754582505633</v>
      </c>
      <c r="E419" s="95">
        <v>8583316.7579403464</v>
      </c>
      <c r="F419" s="93" t="s">
        <v>447</v>
      </c>
      <c r="G419" s="25">
        <f t="shared" si="12"/>
        <v>-2.8256012616637571E-3</v>
      </c>
      <c r="I419" s="94">
        <v>281.95047028488813</v>
      </c>
      <c r="J419" s="94">
        <v>285.11134999660209</v>
      </c>
      <c r="K419" s="94">
        <v>280.99232862227484</v>
      </c>
      <c r="L419" s="94">
        <v>284.46929630516019</v>
      </c>
      <c r="M419" s="95">
        <v>908329.40885407198</v>
      </c>
      <c r="N419" s="93" t="s">
        <v>447</v>
      </c>
      <c r="O419" s="25">
        <f t="shared" si="13"/>
        <v>-8.8544741136844518E-3</v>
      </c>
    </row>
    <row r="420" spans="1:15">
      <c r="A420" s="94">
        <v>605.06973575168786</v>
      </c>
      <c r="B420" s="94">
        <v>612.39386348405242</v>
      </c>
      <c r="C420" s="94">
        <v>601.87652085318791</v>
      </c>
      <c r="D420" s="94">
        <v>608.72759801931954</v>
      </c>
      <c r="E420" s="95">
        <v>8960921.1341965124</v>
      </c>
      <c r="F420" s="93" t="s">
        <v>448</v>
      </c>
      <c r="G420" s="25">
        <f t="shared" si="12"/>
        <v>-6.0090297852991581E-3</v>
      </c>
      <c r="I420" s="94">
        <v>284.17296383218701</v>
      </c>
      <c r="J420" s="94">
        <v>287.93638623894645</v>
      </c>
      <c r="K420" s="94">
        <v>283.71858737362811</v>
      </c>
      <c r="L420" s="94">
        <v>286.46460162317965</v>
      </c>
      <c r="M420" s="95">
        <v>837205.91776807467</v>
      </c>
      <c r="N420" s="93" t="s">
        <v>448</v>
      </c>
      <c r="O420" s="25">
        <f t="shared" si="13"/>
        <v>-7.9997241474432101E-3</v>
      </c>
    </row>
    <row r="421" spans="1:15">
      <c r="A421" s="94">
        <v>610.7937958948196</v>
      </c>
      <c r="B421" s="94">
        <v>614.14508975996671</v>
      </c>
      <c r="C421" s="94">
        <v>602.88490450534584</v>
      </c>
      <c r="D421" s="94">
        <v>604.78303843881952</v>
      </c>
      <c r="E421" s="95">
        <v>9763082.6113971937</v>
      </c>
      <c r="F421" s="93" t="s">
        <v>449</v>
      </c>
      <c r="G421" s="25">
        <f t="shared" si="12"/>
        <v>9.9387004495301579E-3</v>
      </c>
      <c r="I421" s="94">
        <v>284.66685128863679</v>
      </c>
      <c r="J421" s="94">
        <v>285.1114741739558</v>
      </c>
      <c r="K421" s="94">
        <v>278.5975521682426</v>
      </c>
      <c r="L421" s="94">
        <v>280.12225454046478</v>
      </c>
      <c r="M421" s="95">
        <v>1259319.4153699127</v>
      </c>
      <c r="N421" s="93" t="s">
        <v>449</v>
      </c>
      <c r="O421" s="25">
        <f t="shared" si="13"/>
        <v>1.6223619060996564E-2</v>
      </c>
    </row>
    <row r="422" spans="1:15">
      <c r="A422" s="94">
        <v>610.95197372260907</v>
      </c>
      <c r="B422" s="94">
        <v>618.89052345479331</v>
      </c>
      <c r="C422" s="94">
        <v>609.48882881555642</v>
      </c>
      <c r="D422" s="94">
        <v>618.54450945650376</v>
      </c>
      <c r="E422" s="95">
        <v>10647662.719465353</v>
      </c>
      <c r="F422" s="93" t="s">
        <v>450</v>
      </c>
      <c r="G422" s="25">
        <f t="shared" si="12"/>
        <v>-1.2274841370051193E-2</v>
      </c>
      <c r="I422" s="94">
        <v>283.66349875981962</v>
      </c>
      <c r="J422" s="94">
        <v>296.7999409273063</v>
      </c>
      <c r="K422" s="94">
        <v>282.81753486297373</v>
      </c>
      <c r="L422" s="94">
        <v>296.13654784354719</v>
      </c>
      <c r="M422" s="95">
        <v>1537046.2082933283</v>
      </c>
      <c r="N422" s="93" t="s">
        <v>450</v>
      </c>
      <c r="O422" s="25">
        <f t="shared" si="13"/>
        <v>-4.211924929413724E-2</v>
      </c>
    </row>
    <row r="423" spans="1:15">
      <c r="A423" s="94">
        <v>621.06546858689865</v>
      </c>
      <c r="B423" s="94">
        <v>622.59781629360907</v>
      </c>
      <c r="C423" s="94">
        <v>618.96961236868799</v>
      </c>
      <c r="D423" s="94">
        <v>622.479182922767</v>
      </c>
      <c r="E423" s="95">
        <v>6135702.9209664008</v>
      </c>
      <c r="F423" s="93" t="s">
        <v>451</v>
      </c>
      <c r="G423" s="25">
        <f t="shared" si="12"/>
        <v>-2.2711029937265703E-3</v>
      </c>
      <c r="I423" s="94">
        <v>295.33976789419233</v>
      </c>
      <c r="J423" s="94">
        <v>297.99570105870845</v>
      </c>
      <c r="K423" s="94">
        <v>293.34289962605612</v>
      </c>
      <c r="L423" s="94">
        <v>296.23983413327835</v>
      </c>
      <c r="M423" s="95">
        <v>1577889.8189117317</v>
      </c>
      <c r="N423" s="93" t="s">
        <v>451</v>
      </c>
      <c r="O423" s="25">
        <f t="shared" si="13"/>
        <v>-3.0383025352392901E-3</v>
      </c>
    </row>
    <row r="424" spans="1:15">
      <c r="A424" s="94">
        <v>620.75899904555638</v>
      </c>
      <c r="B424" s="94">
        <v>621.33239367129329</v>
      </c>
      <c r="C424" s="94">
        <v>616.96273117860915</v>
      </c>
      <c r="D424" s="94">
        <v>618.04031763042485</v>
      </c>
      <c r="E424" s="95">
        <v>5675509.9785213806</v>
      </c>
      <c r="F424" s="93" t="s">
        <v>452</v>
      </c>
      <c r="G424" s="25">
        <f t="shared" si="12"/>
        <v>4.3988738882845269E-3</v>
      </c>
      <c r="I424" s="94">
        <v>296.75626558193426</v>
      </c>
      <c r="J424" s="94">
        <v>297.62190305777659</v>
      </c>
      <c r="K424" s="94">
        <v>291.16896914695224</v>
      </c>
      <c r="L424" s="94">
        <v>292.0542802017909</v>
      </c>
      <c r="M424" s="95">
        <v>1483965.8816181333</v>
      </c>
      <c r="N424" s="93" t="s">
        <v>452</v>
      </c>
      <c r="O424" s="25">
        <f t="shared" si="13"/>
        <v>1.6099696867632129E-2</v>
      </c>
    </row>
    <row r="425" spans="1:15">
      <c r="A425" s="94">
        <v>619.33539859545124</v>
      </c>
      <c r="B425" s="94">
        <v>620.06697104897751</v>
      </c>
      <c r="C425" s="94">
        <v>613.5915662238458</v>
      </c>
      <c r="D425" s="94">
        <v>615.59844741392487</v>
      </c>
      <c r="E425" s="95">
        <v>8480371.3563782983</v>
      </c>
      <c r="F425" s="93" t="s">
        <v>453</v>
      </c>
      <c r="G425" s="25">
        <f t="shared" si="12"/>
        <v>6.0704363326855582E-3</v>
      </c>
      <c r="I425" s="94">
        <v>292.15264809677302</v>
      </c>
      <c r="J425" s="94">
        <v>292.99762831466904</v>
      </c>
      <c r="K425" s="94">
        <v>285.56199913297377</v>
      </c>
      <c r="L425" s="94">
        <v>285.6111830804648</v>
      </c>
      <c r="M425" s="95">
        <v>1486217.6325582175</v>
      </c>
      <c r="N425" s="93" t="s">
        <v>453</v>
      </c>
      <c r="O425" s="25">
        <f t="shared" si="13"/>
        <v>2.2903392457378935E-2</v>
      </c>
    </row>
    <row r="426" spans="1:15">
      <c r="A426" s="94">
        <v>609.86450115655634</v>
      </c>
      <c r="B426" s="94">
        <v>609.99302064163533</v>
      </c>
      <c r="C426" s="94">
        <v>600.99665668610896</v>
      </c>
      <c r="D426" s="94">
        <v>607.09638917024063</v>
      </c>
      <c r="E426" s="95">
        <v>7613909.5904321112</v>
      </c>
      <c r="F426" s="93" t="s">
        <v>454</v>
      </c>
      <c r="G426" s="25">
        <f t="shared" si="12"/>
        <v>4.5595922421792778E-3</v>
      </c>
      <c r="I426" s="94">
        <v>285.91612355490923</v>
      </c>
      <c r="J426" s="94">
        <v>287.73592961207765</v>
      </c>
      <c r="K426" s="94">
        <v>279.59598630231068</v>
      </c>
      <c r="L426" s="94">
        <v>281.59777296519599</v>
      </c>
      <c r="M426" s="95">
        <v>943955.34251207812</v>
      </c>
      <c r="N426" s="93" t="s">
        <v>454</v>
      </c>
      <c r="O426" s="25">
        <f t="shared" si="13"/>
        <v>1.533517308834309E-2</v>
      </c>
    </row>
    <row r="427" spans="1:15">
      <c r="A427" s="94">
        <v>609.22190373116166</v>
      </c>
      <c r="B427" s="94">
        <v>615.69730855629325</v>
      </c>
      <c r="C427" s="94">
        <v>607.8180755095301</v>
      </c>
      <c r="D427" s="94">
        <v>614.8767610746354</v>
      </c>
      <c r="E427" s="95">
        <v>7113124.3596131122</v>
      </c>
      <c r="F427" s="93" t="s">
        <v>455</v>
      </c>
      <c r="G427" s="25">
        <f t="shared" si="12"/>
        <v>-9.1967329088687988E-3</v>
      </c>
      <c r="I427" s="94">
        <v>280.36817427791999</v>
      </c>
      <c r="J427" s="94">
        <v>283.584804443834</v>
      </c>
      <c r="K427" s="94">
        <v>280.15176490895942</v>
      </c>
      <c r="L427" s="94">
        <v>282.48308402003471</v>
      </c>
      <c r="M427" s="95">
        <v>642219.69994894753</v>
      </c>
      <c r="N427" s="93" t="s">
        <v>455</v>
      </c>
      <c r="O427" s="25">
        <f t="shared" si="13"/>
        <v>-7.4868544764425948E-3</v>
      </c>
    </row>
    <row r="428" spans="1:15">
      <c r="A428" s="94">
        <v>615.76651135595114</v>
      </c>
      <c r="B428" s="94">
        <v>618.87075122631961</v>
      </c>
      <c r="C428" s="94">
        <v>612.77101874218806</v>
      </c>
      <c r="D428" s="94">
        <v>613.52236342418803</v>
      </c>
      <c r="E428" s="95">
        <v>10382705.23088623</v>
      </c>
      <c r="F428" s="93" t="s">
        <v>456</v>
      </c>
      <c r="G428" s="25">
        <f t="shared" si="12"/>
        <v>3.6578095038590774E-3</v>
      </c>
      <c r="I428" s="94">
        <v>282.41422649354723</v>
      </c>
      <c r="J428" s="94">
        <v>287.13627892426695</v>
      </c>
      <c r="K428" s="94">
        <v>282.33553217756156</v>
      </c>
      <c r="L428" s="94">
        <v>284.05697033974792</v>
      </c>
      <c r="M428" s="95">
        <v>913028.58535666426</v>
      </c>
      <c r="N428" s="93" t="s">
        <v>456</v>
      </c>
      <c r="O428" s="25">
        <f t="shared" si="13"/>
        <v>-5.7831492191016132E-3</v>
      </c>
    </row>
    <row r="429" spans="1:15">
      <c r="A429" s="94">
        <v>613.91780799366165</v>
      </c>
      <c r="B429" s="94">
        <v>618.05020374466164</v>
      </c>
      <c r="C429" s="94">
        <v>613.1368049689512</v>
      </c>
      <c r="D429" s="94">
        <v>614.57029153329324</v>
      </c>
      <c r="E429" s="95">
        <v>8297853.7405818244</v>
      </c>
      <c r="F429" s="93" t="s">
        <v>457</v>
      </c>
      <c r="G429" s="25">
        <f t="shared" si="12"/>
        <v>-1.0616906619480559E-3</v>
      </c>
      <c r="I429" s="94">
        <v>286.36861587182682</v>
      </c>
      <c r="J429" s="94">
        <v>287.11621187369059</v>
      </c>
      <c r="K429" s="94">
        <v>281.11822947715837</v>
      </c>
      <c r="L429" s="94">
        <v>283.13231212691642</v>
      </c>
      <c r="M429" s="95">
        <v>1068929.0445745217</v>
      </c>
      <c r="N429" s="93" t="s">
        <v>457</v>
      </c>
      <c r="O429" s="25">
        <f t="shared" si="13"/>
        <v>1.143035819754723E-2</v>
      </c>
    </row>
    <row r="430" spans="1:15">
      <c r="A430" s="94">
        <v>621.11489915808272</v>
      </c>
      <c r="B430" s="94">
        <v>623.35904708984594</v>
      </c>
      <c r="C430" s="94">
        <v>618.04031763042485</v>
      </c>
      <c r="D430" s="94">
        <v>623.24041371900375</v>
      </c>
      <c r="E430" s="95">
        <v>5573703.5482204612</v>
      </c>
      <c r="F430" s="93" t="s">
        <v>458</v>
      </c>
      <c r="G430" s="25">
        <f t="shared" si="12"/>
        <v>-3.4104247961675993E-3</v>
      </c>
      <c r="I430" s="94">
        <v>283.87990812878019</v>
      </c>
      <c r="J430" s="94">
        <v>285.16852755304541</v>
      </c>
      <c r="K430" s="94">
        <v>281.2829957012533</v>
      </c>
      <c r="L430" s="94">
        <v>284.87342386809922</v>
      </c>
      <c r="M430" s="95">
        <v>1021561.9640768766</v>
      </c>
      <c r="N430" s="93" t="s">
        <v>458</v>
      </c>
      <c r="O430" s="25">
        <f t="shared" si="13"/>
        <v>-3.487569060773632E-3</v>
      </c>
    </row>
    <row r="431" spans="1:15">
      <c r="A431" s="94">
        <v>619.89890710695113</v>
      </c>
      <c r="B431" s="94">
        <v>622.76588023563545</v>
      </c>
      <c r="C431" s="94">
        <v>617.38783409079326</v>
      </c>
      <c r="D431" s="94">
        <v>622.66701909326707</v>
      </c>
      <c r="E431" s="95">
        <v>7100137.4572848408</v>
      </c>
      <c r="F431" s="93" t="s">
        <v>459</v>
      </c>
      <c r="G431" s="25">
        <f t="shared" si="12"/>
        <v>-4.4455734789790036E-3</v>
      </c>
      <c r="I431" s="94">
        <v>284.3815843931888</v>
      </c>
      <c r="J431" s="94">
        <v>289.92953367017805</v>
      </c>
      <c r="K431" s="94">
        <v>283.23068002189848</v>
      </c>
      <c r="L431" s="94">
        <v>289.19177445781247</v>
      </c>
      <c r="M431" s="95">
        <v>2145053.5262388475</v>
      </c>
      <c r="N431" s="93" t="s">
        <v>459</v>
      </c>
      <c r="O431" s="25">
        <f t="shared" si="13"/>
        <v>-1.6633218816966666E-2</v>
      </c>
    </row>
    <row r="432" spans="1:15">
      <c r="A432" s="94">
        <v>618.11940654431965</v>
      </c>
      <c r="B432" s="94">
        <v>623.44802211797753</v>
      </c>
      <c r="C432" s="94">
        <v>617.98100094500387</v>
      </c>
      <c r="D432" s="94">
        <v>621.64874932687223</v>
      </c>
      <c r="E432" s="95">
        <v>6242774.3116706731</v>
      </c>
      <c r="F432" s="93" t="s">
        <v>460</v>
      </c>
      <c r="G432" s="25">
        <f t="shared" si="12"/>
        <v>-5.6773906267393315E-3</v>
      </c>
      <c r="I432" s="94">
        <v>291.07060125197012</v>
      </c>
      <c r="J432" s="94">
        <v>300.1770091299361</v>
      </c>
      <c r="K432" s="94">
        <v>277.78109863989135</v>
      </c>
      <c r="L432" s="94">
        <v>279.44351606508843</v>
      </c>
      <c r="M432" s="95">
        <v>2587865.6857136018</v>
      </c>
      <c r="N432" s="93" t="s">
        <v>460</v>
      </c>
      <c r="O432" s="25">
        <f t="shared" si="13"/>
        <v>4.1607997747113545E-2</v>
      </c>
    </row>
    <row r="433" spans="1:15">
      <c r="A433" s="94">
        <v>624.75298919724071</v>
      </c>
      <c r="B433" s="94">
        <v>626.90816210087223</v>
      </c>
      <c r="C433" s="94">
        <v>620.7194545886091</v>
      </c>
      <c r="D433" s="94">
        <v>625.99863959108279</v>
      </c>
      <c r="E433" s="95">
        <v>6106937.3217443917</v>
      </c>
      <c r="F433" s="93" t="s">
        <v>461</v>
      </c>
      <c r="G433" s="25">
        <f t="shared" si="12"/>
        <v>-1.9898611834935354E-3</v>
      </c>
      <c r="I433" s="94">
        <v>282.18798033508847</v>
      </c>
      <c r="J433" s="94">
        <v>284.83899510485548</v>
      </c>
      <c r="K433" s="94">
        <v>280.78131943684474</v>
      </c>
      <c r="L433" s="94">
        <v>282.61096228351141</v>
      </c>
      <c r="M433" s="95">
        <v>1038519.7326689961</v>
      </c>
      <c r="N433" s="93" t="s">
        <v>461</v>
      </c>
      <c r="O433" s="25">
        <f t="shared" si="13"/>
        <v>-1.4966933518969494E-3</v>
      </c>
    </row>
    <row r="434" spans="1:15">
      <c r="A434" s="94">
        <v>624.49595022708286</v>
      </c>
      <c r="B434" s="94">
        <v>626.17658964734596</v>
      </c>
      <c r="C434" s="94">
        <v>622.46929680853009</v>
      </c>
      <c r="D434" s="94">
        <v>624.51572245555656</v>
      </c>
      <c r="E434" s="95">
        <v>5639502.90926525</v>
      </c>
      <c r="F434" s="93" t="s">
        <v>462</v>
      </c>
      <c r="G434" s="25">
        <f t="shared" si="12"/>
        <v>-3.1660097196573034E-5</v>
      </c>
      <c r="I434" s="94">
        <v>282.68965659949703</v>
      </c>
      <c r="J434" s="94">
        <v>287.17513424278485</v>
      </c>
      <c r="K434" s="94">
        <v>282.38471612505259</v>
      </c>
      <c r="L434" s="94">
        <v>285.94563392340388</v>
      </c>
      <c r="M434" s="95">
        <v>986177.45167438849</v>
      </c>
      <c r="N434" s="93" t="s">
        <v>462</v>
      </c>
      <c r="O434" s="25">
        <f t="shared" si="13"/>
        <v>-1.1386700608896239E-2</v>
      </c>
    </row>
    <row r="435" spans="1:15">
      <c r="A435" s="94">
        <v>622.82519692105643</v>
      </c>
      <c r="B435" s="94">
        <v>623.11189423392489</v>
      </c>
      <c r="C435" s="94">
        <v>620.01754047779332</v>
      </c>
      <c r="D435" s="94">
        <v>620.59093510353011</v>
      </c>
      <c r="E435" s="95">
        <v>7894219.9260817599</v>
      </c>
      <c r="F435" s="93" t="s">
        <v>463</v>
      </c>
      <c r="G435" s="25">
        <f t="shared" si="12"/>
        <v>3.600216650205379E-3</v>
      </c>
      <c r="I435" s="94">
        <v>286.38828945082321</v>
      </c>
      <c r="J435" s="94">
        <v>290.12626946014217</v>
      </c>
      <c r="K435" s="94">
        <v>285.57183592247196</v>
      </c>
      <c r="L435" s="94">
        <v>288.76879250938953</v>
      </c>
      <c r="M435" s="95">
        <v>1074795.796120899</v>
      </c>
      <c r="N435" s="93" t="s">
        <v>463</v>
      </c>
      <c r="O435" s="25">
        <f t="shared" si="13"/>
        <v>-8.2436299223328513E-3</v>
      </c>
    </row>
    <row r="436" spans="1:15">
      <c r="A436" s="94">
        <v>615.46004181460899</v>
      </c>
      <c r="B436" s="94">
        <v>616.68582111883507</v>
      </c>
      <c r="C436" s="94">
        <v>614.13233667260113</v>
      </c>
      <c r="D436" s="94">
        <v>614.837216617688</v>
      </c>
      <c r="E436" s="95">
        <v>5715940.4237321448</v>
      </c>
      <c r="F436" s="93" t="s">
        <v>464</v>
      </c>
      <c r="G436" s="25">
        <f t="shared" si="12"/>
        <v>1.0129920246975122E-3</v>
      </c>
      <c r="I436" s="94">
        <v>288.414668087454</v>
      </c>
      <c r="J436" s="94">
        <v>291.46407283189848</v>
      </c>
      <c r="K436" s="94">
        <v>287.79495034906694</v>
      </c>
      <c r="L436" s="94">
        <v>290.85419188300955</v>
      </c>
      <c r="M436" s="95">
        <v>817019.61818581412</v>
      </c>
      <c r="N436" s="93" t="s">
        <v>464</v>
      </c>
      <c r="O436" s="25">
        <f t="shared" si="13"/>
        <v>-8.3874458874458879E-3</v>
      </c>
    </row>
    <row r="437" spans="1:15">
      <c r="A437" s="94">
        <v>610.40823743958276</v>
      </c>
      <c r="B437" s="94">
        <v>611.4304616516722</v>
      </c>
      <c r="C437" s="94">
        <v>606.99752802787214</v>
      </c>
      <c r="D437" s="94">
        <v>607.2545669980301</v>
      </c>
      <c r="E437" s="95">
        <v>5892466.8079303354</v>
      </c>
      <c r="F437" s="93" t="s">
        <v>465</v>
      </c>
      <c r="G437" s="25">
        <f t="shared" si="12"/>
        <v>5.1933251933251601E-3</v>
      </c>
      <c r="I437" s="94">
        <v>288.49336240343968</v>
      </c>
      <c r="J437" s="94">
        <v>289.39834703727479</v>
      </c>
      <c r="K437" s="94">
        <v>285.41444729050062</v>
      </c>
      <c r="L437" s="94">
        <v>285.41444729050062</v>
      </c>
      <c r="M437" s="95">
        <v>654355.77341293183</v>
      </c>
      <c r="N437" s="93" t="s">
        <v>465</v>
      </c>
      <c r="O437" s="25">
        <f t="shared" si="13"/>
        <v>1.0787523694640644E-2</v>
      </c>
    </row>
    <row r="438" spans="1:15">
      <c r="A438" s="94">
        <v>606.97775579939855</v>
      </c>
      <c r="B438" s="94">
        <v>610.7937958948196</v>
      </c>
      <c r="C438" s="94">
        <v>602.88490450534584</v>
      </c>
      <c r="D438" s="94">
        <v>610.7937958948196</v>
      </c>
      <c r="E438" s="95">
        <v>6189515.7727355435</v>
      </c>
      <c r="F438" s="93" t="s">
        <v>466</v>
      </c>
      <c r="G438" s="25">
        <f t="shared" si="12"/>
        <v>-6.247673308191537E-3</v>
      </c>
      <c r="I438" s="94">
        <v>284.25370612971216</v>
      </c>
      <c r="J438" s="94">
        <v>288.70977177240025</v>
      </c>
      <c r="K438" s="94">
        <v>284.00778639225695</v>
      </c>
      <c r="L438" s="94">
        <v>287.52935703261534</v>
      </c>
      <c r="M438" s="95">
        <v>1117211.057734052</v>
      </c>
      <c r="N438" s="93" t="s">
        <v>466</v>
      </c>
      <c r="O438" s="25">
        <f t="shared" si="13"/>
        <v>-1.1392405063290978E-2</v>
      </c>
    </row>
    <row r="439" spans="1:15">
      <c r="A439" s="94">
        <v>610.06222344129321</v>
      </c>
      <c r="B439" s="94">
        <v>611.69343229037224</v>
      </c>
      <c r="C439" s="94">
        <v>608.96585337242743</v>
      </c>
      <c r="D439" s="94">
        <v>610.29949018297748</v>
      </c>
      <c r="E439" s="95">
        <v>4204008.6736116419</v>
      </c>
      <c r="F439" s="93" t="s">
        <v>467</v>
      </c>
      <c r="G439" s="25">
        <f t="shared" si="12"/>
        <v>-3.8877099768364065E-4</v>
      </c>
      <c r="I439" s="94">
        <v>287.52935703261534</v>
      </c>
      <c r="J439" s="94">
        <v>289.02454903634288</v>
      </c>
      <c r="K439" s="94">
        <v>283.84056097078741</v>
      </c>
      <c r="L439" s="94">
        <v>285.66036702795583</v>
      </c>
      <c r="M439" s="95">
        <v>967130.58683763107</v>
      </c>
      <c r="N439" s="93" t="s">
        <v>467</v>
      </c>
      <c r="O439" s="25">
        <f t="shared" si="13"/>
        <v>6.5426997245179308E-3</v>
      </c>
    </row>
    <row r="440" spans="1:15">
      <c r="A440" s="94">
        <v>610.14131235518789</v>
      </c>
      <c r="B440" s="94">
        <v>610.97174595108265</v>
      </c>
      <c r="C440" s="94">
        <v>606.52299454450372</v>
      </c>
      <c r="D440" s="94">
        <v>606.52299454450372</v>
      </c>
      <c r="E440" s="95">
        <v>4095871.141069687</v>
      </c>
      <c r="F440" s="93" t="s">
        <v>468</v>
      </c>
      <c r="G440" s="25">
        <f t="shared" si="12"/>
        <v>5.9656729311665657E-3</v>
      </c>
      <c r="I440" s="94">
        <v>285.81775565992717</v>
      </c>
      <c r="J440" s="94">
        <v>286.88504732048267</v>
      </c>
      <c r="K440" s="94">
        <v>281.3026692802498</v>
      </c>
      <c r="L440" s="94">
        <v>281.58793617569779</v>
      </c>
      <c r="M440" s="95">
        <v>734280.22438783955</v>
      </c>
      <c r="N440" s="93" t="s">
        <v>468</v>
      </c>
      <c r="O440" s="25">
        <f t="shared" si="13"/>
        <v>1.5021309299238395E-2</v>
      </c>
    </row>
    <row r="441" spans="1:15">
      <c r="A441" s="94">
        <v>603.80431312937208</v>
      </c>
      <c r="B441" s="94">
        <v>605.04996352321427</v>
      </c>
      <c r="C441" s="94">
        <v>598.20877247131955</v>
      </c>
      <c r="D441" s="94">
        <v>599.43465063668793</v>
      </c>
      <c r="E441" s="95">
        <v>6963393.1341247819</v>
      </c>
      <c r="F441" s="93" t="s">
        <v>469</v>
      </c>
      <c r="G441" s="25">
        <f t="shared" si="12"/>
        <v>7.289639476201204E-3</v>
      </c>
      <c r="I441" s="94">
        <v>279.23694348562611</v>
      </c>
      <c r="J441" s="94">
        <v>280.44686859390566</v>
      </c>
      <c r="K441" s="94">
        <v>277.66305716591285</v>
      </c>
      <c r="L441" s="94">
        <v>279.56155753906694</v>
      </c>
      <c r="M441" s="95">
        <v>898110.10000870225</v>
      </c>
      <c r="N441" s="93" t="s">
        <v>469</v>
      </c>
      <c r="O441" s="25">
        <f t="shared" si="13"/>
        <v>-1.161154116819052E-3</v>
      </c>
    </row>
    <row r="442" spans="1:15">
      <c r="A442" s="94">
        <v>600.47269263155636</v>
      </c>
      <c r="B442" s="94">
        <v>607.79830328105629</v>
      </c>
      <c r="C442" s="94">
        <v>597.2597055045826</v>
      </c>
      <c r="D442" s="94">
        <v>606.12754997503009</v>
      </c>
      <c r="E442" s="95">
        <v>7619989.8357701618</v>
      </c>
      <c r="F442" s="93" t="s">
        <v>470</v>
      </c>
      <c r="G442" s="25">
        <f t="shared" si="12"/>
        <v>-9.3294841056253963E-3</v>
      </c>
      <c r="I442" s="94">
        <v>279.65008864455086</v>
      </c>
      <c r="J442" s="94">
        <v>286.23090081885192</v>
      </c>
      <c r="K442" s="94">
        <v>279.45335285458663</v>
      </c>
      <c r="L442" s="94">
        <v>285.55216234347557</v>
      </c>
      <c r="M442" s="95">
        <v>1212253.2460588433</v>
      </c>
      <c r="N442" s="93" t="s">
        <v>470</v>
      </c>
      <c r="O442" s="25">
        <f t="shared" si="13"/>
        <v>-2.0668986186227589E-2</v>
      </c>
    </row>
    <row r="443" spans="1:15">
      <c r="A443" s="94">
        <v>604.46668278324057</v>
      </c>
      <c r="B443" s="94">
        <v>609.18730233133272</v>
      </c>
      <c r="C443" s="94">
        <v>598.92057269637212</v>
      </c>
      <c r="D443" s="94">
        <v>606.0880055180827</v>
      </c>
      <c r="E443" s="95">
        <v>6549576.3500991538</v>
      </c>
      <c r="F443" s="93" t="s">
        <v>471</v>
      </c>
      <c r="G443" s="25">
        <f t="shared" si="12"/>
        <v>-2.675061575350246E-3</v>
      </c>
      <c r="I443" s="94">
        <v>284.99146534207773</v>
      </c>
      <c r="J443" s="94">
        <v>297.06120605637875</v>
      </c>
      <c r="K443" s="94">
        <v>279.01069732716729</v>
      </c>
      <c r="L443" s="94">
        <v>295.26599197295582</v>
      </c>
      <c r="M443" s="95">
        <v>1441796.635231843</v>
      </c>
      <c r="N443" s="93" t="s">
        <v>471</v>
      </c>
      <c r="O443" s="25">
        <f t="shared" si="13"/>
        <v>-3.4797528026252245E-2</v>
      </c>
    </row>
    <row r="444" spans="1:15">
      <c r="A444" s="94">
        <v>601.81720416776682</v>
      </c>
      <c r="B444" s="94">
        <v>605.16859689405635</v>
      </c>
      <c r="C444" s="94">
        <v>593.67104603660891</v>
      </c>
      <c r="D444" s="94">
        <v>597.31902219000369</v>
      </c>
      <c r="E444" s="95">
        <v>7555059.3702078871</v>
      </c>
      <c r="F444" s="93" t="s">
        <v>472</v>
      </c>
      <c r="G444" s="25">
        <f t="shared" ref="G444:G507" si="14">A444/D444-1</f>
        <v>7.5306190003308071E-3</v>
      </c>
      <c r="I444" s="94">
        <v>295.09384815673718</v>
      </c>
      <c r="J444" s="94">
        <v>295.70864750037515</v>
      </c>
      <c r="K444" s="94">
        <v>287.71625603308127</v>
      </c>
      <c r="L444" s="94">
        <v>288.04087008652209</v>
      </c>
      <c r="M444" s="95">
        <v>834597.50780432252</v>
      </c>
      <c r="N444" s="93" t="s">
        <v>472</v>
      </c>
      <c r="O444" s="25">
        <f t="shared" ref="O444:O507" si="15">I444/L444-1</f>
        <v>2.4486032374837929E-2</v>
      </c>
    </row>
    <row r="445" spans="1:15">
      <c r="A445" s="94">
        <v>602.66740999213528</v>
      </c>
      <c r="B445" s="94">
        <v>604.06847010178058</v>
      </c>
      <c r="C445" s="94">
        <v>599.66697432125375</v>
      </c>
      <c r="D445" s="94">
        <v>600.45292040308266</v>
      </c>
      <c r="E445" s="95">
        <v>7022435.5431053247</v>
      </c>
      <c r="F445" s="93" t="s">
        <v>473</v>
      </c>
      <c r="G445" s="25">
        <f t="shared" si="14"/>
        <v>3.6880320068490846E-3</v>
      </c>
      <c r="I445" s="94">
        <v>288.63107745641463</v>
      </c>
      <c r="J445" s="94">
        <v>289.64426677473</v>
      </c>
      <c r="K445" s="94">
        <v>285.96530750240026</v>
      </c>
      <c r="L445" s="94">
        <v>286.62437239878017</v>
      </c>
      <c r="M445" s="95">
        <v>659027.01294777915</v>
      </c>
      <c r="N445" s="93" t="s">
        <v>473</v>
      </c>
      <c r="O445" s="25">
        <f t="shared" si="15"/>
        <v>7.001166861143826E-3</v>
      </c>
    </row>
    <row r="446" spans="1:15">
      <c r="A446" s="94">
        <v>593.67104603660891</v>
      </c>
      <c r="B446" s="94">
        <v>612.54363811474059</v>
      </c>
      <c r="C446" s="94">
        <v>593.39423483797736</v>
      </c>
      <c r="D446" s="94">
        <v>610.95197372260907</v>
      </c>
      <c r="E446" s="95">
        <v>13492866.540313035</v>
      </c>
      <c r="F446" s="93" t="s">
        <v>474</v>
      </c>
      <c r="G446" s="25">
        <f t="shared" si="14"/>
        <v>-2.8285247334099317E-2</v>
      </c>
      <c r="I446" s="94">
        <v>287.56870419060812</v>
      </c>
      <c r="J446" s="94">
        <v>294.59709028707766</v>
      </c>
      <c r="K446" s="94">
        <v>287.37196840064399</v>
      </c>
      <c r="L446" s="94">
        <v>293.88392304845758</v>
      </c>
      <c r="M446" s="95">
        <v>1278963.0196205885</v>
      </c>
      <c r="N446" s="93" t="s">
        <v>474</v>
      </c>
      <c r="O446" s="25">
        <f t="shared" si="15"/>
        <v>-2.1488820457892688E-2</v>
      </c>
    </row>
    <row r="447" spans="1:15">
      <c r="A447" s="94">
        <v>610.07210955553012</v>
      </c>
      <c r="B447" s="94">
        <v>612.5337520005038</v>
      </c>
      <c r="C447" s="94">
        <v>608.27283676442482</v>
      </c>
      <c r="D447" s="94">
        <v>612.17785188797745</v>
      </c>
      <c r="E447" s="95">
        <v>5947481.3451863527</v>
      </c>
      <c r="F447" s="93" t="s">
        <v>475</v>
      </c>
      <c r="G447" s="25">
        <f t="shared" si="14"/>
        <v>-3.439755825783597E-3</v>
      </c>
      <c r="I447" s="94">
        <v>293.33306283655793</v>
      </c>
      <c r="J447" s="94">
        <v>303.09115801878011</v>
      </c>
      <c r="K447" s="94">
        <v>292.08379057028554</v>
      </c>
      <c r="L447" s="94">
        <v>301.98943759498087</v>
      </c>
      <c r="M447" s="95">
        <v>1633619.3839390075</v>
      </c>
      <c r="N447" s="93" t="s">
        <v>475</v>
      </c>
      <c r="O447" s="25">
        <f t="shared" si="15"/>
        <v>-2.8664495114006594E-2</v>
      </c>
    </row>
    <row r="448" spans="1:15">
      <c r="A448" s="94">
        <v>611.72309063308273</v>
      </c>
      <c r="B448" s="94">
        <v>611.8516101181616</v>
      </c>
      <c r="C448" s="94">
        <v>608.45493898866744</v>
      </c>
      <c r="D448" s="94">
        <v>609.19718844556962</v>
      </c>
      <c r="E448" s="95">
        <v>5058039.8731031101</v>
      </c>
      <c r="F448" s="93" t="s">
        <v>476</v>
      </c>
      <c r="G448" s="25">
        <f t="shared" si="14"/>
        <v>4.1462801132721161E-3</v>
      </c>
      <c r="I448" s="94">
        <v>301.75335464702385</v>
      </c>
      <c r="J448" s="94">
        <v>301.82221217351128</v>
      </c>
      <c r="K448" s="94">
        <v>297.02185889838586</v>
      </c>
      <c r="L448" s="94">
        <v>298.05472179569773</v>
      </c>
      <c r="M448" s="95">
        <v>1104693.7623276154</v>
      </c>
      <c r="N448" s="93" t="s">
        <v>476</v>
      </c>
      <c r="O448" s="25">
        <f t="shared" si="15"/>
        <v>1.2409240924092346E-2</v>
      </c>
    </row>
    <row r="449" spans="1:15">
      <c r="A449" s="94">
        <v>608.19374785053014</v>
      </c>
      <c r="B449" s="94">
        <v>611.69274026237554</v>
      </c>
      <c r="C449" s="94">
        <v>606.82946408584587</v>
      </c>
      <c r="D449" s="94">
        <v>611.25844326395111</v>
      </c>
      <c r="E449" s="95">
        <v>7525209.4217923339</v>
      </c>
      <c r="F449" s="93" t="s">
        <v>477</v>
      </c>
      <c r="G449" s="25">
        <f t="shared" si="14"/>
        <v>-5.0137473718258052E-3</v>
      </c>
      <c r="I449" s="94">
        <v>296.5103458444791</v>
      </c>
      <c r="J449" s="94">
        <v>299.08758469300955</v>
      </c>
      <c r="K449" s="94">
        <v>293.87408625895938</v>
      </c>
      <c r="L449" s="94">
        <v>298.36949905964036</v>
      </c>
      <c r="M449" s="95">
        <v>870568.59370226366</v>
      </c>
      <c r="N449" s="93" t="s">
        <v>477</v>
      </c>
      <c r="O449" s="25">
        <f t="shared" si="15"/>
        <v>-6.23104312277456E-3</v>
      </c>
    </row>
    <row r="450" spans="1:15">
      <c r="A450" s="94">
        <v>610.36869298263537</v>
      </c>
      <c r="B450" s="94">
        <v>611.23867103547741</v>
      </c>
      <c r="C450" s="94">
        <v>608.47055904916169</v>
      </c>
      <c r="D450" s="94">
        <v>610.42800966805646</v>
      </c>
      <c r="E450" s="95">
        <v>6026830.0135515863</v>
      </c>
      <c r="F450" s="93" t="s">
        <v>478</v>
      </c>
      <c r="G450" s="25">
        <f t="shared" si="14"/>
        <v>-9.7172286463997892E-5</v>
      </c>
      <c r="I450" s="94">
        <v>298.06455858519593</v>
      </c>
      <c r="J450" s="94">
        <v>298.17768166442534</v>
      </c>
      <c r="K450" s="94">
        <v>291.75917651684472</v>
      </c>
      <c r="L450" s="94">
        <v>292.43791499222107</v>
      </c>
      <c r="M450" s="95">
        <v>826557.28289004439</v>
      </c>
      <c r="N450" s="93" t="s">
        <v>478</v>
      </c>
      <c r="O450" s="25">
        <f t="shared" si="15"/>
        <v>1.9240472266137232E-2</v>
      </c>
    </row>
    <row r="451" spans="1:15">
      <c r="A451" s="94">
        <v>608.29260899289841</v>
      </c>
      <c r="B451" s="94">
        <v>611.37707663479318</v>
      </c>
      <c r="C451" s="94">
        <v>607.29213423213002</v>
      </c>
      <c r="D451" s="94">
        <v>608.93520641829332</v>
      </c>
      <c r="E451" s="95">
        <v>7269957.4654072905</v>
      </c>
      <c r="F451" s="93" t="s">
        <v>479</v>
      </c>
      <c r="G451" s="25">
        <f t="shared" si="14"/>
        <v>-1.0552804610766131E-3</v>
      </c>
      <c r="I451" s="94">
        <v>292.53628288720307</v>
      </c>
      <c r="J451" s="94">
        <v>294.88825925622461</v>
      </c>
      <c r="K451" s="94">
        <v>290.62794572455078</v>
      </c>
      <c r="L451" s="94">
        <v>292.24117920225683</v>
      </c>
      <c r="M451" s="95">
        <v>653829.17883642449</v>
      </c>
      <c r="N451" s="93" t="s">
        <v>479</v>
      </c>
      <c r="O451" s="25">
        <f t="shared" si="15"/>
        <v>1.0097950116125798E-3</v>
      </c>
    </row>
    <row r="452" spans="1:15">
      <c r="A452" s="94">
        <v>608.24317842171422</v>
      </c>
      <c r="B452" s="94">
        <v>609.45917047284593</v>
      </c>
      <c r="C452" s="94">
        <v>606.03857494689851</v>
      </c>
      <c r="D452" s="94">
        <v>609.38996767318793</v>
      </c>
      <c r="E452" s="95">
        <v>7117706.54417165</v>
      </c>
      <c r="F452" s="93" t="s">
        <v>480</v>
      </c>
      <c r="G452" s="25">
        <f t="shared" si="14"/>
        <v>-1.8818643435376536E-3</v>
      </c>
      <c r="I452" s="94">
        <v>291.2673370419343</v>
      </c>
      <c r="J452" s="94">
        <v>296.3775491862533</v>
      </c>
      <c r="K452" s="94">
        <v>290.79517114602032</v>
      </c>
      <c r="L452" s="94">
        <v>295.05450099874429</v>
      </c>
      <c r="M452" s="95">
        <v>1117108.3819575515</v>
      </c>
      <c r="N452" s="93" t="s">
        <v>480</v>
      </c>
      <c r="O452" s="25">
        <f t="shared" si="15"/>
        <v>-1.2835472578763052E-2</v>
      </c>
    </row>
    <row r="453" spans="1:15">
      <c r="A453" s="94">
        <v>607.57092265360905</v>
      </c>
      <c r="B453" s="94">
        <v>608.38158402102999</v>
      </c>
      <c r="C453" s="94">
        <v>602.62786553518799</v>
      </c>
      <c r="D453" s="94">
        <v>602.75638502026686</v>
      </c>
      <c r="E453" s="95">
        <v>9865381.6518261507</v>
      </c>
      <c r="F453" s="93" t="s">
        <v>481</v>
      </c>
      <c r="G453" s="25">
        <f t="shared" si="14"/>
        <v>7.9875348532065793E-3</v>
      </c>
      <c r="I453" s="94">
        <v>295.56601405265116</v>
      </c>
      <c r="J453" s="94">
        <v>299.33842282521385</v>
      </c>
      <c r="K453" s="94">
        <v>293.31338925756154</v>
      </c>
      <c r="L453" s="94">
        <v>298.89084890304542</v>
      </c>
      <c r="M453" s="95">
        <v>1447178.4724674211</v>
      </c>
      <c r="N453" s="93" t="s">
        <v>481</v>
      </c>
      <c r="O453" s="25">
        <f t="shared" si="15"/>
        <v>-1.1123909823926303E-2</v>
      </c>
    </row>
    <row r="454" spans="1:15">
      <c r="A454" s="94">
        <v>605.40586363574062</v>
      </c>
      <c r="B454" s="94">
        <v>605.88039711910903</v>
      </c>
      <c r="C454" s="94">
        <v>601.3426706843984</v>
      </c>
      <c r="D454" s="94">
        <v>602.48945993587211</v>
      </c>
      <c r="E454" s="95">
        <v>6556087.5028592665</v>
      </c>
      <c r="F454" s="93" t="s">
        <v>482</v>
      </c>
      <c r="G454" s="25">
        <f t="shared" si="14"/>
        <v>4.8405887468618847E-3</v>
      </c>
      <c r="I454" s="94">
        <v>300.4253880647658</v>
      </c>
      <c r="J454" s="94">
        <v>300.9467379081708</v>
      </c>
      <c r="K454" s="94">
        <v>292.70350830867267</v>
      </c>
      <c r="L454" s="94">
        <v>292.70350830867267</v>
      </c>
      <c r="M454" s="95">
        <v>1334312.379297259</v>
      </c>
      <c r="N454" s="93" t="s">
        <v>482</v>
      </c>
      <c r="O454" s="25">
        <f t="shared" si="15"/>
        <v>2.638123403683279E-2</v>
      </c>
    </row>
    <row r="455" spans="1:15">
      <c r="A455" s="94">
        <v>603.18148793245109</v>
      </c>
      <c r="B455" s="94">
        <v>604.71383563916152</v>
      </c>
      <c r="C455" s="94">
        <v>601.55027908337217</v>
      </c>
      <c r="D455" s="94">
        <v>603.83397147208268</v>
      </c>
      <c r="E455" s="95">
        <v>5724023.4782149876</v>
      </c>
      <c r="F455" s="93" t="s">
        <v>483</v>
      </c>
      <c r="G455" s="25">
        <f t="shared" si="14"/>
        <v>-1.0805677892565813E-3</v>
      </c>
      <c r="I455" s="94">
        <v>292.10346414928193</v>
      </c>
      <c r="J455" s="94">
        <v>293.52979862652205</v>
      </c>
      <c r="K455" s="94">
        <v>289.95904403867263</v>
      </c>
      <c r="L455" s="94">
        <v>292.96910162512421</v>
      </c>
      <c r="M455" s="95">
        <v>1250871.5371251723</v>
      </c>
      <c r="N455" s="93" t="s">
        <v>483</v>
      </c>
      <c r="O455" s="25">
        <f t="shared" si="15"/>
        <v>-2.9547057045965497E-3</v>
      </c>
    </row>
    <row r="456" spans="1:15">
      <c r="A456" s="94">
        <v>601.49096241400605</v>
      </c>
      <c r="B456" s="94">
        <v>602.02329019639694</v>
      </c>
      <c r="C456" s="94">
        <v>597.94703949234895</v>
      </c>
      <c r="D456" s="94">
        <v>599.39122505013131</v>
      </c>
      <c r="E456" s="95">
        <v>6531431.3380089449</v>
      </c>
      <c r="F456" s="93" t="s">
        <v>484</v>
      </c>
      <c r="G456" s="25">
        <f t="shared" si="14"/>
        <v>3.5031166225349963E-3</v>
      </c>
      <c r="I456" s="94">
        <v>288.76879250938953</v>
      </c>
      <c r="J456" s="94">
        <v>289.14259051032138</v>
      </c>
      <c r="K456" s="94">
        <v>284.95211818408484</v>
      </c>
      <c r="L456" s="94">
        <v>286.09318576587697</v>
      </c>
      <c r="M456" s="95">
        <v>1166078.6277971887</v>
      </c>
      <c r="N456" s="93" t="s">
        <v>484</v>
      </c>
      <c r="O456" s="25">
        <f t="shared" si="15"/>
        <v>9.3522211525238763E-3</v>
      </c>
    </row>
    <row r="457" spans="1:15">
      <c r="A457" s="94">
        <v>597.97168429708927</v>
      </c>
      <c r="B457" s="94">
        <v>599.29264583117003</v>
      </c>
      <c r="C457" s="94">
        <v>594.77771760274447</v>
      </c>
      <c r="D457" s="94">
        <v>598.00125806277765</v>
      </c>
      <c r="E457" s="95">
        <v>7027592.7046274282</v>
      </c>
      <c r="F457" s="93" t="s">
        <v>485</v>
      </c>
      <c r="G457" s="25">
        <f t="shared" si="14"/>
        <v>-4.9454353631572801E-5</v>
      </c>
      <c r="I457" s="94">
        <v>284.5192994461637</v>
      </c>
      <c r="J457" s="94">
        <v>286.15220650286619</v>
      </c>
      <c r="K457" s="94">
        <v>281.33217964874439</v>
      </c>
      <c r="L457" s="94">
        <v>281.91255022913862</v>
      </c>
      <c r="M457" s="95">
        <v>1213726.2876444785</v>
      </c>
      <c r="N457" s="93" t="s">
        <v>485</v>
      </c>
      <c r="O457" s="25">
        <f t="shared" si="15"/>
        <v>9.2466589901951668E-3</v>
      </c>
    </row>
    <row r="458" spans="1:15">
      <c r="A458" s="94">
        <v>600.84033956886185</v>
      </c>
      <c r="B458" s="94">
        <v>604.03430626320653</v>
      </c>
      <c r="C458" s="94">
        <v>599.54895180046935</v>
      </c>
      <c r="D458" s="94">
        <v>603.92586912234913</v>
      </c>
      <c r="E458" s="95">
        <v>24106580.728073731</v>
      </c>
      <c r="F458" s="93" t="s">
        <v>486</v>
      </c>
      <c r="G458" s="25">
        <f t="shared" si="14"/>
        <v>-5.1091196970437514E-3</v>
      </c>
      <c r="I458" s="94">
        <v>279.36482174910282</v>
      </c>
      <c r="J458" s="94">
        <v>283.52578370684472</v>
      </c>
      <c r="K458" s="94">
        <v>279.20251472238238</v>
      </c>
      <c r="L458" s="94">
        <v>283.08312817942533</v>
      </c>
      <c r="M458" s="95">
        <v>975600.83010299527</v>
      </c>
      <c r="N458" s="93" t="s">
        <v>486</v>
      </c>
      <c r="O458" s="25">
        <f t="shared" si="15"/>
        <v>-1.3135033706303201E-2</v>
      </c>
    </row>
    <row r="459" spans="1:15">
      <c r="A459" s="94">
        <v>602.85135563567144</v>
      </c>
      <c r="B459" s="94">
        <v>606.51850258103025</v>
      </c>
      <c r="C459" s="94">
        <v>601.66939080032603</v>
      </c>
      <c r="D459" s="94">
        <v>605.97138791579528</v>
      </c>
      <c r="E459" s="95">
        <v>10883179.145714741</v>
      </c>
      <c r="F459" s="93" t="s">
        <v>487</v>
      </c>
      <c r="G459" s="25">
        <f t="shared" si="14"/>
        <v>-5.148811218389393E-3</v>
      </c>
      <c r="I459" s="94">
        <v>281.51907864921031</v>
      </c>
      <c r="J459" s="94">
        <v>283.31921112738235</v>
      </c>
      <c r="K459" s="94">
        <v>279.53204717057235</v>
      </c>
      <c r="L459" s="94">
        <v>280.68295154186262</v>
      </c>
      <c r="M459" s="95">
        <v>734825.11761758453</v>
      </c>
      <c r="N459" s="93" t="s">
        <v>487</v>
      </c>
      <c r="O459" s="25">
        <f t="shared" si="15"/>
        <v>2.9789023620945265E-3</v>
      </c>
    </row>
    <row r="460" spans="1:15">
      <c r="A460" s="94">
        <v>606.02560648622398</v>
      </c>
      <c r="B460" s="94">
        <v>606.47907089344574</v>
      </c>
      <c r="C460" s="94">
        <v>601.83598968037052</v>
      </c>
      <c r="D460" s="94">
        <v>601.84584760226664</v>
      </c>
      <c r="E460" s="95">
        <v>11718075.190411</v>
      </c>
      <c r="F460" s="93" t="s">
        <v>488</v>
      </c>
      <c r="G460" s="25">
        <f t="shared" si="14"/>
        <v>6.9448994299941003E-3</v>
      </c>
      <c r="I460" s="94">
        <v>279.67959901304545</v>
      </c>
      <c r="J460" s="94">
        <v>280.37801106741819</v>
      </c>
      <c r="K460" s="94">
        <v>276.89578758505263</v>
      </c>
      <c r="L460" s="94">
        <v>279.36482174910282</v>
      </c>
      <c r="M460" s="95">
        <v>791820.33949380182</v>
      </c>
      <c r="N460" s="93" t="s">
        <v>488</v>
      </c>
      <c r="O460" s="25">
        <f t="shared" si="15"/>
        <v>1.1267605633802358E-3</v>
      </c>
    </row>
    <row r="461" spans="1:15">
      <c r="A461" s="94">
        <v>603.08794576117839</v>
      </c>
      <c r="B461" s="94">
        <v>603.96530080993364</v>
      </c>
      <c r="C461" s="94">
        <v>600.19957464561367</v>
      </c>
      <c r="D461" s="94">
        <v>601.94442682122792</v>
      </c>
      <c r="E461" s="95">
        <v>6153076.7477310635</v>
      </c>
      <c r="F461" s="93" t="s">
        <v>489</v>
      </c>
      <c r="G461" s="25">
        <f t="shared" si="14"/>
        <v>1.899708493007024E-3</v>
      </c>
      <c r="I461" s="94">
        <v>279.30580101211353</v>
      </c>
      <c r="J461" s="94">
        <v>279.81731406602034</v>
      </c>
      <c r="K461" s="94">
        <v>277.15429841306553</v>
      </c>
      <c r="L461" s="94">
        <v>279.09922843265122</v>
      </c>
      <c r="M461" s="95">
        <v>1337916.1973932402</v>
      </c>
      <c r="N461" s="93" t="s">
        <v>489</v>
      </c>
      <c r="O461" s="25">
        <f t="shared" si="15"/>
        <v>7.4014027420421513E-4</v>
      </c>
    </row>
    <row r="462" spans="1:15">
      <c r="A462" s="94">
        <v>600.28829594267881</v>
      </c>
      <c r="B462" s="94">
        <v>602.6246234320605</v>
      </c>
      <c r="C462" s="94">
        <v>598.44486454810328</v>
      </c>
      <c r="D462" s="94">
        <v>599.90383698872984</v>
      </c>
      <c r="E462" s="95">
        <v>11188189.677516753</v>
      </c>
      <c r="F462" s="93" t="s">
        <v>490</v>
      </c>
      <c r="G462" s="25">
        <f t="shared" si="14"/>
        <v>6.4086763618442788E-4</v>
      </c>
      <c r="I462" s="94">
        <v>278.11554948283043</v>
      </c>
      <c r="J462" s="94">
        <v>278.65657290523183</v>
      </c>
      <c r="K462" s="94">
        <v>273.93491394609208</v>
      </c>
      <c r="L462" s="94">
        <v>275.2333701598555</v>
      </c>
      <c r="M462" s="95">
        <v>664431.21520398126</v>
      </c>
      <c r="N462" s="93" t="s">
        <v>490</v>
      </c>
      <c r="O462" s="25">
        <f t="shared" si="15"/>
        <v>1.0471765546819389E-2</v>
      </c>
    </row>
    <row r="463" spans="1:15">
      <c r="A463" s="94">
        <v>597.478788202283</v>
      </c>
      <c r="B463" s="94">
        <v>599.68696270701514</v>
      </c>
      <c r="C463" s="94">
        <v>593.00329166144184</v>
      </c>
      <c r="D463" s="94">
        <v>598.21813234449235</v>
      </c>
      <c r="E463" s="95">
        <v>11781010.361386927</v>
      </c>
      <c r="F463" s="93" t="s">
        <v>491</v>
      </c>
      <c r="G463" s="25">
        <f t="shared" si="14"/>
        <v>-1.2359106189439029E-3</v>
      </c>
      <c r="I463" s="94">
        <v>277.25974879648635</v>
      </c>
      <c r="J463" s="94">
        <v>281.34201643824258</v>
      </c>
      <c r="K463" s="94">
        <v>276.7187253740849</v>
      </c>
      <c r="L463" s="94">
        <v>279.52221038107416</v>
      </c>
      <c r="M463" s="95">
        <v>744765.35269304435</v>
      </c>
      <c r="N463" s="93" t="s">
        <v>491</v>
      </c>
      <c r="O463" s="25">
        <f t="shared" si="15"/>
        <v>-8.0940315315315425E-3</v>
      </c>
    </row>
    <row r="464" spans="1:15">
      <c r="A464" s="94">
        <v>598.16884273501171</v>
      </c>
      <c r="B464" s="94">
        <v>599.77568400408018</v>
      </c>
      <c r="C464" s="94">
        <v>597.45010164956511</v>
      </c>
      <c r="D464" s="94">
        <v>599.51937803478097</v>
      </c>
      <c r="E464" s="95">
        <v>6458919.0978499986</v>
      </c>
      <c r="F464" s="93" t="s">
        <v>492</v>
      </c>
      <c r="G464" s="25">
        <f t="shared" si="14"/>
        <v>-2.2526966587740338E-3</v>
      </c>
      <c r="I464" s="94">
        <v>279.63041506555442</v>
      </c>
      <c r="J464" s="94">
        <v>282.12895959809919</v>
      </c>
      <c r="K464" s="94">
        <v>277.65322037641465</v>
      </c>
      <c r="L464" s="94">
        <v>279.0008605376691</v>
      </c>
      <c r="M464" s="95">
        <v>1354724.5269839184</v>
      </c>
      <c r="N464" s="93" t="s">
        <v>492</v>
      </c>
      <c r="O464" s="25">
        <f t="shared" si="15"/>
        <v>2.2564608821351584E-3</v>
      </c>
    </row>
    <row r="465" spans="1:15">
      <c r="A465" s="94">
        <v>598.95747648670181</v>
      </c>
      <c r="B465" s="94">
        <v>599.13491908083199</v>
      </c>
      <c r="C465" s="94">
        <v>597.5872253431404</v>
      </c>
      <c r="D465" s="94">
        <v>597.85338923433574</v>
      </c>
      <c r="E465" s="95">
        <v>7554466.4265668634</v>
      </c>
      <c r="F465" s="93" t="s">
        <v>493</v>
      </c>
      <c r="G465" s="25">
        <f t="shared" si="14"/>
        <v>1.8467525186736111E-3</v>
      </c>
      <c r="I465" s="94">
        <v>277.28925916498093</v>
      </c>
      <c r="J465" s="94">
        <v>277.61387321842182</v>
      </c>
      <c r="K465" s="94">
        <v>273.92015876184473</v>
      </c>
      <c r="L465" s="94">
        <v>274.25952799953291</v>
      </c>
      <c r="M465" s="95">
        <v>796139.83824974659</v>
      </c>
      <c r="N465" s="93" t="s">
        <v>493</v>
      </c>
      <c r="O465" s="25">
        <f t="shared" si="15"/>
        <v>1.1046949535526096E-2</v>
      </c>
    </row>
    <row r="466" spans="1:15">
      <c r="A466" s="94">
        <v>595.85223108942228</v>
      </c>
      <c r="B466" s="94">
        <v>597.37035106142559</v>
      </c>
      <c r="C466" s="94">
        <v>595.36919291651213</v>
      </c>
      <c r="D466" s="94">
        <v>596.00009991786408</v>
      </c>
      <c r="E466" s="95">
        <v>8225559.1852343883</v>
      </c>
      <c r="F466" s="93" t="s">
        <v>494</v>
      </c>
      <c r="G466" s="25">
        <f t="shared" si="14"/>
        <v>-2.4810201955027811E-4</v>
      </c>
      <c r="I466" s="94">
        <v>274.64316278996301</v>
      </c>
      <c r="J466" s="94">
        <v>277.07776819076952</v>
      </c>
      <c r="K466" s="94">
        <v>273.80703568261538</v>
      </c>
      <c r="L466" s="94">
        <v>276.12851800419241</v>
      </c>
      <c r="M466" s="95">
        <v>813997.29062605323</v>
      </c>
      <c r="N466" s="93" t="s">
        <v>494</v>
      </c>
      <c r="O466" s="25">
        <f t="shared" si="15"/>
        <v>-5.3792169855011451E-3</v>
      </c>
    </row>
    <row r="467" spans="1:15">
      <c r="A467" s="94">
        <v>595.98038407407194</v>
      </c>
      <c r="B467" s="94">
        <v>596.63100691921613</v>
      </c>
      <c r="C467" s="94">
        <v>592.35266881629752</v>
      </c>
      <c r="D467" s="94">
        <v>592.8849965986883</v>
      </c>
      <c r="E467" s="95">
        <v>9217770.3330873773</v>
      </c>
      <c r="F467" s="93" t="s">
        <v>495</v>
      </c>
      <c r="G467" s="25">
        <f t="shared" si="14"/>
        <v>5.2208902116623879E-3</v>
      </c>
      <c r="I467" s="94">
        <v>276.04982368820674</v>
      </c>
      <c r="J467" s="94">
        <v>276.10884442519603</v>
      </c>
      <c r="K467" s="94">
        <v>269.86248309383399</v>
      </c>
      <c r="L467" s="94">
        <v>271.3183279395688</v>
      </c>
      <c r="M467" s="95">
        <v>948501.54124980117</v>
      </c>
      <c r="N467" s="93" t="s">
        <v>495</v>
      </c>
      <c r="O467" s="25">
        <f t="shared" si="15"/>
        <v>1.7438909433688421E-2</v>
      </c>
    </row>
    <row r="468" spans="1:15">
      <c r="A468" s="94">
        <v>591.1598602668663</v>
      </c>
      <c r="B468" s="94">
        <v>593.20045009936439</v>
      </c>
      <c r="C468" s="94">
        <v>589.66145613865524</v>
      </c>
      <c r="D468" s="94">
        <v>592.38224258198591</v>
      </c>
      <c r="E468" s="95">
        <v>21852837.978424672</v>
      </c>
      <c r="F468" s="93" t="s">
        <v>496</v>
      </c>
      <c r="G468" s="25">
        <f t="shared" si="14"/>
        <v>-2.0635026293017722E-3</v>
      </c>
      <c r="I468" s="94">
        <v>271.14126572860101</v>
      </c>
      <c r="J468" s="94">
        <v>271.17077609709571</v>
      </c>
      <c r="K468" s="94">
        <v>265.45068300388783</v>
      </c>
      <c r="L468" s="94">
        <v>266.22287097949709</v>
      </c>
      <c r="M468" s="95">
        <v>964334.95925964846</v>
      </c>
      <c r="N468" s="93" t="s">
        <v>496</v>
      </c>
      <c r="O468" s="25">
        <f t="shared" si="15"/>
        <v>1.8474726574046807E-2</v>
      </c>
    </row>
    <row r="469" spans="1:15">
      <c r="A469" s="94">
        <v>589.45443977883667</v>
      </c>
      <c r="B469" s="94">
        <v>589.86847249847392</v>
      </c>
      <c r="C469" s="94">
        <v>586.55621074137571</v>
      </c>
      <c r="D469" s="94">
        <v>588.13347824475579</v>
      </c>
      <c r="E469" s="95">
        <v>7892245.527992758</v>
      </c>
      <c r="F469" s="93" t="s">
        <v>497</v>
      </c>
      <c r="G469" s="25">
        <f t="shared" si="14"/>
        <v>2.2460233653476269E-3</v>
      </c>
      <c r="I469" s="94">
        <v>266.29172850598457</v>
      </c>
      <c r="J469" s="94">
        <v>268.85421217026772</v>
      </c>
      <c r="K469" s="94">
        <v>264.21616592186274</v>
      </c>
      <c r="L469" s="94">
        <v>268.50500614308135</v>
      </c>
      <c r="M469" s="95">
        <v>1093705.4210583738</v>
      </c>
      <c r="N469" s="93" t="s">
        <v>497</v>
      </c>
      <c r="O469" s="25">
        <f t="shared" si="15"/>
        <v>-8.2429660023447537E-3</v>
      </c>
    </row>
    <row r="470" spans="1:15">
      <c r="A470" s="94">
        <v>588.02504110389839</v>
      </c>
      <c r="B470" s="94">
        <v>588.92211199644578</v>
      </c>
      <c r="C470" s="94">
        <v>586.57592658516785</v>
      </c>
      <c r="D470" s="94">
        <v>587.83774058787196</v>
      </c>
      <c r="E470" s="95">
        <v>9584467.2939773481</v>
      </c>
      <c r="F470" s="93" t="s">
        <v>498</v>
      </c>
      <c r="G470" s="25">
        <f t="shared" si="14"/>
        <v>3.1862621790690326E-4</v>
      </c>
      <c r="I470" s="94">
        <v>269.41982756641465</v>
      </c>
      <c r="J470" s="94">
        <v>270.21542710102972</v>
      </c>
      <c r="K470" s="94">
        <v>264.86539402874445</v>
      </c>
      <c r="L470" s="94">
        <v>267.27540745580535</v>
      </c>
      <c r="M470" s="95">
        <v>1212979.0926372721</v>
      </c>
      <c r="N470" s="93" t="s">
        <v>498</v>
      </c>
      <c r="O470" s="25">
        <f t="shared" si="15"/>
        <v>8.0232600934819764E-3</v>
      </c>
    </row>
    <row r="471" spans="1:15">
      <c r="A471" s="94">
        <v>586.50692113189507</v>
      </c>
      <c r="B471" s="94">
        <v>591.0809968916974</v>
      </c>
      <c r="C471" s="94">
        <v>583.04679054635494</v>
      </c>
      <c r="D471" s="94">
        <v>590.4008002808647</v>
      </c>
      <c r="E471" s="95">
        <v>6717571.989084824</v>
      </c>
      <c r="F471" s="93" t="s">
        <v>499</v>
      </c>
      <c r="G471" s="25">
        <f t="shared" si="14"/>
        <v>-6.5953148219264346E-3</v>
      </c>
      <c r="I471" s="94">
        <v>267.9443091416835</v>
      </c>
      <c r="J471" s="94">
        <v>268.6476395908054</v>
      </c>
      <c r="K471" s="94">
        <v>264.62931108078743</v>
      </c>
      <c r="L471" s="94">
        <v>267.85577803619964</v>
      </c>
      <c r="M471" s="95">
        <v>1071784.65107145</v>
      </c>
      <c r="N471" s="93" t="s">
        <v>499</v>
      </c>
      <c r="O471" s="25">
        <f t="shared" si="15"/>
        <v>3.3051781123760726E-4</v>
      </c>
    </row>
    <row r="472" spans="1:15">
      <c r="A472" s="94">
        <v>588.11376240096354</v>
      </c>
      <c r="B472" s="94">
        <v>588.29120499509372</v>
      </c>
      <c r="C472" s="94">
        <v>583.19465937479686</v>
      </c>
      <c r="D472" s="94">
        <v>584.05229857975974</v>
      </c>
      <c r="E472" s="95">
        <v>8127957.4786943784</v>
      </c>
      <c r="F472" s="93" t="s">
        <v>500</v>
      </c>
      <c r="G472" s="25">
        <f t="shared" si="14"/>
        <v>6.9539385960470934E-3</v>
      </c>
      <c r="I472" s="94">
        <v>267.35410177518867</v>
      </c>
      <c r="J472" s="94">
        <v>268.58808898437854</v>
      </c>
      <c r="K472" s="94">
        <v>266.68814042419734</v>
      </c>
      <c r="L472" s="94">
        <v>267.71646309852218</v>
      </c>
      <c r="M472" s="95">
        <v>1106200.5909252383</v>
      </c>
      <c r="N472" s="93" t="s">
        <v>500</v>
      </c>
      <c r="O472" s="25">
        <f t="shared" si="15"/>
        <v>-1.3535264852209128E-3</v>
      </c>
    </row>
    <row r="473" spans="1:15">
      <c r="A473" s="94">
        <v>583.31295443755027</v>
      </c>
      <c r="B473" s="94">
        <v>583.81570845425279</v>
      </c>
      <c r="C473" s="94">
        <v>580.41472540008931</v>
      </c>
      <c r="D473" s="94">
        <v>582.41588354500277</v>
      </c>
      <c r="E473" s="95">
        <v>6766005.117793994</v>
      </c>
      <c r="F473" s="93" t="s">
        <v>501</v>
      </c>
      <c r="G473" s="25">
        <f t="shared" si="14"/>
        <v>1.5402582894670225E-3</v>
      </c>
      <c r="I473" s="94">
        <v>267.47162436654008</v>
      </c>
      <c r="J473" s="94">
        <v>270.00756601691802</v>
      </c>
      <c r="K473" s="94">
        <v>266.03138500952849</v>
      </c>
      <c r="L473" s="94">
        <v>269.56744391230694</v>
      </c>
      <c r="M473" s="95">
        <v>1129889.6533258054</v>
      </c>
      <c r="N473" s="93" t="s">
        <v>501</v>
      </c>
      <c r="O473" s="25">
        <f t="shared" si="15"/>
        <v>-7.7747502270661961E-3</v>
      </c>
    </row>
    <row r="474" spans="1:15">
      <c r="A474" s="94">
        <v>580.34571994681653</v>
      </c>
      <c r="B474" s="94">
        <v>580.43444124388157</v>
      </c>
      <c r="C474" s="94">
        <v>575.3773273111691</v>
      </c>
      <c r="D474" s="94">
        <v>577.73337064434315</v>
      </c>
      <c r="E474" s="95">
        <v>11223117.931526892</v>
      </c>
      <c r="F474" s="93" t="s">
        <v>502</v>
      </c>
      <c r="G474" s="25">
        <f t="shared" si="14"/>
        <v>4.5217213254615807E-3</v>
      </c>
      <c r="I474" s="94">
        <v>269.44012777167626</v>
      </c>
      <c r="J474" s="94">
        <v>272.21170221771376</v>
      </c>
      <c r="K474" s="94">
        <v>269.13163096937882</v>
      </c>
      <c r="L474" s="94">
        <v>271.83954734510098</v>
      </c>
      <c r="M474" s="95">
        <v>1540079.0428352104</v>
      </c>
      <c r="N474" s="93" t="s">
        <v>502</v>
      </c>
      <c r="O474" s="25">
        <f t="shared" si="15"/>
        <v>-8.8266022985192816E-3</v>
      </c>
    </row>
    <row r="475" spans="1:15">
      <c r="A475" s="94">
        <v>584.65363181542341</v>
      </c>
      <c r="B475" s="94">
        <v>587.08853852376637</v>
      </c>
      <c r="C475" s="94">
        <v>582.84470314748432</v>
      </c>
      <c r="D475" s="94">
        <v>586.78294294498653</v>
      </c>
      <c r="E475" s="95">
        <v>7588562.862260079</v>
      </c>
      <c r="F475" s="93" t="s">
        <v>503</v>
      </c>
      <c r="G475" s="25">
        <f t="shared" si="14"/>
        <v>-3.6287883878770577E-3</v>
      </c>
      <c r="I475" s="94">
        <v>271.88851509149742</v>
      </c>
      <c r="J475" s="94">
        <v>272.64261838600231</v>
      </c>
      <c r="K475" s="94">
        <v>269.8473435507089</v>
      </c>
      <c r="L475" s="94">
        <v>271.9570699364524</v>
      </c>
      <c r="M475" s="95">
        <v>1292691.7135934266</v>
      </c>
      <c r="N475" s="93" t="s">
        <v>503</v>
      </c>
      <c r="O475" s="25">
        <f t="shared" si="15"/>
        <v>-2.5207965717155556E-4</v>
      </c>
    </row>
    <row r="476" spans="1:15">
      <c r="A476" s="94">
        <v>588.04475694769064</v>
      </c>
      <c r="B476" s="94">
        <v>588.58694265197755</v>
      </c>
      <c r="C476" s="94">
        <v>584.84093233144972</v>
      </c>
      <c r="D476" s="94">
        <v>586.61535827275247</v>
      </c>
      <c r="E476" s="95">
        <v>5110593.3411584385</v>
      </c>
      <c r="F476" s="93" t="s">
        <v>504</v>
      </c>
      <c r="G476" s="25">
        <f t="shared" si="14"/>
        <v>2.4366881207251723E-3</v>
      </c>
      <c r="I476" s="94">
        <v>271.32048923329893</v>
      </c>
      <c r="J476" s="94">
        <v>271.55553441600171</v>
      </c>
      <c r="K476" s="94">
        <v>269.36187731293478</v>
      </c>
      <c r="L476" s="94">
        <v>270.5467988402354</v>
      </c>
      <c r="M476" s="95">
        <v>775223.54597828106</v>
      </c>
      <c r="N476" s="93" t="s">
        <v>504</v>
      </c>
      <c r="O476" s="25">
        <f t="shared" si="15"/>
        <v>2.8597285067875067E-3</v>
      </c>
    </row>
    <row r="477" spans="1:15">
      <c r="A477" s="94">
        <v>585.97459334950418</v>
      </c>
      <c r="B477" s="94">
        <v>586.68436372602525</v>
      </c>
      <c r="C477" s="94">
        <v>584.02272481407135</v>
      </c>
      <c r="D477" s="94">
        <v>584.10158818924037</v>
      </c>
      <c r="E477" s="95">
        <v>6177330.338144877</v>
      </c>
      <c r="F477" s="93" t="s">
        <v>505</v>
      </c>
      <c r="G477" s="25">
        <f t="shared" si="14"/>
        <v>3.206642813744498E-3</v>
      </c>
      <c r="I477" s="94">
        <v>271.04626985347892</v>
      </c>
      <c r="J477" s="94">
        <v>273.25961199059725</v>
      </c>
      <c r="K477" s="94">
        <v>269.79269554573051</v>
      </c>
      <c r="L477" s="94">
        <v>272.24108286555168</v>
      </c>
      <c r="M477" s="95">
        <v>756883.92314308346</v>
      </c>
      <c r="N477" s="93" t="s">
        <v>505</v>
      </c>
      <c r="O477" s="25">
        <f t="shared" si="15"/>
        <v>-4.3888049499966053E-3</v>
      </c>
    </row>
    <row r="478" spans="1:15">
      <c r="A478" s="94">
        <v>584.63391597163104</v>
      </c>
      <c r="B478" s="94">
        <v>584.99865908178776</v>
      </c>
      <c r="C478" s="94">
        <v>581.41530447254604</v>
      </c>
      <c r="D478" s="94">
        <v>581.99199290346951</v>
      </c>
      <c r="E478" s="95">
        <v>4815265.3774479339</v>
      </c>
      <c r="F478" s="93" t="s">
        <v>506</v>
      </c>
      <c r="G478" s="25">
        <f t="shared" si="14"/>
        <v>4.5394491683319327E-3</v>
      </c>
      <c r="I478" s="94">
        <v>271.92768928861454</v>
      </c>
      <c r="J478" s="94">
        <v>272.50550869609231</v>
      </c>
      <c r="K478" s="94">
        <v>269.32260518032484</v>
      </c>
      <c r="L478" s="94">
        <v>271.39883762753317</v>
      </c>
      <c r="M478" s="95">
        <v>1575039.8104012888</v>
      </c>
      <c r="N478" s="93" t="s">
        <v>506</v>
      </c>
      <c r="O478" s="25">
        <f t="shared" si="15"/>
        <v>1.9486143187066318E-3</v>
      </c>
    </row>
    <row r="479" spans="1:15">
      <c r="A479" s="94">
        <v>582.30744640414548</v>
      </c>
      <c r="B479" s="94">
        <v>584.80140206464637</v>
      </c>
      <c r="C479" s="94">
        <v>582.15957757570357</v>
      </c>
      <c r="D479" s="94">
        <v>583.63826586012237</v>
      </c>
      <c r="E479" s="95">
        <v>6576472.2710451968</v>
      </c>
      <c r="F479" s="93" t="s">
        <v>507</v>
      </c>
      <c r="G479" s="25">
        <f t="shared" si="14"/>
        <v>-2.2802128198630145E-3</v>
      </c>
      <c r="I479" s="94">
        <v>270.46845044600116</v>
      </c>
      <c r="J479" s="94">
        <v>272.16763124595701</v>
      </c>
      <c r="K479" s="94">
        <v>269.68496650365842</v>
      </c>
      <c r="L479" s="94">
        <v>270.52721174167687</v>
      </c>
      <c r="M479" s="95">
        <v>719625.72495626053</v>
      </c>
      <c r="N479" s="93" t="s">
        <v>507</v>
      </c>
      <c r="O479" s="25">
        <f t="shared" si="15"/>
        <v>-2.172102957680444E-4</v>
      </c>
    </row>
    <row r="480" spans="1:15">
      <c r="A480" s="94">
        <v>584.78178480007307</v>
      </c>
      <c r="B480" s="94">
        <v>585.87601413054301</v>
      </c>
      <c r="C480" s="94">
        <v>577.51649636262846</v>
      </c>
      <c r="D480" s="94">
        <v>577.94038700416172</v>
      </c>
      <c r="E480" s="95">
        <v>6460329.1313384427</v>
      </c>
      <c r="F480" s="93" t="s">
        <v>508</v>
      </c>
      <c r="G480" s="25">
        <f t="shared" si="14"/>
        <v>1.1837549252051272E-2</v>
      </c>
      <c r="I480" s="94">
        <v>270.07670847482973</v>
      </c>
      <c r="J480" s="94">
        <v>273.39182490586757</v>
      </c>
      <c r="K480" s="94">
        <v>269.26874065928877</v>
      </c>
      <c r="L480" s="94">
        <v>271.81996024654245</v>
      </c>
      <c r="M480" s="95">
        <v>770586.82044548041</v>
      </c>
      <c r="N480" s="93" t="s">
        <v>508</v>
      </c>
      <c r="O480" s="25">
        <f t="shared" si="15"/>
        <v>-6.4132588722755068E-3</v>
      </c>
    </row>
    <row r="481" spans="1:15">
      <c r="A481" s="94">
        <v>575.96880262493664</v>
      </c>
      <c r="B481" s="94">
        <v>578.12768752018826</v>
      </c>
      <c r="C481" s="94">
        <v>574.3718192777643</v>
      </c>
      <c r="D481" s="94">
        <v>576.61942547008096</v>
      </c>
      <c r="E481" s="95">
        <v>4876562.2721045529</v>
      </c>
      <c r="F481" s="93" t="s">
        <v>509</v>
      </c>
      <c r="G481" s="25">
        <f t="shared" si="14"/>
        <v>-1.1283401432650164E-3</v>
      </c>
      <c r="I481" s="94">
        <v>270.40968915032545</v>
      </c>
      <c r="J481" s="94">
        <v>271.03647630419965</v>
      </c>
      <c r="K481" s="94">
        <v>269.16590839185631</v>
      </c>
      <c r="L481" s="94">
        <v>270.14526331978476</v>
      </c>
      <c r="M481" s="95">
        <v>927729.03274386271</v>
      </c>
      <c r="N481" s="93" t="s">
        <v>509</v>
      </c>
      <c r="O481" s="25">
        <f t="shared" si="15"/>
        <v>9.7882830626461192E-4</v>
      </c>
    </row>
    <row r="482" spans="1:15">
      <c r="A482" s="94">
        <v>578.24598258294168</v>
      </c>
      <c r="B482" s="94">
        <v>579.64580749219158</v>
      </c>
      <c r="C482" s="94">
        <v>573.5831855260742</v>
      </c>
      <c r="D482" s="94">
        <v>579.45850697616515</v>
      </c>
      <c r="E482" s="95">
        <v>7155936.1844532564</v>
      </c>
      <c r="F482" s="93" t="s">
        <v>510</v>
      </c>
      <c r="G482" s="25">
        <f t="shared" si="14"/>
        <v>-2.0925128868172216E-3</v>
      </c>
      <c r="I482" s="94">
        <v>270.44886334744257</v>
      </c>
      <c r="J482" s="94">
        <v>271.17485915551595</v>
      </c>
      <c r="K482" s="94">
        <v>266.48247588933236</v>
      </c>
      <c r="L482" s="94">
        <v>267.65770180284647</v>
      </c>
      <c r="M482" s="95">
        <v>855582.56369054946</v>
      </c>
      <c r="N482" s="93" t="s">
        <v>510</v>
      </c>
      <c r="O482" s="25">
        <f t="shared" si="15"/>
        <v>1.0428100987925459E-2</v>
      </c>
    </row>
    <row r="483" spans="1:15">
      <c r="A483" s="94">
        <v>579.77396047684113</v>
      </c>
      <c r="B483" s="94">
        <v>583.70727131339538</v>
      </c>
      <c r="C483" s="94">
        <v>578.60086777120227</v>
      </c>
      <c r="D483" s="94">
        <v>582.84963210843239</v>
      </c>
      <c r="E483" s="95">
        <v>6786010.3483160073</v>
      </c>
      <c r="F483" s="93" t="s">
        <v>511</v>
      </c>
      <c r="G483" s="25">
        <f t="shared" si="14"/>
        <v>-5.2769556025370479E-3</v>
      </c>
      <c r="I483" s="94">
        <v>266.60979202996305</v>
      </c>
      <c r="J483" s="94">
        <v>268.02006312618005</v>
      </c>
      <c r="K483" s="94">
        <v>265.214211257665</v>
      </c>
      <c r="L483" s="94">
        <v>265.7675467919446</v>
      </c>
      <c r="M483" s="95">
        <v>952948.69447798363</v>
      </c>
      <c r="N483" s="93" t="s">
        <v>511</v>
      </c>
      <c r="O483" s="25">
        <f t="shared" si="15"/>
        <v>3.1691049121125303E-3</v>
      </c>
    </row>
    <row r="484" spans="1:15">
      <c r="A484" s="94">
        <v>582.95806924928979</v>
      </c>
      <c r="B484" s="94">
        <v>583.6086920944341</v>
      </c>
      <c r="C484" s="94">
        <v>581.96241913778113</v>
      </c>
      <c r="D484" s="94">
        <v>582.58346821723705</v>
      </c>
      <c r="E484" s="95">
        <v>5388298.9295011405</v>
      </c>
      <c r="F484" s="93" t="s">
        <v>512</v>
      </c>
      <c r="G484" s="25">
        <f t="shared" si="14"/>
        <v>6.4299976310522311E-4</v>
      </c>
      <c r="I484" s="94">
        <v>266.30619200230524</v>
      </c>
      <c r="J484" s="94">
        <v>267.56955985933291</v>
      </c>
      <c r="K484" s="94">
        <v>265.25828222942181</v>
      </c>
      <c r="L484" s="94">
        <v>265.75775324266527</v>
      </c>
      <c r="M484" s="95">
        <v>1142227.3662993421</v>
      </c>
      <c r="N484" s="93" t="s">
        <v>512</v>
      </c>
      <c r="O484" s="25">
        <f t="shared" si="15"/>
        <v>2.0636792452830566E-3</v>
      </c>
    </row>
    <row r="485" spans="1:15">
      <c r="A485" s="94">
        <v>583.16508560910847</v>
      </c>
      <c r="B485" s="94">
        <v>585.5112710203864</v>
      </c>
      <c r="C485" s="94">
        <v>582.26801471656097</v>
      </c>
      <c r="D485" s="94">
        <v>585.42254972332125</v>
      </c>
      <c r="E485" s="95">
        <v>7300032.4772589719</v>
      </c>
      <c r="F485" s="93" t="s">
        <v>513</v>
      </c>
      <c r="G485" s="25">
        <f t="shared" si="14"/>
        <v>-3.8561277068669408E-3</v>
      </c>
      <c r="I485" s="94">
        <v>264.96447575104327</v>
      </c>
      <c r="J485" s="94">
        <v>266.11521779135921</v>
      </c>
      <c r="K485" s="94">
        <v>263.65214014761909</v>
      </c>
      <c r="L485" s="94">
        <v>265.10158544095322</v>
      </c>
      <c r="M485" s="95">
        <v>1202960.2000287957</v>
      </c>
      <c r="N485" s="93" t="s">
        <v>513</v>
      </c>
      <c r="O485" s="25">
        <f t="shared" si="15"/>
        <v>-5.1719679337980384E-4</v>
      </c>
    </row>
    <row r="486" spans="1:15">
      <c r="A486" s="94">
        <v>584.42689961181247</v>
      </c>
      <c r="B486" s="94">
        <v>585.07752245695679</v>
      </c>
      <c r="C486" s="94">
        <v>582.11028796622293</v>
      </c>
      <c r="D486" s="94">
        <v>582.52432068586018</v>
      </c>
      <c r="E486" s="95">
        <v>6326552.4577254886</v>
      </c>
      <c r="F486" s="93" t="s">
        <v>514</v>
      </c>
      <c r="G486" s="25">
        <f t="shared" si="14"/>
        <v>3.2660935490422816E-3</v>
      </c>
      <c r="I486" s="94">
        <v>265.45415321500747</v>
      </c>
      <c r="J486" s="94">
        <v>267.45693404262119</v>
      </c>
      <c r="K486" s="94">
        <v>264.34748214644833</v>
      </c>
      <c r="L486" s="94">
        <v>265.33663062365605</v>
      </c>
      <c r="M486" s="95">
        <v>1005481.2325117928</v>
      </c>
      <c r="N486" s="93" t="s">
        <v>514</v>
      </c>
      <c r="O486" s="25">
        <f t="shared" si="15"/>
        <v>4.4291883512337371E-4</v>
      </c>
    </row>
    <row r="487" spans="1:15">
      <c r="A487" s="94">
        <v>584.41704168991646</v>
      </c>
      <c r="B487" s="94">
        <v>585.59013439555531</v>
      </c>
      <c r="C487" s="94">
        <v>582.41588354500277</v>
      </c>
      <c r="D487" s="94">
        <v>584.4367575337086</v>
      </c>
      <c r="E487" s="95">
        <v>5470699.6635056622</v>
      </c>
      <c r="F487" s="93" t="s">
        <v>515</v>
      </c>
      <c r="G487" s="25">
        <f t="shared" si="14"/>
        <v>-3.3734777181604336E-5</v>
      </c>
      <c r="I487" s="94">
        <v>264.64128862482687</v>
      </c>
      <c r="J487" s="94">
        <v>267.05050174753086</v>
      </c>
      <c r="K487" s="94">
        <v>262.99597234590709</v>
      </c>
      <c r="L487" s="94">
        <v>265.53250160924176</v>
      </c>
      <c r="M487" s="95">
        <v>1534136.355629551</v>
      </c>
      <c r="N487" s="93" t="s">
        <v>515</v>
      </c>
      <c r="O487" s="25">
        <f t="shared" si="15"/>
        <v>-3.3563235348357257E-3</v>
      </c>
    </row>
    <row r="488" spans="1:15">
      <c r="A488" s="94">
        <v>582.3863097793145</v>
      </c>
      <c r="B488" s="94">
        <v>582.5637523734448</v>
      </c>
      <c r="C488" s="94">
        <v>577.11725052583529</v>
      </c>
      <c r="D488" s="94">
        <v>578.41356725517585</v>
      </c>
      <c r="E488" s="95">
        <v>5958908.0354842898</v>
      </c>
      <c r="F488" s="93" t="s">
        <v>516</v>
      </c>
      <c r="G488" s="25">
        <f t="shared" si="14"/>
        <v>6.8683425649764818E-3</v>
      </c>
      <c r="I488" s="94">
        <v>264.63149507554755</v>
      </c>
      <c r="J488" s="94">
        <v>265.40518546861102</v>
      </c>
      <c r="K488" s="94">
        <v>262.50629488194284</v>
      </c>
      <c r="L488" s="94">
        <v>262.50629488194284</v>
      </c>
      <c r="M488" s="95">
        <v>1044745.8534407327</v>
      </c>
      <c r="N488" s="93" t="s">
        <v>516</v>
      </c>
      <c r="O488" s="25">
        <f t="shared" si="15"/>
        <v>8.0958065960303749E-3</v>
      </c>
    </row>
    <row r="489" spans="1:15">
      <c r="A489" s="94">
        <v>576.23496651613198</v>
      </c>
      <c r="B489" s="94">
        <v>579.01490049083952</v>
      </c>
      <c r="C489" s="94">
        <v>575.15059510755827</v>
      </c>
      <c r="D489" s="94">
        <v>577.70379687865477</v>
      </c>
      <c r="E489" s="95">
        <v>5451401.4785530334</v>
      </c>
      <c r="F489" s="93" t="s">
        <v>517</v>
      </c>
      <c r="G489" s="25">
        <f t="shared" si="14"/>
        <v>-2.542531952289262E-3</v>
      </c>
      <c r="I489" s="94">
        <v>264.7392241176197</v>
      </c>
      <c r="J489" s="94">
        <v>265.03303059599824</v>
      </c>
      <c r="K489" s="94">
        <v>261.73260448887936</v>
      </c>
      <c r="L489" s="94">
        <v>264.200578907259</v>
      </c>
      <c r="M489" s="95">
        <v>1017618.8137512557</v>
      </c>
      <c r="N489" s="93" t="s">
        <v>517</v>
      </c>
      <c r="O489" s="25">
        <f t="shared" si="15"/>
        <v>2.0387737702489694E-3</v>
      </c>
    </row>
    <row r="490" spans="1:15">
      <c r="A490" s="94">
        <v>577.41791714366718</v>
      </c>
      <c r="B490" s="94">
        <v>577.84180778520044</v>
      </c>
      <c r="C490" s="94">
        <v>574.32252966828366</v>
      </c>
      <c r="D490" s="94">
        <v>574.64784109085576</v>
      </c>
      <c r="E490" s="95">
        <v>4404925.3440591749</v>
      </c>
      <c r="F490" s="93" t="s">
        <v>518</v>
      </c>
      <c r="G490" s="25">
        <f t="shared" si="14"/>
        <v>4.8204758718888296E-3</v>
      </c>
      <c r="I490" s="94">
        <v>264.15161116086267</v>
      </c>
      <c r="J490" s="94">
        <v>269.70455360221695</v>
      </c>
      <c r="K490" s="94">
        <v>263.58358530266412</v>
      </c>
      <c r="L490" s="94">
        <v>268.07882442185576</v>
      </c>
      <c r="M490" s="95">
        <v>1673756.8303937207</v>
      </c>
      <c r="N490" s="93" t="s">
        <v>518</v>
      </c>
      <c r="O490" s="25">
        <f t="shared" si="15"/>
        <v>-1.4649472107551187E-2</v>
      </c>
    </row>
    <row r="491" spans="1:15">
      <c r="A491" s="94">
        <v>573.03114189989117</v>
      </c>
      <c r="B491" s="94">
        <v>577.20104286195237</v>
      </c>
      <c r="C491" s="94">
        <v>570.09614281375764</v>
      </c>
      <c r="D491" s="94">
        <v>576.56027793870419</v>
      </c>
      <c r="E491" s="95">
        <v>4660475.147206842</v>
      </c>
      <c r="F491" s="93" t="s">
        <v>519</v>
      </c>
      <c r="G491" s="25">
        <f t="shared" si="14"/>
        <v>-6.1210183459572409E-3</v>
      </c>
      <c r="I491" s="94">
        <v>268.15717281609</v>
      </c>
      <c r="J491" s="94">
        <v>270.22361171401906</v>
      </c>
      <c r="K491" s="94">
        <v>265.25828222942181</v>
      </c>
      <c r="L491" s="94">
        <v>268.65664382933352</v>
      </c>
      <c r="M491" s="95">
        <v>2145336.6293302504</v>
      </c>
      <c r="N491" s="93" t="s">
        <v>519</v>
      </c>
      <c r="O491" s="25">
        <f t="shared" si="15"/>
        <v>-1.8591426071741246E-3</v>
      </c>
    </row>
    <row r="492" spans="1:15">
      <c r="A492" s="94">
        <v>573.37616916625552</v>
      </c>
      <c r="B492" s="94">
        <v>573.99721824571145</v>
      </c>
      <c r="C492" s="94">
        <v>569.20626820419443</v>
      </c>
      <c r="D492" s="94">
        <v>570.03433364346893</v>
      </c>
      <c r="E492" s="95">
        <v>4610520.3996252501</v>
      </c>
      <c r="F492" s="93" t="s">
        <v>520</v>
      </c>
      <c r="G492" s="25">
        <f t="shared" si="14"/>
        <v>5.8625162127108332E-3</v>
      </c>
      <c r="I492" s="94">
        <v>271.16379244483034</v>
      </c>
      <c r="J492" s="94">
        <v>274.67967663609352</v>
      </c>
      <c r="K492" s="94">
        <v>270.95812790996541</v>
      </c>
      <c r="L492" s="94">
        <v>272.71117323095729</v>
      </c>
      <c r="M492" s="95">
        <v>1322166.2168371666</v>
      </c>
      <c r="N492" s="93" t="s">
        <v>520</v>
      </c>
      <c r="O492" s="25">
        <f t="shared" si="15"/>
        <v>-5.6740644975938892E-3</v>
      </c>
    </row>
    <row r="493" spans="1:15">
      <c r="A493" s="94">
        <v>569.14712067281766</v>
      </c>
      <c r="B493" s="94">
        <v>573.23815825970985</v>
      </c>
      <c r="C493" s="94">
        <v>568.21061809268565</v>
      </c>
      <c r="D493" s="94">
        <v>572.5382458050849</v>
      </c>
      <c r="E493" s="95">
        <v>4714361.7579547698</v>
      </c>
      <c r="F493" s="93" t="s">
        <v>521</v>
      </c>
      <c r="G493" s="25">
        <f t="shared" si="14"/>
        <v>-5.9229669932333584E-3</v>
      </c>
      <c r="I493" s="94">
        <v>272.47612804825451</v>
      </c>
      <c r="J493" s="94">
        <v>274.7286443824899</v>
      </c>
      <c r="K493" s="94">
        <v>270.8993666142897</v>
      </c>
      <c r="L493" s="94">
        <v>271.42821827537102</v>
      </c>
      <c r="M493" s="95">
        <v>808382.1068574196</v>
      </c>
      <c r="N493" s="93" t="s">
        <v>521</v>
      </c>
      <c r="O493" s="25">
        <f t="shared" si="15"/>
        <v>3.8607252390403524E-3</v>
      </c>
    </row>
    <row r="494" spans="1:15">
      <c r="A494" s="94">
        <v>571.89748088183671</v>
      </c>
      <c r="B494" s="94">
        <v>571.96648633510961</v>
      </c>
      <c r="C494" s="94">
        <v>566.90937240239714</v>
      </c>
      <c r="D494" s="94">
        <v>566.99809369946217</v>
      </c>
      <c r="E494" s="95">
        <v>6735789.8246380333</v>
      </c>
      <c r="F494" s="93" t="s">
        <v>522</v>
      </c>
      <c r="G494" s="25">
        <f t="shared" si="14"/>
        <v>8.6409235530366946E-3</v>
      </c>
      <c r="I494" s="94">
        <v>272.31943125978592</v>
      </c>
      <c r="J494" s="94">
        <v>274.68947018537278</v>
      </c>
      <c r="K494" s="94">
        <v>271.02668275492039</v>
      </c>
      <c r="L494" s="94">
        <v>272.48592159753377</v>
      </c>
      <c r="M494" s="95">
        <v>1120464.061299097</v>
      </c>
      <c r="N494" s="93" t="s">
        <v>522</v>
      </c>
      <c r="O494" s="25">
        <f t="shared" si="15"/>
        <v>-6.1100528339874671E-4</v>
      </c>
    </row>
    <row r="495" spans="1:15">
      <c r="A495" s="94">
        <v>563.33094675410359</v>
      </c>
      <c r="B495" s="94">
        <v>567.55999524754145</v>
      </c>
      <c r="C495" s="94">
        <v>561.20163562454036</v>
      </c>
      <c r="D495" s="94">
        <v>567.55013732564532</v>
      </c>
      <c r="E495" s="95">
        <v>8907814.5399499964</v>
      </c>
      <c r="F495" s="93" t="s">
        <v>523</v>
      </c>
      <c r="G495" s="25">
        <f t="shared" si="14"/>
        <v>-7.4340402619281765E-3</v>
      </c>
      <c r="I495" s="94">
        <v>272.51530224537163</v>
      </c>
      <c r="J495" s="94">
        <v>273.19105714564222</v>
      </c>
      <c r="K495" s="94">
        <v>265.40518546861102</v>
      </c>
      <c r="L495" s="94">
        <v>269.32260518032484</v>
      </c>
      <c r="M495" s="95">
        <v>1443617.5891722117</v>
      </c>
      <c r="N495" s="93" t="s">
        <v>523</v>
      </c>
      <c r="O495" s="25">
        <f t="shared" si="15"/>
        <v>1.1854545454545562E-2</v>
      </c>
    </row>
    <row r="496" spans="1:15">
      <c r="A496" s="94">
        <v>572.76497800869583</v>
      </c>
      <c r="B496" s="94">
        <v>579.80491435159502</v>
      </c>
      <c r="C496" s="94">
        <v>571.601743224953</v>
      </c>
      <c r="D496" s="94">
        <v>579.47822281995741</v>
      </c>
      <c r="E496" s="95">
        <v>7148406.1998599339</v>
      </c>
      <c r="F496" s="93" t="s">
        <v>524</v>
      </c>
      <c r="G496" s="25">
        <f t="shared" si="14"/>
        <v>-1.1584982052634252E-2</v>
      </c>
      <c r="I496" s="94">
        <v>269.14632129329772</v>
      </c>
      <c r="J496" s="94">
        <v>270.02774072843334</v>
      </c>
      <c r="K496" s="94">
        <v>267.70177277460328</v>
      </c>
      <c r="L496" s="94">
        <v>268.68602447717137</v>
      </c>
      <c r="M496" s="95">
        <v>1335829.2920088039</v>
      </c>
      <c r="N496" s="93" t="s">
        <v>524</v>
      </c>
      <c r="O496" s="25">
        <f t="shared" si="15"/>
        <v>1.7131401494441256E-3</v>
      </c>
    </row>
    <row r="497" spans="1:15">
      <c r="A497" s="94">
        <v>574.92386290394734</v>
      </c>
      <c r="B497" s="94">
        <v>577.8220919414083</v>
      </c>
      <c r="C497" s="94">
        <v>572.30165567957783</v>
      </c>
      <c r="D497" s="94">
        <v>576.35326157888551</v>
      </c>
      <c r="E497" s="95">
        <v>7075252.8509494085</v>
      </c>
      <c r="F497" s="93" t="s">
        <v>525</v>
      </c>
      <c r="G497" s="25">
        <f t="shared" si="14"/>
        <v>-2.480073889097878E-3</v>
      </c>
      <c r="I497" s="94">
        <v>268.4607728437478</v>
      </c>
      <c r="J497" s="94">
        <v>270.02774072843334</v>
      </c>
      <c r="K497" s="94">
        <v>266.00259197464743</v>
      </c>
      <c r="L497" s="94">
        <v>268.30407605527927</v>
      </c>
      <c r="M497" s="95">
        <v>974920.29985450953</v>
      </c>
      <c r="N497" s="93" t="s">
        <v>525</v>
      </c>
      <c r="O497" s="25">
        <f t="shared" si="15"/>
        <v>5.8402686523573166E-4</v>
      </c>
    </row>
    <row r="498" spans="1:15">
      <c r="A498" s="94">
        <v>575.62377535857217</v>
      </c>
      <c r="B498" s="94">
        <v>578.73887867774806</v>
      </c>
      <c r="C498" s="94">
        <v>574.83514160688219</v>
      </c>
      <c r="D498" s="94">
        <v>578.48257270844874</v>
      </c>
      <c r="E498" s="95">
        <v>5105850.9623393919</v>
      </c>
      <c r="F498" s="93" t="s">
        <v>526</v>
      </c>
      <c r="G498" s="25">
        <f t="shared" si="14"/>
        <v>-4.9418901877920085E-3</v>
      </c>
      <c r="I498" s="94">
        <v>266.68814042419734</v>
      </c>
      <c r="J498" s="94">
        <v>266.72731462131446</v>
      </c>
      <c r="K498" s="94">
        <v>264.26913375221403</v>
      </c>
      <c r="L498" s="94">
        <v>265.62554032739496</v>
      </c>
      <c r="M498" s="95">
        <v>950528.73422413261</v>
      </c>
      <c r="N498" s="93" t="s">
        <v>526</v>
      </c>
      <c r="O498" s="25">
        <f t="shared" si="15"/>
        <v>4.0003686975758068E-3</v>
      </c>
    </row>
    <row r="499" spans="1:15">
      <c r="A499" s="94">
        <v>577.12217948678347</v>
      </c>
      <c r="B499" s="94">
        <v>578.16711920777266</v>
      </c>
      <c r="C499" s="94">
        <v>575.93922885924826</v>
      </c>
      <c r="D499" s="94">
        <v>577.7136548005509</v>
      </c>
      <c r="E499" s="95">
        <v>4229956.4187446134</v>
      </c>
      <c r="F499" s="93" t="s">
        <v>527</v>
      </c>
      <c r="G499" s="25">
        <f t="shared" si="14"/>
        <v>-1.0238208995970721E-3</v>
      </c>
      <c r="I499" s="94">
        <v>263.90677242888052</v>
      </c>
      <c r="J499" s="94">
        <v>265.29735849104611</v>
      </c>
      <c r="K499" s="94">
        <v>262.22463240467061</v>
      </c>
      <c r="L499" s="94">
        <v>265.01344349743965</v>
      </c>
      <c r="M499" s="95">
        <v>1205379.139202371</v>
      </c>
      <c r="N499" s="93" t="s">
        <v>527</v>
      </c>
      <c r="O499" s="25">
        <f t="shared" si="15"/>
        <v>-4.1759053954175673E-3</v>
      </c>
    </row>
    <row r="500" spans="1:15">
      <c r="A500" s="94">
        <v>577.26019039332914</v>
      </c>
      <c r="B500" s="94">
        <v>577.7136548005509</v>
      </c>
      <c r="C500" s="94">
        <v>575.29846393600019</v>
      </c>
      <c r="D500" s="94">
        <v>575.51533821771477</v>
      </c>
      <c r="E500" s="95">
        <v>3235023.6019351534</v>
      </c>
      <c r="F500" s="93" t="s">
        <v>528</v>
      </c>
      <c r="G500" s="25">
        <f t="shared" si="14"/>
        <v>3.0318082937943469E-3</v>
      </c>
      <c r="I500" s="94">
        <v>263.72069499257407</v>
      </c>
      <c r="J500" s="94">
        <v>266.08358462718707</v>
      </c>
      <c r="K500" s="94">
        <v>257.55075894662485</v>
      </c>
      <c r="L500" s="94">
        <v>264.42583054068257</v>
      </c>
      <c r="M500" s="95">
        <v>1999738.7506310411</v>
      </c>
      <c r="N500" s="93" t="s">
        <v>528</v>
      </c>
      <c r="O500" s="25">
        <f t="shared" si="15"/>
        <v>-2.666666666666706E-3</v>
      </c>
    </row>
    <row r="501" spans="1:15">
      <c r="A501" s="94">
        <v>574.97315251342798</v>
      </c>
      <c r="B501" s="94">
        <v>576.44198287595066</v>
      </c>
      <c r="C501" s="94">
        <v>574.4408247310372</v>
      </c>
      <c r="D501" s="94">
        <v>575.052015888597</v>
      </c>
      <c r="E501" s="95">
        <v>3896258.2991345515</v>
      </c>
      <c r="F501" s="93" t="s">
        <v>529</v>
      </c>
      <c r="G501" s="25">
        <f t="shared" si="14"/>
        <v>-1.3714128981390239E-4</v>
      </c>
      <c r="I501" s="94">
        <v>267.57935340861223</v>
      </c>
      <c r="J501" s="94">
        <v>274.24876046780497</v>
      </c>
      <c r="K501" s="94">
        <v>267.08967594464804</v>
      </c>
      <c r="L501" s="94">
        <v>269.8122826442891</v>
      </c>
      <c r="M501" s="95">
        <v>3495095.4984626984</v>
      </c>
      <c r="N501" s="93" t="s">
        <v>529</v>
      </c>
      <c r="O501" s="25">
        <f t="shared" si="15"/>
        <v>-8.2758620689654672E-3</v>
      </c>
    </row>
    <row r="502" spans="1:15">
      <c r="A502" s="94">
        <v>574.57883563758298</v>
      </c>
      <c r="B502" s="94">
        <v>574.67741485654426</v>
      </c>
      <c r="C502" s="94">
        <v>570.64552480102873</v>
      </c>
      <c r="D502" s="94">
        <v>572.3213715233702</v>
      </c>
      <c r="E502" s="95">
        <v>4318704.3322722949</v>
      </c>
      <c r="F502" s="93" t="s">
        <v>530</v>
      </c>
      <c r="G502" s="25">
        <f t="shared" si="14"/>
        <v>3.9443994694867701E-3</v>
      </c>
      <c r="I502" s="94">
        <v>264.03408856951125</v>
      </c>
      <c r="J502" s="94">
        <v>264.57273377987184</v>
      </c>
      <c r="K502" s="94">
        <v>258.23630739617477</v>
      </c>
      <c r="L502" s="94">
        <v>258.7161913108597</v>
      </c>
      <c r="M502" s="95">
        <v>2201293.8706093831</v>
      </c>
      <c r="N502" s="93" t="s">
        <v>530</v>
      </c>
      <c r="O502" s="25">
        <f t="shared" si="15"/>
        <v>2.0554945678919134E-2</v>
      </c>
    </row>
    <row r="503" spans="1:15">
      <c r="A503" s="94">
        <v>569.73859598658521</v>
      </c>
      <c r="B503" s="94">
        <v>570.61595103534046</v>
      </c>
      <c r="C503" s="94">
        <v>567.46141602858017</v>
      </c>
      <c r="D503" s="94">
        <v>570.06390740915731</v>
      </c>
      <c r="E503" s="95">
        <v>4812047.660739053</v>
      </c>
      <c r="F503" s="93" t="s">
        <v>531</v>
      </c>
      <c r="G503" s="25">
        <f t="shared" si="14"/>
        <v>-5.7065781282417127E-4</v>
      </c>
      <c r="I503" s="94">
        <v>258.96103004284186</v>
      </c>
      <c r="J503" s="94">
        <v>259.48988170392317</v>
      </c>
      <c r="K503" s="94">
        <v>254.85175470074682</v>
      </c>
      <c r="L503" s="94">
        <v>255.99358461121858</v>
      </c>
      <c r="M503" s="95">
        <v>1612324.5566752846</v>
      </c>
      <c r="N503" s="93" t="s">
        <v>531</v>
      </c>
      <c r="O503" s="25">
        <f t="shared" si="15"/>
        <v>1.1591874210949316E-2</v>
      </c>
    </row>
    <row r="504" spans="1:15">
      <c r="A504" s="94">
        <v>569.73859598658521</v>
      </c>
      <c r="B504" s="94">
        <v>572.28193983578558</v>
      </c>
      <c r="C504" s="94">
        <v>569.38371079832473</v>
      </c>
      <c r="D504" s="94">
        <v>569.76816975227359</v>
      </c>
      <c r="E504" s="95">
        <v>5977128.9142752439</v>
      </c>
      <c r="F504" s="93" t="s">
        <v>532</v>
      </c>
      <c r="G504" s="25">
        <f t="shared" si="14"/>
        <v>-5.1904910204569887E-5</v>
      </c>
      <c r="I504" s="94">
        <v>257.65848798869695</v>
      </c>
      <c r="J504" s="94">
        <v>260.58675922320305</v>
      </c>
      <c r="K504" s="94">
        <v>257.05765374041283</v>
      </c>
      <c r="L504" s="94">
        <v>259.587817196716</v>
      </c>
      <c r="M504" s="95">
        <v>962445.76212400408</v>
      </c>
      <c r="N504" s="93" t="s">
        <v>532</v>
      </c>
      <c r="O504" s="25">
        <f t="shared" si="15"/>
        <v>-7.4322794838904693E-3</v>
      </c>
    </row>
    <row r="505" spans="1:15">
      <c r="A505" s="94">
        <v>568.72323003128417</v>
      </c>
      <c r="B505" s="94">
        <v>570.28078169087212</v>
      </c>
      <c r="C505" s="94">
        <v>567.65857446650273</v>
      </c>
      <c r="D505" s="94">
        <v>570.25120792518373</v>
      </c>
      <c r="E505" s="95">
        <v>4305316.1150201503</v>
      </c>
      <c r="F505" s="93" t="s">
        <v>533</v>
      </c>
      <c r="G505" s="25">
        <f t="shared" si="14"/>
        <v>-2.6794820820441601E-3</v>
      </c>
      <c r="I505" s="94">
        <v>259.30380426761673</v>
      </c>
      <c r="J505" s="94">
        <v>262.04599806581643</v>
      </c>
      <c r="K505" s="94">
        <v>257.72704283365198</v>
      </c>
      <c r="L505" s="94">
        <v>260.49861727968948</v>
      </c>
      <c r="M505" s="95">
        <v>1471417.5207634978</v>
      </c>
      <c r="N505" s="93" t="s">
        <v>533</v>
      </c>
      <c r="O505" s="25">
        <f t="shared" si="15"/>
        <v>-4.5866385954360656E-3</v>
      </c>
    </row>
    <row r="506" spans="1:15">
      <c r="A506" s="94">
        <v>568.97953600058349</v>
      </c>
      <c r="B506" s="94">
        <v>569.44285832970138</v>
      </c>
      <c r="C506" s="94">
        <v>565.64755839969303</v>
      </c>
      <c r="D506" s="94">
        <v>565.86443268140783</v>
      </c>
      <c r="E506" s="95">
        <v>5469281.5147165656</v>
      </c>
      <c r="F506" s="93" t="s">
        <v>534</v>
      </c>
      <c r="G506" s="25">
        <f t="shared" si="14"/>
        <v>5.5050346677814055E-3</v>
      </c>
      <c r="I506" s="94">
        <v>260.02852691428382</v>
      </c>
      <c r="J506" s="94">
        <v>261.31148186987008</v>
      </c>
      <c r="K506" s="94">
        <v>258.06981705842691</v>
      </c>
      <c r="L506" s="94">
        <v>258.52032032527404</v>
      </c>
      <c r="M506" s="95">
        <v>1499899.5339790762</v>
      </c>
      <c r="N506" s="93" t="s">
        <v>534</v>
      </c>
      <c r="O506" s="25">
        <f t="shared" si="15"/>
        <v>5.833996287456733E-3</v>
      </c>
    </row>
    <row r="507" spans="1:15">
      <c r="A507" s="94">
        <v>565.58841086831626</v>
      </c>
      <c r="B507" s="94">
        <v>566.10102280691478</v>
      </c>
      <c r="C507" s="94">
        <v>560.09754837217417</v>
      </c>
      <c r="D507" s="94">
        <v>565.25324152384803</v>
      </c>
      <c r="E507" s="95">
        <v>6208054.8664168082</v>
      </c>
      <c r="F507" s="93" t="s">
        <v>535</v>
      </c>
      <c r="G507" s="25">
        <f t="shared" si="14"/>
        <v>5.9295430763861567E-4</v>
      </c>
      <c r="I507" s="94">
        <v>258.21672029761623</v>
      </c>
      <c r="J507" s="94">
        <v>258.65743001518399</v>
      </c>
      <c r="K507" s="94">
        <v>255.38638455590294</v>
      </c>
      <c r="L507" s="94">
        <v>256.15028139968717</v>
      </c>
      <c r="M507" s="95">
        <v>1132387.2156806237</v>
      </c>
      <c r="N507" s="93" t="s">
        <v>535</v>
      </c>
      <c r="O507" s="25">
        <f t="shared" si="15"/>
        <v>8.0672911489199084E-3</v>
      </c>
    </row>
    <row r="508" spans="1:15">
      <c r="A508" s="94">
        <v>563.73512155184471</v>
      </c>
      <c r="B508" s="94">
        <v>568.95982015679124</v>
      </c>
      <c r="C508" s="94">
        <v>563.72526362994859</v>
      </c>
      <c r="D508" s="94">
        <v>568.65422457801139</v>
      </c>
      <c r="E508" s="95">
        <v>5415206.2232284574</v>
      </c>
      <c r="F508" s="93" t="s">
        <v>536</v>
      </c>
      <c r="G508" s="25">
        <f t="shared" ref="G508:G571" si="16">A508/D508-1</f>
        <v>-8.6504290543467643E-3</v>
      </c>
      <c r="I508" s="94">
        <v>255.77812652707436</v>
      </c>
      <c r="J508" s="94">
        <v>257.20798472184987</v>
      </c>
      <c r="K508" s="94">
        <v>254.69104255707376</v>
      </c>
      <c r="L508" s="94">
        <v>256.63016531437211</v>
      </c>
      <c r="M508" s="95">
        <v>1034224.6422779982</v>
      </c>
      <c r="N508" s="93" t="s">
        <v>536</v>
      </c>
      <c r="O508" s="25">
        <f t="shared" ref="O508:O571" si="17">I508/L508-1</f>
        <v>-3.3201038009463835E-3</v>
      </c>
    </row>
    <row r="509" spans="1:15">
      <c r="A509" s="94">
        <v>566.18974410397993</v>
      </c>
      <c r="B509" s="94">
        <v>566.51406973436247</v>
      </c>
      <c r="C509" s="94">
        <v>563.45909973875314</v>
      </c>
      <c r="D509" s="94">
        <v>564.71105581956112</v>
      </c>
      <c r="E509" s="95">
        <v>4787997.9672541441</v>
      </c>
      <c r="F509" s="93" t="s">
        <v>537</v>
      </c>
      <c r="G509" s="25">
        <f t="shared" si="16"/>
        <v>2.6184865147944603E-3</v>
      </c>
      <c r="I509" s="94">
        <v>256.89459114491279</v>
      </c>
      <c r="J509" s="94">
        <v>257.41364925671485</v>
      </c>
      <c r="K509" s="94">
        <v>252.03699070238767</v>
      </c>
      <c r="L509" s="94">
        <v>253.88797151617243</v>
      </c>
      <c r="M509" s="95">
        <v>982609.03433193499</v>
      </c>
      <c r="N509" s="93" t="s">
        <v>537</v>
      </c>
      <c r="O509" s="25">
        <f t="shared" si="17"/>
        <v>1.1842308285758385E-2</v>
      </c>
    </row>
    <row r="510" spans="1:15">
      <c r="A510" s="94">
        <v>565.07579892971773</v>
      </c>
      <c r="B510" s="94">
        <v>566.21507896325306</v>
      </c>
      <c r="C510" s="94">
        <v>563.25208337893446</v>
      </c>
      <c r="D510" s="94">
        <v>564.31673894371613</v>
      </c>
      <c r="E510" s="95">
        <v>4477878.8536911234</v>
      </c>
      <c r="F510" s="93" t="s">
        <v>538</v>
      </c>
      <c r="G510" s="25">
        <f t="shared" si="16"/>
        <v>1.3450956415406168E-3</v>
      </c>
      <c r="I510" s="94">
        <v>254.19157154383026</v>
      </c>
      <c r="J510" s="94">
        <v>255.74874587923648</v>
      </c>
      <c r="K510" s="94">
        <v>252.74800238006372</v>
      </c>
      <c r="L510" s="94">
        <v>255.74874587923648</v>
      </c>
      <c r="M510" s="95">
        <v>961844.34584150696</v>
      </c>
      <c r="N510" s="93" t="s">
        <v>538</v>
      </c>
      <c r="O510" s="25">
        <f t="shared" si="17"/>
        <v>-6.0886880600443671E-3</v>
      </c>
    </row>
    <row r="511" spans="1:15">
      <c r="A511" s="94">
        <v>567.11638876221571</v>
      </c>
      <c r="B511" s="94">
        <v>568.07260718613998</v>
      </c>
      <c r="C511" s="94">
        <v>564.56318699111921</v>
      </c>
      <c r="D511" s="94">
        <v>565.62784255590077</v>
      </c>
      <c r="E511" s="95">
        <v>4991192.9226521207</v>
      </c>
      <c r="F511" s="93" t="s">
        <v>539</v>
      </c>
      <c r="G511" s="25">
        <f t="shared" si="16"/>
        <v>2.6316706751716712E-3</v>
      </c>
      <c r="I511" s="94">
        <v>254.73021675419091</v>
      </c>
      <c r="J511" s="94">
        <v>255.48432004869579</v>
      </c>
      <c r="K511" s="94">
        <v>251.21433256292772</v>
      </c>
      <c r="L511" s="94">
        <v>252.70295205337897</v>
      </c>
      <c r="M511" s="95">
        <v>1176093.5358096699</v>
      </c>
      <c r="N511" s="93" t="s">
        <v>539</v>
      </c>
      <c r="O511" s="25">
        <f t="shared" si="17"/>
        <v>8.0223229856994926E-3</v>
      </c>
    </row>
    <row r="512" spans="1:15">
      <c r="A512" s="94">
        <v>565.46025788366671</v>
      </c>
      <c r="B512" s="94">
        <v>566.10102280691478</v>
      </c>
      <c r="C512" s="94">
        <v>562.65075014327078</v>
      </c>
      <c r="D512" s="94">
        <v>564.32659686561226</v>
      </c>
      <c r="E512" s="95">
        <v>6931622.173518654</v>
      </c>
      <c r="F512" s="93" t="s">
        <v>540</v>
      </c>
      <c r="G512" s="25">
        <f t="shared" si="16"/>
        <v>2.0088739824617452E-3</v>
      </c>
      <c r="I512" s="94">
        <v>253.70189407986604</v>
      </c>
      <c r="J512" s="94">
        <v>254.09363605103738</v>
      </c>
      <c r="K512" s="94">
        <v>250.72759316374729</v>
      </c>
      <c r="L512" s="94">
        <v>252.81068109545112</v>
      </c>
      <c r="M512" s="95">
        <v>947442.00855012762</v>
      </c>
      <c r="N512" s="93" t="s">
        <v>540</v>
      </c>
      <c r="O512" s="25">
        <f t="shared" si="17"/>
        <v>3.5252188734795631E-3</v>
      </c>
    </row>
    <row r="513" spans="1:15">
      <c r="A513" s="94">
        <v>562.12828028277613</v>
      </c>
      <c r="B513" s="94">
        <v>563.70554778615633</v>
      </c>
      <c r="C513" s="94">
        <v>561.38893614056678</v>
      </c>
      <c r="D513" s="94">
        <v>563.03520909721965</v>
      </c>
      <c r="E513" s="95">
        <v>7016504.1606978038</v>
      </c>
      <c r="F513" s="93" t="s">
        <v>541</v>
      </c>
      <c r="G513" s="25">
        <f t="shared" si="16"/>
        <v>-1.6107852578131077E-3</v>
      </c>
      <c r="I513" s="94">
        <v>251.78235842112622</v>
      </c>
      <c r="J513" s="94">
        <v>252.29162298364906</v>
      </c>
      <c r="K513" s="94">
        <v>248.87367428517874</v>
      </c>
      <c r="L513" s="94">
        <v>249.44170014337723</v>
      </c>
      <c r="M513" s="95">
        <v>1259431.0446866993</v>
      </c>
      <c r="N513" s="93" t="s">
        <v>541</v>
      </c>
      <c r="O513" s="25">
        <f t="shared" si="17"/>
        <v>9.3835885355320059E-3</v>
      </c>
    </row>
    <row r="514" spans="1:15">
      <c r="A514" s="94">
        <v>562.50288131482898</v>
      </c>
      <c r="B514" s="94">
        <v>565.44054203987446</v>
      </c>
      <c r="C514" s="94">
        <v>559.91024785614786</v>
      </c>
      <c r="D514" s="94">
        <v>564.85892464800293</v>
      </c>
      <c r="E514" s="95">
        <v>6439396.7277168343</v>
      </c>
      <c r="F514" s="93" t="s">
        <v>542</v>
      </c>
      <c r="G514" s="25">
        <f t="shared" si="16"/>
        <v>-4.1710296684116521E-3</v>
      </c>
      <c r="I514" s="94">
        <v>251.13598416869348</v>
      </c>
      <c r="J514" s="94">
        <v>252.68336495482041</v>
      </c>
      <c r="K514" s="94">
        <v>244.85547895138109</v>
      </c>
      <c r="L514" s="94">
        <v>251.05763577445921</v>
      </c>
      <c r="M514" s="95">
        <v>1287727.2212920664</v>
      </c>
      <c r="N514" s="93" t="s">
        <v>542</v>
      </c>
      <c r="O514" s="25">
        <f t="shared" si="17"/>
        <v>3.1207333723415331E-4</v>
      </c>
    </row>
    <row r="515" spans="1:15">
      <c r="A515" s="94">
        <v>567.04738330894293</v>
      </c>
      <c r="B515" s="94">
        <v>567.49098979426856</v>
      </c>
      <c r="C515" s="94">
        <v>564.00128544304005</v>
      </c>
      <c r="D515" s="94">
        <v>564.05057505252057</v>
      </c>
      <c r="E515" s="95">
        <v>4903643.0303833261</v>
      </c>
      <c r="F515" s="93" t="s">
        <v>543</v>
      </c>
      <c r="G515" s="25">
        <f t="shared" si="16"/>
        <v>5.3130133873957597E-3</v>
      </c>
      <c r="I515" s="94">
        <v>250.45043571914354</v>
      </c>
      <c r="J515" s="94">
        <v>251.27309385860343</v>
      </c>
      <c r="K515" s="94">
        <v>248.53090006040378</v>
      </c>
      <c r="L515" s="94">
        <v>248.59945490535878</v>
      </c>
      <c r="M515" s="95">
        <v>587461.17836661404</v>
      </c>
      <c r="N515" s="93" t="s">
        <v>543</v>
      </c>
      <c r="O515" s="25">
        <f t="shared" si="17"/>
        <v>7.4456350456979514E-3</v>
      </c>
    </row>
    <row r="516" spans="1:15">
      <c r="A516" s="94">
        <v>562.1874278141529</v>
      </c>
      <c r="B516" s="94">
        <v>562.23671742363354</v>
      </c>
      <c r="C516" s="94">
        <v>558.75687099430115</v>
      </c>
      <c r="D516" s="94">
        <v>559.30891462048419</v>
      </c>
      <c r="E516" s="95">
        <v>6222433.1503486075</v>
      </c>
      <c r="F516" s="93" t="s">
        <v>544</v>
      </c>
      <c r="G516" s="25">
        <f t="shared" si="16"/>
        <v>5.1465533954915266E-3</v>
      </c>
      <c r="I516" s="94">
        <v>248.3252355255388</v>
      </c>
      <c r="J516" s="94">
        <v>248.47213876472807</v>
      </c>
      <c r="K516" s="94">
        <v>243.9671060962572</v>
      </c>
      <c r="L516" s="94">
        <v>245.543867530222</v>
      </c>
      <c r="M516" s="95">
        <v>894919.68131907727</v>
      </c>
      <c r="N516" s="93" t="s">
        <v>544</v>
      </c>
      <c r="O516" s="25">
        <f t="shared" si="17"/>
        <v>1.1327377153796947E-2</v>
      </c>
    </row>
    <row r="517" spans="1:15">
      <c r="A517" s="94">
        <v>559.70323149632918</v>
      </c>
      <c r="B517" s="94">
        <v>560.7185974516301</v>
      </c>
      <c r="C517" s="94">
        <v>557.76122088279237</v>
      </c>
      <c r="D517" s="94">
        <v>558.51042294689796</v>
      </c>
      <c r="E517" s="95">
        <v>7475561.358318584</v>
      </c>
      <c r="F517" s="93" t="s">
        <v>545</v>
      </c>
      <c r="G517" s="25">
        <f t="shared" si="16"/>
        <v>2.1356961310363687E-3</v>
      </c>
      <c r="I517" s="94">
        <v>246.97372572499754</v>
      </c>
      <c r="J517" s="94">
        <v>247.69844837166457</v>
      </c>
      <c r="K517" s="94">
        <v>243.86917060346434</v>
      </c>
      <c r="L517" s="94">
        <v>245.57324817805986</v>
      </c>
      <c r="M517" s="95">
        <v>970430.60988143657</v>
      </c>
      <c r="N517" s="93" t="s">
        <v>545</v>
      </c>
      <c r="O517" s="25">
        <f t="shared" si="17"/>
        <v>5.7028913260219749E-3</v>
      </c>
    </row>
    <row r="518" spans="1:15">
      <c r="A518" s="94">
        <v>559.9595374656285</v>
      </c>
      <c r="B518" s="94">
        <v>561.06362471799457</v>
      </c>
      <c r="C518" s="94">
        <v>557.34225920220717</v>
      </c>
      <c r="D518" s="94">
        <v>559.43706760513385</v>
      </c>
      <c r="E518" s="95">
        <v>5801616.2638169378</v>
      </c>
      <c r="F518" s="93" t="s">
        <v>546</v>
      </c>
      <c r="G518" s="25">
        <f t="shared" si="16"/>
        <v>9.3392070484576983E-4</v>
      </c>
      <c r="I518" s="94">
        <v>245.66139012157342</v>
      </c>
      <c r="J518" s="94">
        <v>246.09230628986194</v>
      </c>
      <c r="K518" s="94">
        <v>241.90066719832814</v>
      </c>
      <c r="L518" s="94">
        <v>242.51766080292307</v>
      </c>
      <c r="M518" s="95">
        <v>1125522.4929858388</v>
      </c>
      <c r="N518" s="93" t="s">
        <v>546</v>
      </c>
      <c r="O518" s="25">
        <f t="shared" si="17"/>
        <v>1.2962888179945953E-2</v>
      </c>
    </row>
    <row r="519" spans="1:15">
      <c r="A519" s="94">
        <v>557.17497025706712</v>
      </c>
      <c r="B519" s="94">
        <v>558.53117708122227</v>
      </c>
      <c r="C519" s="94">
        <v>553.49945321189307</v>
      </c>
      <c r="D519" s="94">
        <v>555.36669449152691</v>
      </c>
      <c r="E519" s="95">
        <v>6162779.1359969964</v>
      </c>
      <c r="F519" s="93" t="s">
        <v>547</v>
      </c>
      <c r="G519" s="25">
        <f t="shared" si="16"/>
        <v>3.2560032560033925E-3</v>
      </c>
      <c r="I519" s="94">
        <v>241.88108009976958</v>
      </c>
      <c r="J519" s="94">
        <v>242.98226678073232</v>
      </c>
      <c r="K519" s="94">
        <v>240.05947993382264</v>
      </c>
      <c r="L519" s="94">
        <v>240.45122190499404</v>
      </c>
      <c r="M519" s="95">
        <v>2204412.2497719405</v>
      </c>
      <c r="N519" s="93" t="s">
        <v>547</v>
      </c>
      <c r="O519" s="25">
        <f t="shared" si="17"/>
        <v>5.9465623981753701E-3</v>
      </c>
    </row>
    <row r="520" spans="1:15">
      <c r="A520" s="94">
        <v>554.42324626602772</v>
      </c>
      <c r="B520" s="94">
        <v>554.81634969331901</v>
      </c>
      <c r="C520" s="94">
        <v>551.2882464333793</v>
      </c>
      <c r="D520" s="94">
        <v>551.83859123158709</v>
      </c>
      <c r="E520" s="95">
        <v>6188136.3303330615</v>
      </c>
      <c r="F520" s="93" t="s">
        <v>548</v>
      </c>
      <c r="G520" s="25">
        <f t="shared" si="16"/>
        <v>4.6837156290071569E-3</v>
      </c>
      <c r="I520" s="94">
        <v>241.70479621274245</v>
      </c>
      <c r="J520" s="94">
        <v>244.44699001094213</v>
      </c>
      <c r="K520" s="94">
        <v>241.01924776319254</v>
      </c>
      <c r="L520" s="94">
        <v>242.88002212625659</v>
      </c>
      <c r="M520" s="95">
        <v>1997948.7969074121</v>
      </c>
      <c r="N520" s="93" t="s">
        <v>548</v>
      </c>
      <c r="O520" s="25">
        <f t="shared" si="17"/>
        <v>-4.8387096774192839E-3</v>
      </c>
    </row>
    <row r="521" spans="1:15">
      <c r="A521" s="94">
        <v>550.0696258087761</v>
      </c>
      <c r="B521" s="94">
        <v>551.34721194747294</v>
      </c>
      <c r="C521" s="94">
        <v>548.71341898462094</v>
      </c>
      <c r="D521" s="94">
        <v>550.8558326633588</v>
      </c>
      <c r="E521" s="95">
        <v>16761293.701763421</v>
      </c>
      <c r="F521" s="93" t="s">
        <v>549</v>
      </c>
      <c r="G521" s="25">
        <f t="shared" si="16"/>
        <v>-1.4272461285949056E-3</v>
      </c>
      <c r="I521" s="94">
        <v>242.75270598562591</v>
      </c>
      <c r="J521" s="94">
        <v>243.46763508301368</v>
      </c>
      <c r="K521" s="94">
        <v>240.44642306584717</v>
      </c>
      <c r="L521" s="94">
        <v>242.63518339427449</v>
      </c>
      <c r="M521" s="95">
        <v>984244.80493390514</v>
      </c>
      <c r="N521" s="93" t="s">
        <v>549</v>
      </c>
      <c r="O521" s="25">
        <f t="shared" si="17"/>
        <v>4.8435923309786411E-4</v>
      </c>
    </row>
    <row r="522" spans="1:15">
      <c r="A522" s="94">
        <v>549.7944534096722</v>
      </c>
      <c r="B522" s="94">
        <v>550.7673843922181</v>
      </c>
      <c r="C522" s="94">
        <v>546.77738460521107</v>
      </c>
      <c r="D522" s="94">
        <v>547.57341904547604</v>
      </c>
      <c r="E522" s="95">
        <v>6888808.9291396448</v>
      </c>
      <c r="F522" s="93" t="s">
        <v>550</v>
      </c>
      <c r="G522" s="25">
        <f t="shared" si="16"/>
        <v>4.0561398470873034E-3</v>
      </c>
      <c r="I522" s="94">
        <v>241.55789297355318</v>
      </c>
      <c r="J522" s="94">
        <v>244.5938932501314</v>
      </c>
      <c r="K522" s="94">
        <v>238.80590562607424</v>
      </c>
      <c r="L522" s="94">
        <v>243.85937705418505</v>
      </c>
      <c r="M522" s="95">
        <v>1213756.0817857438</v>
      </c>
      <c r="N522" s="93" t="s">
        <v>550</v>
      </c>
      <c r="O522" s="25">
        <f t="shared" si="17"/>
        <v>-9.437751004016115E-3</v>
      </c>
    </row>
    <row r="523" spans="1:15">
      <c r="A523" s="94">
        <v>543.81928131484369</v>
      </c>
      <c r="B523" s="94">
        <v>544.15341922804146</v>
      </c>
      <c r="C523" s="94">
        <v>536.34048861062593</v>
      </c>
      <c r="D523" s="94">
        <v>539.20031604417045</v>
      </c>
      <c r="E523" s="95">
        <v>9861171.7193882875</v>
      </c>
      <c r="F523" s="93" t="s">
        <v>551</v>
      </c>
      <c r="G523" s="25">
        <f t="shared" si="16"/>
        <v>8.5663252287391245E-3</v>
      </c>
      <c r="I523" s="94">
        <v>245.92581595211411</v>
      </c>
      <c r="J523" s="94">
        <v>249.62493745039265</v>
      </c>
      <c r="K523" s="94">
        <v>244.5155448558971</v>
      </c>
      <c r="L523" s="94">
        <v>246.31755792328545</v>
      </c>
      <c r="M523" s="95">
        <v>1197804.7657158449</v>
      </c>
      <c r="N523" s="93" t="s">
        <v>551</v>
      </c>
      <c r="O523" s="25">
        <f t="shared" si="17"/>
        <v>-1.5903940201182909E-3</v>
      </c>
    </row>
    <row r="524" spans="1:15">
      <c r="A524" s="94">
        <v>538.2765229900358</v>
      </c>
      <c r="B524" s="94">
        <v>543.1903158311776</v>
      </c>
      <c r="C524" s="94">
        <v>537.19548856498454</v>
      </c>
      <c r="D524" s="94">
        <v>542.20755726294919</v>
      </c>
      <c r="E524" s="95">
        <v>10117294.645341258</v>
      </c>
      <c r="F524" s="93" t="s">
        <v>552</v>
      </c>
      <c r="G524" s="25">
        <f t="shared" si="16"/>
        <v>-7.2500543754077107E-3</v>
      </c>
      <c r="I524" s="94">
        <v>244.5155448558971</v>
      </c>
      <c r="J524" s="94">
        <v>246.67991924661899</v>
      </c>
      <c r="K524" s="94">
        <v>241.1073897067061</v>
      </c>
      <c r="L524" s="94">
        <v>245.14233200977134</v>
      </c>
      <c r="M524" s="95">
        <v>1670808.9716372364</v>
      </c>
      <c r="N524" s="93" t="s">
        <v>552</v>
      </c>
      <c r="O524" s="25">
        <f t="shared" si="17"/>
        <v>-2.556829531381144E-3</v>
      </c>
    </row>
    <row r="525" spans="1:15">
      <c r="A525" s="94">
        <v>539.7703160137429</v>
      </c>
      <c r="B525" s="94">
        <v>543.18048824549533</v>
      </c>
      <c r="C525" s="94">
        <v>538.93497123074883</v>
      </c>
      <c r="D525" s="94">
        <v>540.674453896513</v>
      </c>
      <c r="E525" s="95">
        <v>4683071.864025292</v>
      </c>
      <c r="F525" s="93" t="s">
        <v>553</v>
      </c>
      <c r="G525" s="25">
        <f t="shared" si="16"/>
        <v>-1.6722408026755842E-3</v>
      </c>
      <c r="I525" s="94">
        <v>243.69288671643722</v>
      </c>
      <c r="J525" s="94">
        <v>248.65527813625067</v>
      </c>
      <c r="K525" s="94">
        <v>243.25707377350903</v>
      </c>
      <c r="L525" s="94">
        <v>245.81808691004196</v>
      </c>
      <c r="M525" s="95">
        <v>1307411.6068506066</v>
      </c>
      <c r="N525" s="93" t="s">
        <v>553</v>
      </c>
      <c r="O525" s="25">
        <f t="shared" si="17"/>
        <v>-8.6454183266931883E-3</v>
      </c>
    </row>
    <row r="526" spans="1:15">
      <c r="A526" s="94">
        <v>539.87841945624803</v>
      </c>
      <c r="B526" s="94">
        <v>543.62272960119799</v>
      </c>
      <c r="C526" s="94">
        <v>539.17574707996471</v>
      </c>
      <c r="D526" s="94">
        <v>542.27635036272511</v>
      </c>
      <c r="E526" s="95">
        <v>4836736.2581930673</v>
      </c>
      <c r="F526" s="93" t="s">
        <v>554</v>
      </c>
      <c r="G526" s="25">
        <f t="shared" si="16"/>
        <v>-4.4219721270771783E-3</v>
      </c>
      <c r="I526" s="94">
        <v>245.68097722013198</v>
      </c>
      <c r="J526" s="94">
        <v>246.30776437400618</v>
      </c>
      <c r="K526" s="94">
        <v>241.93984139544528</v>
      </c>
      <c r="L526" s="94">
        <v>244.12380288472573</v>
      </c>
      <c r="M526" s="95">
        <v>1400229.846089242</v>
      </c>
      <c r="N526" s="93" t="s">
        <v>554</v>
      </c>
      <c r="O526" s="25">
        <f t="shared" si="17"/>
        <v>6.3786255867133157E-3</v>
      </c>
    </row>
    <row r="527" spans="1:15">
      <c r="A527" s="94">
        <v>544.51703989828593</v>
      </c>
      <c r="B527" s="94">
        <v>546.10910877881588</v>
      </c>
      <c r="C527" s="94">
        <v>542.35497104818353</v>
      </c>
      <c r="D527" s="94">
        <v>542.42376414795956</v>
      </c>
      <c r="E527" s="95">
        <v>7551526.122411334</v>
      </c>
      <c r="F527" s="93" t="s">
        <v>555</v>
      </c>
      <c r="G527" s="25">
        <f t="shared" si="16"/>
        <v>3.8591151212088448E-3</v>
      </c>
      <c r="I527" s="94">
        <v>242.65477049283305</v>
      </c>
      <c r="J527" s="94">
        <v>251.06547061388261</v>
      </c>
      <c r="K527" s="94">
        <v>241.69500266346316</v>
      </c>
      <c r="L527" s="94">
        <v>250.71486154968423</v>
      </c>
      <c r="M527" s="95">
        <v>1871018.3078119599</v>
      </c>
      <c r="N527" s="93" t="s">
        <v>555</v>
      </c>
      <c r="O527" s="25">
        <f t="shared" si="17"/>
        <v>-3.214843749999996E-2</v>
      </c>
    </row>
    <row r="528" spans="1:15">
      <c r="A528" s="94">
        <v>539.30841948667558</v>
      </c>
      <c r="B528" s="94">
        <v>543.70626407949749</v>
      </c>
      <c r="C528" s="94">
        <v>537.97186783388497</v>
      </c>
      <c r="D528" s="94">
        <v>540.7530745819713</v>
      </c>
      <c r="E528" s="95">
        <v>7186216.664314013</v>
      </c>
      <c r="F528" s="93" t="s">
        <v>556</v>
      </c>
      <c r="G528" s="25">
        <f t="shared" si="16"/>
        <v>-2.671561500436237E-3</v>
      </c>
      <c r="I528" s="94">
        <v>251.68442292833342</v>
      </c>
      <c r="J528" s="94">
        <v>252.46790687067619</v>
      </c>
      <c r="K528" s="94">
        <v>246.85620313364612</v>
      </c>
      <c r="L528" s="94">
        <v>247.67886127310604</v>
      </c>
      <c r="M528" s="95">
        <v>3098747.8731732108</v>
      </c>
      <c r="N528" s="93" t="s">
        <v>556</v>
      </c>
      <c r="O528" s="25">
        <f t="shared" si="17"/>
        <v>1.6172400158165345E-2</v>
      </c>
    </row>
    <row r="529" spans="1:15">
      <c r="A529" s="94">
        <v>545.38186743832682</v>
      </c>
      <c r="B529" s="94">
        <v>545.43100536673819</v>
      </c>
      <c r="C529" s="94">
        <v>541.62989177654458</v>
      </c>
      <c r="D529" s="94">
        <v>542.08962623476179</v>
      </c>
      <c r="E529" s="95">
        <v>8570714.3873436227</v>
      </c>
      <c r="F529" s="93" t="s">
        <v>557</v>
      </c>
      <c r="G529" s="25">
        <f t="shared" si="16"/>
        <v>6.0732414793329692E-3</v>
      </c>
      <c r="I529" s="94">
        <v>245.22068040400558</v>
      </c>
      <c r="J529" s="94">
        <v>245.25006105184343</v>
      </c>
      <c r="K529" s="94">
        <v>239.98113153958838</v>
      </c>
      <c r="L529" s="94">
        <v>241.15635745310252</v>
      </c>
      <c r="M529" s="95">
        <v>1364350.106274866</v>
      </c>
      <c r="N529" s="93" t="s">
        <v>557</v>
      </c>
      <c r="O529" s="25">
        <f t="shared" si="17"/>
        <v>1.6853476283300806E-2</v>
      </c>
    </row>
    <row r="530" spans="1:15">
      <c r="A530" s="94">
        <v>543.32790203072955</v>
      </c>
      <c r="B530" s="94">
        <v>546.63488461281804</v>
      </c>
      <c r="C530" s="94">
        <v>541.41152282268422</v>
      </c>
      <c r="D530" s="94">
        <v>545.83393637971187</v>
      </c>
      <c r="E530" s="95">
        <v>21165480.182480294</v>
      </c>
      <c r="F530" s="93" t="s">
        <v>558</v>
      </c>
      <c r="G530" s="25">
        <f t="shared" si="16"/>
        <v>-4.5912028951585748E-3</v>
      </c>
      <c r="I530" s="94">
        <v>241.57748007211174</v>
      </c>
      <c r="J530" s="94">
        <v>241.95942849400384</v>
      </c>
      <c r="K530" s="94">
        <v>232.65555667868355</v>
      </c>
      <c r="L530" s="94">
        <v>238.54147979553355</v>
      </c>
      <c r="M530" s="95">
        <v>1593245.6717203453</v>
      </c>
      <c r="N530" s="93" t="s">
        <v>558</v>
      </c>
      <c r="O530" s="25">
        <f t="shared" si="17"/>
        <v>1.2727347374471343E-2</v>
      </c>
    </row>
    <row r="531" spans="1:15">
      <c r="A531" s="94">
        <v>544.83152264011892</v>
      </c>
      <c r="B531" s="94">
        <v>545.17548813899884</v>
      </c>
      <c r="C531" s="94">
        <v>541.24445386608545</v>
      </c>
      <c r="D531" s="94">
        <v>542.26652277704284</v>
      </c>
      <c r="E531" s="95">
        <v>6055698.9197545592</v>
      </c>
      <c r="F531" s="93" t="s">
        <v>559</v>
      </c>
      <c r="G531" s="25">
        <f t="shared" si="16"/>
        <v>4.7301460727102729E-3</v>
      </c>
      <c r="I531" s="94">
        <v>239.73629280760625</v>
      </c>
      <c r="J531" s="94">
        <v>241.14950196860701</v>
      </c>
      <c r="K531" s="94">
        <v>238.51209914769569</v>
      </c>
      <c r="L531" s="94">
        <v>241.04862841103039</v>
      </c>
      <c r="M531" s="95">
        <v>911628.63895368413</v>
      </c>
      <c r="N531" s="93" t="s">
        <v>559</v>
      </c>
      <c r="O531" s="25">
        <f t="shared" si="17"/>
        <v>-5.4442774143745876E-3</v>
      </c>
    </row>
    <row r="532" spans="1:15">
      <c r="A532" s="94">
        <v>541.74566073588187</v>
      </c>
      <c r="B532" s="94">
        <v>543.17066065981305</v>
      </c>
      <c r="C532" s="94">
        <v>540.71376423924221</v>
      </c>
      <c r="D532" s="94">
        <v>541.79479866429324</v>
      </c>
      <c r="E532" s="95">
        <v>4561016.4540009983</v>
      </c>
      <c r="F532" s="93" t="s">
        <v>560</v>
      </c>
      <c r="G532" s="25">
        <f t="shared" si="16"/>
        <v>-9.0694721567086134E-5</v>
      </c>
      <c r="I532" s="94">
        <v>240.34349286292189</v>
      </c>
      <c r="J532" s="94">
        <v>240.92131227039968</v>
      </c>
      <c r="K532" s="94">
        <v>237.32707968490229</v>
      </c>
      <c r="L532" s="94">
        <v>239.56980246985842</v>
      </c>
      <c r="M532" s="95">
        <v>1089734.6503962923</v>
      </c>
      <c r="N532" s="93" t="s">
        <v>560</v>
      </c>
      <c r="O532" s="25">
        <f t="shared" si="17"/>
        <v>3.2294988144878634E-3</v>
      </c>
    </row>
    <row r="533" spans="1:15">
      <c r="A533" s="94">
        <v>541.16583318062715</v>
      </c>
      <c r="B533" s="94">
        <v>542.79721240388631</v>
      </c>
      <c r="C533" s="94">
        <v>539.23952811104266</v>
      </c>
      <c r="D533" s="94">
        <v>540.81204009606495</v>
      </c>
      <c r="E533" s="95">
        <v>4795276.4314184682</v>
      </c>
      <c r="F533" s="93" t="s">
        <v>561</v>
      </c>
      <c r="G533" s="25">
        <f t="shared" si="16"/>
        <v>6.5418862438670899E-4</v>
      </c>
      <c r="I533" s="94">
        <v>239.22702824508346</v>
      </c>
      <c r="J533" s="94">
        <v>239.33475728715558</v>
      </c>
      <c r="K533" s="94">
        <v>236.81781512237947</v>
      </c>
      <c r="L533" s="94">
        <v>237.98324748661432</v>
      </c>
      <c r="M533" s="95">
        <v>812415.37394717138</v>
      </c>
      <c r="N533" s="93" t="s">
        <v>561</v>
      </c>
      <c r="O533" s="25">
        <f t="shared" si="17"/>
        <v>5.2263374485597147E-3</v>
      </c>
    </row>
    <row r="534" spans="1:15">
      <c r="A534" s="94">
        <v>535.69186795559528</v>
      </c>
      <c r="B534" s="94">
        <v>541.13635042358032</v>
      </c>
      <c r="C534" s="94">
        <v>533.96958356477501</v>
      </c>
      <c r="D534" s="94">
        <v>540.0061780701177</v>
      </c>
      <c r="E534" s="95">
        <v>6445670.5896947058</v>
      </c>
      <c r="F534" s="93" t="s">
        <v>562</v>
      </c>
      <c r="G534" s="25">
        <f t="shared" si="16"/>
        <v>-7.9893717696729594E-3</v>
      </c>
      <c r="I534" s="94">
        <v>237.06265385436157</v>
      </c>
      <c r="J534" s="94">
        <v>238.46313140129928</v>
      </c>
      <c r="K534" s="94">
        <v>235.66217630742389</v>
      </c>
      <c r="L534" s="94">
        <v>238.2574668664343</v>
      </c>
      <c r="M534" s="95">
        <v>1159617.3844779653</v>
      </c>
      <c r="N534" s="93" t="s">
        <v>562</v>
      </c>
      <c r="O534" s="25">
        <f t="shared" si="17"/>
        <v>-5.0147977638934638E-3</v>
      </c>
    </row>
    <row r="535" spans="1:15">
      <c r="A535" s="94">
        <v>538.20772989025977</v>
      </c>
      <c r="B535" s="94">
        <v>540.17324702671647</v>
      </c>
      <c r="C535" s="94">
        <v>538.00390576320922</v>
      </c>
      <c r="D535" s="94">
        <v>539.28876431531103</v>
      </c>
      <c r="E535" s="95">
        <v>4589399.8239372028</v>
      </c>
      <c r="F535" s="93" t="s">
        <v>563</v>
      </c>
      <c r="G535" s="25">
        <f t="shared" si="16"/>
        <v>-2.0045558086561055E-3</v>
      </c>
      <c r="I535" s="94">
        <v>237.3074925863437</v>
      </c>
      <c r="J535" s="94">
        <v>239.50124762490344</v>
      </c>
      <c r="K535" s="94">
        <v>236.9843054601273</v>
      </c>
      <c r="L535" s="94">
        <v>238.96260241454277</v>
      </c>
      <c r="M535" s="95">
        <v>820723.90415205981</v>
      </c>
      <c r="N535" s="93" t="s">
        <v>563</v>
      </c>
      <c r="O535" s="25">
        <f t="shared" si="17"/>
        <v>-6.9262295081966574E-3</v>
      </c>
    </row>
    <row r="536" spans="1:15">
      <c r="A536" s="94">
        <v>538.5516953891397</v>
      </c>
      <c r="B536" s="94">
        <v>539.40669534349843</v>
      </c>
      <c r="C536" s="94">
        <v>534.70910938736688</v>
      </c>
      <c r="D536" s="94">
        <v>535.14152315738727</v>
      </c>
      <c r="E536" s="95">
        <v>5055818.5505897999</v>
      </c>
      <c r="F536" s="93" t="s">
        <v>564</v>
      </c>
      <c r="G536" s="25">
        <f t="shared" si="16"/>
        <v>6.3724679999266343E-3</v>
      </c>
      <c r="I536" s="94">
        <v>238.16932492292074</v>
      </c>
      <c r="J536" s="94">
        <v>238.5708604433714</v>
      </c>
      <c r="K536" s="94">
        <v>235.54465371607247</v>
      </c>
      <c r="L536" s="94">
        <v>237.00389255868586</v>
      </c>
      <c r="M536" s="95">
        <v>1131951.2144028202</v>
      </c>
      <c r="N536" s="93" t="s">
        <v>564</v>
      </c>
      <c r="O536" s="25">
        <f t="shared" si="17"/>
        <v>4.9173553719008556E-3</v>
      </c>
    </row>
    <row r="537" spans="1:15">
      <c r="A537" s="94">
        <v>535.51497141331402</v>
      </c>
      <c r="B537" s="94">
        <v>535.51497141331402</v>
      </c>
      <c r="C537" s="94">
        <v>528.52755799321039</v>
      </c>
      <c r="D537" s="94">
        <v>530.93531648536998</v>
      </c>
      <c r="E537" s="95">
        <v>6004394.3556123273</v>
      </c>
      <c r="F537" s="93" t="s">
        <v>565</v>
      </c>
      <c r="G537" s="25">
        <f t="shared" si="16"/>
        <v>8.6256362795000818E-3</v>
      </c>
      <c r="I537" s="94">
        <v>236.96471836337858</v>
      </c>
      <c r="J537" s="94">
        <v>238.59216975203975</v>
      </c>
      <c r="K537" s="94">
        <v>234.71357302936229</v>
      </c>
      <c r="L537" s="94">
        <v>238.59216975203975</v>
      </c>
      <c r="M537" s="95">
        <v>1373269.447905672</v>
      </c>
      <c r="N537" s="93" t="s">
        <v>565</v>
      </c>
      <c r="O537" s="25">
        <f t="shared" si="17"/>
        <v>-6.8210595106810157E-3</v>
      </c>
    </row>
    <row r="538" spans="1:15">
      <c r="A538" s="94">
        <v>532.41928192339481</v>
      </c>
      <c r="B538" s="94">
        <v>534.02117838960703</v>
      </c>
      <c r="C538" s="94">
        <v>526.9158339413159</v>
      </c>
      <c r="D538" s="94">
        <v>532.01635091042112</v>
      </c>
      <c r="E538" s="95">
        <v>6268173.2819739887</v>
      </c>
      <c r="F538" s="93" t="s">
        <v>566</v>
      </c>
      <c r="G538" s="25">
        <f t="shared" si="16"/>
        <v>7.5736584464780599E-4</v>
      </c>
      <c r="I538" s="94">
        <v>238.11465407512719</v>
      </c>
      <c r="J538" s="94">
        <v>238.85529063523643</v>
      </c>
      <c r="K538" s="94">
        <v>235.61013307581035</v>
      </c>
      <c r="L538" s="94">
        <v>238.48497235518181</v>
      </c>
      <c r="M538" s="95">
        <v>2856185.494931458</v>
      </c>
      <c r="N538" s="93" t="s">
        <v>566</v>
      </c>
      <c r="O538" s="25">
        <f t="shared" si="17"/>
        <v>-1.5527950310558758E-3</v>
      </c>
    </row>
    <row r="539" spans="1:15">
      <c r="A539" s="94">
        <v>532.96962672160271</v>
      </c>
      <c r="B539" s="94">
        <v>535.8785920835586</v>
      </c>
      <c r="C539" s="94">
        <v>529.45135104734516</v>
      </c>
      <c r="D539" s="94">
        <v>535.75083346968893</v>
      </c>
      <c r="E539" s="95">
        <v>4750850.464134655</v>
      </c>
      <c r="F539" s="93" t="s">
        <v>567</v>
      </c>
      <c r="G539" s="25">
        <f t="shared" si="16"/>
        <v>-5.1912317710721689E-3</v>
      </c>
      <c r="I539" s="94">
        <v>237.2180940286791</v>
      </c>
      <c r="J539" s="94">
        <v>237.70535492348785</v>
      </c>
      <c r="K539" s="94">
        <v>234.96694869466285</v>
      </c>
      <c r="L539" s="94">
        <v>236.01943222744967</v>
      </c>
      <c r="M539" s="95">
        <v>2134799.8804795044</v>
      </c>
      <c r="N539" s="93" t="s">
        <v>567</v>
      </c>
      <c r="O539" s="25">
        <f t="shared" si="17"/>
        <v>5.0786572525702844E-3</v>
      </c>
    </row>
    <row r="540" spans="1:15">
      <c r="A540" s="94">
        <v>530.92548889968771</v>
      </c>
      <c r="B540" s="94">
        <v>535.50514382763174</v>
      </c>
      <c r="C540" s="94">
        <v>530.30635100170377</v>
      </c>
      <c r="D540" s="94">
        <v>534.41428181689832</v>
      </c>
      <c r="E540" s="95">
        <v>4890564.3312419383</v>
      </c>
      <c r="F540" s="93" t="s">
        <v>568</v>
      </c>
      <c r="G540" s="25">
        <f t="shared" si="16"/>
        <v>-6.5282553927066278E-3</v>
      </c>
      <c r="I540" s="94">
        <v>238.14388972881571</v>
      </c>
      <c r="J540" s="94">
        <v>242.77774083844668</v>
      </c>
      <c r="K540" s="94">
        <v>236.37026007171195</v>
      </c>
      <c r="L540" s="94">
        <v>242.39280473154776</v>
      </c>
      <c r="M540" s="95">
        <v>2875897.7273357646</v>
      </c>
      <c r="N540" s="93" t="s">
        <v>568</v>
      </c>
      <c r="O540" s="25">
        <f t="shared" si="17"/>
        <v>-1.7529047561612887E-2</v>
      </c>
    </row>
    <row r="541" spans="1:15">
      <c r="A541" s="94">
        <v>533.97204046119566</v>
      </c>
      <c r="B541" s="94">
        <v>534.1489370034767</v>
      </c>
      <c r="C541" s="94">
        <v>527.91824768090885</v>
      </c>
      <c r="D541" s="94">
        <v>529.43169587598061</v>
      </c>
      <c r="E541" s="95">
        <v>6193076.5060353726</v>
      </c>
      <c r="F541" s="93" t="s">
        <v>569</v>
      </c>
      <c r="G541" s="25">
        <f t="shared" si="16"/>
        <v>8.5758835758835694E-3</v>
      </c>
      <c r="I541" s="94">
        <v>241.5839516461653</v>
      </c>
      <c r="J541" s="94">
        <v>242.13942906624723</v>
      </c>
      <c r="K541" s="94">
        <v>232.10185463318751</v>
      </c>
      <c r="L541" s="94">
        <v>233.98268168714918</v>
      </c>
      <c r="M541" s="95">
        <v>2835013.059158524</v>
      </c>
      <c r="N541" s="93" t="s">
        <v>569</v>
      </c>
      <c r="O541" s="25">
        <f t="shared" si="17"/>
        <v>3.2486463973344648E-2</v>
      </c>
    </row>
    <row r="542" spans="1:15">
      <c r="A542" s="94">
        <v>523.2206617247773</v>
      </c>
      <c r="B542" s="94">
        <v>525.58901159835079</v>
      </c>
      <c r="C542" s="94">
        <v>519.98738603530603</v>
      </c>
      <c r="D542" s="94">
        <v>520.30186877713913</v>
      </c>
      <c r="E542" s="95">
        <v>6569136.315583759</v>
      </c>
      <c r="F542" s="93" t="s">
        <v>570</v>
      </c>
      <c r="G542" s="25">
        <f t="shared" si="16"/>
        <v>5.6098067733221235E-3</v>
      </c>
      <c r="I542" s="94">
        <v>231.43917981624767</v>
      </c>
      <c r="J542" s="94">
        <v>232.38446595217658</v>
      </c>
      <c r="K542" s="94">
        <v>229.71330172683517</v>
      </c>
      <c r="L542" s="94">
        <v>230.96166413933511</v>
      </c>
      <c r="M542" s="95">
        <v>2421496.3945817454</v>
      </c>
      <c r="N542" s="93" t="s">
        <v>570</v>
      </c>
      <c r="O542" s="25">
        <f t="shared" si="17"/>
        <v>2.067510548523277E-3</v>
      </c>
    </row>
    <row r="543" spans="1:15">
      <c r="A543" s="94">
        <v>526.77824774176395</v>
      </c>
      <c r="B543" s="94">
        <v>529.92798895293595</v>
      </c>
      <c r="C543" s="94">
        <v>525.22548920396321</v>
      </c>
      <c r="D543" s="94">
        <v>526.36548914310811</v>
      </c>
      <c r="E543" s="95">
        <v>5918617.4387527099</v>
      </c>
      <c r="F543" s="93" t="s">
        <v>571</v>
      </c>
      <c r="G543" s="25">
        <f t="shared" si="16"/>
        <v>7.8416728902142019E-4</v>
      </c>
      <c r="I543" s="94">
        <v>233.09586685859733</v>
      </c>
      <c r="J543" s="94">
        <v>234.73306346515463</v>
      </c>
      <c r="K543" s="94">
        <v>226.80045609766859</v>
      </c>
      <c r="L543" s="94">
        <v>227.06357698086532</v>
      </c>
      <c r="M543" s="95">
        <v>3793247.1488924995</v>
      </c>
      <c r="N543" s="93" t="s">
        <v>571</v>
      </c>
      <c r="O543" s="25">
        <f t="shared" si="17"/>
        <v>2.6566523605150216E-2</v>
      </c>
    </row>
    <row r="544" spans="1:15">
      <c r="A544" s="94">
        <v>526.53255809970688</v>
      </c>
      <c r="B544" s="94">
        <v>535.29925590758808</v>
      </c>
      <c r="C544" s="94">
        <v>525.59893745989007</v>
      </c>
      <c r="D544" s="94">
        <v>531.58393714040062</v>
      </c>
      <c r="E544" s="95">
        <v>6450710.4847005866</v>
      </c>
      <c r="F544" s="93" t="s">
        <v>572</v>
      </c>
      <c r="G544" s="25">
        <f t="shared" si="16"/>
        <v>-9.5025050378066966E-3</v>
      </c>
      <c r="I544" s="94">
        <v>226.66402304712216</v>
      </c>
      <c r="J544" s="94">
        <v>235.54191655053711</v>
      </c>
      <c r="K544" s="94">
        <v>225.45561602799654</v>
      </c>
      <c r="L544" s="94">
        <v>235.54191655053711</v>
      </c>
      <c r="M544" s="95">
        <v>2772468.5366559266</v>
      </c>
      <c r="N544" s="93" t="s">
        <v>572</v>
      </c>
      <c r="O544" s="25">
        <f t="shared" si="17"/>
        <v>-3.7691352916839116E-2</v>
      </c>
    </row>
    <row r="545" spans="1:15">
      <c r="A545" s="94">
        <v>535.48548865626719</v>
      </c>
      <c r="B545" s="94">
        <v>536.64514376677664</v>
      </c>
      <c r="C545" s="94">
        <v>532.64531639408733</v>
      </c>
      <c r="D545" s="94">
        <v>535.81962656946496</v>
      </c>
      <c r="E545" s="95">
        <v>7283787.9326804252</v>
      </c>
      <c r="F545" s="93" t="s">
        <v>573</v>
      </c>
      <c r="G545" s="25">
        <f t="shared" si="16"/>
        <v>-6.2360148197082577E-4</v>
      </c>
      <c r="I545" s="94">
        <v>224.93911947949928</v>
      </c>
      <c r="J545" s="94">
        <v>226.08905519124787</v>
      </c>
      <c r="K545" s="94">
        <v>223.26294200135726</v>
      </c>
      <c r="L545" s="94">
        <v>224.15950204780535</v>
      </c>
      <c r="M545" s="95">
        <v>1074114.5156034993</v>
      </c>
      <c r="N545" s="93" t="s">
        <v>573</v>
      </c>
      <c r="O545" s="25">
        <f t="shared" si="17"/>
        <v>3.4779584383966E-3</v>
      </c>
    </row>
    <row r="546" spans="1:15">
      <c r="A546" s="94">
        <v>537.39204027863036</v>
      </c>
      <c r="B546" s="94">
        <v>538.01117817661418</v>
      </c>
      <c r="C546" s="94">
        <v>531.25962681288536</v>
      </c>
      <c r="D546" s="94">
        <v>531.30876474129673</v>
      </c>
      <c r="E546" s="95">
        <v>7902305.0534172012</v>
      </c>
      <c r="F546" s="93" t="s">
        <v>574</v>
      </c>
      <c r="G546" s="25">
        <f t="shared" si="16"/>
        <v>1.144960509035764E-2</v>
      </c>
      <c r="I546" s="94">
        <v>225.08529774794189</v>
      </c>
      <c r="J546" s="94">
        <v>225.88927822437628</v>
      </c>
      <c r="K546" s="94">
        <v>223.68198637089279</v>
      </c>
      <c r="L546" s="94">
        <v>224.28618988045559</v>
      </c>
      <c r="M546" s="95">
        <v>1320248.5708452596</v>
      </c>
      <c r="N546" s="93" t="s">
        <v>574</v>
      </c>
      <c r="O546" s="25">
        <f t="shared" si="17"/>
        <v>3.5628937649359038E-3</v>
      </c>
    </row>
    <row r="547" spans="1:15">
      <c r="A547" s="94">
        <v>536.84169548042235</v>
      </c>
      <c r="B547" s="94">
        <v>537.04807477975032</v>
      </c>
      <c r="C547" s="94">
        <v>532.36031640930116</v>
      </c>
      <c r="D547" s="94">
        <v>534.09979907506533</v>
      </c>
      <c r="E547" s="95">
        <v>7382629.0958514679</v>
      </c>
      <c r="F547" s="93" t="s">
        <v>575</v>
      </c>
      <c r="G547" s="25">
        <f t="shared" si="16"/>
        <v>5.1336780319057862E-3</v>
      </c>
      <c r="I547" s="94">
        <v>224.33491596993645</v>
      </c>
      <c r="J547" s="94">
        <v>224.59803685313318</v>
      </c>
      <c r="K547" s="94">
        <v>220.69994969466339</v>
      </c>
      <c r="L547" s="94">
        <v>222.29816542963601</v>
      </c>
      <c r="M547" s="95">
        <v>1618345.5483525943</v>
      </c>
      <c r="N547" s="93" t="s">
        <v>575</v>
      </c>
      <c r="O547" s="25">
        <f t="shared" si="17"/>
        <v>9.1622462846869812E-3</v>
      </c>
    </row>
    <row r="548" spans="1:15">
      <c r="A548" s="94">
        <v>533.4020404916231</v>
      </c>
      <c r="B548" s="94">
        <v>533.88251115563003</v>
      </c>
      <c r="C548" s="94">
        <v>528.5668683359396</v>
      </c>
      <c r="D548" s="94">
        <v>528.97962693459556</v>
      </c>
      <c r="E548" s="95">
        <v>7491354.6806027899</v>
      </c>
      <c r="F548" s="93" t="s">
        <v>576</v>
      </c>
      <c r="G548" s="25">
        <f t="shared" si="16"/>
        <v>8.3602719875150999E-3</v>
      </c>
      <c r="I548" s="94">
        <v>221.08001319261422</v>
      </c>
      <c r="J548" s="94">
        <v>221.35287929370708</v>
      </c>
      <c r="K548" s="94">
        <v>215.23775506385761</v>
      </c>
      <c r="L548" s="94">
        <v>216.2268946803193</v>
      </c>
      <c r="M548" s="95">
        <v>1669049.3915364363</v>
      </c>
      <c r="N548" s="93" t="s">
        <v>576</v>
      </c>
      <c r="O548" s="25">
        <f t="shared" si="17"/>
        <v>2.2444564629529484E-2</v>
      </c>
    </row>
    <row r="549" spans="1:15">
      <c r="A549" s="94">
        <v>530.79773028581803</v>
      </c>
      <c r="B549" s="94">
        <v>532.08514401019704</v>
      </c>
      <c r="C549" s="94">
        <v>528.95997176323101</v>
      </c>
      <c r="D549" s="94">
        <v>531.05324751355738</v>
      </c>
      <c r="E549" s="95">
        <v>5119569.7118876809</v>
      </c>
      <c r="F549" s="93" t="s">
        <v>577</v>
      </c>
      <c r="G549" s="25">
        <f t="shared" si="16"/>
        <v>-4.8115180339391994E-4</v>
      </c>
      <c r="I549" s="94">
        <v>214.05371108947239</v>
      </c>
      <c r="J549" s="94">
        <v>214.49711850374831</v>
      </c>
      <c r="K549" s="94">
        <v>208.64511515709555</v>
      </c>
      <c r="L549" s="94">
        <v>213.03046321037408</v>
      </c>
      <c r="M549" s="95">
        <v>1718054.9658692041</v>
      </c>
      <c r="N549" s="93" t="s">
        <v>577</v>
      </c>
      <c r="O549" s="25">
        <f t="shared" si="17"/>
        <v>4.8032936870996412E-3</v>
      </c>
    </row>
    <row r="550" spans="1:15">
      <c r="A550" s="94">
        <v>530.13928204510501</v>
      </c>
      <c r="B550" s="94">
        <v>532.14410952429091</v>
      </c>
      <c r="C550" s="94">
        <v>526.54238568538915</v>
      </c>
      <c r="D550" s="94">
        <v>527.08290289791489</v>
      </c>
      <c r="E550" s="95">
        <v>7485871.1364504201</v>
      </c>
      <c r="F550" s="93" t="s">
        <v>578</v>
      </c>
      <c r="G550" s="25">
        <f t="shared" si="16"/>
        <v>5.7986687300728423E-3</v>
      </c>
      <c r="I550" s="94">
        <v>212.80632319876207</v>
      </c>
      <c r="J550" s="94">
        <v>214.13167283264178</v>
      </c>
      <c r="K550" s="94">
        <v>211.88296380309956</v>
      </c>
      <c r="L550" s="94">
        <v>213.22536756829757</v>
      </c>
      <c r="M550" s="95">
        <v>1103865.5178990776</v>
      </c>
      <c r="N550" s="93" t="s">
        <v>578</v>
      </c>
      <c r="O550" s="25">
        <f t="shared" si="17"/>
        <v>-1.9652650822669093E-3</v>
      </c>
    </row>
    <row r="551" spans="1:15">
      <c r="A551" s="94">
        <v>526.6799718849411</v>
      </c>
      <c r="B551" s="94">
        <v>526.6799718849411</v>
      </c>
      <c r="C551" s="94">
        <v>521.24531700263833</v>
      </c>
      <c r="D551" s="94">
        <v>525.28445471805685</v>
      </c>
      <c r="E551" s="95">
        <v>7930305.8268417539</v>
      </c>
      <c r="F551" s="93" t="s">
        <v>579</v>
      </c>
      <c r="G551" s="25">
        <f t="shared" si="16"/>
        <v>2.6566884939194235E-3</v>
      </c>
      <c r="I551" s="94">
        <v>213.38129105463636</v>
      </c>
      <c r="J551" s="94">
        <v>216.3048564234887</v>
      </c>
      <c r="K551" s="94">
        <v>209.68785347198622</v>
      </c>
      <c r="L551" s="94">
        <v>216.06122597608433</v>
      </c>
      <c r="M551" s="95">
        <v>1241621.288401345</v>
      </c>
      <c r="N551" s="93" t="s">
        <v>579</v>
      </c>
      <c r="O551" s="25">
        <f t="shared" si="17"/>
        <v>-1.240359027558513E-2</v>
      </c>
    </row>
    <row r="552" spans="1:15">
      <c r="A552" s="94">
        <v>509.70773141163744</v>
      </c>
      <c r="B552" s="94">
        <v>512.63694160009879</v>
      </c>
      <c r="C552" s="94">
        <v>508.43997285862287</v>
      </c>
      <c r="D552" s="94">
        <v>511.71255889082335</v>
      </c>
      <c r="E552" s="95">
        <v>4822655.485511587</v>
      </c>
      <c r="F552" s="93" t="s">
        <v>580</v>
      </c>
      <c r="G552" s="25">
        <f t="shared" si="16"/>
        <v>-3.9178782000808265E-3</v>
      </c>
      <c r="I552" s="94">
        <v>213.80033542417183</v>
      </c>
      <c r="J552" s="94">
        <v>214.51173633059261</v>
      </c>
      <c r="K552" s="94">
        <v>211.06192919534683</v>
      </c>
      <c r="L552" s="94">
        <v>213.71262846310628</v>
      </c>
      <c r="M552" s="95">
        <v>1008865.0766710343</v>
      </c>
      <c r="N552" s="93" t="s">
        <v>580</v>
      </c>
      <c r="O552" s="25">
        <f t="shared" si="17"/>
        <v>4.1039671682607803E-4</v>
      </c>
    </row>
    <row r="553" spans="1:15">
      <c r="A553" s="94">
        <v>510.38583482371502</v>
      </c>
      <c r="B553" s="94">
        <v>515.19152422235175</v>
      </c>
      <c r="C553" s="94">
        <v>507.44247291187111</v>
      </c>
      <c r="D553" s="94">
        <v>510.58238653736066</v>
      </c>
      <c r="E553" s="95">
        <v>5177466.943048507</v>
      </c>
      <c r="F553" s="93" t="s">
        <v>581</v>
      </c>
      <c r="G553" s="25">
        <f t="shared" si="16"/>
        <v>-3.8495592254683686E-4</v>
      </c>
      <c r="I553" s="94">
        <v>212.82581363455441</v>
      </c>
      <c r="J553" s="94">
        <v>215.33033463387125</v>
      </c>
      <c r="K553" s="94">
        <v>211.14476354746429</v>
      </c>
      <c r="L553" s="94">
        <v>214.4435198053194</v>
      </c>
      <c r="M553" s="95">
        <v>1087484.1499603817</v>
      </c>
      <c r="N553" s="93" t="s">
        <v>581</v>
      </c>
      <c r="O553" s="25">
        <f t="shared" si="17"/>
        <v>-7.5437400590776527E-3</v>
      </c>
    </row>
    <row r="554" spans="1:15">
      <c r="A554" s="94">
        <v>507.00514534900947</v>
      </c>
      <c r="B554" s="94">
        <v>509.24583488457006</v>
      </c>
      <c r="C554" s="94">
        <v>502.28790422151337</v>
      </c>
      <c r="D554" s="94">
        <v>506.04204195214561</v>
      </c>
      <c r="E554" s="95">
        <v>5563262.6127657322</v>
      </c>
      <c r="F554" s="93" t="s">
        <v>582</v>
      </c>
      <c r="G554" s="25">
        <f t="shared" si="16"/>
        <v>1.9032082653618332E-3</v>
      </c>
      <c r="I554" s="94">
        <v>212.44575013660361</v>
      </c>
      <c r="J554" s="94">
        <v>214.30708675477294</v>
      </c>
      <c r="K554" s="94">
        <v>209.05441430873489</v>
      </c>
      <c r="L554" s="94">
        <v>209.90224826570204</v>
      </c>
      <c r="M554" s="95">
        <v>1567047.5676069569</v>
      </c>
      <c r="N554" s="93" t="s">
        <v>582</v>
      </c>
      <c r="O554" s="25">
        <f t="shared" si="17"/>
        <v>1.2117554204002179E-2</v>
      </c>
    </row>
    <row r="555" spans="1:15">
      <c r="A555" s="94">
        <v>504.72514547071972</v>
      </c>
      <c r="B555" s="94">
        <v>508.89695559284911</v>
      </c>
      <c r="C555" s="94">
        <v>503.11342141882517</v>
      </c>
      <c r="D555" s="94">
        <v>504.04704205864209</v>
      </c>
      <c r="E555" s="95">
        <v>4776625.8690193612</v>
      </c>
      <c r="F555" s="93" t="s">
        <v>583</v>
      </c>
      <c r="G555" s="25">
        <f t="shared" si="16"/>
        <v>1.3453177094504554E-3</v>
      </c>
      <c r="I555" s="94">
        <v>210.68186569739603</v>
      </c>
      <c r="J555" s="94">
        <v>212.39702404712273</v>
      </c>
      <c r="K555" s="94">
        <v>208.88387299555183</v>
      </c>
      <c r="L555" s="94">
        <v>211.16912659220475</v>
      </c>
      <c r="M555" s="95">
        <v>1259823.0363653009</v>
      </c>
      <c r="N555" s="93" t="s">
        <v>583</v>
      </c>
      <c r="O555" s="25">
        <f t="shared" si="17"/>
        <v>-2.3074438137430375E-3</v>
      </c>
    </row>
    <row r="556" spans="1:15">
      <c r="A556" s="94">
        <v>509.05911075660674</v>
      </c>
      <c r="B556" s="94">
        <v>511.86980026173984</v>
      </c>
      <c r="C556" s="94">
        <v>507.36876601925394</v>
      </c>
      <c r="D556" s="94">
        <v>508.16480045951897</v>
      </c>
      <c r="E556" s="95">
        <v>4877593.6989705963</v>
      </c>
      <c r="F556" s="93" t="s">
        <v>584</v>
      </c>
      <c r="G556" s="25">
        <f t="shared" si="16"/>
        <v>1.7598824166471516E-3</v>
      </c>
      <c r="I556" s="94">
        <v>213.04995364616641</v>
      </c>
      <c r="J556" s="94">
        <v>215.12568505805157</v>
      </c>
      <c r="K556" s="94">
        <v>212.523711879773</v>
      </c>
      <c r="L556" s="94">
        <v>214.39479371583849</v>
      </c>
      <c r="M556" s="95">
        <v>849421.74594674609</v>
      </c>
      <c r="N556" s="93" t="s">
        <v>584</v>
      </c>
      <c r="O556" s="25">
        <f t="shared" si="17"/>
        <v>-6.2727272727272076E-3</v>
      </c>
    </row>
    <row r="557" spans="1:15">
      <c r="A557" s="94">
        <v>511.73221406218789</v>
      </c>
      <c r="B557" s="94">
        <v>513.40290362817609</v>
      </c>
      <c r="C557" s="94">
        <v>507.97807633155554</v>
      </c>
      <c r="D557" s="94">
        <v>510.16962793870476</v>
      </c>
      <c r="E557" s="95">
        <v>6395660.3414110402</v>
      </c>
      <c r="F557" s="93" t="s">
        <v>585</v>
      </c>
      <c r="G557" s="25">
        <f t="shared" si="16"/>
        <v>3.0628756356911868E-3</v>
      </c>
      <c r="I557" s="94">
        <v>214.15116326843415</v>
      </c>
      <c r="J557" s="94">
        <v>221.011699215162</v>
      </c>
      <c r="K557" s="94">
        <v>208.94721691187698</v>
      </c>
      <c r="L557" s="94">
        <v>217.63020605736841</v>
      </c>
      <c r="M557" s="95">
        <v>2341998.9417537157</v>
      </c>
      <c r="N557" s="93" t="s">
        <v>585</v>
      </c>
      <c r="O557" s="25">
        <f t="shared" si="17"/>
        <v>-1.5986029016657577E-2</v>
      </c>
    </row>
    <row r="558" spans="1:15">
      <c r="A558" s="94">
        <v>504.4991110000272</v>
      </c>
      <c r="B558" s="94">
        <v>509.50135211230952</v>
      </c>
      <c r="C558" s="94">
        <v>503.92911103045469</v>
      </c>
      <c r="D558" s="94">
        <v>506.24842125147364</v>
      </c>
      <c r="E558" s="95">
        <v>5885965.4720974127</v>
      </c>
      <c r="F558" s="93" t="s">
        <v>586</v>
      </c>
      <c r="G558" s="25">
        <f t="shared" si="16"/>
        <v>-3.4554384330168775E-3</v>
      </c>
      <c r="I558" s="94">
        <v>214.30708675477294</v>
      </c>
      <c r="J558" s="94">
        <v>215.39855115914446</v>
      </c>
      <c r="K558" s="94">
        <v>211.95858669397384</v>
      </c>
      <c r="L558" s="94">
        <v>214.1219276147456</v>
      </c>
      <c r="M558" s="95">
        <v>905630.85341216554</v>
      </c>
      <c r="N558" s="93" t="s">
        <v>586</v>
      </c>
      <c r="O558" s="25">
        <f t="shared" si="17"/>
        <v>8.6473693792110673E-4</v>
      </c>
    </row>
    <row r="559" spans="1:15">
      <c r="A559" s="94">
        <v>500.95135256872277</v>
      </c>
      <c r="B559" s="94">
        <v>502.68100764880467</v>
      </c>
      <c r="C559" s="94">
        <v>489.17790492134708</v>
      </c>
      <c r="D559" s="94">
        <v>494.58307704660302</v>
      </c>
      <c r="E559" s="95">
        <v>8011821.2697896753</v>
      </c>
      <c r="F559" s="93" t="s">
        <v>587</v>
      </c>
      <c r="G559" s="25">
        <f t="shared" si="16"/>
        <v>1.2876048165957998E-2</v>
      </c>
      <c r="I559" s="94">
        <v>214.41428415163085</v>
      </c>
      <c r="J559" s="94">
        <v>216.10020684766903</v>
      </c>
      <c r="K559" s="94">
        <v>212.34829795764188</v>
      </c>
      <c r="L559" s="94">
        <v>215.85657640026469</v>
      </c>
      <c r="M559" s="95">
        <v>1088283.5163863553</v>
      </c>
      <c r="N559" s="93" t="s">
        <v>587</v>
      </c>
      <c r="O559" s="25">
        <f t="shared" si="17"/>
        <v>-6.6817155756208058E-3</v>
      </c>
    </row>
    <row r="560" spans="1:15">
      <c r="A560" s="94">
        <v>500.7056629266657</v>
      </c>
      <c r="B560" s="94">
        <v>501.74709218141726</v>
      </c>
      <c r="C560" s="94">
        <v>495.56583561483137</v>
      </c>
      <c r="D560" s="94">
        <v>495.84100801393532</v>
      </c>
      <c r="E560" s="95">
        <v>6639939.0562054329</v>
      </c>
      <c r="F560" s="93" t="s">
        <v>588</v>
      </c>
      <c r="G560" s="25">
        <f t="shared" si="16"/>
        <v>9.810916874777087E-3</v>
      </c>
      <c r="I560" s="94">
        <v>215.59345551706795</v>
      </c>
      <c r="J560" s="94">
        <v>216.62644861406244</v>
      </c>
      <c r="K560" s="94">
        <v>211.94874402389871</v>
      </c>
      <c r="L560" s="94">
        <v>212.55294753346155</v>
      </c>
      <c r="M560" s="95">
        <v>1306758.8776028329</v>
      </c>
      <c r="N560" s="93" t="s">
        <v>588</v>
      </c>
      <c r="O560" s="25">
        <f t="shared" si="17"/>
        <v>1.4304708633258389E-2</v>
      </c>
    </row>
    <row r="561" spans="1:15">
      <c r="A561" s="94">
        <v>497.68859412220468</v>
      </c>
      <c r="B561" s="94">
        <v>499.96859400049442</v>
      </c>
      <c r="C561" s="94">
        <v>492.32273233967777</v>
      </c>
      <c r="D561" s="94">
        <v>498.0718699638137</v>
      </c>
      <c r="E561" s="95">
        <v>4283876.1585050318</v>
      </c>
      <c r="F561" s="93" t="s">
        <v>589</v>
      </c>
      <c r="G561" s="25">
        <f t="shared" si="16"/>
        <v>-7.6951914918799158E-4</v>
      </c>
      <c r="I561" s="94">
        <v>213.18638669671284</v>
      </c>
      <c r="J561" s="94">
        <v>214.39479371583849</v>
      </c>
      <c r="K561" s="94">
        <v>211.13014572062005</v>
      </c>
      <c r="L561" s="94">
        <v>212.57243796925388</v>
      </c>
      <c r="M561" s="95">
        <v>1288864.9729351441</v>
      </c>
      <c r="N561" s="93" t="s">
        <v>589</v>
      </c>
      <c r="O561" s="25">
        <f t="shared" si="17"/>
        <v>2.8881859441616253E-3</v>
      </c>
    </row>
    <row r="562" spans="1:15">
      <c r="A562" s="94">
        <v>497.38393896605385</v>
      </c>
      <c r="B562" s="94">
        <v>497.78686997902747</v>
      </c>
      <c r="C562" s="94">
        <v>491.1335944721215</v>
      </c>
      <c r="D562" s="94">
        <v>493.77721502065577</v>
      </c>
      <c r="E562" s="95">
        <v>7055062.3766110232</v>
      </c>
      <c r="F562" s="93" t="s">
        <v>590</v>
      </c>
      <c r="G562" s="25">
        <f t="shared" si="16"/>
        <v>7.3043547488256255E-3</v>
      </c>
      <c r="I562" s="94">
        <v>210.57466830053812</v>
      </c>
      <c r="J562" s="94">
        <v>212.58705579609816</v>
      </c>
      <c r="K562" s="94">
        <v>208.88874560449992</v>
      </c>
      <c r="L562" s="94">
        <v>212.17288403551072</v>
      </c>
      <c r="M562" s="95">
        <v>1679928.5736265173</v>
      </c>
      <c r="N562" s="93" t="s">
        <v>590</v>
      </c>
      <c r="O562" s="25">
        <f t="shared" si="17"/>
        <v>-7.5326106926326686E-3</v>
      </c>
    </row>
    <row r="563" spans="1:15">
      <c r="A563" s="94">
        <v>493.74773226360895</v>
      </c>
      <c r="B563" s="94">
        <v>494.32755981886368</v>
      </c>
      <c r="C563" s="94">
        <v>483.73646900492344</v>
      </c>
      <c r="D563" s="94">
        <v>484.75549136431943</v>
      </c>
      <c r="E563" s="95">
        <v>6292830.4060972454</v>
      </c>
      <c r="F563" s="93" t="s">
        <v>591</v>
      </c>
      <c r="G563" s="25">
        <f t="shared" si="16"/>
        <v>1.8550054737866528E-2</v>
      </c>
      <c r="I563" s="94">
        <v>210.75982744056543</v>
      </c>
      <c r="J563" s="94">
        <v>213.86855194944508</v>
      </c>
      <c r="K563" s="94">
        <v>202.807827089466</v>
      </c>
      <c r="L563" s="94">
        <v>210.55517786474576</v>
      </c>
      <c r="M563" s="95">
        <v>1997658.7704254503</v>
      </c>
      <c r="N563" s="93" t="s">
        <v>591</v>
      </c>
      <c r="O563" s="25">
        <f t="shared" si="17"/>
        <v>9.7195223549029208E-4</v>
      </c>
    </row>
    <row r="564" spans="1:15">
      <c r="A564" s="94">
        <v>483.5860086681277</v>
      </c>
      <c r="B564" s="94">
        <v>492.53893922468808</v>
      </c>
      <c r="C564" s="94">
        <v>482.23962942965483</v>
      </c>
      <c r="D564" s="94">
        <v>488.1263532533427</v>
      </c>
      <c r="E564" s="95">
        <v>8188787.419587302</v>
      </c>
      <c r="F564" s="93" t="s">
        <v>592</v>
      </c>
      <c r="G564" s="25">
        <f t="shared" si="16"/>
        <v>-9.3015764360063757E-3</v>
      </c>
      <c r="I564" s="94">
        <v>210.79880831215013</v>
      </c>
      <c r="J564" s="94">
        <v>213.22536756829757</v>
      </c>
      <c r="K564" s="94">
        <v>209.17135692348896</v>
      </c>
      <c r="L564" s="94">
        <v>210.32129263523757</v>
      </c>
      <c r="M564" s="95">
        <v>1861136.4253968934</v>
      </c>
      <c r="N564" s="93" t="s">
        <v>592</v>
      </c>
      <c r="O564" s="25">
        <f t="shared" si="17"/>
        <v>2.2704105272912667E-3</v>
      </c>
    </row>
    <row r="565" spans="1:15">
      <c r="A565" s="94">
        <v>475.94014700731111</v>
      </c>
      <c r="B565" s="94">
        <v>478.09238827173124</v>
      </c>
      <c r="C565" s="94">
        <v>468.96256117288976</v>
      </c>
      <c r="D565" s="94">
        <v>469.82738871293071</v>
      </c>
      <c r="E565" s="95">
        <v>6345728.4440087499</v>
      </c>
      <c r="F565" s="93" t="s">
        <v>593</v>
      </c>
      <c r="G565" s="25">
        <f t="shared" si="16"/>
        <v>1.301064697638421E-2</v>
      </c>
      <c r="I565" s="94">
        <v>209.60014651092067</v>
      </c>
      <c r="J565" s="94">
        <v>211.68562314070201</v>
      </c>
      <c r="K565" s="94">
        <v>206.02365154302461</v>
      </c>
      <c r="L565" s="94">
        <v>208.74256733605731</v>
      </c>
      <c r="M565" s="95">
        <v>1796791.019611133</v>
      </c>
      <c r="N565" s="93" t="s">
        <v>593</v>
      </c>
      <c r="O565" s="25">
        <f t="shared" si="17"/>
        <v>4.1083099906629172E-3</v>
      </c>
    </row>
    <row r="566" spans="1:15">
      <c r="A566" s="94">
        <v>464.22566487402906</v>
      </c>
      <c r="B566" s="94">
        <v>471.22290587981496</v>
      </c>
      <c r="C566" s="94">
        <v>459.27256169015811</v>
      </c>
      <c r="D566" s="94">
        <v>470.76100935274764</v>
      </c>
      <c r="E566" s="95">
        <v>7898685.6497152196</v>
      </c>
      <c r="F566" s="93" t="s">
        <v>594</v>
      </c>
      <c r="G566" s="25">
        <f t="shared" si="16"/>
        <v>-1.388251012483821E-2</v>
      </c>
      <c r="I566" s="94">
        <v>208.66460559288791</v>
      </c>
      <c r="J566" s="94">
        <v>212.31906230395333</v>
      </c>
      <c r="K566" s="94">
        <v>205.9944158893361</v>
      </c>
      <c r="L566" s="94">
        <v>211.61740661542879</v>
      </c>
      <c r="M566" s="95">
        <v>1624863.6170788908</v>
      </c>
      <c r="N566" s="93" t="s">
        <v>594</v>
      </c>
      <c r="O566" s="25">
        <f t="shared" si="17"/>
        <v>-1.3953488372093092E-2</v>
      </c>
    </row>
    <row r="567" spans="1:15">
      <c r="A567" s="94">
        <v>475.55687116570203</v>
      </c>
      <c r="B567" s="94">
        <v>479.74342266635483</v>
      </c>
      <c r="C567" s="94">
        <v>473.19825060195399</v>
      </c>
      <c r="D567" s="94">
        <v>476.43152629142531</v>
      </c>
      <c r="E567" s="95">
        <v>5737868.0606829533</v>
      </c>
      <c r="F567" s="93" t="s">
        <v>595</v>
      </c>
      <c r="G567" s="25">
        <f t="shared" si="16"/>
        <v>-1.8358464489779402E-3</v>
      </c>
      <c r="I567" s="94">
        <v>212.66014493031943</v>
      </c>
      <c r="J567" s="94">
        <v>214.43377458742319</v>
      </c>
      <c r="K567" s="94">
        <v>209.17135692348896</v>
      </c>
      <c r="L567" s="94">
        <v>210.4187448141993</v>
      </c>
      <c r="M567" s="95">
        <v>1448537.133842991</v>
      </c>
      <c r="N567" s="93" t="s">
        <v>595</v>
      </c>
      <c r="O567" s="25">
        <f t="shared" si="17"/>
        <v>1.0652093367913951E-2</v>
      </c>
    </row>
    <row r="568" spans="1:15">
      <c r="A568" s="94">
        <v>474.89842292498906</v>
      </c>
      <c r="B568" s="94">
        <v>483.28626730481807</v>
      </c>
      <c r="C568" s="94">
        <v>469.98463008384726</v>
      </c>
      <c r="D568" s="94">
        <v>480.2249743647867</v>
      </c>
      <c r="E568" s="95">
        <v>6486709.1532889223</v>
      </c>
      <c r="F568" s="93" t="s">
        <v>596</v>
      </c>
      <c r="G568" s="25">
        <f t="shared" si="16"/>
        <v>-1.1091783485111972E-2</v>
      </c>
      <c r="I568" s="94">
        <v>213.30332931146697</v>
      </c>
      <c r="J568" s="94">
        <v>217.21116168783291</v>
      </c>
      <c r="K568" s="94">
        <v>212.91391040433584</v>
      </c>
      <c r="L568" s="94">
        <v>216.60695817827011</v>
      </c>
      <c r="M568" s="95">
        <v>1195771.1078553153</v>
      </c>
      <c r="N568" s="93" t="s">
        <v>596</v>
      </c>
      <c r="O568" s="25">
        <f t="shared" si="17"/>
        <v>-1.52517208800107E-2</v>
      </c>
    </row>
    <row r="569" spans="1:15">
      <c r="A569" s="94">
        <v>485.57118097594895</v>
      </c>
      <c r="B569" s="94">
        <v>490.66187035937185</v>
      </c>
      <c r="C569" s="94">
        <v>484.91273273523603</v>
      </c>
      <c r="D569" s="94">
        <v>487.477732598312</v>
      </c>
      <c r="E569" s="95">
        <v>8344453.3226338495</v>
      </c>
      <c r="F569" s="93" t="s">
        <v>597</v>
      </c>
      <c r="G569" s="25">
        <f t="shared" si="16"/>
        <v>-3.911053766909367E-3</v>
      </c>
      <c r="I569" s="94">
        <v>215.32058941597506</v>
      </c>
      <c r="J569" s="94">
        <v>218.47804001433559</v>
      </c>
      <c r="K569" s="94">
        <v>215.00874244329748</v>
      </c>
      <c r="L569" s="94">
        <v>217.42555648154877</v>
      </c>
      <c r="M569" s="95">
        <v>1295039.2833139424</v>
      </c>
      <c r="N569" s="93" t="s">
        <v>597</v>
      </c>
      <c r="O569" s="25">
        <f t="shared" si="17"/>
        <v>-9.681323114159035E-3</v>
      </c>
    </row>
    <row r="570" spans="1:15">
      <c r="A570" s="94">
        <v>486.93721538578643</v>
      </c>
      <c r="B570" s="94">
        <v>491.63480134191792</v>
      </c>
      <c r="C570" s="94">
        <v>482.22980184397255</v>
      </c>
      <c r="D570" s="94">
        <v>491.42842204259</v>
      </c>
      <c r="E570" s="95">
        <v>7836602.2428923314</v>
      </c>
      <c r="F570" s="93" t="s">
        <v>598</v>
      </c>
      <c r="G570" s="25">
        <f t="shared" si="16"/>
        <v>-9.1390860913908023E-3</v>
      </c>
      <c r="I570" s="94">
        <v>217.01625732990942</v>
      </c>
      <c r="J570" s="94">
        <v>218.40007827116622</v>
      </c>
      <c r="K570" s="94">
        <v>213.45048210169921</v>
      </c>
      <c r="L570" s="94">
        <v>215.99300945081112</v>
      </c>
      <c r="M570" s="95">
        <v>1299945.2793121198</v>
      </c>
      <c r="N570" s="93" t="s">
        <v>598</v>
      </c>
      <c r="O570" s="25">
        <f t="shared" si="17"/>
        <v>4.7374120194909608E-3</v>
      </c>
    </row>
    <row r="571" spans="1:15">
      <c r="A571" s="94">
        <v>482.09221564442061</v>
      </c>
      <c r="B571" s="94">
        <v>484.49997413658008</v>
      </c>
      <c r="C571" s="94">
        <v>469.75859561315474</v>
      </c>
      <c r="D571" s="94">
        <v>472.40221616168901</v>
      </c>
      <c r="E571" s="95">
        <v>11743672.732160039</v>
      </c>
      <c r="F571" s="93" t="s">
        <v>599</v>
      </c>
      <c r="G571" s="25">
        <f t="shared" si="16"/>
        <v>2.051218040733116E-2</v>
      </c>
      <c r="I571" s="94">
        <v>216.37307294876192</v>
      </c>
      <c r="J571" s="94">
        <v>217.52788126945859</v>
      </c>
      <c r="K571" s="94">
        <v>209.59040129302448</v>
      </c>
      <c r="L571" s="94">
        <v>214.39479371583849</v>
      </c>
      <c r="M571" s="95">
        <v>2304097.2751173042</v>
      </c>
      <c r="N571" s="93" t="s">
        <v>599</v>
      </c>
      <c r="O571" s="25">
        <f t="shared" si="17"/>
        <v>9.2272727272728616E-3</v>
      </c>
    </row>
    <row r="572" spans="1:15">
      <c r="A572" s="94">
        <v>473.74859540016183</v>
      </c>
      <c r="B572" s="94">
        <v>481.84652600236353</v>
      </c>
      <c r="C572" s="94">
        <v>460.25532025838652</v>
      </c>
      <c r="D572" s="94">
        <v>480.71635364890091</v>
      </c>
      <c r="E572" s="95">
        <v>16943432.027275741</v>
      </c>
      <c r="F572" s="93" t="s">
        <v>600</v>
      </c>
      <c r="G572" s="25">
        <f t="shared" ref="G572:G635" si="18">A572/D572-1</f>
        <v>-1.4494531329858007E-2</v>
      </c>
      <c r="I572" s="94">
        <v>208.07014730122125</v>
      </c>
      <c r="J572" s="94">
        <v>212.65039971242328</v>
      </c>
      <c r="K572" s="94">
        <v>203.0919001911395</v>
      </c>
      <c r="L572" s="94">
        <v>207.0956255116038</v>
      </c>
      <c r="M572" s="95">
        <v>2817479.3311474677</v>
      </c>
      <c r="N572" s="93" t="s">
        <v>600</v>
      </c>
      <c r="O572" s="25">
        <f t="shared" ref="O572:O635" si="19">I572/L572-1</f>
        <v>4.7056609100748492E-3</v>
      </c>
    </row>
    <row r="573" spans="1:15">
      <c r="A573" s="94">
        <v>490.49480140277308</v>
      </c>
      <c r="B573" s="94">
        <v>493.40494607501086</v>
      </c>
      <c r="C573" s="94">
        <v>445.34687277836235</v>
      </c>
      <c r="D573" s="94">
        <v>445.67118310587767</v>
      </c>
      <c r="E573" s="95">
        <v>29800395.48553177</v>
      </c>
      <c r="F573" s="93" t="s">
        <v>601</v>
      </c>
      <c r="G573" s="25">
        <f t="shared" si="18"/>
        <v>0.10057553639551053</v>
      </c>
      <c r="I573" s="94">
        <v>208.88874560449992</v>
      </c>
      <c r="J573" s="94">
        <v>212.18262925340687</v>
      </c>
      <c r="K573" s="94">
        <v>190.99564847751293</v>
      </c>
      <c r="L573" s="94">
        <v>192.63372215368088</v>
      </c>
      <c r="M573" s="95">
        <v>3927121.0154288383</v>
      </c>
      <c r="N573" s="93" t="s">
        <v>601</v>
      </c>
      <c r="O573" s="25">
        <f t="shared" si="19"/>
        <v>8.4383062680224663E-2</v>
      </c>
    </row>
    <row r="574" spans="1:15">
      <c r="A574" s="94">
        <v>448.86514845261985</v>
      </c>
      <c r="B574" s="94">
        <v>474.17118158450006</v>
      </c>
      <c r="C574" s="94">
        <v>441.84825227546941</v>
      </c>
      <c r="D574" s="94">
        <v>471.40963000777839</v>
      </c>
      <c r="E574" s="95">
        <v>19336065.453244127</v>
      </c>
      <c r="F574" s="93" t="s">
        <v>602</v>
      </c>
      <c r="G574" s="25">
        <f t="shared" si="18"/>
        <v>-4.7823549032688484E-2</v>
      </c>
      <c r="I574" s="94">
        <v>195.63524926570264</v>
      </c>
      <c r="J574" s="94">
        <v>202.13521215027205</v>
      </c>
      <c r="K574" s="94">
        <v>193.46693828380381</v>
      </c>
      <c r="L574" s="94">
        <v>201.10231650545651</v>
      </c>
      <c r="M574" s="95">
        <v>1983717.5736818318</v>
      </c>
      <c r="N574" s="93" t="s">
        <v>602</v>
      </c>
      <c r="O574" s="25">
        <f t="shared" si="19"/>
        <v>-2.7185501066098072E-2</v>
      </c>
    </row>
    <row r="575" spans="1:15">
      <c r="A575" s="94">
        <v>455.56756188793725</v>
      </c>
      <c r="B575" s="94">
        <v>472.47100926146499</v>
      </c>
      <c r="C575" s="94">
        <v>435.16549401151656</v>
      </c>
      <c r="D575" s="94">
        <v>441.78928676137571</v>
      </c>
      <c r="E575" s="95">
        <v>31834133.03269257</v>
      </c>
      <c r="F575" s="93" t="s">
        <v>603</v>
      </c>
      <c r="G575" s="25">
        <f t="shared" si="18"/>
        <v>3.1187436045735595E-2</v>
      </c>
      <c r="I575" s="94">
        <v>195.10900749930923</v>
      </c>
      <c r="J575" s="94">
        <v>199.47486511679537</v>
      </c>
      <c r="K575" s="94">
        <v>190.73340466392688</v>
      </c>
      <c r="L575" s="94">
        <v>193.44257523906339</v>
      </c>
      <c r="M575" s="95">
        <v>1982665.775752919</v>
      </c>
      <c r="N575" s="93" t="s">
        <v>603</v>
      </c>
      <c r="O575" s="25">
        <f t="shared" si="19"/>
        <v>8.6146095717885007E-3</v>
      </c>
    </row>
    <row r="576" spans="1:15">
      <c r="A576" s="94">
        <v>457.49376868166479</v>
      </c>
      <c r="B576" s="94">
        <v>474.96721602476504</v>
      </c>
      <c r="C576" s="94">
        <v>456.23583771433255</v>
      </c>
      <c r="D576" s="94">
        <v>472.98204371694374</v>
      </c>
      <c r="E576" s="95">
        <v>31509781.752220262</v>
      </c>
      <c r="F576" s="93" t="s">
        <v>604</v>
      </c>
      <c r="G576" s="25">
        <f t="shared" si="18"/>
        <v>-3.2746010638297962E-2</v>
      </c>
      <c r="I576" s="94">
        <v>196.9118728101015</v>
      </c>
      <c r="J576" s="94">
        <v>206.83737723735518</v>
      </c>
      <c r="K576" s="94">
        <v>196.80467541324356</v>
      </c>
      <c r="L576" s="94">
        <v>202.42766613933625</v>
      </c>
      <c r="M576" s="95">
        <v>3162267.9275439628</v>
      </c>
      <c r="N576" s="93" t="s">
        <v>604</v>
      </c>
      <c r="O576" s="25">
        <f t="shared" si="19"/>
        <v>-2.7248218756017684E-2</v>
      </c>
    </row>
    <row r="577" spans="1:15">
      <c r="A577" s="94">
        <v>485.63997407572498</v>
      </c>
      <c r="B577" s="94">
        <v>494.97618047389437</v>
      </c>
      <c r="C577" s="94">
        <v>484.99135342069428</v>
      </c>
      <c r="D577" s="94">
        <v>492.36204268240692</v>
      </c>
      <c r="E577" s="95">
        <v>16510690.951543722</v>
      </c>
      <c r="F577" s="93" t="s">
        <v>605</v>
      </c>
      <c r="G577" s="25">
        <f t="shared" si="18"/>
        <v>-1.3652694610778449E-2</v>
      </c>
      <c r="I577" s="94">
        <v>204.59110451228696</v>
      </c>
      <c r="J577" s="94">
        <v>210.25307610996435</v>
      </c>
      <c r="K577" s="94">
        <v>203.99664622062033</v>
      </c>
      <c r="L577" s="94">
        <v>205.36097672608474</v>
      </c>
      <c r="M577" s="95">
        <v>1356348.3280541876</v>
      </c>
      <c r="N577" s="93" t="s">
        <v>605</v>
      </c>
      <c r="O577" s="25">
        <f t="shared" si="19"/>
        <v>-3.7488729654059361E-3</v>
      </c>
    </row>
    <row r="578" spans="1:15">
      <c r="A578" s="94">
        <v>509.96324863937679</v>
      </c>
      <c r="B578" s="94">
        <v>512.49876574540599</v>
      </c>
      <c r="C578" s="94">
        <v>501.13788014497254</v>
      </c>
      <c r="D578" s="94">
        <v>501.34445599601412</v>
      </c>
      <c r="E578" s="95">
        <v>6419321.2900425224</v>
      </c>
      <c r="F578" s="93" t="s">
        <v>606</v>
      </c>
      <c r="G578" s="25">
        <f t="shared" si="18"/>
        <v>1.7191359234719927E-2</v>
      </c>
      <c r="I578" s="94">
        <v>206.50116721993717</v>
      </c>
      <c r="J578" s="94">
        <v>207.96782251331143</v>
      </c>
      <c r="K578" s="94">
        <v>202.75900354780617</v>
      </c>
      <c r="L578" s="94">
        <v>202.75900354780617</v>
      </c>
      <c r="M578" s="95">
        <v>1012184.6535491152</v>
      </c>
      <c r="N578" s="93" t="s">
        <v>606</v>
      </c>
      <c r="O578" s="25">
        <f t="shared" si="19"/>
        <v>1.845621455349411E-2</v>
      </c>
    </row>
    <row r="579" spans="1:15">
      <c r="A579" s="94">
        <v>506.90686949218656</v>
      </c>
      <c r="B579" s="94">
        <v>508.43014527294059</v>
      </c>
      <c r="C579" s="94">
        <v>500.10618020004637</v>
      </c>
      <c r="D579" s="94">
        <v>503.52618001748107</v>
      </c>
      <c r="E579" s="95">
        <v>7832052.8040529834</v>
      </c>
      <c r="F579" s="93" t="s">
        <v>607</v>
      </c>
      <c r="G579" s="25">
        <f t="shared" si="18"/>
        <v>6.7140291982199507E-3</v>
      </c>
      <c r="I579" s="94">
        <v>204.40594537225965</v>
      </c>
      <c r="J579" s="94">
        <v>207.25154899794259</v>
      </c>
      <c r="K579" s="94">
        <v>202.77849398359854</v>
      </c>
      <c r="L579" s="94">
        <v>204.15256970695913</v>
      </c>
      <c r="M579" s="95">
        <v>989194.91618388414</v>
      </c>
      <c r="N579" s="93" t="s">
        <v>607</v>
      </c>
      <c r="O579" s="25">
        <f t="shared" si="19"/>
        <v>1.2411093608286627E-3</v>
      </c>
    </row>
    <row r="580" spans="1:15">
      <c r="A580" s="94">
        <v>505.04945579823499</v>
      </c>
      <c r="B580" s="94">
        <v>506.44497296511935</v>
      </c>
      <c r="C580" s="94">
        <v>493.97376673430142</v>
      </c>
      <c r="D580" s="94">
        <v>496.59773211147115</v>
      </c>
      <c r="E580" s="95">
        <v>8340469.6382106682</v>
      </c>
      <c r="F580" s="93" t="s">
        <v>608</v>
      </c>
      <c r="G580" s="25">
        <f t="shared" si="18"/>
        <v>1.7019255506520725E-2</v>
      </c>
      <c r="I580" s="94">
        <v>203.977155784828</v>
      </c>
      <c r="J580" s="94">
        <v>205.95991781798367</v>
      </c>
      <c r="K580" s="94">
        <v>202.29123308878982</v>
      </c>
      <c r="L580" s="94">
        <v>202.82722007307939</v>
      </c>
      <c r="M580" s="95">
        <v>1141374.1712605886</v>
      </c>
      <c r="N580" s="93" t="s">
        <v>608</v>
      </c>
      <c r="O580" s="25">
        <f t="shared" si="19"/>
        <v>5.6695334646617024E-3</v>
      </c>
    </row>
    <row r="581" spans="1:15">
      <c r="A581" s="94">
        <v>501.99307665104487</v>
      </c>
      <c r="B581" s="94">
        <v>511.48652442013082</v>
      </c>
      <c r="C581" s="94">
        <v>501.36411116737872</v>
      </c>
      <c r="D581" s="94">
        <v>510.79859342237091</v>
      </c>
      <c r="E581" s="95">
        <v>5934105.4746672064</v>
      </c>
      <c r="F581" s="93" t="s">
        <v>609</v>
      </c>
      <c r="G581" s="25">
        <f t="shared" si="18"/>
        <v>-1.7238725565645652E-2</v>
      </c>
      <c r="I581" s="94">
        <v>202.45690179302477</v>
      </c>
      <c r="J581" s="94">
        <v>207.23205856215026</v>
      </c>
      <c r="K581" s="94">
        <v>202.03785742348927</v>
      </c>
      <c r="L581" s="94">
        <v>206.2965176441175</v>
      </c>
      <c r="M581" s="95">
        <v>1209870.3308243509</v>
      </c>
      <c r="N581" s="93" t="s">
        <v>609</v>
      </c>
      <c r="O581" s="25">
        <f t="shared" si="19"/>
        <v>-1.86121214984174E-2</v>
      </c>
    </row>
    <row r="582" spans="1:15">
      <c r="A582" s="94">
        <v>512.2235933463021</v>
      </c>
      <c r="B582" s="94">
        <v>515.63180006091795</v>
      </c>
      <c r="C582" s="94">
        <v>510.27773138120989</v>
      </c>
      <c r="D582" s="94">
        <v>512.30221403176029</v>
      </c>
      <c r="E582" s="95">
        <v>5632032.3006472988</v>
      </c>
      <c r="F582" s="93" t="s">
        <v>610</v>
      </c>
      <c r="G582" s="25">
        <f t="shared" si="18"/>
        <v>-1.5346544150074415E-4</v>
      </c>
      <c r="I582" s="94">
        <v>207.28078465163111</v>
      </c>
      <c r="J582" s="94">
        <v>209.86326739411737</v>
      </c>
      <c r="K582" s="94">
        <v>206.58887418100275</v>
      </c>
      <c r="L582" s="94">
        <v>207.33925595900817</v>
      </c>
      <c r="M582" s="95">
        <v>782195.95305224613</v>
      </c>
      <c r="N582" s="93" t="s">
        <v>610</v>
      </c>
      <c r="O582" s="25">
        <f t="shared" si="19"/>
        <v>-2.8200789622112588E-4</v>
      </c>
    </row>
    <row r="583" spans="1:15">
      <c r="A583" s="94">
        <v>513.63670191206393</v>
      </c>
      <c r="B583" s="94">
        <v>520.44327453588426</v>
      </c>
      <c r="C583" s="94">
        <v>512.30476827632344</v>
      </c>
      <c r="D583" s="94">
        <v>519.61081601354647</v>
      </c>
      <c r="E583" s="95">
        <v>4522966.6091067847</v>
      </c>
      <c r="F583" s="93" t="s">
        <v>611</v>
      </c>
      <c r="G583" s="25">
        <f t="shared" si="18"/>
        <v>-1.1497285886610142E-2</v>
      </c>
      <c r="I583" s="94">
        <v>206.53040287362572</v>
      </c>
      <c r="J583" s="94">
        <v>208.55253558708191</v>
      </c>
      <c r="K583" s="94">
        <v>205.3853397708252</v>
      </c>
      <c r="L583" s="94">
        <v>207.58288640641254</v>
      </c>
      <c r="M583" s="95">
        <v>1053040.5896853707</v>
      </c>
      <c r="N583" s="93" t="s">
        <v>611</v>
      </c>
      <c r="O583" s="25">
        <f t="shared" si="19"/>
        <v>-5.0701844983802591E-3</v>
      </c>
    </row>
    <row r="584" spans="1:15">
      <c r="A584" s="94">
        <v>519.69895868061758</v>
      </c>
      <c r="B584" s="94">
        <v>520.62935349970098</v>
      </c>
      <c r="C584" s="94">
        <v>518.1907397107351</v>
      </c>
      <c r="D584" s="94">
        <v>519.64019690257021</v>
      </c>
      <c r="E584" s="95">
        <v>6392113.2491464708</v>
      </c>
      <c r="F584" s="93" t="s">
        <v>612</v>
      </c>
      <c r="G584" s="25">
        <f t="shared" si="18"/>
        <v>1.1308166380818996E-4</v>
      </c>
      <c r="I584" s="94">
        <v>207.14435160108468</v>
      </c>
      <c r="J584" s="94">
        <v>207.69008380327045</v>
      </c>
      <c r="K584" s="94">
        <v>204.01126404746461</v>
      </c>
      <c r="L584" s="94">
        <v>206.16008459357107</v>
      </c>
      <c r="M584" s="95">
        <v>1131541.6563778156</v>
      </c>
      <c r="N584" s="93" t="s">
        <v>612</v>
      </c>
      <c r="O584" s="25">
        <f t="shared" si="19"/>
        <v>4.7742850389977942E-3</v>
      </c>
    </row>
    <row r="585" spans="1:15">
      <c r="A585" s="94">
        <v>518.46496134162282</v>
      </c>
      <c r="B585" s="94">
        <v>519.44432430907898</v>
      </c>
      <c r="C585" s="94">
        <v>515.02739732585167</v>
      </c>
      <c r="D585" s="94">
        <v>515.61501510632536</v>
      </c>
      <c r="E585" s="95">
        <v>22847777.324193522</v>
      </c>
      <c r="F585" s="93" t="s">
        <v>613</v>
      </c>
      <c r="G585" s="25">
        <f t="shared" si="18"/>
        <v>5.5272754900470566E-3</v>
      </c>
      <c r="I585" s="94">
        <v>205.34148629029241</v>
      </c>
      <c r="J585" s="94">
        <v>205.69231413455469</v>
      </c>
      <c r="K585" s="94">
        <v>202.73074241590729</v>
      </c>
      <c r="L585" s="94">
        <v>203.811487080593</v>
      </c>
      <c r="M585" s="95">
        <v>885738.01960738213</v>
      </c>
      <c r="N585" s="93" t="s">
        <v>613</v>
      </c>
      <c r="O585" s="25">
        <f t="shared" si="19"/>
        <v>7.5069331548245355E-3</v>
      </c>
    </row>
    <row r="586" spans="1:15">
      <c r="A586" s="94">
        <v>509.52337744874791</v>
      </c>
      <c r="B586" s="94">
        <v>510.19913789629277</v>
      </c>
      <c r="C586" s="94">
        <v>504.03404801615608</v>
      </c>
      <c r="D586" s="94">
        <v>505.14562498421884</v>
      </c>
      <c r="E586" s="95">
        <v>5165613.9430516092</v>
      </c>
      <c r="F586" s="93" t="s">
        <v>614</v>
      </c>
      <c r="G586" s="25">
        <f t="shared" si="18"/>
        <v>8.6663176874308689E-3</v>
      </c>
      <c r="I586" s="94">
        <v>202.68104180463678</v>
      </c>
      <c r="J586" s="94">
        <v>205.39995759766947</v>
      </c>
      <c r="K586" s="94">
        <v>201.84295306556578</v>
      </c>
      <c r="L586" s="94">
        <v>204.7372827807296</v>
      </c>
      <c r="M586" s="95">
        <v>1982566.2397537928</v>
      </c>
      <c r="N586" s="93" t="s">
        <v>614</v>
      </c>
      <c r="O586" s="25">
        <f t="shared" si="19"/>
        <v>-1.0043314769860534E-2</v>
      </c>
    </row>
    <row r="587" spans="1:15">
      <c r="A587" s="94">
        <v>509.39606026297861</v>
      </c>
      <c r="B587" s="94">
        <v>513.78850317201955</v>
      </c>
      <c r="C587" s="94">
        <v>506.64405032442681</v>
      </c>
      <c r="D587" s="94">
        <v>507.27084262359875</v>
      </c>
      <c r="E587" s="95">
        <v>6156794.9783335477</v>
      </c>
      <c r="F587" s="93" t="s">
        <v>615</v>
      </c>
      <c r="G587" s="25">
        <f t="shared" si="18"/>
        <v>4.1895127036835067E-3</v>
      </c>
      <c r="I587" s="94">
        <v>204.54237842280608</v>
      </c>
      <c r="J587" s="94">
        <v>207.19298023838661</v>
      </c>
      <c r="K587" s="94">
        <v>204.25002188592089</v>
      </c>
      <c r="L587" s="94">
        <v>206.50116721993717</v>
      </c>
      <c r="M587" s="95">
        <v>1219902.9438496975</v>
      </c>
      <c r="N587" s="93" t="s">
        <v>615</v>
      </c>
      <c r="O587" s="25">
        <f t="shared" si="19"/>
        <v>-9.4856064181219057E-3</v>
      </c>
    </row>
    <row r="588" spans="1:15">
      <c r="A588" s="94">
        <v>510.57129582392611</v>
      </c>
      <c r="B588" s="94">
        <v>514.126383395792</v>
      </c>
      <c r="C588" s="94">
        <v>505.76174222704549</v>
      </c>
      <c r="D588" s="94">
        <v>506.85951017726711</v>
      </c>
      <c r="E588" s="95">
        <v>5487188.2831739737</v>
      </c>
      <c r="F588" s="93" t="s">
        <v>616</v>
      </c>
      <c r="G588" s="25">
        <f t="shared" si="18"/>
        <v>7.3231054604476764E-3</v>
      </c>
      <c r="I588" s="94">
        <v>207.61212206010106</v>
      </c>
      <c r="J588" s="94">
        <v>210.2287130652239</v>
      </c>
      <c r="K588" s="94">
        <v>205.59486195559293</v>
      </c>
      <c r="L588" s="94">
        <v>207.31976552321584</v>
      </c>
      <c r="M588" s="95">
        <v>862889.89015843405</v>
      </c>
      <c r="N588" s="93" t="s">
        <v>616</v>
      </c>
      <c r="O588" s="25">
        <f t="shared" si="19"/>
        <v>1.4101720409889218E-3</v>
      </c>
    </row>
    <row r="589" spans="1:15">
      <c r="A589" s="94">
        <v>505.26314854031358</v>
      </c>
      <c r="B589" s="94">
        <v>508.79864885283035</v>
      </c>
      <c r="C589" s="94">
        <v>503.46190417056818</v>
      </c>
      <c r="D589" s="94">
        <v>508.60277625933918</v>
      </c>
      <c r="E589" s="95">
        <v>6137252.6833561175</v>
      </c>
      <c r="F589" s="93" t="s">
        <v>617</v>
      </c>
      <c r="G589" s="25">
        <f t="shared" si="18"/>
        <v>-6.5662789802050092E-3</v>
      </c>
      <c r="I589" s="94">
        <v>207.01766376843443</v>
      </c>
      <c r="J589" s="94">
        <v>208.45508340812015</v>
      </c>
      <c r="K589" s="94">
        <v>205.039384535511</v>
      </c>
      <c r="L589" s="94">
        <v>207.3782368305929</v>
      </c>
      <c r="M589" s="95">
        <v>999415.31361995358</v>
      </c>
      <c r="N589" s="93" t="s">
        <v>617</v>
      </c>
      <c r="O589" s="25">
        <f t="shared" si="19"/>
        <v>-1.7387218045112895E-3</v>
      </c>
    </row>
    <row r="590" spans="1:15">
      <c r="A590" s="94">
        <v>510.64964486132249</v>
      </c>
      <c r="B590" s="94">
        <v>513.02949687224111</v>
      </c>
      <c r="C590" s="94">
        <v>506.40900321223734</v>
      </c>
      <c r="D590" s="94">
        <v>506.77136751019611</v>
      </c>
      <c r="E590" s="95">
        <v>6401960.466491282</v>
      </c>
      <c r="F590" s="93" t="s">
        <v>618</v>
      </c>
      <c r="G590" s="25">
        <f t="shared" si="18"/>
        <v>7.6529133249587655E-3</v>
      </c>
      <c r="I590" s="94">
        <v>207.553650752724</v>
      </c>
      <c r="J590" s="94">
        <v>208.94721691187698</v>
      </c>
      <c r="K590" s="94">
        <v>205.02476670866673</v>
      </c>
      <c r="L590" s="94">
        <v>205.34148629029241</v>
      </c>
      <c r="M590" s="95">
        <v>1069441.4543661638</v>
      </c>
      <c r="N590" s="93" t="s">
        <v>618</v>
      </c>
      <c r="O590" s="25">
        <f t="shared" si="19"/>
        <v>1.0773100469839925E-2</v>
      </c>
    </row>
    <row r="591" spans="1:15">
      <c r="A591" s="94">
        <v>506.78116113987068</v>
      </c>
      <c r="B591" s="94">
        <v>507.72134958862853</v>
      </c>
      <c r="C591" s="94">
        <v>500.29777829531076</v>
      </c>
      <c r="D591" s="94">
        <v>500.72869800099147</v>
      </c>
      <c r="E591" s="95">
        <v>7568451.3773814011</v>
      </c>
      <c r="F591" s="93" t="s">
        <v>619</v>
      </c>
      <c r="G591" s="25">
        <f t="shared" si="18"/>
        <v>1.2087310280081587E-2</v>
      </c>
      <c r="I591" s="94">
        <v>205.68256891665851</v>
      </c>
      <c r="J591" s="94">
        <v>208.19683513387153</v>
      </c>
      <c r="K591" s="94">
        <v>203.77250620900833</v>
      </c>
      <c r="L591" s="94">
        <v>205.45842890504653</v>
      </c>
      <c r="M591" s="95">
        <v>985767.59415210981</v>
      </c>
      <c r="N591" s="93" t="s">
        <v>619</v>
      </c>
      <c r="O591" s="25">
        <f t="shared" si="19"/>
        <v>1.0909263387561818E-3</v>
      </c>
    </row>
    <row r="592" spans="1:15">
      <c r="A592" s="94">
        <v>496.58599264865194</v>
      </c>
      <c r="B592" s="94">
        <v>503.45132705051964</v>
      </c>
      <c r="C592" s="94">
        <v>494.98963101169835</v>
      </c>
      <c r="D592" s="94">
        <v>502.91267741841875</v>
      </c>
      <c r="E592" s="95">
        <v>22106203.439807799</v>
      </c>
      <c r="F592" s="93" t="s">
        <v>620</v>
      </c>
      <c r="G592" s="25">
        <f t="shared" si="18"/>
        <v>-1.2580086074273078E-2</v>
      </c>
      <c r="I592" s="94">
        <v>205.79951153141261</v>
      </c>
      <c r="J592" s="94">
        <v>207.13509364408333</v>
      </c>
      <c r="K592" s="94">
        <v>202.41792092144007</v>
      </c>
      <c r="L592" s="94">
        <v>203.19753835313401</v>
      </c>
      <c r="M592" s="95">
        <v>1374988.2396431637</v>
      </c>
      <c r="N592" s="93" t="s">
        <v>620</v>
      </c>
      <c r="O592" s="25">
        <f t="shared" si="19"/>
        <v>1.2805141240228357E-2</v>
      </c>
    </row>
    <row r="593" spans="1:15">
      <c r="A593" s="94">
        <v>503.15751816028279</v>
      </c>
      <c r="B593" s="94">
        <v>507.0553827707584</v>
      </c>
      <c r="C593" s="94">
        <v>498.59368673193711</v>
      </c>
      <c r="D593" s="94">
        <v>506.22292424842061</v>
      </c>
      <c r="E593" s="95">
        <v>8771574.2635372244</v>
      </c>
      <c r="F593" s="93" t="s">
        <v>621</v>
      </c>
      <c r="G593" s="25">
        <f t="shared" si="18"/>
        <v>-6.0554470003288952E-3</v>
      </c>
      <c r="I593" s="94">
        <v>203.62632794056569</v>
      </c>
      <c r="J593" s="94">
        <v>205.78002109562027</v>
      </c>
      <c r="K593" s="94">
        <v>199.58206251365331</v>
      </c>
      <c r="L593" s="94">
        <v>205.78002109562027</v>
      </c>
      <c r="M593" s="95">
        <v>1058170.2851455025</v>
      </c>
      <c r="N593" s="93" t="s">
        <v>621</v>
      </c>
      <c r="O593" s="25">
        <f t="shared" si="19"/>
        <v>-1.0465997347982703E-2</v>
      </c>
    </row>
    <row r="594" spans="1:15">
      <c r="A594" s="94">
        <v>500.72869800099147</v>
      </c>
      <c r="B594" s="94">
        <v>506.84961861129585</v>
      </c>
      <c r="C594" s="94">
        <v>497.05608687303084</v>
      </c>
      <c r="D594" s="94">
        <v>503.71575505173286</v>
      </c>
      <c r="E594" s="95">
        <v>11445107.046588035</v>
      </c>
      <c r="F594" s="93" t="s">
        <v>622</v>
      </c>
      <c r="G594" s="25">
        <f t="shared" si="18"/>
        <v>-5.9300449127992483E-3</v>
      </c>
      <c r="I594" s="94">
        <v>206.9202115894727</v>
      </c>
      <c r="J594" s="94">
        <v>213.08893451775111</v>
      </c>
      <c r="K594" s="94">
        <v>206.38422460518308</v>
      </c>
      <c r="L594" s="94">
        <v>210.90600570900801</v>
      </c>
      <c r="M594" s="95">
        <v>1351483.3778288458</v>
      </c>
      <c r="N594" s="93" t="s">
        <v>622</v>
      </c>
      <c r="O594" s="25">
        <f t="shared" si="19"/>
        <v>-1.8898438221975566E-2</v>
      </c>
    </row>
    <row r="595" spans="1:15">
      <c r="A595" s="94">
        <v>504.87140335333112</v>
      </c>
      <c r="B595" s="94">
        <v>512.89238605679725</v>
      </c>
      <c r="C595" s="94">
        <v>500.2879846656362</v>
      </c>
      <c r="D595" s="94">
        <v>511.12953271537606</v>
      </c>
      <c r="E595" s="95">
        <v>11412409.261329545</v>
      </c>
      <c r="F595" s="93" t="s">
        <v>623</v>
      </c>
      <c r="G595" s="25">
        <f t="shared" si="18"/>
        <v>-1.2243724851504156E-2</v>
      </c>
      <c r="I595" s="94">
        <v>212.299571868161</v>
      </c>
      <c r="J595" s="94">
        <v>221.57701930531908</v>
      </c>
      <c r="K595" s="94">
        <v>211.91814403970471</v>
      </c>
      <c r="L595" s="94">
        <v>213.38129105463636</v>
      </c>
      <c r="M595" s="95">
        <v>1893069.0105186852</v>
      </c>
      <c r="N595" s="93" t="s">
        <v>623</v>
      </c>
      <c r="O595" s="25">
        <f t="shared" si="19"/>
        <v>-5.0694190719766663E-3</v>
      </c>
    </row>
    <row r="596" spans="1:15">
      <c r="A596" s="94">
        <v>518.58248489771756</v>
      </c>
      <c r="B596" s="94">
        <v>519.92421216313244</v>
      </c>
      <c r="C596" s="94">
        <v>509.39606026297861</v>
      </c>
      <c r="D596" s="94">
        <v>514.06762161774452</v>
      </c>
      <c r="E596" s="95">
        <v>7462279.3007813608</v>
      </c>
      <c r="F596" s="93" t="s">
        <v>624</v>
      </c>
      <c r="G596" s="25">
        <f t="shared" si="18"/>
        <v>8.782625261954724E-3</v>
      </c>
      <c r="I596" s="94">
        <v>213.32281975630286</v>
      </c>
      <c r="J596" s="94">
        <v>214.40833342339536</v>
      </c>
      <c r="K596" s="94">
        <v>205.26869602992906</v>
      </c>
      <c r="L596" s="94">
        <v>205.26869602992906</v>
      </c>
      <c r="M596" s="95">
        <v>1927890.3835502518</v>
      </c>
      <c r="N596" s="93" t="s">
        <v>624</v>
      </c>
      <c r="O596" s="25">
        <f t="shared" si="19"/>
        <v>3.9236980027385515E-2</v>
      </c>
    </row>
    <row r="597" spans="1:15">
      <c r="A597" s="94">
        <v>515.80109407014197</v>
      </c>
      <c r="B597" s="94">
        <v>522.42158773014569</v>
      </c>
      <c r="C597" s="94">
        <v>513.40165479987445</v>
      </c>
      <c r="D597" s="94">
        <v>518.26908874813159</v>
      </c>
      <c r="E597" s="95">
        <v>7381253.1617124956</v>
      </c>
      <c r="F597" s="93" t="s">
        <v>625</v>
      </c>
      <c r="G597" s="25">
        <f t="shared" si="18"/>
        <v>-4.7619947466884804E-3</v>
      </c>
      <c r="I597" s="94">
        <v>207.20711329259424</v>
      </c>
      <c r="J597" s="94">
        <v>207.39126293254742</v>
      </c>
      <c r="K597" s="94">
        <v>202.15753632335145</v>
      </c>
      <c r="L597" s="94">
        <v>204.96824135421593</v>
      </c>
      <c r="M597" s="95">
        <v>1554577.5711142675</v>
      </c>
      <c r="N597" s="93" t="s">
        <v>625</v>
      </c>
      <c r="O597" s="25">
        <f t="shared" si="19"/>
        <v>1.0923018725175204E-2</v>
      </c>
    </row>
    <row r="598" spans="1:15">
      <c r="A598" s="94">
        <v>525.33029574349052</v>
      </c>
      <c r="B598" s="94">
        <v>526.69170820455145</v>
      </c>
      <c r="C598" s="94">
        <v>516.05572844168057</v>
      </c>
      <c r="D598" s="94">
        <v>519.30721349363512</v>
      </c>
      <c r="E598" s="95">
        <v>6352848.9505382832</v>
      </c>
      <c r="F598" s="93" t="s">
        <v>626</v>
      </c>
      <c r="G598" s="25">
        <f t="shared" si="18"/>
        <v>1.1598302687411577E-2</v>
      </c>
      <c r="I598" s="94">
        <v>204.04749315445</v>
      </c>
      <c r="J598" s="94">
        <v>204.97793344052928</v>
      </c>
      <c r="K598" s="94">
        <v>199.41467589668022</v>
      </c>
      <c r="L598" s="94">
        <v>199.76359100395996</v>
      </c>
      <c r="M598" s="95">
        <v>1287913.6231832153</v>
      </c>
      <c r="N598" s="93" t="s">
        <v>626</v>
      </c>
      <c r="O598" s="25">
        <f t="shared" si="19"/>
        <v>2.144485954102171E-2</v>
      </c>
    </row>
    <row r="599" spans="1:15">
      <c r="A599" s="94">
        <v>519.50308608712635</v>
      </c>
      <c r="B599" s="94">
        <v>527.1714001860114</v>
      </c>
      <c r="C599" s="94">
        <v>515.30161895673928</v>
      </c>
      <c r="D599" s="94">
        <v>522.05922343218685</v>
      </c>
      <c r="E599" s="95">
        <v>10698214.398706967</v>
      </c>
      <c r="F599" s="93" t="s">
        <v>627</v>
      </c>
      <c r="G599" s="25">
        <f t="shared" si="18"/>
        <v>-4.8962593329079374E-3</v>
      </c>
      <c r="I599" s="94">
        <v>200.70372337635257</v>
      </c>
      <c r="J599" s="94">
        <v>205.95683415817518</v>
      </c>
      <c r="K599" s="94">
        <v>200.10281402492637</v>
      </c>
      <c r="L599" s="94">
        <v>200.95571762049903</v>
      </c>
      <c r="M599" s="95">
        <v>2160126.2435327666</v>
      </c>
      <c r="N599" s="93" t="s">
        <v>627</v>
      </c>
      <c r="O599" s="25">
        <f t="shared" si="19"/>
        <v>-1.2539789717371796E-3</v>
      </c>
    </row>
    <row r="600" spans="1:15">
      <c r="A600" s="94">
        <v>525.83956448656772</v>
      </c>
      <c r="B600" s="94">
        <v>537.95428439400052</v>
      </c>
      <c r="C600" s="94">
        <v>522.24628175897101</v>
      </c>
      <c r="D600" s="94">
        <v>536.88677875947337</v>
      </c>
      <c r="E600" s="95">
        <v>7443612.0644170064</v>
      </c>
      <c r="F600" s="93" t="s">
        <v>628</v>
      </c>
      <c r="G600" s="25">
        <f t="shared" si="18"/>
        <v>-2.0576431959139052E-2</v>
      </c>
      <c r="I600" s="94">
        <v>201.30463272777877</v>
      </c>
      <c r="J600" s="94">
        <v>203.00074783261078</v>
      </c>
      <c r="K600" s="94">
        <v>198.95914783995391</v>
      </c>
      <c r="L600" s="94">
        <v>201.20771186464552</v>
      </c>
      <c r="M600" s="95">
        <v>1421736.2035926257</v>
      </c>
      <c r="N600" s="93" t="s">
        <v>628</v>
      </c>
      <c r="O600" s="25">
        <f t="shared" si="19"/>
        <v>4.8169556840083061E-4</v>
      </c>
    </row>
    <row r="601" spans="1:15">
      <c r="A601" s="94">
        <v>535.05537001033042</v>
      </c>
      <c r="B601" s="94">
        <v>535.60381327210575</v>
      </c>
      <c r="C601" s="94">
        <v>524.52721811017648</v>
      </c>
      <c r="D601" s="94">
        <v>527.30860893775196</v>
      </c>
      <c r="E601" s="95">
        <v>7482466.9131957386</v>
      </c>
      <c r="F601" s="93" t="s">
        <v>629</v>
      </c>
      <c r="G601" s="25">
        <f t="shared" si="18"/>
        <v>1.4691133315998917E-2</v>
      </c>
      <c r="I601" s="94">
        <v>199.76359100395996</v>
      </c>
      <c r="J601" s="94">
        <v>200.82002841211246</v>
      </c>
      <c r="K601" s="94">
        <v>197.24364856249522</v>
      </c>
      <c r="L601" s="94">
        <v>199.56974927769343</v>
      </c>
      <c r="M601" s="95">
        <v>1284771.8847570794</v>
      </c>
      <c r="N601" s="93" t="s">
        <v>629</v>
      </c>
      <c r="O601" s="25">
        <f t="shared" si="19"/>
        <v>9.7129813996410519E-4</v>
      </c>
    </row>
    <row r="602" spans="1:15">
      <c r="A602" s="94">
        <v>526.86789560239674</v>
      </c>
      <c r="B602" s="94">
        <v>538.53210854479971</v>
      </c>
      <c r="C602" s="94">
        <v>526.50553130443802</v>
      </c>
      <c r="D602" s="94">
        <v>537.50377742897081</v>
      </c>
      <c r="E602" s="95">
        <v>5637696.3224792248</v>
      </c>
      <c r="F602" s="93" t="s">
        <v>630</v>
      </c>
      <c r="G602" s="25">
        <f t="shared" si="18"/>
        <v>-1.9787548056775406E-2</v>
      </c>
      <c r="I602" s="94">
        <v>198.59084856004753</v>
      </c>
      <c r="J602" s="94">
        <v>199.21114208410037</v>
      </c>
      <c r="K602" s="94">
        <v>196.12082036309641</v>
      </c>
      <c r="L602" s="94">
        <v>196.34228453535593</v>
      </c>
      <c r="M602" s="95">
        <v>1317017.7800056902</v>
      </c>
      <c r="N602" s="93" t="s">
        <v>630</v>
      </c>
      <c r="O602" s="25">
        <f t="shared" si="19"/>
        <v>1.145226577154701E-2</v>
      </c>
    </row>
    <row r="603" spans="1:15">
      <c r="A603" s="94">
        <v>535.46670245666189</v>
      </c>
      <c r="B603" s="94">
        <v>539.96687529212306</v>
      </c>
      <c r="C603" s="94">
        <v>533.01829503802151</v>
      </c>
      <c r="D603" s="94">
        <v>536.70069979565665</v>
      </c>
      <c r="E603" s="95">
        <v>4268900.4372498887</v>
      </c>
      <c r="F603" s="93" t="s">
        <v>631</v>
      </c>
      <c r="G603" s="25">
        <f t="shared" si="18"/>
        <v>-2.2992281162752537E-3</v>
      </c>
      <c r="I603" s="94">
        <v>196.09998237752276</v>
      </c>
      <c r="J603" s="94">
        <v>197.44427474918109</v>
      </c>
      <c r="K603" s="94">
        <v>195.26646295457672</v>
      </c>
      <c r="L603" s="94">
        <v>195.9642931691362</v>
      </c>
      <c r="M603" s="95">
        <v>1222794.5167703647</v>
      </c>
      <c r="N603" s="93" t="s">
        <v>631</v>
      </c>
      <c r="O603" s="25">
        <f t="shared" si="19"/>
        <v>6.9241802265196384E-4</v>
      </c>
    </row>
    <row r="604" spans="1:15">
      <c r="A604" s="94">
        <v>535.1337190477268</v>
      </c>
      <c r="B604" s="94">
        <v>538.42437861837959</v>
      </c>
      <c r="C604" s="94">
        <v>530.97965308496475</v>
      </c>
      <c r="D604" s="94">
        <v>537.8465544675804</v>
      </c>
      <c r="E604" s="95">
        <v>5607210.17894293</v>
      </c>
      <c r="F604" s="93" t="s">
        <v>632</v>
      </c>
      <c r="G604" s="25">
        <f t="shared" si="18"/>
        <v>-5.0438836082887795E-3</v>
      </c>
      <c r="I604" s="94">
        <v>197.68948453290821</v>
      </c>
      <c r="J604" s="94">
        <v>198.17893489173116</v>
      </c>
      <c r="K604" s="94">
        <v>193.51219533186475</v>
      </c>
      <c r="L604" s="94">
        <v>193.78357374863788</v>
      </c>
      <c r="M604" s="95">
        <v>1481867.7357683857</v>
      </c>
      <c r="N604" s="93" t="s">
        <v>632</v>
      </c>
      <c r="O604" s="25">
        <f t="shared" si="19"/>
        <v>2.0156046814044259E-2</v>
      </c>
    </row>
    <row r="605" spans="1:15">
      <c r="A605" s="94">
        <v>537.80737994888216</v>
      </c>
      <c r="B605" s="94">
        <v>543.06655908412176</v>
      </c>
      <c r="C605" s="94">
        <v>537.19361317717733</v>
      </c>
      <c r="D605" s="94">
        <v>542.18513241341122</v>
      </c>
      <c r="E605" s="95">
        <v>4872815.4510432482</v>
      </c>
      <c r="F605" s="93" t="s">
        <v>633</v>
      </c>
      <c r="G605" s="25">
        <f t="shared" si="18"/>
        <v>-8.0742761149544817E-3</v>
      </c>
      <c r="I605" s="94">
        <v>193.69634497181795</v>
      </c>
      <c r="J605" s="94">
        <v>195.60568597554314</v>
      </c>
      <c r="K605" s="94">
        <v>193.42496655504482</v>
      </c>
      <c r="L605" s="94">
        <v>194.15187302854426</v>
      </c>
      <c r="M605" s="95">
        <v>1457698.5329334992</v>
      </c>
      <c r="N605" s="93" t="s">
        <v>633</v>
      </c>
      <c r="O605" s="25">
        <f t="shared" si="19"/>
        <v>-2.3462460063897739E-3</v>
      </c>
    </row>
    <row r="606" spans="1:15">
      <c r="A606" s="94">
        <v>540.36351729394278</v>
      </c>
      <c r="B606" s="94">
        <v>549.61849733640361</v>
      </c>
      <c r="C606" s="94">
        <v>539.88852625472657</v>
      </c>
      <c r="D606" s="94">
        <v>549.52056103965799</v>
      </c>
      <c r="E606" s="95">
        <v>6278258.6276166961</v>
      </c>
      <c r="F606" s="93" t="s">
        <v>634</v>
      </c>
      <c r="G606" s="25">
        <f t="shared" si="18"/>
        <v>-1.6663696310818099E-2</v>
      </c>
      <c r="I606" s="94">
        <v>192.89190180781191</v>
      </c>
      <c r="J606" s="94">
        <v>194.01618382015769</v>
      </c>
      <c r="K606" s="94">
        <v>190.65302986943362</v>
      </c>
      <c r="L606" s="94">
        <v>190.84687159570012</v>
      </c>
      <c r="M606" s="95">
        <v>1709281.1046495021</v>
      </c>
      <c r="N606" s="93" t="s">
        <v>634</v>
      </c>
      <c r="O606" s="25">
        <f t="shared" si="19"/>
        <v>1.0715555329846138E-2</v>
      </c>
    </row>
    <row r="607" spans="1:15">
      <c r="A607" s="94">
        <v>549.71643363314922</v>
      </c>
      <c r="B607" s="94">
        <v>550.87648906810114</v>
      </c>
      <c r="C607" s="94">
        <v>546.69999569338427</v>
      </c>
      <c r="D607" s="94">
        <v>550.78393926767649</v>
      </c>
      <c r="E607" s="95">
        <v>4540484.118518604</v>
      </c>
      <c r="F607" s="93" t="s">
        <v>635</v>
      </c>
      <c r="G607" s="25">
        <f t="shared" si="18"/>
        <v>-1.9381567951066714E-3</v>
      </c>
      <c r="I607" s="94">
        <v>191.15701835772654</v>
      </c>
      <c r="J607" s="94">
        <v>191.66100684601952</v>
      </c>
      <c r="K607" s="94">
        <v>187.14449462400964</v>
      </c>
      <c r="L607" s="94">
        <v>187.27049174608288</v>
      </c>
      <c r="M607" s="95">
        <v>1577665.4794103722</v>
      </c>
      <c r="N607" s="93" t="s">
        <v>635</v>
      </c>
      <c r="O607" s="25">
        <f t="shared" si="19"/>
        <v>2.0753545181658062E-2</v>
      </c>
    </row>
    <row r="608" spans="1:15">
      <c r="A608" s="94">
        <v>552.03752386602036</v>
      </c>
      <c r="B608" s="94">
        <v>552.28236460788435</v>
      </c>
      <c r="C608" s="94">
        <v>548.96330351117535</v>
      </c>
      <c r="D608" s="94">
        <v>549.4422120022615</v>
      </c>
      <c r="E608" s="95">
        <v>3938847.1161205433</v>
      </c>
      <c r="F608" s="93" t="s">
        <v>636</v>
      </c>
      <c r="G608" s="25">
        <f t="shared" si="18"/>
        <v>4.7235392677622556E-3</v>
      </c>
      <c r="I608" s="94">
        <v>188.65646008888848</v>
      </c>
      <c r="J608" s="94">
        <v>193.88049461177113</v>
      </c>
      <c r="K608" s="94">
        <v>188.26877663635545</v>
      </c>
      <c r="L608" s="94">
        <v>190.50764857473374</v>
      </c>
      <c r="M608" s="95">
        <v>1558072.1747429445</v>
      </c>
      <c r="N608" s="93" t="s">
        <v>636</v>
      </c>
      <c r="O608" s="25">
        <f t="shared" si="19"/>
        <v>-9.7171347171347566E-3</v>
      </c>
    </row>
    <row r="609" spans="1:15">
      <c r="A609" s="94">
        <v>550.70559023027988</v>
      </c>
      <c r="B609" s="94">
        <v>550.70559023027988</v>
      </c>
      <c r="C609" s="94">
        <v>547.94378666205353</v>
      </c>
      <c r="D609" s="94">
        <v>550.2061151168773</v>
      </c>
      <c r="E609" s="95">
        <v>3925924.4302312932</v>
      </c>
      <c r="F609" s="93" t="s">
        <v>637</v>
      </c>
      <c r="G609" s="25">
        <f t="shared" si="18"/>
        <v>9.077963688144397E-4</v>
      </c>
      <c r="I609" s="94">
        <v>189.6741291517877</v>
      </c>
      <c r="J609" s="94">
        <v>193.84172626651784</v>
      </c>
      <c r="K609" s="94">
        <v>188.7727651246484</v>
      </c>
      <c r="L609" s="94">
        <v>193.84172626651784</v>
      </c>
      <c r="M609" s="95">
        <v>1750057.6709349896</v>
      </c>
      <c r="N609" s="93" t="s">
        <v>637</v>
      </c>
      <c r="O609" s="25">
        <f t="shared" si="19"/>
        <v>-2.1500000000000075E-2</v>
      </c>
    </row>
    <row r="610" spans="1:15">
      <c r="A610" s="94">
        <v>549.11902222300102</v>
      </c>
      <c r="B610" s="94">
        <v>550.26487689492467</v>
      </c>
      <c r="C610" s="94">
        <v>548.51181718317821</v>
      </c>
      <c r="D610" s="94">
        <v>549.32468844616676</v>
      </c>
      <c r="E610" s="95">
        <v>3451805.0123753394</v>
      </c>
      <c r="F610" s="93" t="s">
        <v>638</v>
      </c>
      <c r="G610" s="25">
        <f t="shared" si="18"/>
        <v>-3.7439828846486112E-4</v>
      </c>
      <c r="I610" s="94">
        <v>191.52531763763295</v>
      </c>
      <c r="J610" s="94">
        <v>194.97570036517695</v>
      </c>
      <c r="K610" s="94">
        <v>190.61426152418031</v>
      </c>
      <c r="L610" s="94">
        <v>193.84172626651784</v>
      </c>
      <c r="M610" s="95">
        <v>1615137.2876732284</v>
      </c>
      <c r="N610" s="93" t="s">
        <v>638</v>
      </c>
      <c r="O610" s="25">
        <f t="shared" si="19"/>
        <v>-1.1950000000000016E-2</v>
      </c>
    </row>
    <row r="611" spans="1:15">
      <c r="A611" s="94">
        <v>549.09943496365179</v>
      </c>
      <c r="B611" s="94">
        <v>549.30510118681764</v>
      </c>
      <c r="C611" s="94">
        <v>543.24774123310124</v>
      </c>
      <c r="D611" s="94">
        <v>544.39849271986225</v>
      </c>
      <c r="E611" s="95">
        <v>3459900.0703502106</v>
      </c>
      <c r="F611" s="93" t="s">
        <v>639</v>
      </c>
      <c r="G611" s="25">
        <f t="shared" si="18"/>
        <v>8.6351125263099959E-3</v>
      </c>
      <c r="I611" s="94">
        <v>193.84172626651784</v>
      </c>
      <c r="J611" s="94">
        <v>198.22254928014115</v>
      </c>
      <c r="K611" s="94">
        <v>192.31522267216903</v>
      </c>
      <c r="L611" s="94">
        <v>195.78983561549632</v>
      </c>
      <c r="M611" s="95">
        <v>2210495.1717715496</v>
      </c>
      <c r="N611" s="93" t="s">
        <v>639</v>
      </c>
      <c r="O611" s="25">
        <f t="shared" si="19"/>
        <v>-9.9500024751248972E-3</v>
      </c>
    </row>
    <row r="612" spans="1:15">
      <c r="A612" s="94">
        <v>543.36036797435861</v>
      </c>
      <c r="B612" s="94">
        <v>544.44256405339775</v>
      </c>
      <c r="C612" s="94">
        <v>539.03158365820241</v>
      </c>
      <c r="D612" s="94">
        <v>539.6289950683506</v>
      </c>
      <c r="E612" s="95">
        <v>3654909.4860074827</v>
      </c>
      <c r="F612" s="93" t="s">
        <v>640</v>
      </c>
      <c r="G612" s="25">
        <f t="shared" si="18"/>
        <v>6.9147005444645249E-3</v>
      </c>
      <c r="I612" s="94">
        <v>194.43294353163071</v>
      </c>
      <c r="J612" s="94">
        <v>198.66838525055411</v>
      </c>
      <c r="K612" s="94">
        <v>193.4152744687315</v>
      </c>
      <c r="L612" s="94">
        <v>198.66838525055411</v>
      </c>
      <c r="M612" s="95">
        <v>1748483.1905283285</v>
      </c>
      <c r="N612" s="93" t="s">
        <v>640</v>
      </c>
      <c r="O612" s="25">
        <f t="shared" si="19"/>
        <v>-2.1319153088106058E-2</v>
      </c>
    </row>
    <row r="613" spans="1:15">
      <c r="A613" s="94">
        <v>545.16239583447805</v>
      </c>
      <c r="B613" s="94">
        <v>545.61779961434513</v>
      </c>
      <c r="C613" s="94">
        <v>542.55729034104468</v>
      </c>
      <c r="D613" s="94">
        <v>542.6650202674648</v>
      </c>
      <c r="E613" s="95">
        <v>2810932.3013821207</v>
      </c>
      <c r="F613" s="93" t="s">
        <v>641</v>
      </c>
      <c r="G613" s="25">
        <f t="shared" si="18"/>
        <v>4.6020573903626794E-3</v>
      </c>
      <c r="I613" s="94">
        <v>200.3838845280128</v>
      </c>
      <c r="J613" s="94">
        <v>202.81659819265761</v>
      </c>
      <c r="K613" s="94">
        <v>199.82174352183989</v>
      </c>
      <c r="L613" s="94">
        <v>202.81659819265761</v>
      </c>
      <c r="M613" s="95">
        <v>1527555.5253407061</v>
      </c>
      <c r="N613" s="93" t="s">
        <v>641</v>
      </c>
      <c r="O613" s="25">
        <f t="shared" si="19"/>
        <v>-1.1994647806556458E-2</v>
      </c>
    </row>
    <row r="614" spans="1:15">
      <c r="A614" s="94">
        <v>544.67271435074997</v>
      </c>
      <c r="B614" s="94">
        <v>545.28530588689375</v>
      </c>
      <c r="C614" s="94">
        <v>542.80213108290866</v>
      </c>
      <c r="D614" s="94">
        <v>543.97736664385616</v>
      </c>
      <c r="E614" s="95">
        <v>3591673.4825461088</v>
      </c>
      <c r="F614" s="93" t="s">
        <v>642</v>
      </c>
      <c r="G614" s="25">
        <f t="shared" si="18"/>
        <v>1.2782658793026869E-3</v>
      </c>
      <c r="I614" s="94">
        <v>202.01215502865156</v>
      </c>
      <c r="J614" s="94">
        <v>203.4175075440838</v>
      </c>
      <c r="K614" s="94">
        <v>198.94654812774658</v>
      </c>
      <c r="L614" s="94">
        <v>199.65697805451336</v>
      </c>
      <c r="M614" s="95">
        <v>1240148.8814099715</v>
      </c>
      <c r="N614" s="93" t="s">
        <v>642</v>
      </c>
      <c r="O614" s="25">
        <f t="shared" si="19"/>
        <v>1.1796116504854348E-2</v>
      </c>
    </row>
    <row r="615" spans="1:15">
      <c r="A615" s="94">
        <v>540.8042306292981</v>
      </c>
      <c r="B615" s="94">
        <v>547.6597714014913</v>
      </c>
      <c r="C615" s="94">
        <v>540.40758862747828</v>
      </c>
      <c r="D615" s="94">
        <v>546.58247213728953</v>
      </c>
      <c r="E615" s="95">
        <v>10375677.18778865</v>
      </c>
      <c r="F615" s="93" t="s">
        <v>643</v>
      </c>
      <c r="G615" s="25">
        <f t="shared" si="18"/>
        <v>-1.0571582153735881E-2</v>
      </c>
      <c r="I615" s="94">
        <v>199.7829751765866</v>
      </c>
      <c r="J615" s="94">
        <v>202.46768308537787</v>
      </c>
      <c r="K615" s="94">
        <v>198.94945575364059</v>
      </c>
      <c r="L615" s="94">
        <v>201.00417805206564</v>
      </c>
      <c r="M615" s="95">
        <v>1116520.1846295337</v>
      </c>
      <c r="N615" s="93" t="s">
        <v>643</v>
      </c>
      <c r="O615" s="25">
        <f t="shared" si="19"/>
        <v>-6.0755099088671827E-3</v>
      </c>
    </row>
    <row r="616" spans="1:15">
      <c r="A616" s="94">
        <v>546.11237791291057</v>
      </c>
      <c r="B616" s="94">
        <v>546.1417588019342</v>
      </c>
      <c r="C616" s="94">
        <v>542.75316293453591</v>
      </c>
      <c r="D616" s="94">
        <v>545.78918813364999</v>
      </c>
      <c r="E616" s="95">
        <v>3682290.549914415</v>
      </c>
      <c r="F616" s="93" t="s">
        <v>644</v>
      </c>
      <c r="G616" s="25">
        <f t="shared" si="18"/>
        <v>5.9215130363021728E-4</v>
      </c>
      <c r="I616" s="94">
        <v>200.29665575119287</v>
      </c>
      <c r="J616" s="94">
        <v>202.88928884000757</v>
      </c>
      <c r="K616" s="94">
        <v>197.57317949714829</v>
      </c>
      <c r="L616" s="94">
        <v>202.05092337390485</v>
      </c>
      <c r="M616" s="95">
        <v>2143559.1190964906</v>
      </c>
      <c r="N616" s="93" t="s">
        <v>644</v>
      </c>
      <c r="O616" s="25">
        <f t="shared" si="19"/>
        <v>-8.6823044083080836E-3</v>
      </c>
    </row>
    <row r="617" spans="1:15">
      <c r="A617" s="94">
        <v>544.15365197799815</v>
      </c>
      <c r="B617" s="94">
        <v>544.26138190441839</v>
      </c>
      <c r="C617" s="94">
        <v>539.05117091755153</v>
      </c>
      <c r="D617" s="94">
        <v>540.94134144474197</v>
      </c>
      <c r="E617" s="95">
        <v>3496338.0419560722</v>
      </c>
      <c r="F617" s="93" t="s">
        <v>645</v>
      </c>
      <c r="G617" s="25">
        <f t="shared" si="18"/>
        <v>5.9383712930440868E-3</v>
      </c>
      <c r="I617" s="94">
        <v>202.53552768957115</v>
      </c>
      <c r="J617" s="94">
        <v>205.95683415817518</v>
      </c>
      <c r="K617" s="94">
        <v>202.39014639487127</v>
      </c>
      <c r="L617" s="94">
        <v>205.95683415817518</v>
      </c>
      <c r="M617" s="95">
        <v>940119.56821639824</v>
      </c>
      <c r="N617" s="93" t="s">
        <v>645</v>
      </c>
      <c r="O617" s="25">
        <f t="shared" si="19"/>
        <v>-1.6611764705882326E-2</v>
      </c>
    </row>
    <row r="618" spans="1:15">
      <c r="A618" s="94">
        <v>541.93049804187274</v>
      </c>
      <c r="B618" s="94">
        <v>542.40059226625169</v>
      </c>
      <c r="C618" s="94">
        <v>537.89552261595327</v>
      </c>
      <c r="D618" s="94">
        <v>538.35582321065772</v>
      </c>
      <c r="E618" s="95">
        <v>4269523.2911051698</v>
      </c>
      <c r="F618" s="93" t="s">
        <v>646</v>
      </c>
      <c r="G618" s="25">
        <f t="shared" si="18"/>
        <v>6.6399854466072661E-3</v>
      </c>
      <c r="I618" s="94">
        <v>204.22195070808988</v>
      </c>
      <c r="J618" s="94">
        <v>207.16834494734093</v>
      </c>
      <c r="K618" s="94">
        <v>204.14441401758324</v>
      </c>
      <c r="L618" s="94">
        <v>206.35420969702156</v>
      </c>
      <c r="M618" s="95">
        <v>1111380.9402615263</v>
      </c>
      <c r="N618" s="93" t="s">
        <v>646</v>
      </c>
      <c r="O618" s="25">
        <f t="shared" si="19"/>
        <v>-1.033300455591557E-2</v>
      </c>
    </row>
    <row r="619" spans="1:15">
      <c r="A619" s="94">
        <v>538.35582321065772</v>
      </c>
      <c r="B619" s="94">
        <v>540.56908558081182</v>
      </c>
      <c r="C619" s="94">
        <v>531.77450406935213</v>
      </c>
      <c r="D619" s="94">
        <v>533.74302363393906</v>
      </c>
      <c r="E619" s="95">
        <v>7988904.2775656506</v>
      </c>
      <c r="F619" s="93" t="s">
        <v>647</v>
      </c>
      <c r="G619" s="25">
        <f t="shared" si="18"/>
        <v>8.6423604102829898E-3</v>
      </c>
      <c r="I619" s="94">
        <v>206.22821257494832</v>
      </c>
      <c r="J619" s="94">
        <v>207.50756796830734</v>
      </c>
      <c r="K619" s="94">
        <v>202.47252912853455</v>
      </c>
      <c r="L619" s="94">
        <v>204.61932624693623</v>
      </c>
      <c r="M619" s="95">
        <v>1478505.1986482621</v>
      </c>
      <c r="N619" s="93" t="s">
        <v>647</v>
      </c>
      <c r="O619" s="25">
        <f t="shared" si="19"/>
        <v>7.8628268283440494E-3</v>
      </c>
    </row>
    <row r="620" spans="1:15">
      <c r="A620" s="94">
        <v>541.91091078252362</v>
      </c>
      <c r="B620" s="94">
        <v>549.31489481649214</v>
      </c>
      <c r="C620" s="94">
        <v>541.3037057427008</v>
      </c>
      <c r="D620" s="94">
        <v>547.09174088036673</v>
      </c>
      <c r="E620" s="95">
        <v>6374880.6187930517</v>
      </c>
      <c r="F620" s="93" t="s">
        <v>648</v>
      </c>
      <c r="G620" s="25">
        <f t="shared" si="18"/>
        <v>-9.4697647774872884E-3</v>
      </c>
      <c r="I620" s="94">
        <v>205.48192192882223</v>
      </c>
      <c r="J620" s="94">
        <v>206.92604278950779</v>
      </c>
      <c r="K620" s="94">
        <v>202.69060107058436</v>
      </c>
      <c r="L620" s="94">
        <v>204.06687732707667</v>
      </c>
      <c r="M620" s="95">
        <v>1306682.5439417816</v>
      </c>
      <c r="N620" s="93" t="s">
        <v>648</v>
      </c>
      <c r="O620" s="25">
        <f t="shared" si="19"/>
        <v>6.9342199002611071E-3</v>
      </c>
    </row>
    <row r="621" spans="1:15">
      <c r="A621" s="94">
        <v>544.81961879586834</v>
      </c>
      <c r="B621" s="94">
        <v>546.26907598770345</v>
      </c>
      <c r="C621" s="94">
        <v>540.98051596344021</v>
      </c>
      <c r="D621" s="94">
        <v>543.90881123613417</v>
      </c>
      <c r="E621" s="95">
        <v>4387074.1928908778</v>
      </c>
      <c r="F621" s="93" t="s">
        <v>649</v>
      </c>
      <c r="G621" s="25">
        <f t="shared" si="18"/>
        <v>1.6745593028069106E-3</v>
      </c>
      <c r="I621" s="94">
        <v>205.53038236038887</v>
      </c>
      <c r="J621" s="94">
        <v>206.69343271798795</v>
      </c>
      <c r="K621" s="94">
        <v>199.68208055806488</v>
      </c>
      <c r="L621" s="94">
        <v>201.01387013837899</v>
      </c>
      <c r="M621" s="95">
        <v>2259311.2867652304</v>
      </c>
      <c r="N621" s="93" t="s">
        <v>649</v>
      </c>
      <c r="O621" s="25">
        <f t="shared" si="19"/>
        <v>2.2468659594985674E-2</v>
      </c>
    </row>
    <row r="622" spans="1:15">
      <c r="A622" s="94">
        <v>541.98925981991999</v>
      </c>
      <c r="B622" s="94">
        <v>544.03612842190341</v>
      </c>
      <c r="C622" s="94">
        <v>539.59971211562367</v>
      </c>
      <c r="D622" s="94">
        <v>543.71293864264283</v>
      </c>
      <c r="E622" s="95">
        <v>4262435.0100176875</v>
      </c>
      <c r="F622" s="93" t="s">
        <v>650</v>
      </c>
      <c r="G622" s="25">
        <f t="shared" si="18"/>
        <v>-3.1702001188824713E-3</v>
      </c>
      <c r="I622" s="94">
        <v>205.42376941094227</v>
      </c>
      <c r="J622" s="94">
        <v>209.27152767733264</v>
      </c>
      <c r="K622" s="94">
        <v>204.910088836336</v>
      </c>
      <c r="L622" s="94">
        <v>207.32341832835414</v>
      </c>
      <c r="M622" s="95">
        <v>1589542.1792538036</v>
      </c>
      <c r="N622" s="93" t="s">
        <v>650</v>
      </c>
      <c r="O622" s="25">
        <f t="shared" si="19"/>
        <v>-9.1627319900892124E-3</v>
      </c>
    </row>
    <row r="623" spans="1:15">
      <c r="A623" s="94">
        <v>544.37890546051312</v>
      </c>
      <c r="B623" s="94">
        <v>545.16239583447805</v>
      </c>
      <c r="C623" s="94">
        <v>537.88572898627865</v>
      </c>
      <c r="D623" s="94">
        <v>540.90216692604361</v>
      </c>
      <c r="E623" s="95">
        <v>4252431.5686731096</v>
      </c>
      <c r="F623" s="93" t="s">
        <v>651</v>
      </c>
      <c r="G623" s="25">
        <f t="shared" si="18"/>
        <v>6.4276661234838883E-3</v>
      </c>
      <c r="I623" s="94">
        <v>206.73220106324129</v>
      </c>
      <c r="J623" s="94">
        <v>216.90889169223345</v>
      </c>
      <c r="K623" s="94">
        <v>206.25728883388831</v>
      </c>
      <c r="L623" s="94">
        <v>215.11585572426816</v>
      </c>
      <c r="M623" s="95">
        <v>1592541.5334754051</v>
      </c>
      <c r="N623" s="93" t="s">
        <v>651</v>
      </c>
      <c r="O623" s="25">
        <f t="shared" si="19"/>
        <v>-3.8972741608470196E-2</v>
      </c>
    </row>
    <row r="624" spans="1:15">
      <c r="A624" s="94">
        <v>539.85424855086558</v>
      </c>
      <c r="B624" s="94">
        <v>540.01094662565856</v>
      </c>
      <c r="C624" s="94">
        <v>535.5450514940585</v>
      </c>
      <c r="D624" s="94">
        <v>535.642987790804</v>
      </c>
      <c r="E624" s="95">
        <v>7777897.7285465831</v>
      </c>
      <c r="F624" s="93" t="s">
        <v>652</v>
      </c>
      <c r="G624" s="25">
        <f t="shared" si="18"/>
        <v>7.8620664436035437E-3</v>
      </c>
      <c r="I624" s="94">
        <v>215.44538665892125</v>
      </c>
      <c r="J624" s="94">
        <v>217.10273341849998</v>
      </c>
      <c r="K624" s="94">
        <v>213.05211978557168</v>
      </c>
      <c r="L624" s="94">
        <v>214.1854154381889</v>
      </c>
      <c r="M624" s="95">
        <v>1266631.3116837402</v>
      </c>
      <c r="N624" s="93" t="s">
        <v>652</v>
      </c>
      <c r="O624" s="25">
        <f t="shared" si="19"/>
        <v>5.8826191230372249E-3</v>
      </c>
    </row>
    <row r="625" spans="1:15">
      <c r="A625" s="94">
        <v>547.47369243767457</v>
      </c>
      <c r="B625" s="94">
        <v>550.06900430143344</v>
      </c>
      <c r="C625" s="94">
        <v>546.50412309989292</v>
      </c>
      <c r="D625" s="94">
        <v>549.1875776307229</v>
      </c>
      <c r="E625" s="95">
        <v>3688255.6519186026</v>
      </c>
      <c r="F625" s="93" t="s">
        <v>653</v>
      </c>
      <c r="G625" s="25">
        <f t="shared" si="18"/>
        <v>-3.1207646765104569E-3</v>
      </c>
      <c r="I625" s="94">
        <v>211.91746724087062</v>
      </c>
      <c r="J625" s="94">
        <v>213.4003564468095</v>
      </c>
      <c r="K625" s="94">
        <v>211.35532623469771</v>
      </c>
      <c r="L625" s="94">
        <v>212.37299529759693</v>
      </c>
      <c r="M625" s="95">
        <v>874694.02623291977</v>
      </c>
      <c r="N625" s="93" t="s">
        <v>653</v>
      </c>
      <c r="O625" s="25">
        <f t="shared" si="19"/>
        <v>-2.1449434100035969E-3</v>
      </c>
    </row>
    <row r="626" spans="1:15">
      <c r="A626" s="94">
        <v>549.12881585267553</v>
      </c>
      <c r="B626" s="94">
        <v>549.12881585267553</v>
      </c>
      <c r="C626" s="94">
        <v>545.30930027959641</v>
      </c>
      <c r="D626" s="94">
        <v>545.54434739178589</v>
      </c>
      <c r="E626" s="95">
        <v>6348900.4655245561</v>
      </c>
      <c r="F626" s="93" t="s">
        <v>654</v>
      </c>
      <c r="G626" s="25">
        <f t="shared" si="18"/>
        <v>6.5704437742353239E-3</v>
      </c>
      <c r="I626" s="94">
        <v>213.02236508058976</v>
      </c>
      <c r="J626" s="94">
        <v>215.9605210464745</v>
      </c>
      <c r="K626" s="94">
        <v>210.66718810645159</v>
      </c>
      <c r="L626" s="94">
        <v>214.99955068850826</v>
      </c>
      <c r="M626" s="95">
        <v>1319132.9076817422</v>
      </c>
      <c r="N626" s="93" t="s">
        <v>654</v>
      </c>
      <c r="O626" s="25">
        <f t="shared" si="19"/>
        <v>-9.1962313483299196E-3</v>
      </c>
    </row>
    <row r="627" spans="1:15">
      <c r="A627" s="94">
        <v>546.10258428323596</v>
      </c>
      <c r="B627" s="94">
        <v>547.39524546398138</v>
      </c>
      <c r="C627" s="94">
        <v>545.24074487187454</v>
      </c>
      <c r="D627" s="94">
        <v>545.69125183690437</v>
      </c>
      <c r="E627" s="95">
        <v>4880760.4114497164</v>
      </c>
      <c r="F627" s="93" t="s">
        <v>655</v>
      </c>
      <c r="G627" s="25">
        <f t="shared" si="18"/>
        <v>7.5378237226075839E-4</v>
      </c>
      <c r="I627" s="94">
        <v>213.28405141104957</v>
      </c>
      <c r="J627" s="94">
        <v>214.75724853067513</v>
      </c>
      <c r="K627" s="94">
        <v>211.48132335677096</v>
      </c>
      <c r="L627" s="94">
        <v>214.75724853067513</v>
      </c>
      <c r="M627" s="95">
        <v>1215429.7453793117</v>
      </c>
      <c r="N627" s="93" t="s">
        <v>655</v>
      </c>
      <c r="O627" s="25">
        <f t="shared" si="19"/>
        <v>-6.8598248939435447E-3</v>
      </c>
    </row>
    <row r="628" spans="1:15">
      <c r="A628" s="94">
        <v>543.01759093574901</v>
      </c>
      <c r="B628" s="94">
        <v>543.01759093574901</v>
      </c>
      <c r="C628" s="94">
        <v>539.13931358462253</v>
      </c>
      <c r="D628" s="94">
        <v>540.92175418539284</v>
      </c>
      <c r="E628" s="95">
        <v>5413394.396329632</v>
      </c>
      <c r="F628" s="93" t="s">
        <v>656</v>
      </c>
      <c r="G628" s="25">
        <f t="shared" si="18"/>
        <v>3.8745654692931009E-3</v>
      </c>
      <c r="I628" s="94">
        <v>215.99783557878084</v>
      </c>
      <c r="J628" s="94">
        <v>217.39349600789976</v>
      </c>
      <c r="K628" s="94">
        <v>212.78975500906995</v>
      </c>
      <c r="L628" s="94">
        <v>212.78975500906995</v>
      </c>
      <c r="M628" s="95">
        <v>1321081.9204525042</v>
      </c>
      <c r="N628" s="93" t="s">
        <v>656</v>
      </c>
      <c r="O628" s="25">
        <f t="shared" si="19"/>
        <v>1.5076292416306147E-2</v>
      </c>
    </row>
    <row r="629" spans="1:15">
      <c r="A629" s="94">
        <v>538.12077609846824</v>
      </c>
      <c r="B629" s="94">
        <v>539.74651862444546</v>
      </c>
      <c r="C629" s="94">
        <v>536.37751001639617</v>
      </c>
      <c r="D629" s="94">
        <v>537.5919200960418</v>
      </c>
      <c r="E629" s="95">
        <v>6696854.1980259335</v>
      </c>
      <c r="F629" s="93" t="s">
        <v>657</v>
      </c>
      <c r="G629" s="25">
        <f t="shared" si="18"/>
        <v>9.83749908912257E-4</v>
      </c>
      <c r="I629" s="94">
        <v>211.44255501151764</v>
      </c>
      <c r="J629" s="94">
        <v>212.6152974554301</v>
      </c>
      <c r="K629" s="94">
        <v>210.34734925811182</v>
      </c>
      <c r="L629" s="94">
        <v>211.9853118450639</v>
      </c>
      <c r="M629" s="95">
        <v>803034.53233787743</v>
      </c>
      <c r="N629" s="93" t="s">
        <v>657</v>
      </c>
      <c r="O629" s="25">
        <f t="shared" si="19"/>
        <v>-2.5603511338698759E-3</v>
      </c>
    </row>
    <row r="630" spans="1:15">
      <c r="A630" s="94">
        <v>533.008501408347</v>
      </c>
      <c r="B630" s="94">
        <v>535.23165534447241</v>
      </c>
      <c r="C630" s="94">
        <v>532.17604288600921</v>
      </c>
      <c r="D630" s="94">
        <v>535.07495726967943</v>
      </c>
      <c r="E630" s="95">
        <v>3709300.9647238594</v>
      </c>
      <c r="F630" s="93" t="s">
        <v>658</v>
      </c>
      <c r="G630" s="25">
        <f t="shared" si="18"/>
        <v>-3.8619932277842439E-3</v>
      </c>
      <c r="I630" s="94">
        <v>211.75270177354406</v>
      </c>
      <c r="J630" s="94">
        <v>211.79147011879741</v>
      </c>
      <c r="K630" s="94">
        <v>206.99873343685772</v>
      </c>
      <c r="L630" s="94">
        <v>207.02296365264104</v>
      </c>
      <c r="M630" s="95">
        <v>1091607.0759144358</v>
      </c>
      <c r="N630" s="93" t="s">
        <v>658</v>
      </c>
      <c r="O630" s="25">
        <f t="shared" si="19"/>
        <v>2.2846441947565577E-2</v>
      </c>
    </row>
    <row r="631" spans="1:15">
      <c r="A631" s="94">
        <v>533.80178541198643</v>
      </c>
      <c r="B631" s="94">
        <v>534.85949741683908</v>
      </c>
      <c r="C631" s="94">
        <v>530.57968124905562</v>
      </c>
      <c r="D631" s="94">
        <v>531.63739325390839</v>
      </c>
      <c r="E631" s="95">
        <v>5419153.2418112513</v>
      </c>
      <c r="F631" s="93" t="s">
        <v>659</v>
      </c>
      <c r="G631" s="25">
        <f t="shared" si="18"/>
        <v>4.0711811951954502E-3</v>
      </c>
      <c r="I631" s="94">
        <v>207.54633631356063</v>
      </c>
      <c r="J631" s="94">
        <v>209.48475357622581</v>
      </c>
      <c r="K631" s="94">
        <v>206.54320538013141</v>
      </c>
      <c r="L631" s="94">
        <v>209.33937228152595</v>
      </c>
      <c r="M631" s="95">
        <v>1012612.7319466844</v>
      </c>
      <c r="N631" s="93" t="s">
        <v>659</v>
      </c>
      <c r="O631" s="25">
        <f t="shared" si="19"/>
        <v>-8.5652113523775331E-3</v>
      </c>
    </row>
    <row r="632" spans="1:15">
      <c r="A632" s="94">
        <v>524.21382196059051</v>
      </c>
      <c r="B632" s="94">
        <v>526.80560811766645</v>
      </c>
      <c r="C632" s="94">
        <v>520.83981860140727</v>
      </c>
      <c r="D632" s="94">
        <v>526.2313096735503</v>
      </c>
      <c r="E632" s="95">
        <v>9005857.1674497277</v>
      </c>
      <c r="F632" s="93" t="s">
        <v>660</v>
      </c>
      <c r="G632" s="25">
        <f t="shared" si="18"/>
        <v>-3.8338420308198229E-3</v>
      </c>
      <c r="I632" s="94">
        <v>208.27324278706007</v>
      </c>
      <c r="J632" s="94">
        <v>209.33937228152595</v>
      </c>
      <c r="K632" s="94">
        <v>206.68374063167465</v>
      </c>
      <c r="L632" s="94">
        <v>208.40893199544664</v>
      </c>
      <c r="M632" s="95">
        <v>983758.26336694334</v>
      </c>
      <c r="N632" s="93" t="s">
        <v>660</v>
      </c>
      <c r="O632" s="25">
        <f t="shared" si="19"/>
        <v>-6.5107194344982133E-4</v>
      </c>
    </row>
    <row r="633" spans="1:15">
      <c r="A633" s="94">
        <v>523.54785514272032</v>
      </c>
      <c r="B633" s="94">
        <v>523.8710449219808</v>
      </c>
      <c r="C633" s="94">
        <v>518.10259704366399</v>
      </c>
      <c r="D633" s="94">
        <v>518.47475497129733</v>
      </c>
      <c r="E633" s="95">
        <v>5739456.3474257058</v>
      </c>
      <c r="F633" s="93" t="s">
        <v>661</v>
      </c>
      <c r="G633" s="25">
        <f t="shared" si="18"/>
        <v>9.7846618813752784E-3</v>
      </c>
      <c r="I633" s="94">
        <v>207.33311041466746</v>
      </c>
      <c r="J633" s="94">
        <v>207.78863847139377</v>
      </c>
      <c r="K633" s="94">
        <v>201.32401690040541</v>
      </c>
      <c r="L633" s="94">
        <v>201.32401690040541</v>
      </c>
      <c r="M633" s="95">
        <v>1187212.9104111805</v>
      </c>
      <c r="N633" s="93" t="s">
        <v>661</v>
      </c>
      <c r="O633" s="25">
        <f t="shared" si="19"/>
        <v>2.9847872135567055E-2</v>
      </c>
    </row>
    <row r="634" spans="1:15">
      <c r="A634" s="94">
        <v>522.87209469517552</v>
      </c>
      <c r="B634" s="94">
        <v>527.63179871701254</v>
      </c>
      <c r="C634" s="94">
        <v>521.02109868668344</v>
      </c>
      <c r="D634" s="94">
        <v>527.5926241983143</v>
      </c>
      <c r="E634" s="95">
        <v>8102411.7346514985</v>
      </c>
      <c r="F634" s="93" t="s">
        <v>662</v>
      </c>
      <c r="G634" s="25">
        <f t="shared" si="18"/>
        <v>-8.9473000315569706E-3</v>
      </c>
      <c r="I634" s="94">
        <v>201.86677373395167</v>
      </c>
      <c r="J634" s="94">
        <v>202.37076222224462</v>
      </c>
      <c r="K634" s="94">
        <v>198.88161114944728</v>
      </c>
      <c r="L634" s="94">
        <v>201.18832769201887</v>
      </c>
      <c r="M634" s="95">
        <v>1800697.9545780658</v>
      </c>
      <c r="N634" s="93" t="s">
        <v>662</v>
      </c>
      <c r="O634" s="25">
        <f t="shared" si="19"/>
        <v>3.3721938529722717E-3</v>
      </c>
    </row>
    <row r="635" spans="1:15">
      <c r="A635" s="94">
        <v>530.95183917668896</v>
      </c>
      <c r="B635" s="94">
        <v>531.79409132870126</v>
      </c>
      <c r="C635" s="94">
        <v>526.97562552881698</v>
      </c>
      <c r="D635" s="94">
        <v>530.14876154337492</v>
      </c>
      <c r="E635" s="95">
        <v>4407966.3449120494</v>
      </c>
      <c r="F635" s="93" t="s">
        <v>663</v>
      </c>
      <c r="G635" s="25">
        <f t="shared" si="18"/>
        <v>1.5148156358530951E-3</v>
      </c>
      <c r="I635" s="94">
        <v>200.77156798054585</v>
      </c>
      <c r="J635" s="94">
        <v>201.04779244047563</v>
      </c>
      <c r="K635" s="94">
        <v>197.57317949714829</v>
      </c>
      <c r="L635" s="94">
        <v>198.8040744589407</v>
      </c>
      <c r="M635" s="95">
        <v>1458746.8108451427</v>
      </c>
      <c r="N635" s="93" t="s">
        <v>663</v>
      </c>
      <c r="O635" s="25">
        <f t="shared" si="19"/>
        <v>9.8966458658344969E-3</v>
      </c>
    </row>
    <row r="636" spans="1:15">
      <c r="A636" s="94">
        <v>530.23690421044591</v>
      </c>
      <c r="B636" s="94">
        <v>538.25788691391199</v>
      </c>
      <c r="C636" s="94">
        <v>528.42508272065197</v>
      </c>
      <c r="D636" s="94">
        <v>537.98366528302438</v>
      </c>
      <c r="E636" s="95">
        <v>5496669.9567807671</v>
      </c>
      <c r="F636" s="93" t="s">
        <v>664</v>
      </c>
      <c r="G636" s="25">
        <f t="shared" ref="G636:G699" si="20">A636/D636-1</f>
        <v>-1.4399621350033032E-2</v>
      </c>
      <c r="I636" s="94">
        <v>196.7493521605156</v>
      </c>
      <c r="J636" s="94">
        <v>200.23850323331291</v>
      </c>
      <c r="K636" s="94">
        <v>196.51674208899578</v>
      </c>
      <c r="L636" s="94">
        <v>198.5133118695409</v>
      </c>
      <c r="M636" s="95">
        <v>1459035.7063326035</v>
      </c>
      <c r="N636" s="93" t="s">
        <v>664</v>
      </c>
      <c r="O636" s="25">
        <f t="shared" ref="O636:O699" si="21">I636/L636-1</f>
        <v>-8.8858509911140526E-3</v>
      </c>
    </row>
    <row r="637" spans="1:15">
      <c r="A637" s="94">
        <v>536.26978008997605</v>
      </c>
      <c r="B637" s="94">
        <v>540.05012114435681</v>
      </c>
      <c r="C637" s="94">
        <v>534.55589489692773</v>
      </c>
      <c r="D637" s="94">
        <v>536.96512779686987</v>
      </c>
      <c r="E637" s="95">
        <v>6109517.3075020006</v>
      </c>
      <c r="F637" s="93" t="s">
        <v>665</v>
      </c>
      <c r="G637" s="25">
        <f t="shared" si="20"/>
        <v>-1.2949587801851514E-3</v>
      </c>
      <c r="I637" s="94">
        <v>197.99963129493463</v>
      </c>
      <c r="J637" s="94">
        <v>202.86476786163482</v>
      </c>
      <c r="K637" s="94">
        <v>197.13218956989198</v>
      </c>
      <c r="L637" s="94">
        <v>202.28353344542469</v>
      </c>
      <c r="M637" s="95">
        <v>1413207.596094945</v>
      </c>
      <c r="N637" s="93" t="s">
        <v>665</v>
      </c>
      <c r="O637" s="25">
        <f t="shared" si="21"/>
        <v>-2.1177710699056163E-2</v>
      </c>
    </row>
    <row r="638" spans="1:15">
      <c r="A638" s="94">
        <v>533.16519948313987</v>
      </c>
      <c r="B638" s="94">
        <v>533.63529370751894</v>
      </c>
      <c r="C638" s="94">
        <v>528.07251205236787</v>
      </c>
      <c r="D638" s="94">
        <v>529.04208139014952</v>
      </c>
      <c r="E638" s="95">
        <v>6554937.4576359922</v>
      </c>
      <c r="F638" s="93" t="s">
        <v>666</v>
      </c>
      <c r="G638" s="25">
        <f t="shared" si="20"/>
        <v>7.7935541198463909E-3</v>
      </c>
      <c r="I638" s="94">
        <v>203.29151042201059</v>
      </c>
      <c r="J638" s="94">
        <v>203.67919387454361</v>
      </c>
      <c r="K638" s="94">
        <v>200.62618668584597</v>
      </c>
      <c r="L638" s="94">
        <v>200.62618668584597</v>
      </c>
      <c r="M638" s="95">
        <v>930872.84907845792</v>
      </c>
      <c r="N638" s="93" t="s">
        <v>666</v>
      </c>
      <c r="O638" s="25">
        <f t="shared" si="21"/>
        <v>1.3285024154589431E-2</v>
      </c>
    </row>
    <row r="639" spans="1:15">
      <c r="A639" s="94">
        <v>526.36842048899416</v>
      </c>
      <c r="B639" s="94">
        <v>532.32284939483088</v>
      </c>
      <c r="C639" s="94">
        <v>522.77905521326716</v>
      </c>
      <c r="D639" s="94">
        <v>530.83431562059423</v>
      </c>
      <c r="E639" s="95">
        <v>7293208.1744449344</v>
      </c>
      <c r="F639" s="93" t="s">
        <v>667</v>
      </c>
      <c r="G639" s="25">
        <f t="shared" si="20"/>
        <v>-8.4129736910075748E-3</v>
      </c>
      <c r="I639" s="94">
        <v>200.9751017931257</v>
      </c>
      <c r="J639" s="94">
        <v>204.28979531228313</v>
      </c>
      <c r="K639" s="94">
        <v>200.80064423948582</v>
      </c>
      <c r="L639" s="94">
        <v>203.77611473767686</v>
      </c>
      <c r="M639" s="95">
        <v>1000518.3287180595</v>
      </c>
      <c r="N639" s="93" t="s">
        <v>667</v>
      </c>
      <c r="O639" s="25">
        <f t="shared" si="21"/>
        <v>-1.3745541022592067E-2</v>
      </c>
    </row>
    <row r="640" spans="1:15">
      <c r="A640" s="94">
        <v>527.69056049505991</v>
      </c>
      <c r="B640" s="94">
        <v>531.85784785788269</v>
      </c>
      <c r="C640" s="94">
        <v>526.30975664724338</v>
      </c>
      <c r="D640" s="94">
        <v>531.25544169660043</v>
      </c>
      <c r="E640" s="95">
        <v>6168040.0431011133</v>
      </c>
      <c r="F640" s="93" t="s">
        <v>668</v>
      </c>
      <c r="G640" s="25">
        <f t="shared" si="20"/>
        <v>-6.7102958798046508E-3</v>
      </c>
      <c r="I640" s="94">
        <v>203.80519099661686</v>
      </c>
      <c r="J640" s="94">
        <v>204.28979531228313</v>
      </c>
      <c r="K640" s="94">
        <v>201.9540025107716</v>
      </c>
      <c r="L640" s="94">
        <v>203.16551329993734</v>
      </c>
      <c r="M640" s="95">
        <v>867010.43803606171</v>
      </c>
      <c r="N640" s="93" t="s">
        <v>668</v>
      </c>
      <c r="O640" s="25">
        <f t="shared" si="21"/>
        <v>3.148554527239833E-3</v>
      </c>
    </row>
    <row r="641" spans="1:15">
      <c r="A641" s="94">
        <v>529.82557176411444</v>
      </c>
      <c r="B641" s="94">
        <v>532.86159696322852</v>
      </c>
      <c r="C641" s="94">
        <v>526.30965871094668</v>
      </c>
      <c r="D641" s="94">
        <v>529.40444568810813</v>
      </c>
      <c r="E641" s="95">
        <v>6642163.5452446435</v>
      </c>
      <c r="F641" s="93" t="s">
        <v>669</v>
      </c>
      <c r="G641" s="25">
        <f t="shared" si="20"/>
        <v>7.9547136303115273E-4</v>
      </c>
      <c r="I641" s="94">
        <v>202.50645143063119</v>
      </c>
      <c r="J641" s="94">
        <v>204.71624711006947</v>
      </c>
      <c r="K641" s="94">
        <v>201.93636291368134</v>
      </c>
      <c r="L641" s="94">
        <v>203.59196509772369</v>
      </c>
      <c r="M641" s="95">
        <v>837497.70045274938</v>
      </c>
      <c r="N641" s="93" t="s">
        <v>669</v>
      </c>
      <c r="O641" s="25">
        <f t="shared" si="21"/>
        <v>-5.3318099590593526E-3</v>
      </c>
    </row>
    <row r="642" spans="1:15">
      <c r="A642" s="94">
        <v>535.78989223592248</v>
      </c>
      <c r="B642" s="94">
        <v>538.27747417326111</v>
      </c>
      <c r="C642" s="94">
        <v>531.9900618584893</v>
      </c>
      <c r="D642" s="94">
        <v>538.03263343139713</v>
      </c>
      <c r="E642" s="95">
        <v>7226263.6378649008</v>
      </c>
      <c r="F642" s="93" t="s">
        <v>670</v>
      </c>
      <c r="G642" s="25">
        <f t="shared" si="20"/>
        <v>-4.1684110890657378E-3</v>
      </c>
      <c r="I642" s="94">
        <v>205.83083703610197</v>
      </c>
      <c r="J642" s="94">
        <v>207.60933487459727</v>
      </c>
      <c r="K642" s="94">
        <v>204.20256653546321</v>
      </c>
      <c r="L642" s="94">
        <v>205.47222984250891</v>
      </c>
      <c r="M642" s="95">
        <v>676359.01993432653</v>
      </c>
      <c r="N642" s="93" t="s">
        <v>670</v>
      </c>
      <c r="O642" s="25">
        <f t="shared" si="21"/>
        <v>1.7452830188680046E-3</v>
      </c>
    </row>
    <row r="643" spans="1:15">
      <c r="A643" s="94">
        <v>541.4016420394463</v>
      </c>
      <c r="B643" s="94">
        <v>542.53770308169555</v>
      </c>
      <c r="C643" s="94">
        <v>538.57138099979477</v>
      </c>
      <c r="D643" s="94">
        <v>539.82486766184195</v>
      </c>
      <c r="E643" s="95">
        <v>4591012.8822603412</v>
      </c>
      <c r="F643" s="93" t="s">
        <v>671</v>
      </c>
      <c r="G643" s="25">
        <f t="shared" si="20"/>
        <v>2.9208998548619913E-3</v>
      </c>
      <c r="I643" s="94">
        <v>207.01327156632772</v>
      </c>
      <c r="J643" s="94">
        <v>207.65294926300723</v>
      </c>
      <c r="K643" s="94">
        <v>205.71453200034205</v>
      </c>
      <c r="L643" s="94">
        <v>206.51897516434812</v>
      </c>
      <c r="M643" s="95">
        <v>743210.46750234347</v>
      </c>
      <c r="N643" s="93" t="s">
        <v>671</v>
      </c>
      <c r="O643" s="25">
        <f t="shared" si="21"/>
        <v>2.3934672423502334E-3</v>
      </c>
    </row>
    <row r="644" spans="1:15">
      <c r="A644" s="94">
        <v>541.41143566912092</v>
      </c>
      <c r="B644" s="94">
        <v>541.48978470651741</v>
      </c>
      <c r="C644" s="94">
        <v>536.24039920095231</v>
      </c>
      <c r="D644" s="94">
        <v>536.74966794402951</v>
      </c>
      <c r="E644" s="95">
        <v>3511721.511109631</v>
      </c>
      <c r="F644" s="93" t="s">
        <v>672</v>
      </c>
      <c r="G644" s="25">
        <f t="shared" si="20"/>
        <v>8.6851804546947964E-3</v>
      </c>
      <c r="I644" s="94">
        <v>206.75158523586791</v>
      </c>
      <c r="J644" s="94">
        <v>206.84850609900116</v>
      </c>
      <c r="K644" s="94">
        <v>205.13300682154249</v>
      </c>
      <c r="L644" s="94">
        <v>205.66607156877541</v>
      </c>
      <c r="M644" s="95">
        <v>335157.97269920318</v>
      </c>
      <c r="N644" s="93" t="s">
        <v>672</v>
      </c>
      <c r="O644" s="25">
        <f t="shared" si="21"/>
        <v>5.2780395852969342E-3</v>
      </c>
    </row>
    <row r="645" spans="1:15">
      <c r="A645" s="94">
        <v>535.89762216234271</v>
      </c>
      <c r="B645" s="94">
        <v>536.0641138668102</v>
      </c>
      <c r="C645" s="94">
        <v>529.16939857591876</v>
      </c>
      <c r="D645" s="94">
        <v>532.09769384861261</v>
      </c>
      <c r="E645" s="95">
        <v>7212193.2671669023</v>
      </c>
      <c r="F645" s="93" t="s">
        <v>673</v>
      </c>
      <c r="G645" s="25">
        <f t="shared" si="20"/>
        <v>7.1414109808398685E-3</v>
      </c>
      <c r="I645" s="94">
        <v>206.47051473278148</v>
      </c>
      <c r="J645" s="94">
        <v>207.42867438571685</v>
      </c>
      <c r="K645" s="94">
        <v>205.02639387209589</v>
      </c>
      <c r="L645" s="94">
        <v>207.07142408420768</v>
      </c>
      <c r="M645" s="95">
        <v>888609.50280214555</v>
      </c>
      <c r="N645" s="93" t="s">
        <v>673</v>
      </c>
      <c r="O645" s="25">
        <f t="shared" si="21"/>
        <v>-2.9019424292066054E-3</v>
      </c>
    </row>
    <row r="646" spans="1:15">
      <c r="A646" s="94">
        <v>532.08936923795716</v>
      </c>
      <c r="B646" s="94">
        <v>536.48244527195607</v>
      </c>
      <c r="C646" s="94">
        <v>523.11773173741256</v>
      </c>
      <c r="D646" s="94">
        <v>523.85967346759912</v>
      </c>
      <c r="E646" s="95">
        <v>9617943.8218231741</v>
      </c>
      <c r="F646" s="93" t="s">
        <v>674</v>
      </c>
      <c r="G646" s="25">
        <f t="shared" si="20"/>
        <v>1.5709733325879105E-2</v>
      </c>
      <c r="I646" s="94">
        <v>206.97450322107443</v>
      </c>
      <c r="J646" s="94">
        <v>208.59308163539984</v>
      </c>
      <c r="K646" s="94">
        <v>203.37873919883052</v>
      </c>
      <c r="L646" s="94">
        <v>204.15410610389657</v>
      </c>
      <c r="M646" s="95">
        <v>1717696.2174913946</v>
      </c>
      <c r="N646" s="93" t="s">
        <v>674</v>
      </c>
      <c r="O646" s="25">
        <f t="shared" si="21"/>
        <v>1.3815039878465774E-2</v>
      </c>
    </row>
    <row r="647" spans="1:15">
      <c r="A647" s="94">
        <v>526.13431061409199</v>
      </c>
      <c r="B647" s="94">
        <v>532.1479435850772</v>
      </c>
      <c r="C647" s="94">
        <v>525.85120126967854</v>
      </c>
      <c r="D647" s="94">
        <v>530.7714464277575</v>
      </c>
      <c r="E647" s="95">
        <v>17200831.926237825</v>
      </c>
      <c r="F647" s="93" t="s">
        <v>675</v>
      </c>
      <c r="G647" s="25">
        <f t="shared" si="20"/>
        <v>-8.7365962221116478E-3</v>
      </c>
      <c r="I647" s="94">
        <v>204.15410610389657</v>
      </c>
      <c r="J647" s="94">
        <v>209.4362931446592</v>
      </c>
      <c r="K647" s="94">
        <v>203.77611473767686</v>
      </c>
      <c r="L647" s="94">
        <v>205.77268451822201</v>
      </c>
      <c r="M647" s="95">
        <v>1049183.8053504219</v>
      </c>
      <c r="N647" s="93" t="s">
        <v>675</v>
      </c>
      <c r="O647" s="25">
        <f t="shared" si="21"/>
        <v>-7.8658565305450567E-3</v>
      </c>
    </row>
    <row r="648" spans="1:15">
      <c r="A648" s="94">
        <v>526.3295584378252</v>
      </c>
      <c r="B648" s="94">
        <v>544.28259583010095</v>
      </c>
      <c r="C648" s="94">
        <v>525.73405257543857</v>
      </c>
      <c r="D648" s="94">
        <v>542.10558259547486</v>
      </c>
      <c r="E648" s="95">
        <v>25183307.583067782</v>
      </c>
      <c r="F648" s="93" t="s">
        <v>676</v>
      </c>
      <c r="G648" s="25">
        <f t="shared" si="20"/>
        <v>-2.9101386637853333E-2</v>
      </c>
      <c r="I648" s="94">
        <v>206.84850609900116</v>
      </c>
      <c r="J648" s="94">
        <v>212.93029026061316</v>
      </c>
      <c r="K648" s="94">
        <v>206.65466437273466</v>
      </c>
      <c r="L648" s="94">
        <v>211.97561975875058</v>
      </c>
      <c r="M648" s="95">
        <v>1183078.6096316974</v>
      </c>
      <c r="N648" s="93" t="s">
        <v>676</v>
      </c>
      <c r="O648" s="25">
        <f t="shared" si="21"/>
        <v>-2.4187279959764219E-2</v>
      </c>
    </row>
    <row r="649" spans="1:15">
      <c r="A649" s="94">
        <v>542.25201846327491</v>
      </c>
      <c r="B649" s="94">
        <v>543.16480203922799</v>
      </c>
      <c r="C649" s="94">
        <v>541.11958108562169</v>
      </c>
      <c r="D649" s="94">
        <v>542.27154324564822</v>
      </c>
      <c r="E649" s="95">
        <v>6259613.9441201277</v>
      </c>
      <c r="F649" s="93" t="s">
        <v>677</v>
      </c>
      <c r="G649" s="25">
        <f t="shared" si="20"/>
        <v>-3.6005544853834337E-5</v>
      </c>
      <c r="I649" s="94">
        <v>211.72362551460409</v>
      </c>
      <c r="J649" s="94">
        <v>215.06739529270155</v>
      </c>
      <c r="K649" s="94">
        <v>211.10333199055125</v>
      </c>
      <c r="L649" s="94">
        <v>214.16603126556222</v>
      </c>
      <c r="M649" s="95">
        <v>2359705.5639666375</v>
      </c>
      <c r="N649" s="93" t="s">
        <v>677</v>
      </c>
      <c r="O649" s="25">
        <f t="shared" si="21"/>
        <v>-1.1404263022129713E-2</v>
      </c>
    </row>
    <row r="650" spans="1:15">
      <c r="A650" s="94">
        <v>544.53641800095431</v>
      </c>
      <c r="B650" s="94">
        <v>545.52075990430569</v>
      </c>
      <c r="C650" s="94">
        <v>543.19408921278796</v>
      </c>
      <c r="D650" s="94">
        <v>543.89210018263441</v>
      </c>
      <c r="E650" s="95">
        <v>23402851.374373399</v>
      </c>
      <c r="F650" s="93" t="s">
        <v>678</v>
      </c>
      <c r="G650" s="25">
        <f t="shared" si="20"/>
        <v>1.1846427225243872E-3</v>
      </c>
      <c r="I650" s="94">
        <v>215.20308450108809</v>
      </c>
      <c r="J650" s="94">
        <v>218.37239672554566</v>
      </c>
      <c r="K650" s="94">
        <v>214.59248306334857</v>
      </c>
      <c r="L650" s="94">
        <v>216.7344341385936</v>
      </c>
      <c r="M650" s="95">
        <v>1465861.8939934617</v>
      </c>
      <c r="N650" s="93" t="s">
        <v>678</v>
      </c>
      <c r="O650" s="25">
        <f t="shared" si="21"/>
        <v>-7.065557642429221E-3</v>
      </c>
    </row>
    <row r="651" spans="1:15">
      <c r="A651" s="94">
        <v>542.4082167222615</v>
      </c>
      <c r="B651" s="94">
        <v>544.89762647486089</v>
      </c>
      <c r="C651" s="94">
        <v>541.03601501706385</v>
      </c>
      <c r="D651" s="94">
        <v>544.26307104772764</v>
      </c>
      <c r="E651" s="95">
        <v>4780450.7223343104</v>
      </c>
      <c r="F651" s="93" t="s">
        <v>679</v>
      </c>
      <c r="G651" s="25">
        <f t="shared" si="20"/>
        <v>-3.4080106186433756E-3</v>
      </c>
      <c r="I651" s="94">
        <v>216.28859816818058</v>
      </c>
      <c r="J651" s="94">
        <v>217.9167717479562</v>
      </c>
      <c r="K651" s="94">
        <v>215.17400824214812</v>
      </c>
      <c r="L651" s="94">
        <v>216.95735212380009</v>
      </c>
      <c r="M651" s="95">
        <v>998428.99528195942</v>
      </c>
      <c r="N651" s="93" t="s">
        <v>679</v>
      </c>
      <c r="O651" s="25">
        <f t="shared" si="21"/>
        <v>-3.082421264239521E-3</v>
      </c>
    </row>
    <row r="652" spans="1:15">
      <c r="A652" s="94">
        <v>542.44726628700812</v>
      </c>
      <c r="B652" s="94">
        <v>544.93667603960762</v>
      </c>
      <c r="C652" s="94">
        <v>542.41797911344815</v>
      </c>
      <c r="D652" s="94">
        <v>544.41926930671434</v>
      </c>
      <c r="E652" s="95">
        <v>4147141.7428247058</v>
      </c>
      <c r="F652" s="93" t="s">
        <v>680</v>
      </c>
      <c r="G652" s="25">
        <f t="shared" si="20"/>
        <v>-3.6222138540714655E-3</v>
      </c>
      <c r="I652" s="94">
        <v>217.44195643946637</v>
      </c>
      <c r="J652" s="94">
        <v>221.72585858995643</v>
      </c>
      <c r="K652" s="94">
        <v>216.44415615350948</v>
      </c>
      <c r="L652" s="94">
        <v>220.60157657761064</v>
      </c>
      <c r="M652" s="95">
        <v>1466448.970894766</v>
      </c>
      <c r="N652" s="93" t="s">
        <v>680</v>
      </c>
      <c r="O652" s="25">
        <f t="shared" si="21"/>
        <v>-1.4322745046351337E-2</v>
      </c>
    </row>
    <row r="653" spans="1:15">
      <c r="A653" s="94">
        <v>545.25883494876746</v>
      </c>
      <c r="B653" s="94">
        <v>546.09840059082057</v>
      </c>
      <c r="C653" s="94">
        <v>543.43326779686117</v>
      </c>
      <c r="D653" s="94">
        <v>543.68708996771443</v>
      </c>
      <c r="E653" s="95">
        <v>3599955.106081747</v>
      </c>
      <c r="F653" s="93" t="s">
        <v>681</v>
      </c>
      <c r="G653" s="25">
        <f t="shared" si="20"/>
        <v>2.8908999497236909E-3</v>
      </c>
      <c r="I653" s="94">
        <v>221.82277945308968</v>
      </c>
      <c r="J653" s="94">
        <v>224.69842146225346</v>
      </c>
      <c r="K653" s="94">
        <v>221.12494923853023</v>
      </c>
      <c r="L653" s="94">
        <v>223.97442261464803</v>
      </c>
      <c r="M653" s="95">
        <v>688086.11318603705</v>
      </c>
      <c r="N653" s="93" t="s">
        <v>681</v>
      </c>
      <c r="O653" s="25">
        <f t="shared" si="21"/>
        <v>-9.6066467610022022E-3</v>
      </c>
    </row>
    <row r="654" spans="1:15">
      <c r="A654" s="94">
        <v>541.15863065036842</v>
      </c>
      <c r="B654" s="94">
        <v>543.64804040296781</v>
      </c>
      <c r="C654" s="94">
        <v>540.41668892018197</v>
      </c>
      <c r="D654" s="94">
        <v>543.35516866736793</v>
      </c>
      <c r="E654" s="95">
        <v>4210149.8714930434</v>
      </c>
      <c r="F654" s="93" t="s">
        <v>682</v>
      </c>
      <c r="G654" s="25">
        <f t="shared" si="20"/>
        <v>-4.0425455460131321E-3</v>
      </c>
      <c r="I654" s="94">
        <v>223.57704707580169</v>
      </c>
      <c r="J654" s="94">
        <v>225.41854347533359</v>
      </c>
      <c r="K654" s="94">
        <v>220.35927441977748</v>
      </c>
      <c r="L654" s="94">
        <v>222.51091758133583</v>
      </c>
      <c r="M654" s="95">
        <v>941215.30752955296</v>
      </c>
      <c r="N654" s="93" t="s">
        <v>682</v>
      </c>
      <c r="O654" s="25">
        <f t="shared" si="21"/>
        <v>4.7913581322414078E-3</v>
      </c>
    </row>
    <row r="655" spans="1:15">
      <c r="A655" s="94">
        <v>542.70108845786137</v>
      </c>
      <c r="B655" s="94">
        <v>545.58587505352068</v>
      </c>
      <c r="C655" s="94">
        <v>542.18368172496821</v>
      </c>
      <c r="D655" s="94">
        <v>545.43455799012747</v>
      </c>
      <c r="E655" s="95">
        <v>4519667.2778563118</v>
      </c>
      <c r="F655" s="93" t="s">
        <v>683</v>
      </c>
      <c r="G655" s="25">
        <f t="shared" si="20"/>
        <v>-5.0115444506095841E-3</v>
      </c>
      <c r="I655" s="94">
        <v>222.68537513497569</v>
      </c>
      <c r="J655" s="94">
        <v>226.84328016339251</v>
      </c>
      <c r="K655" s="94">
        <v>221.80339528046304</v>
      </c>
      <c r="L655" s="94">
        <v>226.55251757399273</v>
      </c>
      <c r="M655" s="95">
        <v>1300823.1243943188</v>
      </c>
      <c r="N655" s="93" t="s">
        <v>683</v>
      </c>
      <c r="O655" s="25">
        <f t="shared" si="21"/>
        <v>-1.7069518716577581E-2</v>
      </c>
    </row>
    <row r="656" spans="1:15">
      <c r="A656" s="94">
        <v>545.54194429318079</v>
      </c>
      <c r="B656" s="94">
        <v>546.65485688846047</v>
      </c>
      <c r="C656" s="94">
        <v>544.81952734536765</v>
      </c>
      <c r="D656" s="94">
        <v>545.20026060164753</v>
      </c>
      <c r="E656" s="95">
        <v>5259858.8827441484</v>
      </c>
      <c r="F656" s="93" t="s">
        <v>684</v>
      </c>
      <c r="G656" s="25">
        <f t="shared" si="20"/>
        <v>6.2671226744503983E-4</v>
      </c>
      <c r="I656" s="94">
        <v>227.41511325587871</v>
      </c>
      <c r="J656" s="94">
        <v>231.73778375162206</v>
      </c>
      <c r="K656" s="94">
        <v>226.89174059495912</v>
      </c>
      <c r="L656" s="94">
        <v>230.95272476024266</v>
      </c>
      <c r="M656" s="95">
        <v>1516859.1699174717</v>
      </c>
      <c r="N656" s="93" t="s">
        <v>684</v>
      </c>
      <c r="O656" s="25">
        <f t="shared" si="21"/>
        <v>-1.5317470309286985E-2</v>
      </c>
    </row>
    <row r="657" spans="1:15">
      <c r="A657" s="94">
        <v>544.45831887146096</v>
      </c>
      <c r="B657" s="94">
        <v>546.11792537319388</v>
      </c>
      <c r="C657" s="94">
        <v>544.21425909179436</v>
      </c>
      <c r="D657" s="94">
        <v>545.35645886063412</v>
      </c>
      <c r="E657" s="95">
        <v>3095103.3842277308</v>
      </c>
      <c r="F657" s="93" t="s">
        <v>685</v>
      </c>
      <c r="G657" s="25">
        <f t="shared" si="20"/>
        <v>-1.6468861321448092E-3</v>
      </c>
      <c r="I657" s="94">
        <v>230.80734346554277</v>
      </c>
      <c r="J657" s="94">
        <v>232.31930893042161</v>
      </c>
      <c r="K657" s="94">
        <v>229.00461541126418</v>
      </c>
      <c r="L657" s="94">
        <v>232.13515929046841</v>
      </c>
      <c r="M657" s="95">
        <v>929748.22021655703</v>
      </c>
      <c r="N657" s="93" t="s">
        <v>685</v>
      </c>
      <c r="O657" s="25">
        <f t="shared" si="21"/>
        <v>-5.7200116905348208E-3</v>
      </c>
    </row>
    <row r="658" spans="1:15">
      <c r="A658" s="94">
        <v>545.36622125182078</v>
      </c>
      <c r="B658" s="94">
        <v>545.60051864030072</v>
      </c>
      <c r="C658" s="94">
        <v>542.95588686783333</v>
      </c>
      <c r="D658" s="94">
        <v>543.59922844703453</v>
      </c>
      <c r="E658" s="95">
        <v>5623951.0331237996</v>
      </c>
      <c r="F658" s="93" t="s">
        <v>686</v>
      </c>
      <c r="G658" s="25">
        <f t="shared" si="20"/>
        <v>3.2505432537757173E-3</v>
      </c>
      <c r="I658" s="94">
        <v>233.07529166286102</v>
      </c>
      <c r="J658" s="94">
        <v>234.77625281084974</v>
      </c>
      <c r="K658" s="94">
        <v>231.10779814125587</v>
      </c>
      <c r="L658" s="94">
        <v>231.71839957899542</v>
      </c>
      <c r="M658" s="95">
        <v>958112.59823721286</v>
      </c>
      <c r="N658" s="93" t="s">
        <v>686</v>
      </c>
      <c r="O658" s="25">
        <f t="shared" si="21"/>
        <v>5.8557804918855094E-3</v>
      </c>
    </row>
    <row r="659" spans="1:15">
      <c r="A659" s="94">
        <v>541.94938433648827</v>
      </c>
      <c r="B659" s="94">
        <v>542.23259130481335</v>
      </c>
      <c r="C659" s="94">
        <v>540.63146152628849</v>
      </c>
      <c r="D659" s="94">
        <v>541.61746303614154</v>
      </c>
      <c r="E659" s="95">
        <v>4305201.379085524</v>
      </c>
      <c r="F659" s="93" t="s">
        <v>687</v>
      </c>
      <c r="G659" s="25">
        <f t="shared" si="20"/>
        <v>6.1283345349694152E-4</v>
      </c>
      <c r="I659" s="94">
        <v>232.47438231143485</v>
      </c>
      <c r="J659" s="94">
        <v>235.84722834847224</v>
      </c>
      <c r="K659" s="94">
        <v>232.30961684410829</v>
      </c>
      <c r="L659" s="94">
        <v>235.84722834847224</v>
      </c>
      <c r="M659" s="95">
        <v>754271.03759369801</v>
      </c>
      <c r="N659" s="93" t="s">
        <v>687</v>
      </c>
      <c r="O659" s="25">
        <f t="shared" si="21"/>
        <v>-1.4300978055395652E-2</v>
      </c>
    </row>
    <row r="660" spans="1:15">
      <c r="A660" s="94">
        <v>541.82247325106164</v>
      </c>
      <c r="B660" s="94">
        <v>542.36916715751488</v>
      </c>
      <c r="C660" s="94">
        <v>540.72908543815515</v>
      </c>
      <c r="D660" s="94">
        <v>541.18791782392839</v>
      </c>
      <c r="E660" s="95">
        <v>5573440.8670618637</v>
      </c>
      <c r="F660" s="93" t="s">
        <v>688</v>
      </c>
      <c r="G660" s="25">
        <f t="shared" si="20"/>
        <v>1.1725232700772192E-3</v>
      </c>
      <c r="I660" s="94">
        <v>235.3432398601793</v>
      </c>
      <c r="J660" s="94">
        <v>238.66762546565008</v>
      </c>
      <c r="K660" s="94">
        <v>234.06388446682027</v>
      </c>
      <c r="L660" s="94">
        <v>238.66762546565008</v>
      </c>
      <c r="M660" s="95">
        <v>1001624.385727195</v>
      </c>
      <c r="N660" s="93" t="s">
        <v>688</v>
      </c>
      <c r="O660" s="25">
        <f t="shared" si="21"/>
        <v>-1.3928934010152272E-2</v>
      </c>
    </row>
    <row r="661" spans="1:15">
      <c r="A661" s="94">
        <v>540.299540225942</v>
      </c>
      <c r="B661" s="94">
        <v>541.51983912427499</v>
      </c>
      <c r="C661" s="94">
        <v>537.97609112351586</v>
      </c>
      <c r="D661" s="94">
        <v>538.19086372962238</v>
      </c>
      <c r="E661" s="95">
        <v>4085809.4330912149</v>
      </c>
      <c r="F661" s="93" t="s">
        <v>689</v>
      </c>
      <c r="G661" s="25">
        <f t="shared" si="20"/>
        <v>3.9180830415934675E-3</v>
      </c>
      <c r="I661" s="94">
        <v>238.66762546565008</v>
      </c>
      <c r="J661" s="94">
        <v>240.18201395210724</v>
      </c>
      <c r="K661" s="94">
        <v>237.38827007229108</v>
      </c>
      <c r="L661" s="94">
        <v>239.67560244223597</v>
      </c>
      <c r="M661" s="95">
        <v>456037.00350077363</v>
      </c>
      <c r="N661" s="93" t="s">
        <v>689</v>
      </c>
      <c r="O661" s="25">
        <f t="shared" si="21"/>
        <v>-4.2055885802094739E-3</v>
      </c>
    </row>
    <row r="662" spans="1:15">
      <c r="A662" s="94">
        <v>537.46844678180923</v>
      </c>
      <c r="B662" s="94">
        <v>539.2549643689689</v>
      </c>
      <c r="C662" s="94">
        <v>536.06266245092957</v>
      </c>
      <c r="D662" s="94">
        <v>538.92304306862218</v>
      </c>
      <c r="E662" s="95">
        <v>3392835.7680693492</v>
      </c>
      <c r="F662" s="93" t="s">
        <v>690</v>
      </c>
      <c r="G662" s="25">
        <f t="shared" si="20"/>
        <v>-2.6990797768277064E-3</v>
      </c>
      <c r="I662" s="94">
        <v>237.7759535248241</v>
      </c>
      <c r="J662" s="94">
        <v>239.85965516132603</v>
      </c>
      <c r="K662" s="94">
        <v>237.37857798597773</v>
      </c>
      <c r="L662" s="94">
        <v>238.69670172459007</v>
      </c>
      <c r="M662" s="95">
        <v>569054.98173461738</v>
      </c>
      <c r="N662" s="93" t="s">
        <v>690</v>
      </c>
      <c r="O662" s="25">
        <f t="shared" si="21"/>
        <v>-3.8573980834822885E-3</v>
      </c>
    </row>
    <row r="663" spans="1:15">
      <c r="A663" s="94">
        <v>539.1866276306622</v>
      </c>
      <c r="B663" s="94">
        <v>539.68441195727019</v>
      </c>
      <c r="C663" s="94">
        <v>536.78507939874282</v>
      </c>
      <c r="D663" s="94">
        <v>537.41963482587596</v>
      </c>
      <c r="E663" s="95">
        <v>4546605.3501965431</v>
      </c>
      <c r="F663" s="93" t="s">
        <v>691</v>
      </c>
      <c r="G663" s="25">
        <f t="shared" si="20"/>
        <v>3.2879200726612101E-3</v>
      </c>
      <c r="I663" s="94">
        <v>238.01825568265727</v>
      </c>
      <c r="J663" s="94">
        <v>238.50285999832354</v>
      </c>
      <c r="K663" s="94">
        <v>234.08326863944694</v>
      </c>
      <c r="L663" s="94">
        <v>235.77938374427899</v>
      </c>
      <c r="M663" s="95">
        <v>790213.76331220835</v>
      </c>
      <c r="N663" s="93" t="s">
        <v>691</v>
      </c>
      <c r="O663" s="25">
        <f t="shared" si="21"/>
        <v>9.4956221482302983E-3</v>
      </c>
    </row>
    <row r="664" spans="1:15">
      <c r="A664" s="94">
        <v>536.17981114516954</v>
      </c>
      <c r="B664" s="94">
        <v>539.2549643689689</v>
      </c>
      <c r="C664" s="94">
        <v>534.19794811036479</v>
      </c>
      <c r="D664" s="94">
        <v>538.10300220894248</v>
      </c>
      <c r="E664" s="95">
        <v>4409781.2899371441</v>
      </c>
      <c r="F664" s="93" t="s">
        <v>692</v>
      </c>
      <c r="G664" s="25">
        <f t="shared" si="20"/>
        <v>-3.5740203193034281E-3</v>
      </c>
      <c r="I664" s="94">
        <v>233.19159669862094</v>
      </c>
      <c r="J664" s="94">
        <v>240.78050028195514</v>
      </c>
      <c r="K664" s="94">
        <v>232.04308447049183</v>
      </c>
      <c r="L664" s="94">
        <v>240.1698988442156</v>
      </c>
      <c r="M664" s="95">
        <v>1308733.701902753</v>
      </c>
      <c r="N664" s="93" t="s">
        <v>692</v>
      </c>
      <c r="O664" s="25">
        <f t="shared" si="21"/>
        <v>-2.9055690072639306E-2</v>
      </c>
    </row>
    <row r="665" spans="1:15">
      <c r="A665" s="94">
        <v>534.46163029631668</v>
      </c>
      <c r="B665" s="94">
        <v>535.02745848949576</v>
      </c>
      <c r="C665" s="94">
        <v>532.41152814711711</v>
      </c>
      <c r="D665" s="94">
        <v>532.85083575051704</v>
      </c>
      <c r="E665" s="95">
        <v>5710269.024678072</v>
      </c>
      <c r="F665" s="93" t="s">
        <v>693</v>
      </c>
      <c r="G665" s="25">
        <f t="shared" si="20"/>
        <v>3.0229746070133956E-3</v>
      </c>
      <c r="I665" s="94">
        <v>240.51881395149533</v>
      </c>
      <c r="J665" s="94">
        <v>240.90649740402836</v>
      </c>
      <c r="K665" s="94">
        <v>238.85662114875993</v>
      </c>
      <c r="L665" s="94">
        <v>239.54960532016273</v>
      </c>
      <c r="M665" s="95">
        <v>676595.29517228552</v>
      </c>
      <c r="N665" s="93" t="s">
        <v>693</v>
      </c>
      <c r="O665" s="25">
        <f t="shared" si="21"/>
        <v>4.045962129794578E-3</v>
      </c>
    </row>
    <row r="666" spans="1:15">
      <c r="A666" s="94">
        <v>532.67511270915702</v>
      </c>
      <c r="B666" s="94">
        <v>534.07113464885015</v>
      </c>
      <c r="C666" s="94">
        <v>527.20817364462494</v>
      </c>
      <c r="D666" s="94">
        <v>532.61653836203709</v>
      </c>
      <c r="E666" s="95">
        <v>4640890.6520657558</v>
      </c>
      <c r="F666" s="93" t="s">
        <v>694</v>
      </c>
      <c r="G666" s="25">
        <f t="shared" si="20"/>
        <v>1.0997470581752822E-4</v>
      </c>
      <c r="I666" s="94">
        <v>239.00684848661649</v>
      </c>
      <c r="J666" s="94">
        <v>240.81926862720843</v>
      </c>
      <c r="K666" s="94">
        <v>236.01209073666192</v>
      </c>
      <c r="L666" s="94">
        <v>236.8842815839981</v>
      </c>
      <c r="M666" s="95">
        <v>886229.21033938846</v>
      </c>
      <c r="N666" s="93" t="s">
        <v>694</v>
      </c>
      <c r="O666" s="25">
        <f t="shared" si="21"/>
        <v>8.9603535043574212E-3</v>
      </c>
    </row>
    <row r="667" spans="1:15">
      <c r="A667" s="94">
        <v>530.00021752401096</v>
      </c>
      <c r="B667" s="94">
        <v>530.16617817418432</v>
      </c>
      <c r="C667" s="94">
        <v>524.66995193609227</v>
      </c>
      <c r="D667" s="94">
        <v>529.88306882977099</v>
      </c>
      <c r="E667" s="95">
        <v>4045176.969956378</v>
      </c>
      <c r="F667" s="93" t="s">
        <v>695</v>
      </c>
      <c r="G667" s="25">
        <f t="shared" si="20"/>
        <v>2.2108404878595778E-4</v>
      </c>
      <c r="I667" s="94">
        <v>236.83582115243149</v>
      </c>
      <c r="J667" s="94">
        <v>236.91578086451642</v>
      </c>
      <c r="K667" s="94">
        <v>233.67620101428724</v>
      </c>
      <c r="L667" s="94">
        <v>235.07186144340616</v>
      </c>
      <c r="M667" s="95">
        <v>832481.23666691303</v>
      </c>
      <c r="N667" s="93" t="s">
        <v>695</v>
      </c>
      <c r="O667" s="25">
        <f t="shared" si="21"/>
        <v>7.5039168796899869E-3</v>
      </c>
    </row>
    <row r="668" spans="1:15">
      <c r="A668" s="94">
        <v>529.80496970027775</v>
      </c>
      <c r="B668" s="94">
        <v>530.4590499097842</v>
      </c>
      <c r="C668" s="94">
        <v>524.14278281201234</v>
      </c>
      <c r="D668" s="94">
        <v>524.7285262832122</v>
      </c>
      <c r="E668" s="95">
        <v>7148221.0316797923</v>
      </c>
      <c r="F668" s="93" t="s">
        <v>696</v>
      </c>
      <c r="G668" s="25">
        <f t="shared" si="20"/>
        <v>9.674418604651347E-3</v>
      </c>
      <c r="I668" s="94">
        <v>236.07983841999209</v>
      </c>
      <c r="J668" s="94">
        <v>238.99715640030317</v>
      </c>
      <c r="K668" s="94">
        <v>235.1107267095226</v>
      </c>
      <c r="L668" s="94">
        <v>238.52224417095019</v>
      </c>
      <c r="M668" s="95">
        <v>809079.67041299376</v>
      </c>
      <c r="N668" s="93" t="s">
        <v>696</v>
      </c>
      <c r="O668" s="25">
        <f t="shared" si="21"/>
        <v>-1.0239739943112447E-2</v>
      </c>
    </row>
    <row r="669" spans="1:15">
      <c r="A669" s="94">
        <v>527.88177863650481</v>
      </c>
      <c r="B669" s="94">
        <v>529.05326557890453</v>
      </c>
      <c r="C669" s="94">
        <v>525.35820051475207</v>
      </c>
      <c r="D669" s="94">
        <v>526.11478583171856</v>
      </c>
      <c r="E669" s="95">
        <v>4613875.7542853579</v>
      </c>
      <c r="F669" s="93" t="s">
        <v>697</v>
      </c>
      <c r="G669" s="25">
        <f t="shared" si="20"/>
        <v>3.3585689898314453E-3</v>
      </c>
      <c r="I669" s="94">
        <v>236.74859237561157</v>
      </c>
      <c r="J669" s="94">
        <v>239.92759668638246</v>
      </c>
      <c r="K669" s="94">
        <v>236.3269866209819</v>
      </c>
      <c r="L669" s="94">
        <v>238.88085136454325</v>
      </c>
      <c r="M669" s="95">
        <v>765175.81047574349</v>
      </c>
      <c r="N669" s="93" t="s">
        <v>697</v>
      </c>
      <c r="O669" s="25">
        <f t="shared" si="21"/>
        <v>-8.9260356229966531E-3</v>
      </c>
    </row>
    <row r="670" spans="1:15">
      <c r="A670" s="94">
        <v>525.7047654018786</v>
      </c>
      <c r="B670" s="94">
        <v>529.67805861485112</v>
      </c>
      <c r="C670" s="94">
        <v>523.99634694421241</v>
      </c>
      <c r="D670" s="94">
        <v>529.24851340263785</v>
      </c>
      <c r="E670" s="95">
        <v>7539253.3030780787</v>
      </c>
      <c r="F670" s="93" t="s">
        <v>698</v>
      </c>
      <c r="G670" s="25">
        <f t="shared" si="20"/>
        <v>-6.6958109678492139E-3</v>
      </c>
      <c r="I670" s="94">
        <v>238.27024992089156</v>
      </c>
      <c r="J670" s="94">
        <v>241.44397106356254</v>
      </c>
      <c r="K670" s="94">
        <v>236.82326459748535</v>
      </c>
      <c r="L670" s="94">
        <v>238.77187149967239</v>
      </c>
      <c r="M670" s="95">
        <v>1980724.996749246</v>
      </c>
      <c r="N670" s="93" t="s">
        <v>698</v>
      </c>
      <c r="O670" s="25">
        <f t="shared" si="21"/>
        <v>-2.1008403361344463E-3</v>
      </c>
    </row>
    <row r="671" spans="1:15">
      <c r="A671" s="94">
        <v>532.57748879729036</v>
      </c>
      <c r="B671" s="94">
        <v>536.51173244551615</v>
      </c>
      <c r="C671" s="94">
        <v>531.93317097897057</v>
      </c>
      <c r="D671" s="94">
        <v>536.05290005974291</v>
      </c>
      <c r="E671" s="95">
        <v>4036185.3204392074</v>
      </c>
      <c r="F671" s="93" t="s">
        <v>699</v>
      </c>
      <c r="G671" s="25">
        <f t="shared" si="20"/>
        <v>-6.4833363686032097E-3</v>
      </c>
      <c r="I671" s="94">
        <v>239.3892519043257</v>
      </c>
      <c r="J671" s="94">
        <v>252.52305535644285</v>
      </c>
      <c r="K671" s="94">
        <v>238.53070727910469</v>
      </c>
      <c r="L671" s="94">
        <v>251.96837764913712</v>
      </c>
      <c r="M671" s="95">
        <v>1347392.0353321075</v>
      </c>
      <c r="N671" s="93" t="s">
        <v>699</v>
      </c>
      <c r="O671" s="25">
        <f t="shared" si="21"/>
        <v>-4.9923430321592521E-2</v>
      </c>
    </row>
    <row r="672" spans="1:15">
      <c r="A672" s="94">
        <v>535.98456332143621</v>
      </c>
      <c r="B672" s="94">
        <v>537.79060569096919</v>
      </c>
      <c r="C672" s="94">
        <v>533.97351073698349</v>
      </c>
      <c r="D672" s="94">
        <v>536.11147440686284</v>
      </c>
      <c r="E672" s="95">
        <v>3791663.2607966023</v>
      </c>
      <c r="F672" s="93" t="s">
        <v>700</v>
      </c>
      <c r="G672" s="25">
        <f t="shared" si="20"/>
        <v>-2.3672518027528788E-4</v>
      </c>
      <c r="I672" s="94">
        <v>252.40247324615899</v>
      </c>
      <c r="J672" s="94">
        <v>256.22251449995144</v>
      </c>
      <c r="K672" s="94">
        <v>251.94908451149175</v>
      </c>
      <c r="L672" s="94">
        <v>253.28995757784816</v>
      </c>
      <c r="M672" s="95">
        <v>632672.6229986737</v>
      </c>
      <c r="N672" s="93" t="s">
        <v>700</v>
      </c>
      <c r="O672" s="25">
        <f t="shared" si="21"/>
        <v>-3.5038275507484062E-3</v>
      </c>
    </row>
    <row r="673" spans="1:15">
      <c r="A673" s="94">
        <v>535.71121636820965</v>
      </c>
      <c r="B673" s="94">
        <v>537.84918003808923</v>
      </c>
      <c r="C673" s="94">
        <v>533.44634161290344</v>
      </c>
      <c r="D673" s="94">
        <v>537.31224852282264</v>
      </c>
      <c r="E673" s="95">
        <v>4935894.1962726349</v>
      </c>
      <c r="F673" s="93" t="s">
        <v>701</v>
      </c>
      <c r="G673" s="25">
        <f t="shared" si="20"/>
        <v>-2.9797052998783435E-3</v>
      </c>
      <c r="I673" s="94">
        <v>252.46999922791801</v>
      </c>
      <c r="J673" s="94">
        <v>256.26110077524226</v>
      </c>
      <c r="K673" s="94">
        <v>251.77544627268298</v>
      </c>
      <c r="L673" s="94">
        <v>255.63407380176625</v>
      </c>
      <c r="M673" s="95">
        <v>984242.18750709272</v>
      </c>
      <c r="N673" s="93" t="s">
        <v>701</v>
      </c>
      <c r="O673" s="25">
        <f t="shared" si="21"/>
        <v>-1.2377358490565871E-2</v>
      </c>
    </row>
    <row r="674" spans="1:15">
      <c r="A674" s="94">
        <v>537.3220109140093</v>
      </c>
      <c r="B674" s="94">
        <v>538.62040894183565</v>
      </c>
      <c r="C674" s="94">
        <v>535.80884028007631</v>
      </c>
      <c r="D674" s="94">
        <v>538.32753720623566</v>
      </c>
      <c r="E674" s="95">
        <v>5012223.8562659677</v>
      </c>
      <c r="F674" s="93" t="s">
        <v>702</v>
      </c>
      <c r="G674" s="25">
        <f t="shared" si="20"/>
        <v>-1.8678708086247164E-3</v>
      </c>
      <c r="I674" s="94">
        <v>254.88164143359504</v>
      </c>
      <c r="J674" s="94">
        <v>256.34791989464668</v>
      </c>
      <c r="K674" s="94">
        <v>253.03914678845774</v>
      </c>
      <c r="L674" s="94">
        <v>253.55041493606126</v>
      </c>
      <c r="M674" s="95">
        <v>720430.25118323462</v>
      </c>
      <c r="N674" s="93" t="s">
        <v>702</v>
      </c>
      <c r="O674" s="25">
        <f t="shared" si="21"/>
        <v>5.2503424136358667E-3</v>
      </c>
    </row>
    <row r="675" spans="1:15">
      <c r="A675" s="94">
        <v>536.88270331060949</v>
      </c>
      <c r="B675" s="94">
        <v>538.1420517736891</v>
      </c>
      <c r="C675" s="94">
        <v>535.03761137632978</v>
      </c>
      <c r="D675" s="94">
        <v>535.04737376751655</v>
      </c>
      <c r="E675" s="95">
        <v>6963433.312615199</v>
      </c>
      <c r="F675" s="93" t="s">
        <v>703</v>
      </c>
      <c r="G675" s="25">
        <f t="shared" si="20"/>
        <v>3.4302187676757967E-3</v>
      </c>
      <c r="I675" s="94">
        <v>251.38958351977467</v>
      </c>
      <c r="J675" s="94">
        <v>252.49884246869789</v>
      </c>
      <c r="K675" s="94">
        <v>246.53147499497058</v>
      </c>
      <c r="L675" s="94">
        <v>246.9521618613289</v>
      </c>
      <c r="M675" s="95">
        <v>900298.35059652303</v>
      </c>
      <c r="N675" s="93" t="s">
        <v>703</v>
      </c>
      <c r="O675" s="25">
        <f t="shared" si="21"/>
        <v>1.7968750000000089E-2</v>
      </c>
    </row>
    <row r="676" spans="1:15">
      <c r="A676" s="94">
        <v>534.52020464343661</v>
      </c>
      <c r="B676" s="94">
        <v>535.44275061057647</v>
      </c>
      <c r="C676" s="94">
        <v>532.19675554101048</v>
      </c>
      <c r="D676" s="94">
        <v>532.26509227931717</v>
      </c>
      <c r="E676" s="95">
        <v>6198559.230310441</v>
      </c>
      <c r="F676" s="93" t="s">
        <v>704</v>
      </c>
      <c r="G676" s="25">
        <f t="shared" si="20"/>
        <v>4.23682183338836E-3</v>
      </c>
      <c r="I676" s="94">
        <v>245.80422017142664</v>
      </c>
      <c r="J676" s="94">
        <v>248.24480208357178</v>
      </c>
      <c r="K676" s="94">
        <v>245.13744933440103</v>
      </c>
      <c r="L676" s="94">
        <v>247.93611188124513</v>
      </c>
      <c r="M676" s="95">
        <v>673060.04024104867</v>
      </c>
      <c r="N676" s="93" t="s">
        <v>704</v>
      </c>
      <c r="O676" s="25">
        <f t="shared" si="21"/>
        <v>-8.5985526418177471E-3</v>
      </c>
    </row>
    <row r="677" spans="1:15">
      <c r="A677" s="94">
        <v>530.3907131714775</v>
      </c>
      <c r="B677" s="94">
        <v>531.21075403115731</v>
      </c>
      <c r="C677" s="94">
        <v>525.38260649271865</v>
      </c>
      <c r="D677" s="94">
        <v>528.77991862567796</v>
      </c>
      <c r="E677" s="95">
        <v>7665475.4525944022</v>
      </c>
      <c r="F677" s="93" t="s">
        <v>705</v>
      </c>
      <c r="G677" s="25">
        <f t="shared" si="20"/>
        <v>3.0462475768482378E-3</v>
      </c>
      <c r="I677" s="94">
        <v>247.38625745835077</v>
      </c>
      <c r="J677" s="94">
        <v>250.81078939041217</v>
      </c>
      <c r="K677" s="94">
        <v>244.55277079805668</v>
      </c>
      <c r="L677" s="94">
        <v>250.81078939041217</v>
      </c>
      <c r="M677" s="95">
        <v>926254.72996848985</v>
      </c>
      <c r="N677" s="93" t="s">
        <v>705</v>
      </c>
      <c r="O677" s="25">
        <f t="shared" si="21"/>
        <v>-1.3653846153846128E-2</v>
      </c>
    </row>
    <row r="678" spans="1:15">
      <c r="A678" s="94">
        <v>517.50435680508053</v>
      </c>
      <c r="B678" s="94">
        <v>517.57269354338712</v>
      </c>
      <c r="C678" s="94">
        <v>512.01789295817514</v>
      </c>
      <c r="D678" s="94">
        <v>512.25219034665508</v>
      </c>
      <c r="E678" s="95">
        <v>3380605.157994729</v>
      </c>
      <c r="F678" s="93" t="s">
        <v>706</v>
      </c>
      <c r="G678" s="25">
        <f t="shared" si="20"/>
        <v>1.0253087360878155E-2</v>
      </c>
      <c r="I678" s="94">
        <v>242.08064460586127</v>
      </c>
      <c r="J678" s="94">
        <v>242.33145539525171</v>
      </c>
      <c r="K678" s="94">
        <v>238.33777590265052</v>
      </c>
      <c r="L678" s="94">
        <v>238.66575924262258</v>
      </c>
      <c r="M678" s="95">
        <v>615080.8758066023</v>
      </c>
      <c r="N678" s="93" t="s">
        <v>706</v>
      </c>
      <c r="O678" s="25">
        <f t="shared" si="21"/>
        <v>1.4308233296956407E-2</v>
      </c>
    </row>
    <row r="679" spans="1:15">
      <c r="A679" s="94">
        <v>511.35405035748192</v>
      </c>
      <c r="B679" s="94">
        <v>513.77512337177473</v>
      </c>
      <c r="C679" s="94">
        <v>509.62620474135417</v>
      </c>
      <c r="D679" s="94">
        <v>512.58411164700158</v>
      </c>
      <c r="E679" s="95">
        <v>3771064.8237789697</v>
      </c>
      <c r="F679" s="93" t="s">
        <v>707</v>
      </c>
      <c r="G679" s="25">
        <f t="shared" si="20"/>
        <v>-2.3997257456289667E-3</v>
      </c>
      <c r="I679" s="94">
        <v>238.33777590265052</v>
      </c>
      <c r="J679" s="94">
        <v>239.8233475013476</v>
      </c>
      <c r="K679" s="94">
        <v>236.21070747724337</v>
      </c>
      <c r="L679" s="94">
        <v>239.16738082140341</v>
      </c>
      <c r="M679" s="95">
        <v>820502.10240224551</v>
      </c>
      <c r="N679" s="93" t="s">
        <v>707</v>
      </c>
      <c r="O679" s="25">
        <f t="shared" si="21"/>
        <v>-3.4687210099624277E-3</v>
      </c>
    </row>
    <row r="680" spans="1:15">
      <c r="A680" s="94">
        <v>512.46696295276172</v>
      </c>
      <c r="B680" s="94">
        <v>516.50859290404082</v>
      </c>
      <c r="C680" s="94">
        <v>512.07656492920705</v>
      </c>
      <c r="D680" s="94">
        <v>512.68173555886824</v>
      </c>
      <c r="E680" s="95">
        <v>6255580.0963417478</v>
      </c>
      <c r="F680" s="93" t="s">
        <v>708</v>
      </c>
      <c r="G680" s="25">
        <f t="shared" si="20"/>
        <v>-4.189199482060868E-4</v>
      </c>
      <c r="I680" s="94">
        <v>238.73328522438155</v>
      </c>
      <c r="J680" s="94">
        <v>242.82343040520982</v>
      </c>
      <c r="K680" s="94">
        <v>238.54035384792738</v>
      </c>
      <c r="L680" s="94">
        <v>239.78476122605673</v>
      </c>
      <c r="M680" s="95">
        <v>883411.51725775795</v>
      </c>
      <c r="N680" s="93" t="s">
        <v>708</v>
      </c>
      <c r="O680" s="25">
        <f t="shared" si="21"/>
        <v>-4.3850826728889514E-3</v>
      </c>
    </row>
    <row r="681" spans="1:15">
      <c r="A681" s="94">
        <v>510.25090015338884</v>
      </c>
      <c r="B681" s="94">
        <v>516.65502877184076</v>
      </c>
      <c r="C681" s="94">
        <v>510.09470189440225</v>
      </c>
      <c r="D681" s="94">
        <v>516.51835529522748</v>
      </c>
      <c r="E681" s="95">
        <v>8166824.9587159958</v>
      </c>
      <c r="F681" s="93" t="s">
        <v>709</v>
      </c>
      <c r="G681" s="25">
        <f t="shared" si="20"/>
        <v>-1.213404146742536E-2</v>
      </c>
      <c r="I681" s="94">
        <v>238.72363865555883</v>
      </c>
      <c r="J681" s="94">
        <v>240.46002104364632</v>
      </c>
      <c r="K681" s="94">
        <v>236.29270331223637</v>
      </c>
      <c r="L681" s="94">
        <v>237.50817098389763</v>
      </c>
      <c r="M681" s="95">
        <v>1299965.8459368648</v>
      </c>
      <c r="N681" s="93" t="s">
        <v>709</v>
      </c>
      <c r="O681" s="25">
        <f t="shared" si="21"/>
        <v>5.1175825514804263E-3</v>
      </c>
    </row>
    <row r="682" spans="1:15">
      <c r="A682" s="94">
        <v>520.49164850819977</v>
      </c>
      <c r="B682" s="94">
        <v>523.45941542894582</v>
      </c>
      <c r="C682" s="94">
        <v>519.93519221055999</v>
      </c>
      <c r="D682" s="94">
        <v>521.65337305941296</v>
      </c>
      <c r="E682" s="95">
        <v>3141663.6983258701</v>
      </c>
      <c r="F682" s="93" t="s">
        <v>710</v>
      </c>
      <c r="G682" s="25">
        <f t="shared" si="20"/>
        <v>-2.2270047721533182E-3</v>
      </c>
      <c r="I682" s="94">
        <v>236.73644547808095</v>
      </c>
      <c r="J682" s="94">
        <v>238.3281293338278</v>
      </c>
      <c r="K682" s="94">
        <v>236.0804787981368</v>
      </c>
      <c r="L682" s="94">
        <v>236.36022929399536</v>
      </c>
      <c r="M682" s="95">
        <v>740451.87789317383</v>
      </c>
      <c r="N682" s="93" t="s">
        <v>710</v>
      </c>
      <c r="O682" s="25">
        <f t="shared" si="21"/>
        <v>1.5917067994448697E-3</v>
      </c>
    </row>
    <row r="683" spans="1:15">
      <c r="A683" s="94">
        <v>522.0633934892528</v>
      </c>
      <c r="B683" s="94">
        <v>523.08844456385259</v>
      </c>
      <c r="C683" s="94">
        <v>519.11515135088018</v>
      </c>
      <c r="D683" s="94">
        <v>520.45259894345315</v>
      </c>
      <c r="E683" s="95">
        <v>3101300.6364012193</v>
      </c>
      <c r="F683" s="93" t="s">
        <v>711</v>
      </c>
      <c r="G683" s="25">
        <f t="shared" si="20"/>
        <v>3.0949879951980286E-3</v>
      </c>
      <c r="I683" s="94">
        <v>236.40846213810889</v>
      </c>
      <c r="J683" s="94">
        <v>241.11598772359045</v>
      </c>
      <c r="K683" s="94">
        <v>236.40846213810889</v>
      </c>
      <c r="L683" s="94">
        <v>240.63365928245506</v>
      </c>
      <c r="M683" s="95">
        <v>714752.58475005988</v>
      </c>
      <c r="N683" s="93" t="s">
        <v>711</v>
      </c>
      <c r="O683" s="25">
        <f t="shared" si="21"/>
        <v>-1.7558628983764257E-2</v>
      </c>
    </row>
    <row r="684" spans="1:15">
      <c r="A684" s="94">
        <v>521.23359023838634</v>
      </c>
      <c r="B684" s="94">
        <v>522.84438478418599</v>
      </c>
      <c r="C684" s="94">
        <v>520.9903114500147</v>
      </c>
      <c r="D684" s="94">
        <v>522.80533521943926</v>
      </c>
      <c r="E684" s="95">
        <v>3490918.2953612269</v>
      </c>
      <c r="F684" s="93" t="s">
        <v>712</v>
      </c>
      <c r="G684" s="25">
        <f t="shared" si="20"/>
        <v>-3.0063675237613774E-3</v>
      </c>
      <c r="I684" s="94">
        <v>239.2638465096305</v>
      </c>
      <c r="J684" s="94">
        <v>244.49228681153832</v>
      </c>
      <c r="K684" s="94">
        <v>239.19632052787156</v>
      </c>
      <c r="L684" s="94">
        <v>244.21253631567978</v>
      </c>
      <c r="M684" s="95">
        <v>1071345.6971013062</v>
      </c>
      <c r="N684" s="93" t="s">
        <v>712</v>
      </c>
      <c r="O684" s="25">
        <f t="shared" si="21"/>
        <v>-2.0263864749565541E-2</v>
      </c>
    </row>
    <row r="685" spans="1:15">
      <c r="A685" s="94">
        <v>519.61303330140004</v>
      </c>
      <c r="B685" s="94">
        <v>524.49432651864413</v>
      </c>
      <c r="C685" s="94">
        <v>518.78713500700826</v>
      </c>
      <c r="D685" s="94">
        <v>521.94624479501283</v>
      </c>
      <c r="E685" s="95">
        <v>4432510.3524954142</v>
      </c>
      <c r="F685" s="93" t="s">
        <v>713</v>
      </c>
      <c r="G685" s="25">
        <f t="shared" si="20"/>
        <v>-4.4702141587954491E-3</v>
      </c>
      <c r="I685" s="94">
        <v>243.874906406885</v>
      </c>
      <c r="J685" s="94">
        <v>249.73992378540333</v>
      </c>
      <c r="K685" s="94">
        <v>243.09353433224564</v>
      </c>
      <c r="L685" s="94">
        <v>248.69336753382774</v>
      </c>
      <c r="M685" s="95">
        <v>1681557.484129997</v>
      </c>
      <c r="N685" s="93" t="s">
        <v>713</v>
      </c>
      <c r="O685" s="25">
        <f t="shared" si="21"/>
        <v>-1.9375109094082799E-2</v>
      </c>
    </row>
    <row r="686" spans="1:15">
      <c r="A686" s="94">
        <v>519.81804351632002</v>
      </c>
      <c r="B686" s="94">
        <v>520.51117329057308</v>
      </c>
      <c r="C686" s="94">
        <v>517.44578245796049</v>
      </c>
      <c r="D686" s="94">
        <v>520.50141089938643</v>
      </c>
      <c r="E686" s="95">
        <v>4586747.1548535125</v>
      </c>
      <c r="F686" s="93" t="s">
        <v>714</v>
      </c>
      <c r="G686" s="25">
        <f t="shared" si="20"/>
        <v>-1.3129020762606691E-3</v>
      </c>
      <c r="I686" s="94">
        <v>235.54027094406513</v>
      </c>
      <c r="J686" s="94">
        <v>237.77827491093345</v>
      </c>
      <c r="K686" s="94">
        <v>234.79748514471663</v>
      </c>
      <c r="L686" s="94">
        <v>237.30559303862074</v>
      </c>
      <c r="M686" s="95">
        <v>876289.81406332483</v>
      </c>
      <c r="N686" s="93" t="s">
        <v>714</v>
      </c>
      <c r="O686" s="25">
        <f t="shared" si="21"/>
        <v>-7.4390243902440201E-3</v>
      </c>
    </row>
    <row r="687" spans="1:15">
      <c r="A687" s="94">
        <v>518.64655657392029</v>
      </c>
      <c r="B687" s="94">
        <v>522.01458153331953</v>
      </c>
      <c r="C687" s="94">
        <v>515.47377943825427</v>
      </c>
      <c r="D687" s="94">
        <v>521.58503632110626</v>
      </c>
      <c r="E687" s="95">
        <v>5354993.3618120095</v>
      </c>
      <c r="F687" s="93" t="s">
        <v>715</v>
      </c>
      <c r="G687" s="25">
        <f t="shared" si="20"/>
        <v>-5.6337500935838003E-3</v>
      </c>
      <c r="I687" s="94">
        <v>237.13195479981198</v>
      </c>
      <c r="J687" s="94">
        <v>239.04197542670823</v>
      </c>
      <c r="K687" s="94">
        <v>236.06118566049139</v>
      </c>
      <c r="L687" s="94">
        <v>238.0483788379693</v>
      </c>
      <c r="M687" s="95">
        <v>476858.67219144455</v>
      </c>
      <c r="N687" s="93" t="s">
        <v>715</v>
      </c>
      <c r="O687" s="25">
        <f t="shared" si="21"/>
        <v>-3.8497386230094133E-3</v>
      </c>
    </row>
    <row r="688" spans="1:15">
      <c r="A688" s="94">
        <v>523.42036586419908</v>
      </c>
      <c r="B688" s="94">
        <v>524.51375367710557</v>
      </c>
      <c r="C688" s="94">
        <v>520.79428263498642</v>
      </c>
      <c r="D688" s="94">
        <v>521.41907567093301</v>
      </c>
      <c r="E688" s="95">
        <v>3448535.2365297801</v>
      </c>
      <c r="F688" s="93" t="s">
        <v>716</v>
      </c>
      <c r="G688" s="25">
        <f t="shared" si="20"/>
        <v>3.8381606785116151E-3</v>
      </c>
      <c r="I688" s="94">
        <v>236.27341017459096</v>
      </c>
      <c r="J688" s="94">
        <v>239.09020827082173</v>
      </c>
      <c r="K688" s="94">
        <v>234.16081160241788</v>
      </c>
      <c r="L688" s="94">
        <v>239.09020827082173</v>
      </c>
      <c r="M688" s="95">
        <v>554313.15509951767</v>
      </c>
      <c r="N688" s="93" t="s">
        <v>716</v>
      </c>
      <c r="O688" s="25">
        <f t="shared" si="21"/>
        <v>-1.1781319346378827E-2</v>
      </c>
    </row>
    <row r="689" spans="1:15">
      <c r="A689" s="94">
        <v>523.78157433810577</v>
      </c>
      <c r="B689" s="94">
        <v>524.83591258626552</v>
      </c>
      <c r="C689" s="94">
        <v>521.02858002346647</v>
      </c>
      <c r="D689" s="94">
        <v>523.96705977065244</v>
      </c>
      <c r="E689" s="95">
        <v>3760790.7015806078</v>
      </c>
      <c r="F689" s="93" t="s">
        <v>717</v>
      </c>
      <c r="G689" s="25">
        <f t="shared" si="20"/>
        <v>-3.5400208674918332E-4</v>
      </c>
      <c r="I689" s="94">
        <v>239.37960533550302</v>
      </c>
      <c r="J689" s="94">
        <v>242.01311862410233</v>
      </c>
      <c r="K689" s="94">
        <v>238.71399208673614</v>
      </c>
      <c r="L689" s="94">
        <v>241.16422056770401</v>
      </c>
      <c r="M689" s="95">
        <v>729165.99977413542</v>
      </c>
      <c r="N689" s="93" t="s">
        <v>717</v>
      </c>
      <c r="O689" s="25">
        <f t="shared" si="21"/>
        <v>-7.3999999999999622E-3</v>
      </c>
    </row>
    <row r="690" spans="1:15">
      <c r="A690" s="94">
        <v>524.59185280659892</v>
      </c>
      <c r="B690" s="94">
        <v>525.31426975441207</v>
      </c>
      <c r="C690" s="94">
        <v>522.83462239299922</v>
      </c>
      <c r="D690" s="94">
        <v>524.14278281201234</v>
      </c>
      <c r="E690" s="95">
        <v>5193821.7830548175</v>
      </c>
      <c r="F690" s="93" t="s">
        <v>718</v>
      </c>
      <c r="G690" s="25">
        <f t="shared" si="20"/>
        <v>8.567703482957878E-4</v>
      </c>
      <c r="I690" s="94">
        <v>239.98733917133362</v>
      </c>
      <c r="J690" s="94">
        <v>240.35390878659652</v>
      </c>
      <c r="K690" s="94">
        <v>238.23629399863563</v>
      </c>
      <c r="L690" s="94">
        <v>240.19956368543319</v>
      </c>
      <c r="M690" s="95">
        <v>499603.54697878927</v>
      </c>
      <c r="N690" s="93" t="s">
        <v>718</v>
      </c>
      <c r="O690" s="25">
        <f t="shared" si="21"/>
        <v>-8.835341365461824E-4</v>
      </c>
    </row>
    <row r="691" spans="1:15">
      <c r="A691" s="94">
        <v>522.58080022214597</v>
      </c>
      <c r="B691" s="94">
        <v>525.95858757273186</v>
      </c>
      <c r="C691" s="94">
        <v>522.43436435434603</v>
      </c>
      <c r="D691" s="94">
        <v>525.82191409611858</v>
      </c>
      <c r="E691" s="95">
        <v>3303798.155933158</v>
      </c>
      <c r="F691" s="93" t="s">
        <v>719</v>
      </c>
      <c r="G691" s="25">
        <f t="shared" si="20"/>
        <v>-6.1639003379005963E-3</v>
      </c>
      <c r="I691" s="94">
        <v>239.50501073019819</v>
      </c>
      <c r="J691" s="94">
        <v>240.18027054778776</v>
      </c>
      <c r="K691" s="94">
        <v>238.02426241591252</v>
      </c>
      <c r="L691" s="94">
        <v>239.8233475013476</v>
      </c>
      <c r="M691" s="95">
        <v>724969.6890709236</v>
      </c>
      <c r="N691" s="93" t="s">
        <v>719</v>
      </c>
      <c r="O691" s="25">
        <f t="shared" si="21"/>
        <v>-1.3273802341017271E-3</v>
      </c>
    </row>
    <row r="692" spans="1:15">
      <c r="A692" s="94">
        <v>522.50270109265273</v>
      </c>
      <c r="B692" s="94">
        <v>523.00058304317258</v>
      </c>
      <c r="C692" s="94">
        <v>519.56910254106015</v>
      </c>
      <c r="D692" s="94">
        <v>520.26711351090648</v>
      </c>
      <c r="E692" s="95">
        <v>3316007.2548845313</v>
      </c>
      <c r="F692" s="93" t="s">
        <v>720</v>
      </c>
      <c r="G692" s="25">
        <f t="shared" si="20"/>
        <v>4.2969996059520899E-3</v>
      </c>
      <c r="I692" s="94">
        <v>239.36995876668027</v>
      </c>
      <c r="J692" s="94">
        <v>239.58218328077987</v>
      </c>
      <c r="K692" s="94">
        <v>236.16729791754116</v>
      </c>
      <c r="L692" s="94">
        <v>236.16729791754116</v>
      </c>
      <c r="M692" s="95">
        <v>509493.07368546934</v>
      </c>
      <c r="N692" s="93" t="s">
        <v>720</v>
      </c>
      <c r="O692" s="25">
        <f t="shared" si="21"/>
        <v>1.3560983579772978E-2</v>
      </c>
    </row>
    <row r="693" spans="1:15">
      <c r="A693" s="94">
        <v>520.31592546683987</v>
      </c>
      <c r="B693" s="94">
        <v>524.83591258626552</v>
      </c>
      <c r="C693" s="94">
        <v>519.18348808918688</v>
      </c>
      <c r="D693" s="94">
        <v>524.61137758897223</v>
      </c>
      <c r="E693" s="95">
        <v>4928433.9338627979</v>
      </c>
      <c r="F693" s="93" t="s">
        <v>721</v>
      </c>
      <c r="G693" s="25">
        <f t="shared" si="20"/>
        <v>-8.1878745022144761E-3</v>
      </c>
      <c r="I693" s="94">
        <v>236.63033322103118</v>
      </c>
      <c r="J693" s="94">
        <v>240.19956368543319</v>
      </c>
      <c r="K693" s="94">
        <v>235.61744349464681</v>
      </c>
      <c r="L693" s="94">
        <v>240.19956368543319</v>
      </c>
      <c r="M693" s="95">
        <v>594734.78139653837</v>
      </c>
      <c r="N693" s="93" t="s">
        <v>721</v>
      </c>
      <c r="O693" s="25">
        <f t="shared" si="21"/>
        <v>-1.4859437751003957E-2</v>
      </c>
    </row>
    <row r="694" spans="1:15">
      <c r="A694" s="94">
        <v>524.3087434621857</v>
      </c>
      <c r="B694" s="94">
        <v>525.19712106017209</v>
      </c>
      <c r="C694" s="94">
        <v>521.28240219431973</v>
      </c>
      <c r="D694" s="94">
        <v>521.55574914754629</v>
      </c>
      <c r="E694" s="95">
        <v>2703158.4266002579</v>
      </c>
      <c r="F694" s="93" t="s">
        <v>722</v>
      </c>
      <c r="G694" s="25">
        <f t="shared" si="20"/>
        <v>5.2784277023865123E-3</v>
      </c>
      <c r="I694" s="94">
        <v>239.45677788608467</v>
      </c>
      <c r="J694" s="94">
        <v>239.66900240018424</v>
      </c>
      <c r="K694" s="94">
        <v>236.58210037691762</v>
      </c>
      <c r="L694" s="94">
        <v>238.07731854443742</v>
      </c>
      <c r="M694" s="95">
        <v>478551.50207739935</v>
      </c>
      <c r="N694" s="93" t="s">
        <v>722</v>
      </c>
      <c r="O694" s="25">
        <f t="shared" si="21"/>
        <v>5.7941653160453743E-3</v>
      </c>
    </row>
    <row r="695" spans="1:15">
      <c r="A695" s="94">
        <v>520.05234090479996</v>
      </c>
      <c r="B695" s="94">
        <v>520.75523307023968</v>
      </c>
      <c r="C695" s="94">
        <v>516.81122703082735</v>
      </c>
      <c r="D695" s="94">
        <v>516.91861333388067</v>
      </c>
      <c r="E695" s="95">
        <v>5561309.6178898597</v>
      </c>
      <c r="F695" s="93" t="s">
        <v>723</v>
      </c>
      <c r="G695" s="25">
        <f t="shared" si="20"/>
        <v>6.0623229461755912E-3</v>
      </c>
      <c r="I695" s="94">
        <v>237.34417931391158</v>
      </c>
      <c r="J695" s="94">
        <v>237.63357637859283</v>
      </c>
      <c r="K695" s="94">
        <v>234.0836390518362</v>
      </c>
      <c r="L695" s="94">
        <v>234.52738121768078</v>
      </c>
      <c r="M695" s="95">
        <v>717624.07206426363</v>
      </c>
      <c r="N695" s="93" t="s">
        <v>723</v>
      </c>
      <c r="O695" s="25">
        <f t="shared" si="21"/>
        <v>1.2010529779532764E-2</v>
      </c>
    </row>
    <row r="696" spans="1:15">
      <c r="A696" s="94">
        <v>516.9771876810006</v>
      </c>
      <c r="B696" s="94">
        <v>518.28534810001372</v>
      </c>
      <c r="C696" s="94">
        <v>515.54211617656097</v>
      </c>
      <c r="D696" s="94">
        <v>516.69407833658738</v>
      </c>
      <c r="E696" s="95">
        <v>3726170.0852236557</v>
      </c>
      <c r="F696" s="93" t="s">
        <v>724</v>
      </c>
      <c r="G696" s="25">
        <f t="shared" si="20"/>
        <v>5.4792449978258162E-4</v>
      </c>
      <c r="I696" s="94">
        <v>233.78459541833226</v>
      </c>
      <c r="J696" s="94">
        <v>237.18983421274825</v>
      </c>
      <c r="K696" s="94">
        <v>232.49195519608935</v>
      </c>
      <c r="L696" s="94">
        <v>237.18983421274825</v>
      </c>
      <c r="M696" s="95">
        <v>675812.3141830021</v>
      </c>
      <c r="N696" s="93" t="s">
        <v>724</v>
      </c>
      <c r="O696" s="25">
        <f t="shared" si="21"/>
        <v>-1.435659671384415E-2</v>
      </c>
    </row>
    <row r="697" spans="1:15">
      <c r="A697" s="94">
        <v>517.8460404966138</v>
      </c>
      <c r="B697" s="94">
        <v>518.41225918544035</v>
      </c>
      <c r="C697" s="94">
        <v>513.80441054533469</v>
      </c>
      <c r="D697" s="94">
        <v>514.35110445178793</v>
      </c>
      <c r="E697" s="95">
        <v>3013385.7000306714</v>
      </c>
      <c r="F697" s="93" t="s">
        <v>725</v>
      </c>
      <c r="G697" s="25">
        <f t="shared" si="20"/>
        <v>6.7948450281853923E-3</v>
      </c>
      <c r="I697" s="94">
        <v>233.65919002363705</v>
      </c>
      <c r="J697" s="94">
        <v>234.78513753662355</v>
      </c>
      <c r="K697" s="94">
        <v>232.37619637021686</v>
      </c>
      <c r="L697" s="94">
        <v>232.37619637021686</v>
      </c>
      <c r="M697" s="95">
        <v>392655.67577598285</v>
      </c>
      <c r="N697" s="93" t="s">
        <v>725</v>
      </c>
      <c r="O697" s="25">
        <f t="shared" si="21"/>
        <v>5.5211922454232454E-3</v>
      </c>
    </row>
    <row r="698" spans="1:15">
      <c r="A698" s="94">
        <v>514.33157966941462</v>
      </c>
      <c r="B698" s="94">
        <v>514.84898640230779</v>
      </c>
      <c r="C698" s="94">
        <v>511.06117862188205</v>
      </c>
      <c r="D698" s="94">
        <v>511.86169469918855</v>
      </c>
      <c r="E698" s="95">
        <v>2690597.9793025199</v>
      </c>
      <c r="F698" s="93" t="s">
        <v>726</v>
      </c>
      <c r="G698" s="25">
        <f t="shared" si="20"/>
        <v>4.8252975282270238E-3</v>
      </c>
      <c r="I698" s="94">
        <v>232.75241255430248</v>
      </c>
      <c r="J698" s="94">
        <v>235.03855289959611</v>
      </c>
      <c r="K698" s="94">
        <v>231.11249585444213</v>
      </c>
      <c r="L698" s="94">
        <v>234.41162239180829</v>
      </c>
      <c r="M698" s="95">
        <v>478991.03659769625</v>
      </c>
      <c r="N698" s="93" t="s">
        <v>726</v>
      </c>
      <c r="O698" s="25">
        <f t="shared" si="21"/>
        <v>-7.078189300411597E-3</v>
      </c>
    </row>
    <row r="699" spans="1:15">
      <c r="A699" s="94">
        <v>509.50895842320233</v>
      </c>
      <c r="B699" s="94">
        <v>513.22852708923335</v>
      </c>
      <c r="C699" s="94">
        <v>508.43509539266927</v>
      </c>
      <c r="D699" s="94">
        <v>512.66221077649493</v>
      </c>
      <c r="E699" s="95">
        <v>4067143.9241481894</v>
      </c>
      <c r="F699" s="93" t="s">
        <v>727</v>
      </c>
      <c r="G699" s="25">
        <f t="shared" si="20"/>
        <v>-6.15074075484634E-3</v>
      </c>
      <c r="I699" s="94">
        <v>233.21544785779247</v>
      </c>
      <c r="J699" s="94">
        <v>235.51133123759701</v>
      </c>
      <c r="K699" s="94">
        <v>232.59806745313915</v>
      </c>
      <c r="L699" s="94">
        <v>235.45345182466079</v>
      </c>
      <c r="M699" s="95">
        <v>427267.98261134367</v>
      </c>
      <c r="N699" s="93" t="s">
        <v>727</v>
      </c>
      <c r="O699" s="25">
        <f t="shared" si="21"/>
        <v>-9.5050803015406249E-3</v>
      </c>
    </row>
    <row r="700" spans="1:15">
      <c r="A700" s="94">
        <v>514.1363318456813</v>
      </c>
      <c r="B700" s="94">
        <v>514.49754031958787</v>
      </c>
      <c r="C700" s="94">
        <v>509.88969167948227</v>
      </c>
      <c r="D700" s="94">
        <v>513.65797467753475</v>
      </c>
      <c r="E700" s="95">
        <v>5488588.7049059812</v>
      </c>
      <c r="F700" s="93" t="s">
        <v>728</v>
      </c>
      <c r="G700" s="25">
        <f t="shared" ref="G700:G763" si="22">A700/D700-1</f>
        <v>9.3127565759454356E-4</v>
      </c>
      <c r="I700" s="94">
        <v>235.04829593410702</v>
      </c>
      <c r="J700" s="94">
        <v>235.16405475997954</v>
      </c>
      <c r="K700" s="94">
        <v>232.81029196723875</v>
      </c>
      <c r="L700" s="94">
        <v>234.16081160241788</v>
      </c>
      <c r="M700" s="95">
        <v>386397.49205184996</v>
      </c>
      <c r="N700" s="93" t="s">
        <v>728</v>
      </c>
      <c r="O700" s="25">
        <f t="shared" ref="O700:O763" si="23">I700/L700-1</f>
        <v>3.7900634423662094E-3</v>
      </c>
    </row>
    <row r="701" spans="1:15">
      <c r="A701" s="94">
        <v>509.44062168489575</v>
      </c>
      <c r="B701" s="94">
        <v>511.31011959714198</v>
      </c>
      <c r="C701" s="94">
        <v>507.46861866518958</v>
      </c>
      <c r="D701" s="94">
        <v>509.16727473166907</v>
      </c>
      <c r="E701" s="95">
        <v>4105502.3542540772</v>
      </c>
      <c r="F701" s="93" t="s">
        <v>729</v>
      </c>
      <c r="G701" s="25">
        <f t="shared" si="22"/>
        <v>5.3685098550526611E-4</v>
      </c>
      <c r="I701" s="94">
        <v>234.5177346488581</v>
      </c>
      <c r="J701" s="94">
        <v>237.2477136256845</v>
      </c>
      <c r="K701" s="94">
        <v>234.04505277654539</v>
      </c>
      <c r="L701" s="94">
        <v>236.03224595402327</v>
      </c>
      <c r="M701" s="95">
        <v>717286.12806988449</v>
      </c>
      <c r="N701" s="93" t="s">
        <v>729</v>
      </c>
      <c r="O701" s="25">
        <f t="shared" si="23"/>
        <v>-6.4165440575445487E-3</v>
      </c>
    </row>
    <row r="702" spans="1:15">
      <c r="A702" s="94">
        <v>510.40709841237555</v>
      </c>
      <c r="B702" s="94">
        <v>511.40286231341531</v>
      </c>
      <c r="C702" s="94">
        <v>507.23441890062145</v>
      </c>
      <c r="D702" s="94">
        <v>509.4503840760824</v>
      </c>
      <c r="E702" s="95">
        <v>3350186.3810453224</v>
      </c>
      <c r="F702" s="93" t="s">
        <v>730</v>
      </c>
      <c r="G702" s="25">
        <f t="shared" si="22"/>
        <v>1.877934272300541E-3</v>
      </c>
      <c r="I702" s="94">
        <v>236.01295281637783</v>
      </c>
      <c r="J702" s="94">
        <v>238.03873226914655</v>
      </c>
      <c r="K702" s="94">
        <v>235.47370961918847</v>
      </c>
      <c r="L702" s="94">
        <v>236.62068665220846</v>
      </c>
      <c r="M702" s="95">
        <v>711555.5930977118</v>
      </c>
      <c r="N702" s="93" t="s">
        <v>730</v>
      </c>
      <c r="O702" s="25">
        <f t="shared" si="23"/>
        <v>-2.5683884381753064E-3</v>
      </c>
    </row>
    <row r="703" spans="1:15">
      <c r="A703" s="94">
        <v>510.31923689169554</v>
      </c>
      <c r="B703" s="94">
        <v>514.57563944908122</v>
      </c>
      <c r="C703" s="94">
        <v>507.86887670384277</v>
      </c>
      <c r="D703" s="94">
        <v>514.51706510196118</v>
      </c>
      <c r="E703" s="95">
        <v>9422544.9729626868</v>
      </c>
      <c r="F703" s="93" t="s">
        <v>731</v>
      </c>
      <c r="G703" s="25">
        <f t="shared" si="22"/>
        <v>-8.15877352762584E-3</v>
      </c>
      <c r="I703" s="94">
        <v>236.62068665220846</v>
      </c>
      <c r="J703" s="94">
        <v>238.58858669204093</v>
      </c>
      <c r="K703" s="94">
        <v>227.40821342652217</v>
      </c>
      <c r="L703" s="94">
        <v>229.07706983285067</v>
      </c>
      <c r="M703" s="95">
        <v>1296070.1602593279</v>
      </c>
      <c r="N703" s="93" t="s">
        <v>731</v>
      </c>
      <c r="O703" s="25">
        <f t="shared" si="23"/>
        <v>3.2930475428475159E-2</v>
      </c>
    </row>
    <row r="704" spans="1:15">
      <c r="A704" s="94">
        <v>515.13209574672101</v>
      </c>
      <c r="B704" s="94">
        <v>515.41032389554107</v>
      </c>
      <c r="C704" s="94">
        <v>509.78230537642906</v>
      </c>
      <c r="D704" s="94">
        <v>511.86169469918855</v>
      </c>
      <c r="E704" s="95">
        <v>8212484.8786553759</v>
      </c>
      <c r="F704" s="93" t="s">
        <v>732</v>
      </c>
      <c r="G704" s="25">
        <f t="shared" si="22"/>
        <v>6.3892279523951601E-3</v>
      </c>
      <c r="I704" s="94">
        <v>229.46293258575901</v>
      </c>
      <c r="J704" s="94">
        <v>230.06101985276692</v>
      </c>
      <c r="K704" s="94">
        <v>225.85125721853709</v>
      </c>
      <c r="L704" s="94">
        <v>227.65902421591258</v>
      </c>
      <c r="M704" s="95">
        <v>911758.38390284893</v>
      </c>
      <c r="N704" s="93" t="s">
        <v>732</v>
      </c>
      <c r="O704" s="25">
        <f t="shared" si="23"/>
        <v>7.9237288135594053E-3</v>
      </c>
    </row>
    <row r="705" spans="1:15">
      <c r="A705" s="94">
        <v>512.89650816497488</v>
      </c>
      <c r="B705" s="94">
        <v>515.22971965858767</v>
      </c>
      <c r="C705" s="94">
        <v>511.86169469918855</v>
      </c>
      <c r="D705" s="94">
        <v>514.56587705789457</v>
      </c>
      <c r="E705" s="95">
        <v>5734859.3115667924</v>
      </c>
      <c r="F705" s="93" t="s">
        <v>733</v>
      </c>
      <c r="G705" s="25">
        <f t="shared" si="22"/>
        <v>-3.2442277409931997E-3</v>
      </c>
      <c r="I705" s="94">
        <v>226.68472076481908</v>
      </c>
      <c r="J705" s="94">
        <v>227.04164381125926</v>
      </c>
      <c r="K705" s="94">
        <v>223.31324496128255</v>
      </c>
      <c r="L705" s="94">
        <v>223.83898296212016</v>
      </c>
      <c r="M705" s="95">
        <v>805965.32745384146</v>
      </c>
      <c r="N705" s="93" t="s">
        <v>733</v>
      </c>
      <c r="O705" s="25">
        <f t="shared" si="23"/>
        <v>1.2713325288743471E-2</v>
      </c>
    </row>
    <row r="706" spans="1:15">
      <c r="A706" s="94">
        <v>513.56171749732982</v>
      </c>
      <c r="B706" s="94">
        <v>515.72223865109902</v>
      </c>
      <c r="C706" s="94">
        <v>511.41092842082969</v>
      </c>
      <c r="D706" s="94">
        <v>515.47893671936822</v>
      </c>
      <c r="E706" s="95">
        <v>5419105.1448737904</v>
      </c>
      <c r="F706" s="93" t="s">
        <v>734</v>
      </c>
      <c r="G706" s="25">
        <f t="shared" si="22"/>
        <v>-3.7192969207239246E-3</v>
      </c>
      <c r="I706" s="94">
        <v>223.37594765863017</v>
      </c>
      <c r="J706" s="94">
        <v>226.6268413518828</v>
      </c>
      <c r="K706" s="94">
        <v>223.2023094198214</v>
      </c>
      <c r="L706" s="94">
        <v>224.1380265956241</v>
      </c>
      <c r="M706" s="95">
        <v>586503.8755211673</v>
      </c>
      <c r="N706" s="93" t="s">
        <v>734</v>
      </c>
      <c r="O706" s="25">
        <f t="shared" si="23"/>
        <v>-3.4000430385193736E-3</v>
      </c>
    </row>
    <row r="707" spans="1:15">
      <c r="A707" s="94">
        <v>511.52771334806044</v>
      </c>
      <c r="B707" s="94">
        <v>513.17243440656046</v>
      </c>
      <c r="C707" s="94">
        <v>510.59343393021425</v>
      </c>
      <c r="D707" s="94">
        <v>512.50092107498358</v>
      </c>
      <c r="E707" s="95">
        <v>36393102.952416189</v>
      </c>
      <c r="F707" s="93" t="s">
        <v>735</v>
      </c>
      <c r="G707" s="25">
        <f t="shared" si="22"/>
        <v>-1.8989384933821851E-3</v>
      </c>
      <c r="I707" s="94">
        <v>225.07374377142679</v>
      </c>
      <c r="J707" s="94">
        <v>227.31174773829508</v>
      </c>
      <c r="K707" s="94">
        <v>224.28272512796474</v>
      </c>
      <c r="L707" s="94">
        <v>227.19598891242259</v>
      </c>
      <c r="M707" s="95">
        <v>782214.9137875156</v>
      </c>
      <c r="N707" s="93" t="s">
        <v>735</v>
      </c>
      <c r="O707" s="25">
        <f t="shared" si="23"/>
        <v>-9.3410326086956763E-3</v>
      </c>
    </row>
    <row r="708" spans="1:15">
      <c r="A708" s="94">
        <v>512.56904561586816</v>
      </c>
      <c r="B708" s="94">
        <v>512.72475885217591</v>
      </c>
      <c r="C708" s="94">
        <v>509.3574601170219</v>
      </c>
      <c r="D708" s="94">
        <v>511.9169964388297</v>
      </c>
      <c r="E708" s="95">
        <v>4778638.5900400765</v>
      </c>
      <c r="F708" s="93" t="s">
        <v>736</v>
      </c>
      <c r="G708" s="25">
        <f t="shared" si="22"/>
        <v>1.2737400429649881E-3</v>
      </c>
      <c r="I708" s="94">
        <v>226.44355654425135</v>
      </c>
      <c r="J708" s="94">
        <v>229.2345983017255</v>
      </c>
      <c r="K708" s="94">
        <v>225.48893209355617</v>
      </c>
      <c r="L708" s="94">
        <v>228.9709575758009</v>
      </c>
      <c r="M708" s="95">
        <v>779930.16359238746</v>
      </c>
      <c r="N708" s="93" t="s">
        <v>736</v>
      </c>
      <c r="O708" s="25">
        <f t="shared" si="23"/>
        <v>-1.1038085608358617E-2</v>
      </c>
    </row>
    <row r="709" spans="1:15">
      <c r="A709" s="94">
        <v>511.09950194821425</v>
      </c>
      <c r="B709" s="94">
        <v>511.74181904798354</v>
      </c>
      <c r="C709" s="94">
        <v>509.79540359413733</v>
      </c>
      <c r="D709" s="94">
        <v>510.93405663463733</v>
      </c>
      <c r="E709" s="95">
        <v>30095481.354839034</v>
      </c>
      <c r="F709" s="93" t="s">
        <v>737</v>
      </c>
      <c r="G709" s="25">
        <f t="shared" si="22"/>
        <v>3.2380952380961503E-4</v>
      </c>
      <c r="I709" s="94">
        <v>229.32788062224108</v>
      </c>
      <c r="J709" s="94">
        <v>229.65586396221318</v>
      </c>
      <c r="K709" s="94">
        <v>224.92904523908615</v>
      </c>
      <c r="L709" s="94">
        <v>225.17020945965388</v>
      </c>
      <c r="M709" s="95">
        <v>712780.89923684124</v>
      </c>
      <c r="N709" s="93" t="s">
        <v>737</v>
      </c>
      <c r="O709" s="25">
        <f t="shared" si="23"/>
        <v>1.8464570302459071E-2</v>
      </c>
    </row>
    <row r="710" spans="1:15">
      <c r="A710" s="94">
        <v>509.84406398048344</v>
      </c>
      <c r="B710" s="94">
        <v>510.85620001648346</v>
      </c>
      <c r="C710" s="94">
        <v>507.15801065417565</v>
      </c>
      <c r="D710" s="94">
        <v>509.48397712152189</v>
      </c>
      <c r="E710" s="95">
        <v>5767194.2430471368</v>
      </c>
      <c r="F710" s="93" t="s">
        <v>738</v>
      </c>
      <c r="G710" s="25">
        <f t="shared" si="22"/>
        <v>7.0676777903000421E-4</v>
      </c>
      <c r="I710" s="94">
        <v>224.96763151437702</v>
      </c>
      <c r="J710" s="94">
        <v>225.31490799199449</v>
      </c>
      <c r="K710" s="94">
        <v>221.12829712293916</v>
      </c>
      <c r="L710" s="94">
        <v>221.62991870171999</v>
      </c>
      <c r="M710" s="95">
        <v>1312268.6659530995</v>
      </c>
      <c r="N710" s="93" t="s">
        <v>738</v>
      </c>
      <c r="O710" s="25">
        <f t="shared" si="23"/>
        <v>1.5059847660500614E-2</v>
      </c>
    </row>
    <row r="711" spans="1:15">
      <c r="A711" s="94">
        <v>510.84646793921422</v>
      </c>
      <c r="B711" s="94">
        <v>512.4911889977144</v>
      </c>
      <c r="C711" s="94">
        <v>508.19934292198343</v>
      </c>
      <c r="D711" s="94">
        <v>510.81727170740658</v>
      </c>
      <c r="E711" s="95">
        <v>5711392.1789064249</v>
      </c>
      <c r="F711" s="93" t="s">
        <v>739</v>
      </c>
      <c r="G711" s="25">
        <f t="shared" si="22"/>
        <v>5.7155921353357897E-5</v>
      </c>
      <c r="I711" s="94">
        <v>222.31482508813227</v>
      </c>
      <c r="J711" s="94">
        <v>223.5495858974389</v>
      </c>
      <c r="K711" s="94">
        <v>220.79066721414438</v>
      </c>
      <c r="L711" s="94">
        <v>223.10584373159432</v>
      </c>
      <c r="M711" s="95">
        <v>714973.3886482279</v>
      </c>
      <c r="N711" s="93" t="s">
        <v>739</v>
      </c>
      <c r="O711" s="25">
        <f t="shared" si="23"/>
        <v>-3.5454859910064584E-3</v>
      </c>
    </row>
    <row r="712" spans="1:15">
      <c r="A712" s="94">
        <v>502.08759839690617</v>
      </c>
      <c r="B712" s="94">
        <v>508.72487509452191</v>
      </c>
      <c r="C712" s="94">
        <v>501.65938699706004</v>
      </c>
      <c r="D712" s="94">
        <v>504.2967799370216</v>
      </c>
      <c r="E712" s="95">
        <v>7111819.8186549805</v>
      </c>
      <c r="F712" s="93" t="s">
        <v>740</v>
      </c>
      <c r="G712" s="25">
        <f t="shared" si="22"/>
        <v>-4.3807171253231747E-3</v>
      </c>
      <c r="I712" s="94">
        <v>221.59133242642915</v>
      </c>
      <c r="J712" s="94">
        <v>223.82933639329744</v>
      </c>
      <c r="K712" s="94">
        <v>220.37846932835004</v>
      </c>
      <c r="L712" s="94">
        <v>222.32447165695496</v>
      </c>
      <c r="M712" s="95">
        <v>583681.11019388319</v>
      </c>
      <c r="N712" s="93" t="s">
        <v>740</v>
      </c>
      <c r="O712" s="25">
        <f t="shared" si="23"/>
        <v>-3.2976092333057982E-3</v>
      </c>
    </row>
    <row r="713" spans="1:15">
      <c r="A713" s="94">
        <v>503.72258737813706</v>
      </c>
      <c r="B713" s="94">
        <v>506.78332567931022</v>
      </c>
      <c r="C713" s="94">
        <v>501.68858322886769</v>
      </c>
      <c r="D713" s="94">
        <v>505.52302167294488</v>
      </c>
      <c r="E713" s="95">
        <v>8374324.1802721824</v>
      </c>
      <c r="F713" s="93" t="s">
        <v>741</v>
      </c>
      <c r="G713" s="25">
        <f t="shared" si="22"/>
        <v>-3.5615277991684069E-3</v>
      </c>
      <c r="I713" s="94">
        <v>221.59133242642915</v>
      </c>
      <c r="J713" s="94">
        <v>222.65245499692705</v>
      </c>
      <c r="K713" s="94">
        <v>219.3919147348517</v>
      </c>
      <c r="L713" s="94">
        <v>221.81320350935144</v>
      </c>
      <c r="M713" s="95">
        <v>564441.1085506985</v>
      </c>
      <c r="N713" s="93" t="s">
        <v>741</v>
      </c>
      <c r="O713" s="25">
        <f t="shared" si="23"/>
        <v>-1.0002609376359439E-3</v>
      </c>
    </row>
    <row r="714" spans="1:15">
      <c r="A714" s="94">
        <v>503.4890175236755</v>
      </c>
      <c r="B714" s="94">
        <v>503.72258737813706</v>
      </c>
      <c r="C714" s="94">
        <v>500.86135666098306</v>
      </c>
      <c r="D714" s="94">
        <v>502.50607771948319</v>
      </c>
      <c r="E714" s="95">
        <v>4373427.0518551217</v>
      </c>
      <c r="F714" s="93" t="s">
        <v>742</v>
      </c>
      <c r="G714" s="25">
        <f t="shared" si="22"/>
        <v>1.9560754541581016E-3</v>
      </c>
      <c r="I714" s="94">
        <v>223.52064619097078</v>
      </c>
      <c r="J714" s="94">
        <v>225.99981437840677</v>
      </c>
      <c r="K714" s="94">
        <v>221.49486673820209</v>
      </c>
      <c r="L714" s="94">
        <v>223.79075011800663</v>
      </c>
      <c r="M714" s="95">
        <v>521646.6178268863</v>
      </c>
      <c r="N714" s="93" t="s">
        <v>742</v>
      </c>
      <c r="O714" s="25">
        <f t="shared" si="23"/>
        <v>-1.2069485753697373E-3</v>
      </c>
    </row>
    <row r="715" spans="1:15">
      <c r="A715" s="94">
        <v>502.72991549667552</v>
      </c>
      <c r="B715" s="94">
        <v>503.6641949145216</v>
      </c>
      <c r="C715" s="94">
        <v>500.4526094156754</v>
      </c>
      <c r="D715" s="94">
        <v>500.64725096105991</v>
      </c>
      <c r="E715" s="95">
        <v>4538230.5111403055</v>
      </c>
      <c r="F715" s="93" t="s">
        <v>743</v>
      </c>
      <c r="G715" s="25">
        <f t="shared" si="22"/>
        <v>4.1599440157069623E-3</v>
      </c>
      <c r="I715" s="94">
        <v>221.64921183936542</v>
      </c>
      <c r="J715" s="94">
        <v>222.85503294220393</v>
      </c>
      <c r="K715" s="94">
        <v>219.73919121246917</v>
      </c>
      <c r="L715" s="94">
        <v>220.3662181859452</v>
      </c>
      <c r="M715" s="95">
        <v>676527.59441650414</v>
      </c>
      <c r="N715" s="93" t="s">
        <v>743</v>
      </c>
      <c r="O715" s="25">
        <f t="shared" si="23"/>
        <v>5.8220977061811396E-3</v>
      </c>
    </row>
    <row r="716" spans="1:15">
      <c r="A716" s="94">
        <v>500.07305840217538</v>
      </c>
      <c r="B716" s="94">
        <v>500.36482607870693</v>
      </c>
      <c r="C716" s="94">
        <v>494.44791774055972</v>
      </c>
      <c r="D716" s="94">
        <v>496.42352942621363</v>
      </c>
      <c r="E716" s="95">
        <v>4212397.7097479971</v>
      </c>
      <c r="F716" s="93" t="s">
        <v>744</v>
      </c>
      <c r="G716" s="25">
        <f t="shared" si="22"/>
        <v>7.3516438275600393E-3</v>
      </c>
      <c r="I716" s="94">
        <v>220.10576082773207</v>
      </c>
      <c r="J716" s="94">
        <v>220.61702897533561</v>
      </c>
      <c r="K716" s="94">
        <v>217.64588577794152</v>
      </c>
      <c r="L716" s="94">
        <v>218.3307921643538</v>
      </c>
      <c r="M716" s="95">
        <v>808933.222103865</v>
      </c>
      <c r="N716" s="93" t="s">
        <v>744</v>
      </c>
      <c r="O716" s="25">
        <f t="shared" si="23"/>
        <v>8.1297220872176279E-3</v>
      </c>
    </row>
    <row r="717" spans="1:15">
      <c r="A717" s="94">
        <v>495.81040855825205</v>
      </c>
      <c r="B717" s="94">
        <v>496.76415213063672</v>
      </c>
      <c r="C717" s="94">
        <v>482.95433448559766</v>
      </c>
      <c r="D717" s="94">
        <v>490.79838876459803</v>
      </c>
      <c r="E717" s="95">
        <v>5081990.065611871</v>
      </c>
      <c r="F717" s="93" t="s">
        <v>745</v>
      </c>
      <c r="G717" s="25">
        <f t="shared" si="22"/>
        <v>1.0211972794511137E-2</v>
      </c>
      <c r="I717" s="94">
        <v>218.98675884429792</v>
      </c>
      <c r="J717" s="94">
        <v>219.27615590897921</v>
      </c>
      <c r="K717" s="94">
        <v>214.17312100176659</v>
      </c>
      <c r="L717" s="94">
        <v>218.54301667845337</v>
      </c>
      <c r="M717" s="95">
        <v>754408.13555061969</v>
      </c>
      <c r="N717" s="93" t="s">
        <v>745</v>
      </c>
      <c r="O717" s="25">
        <f t="shared" si="23"/>
        <v>2.0304568527917954E-3</v>
      </c>
    </row>
    <row r="718" spans="1:15">
      <c r="A718" s="94">
        <v>490.7886566873288</v>
      </c>
      <c r="B718" s="94">
        <v>491.18280581673264</v>
      </c>
      <c r="C718" s="94">
        <v>486.11696763577976</v>
      </c>
      <c r="D718" s="94">
        <v>490.44803398290566</v>
      </c>
      <c r="E718" s="95">
        <v>3057296.934342003</v>
      </c>
      <c r="F718" s="93" t="s">
        <v>746</v>
      </c>
      <c r="G718" s="25">
        <f t="shared" si="22"/>
        <v>6.9451334457792946E-4</v>
      </c>
      <c r="I718" s="94">
        <v>219.83565690069625</v>
      </c>
      <c r="J718" s="94">
        <v>222.35341136342311</v>
      </c>
      <c r="K718" s="94">
        <v>218.50443040316253</v>
      </c>
      <c r="L718" s="94">
        <v>221.87108292228768</v>
      </c>
      <c r="M718" s="95">
        <v>591197.77247377182</v>
      </c>
      <c r="N718" s="93" t="s">
        <v>746</v>
      </c>
      <c r="O718" s="25">
        <f t="shared" si="23"/>
        <v>-9.1739130434783656E-3</v>
      </c>
    </row>
    <row r="719" spans="1:15">
      <c r="A719" s="94">
        <v>488.77411669259794</v>
      </c>
      <c r="B719" s="94">
        <v>489.8835735012903</v>
      </c>
      <c r="C719" s="94">
        <v>485.38735380290547</v>
      </c>
      <c r="D719" s="94">
        <v>487.18778809771328</v>
      </c>
      <c r="E719" s="95">
        <v>3757468.1117270649</v>
      </c>
      <c r="F719" s="93" t="s">
        <v>747</v>
      </c>
      <c r="G719" s="25">
        <f t="shared" si="22"/>
        <v>3.2560926887734709E-3</v>
      </c>
      <c r="I719" s="94">
        <v>221.16688339823</v>
      </c>
      <c r="J719" s="94">
        <v>221.66368169259945</v>
      </c>
      <c r="K719" s="94">
        <v>219.59449268012855</v>
      </c>
      <c r="L719" s="94">
        <v>220.08646769008669</v>
      </c>
      <c r="M719" s="95">
        <v>848732.86558914487</v>
      </c>
      <c r="N719" s="93" t="s">
        <v>747</v>
      </c>
      <c r="O719" s="25">
        <f t="shared" si="23"/>
        <v>4.909051062897074E-3</v>
      </c>
    </row>
    <row r="720" spans="1:15">
      <c r="A720" s="94">
        <v>483.33388549909768</v>
      </c>
      <c r="B720" s="94">
        <v>493.35792508640583</v>
      </c>
      <c r="C720" s="94">
        <v>482.51639100848229</v>
      </c>
      <c r="D720" s="94">
        <v>491.80079272332881</v>
      </c>
      <c r="E720" s="95">
        <v>7615474.882666532</v>
      </c>
      <c r="F720" s="93" t="s">
        <v>748</v>
      </c>
      <c r="G720" s="25">
        <f t="shared" si="22"/>
        <v>-1.7216131713301941E-2</v>
      </c>
      <c r="I720" s="94">
        <v>219.19898335839753</v>
      </c>
      <c r="J720" s="94">
        <v>224.72646729380932</v>
      </c>
      <c r="K720" s="94">
        <v>218.30185245788567</v>
      </c>
      <c r="L720" s="94">
        <v>222.9418520616083</v>
      </c>
      <c r="M720" s="95">
        <v>663714.74849464186</v>
      </c>
      <c r="N720" s="93" t="s">
        <v>748</v>
      </c>
      <c r="O720" s="25">
        <f t="shared" si="23"/>
        <v>-1.6788542252607064E-2</v>
      </c>
    </row>
    <row r="721" spans="1:15">
      <c r="A721" s="94">
        <v>491.51856248252113</v>
      </c>
      <c r="B721" s="94">
        <v>495.30434054025204</v>
      </c>
      <c r="C721" s="94">
        <v>489.367773406021</v>
      </c>
      <c r="D721" s="94">
        <v>492.79346460479042</v>
      </c>
      <c r="E721" s="95">
        <v>3519874.4371155333</v>
      </c>
      <c r="F721" s="93" t="s">
        <v>749</v>
      </c>
      <c r="G721" s="25">
        <f t="shared" si="22"/>
        <v>-2.5870921873765163E-3</v>
      </c>
      <c r="I721" s="94">
        <v>223.18301627458996</v>
      </c>
      <c r="J721" s="94">
        <v>227.79026931999692</v>
      </c>
      <c r="K721" s="94">
        <v>221.10015396031218</v>
      </c>
      <c r="L721" s="94">
        <v>227.79026931999692</v>
      </c>
      <c r="M721" s="95">
        <v>713033.29068824952</v>
      </c>
      <c r="N721" s="93" t="s">
        <v>749</v>
      </c>
      <c r="O721" s="25">
        <f t="shared" si="23"/>
        <v>-2.0225855385133884E-2</v>
      </c>
    </row>
    <row r="722" spans="1:15">
      <c r="A722" s="94">
        <v>492.73507214117501</v>
      </c>
      <c r="B722" s="94">
        <v>495.87853309913669</v>
      </c>
      <c r="C722" s="94">
        <v>491.48936625071343</v>
      </c>
      <c r="D722" s="94">
        <v>492.13168335048272</v>
      </c>
      <c r="E722" s="95">
        <v>3700518.2967320401</v>
      </c>
      <c r="F722" s="93" t="s">
        <v>750</v>
      </c>
      <c r="G722" s="25">
        <f t="shared" si="22"/>
        <v>1.2260718240784119E-3</v>
      </c>
      <c r="I722" s="94">
        <v>227.00319692473991</v>
      </c>
      <c r="J722" s="94">
        <v>228.66852693177765</v>
      </c>
      <c r="K722" s="94">
        <v>226.34090429946264</v>
      </c>
      <c r="L722" s="94">
        <v>226.34090429946264</v>
      </c>
      <c r="M722" s="95">
        <v>748989.11911081581</v>
      </c>
      <c r="N722" s="93" t="s">
        <v>750</v>
      </c>
      <c r="O722" s="25">
        <f t="shared" si="23"/>
        <v>2.9260845596030816E-3</v>
      </c>
    </row>
    <row r="723" spans="1:15">
      <c r="A723" s="94">
        <v>493.96131387709818</v>
      </c>
      <c r="B723" s="94">
        <v>501.62045868798305</v>
      </c>
      <c r="C723" s="94">
        <v>491.5672228688673</v>
      </c>
      <c r="D723" s="94">
        <v>501.31876429263696</v>
      </c>
      <c r="E723" s="95">
        <v>6027943.3030677484</v>
      </c>
      <c r="F723" s="93" t="s">
        <v>751</v>
      </c>
      <c r="G723" s="25">
        <f t="shared" si="22"/>
        <v>-1.4676191955272588E-2</v>
      </c>
      <c r="I723" s="94">
        <v>225.83218677569894</v>
      </c>
      <c r="J723" s="94">
        <v>228.2701915122268</v>
      </c>
      <c r="K723" s="94">
        <v>224.46920774976607</v>
      </c>
      <c r="L723" s="94">
        <v>227.17596891394265</v>
      </c>
      <c r="M723" s="95">
        <v>785672.14874568384</v>
      </c>
      <c r="N723" s="93" t="s">
        <v>751</v>
      </c>
      <c r="O723" s="25">
        <f t="shared" si="23"/>
        <v>-5.9151597093122232E-3</v>
      </c>
    </row>
    <row r="724" spans="1:15">
      <c r="A724" s="94">
        <v>504.16053085525238</v>
      </c>
      <c r="B724" s="94">
        <v>504.68606302779096</v>
      </c>
      <c r="C724" s="94">
        <v>498.39914111186755</v>
      </c>
      <c r="D724" s="94">
        <v>501.61072661071381</v>
      </c>
      <c r="E724" s="95">
        <v>5792930.7834660951</v>
      </c>
      <c r="F724" s="93" t="s">
        <v>752</v>
      </c>
      <c r="G724" s="25">
        <f t="shared" si="22"/>
        <v>5.0832330914594159E-3</v>
      </c>
      <c r="I724" s="94">
        <v>227.16637047009806</v>
      </c>
      <c r="J724" s="94">
        <v>227.42552845390219</v>
      </c>
      <c r="K724" s="94">
        <v>223.84530889986721</v>
      </c>
      <c r="L724" s="94">
        <v>224.36362486747547</v>
      </c>
      <c r="M724" s="95">
        <v>727656.49443590653</v>
      </c>
      <c r="N724" s="93" t="s">
        <v>752</v>
      </c>
      <c r="O724" s="25">
        <f t="shared" si="23"/>
        <v>1.2491978609625809E-2</v>
      </c>
    </row>
    <row r="725" spans="1:15">
      <c r="A725" s="94">
        <v>499.45993753421379</v>
      </c>
      <c r="B725" s="94">
        <v>504.2091912415986</v>
      </c>
      <c r="C725" s="94">
        <v>498.40887318913678</v>
      </c>
      <c r="D725" s="94">
        <v>501.19224728813691</v>
      </c>
      <c r="E725" s="95">
        <v>3583145.6158130942</v>
      </c>
      <c r="F725" s="93" t="s">
        <v>753</v>
      </c>
      <c r="G725" s="25">
        <f t="shared" si="22"/>
        <v>-3.4563777937435258E-3</v>
      </c>
      <c r="I725" s="94">
        <v>224.2964357605633</v>
      </c>
      <c r="J725" s="94">
        <v>225.89937588261114</v>
      </c>
      <c r="K725" s="94">
        <v>220.76420842575126</v>
      </c>
      <c r="L725" s="94">
        <v>223.68213535450903</v>
      </c>
      <c r="M725" s="95">
        <v>628127.86089207791</v>
      </c>
      <c r="N725" s="93" t="s">
        <v>753</v>
      </c>
      <c r="O725" s="25">
        <f t="shared" si="23"/>
        <v>2.746309646412648E-3</v>
      </c>
    </row>
    <row r="726" spans="1:15">
      <c r="A726" s="94">
        <v>499.38208091605992</v>
      </c>
      <c r="B726" s="94">
        <v>502.39902486952161</v>
      </c>
      <c r="C726" s="94">
        <v>496.49165396709827</v>
      </c>
      <c r="D726" s="94">
        <v>501.9805455469446</v>
      </c>
      <c r="E726" s="95">
        <v>4048907.4336246871</v>
      </c>
      <c r="F726" s="93" t="s">
        <v>754</v>
      </c>
      <c r="G726" s="25">
        <f t="shared" si="22"/>
        <v>-5.1764249709188581E-3</v>
      </c>
      <c r="I726" s="94">
        <v>222.63590497544786</v>
      </c>
      <c r="J726" s="94">
        <v>223.94129333831319</v>
      </c>
      <c r="K726" s="94">
        <v>221.11647131484801</v>
      </c>
      <c r="L726" s="94">
        <v>221.29212283720418</v>
      </c>
      <c r="M726" s="95">
        <v>574407.69454550894</v>
      </c>
      <c r="N726" s="93" t="s">
        <v>754</v>
      </c>
      <c r="O726" s="25">
        <f t="shared" si="23"/>
        <v>6.0724354803729508E-3</v>
      </c>
    </row>
    <row r="727" spans="1:15">
      <c r="A727" s="94">
        <v>502.25304371048315</v>
      </c>
      <c r="B727" s="94">
        <v>502.74937965121393</v>
      </c>
      <c r="C727" s="94">
        <v>499.41127714786757</v>
      </c>
      <c r="D727" s="94">
        <v>500.48180564748304</v>
      </c>
      <c r="E727" s="95">
        <v>3115242.4257719684</v>
      </c>
      <c r="F727" s="93" t="s">
        <v>755</v>
      </c>
      <c r="G727" s="25">
        <f t="shared" si="22"/>
        <v>3.5390658421809995E-3</v>
      </c>
      <c r="I727" s="94">
        <v>220.82179908881886</v>
      </c>
      <c r="J727" s="94">
        <v>221.18653995491357</v>
      </c>
      <c r="K727" s="94">
        <v>217.13599665249328</v>
      </c>
      <c r="L727" s="94">
        <v>219.57400138902113</v>
      </c>
      <c r="M727" s="95">
        <v>622641.55489783722</v>
      </c>
      <c r="N727" s="93" t="s">
        <v>755</v>
      </c>
      <c r="O727" s="25">
        <f t="shared" si="23"/>
        <v>5.6828116803637752E-3</v>
      </c>
    </row>
    <row r="728" spans="1:15">
      <c r="A728" s="94">
        <v>501.58153037890617</v>
      </c>
      <c r="B728" s="94">
        <v>504.40383278698317</v>
      </c>
      <c r="C728" s="94">
        <v>500.10712067261767</v>
      </c>
      <c r="D728" s="94">
        <v>503.77124776448318</v>
      </c>
      <c r="E728" s="95">
        <v>3492204.0854988866</v>
      </c>
      <c r="F728" s="93" t="s">
        <v>756</v>
      </c>
      <c r="G728" s="25">
        <f t="shared" si="22"/>
        <v>-4.3466501815934144E-3</v>
      </c>
      <c r="I728" s="94">
        <v>219.75637182206847</v>
      </c>
      <c r="J728" s="94">
        <v>222.58791275622488</v>
      </c>
      <c r="K728" s="94">
        <v>219.18046519139261</v>
      </c>
      <c r="L728" s="94">
        <v>221.97361235017061</v>
      </c>
      <c r="M728" s="95">
        <v>632572.33133860864</v>
      </c>
      <c r="N728" s="93" t="s">
        <v>756</v>
      </c>
      <c r="O728" s="25">
        <f t="shared" si="23"/>
        <v>-9.9887572429301352E-3</v>
      </c>
    </row>
    <row r="729" spans="1:15">
      <c r="A729" s="94">
        <v>502.81750419209851</v>
      </c>
      <c r="B729" s="94">
        <v>503.68365906906007</v>
      </c>
      <c r="C729" s="94">
        <v>498.52770185259413</v>
      </c>
      <c r="D729" s="94">
        <v>500.54993018836768</v>
      </c>
      <c r="E729" s="95">
        <v>5243270.1250049872</v>
      </c>
      <c r="F729" s="93" t="s">
        <v>757</v>
      </c>
      <c r="G729" s="25">
        <f t="shared" si="22"/>
        <v>4.5301654579743555E-3</v>
      </c>
      <c r="I729" s="94">
        <v>221.41690260718394</v>
      </c>
      <c r="J729" s="94">
        <v>224.10446688367134</v>
      </c>
      <c r="K729" s="94">
        <v>220.1883017950754</v>
      </c>
      <c r="L729" s="94">
        <v>222.22317189013017</v>
      </c>
      <c r="M729" s="95">
        <v>690243.13808209391</v>
      </c>
      <c r="N729" s="93" t="s">
        <v>757</v>
      </c>
      <c r="O729" s="25">
        <f t="shared" si="23"/>
        <v>-3.6281962681410374E-3</v>
      </c>
    </row>
    <row r="730" spans="1:15">
      <c r="A730" s="94">
        <v>497.43566546221371</v>
      </c>
      <c r="B730" s="94">
        <v>503.76151568721394</v>
      </c>
      <c r="C730" s="94">
        <v>496.43326150348287</v>
      </c>
      <c r="D730" s="94">
        <v>503.19705520559847</v>
      </c>
      <c r="E730" s="95">
        <v>3778316.6925990526</v>
      </c>
      <c r="F730" s="93" t="s">
        <v>758</v>
      </c>
      <c r="G730" s="25">
        <f t="shared" si="22"/>
        <v>-1.1449569674112592E-2</v>
      </c>
      <c r="I730" s="94">
        <v>221.92562013094764</v>
      </c>
      <c r="J730" s="94">
        <v>222.28776941720429</v>
      </c>
      <c r="K730" s="94">
        <v>219.74677337822391</v>
      </c>
      <c r="L730" s="94">
        <v>221.10015396031218</v>
      </c>
      <c r="M730" s="95">
        <v>588139.08706432628</v>
      </c>
      <c r="N730" s="93" t="s">
        <v>758</v>
      </c>
      <c r="O730" s="25">
        <f t="shared" si="23"/>
        <v>3.7334490991969282E-3</v>
      </c>
    </row>
    <row r="731" spans="1:15">
      <c r="A731" s="94">
        <v>501.49394168348306</v>
      </c>
      <c r="B731" s="94">
        <v>502.81740687132583</v>
      </c>
      <c r="C731" s="94">
        <v>499.10958275252148</v>
      </c>
      <c r="D731" s="94">
        <v>500.6861792701369</v>
      </c>
      <c r="E731" s="95">
        <v>3436111.2304076194</v>
      </c>
      <c r="F731" s="93" t="s">
        <v>759</v>
      </c>
      <c r="G731" s="25">
        <f t="shared" si="22"/>
        <v>1.6133107858571361E-3</v>
      </c>
      <c r="I731" s="94">
        <v>220.81220064497427</v>
      </c>
      <c r="J731" s="94">
        <v>221.25372906182577</v>
      </c>
      <c r="K731" s="94">
        <v>218.92130720758848</v>
      </c>
      <c r="L731" s="94">
        <v>221.02336640955542</v>
      </c>
      <c r="M731" s="95">
        <v>388539.02365631214</v>
      </c>
      <c r="N731" s="93" t="s">
        <v>759</v>
      </c>
      <c r="O731" s="25">
        <f t="shared" si="23"/>
        <v>-9.5540018239459457E-4</v>
      </c>
    </row>
    <row r="732" spans="1:15">
      <c r="A732" s="94">
        <v>499.74216777502147</v>
      </c>
      <c r="B732" s="94">
        <v>501.66902175355659</v>
      </c>
      <c r="C732" s="94">
        <v>498.52565811636759</v>
      </c>
      <c r="D732" s="94">
        <v>500.15091502032914</v>
      </c>
      <c r="E732" s="95">
        <v>3242864.7170506031</v>
      </c>
      <c r="F732" s="93" t="s">
        <v>760</v>
      </c>
      <c r="G732" s="25">
        <f t="shared" si="22"/>
        <v>-8.1724782067238433E-4</v>
      </c>
      <c r="I732" s="94">
        <v>220.41866444734575</v>
      </c>
      <c r="J732" s="94">
        <v>221.1193508480014</v>
      </c>
      <c r="K732" s="94">
        <v>219.5357035980812</v>
      </c>
      <c r="L732" s="94">
        <v>221.1193508480014</v>
      </c>
      <c r="M732" s="95">
        <v>413173.22518191434</v>
      </c>
      <c r="N732" s="93" t="s">
        <v>760</v>
      </c>
      <c r="O732" s="25">
        <f t="shared" si="23"/>
        <v>-3.1688153839476429E-3</v>
      </c>
    </row>
    <row r="733" spans="1:15">
      <c r="A733" s="94">
        <v>500.56939434290615</v>
      </c>
      <c r="B733" s="94">
        <v>500.56939434290615</v>
      </c>
      <c r="C733" s="94">
        <v>495.42112546748285</v>
      </c>
      <c r="D733" s="94">
        <v>496.19969164902136</v>
      </c>
      <c r="E733" s="95">
        <v>3909045.2066463428</v>
      </c>
      <c r="F733" s="93" t="s">
        <v>761</v>
      </c>
      <c r="G733" s="25">
        <f t="shared" si="22"/>
        <v>8.8063389950181481E-3</v>
      </c>
      <c r="I733" s="94">
        <v>221.22493373029195</v>
      </c>
      <c r="J733" s="94">
        <v>221.32091816873796</v>
      </c>
      <c r="K733" s="94">
        <v>218.90211031989929</v>
      </c>
      <c r="L733" s="94">
        <v>218.90211031989929</v>
      </c>
      <c r="M733" s="95">
        <v>430714.61029870703</v>
      </c>
      <c r="N733" s="93" t="s">
        <v>761</v>
      </c>
      <c r="O733" s="25">
        <f t="shared" si="23"/>
        <v>1.0611242655441444E-2</v>
      </c>
    </row>
    <row r="734" spans="1:15">
      <c r="A734" s="94">
        <v>495.80067648098282</v>
      </c>
      <c r="B734" s="94">
        <v>496.4429935807521</v>
      </c>
      <c r="C734" s="94">
        <v>493.07569484559809</v>
      </c>
      <c r="D734" s="94">
        <v>493.26060431371349</v>
      </c>
      <c r="E734" s="95">
        <v>3544244.3628198667</v>
      </c>
      <c r="F734" s="93" t="s">
        <v>762</v>
      </c>
      <c r="G734" s="25">
        <f t="shared" si="22"/>
        <v>5.149554099913134E-3</v>
      </c>
      <c r="I734" s="94">
        <v>219.3244418490616</v>
      </c>
      <c r="J734" s="94">
        <v>219.54511007304887</v>
      </c>
      <c r="K734" s="94">
        <v>216.84804333715533</v>
      </c>
      <c r="L734" s="94">
        <v>217.95186437928407</v>
      </c>
      <c r="M734" s="95">
        <v>668960.52151347476</v>
      </c>
      <c r="N734" s="93" t="s">
        <v>762</v>
      </c>
      <c r="O734" s="25">
        <f t="shared" si="23"/>
        <v>6.2976174747877423E-3</v>
      </c>
    </row>
    <row r="735" spans="1:15">
      <c r="A735" s="94">
        <v>494.7593442131751</v>
      </c>
      <c r="B735" s="94">
        <v>494.96371783582896</v>
      </c>
      <c r="C735" s="94">
        <v>490.96938136221843</v>
      </c>
      <c r="D735" s="94">
        <v>491.55749079159801</v>
      </c>
      <c r="E735" s="95">
        <v>4396751.9796912046</v>
      </c>
      <c r="F735" s="93" t="s">
        <v>763</v>
      </c>
      <c r="G735" s="25">
        <f t="shared" si="22"/>
        <v>6.5136906293927765E-3</v>
      </c>
      <c r="I735" s="94">
        <v>217.39515463629743</v>
      </c>
      <c r="J735" s="94">
        <v>217.8942737162165</v>
      </c>
      <c r="K735" s="94">
        <v>216.02257716651991</v>
      </c>
      <c r="L735" s="94">
        <v>217.4143515239866</v>
      </c>
      <c r="M735" s="95">
        <v>722551.50025212776</v>
      </c>
      <c r="N735" s="93" t="s">
        <v>763</v>
      </c>
      <c r="O735" s="25">
        <f t="shared" si="23"/>
        <v>-8.829632245799246E-5</v>
      </c>
    </row>
    <row r="736" spans="1:15">
      <c r="A736" s="94">
        <v>486.40922191617477</v>
      </c>
      <c r="B736" s="94">
        <v>487.43109002944402</v>
      </c>
      <c r="C736" s="94">
        <v>483.17622584733618</v>
      </c>
      <c r="D736" s="94">
        <v>485.55279911648245</v>
      </c>
      <c r="E736" s="95">
        <v>3802377.3318153396</v>
      </c>
      <c r="F736" s="93" t="s">
        <v>764</v>
      </c>
      <c r="G736" s="25">
        <f t="shared" si="22"/>
        <v>1.7638098292311888E-3</v>
      </c>
      <c r="I736" s="94">
        <v>216.98242155097972</v>
      </c>
      <c r="J736" s="94">
        <v>219.13247297216964</v>
      </c>
      <c r="K736" s="94">
        <v>216.4833024710606</v>
      </c>
      <c r="L736" s="94">
        <v>217.36635930476362</v>
      </c>
      <c r="M736" s="95">
        <v>896360.92467658164</v>
      </c>
      <c r="N736" s="93" t="s">
        <v>764</v>
      </c>
      <c r="O736" s="25">
        <f t="shared" si="23"/>
        <v>-1.7663163472576571E-3</v>
      </c>
    </row>
    <row r="737" spans="1:15">
      <c r="A737" s="94">
        <v>484.86182163036699</v>
      </c>
      <c r="B737" s="94">
        <v>485.02726694394391</v>
      </c>
      <c r="C737" s="94">
        <v>479.71355275494369</v>
      </c>
      <c r="D737" s="94">
        <v>479.92765845486679</v>
      </c>
      <c r="E737" s="95">
        <v>3337300.8764207806</v>
      </c>
      <c r="F737" s="93" t="s">
        <v>765</v>
      </c>
      <c r="G737" s="25">
        <f t="shared" si="22"/>
        <v>1.0281056089548546E-2</v>
      </c>
      <c r="I737" s="94">
        <v>218.72933833069652</v>
      </c>
      <c r="J737" s="94">
        <v>220.46963218416056</v>
      </c>
      <c r="K737" s="94">
        <v>217.21278420325007</v>
      </c>
      <c r="L737" s="94">
        <v>219.91954536742668</v>
      </c>
      <c r="M737" s="95">
        <v>872793.5627518344</v>
      </c>
      <c r="N737" s="93" t="s">
        <v>765</v>
      </c>
      <c r="O737" s="25">
        <f t="shared" si="23"/>
        <v>-5.4120111731844611E-3</v>
      </c>
    </row>
    <row r="738" spans="1:15">
      <c r="A738" s="94">
        <v>476.9399107332128</v>
      </c>
      <c r="B738" s="94">
        <v>479.15882435059751</v>
      </c>
      <c r="C738" s="94">
        <v>474.90590658394348</v>
      </c>
      <c r="D738" s="94">
        <v>477.78660145563589</v>
      </c>
      <c r="E738" s="95">
        <v>3676639.5303010829</v>
      </c>
      <c r="F738" s="93" t="s">
        <v>766</v>
      </c>
      <c r="G738" s="25">
        <f t="shared" si="22"/>
        <v>-1.7721106448852497E-3</v>
      </c>
      <c r="I738" s="94">
        <v>219.64119049593333</v>
      </c>
      <c r="J738" s="94">
        <v>221.05216174108921</v>
      </c>
      <c r="K738" s="94">
        <v>218.17262858770985</v>
      </c>
      <c r="L738" s="94">
        <v>219.49721383826437</v>
      </c>
      <c r="M738" s="95">
        <v>554436.74893145659</v>
      </c>
      <c r="N738" s="93" t="s">
        <v>766</v>
      </c>
      <c r="O738" s="25">
        <f t="shared" si="23"/>
        <v>6.5593842924616119E-4</v>
      </c>
    </row>
    <row r="739" spans="1:15">
      <c r="A739" s="94">
        <v>476.696608801482</v>
      </c>
      <c r="B739" s="94">
        <v>478.04936754190516</v>
      </c>
      <c r="C739" s="94">
        <v>472.80377789378952</v>
      </c>
      <c r="D739" s="94">
        <v>473.88403847067423</v>
      </c>
      <c r="E739" s="95">
        <v>7872246.3745966824</v>
      </c>
      <c r="F739" s="93" t="s">
        <v>767</v>
      </c>
      <c r="G739" s="25">
        <f t="shared" si="22"/>
        <v>5.9351446819870812E-3</v>
      </c>
      <c r="I739" s="94">
        <v>219.16126830370345</v>
      </c>
      <c r="J739" s="94">
        <v>221.67606059098807</v>
      </c>
      <c r="K739" s="94">
        <v>217.81748616545974</v>
      </c>
      <c r="L739" s="94">
        <v>221.25372906182577</v>
      </c>
      <c r="M739" s="95">
        <v>527015.63731573022</v>
      </c>
      <c r="N739" s="93" t="s">
        <v>767</v>
      </c>
      <c r="O739" s="25">
        <f t="shared" si="23"/>
        <v>-9.4572903561666033E-3</v>
      </c>
    </row>
    <row r="740" spans="1:15">
      <c r="A740" s="94">
        <v>474.66260465221274</v>
      </c>
      <c r="B740" s="94">
        <v>475.18813682475115</v>
      </c>
      <c r="C740" s="94">
        <v>466.78935414140466</v>
      </c>
      <c r="D740" s="94">
        <v>468.58978843621247</v>
      </c>
      <c r="E740" s="95">
        <v>4292232.6697987597</v>
      </c>
      <c r="F740" s="93" t="s">
        <v>768</v>
      </c>
      <c r="G740" s="25">
        <f t="shared" si="22"/>
        <v>1.295977071174903E-2</v>
      </c>
      <c r="I740" s="94">
        <v>221.35931194411634</v>
      </c>
      <c r="J740" s="94">
        <v>221.5128870456299</v>
      </c>
      <c r="K740" s="94">
        <v>217.49113907474339</v>
      </c>
      <c r="L740" s="94">
        <v>217.55832818165558</v>
      </c>
      <c r="M740" s="95">
        <v>797488.6475278103</v>
      </c>
      <c r="N740" s="93" t="s">
        <v>768</v>
      </c>
      <c r="O740" s="25">
        <f t="shared" si="23"/>
        <v>1.7471102091237922E-2</v>
      </c>
    </row>
    <row r="741" spans="1:15">
      <c r="A741" s="94">
        <v>463.84053472882766</v>
      </c>
      <c r="B741" s="94">
        <v>475.46063498828966</v>
      </c>
      <c r="C741" s="94">
        <v>463.35393086536607</v>
      </c>
      <c r="D741" s="94">
        <v>472.68699296655876</v>
      </c>
      <c r="E741" s="95">
        <v>6140879.1100485362</v>
      </c>
      <c r="F741" s="93" t="s">
        <v>769</v>
      </c>
      <c r="G741" s="25">
        <f t="shared" si="22"/>
        <v>-1.8715256331068408E-2</v>
      </c>
      <c r="I741" s="94">
        <v>217.72150172701376</v>
      </c>
      <c r="J741" s="94">
        <v>220.99457107802164</v>
      </c>
      <c r="K741" s="94">
        <v>217.24157953478385</v>
      </c>
      <c r="L741" s="94">
        <v>217.64471417625697</v>
      </c>
      <c r="M741" s="95">
        <v>760745.1914311751</v>
      </c>
      <c r="N741" s="93" t="s">
        <v>769</v>
      </c>
      <c r="O741" s="25">
        <f t="shared" si="23"/>
        <v>3.5281146637267113E-4</v>
      </c>
    </row>
    <row r="742" spans="1:15">
      <c r="A742" s="94">
        <v>467.08131645948163</v>
      </c>
      <c r="B742" s="94">
        <v>473.81591392978959</v>
      </c>
      <c r="C742" s="94">
        <v>463.18848555178914</v>
      </c>
      <c r="D742" s="94">
        <v>464.59963675582765</v>
      </c>
      <c r="E742" s="95">
        <v>8482300.1006157547</v>
      </c>
      <c r="F742" s="93" t="s">
        <v>770</v>
      </c>
      <c r="G742" s="25">
        <f t="shared" si="22"/>
        <v>5.3415446490292506E-3</v>
      </c>
      <c r="I742" s="94">
        <v>216.88643711253374</v>
      </c>
      <c r="J742" s="94">
        <v>220.61063332423771</v>
      </c>
      <c r="K742" s="94">
        <v>216.69446823564175</v>
      </c>
      <c r="L742" s="94">
        <v>218.36459746460181</v>
      </c>
      <c r="M742" s="95">
        <v>863844.19539700577</v>
      </c>
      <c r="N742" s="93" t="s">
        <v>770</v>
      </c>
      <c r="O742" s="25">
        <f t="shared" si="23"/>
        <v>-6.7692307692307496E-3</v>
      </c>
    </row>
    <row r="743" spans="1:15">
      <c r="A743" s="94">
        <v>462.46831183386604</v>
      </c>
      <c r="B743" s="94">
        <v>468.28809404086627</v>
      </c>
      <c r="C743" s="94">
        <v>456.32737107698114</v>
      </c>
      <c r="D743" s="94">
        <v>457.57307696744277</v>
      </c>
      <c r="E743" s="95">
        <v>15663948.793538775</v>
      </c>
      <c r="F743" s="93" t="s">
        <v>771</v>
      </c>
      <c r="G743" s="25">
        <f t="shared" si="22"/>
        <v>1.0698258076865752E-2</v>
      </c>
      <c r="I743" s="94">
        <v>217.98065971081789</v>
      </c>
      <c r="J743" s="94">
        <v>222.20397500244096</v>
      </c>
      <c r="K743" s="94">
        <v>215.34108765355347</v>
      </c>
      <c r="L743" s="94">
        <v>220.17870335123078</v>
      </c>
      <c r="M743" s="95">
        <v>1173600.656771038</v>
      </c>
      <c r="N743" s="93" t="s">
        <v>771</v>
      </c>
      <c r="O743" s="25">
        <f t="shared" si="23"/>
        <v>-9.9829983870263206E-3</v>
      </c>
    </row>
    <row r="744" spans="1:15">
      <c r="A744" s="94">
        <v>476.78419749690511</v>
      </c>
      <c r="B744" s="94">
        <v>480.29747739109757</v>
      </c>
      <c r="C744" s="94">
        <v>472.7843137392511</v>
      </c>
      <c r="D744" s="94">
        <v>479.21721681421292</v>
      </c>
      <c r="E744" s="95">
        <v>8796853.7067280319</v>
      </c>
      <c r="F744" s="93" t="s">
        <v>772</v>
      </c>
      <c r="G744" s="25">
        <f t="shared" si="22"/>
        <v>-5.0770699214069959E-3</v>
      </c>
      <c r="I744" s="94">
        <v>220.94657885879863</v>
      </c>
      <c r="J744" s="94">
        <v>223.7973166806442</v>
      </c>
      <c r="K744" s="94">
        <v>217.26077642247304</v>
      </c>
      <c r="L744" s="94">
        <v>220.01552980587263</v>
      </c>
      <c r="M744" s="95">
        <v>1125947.0988187841</v>
      </c>
      <c r="N744" s="93" t="s">
        <v>772</v>
      </c>
      <c r="O744" s="25">
        <f t="shared" si="23"/>
        <v>4.2317424308524476E-3</v>
      </c>
    </row>
    <row r="745" spans="1:15">
      <c r="A745" s="94">
        <v>485.65985196644391</v>
      </c>
      <c r="B745" s="94">
        <v>496.23861995809824</v>
      </c>
      <c r="C745" s="94">
        <v>482.46773062213612</v>
      </c>
      <c r="D745" s="94">
        <v>494.23381204063662</v>
      </c>
      <c r="E745" s="95">
        <v>7130252.6768246498</v>
      </c>
      <c r="F745" s="93" t="s">
        <v>773</v>
      </c>
      <c r="G745" s="25">
        <f t="shared" si="22"/>
        <v>-1.7347983616887275E-2</v>
      </c>
      <c r="I745" s="94">
        <v>220.01552980587263</v>
      </c>
      <c r="J745" s="94">
        <v>220.76420842575126</v>
      </c>
      <c r="K745" s="94">
        <v>216.21464202785032</v>
      </c>
      <c r="L745" s="94">
        <v>218.3933927961356</v>
      </c>
      <c r="M745" s="95">
        <v>1057193.2455187601</v>
      </c>
      <c r="N745" s="93" t="s">
        <v>773</v>
      </c>
      <c r="O745" s="25">
        <f t="shared" si="23"/>
        <v>7.4275919658945977E-3</v>
      </c>
    </row>
    <row r="746" spans="1:15">
      <c r="A746" s="94">
        <v>492.37498528221346</v>
      </c>
      <c r="B746" s="94">
        <v>495.02522456417051</v>
      </c>
      <c r="C746" s="94">
        <v>489.82031499904031</v>
      </c>
      <c r="D746" s="94">
        <v>490.96383407817495</v>
      </c>
      <c r="E746" s="95">
        <v>5515355.9219778236</v>
      </c>
      <c r="F746" s="93" t="s">
        <v>774</v>
      </c>
      <c r="G746" s="25">
        <f t="shared" si="22"/>
        <v>2.8742467491278401E-3</v>
      </c>
      <c r="I746" s="94">
        <v>217.77909239008133</v>
      </c>
      <c r="J746" s="94">
        <v>219.74293400068606</v>
      </c>
      <c r="K746" s="94">
        <v>215.55225341813463</v>
      </c>
      <c r="L746" s="94">
        <v>218.74853521838571</v>
      </c>
      <c r="M746" s="95">
        <v>1497208.3217518742</v>
      </c>
      <c r="N746" s="93" t="s">
        <v>774</v>
      </c>
      <c r="O746" s="25">
        <f t="shared" si="23"/>
        <v>-4.4317683194383672E-3</v>
      </c>
    </row>
    <row r="747" spans="1:15">
      <c r="A747" s="94">
        <v>484.73530462586695</v>
      </c>
      <c r="B747" s="94">
        <v>489.53321871959793</v>
      </c>
      <c r="C747" s="94">
        <v>481.65510217015532</v>
      </c>
      <c r="D747" s="94">
        <v>488.59893930175178</v>
      </c>
      <c r="E747" s="95">
        <v>3922903.5018765298</v>
      </c>
      <c r="F747" s="93" t="s">
        <v>775</v>
      </c>
      <c r="G747" s="25">
        <f t="shared" si="22"/>
        <v>-7.9075789264019258E-3</v>
      </c>
      <c r="I747" s="94">
        <v>218.59496011687216</v>
      </c>
      <c r="J747" s="94">
        <v>220.04432513740645</v>
      </c>
      <c r="K747" s="94">
        <v>214.41003860062747</v>
      </c>
      <c r="L747" s="94">
        <v>216.80964956177695</v>
      </c>
      <c r="M747" s="95">
        <v>1623800.7173185644</v>
      </c>
      <c r="N747" s="93" t="s">
        <v>775</v>
      </c>
      <c r="O747" s="25">
        <f t="shared" si="23"/>
        <v>8.2344607756330568E-3</v>
      </c>
    </row>
    <row r="748" spans="1:15">
      <c r="A748" s="94">
        <v>487.28510887040557</v>
      </c>
      <c r="B748" s="94">
        <v>489.29478282650177</v>
      </c>
      <c r="C748" s="94">
        <v>485.4112947129878</v>
      </c>
      <c r="D748" s="94">
        <v>488.37510152455945</v>
      </c>
      <c r="E748" s="95">
        <v>3181415.3487959215</v>
      </c>
      <c r="F748" s="93" t="s">
        <v>776</v>
      </c>
      <c r="G748" s="25">
        <f t="shared" si="22"/>
        <v>-2.2318759714639036E-3</v>
      </c>
      <c r="I748" s="94">
        <v>215.75382073887118</v>
      </c>
      <c r="J748" s="94">
        <v>220.59143643654849</v>
      </c>
      <c r="K748" s="94">
        <v>215.2930954343305</v>
      </c>
      <c r="L748" s="94">
        <v>220.38027067196737</v>
      </c>
      <c r="M748" s="95">
        <v>1513050.4730903518</v>
      </c>
      <c r="N748" s="93" t="s">
        <v>776</v>
      </c>
      <c r="O748" s="25">
        <f t="shared" si="23"/>
        <v>-2.0993031358885084E-2</v>
      </c>
    </row>
    <row r="749" spans="1:15">
      <c r="A749" s="94">
        <v>486.92502201144396</v>
      </c>
      <c r="B749" s="94">
        <v>489.41156775373258</v>
      </c>
      <c r="C749" s="94">
        <v>484.33628945782851</v>
      </c>
      <c r="D749" s="94">
        <v>485.00780278940545</v>
      </c>
      <c r="E749" s="95">
        <v>3736082.1327379728</v>
      </c>
      <c r="F749" s="93" t="s">
        <v>777</v>
      </c>
      <c r="G749" s="25">
        <f t="shared" si="22"/>
        <v>3.9529657275865215E-3</v>
      </c>
      <c r="I749" s="94">
        <v>220.19790023892</v>
      </c>
      <c r="J749" s="94">
        <v>230.6218102541533</v>
      </c>
      <c r="K749" s="94">
        <v>217.99025815466251</v>
      </c>
      <c r="L749" s="94">
        <v>229.79634408351788</v>
      </c>
      <c r="M749" s="95">
        <v>2398467.957173788</v>
      </c>
      <c r="N749" s="93" t="s">
        <v>777</v>
      </c>
      <c r="O749" s="25">
        <f t="shared" si="23"/>
        <v>-4.1769349651225918E-2</v>
      </c>
    </row>
    <row r="750" spans="1:15">
      <c r="A750" s="94">
        <v>481.52371912702068</v>
      </c>
      <c r="B750" s="94">
        <v>489.65973572409797</v>
      </c>
      <c r="C750" s="94">
        <v>480.68676048186683</v>
      </c>
      <c r="D750" s="94">
        <v>484.21950453059776</v>
      </c>
      <c r="E750" s="95">
        <v>5802051.1385089615</v>
      </c>
      <c r="F750" s="93" t="s">
        <v>778</v>
      </c>
      <c r="G750" s="25">
        <f t="shared" si="22"/>
        <v>-5.5672796703849503E-3</v>
      </c>
      <c r="I750" s="94">
        <v>233.50134340753266</v>
      </c>
      <c r="J750" s="94">
        <v>235.73298160140166</v>
      </c>
      <c r="K750" s="94">
        <v>229.42200477357858</v>
      </c>
      <c r="L750" s="94">
        <v>229.42200477357858</v>
      </c>
      <c r="M750" s="95">
        <v>1700405.8433061307</v>
      </c>
      <c r="N750" s="93" t="s">
        <v>778</v>
      </c>
      <c r="O750" s="25">
        <f t="shared" si="23"/>
        <v>1.7780938833570348E-2</v>
      </c>
    </row>
    <row r="751" spans="1:15">
      <c r="A751" s="94">
        <v>483.96647052159773</v>
      </c>
      <c r="B751" s="94">
        <v>491.17793977809799</v>
      </c>
      <c r="C751" s="94">
        <v>483.24143076504004</v>
      </c>
      <c r="D751" s="94">
        <v>490.91517369182878</v>
      </c>
      <c r="E751" s="95">
        <v>6326914.4188437182</v>
      </c>
      <c r="F751" s="93" t="s">
        <v>779</v>
      </c>
      <c r="G751" s="25">
        <f t="shared" si="22"/>
        <v>-1.4154590329679029E-2</v>
      </c>
      <c r="I751" s="94">
        <v>227.62709577463878</v>
      </c>
      <c r="J751" s="94">
        <v>231.51926475362322</v>
      </c>
      <c r="K751" s="94">
        <v>227.38713467852381</v>
      </c>
      <c r="L751" s="94">
        <v>230.38184915803836</v>
      </c>
      <c r="M751" s="95">
        <v>1073079.1539502416</v>
      </c>
      <c r="N751" s="93" t="s">
        <v>779</v>
      </c>
      <c r="O751" s="25">
        <f t="shared" si="23"/>
        <v>-1.1957336888592573E-2</v>
      </c>
    </row>
    <row r="752" spans="1:15">
      <c r="A752" s="94">
        <v>495.30434054025204</v>
      </c>
      <c r="B752" s="94">
        <v>497.94173348021366</v>
      </c>
      <c r="C752" s="94">
        <v>494.86639706313667</v>
      </c>
      <c r="D752" s="94">
        <v>496.00505010363673</v>
      </c>
      <c r="E752" s="95">
        <v>3201829.2845368669</v>
      </c>
      <c r="F752" s="93" t="s">
        <v>780</v>
      </c>
      <c r="G752" s="25">
        <f t="shared" si="22"/>
        <v>-1.4127065102226277E-3</v>
      </c>
      <c r="I752" s="94">
        <v>230.38184915803836</v>
      </c>
      <c r="J752" s="94">
        <v>231.4952686440117</v>
      </c>
      <c r="K752" s="94">
        <v>228.16460862993625</v>
      </c>
      <c r="L752" s="94">
        <v>229.55638298740294</v>
      </c>
      <c r="M752" s="95">
        <v>750011.15978311934</v>
      </c>
      <c r="N752" s="93" t="s">
        <v>780</v>
      </c>
      <c r="O752" s="25">
        <f t="shared" si="23"/>
        <v>3.5959190500083338E-3</v>
      </c>
    </row>
    <row r="753" spans="1:15">
      <c r="A753" s="94">
        <v>496.13156710813672</v>
      </c>
      <c r="B753" s="94">
        <v>496.64736720340596</v>
      </c>
      <c r="C753" s="94">
        <v>492.87132122294423</v>
      </c>
      <c r="D753" s="94">
        <v>494.65229136321352</v>
      </c>
      <c r="E753" s="95">
        <v>4462489.2300542556</v>
      </c>
      <c r="F753" s="93" t="s">
        <v>781</v>
      </c>
      <c r="G753" s="25">
        <f t="shared" si="22"/>
        <v>2.9905365258624528E-3</v>
      </c>
      <c r="I753" s="94">
        <v>228.57734171525394</v>
      </c>
      <c r="J753" s="94">
        <v>228.69252304138911</v>
      </c>
      <c r="K753" s="94">
        <v>225.09310659966491</v>
      </c>
      <c r="L753" s="94">
        <v>225.49624124113802</v>
      </c>
      <c r="M753" s="95">
        <v>711989.37146944413</v>
      </c>
      <c r="N753" s="93" t="s">
        <v>781</v>
      </c>
      <c r="O753" s="25">
        <f t="shared" si="23"/>
        <v>1.3663644489847915E-2</v>
      </c>
    </row>
    <row r="754" spans="1:15">
      <c r="A754" s="94">
        <v>491.03195861905959</v>
      </c>
      <c r="B754" s="94">
        <v>495.55737454925207</v>
      </c>
      <c r="C754" s="94">
        <v>490.06848296940569</v>
      </c>
      <c r="D754" s="94">
        <v>494.03917049525199</v>
      </c>
      <c r="E754" s="95">
        <v>4150642.1375948512</v>
      </c>
      <c r="F754" s="93" t="s">
        <v>782</v>
      </c>
      <c r="G754" s="25">
        <f t="shared" si="22"/>
        <v>-6.0869907808682733E-3</v>
      </c>
      <c r="I754" s="94">
        <v>225.34266613962447</v>
      </c>
      <c r="J754" s="94">
        <v>229.53718609971372</v>
      </c>
      <c r="K754" s="94">
        <v>224.75716106510399</v>
      </c>
      <c r="L754" s="94">
        <v>229.53718609971372</v>
      </c>
      <c r="M754" s="95">
        <v>670071.11820733349</v>
      </c>
      <c r="N754" s="93" t="s">
        <v>782</v>
      </c>
      <c r="O754" s="25">
        <f t="shared" si="23"/>
        <v>-1.8273814501965302E-2</v>
      </c>
    </row>
    <row r="755" spans="1:15">
      <c r="A755" s="94">
        <v>494.33113281332891</v>
      </c>
      <c r="B755" s="94">
        <v>500.41368110659846</v>
      </c>
      <c r="C755" s="94">
        <v>492.31756602632498</v>
      </c>
      <c r="D755" s="94">
        <v>499.49886584329067</v>
      </c>
      <c r="E755" s="95">
        <v>5195036.845817605</v>
      </c>
      <c r="F755" s="93" t="s">
        <v>783</v>
      </c>
      <c r="G755" s="25">
        <f t="shared" si="22"/>
        <v>-1.0345835362883582E-2</v>
      </c>
      <c r="I755" s="94">
        <v>228.21260084915923</v>
      </c>
      <c r="J755" s="94">
        <v>230.23787250036938</v>
      </c>
      <c r="K755" s="94">
        <v>227.18556735778725</v>
      </c>
      <c r="L755" s="94">
        <v>227.53111133619279</v>
      </c>
      <c r="M755" s="95">
        <v>840117.43263345899</v>
      </c>
      <c r="N755" s="93" t="s">
        <v>783</v>
      </c>
      <c r="O755" s="25">
        <f t="shared" si="23"/>
        <v>2.9951487028052615E-3</v>
      </c>
    </row>
    <row r="756" spans="1:15">
      <c r="A756" s="94">
        <v>498.07798256198294</v>
      </c>
      <c r="B756" s="94">
        <v>501.30903221536772</v>
      </c>
      <c r="C756" s="94">
        <v>497.85414478479061</v>
      </c>
      <c r="D756" s="94">
        <v>499.80056023863682</v>
      </c>
      <c r="E756" s="95">
        <v>5121523.2494693799</v>
      </c>
      <c r="F756" s="93" t="s">
        <v>784</v>
      </c>
      <c r="G756" s="25">
        <f t="shared" si="22"/>
        <v>-3.4465301035905282E-3</v>
      </c>
      <c r="I756" s="94">
        <v>228.68292459754451</v>
      </c>
      <c r="J756" s="94">
        <v>233.10780720990417</v>
      </c>
      <c r="K756" s="94">
        <v>228.66372770985532</v>
      </c>
      <c r="L756" s="94">
        <v>230.76578691182226</v>
      </c>
      <c r="M756" s="95">
        <v>1186206.8668983285</v>
      </c>
      <c r="N756" s="93" t="s">
        <v>784</v>
      </c>
      <c r="O756" s="25">
        <f t="shared" si="23"/>
        <v>-9.0258713917311661E-3</v>
      </c>
    </row>
    <row r="757" spans="1:15">
      <c r="A757" s="94">
        <v>505.13373858217551</v>
      </c>
      <c r="B757" s="94">
        <v>505.48409336386783</v>
      </c>
      <c r="C757" s="94">
        <v>502.75911172848316</v>
      </c>
      <c r="D757" s="94">
        <v>503.46955336913703</v>
      </c>
      <c r="E757" s="95">
        <v>4278942.5985814957</v>
      </c>
      <c r="F757" s="93" t="s">
        <v>785</v>
      </c>
      <c r="G757" s="25">
        <f t="shared" si="22"/>
        <v>3.3054336690312436E-3</v>
      </c>
      <c r="I757" s="94">
        <v>230.76578691182226</v>
      </c>
      <c r="J757" s="94">
        <v>230.93855890102503</v>
      </c>
      <c r="K757" s="94">
        <v>225.0979058215872</v>
      </c>
      <c r="L757" s="94">
        <v>225.83218677569894</v>
      </c>
      <c r="M757" s="95">
        <v>963373.87077638216</v>
      </c>
      <c r="N757" s="93" t="s">
        <v>785</v>
      </c>
      <c r="O757" s="25">
        <f t="shared" si="23"/>
        <v>2.1846310778646849E-2</v>
      </c>
    </row>
    <row r="758" spans="1:15">
      <c r="A758" s="94">
        <v>502.2822399422908</v>
      </c>
      <c r="B758" s="94">
        <v>505.21159520032938</v>
      </c>
      <c r="C758" s="94">
        <v>500.55966226563692</v>
      </c>
      <c r="D758" s="94">
        <v>502.73964757394469</v>
      </c>
      <c r="E758" s="95">
        <v>7985472.9725280255</v>
      </c>
      <c r="F758" s="93" t="s">
        <v>786</v>
      </c>
      <c r="G758" s="25">
        <f t="shared" si="22"/>
        <v>-9.0983003600608736E-4</v>
      </c>
      <c r="I758" s="94">
        <v>225.12190193119869</v>
      </c>
      <c r="J758" s="94">
        <v>225.88977743876654</v>
      </c>
      <c r="K758" s="94">
        <v>222.33835321626532</v>
      </c>
      <c r="L758" s="94">
        <v>222.8758660715628</v>
      </c>
      <c r="M758" s="95">
        <v>833667.42875758663</v>
      </c>
      <c r="N758" s="93" t="s">
        <v>786</v>
      </c>
      <c r="O758" s="25">
        <f t="shared" si="23"/>
        <v>1.0077519379845024E-2</v>
      </c>
    </row>
    <row r="759" spans="1:15">
      <c r="A759" s="94">
        <v>500.76403588829072</v>
      </c>
      <c r="B759" s="94">
        <v>504.1507987779832</v>
      </c>
      <c r="C759" s="94">
        <v>498.44780149821366</v>
      </c>
      <c r="D759" s="94">
        <v>498.75922797082916</v>
      </c>
      <c r="E759" s="95">
        <v>5382376.0900059147</v>
      </c>
      <c r="F759" s="93" t="s">
        <v>787</v>
      </c>
      <c r="G759" s="25">
        <f t="shared" si="22"/>
        <v>4.0195906261584202E-3</v>
      </c>
      <c r="I759" s="94">
        <v>221.76244658558946</v>
      </c>
      <c r="J759" s="94">
        <v>224.45960930592145</v>
      </c>
      <c r="K759" s="94">
        <v>221.14814617953519</v>
      </c>
      <c r="L759" s="94">
        <v>222.53032209315728</v>
      </c>
      <c r="M759" s="95">
        <v>826599.61640192219</v>
      </c>
      <c r="N759" s="93" t="s">
        <v>787</v>
      </c>
      <c r="O759" s="25">
        <f t="shared" si="23"/>
        <v>-3.4506556245685882E-3</v>
      </c>
    </row>
    <row r="760" spans="1:15">
      <c r="A760" s="94">
        <v>497.68869947121368</v>
      </c>
      <c r="B760" s="94">
        <v>502.9440211965985</v>
      </c>
      <c r="C760" s="94">
        <v>497.13883710550215</v>
      </c>
      <c r="D760" s="94">
        <v>502.17518709232928</v>
      </c>
      <c r="E760" s="95">
        <v>5698997.0861977609</v>
      </c>
      <c r="F760" s="93" t="s">
        <v>788</v>
      </c>
      <c r="G760" s="25">
        <f t="shared" si="22"/>
        <v>-8.9341085271318343E-3</v>
      </c>
      <c r="I760" s="94">
        <v>221.09055551646762</v>
      </c>
      <c r="J760" s="94">
        <v>222.28556177512004</v>
      </c>
      <c r="K760" s="94">
        <v>218.24941613846661</v>
      </c>
      <c r="L760" s="94">
        <v>218.73893677454112</v>
      </c>
      <c r="M760" s="95">
        <v>870184.80654036871</v>
      </c>
      <c r="N760" s="93" t="s">
        <v>788</v>
      </c>
      <c r="O760" s="25">
        <f t="shared" si="23"/>
        <v>1.0750800824959494E-2</v>
      </c>
    </row>
    <row r="761" spans="1:15">
      <c r="A761" s="94">
        <v>501.99027762421383</v>
      </c>
      <c r="B761" s="94">
        <v>502.35523052180997</v>
      </c>
      <c r="C761" s="94">
        <v>497.98066178929065</v>
      </c>
      <c r="D761" s="94">
        <v>498.26289203009833</v>
      </c>
      <c r="E761" s="95">
        <v>3541816.309759221</v>
      </c>
      <c r="F761" s="93" t="s">
        <v>789</v>
      </c>
      <c r="G761" s="25">
        <f t="shared" si="22"/>
        <v>7.480760967225164E-3</v>
      </c>
      <c r="I761" s="94">
        <v>218.14383325617607</v>
      </c>
      <c r="J761" s="94">
        <v>218.55656634149375</v>
      </c>
      <c r="K761" s="94">
        <v>216.88643711253374</v>
      </c>
      <c r="L761" s="94">
        <v>216.88643711253374</v>
      </c>
      <c r="M761" s="95">
        <v>638128.44031454588</v>
      </c>
      <c r="N761" s="93" t="s">
        <v>789</v>
      </c>
      <c r="O761" s="25">
        <f t="shared" si="23"/>
        <v>5.7974862807577132E-3</v>
      </c>
    </row>
    <row r="762" spans="1:15">
      <c r="A762" s="94">
        <v>497.20209560775214</v>
      </c>
      <c r="B762" s="94">
        <v>498.29208826190603</v>
      </c>
      <c r="C762" s="94">
        <v>496.86147290332906</v>
      </c>
      <c r="D762" s="94">
        <v>497.51352208036752</v>
      </c>
      <c r="E762" s="95">
        <v>3232427.0687264209</v>
      </c>
      <c r="F762" s="93" t="s">
        <v>790</v>
      </c>
      <c r="G762" s="25">
        <f t="shared" si="22"/>
        <v>-6.2596584573848535E-4</v>
      </c>
      <c r="I762" s="94">
        <v>216.88643711253374</v>
      </c>
      <c r="J762" s="94">
        <v>217.73110017085835</v>
      </c>
      <c r="K762" s="94">
        <v>215.76821840463808</v>
      </c>
      <c r="L762" s="94">
        <v>216.98242155097972</v>
      </c>
      <c r="M762" s="95">
        <v>603589.50823686505</v>
      </c>
      <c r="N762" s="93" t="s">
        <v>790</v>
      </c>
      <c r="O762" s="25">
        <f t="shared" si="23"/>
        <v>-4.4236043528267377E-4</v>
      </c>
    </row>
    <row r="763" spans="1:15">
      <c r="A763" s="94">
        <v>496.6570992806752</v>
      </c>
      <c r="B763" s="94">
        <v>497.50865604173288</v>
      </c>
      <c r="C763" s="94">
        <v>495.67415947648283</v>
      </c>
      <c r="D763" s="94">
        <v>496.82254459425212</v>
      </c>
      <c r="E763" s="95">
        <v>3229915.7857470647</v>
      </c>
      <c r="F763" s="93" t="s">
        <v>791</v>
      </c>
      <c r="G763" s="25">
        <f t="shared" si="22"/>
        <v>-3.3300685602344338E-4</v>
      </c>
      <c r="I763" s="94">
        <v>216.92483088791212</v>
      </c>
      <c r="J763" s="94">
        <v>217.45274529936501</v>
      </c>
      <c r="K763" s="94">
        <v>215.91219506230703</v>
      </c>
      <c r="L763" s="94">
        <v>216.17615226803349</v>
      </c>
      <c r="M763" s="95">
        <v>672412.12268303789</v>
      </c>
      <c r="N763" s="93" t="s">
        <v>791</v>
      </c>
      <c r="O763" s="25">
        <f t="shared" si="23"/>
        <v>3.4632803481040586E-3</v>
      </c>
    </row>
    <row r="764" spans="1:15">
      <c r="A764" s="94">
        <v>496.18022749448284</v>
      </c>
      <c r="B764" s="94">
        <v>496.43326150348287</v>
      </c>
      <c r="C764" s="94">
        <v>492.9199816092904</v>
      </c>
      <c r="D764" s="94">
        <v>493.54283455452122</v>
      </c>
      <c r="E764" s="95">
        <v>3243831.6226494466</v>
      </c>
      <c r="F764" s="93" t="s">
        <v>792</v>
      </c>
      <c r="G764" s="25">
        <f t="shared" ref="G764:G827" si="24">A764/D764-1</f>
        <v>5.3437974483858675E-3</v>
      </c>
      <c r="I764" s="94">
        <v>215.07233122590472</v>
      </c>
      <c r="J764" s="94">
        <v>215.13952033281691</v>
      </c>
      <c r="K764" s="94">
        <v>212.85509069780261</v>
      </c>
      <c r="L764" s="94">
        <v>215.09152811359394</v>
      </c>
      <c r="M764" s="95">
        <v>503440.98254214902</v>
      </c>
      <c r="N764" s="93" t="s">
        <v>792</v>
      </c>
      <c r="O764" s="25">
        <f t="shared" ref="O764:O827" si="25">I764/L764-1</f>
        <v>-8.9249854969053466E-5</v>
      </c>
    </row>
    <row r="765" spans="1:15">
      <c r="A765" s="94">
        <v>493.23140808190584</v>
      </c>
      <c r="B765" s="94">
        <v>493.5525666317904</v>
      </c>
      <c r="C765" s="94">
        <v>490.71080006917498</v>
      </c>
      <c r="D765" s="94">
        <v>490.71080006917498</v>
      </c>
      <c r="E765" s="95">
        <v>2189754.5005500671</v>
      </c>
      <c r="F765" s="93" t="s">
        <v>793</v>
      </c>
      <c r="G765" s="25">
        <f t="shared" si="24"/>
        <v>5.1366467018365558E-3</v>
      </c>
      <c r="I765" s="94">
        <v>215.56185186197922</v>
      </c>
      <c r="J765" s="94">
        <v>216.34882827279782</v>
      </c>
      <c r="K765" s="94">
        <v>213.67095842459346</v>
      </c>
      <c r="L765" s="94">
        <v>214.56361370214103</v>
      </c>
      <c r="M765" s="95">
        <v>439912.97634943837</v>
      </c>
      <c r="N765" s="93" t="s">
        <v>793</v>
      </c>
      <c r="O765" s="25">
        <f t="shared" si="25"/>
        <v>4.6524112015746688E-3</v>
      </c>
    </row>
    <row r="766" spans="1:15">
      <c r="A766" s="94">
        <v>491.01249446452107</v>
      </c>
      <c r="B766" s="94">
        <v>491.09035108267494</v>
      </c>
      <c r="C766" s="94">
        <v>486.22431244805938</v>
      </c>
      <c r="D766" s="94">
        <v>486.3021690662132</v>
      </c>
      <c r="E766" s="95">
        <v>4325985.9981902791</v>
      </c>
      <c r="F766" s="93" t="s">
        <v>794</v>
      </c>
      <c r="G766" s="25">
        <f t="shared" si="24"/>
        <v>9.6860053233003285E-3</v>
      </c>
      <c r="I766" s="94">
        <v>214.62120436520863</v>
      </c>
      <c r="J766" s="94">
        <v>214.72102818119245</v>
      </c>
      <c r="K766" s="94">
        <v>212.86468914164723</v>
      </c>
      <c r="L766" s="94">
        <v>213.06625646238376</v>
      </c>
      <c r="M766" s="95">
        <v>517080.69353276794</v>
      </c>
      <c r="N766" s="93" t="s">
        <v>794</v>
      </c>
      <c r="O766" s="25">
        <f t="shared" si="25"/>
        <v>7.2979547707001657E-3</v>
      </c>
    </row>
    <row r="767" spans="1:15">
      <c r="A767" s="94">
        <v>487.84956935202092</v>
      </c>
      <c r="B767" s="94">
        <v>488.23875512201749</v>
      </c>
      <c r="C767" s="94">
        <v>485.24137264386701</v>
      </c>
      <c r="D767" s="94">
        <v>488.05394297467484</v>
      </c>
      <c r="E767" s="95">
        <v>4488790.9118965557</v>
      </c>
      <c r="F767" s="93" t="s">
        <v>795</v>
      </c>
      <c r="G767" s="25">
        <f t="shared" si="24"/>
        <v>-4.1875211868647177E-4</v>
      </c>
      <c r="I767" s="94">
        <v>213.04705957469457</v>
      </c>
      <c r="J767" s="94">
        <v>217.39995385821973</v>
      </c>
      <c r="K767" s="94">
        <v>212.97027202393778</v>
      </c>
      <c r="L767" s="94">
        <v>216.5312946902836</v>
      </c>
      <c r="M767" s="95">
        <v>638822.30278932082</v>
      </c>
      <c r="N767" s="93" t="s">
        <v>795</v>
      </c>
      <c r="O767" s="25">
        <f t="shared" si="25"/>
        <v>-1.6091138791613058E-2</v>
      </c>
    </row>
    <row r="768" spans="1:15">
      <c r="A768" s="94">
        <v>486.73038046605939</v>
      </c>
      <c r="B768" s="94">
        <v>492.18034373682883</v>
      </c>
      <c r="C768" s="94">
        <v>485.6403878119055</v>
      </c>
      <c r="D768" s="94">
        <v>489.49429041052105</v>
      </c>
      <c r="E768" s="95">
        <v>5752698.8793033641</v>
      </c>
      <c r="F768" s="93" t="s">
        <v>796</v>
      </c>
      <c r="G768" s="25">
        <f t="shared" si="24"/>
        <v>-5.6464600274370724E-3</v>
      </c>
      <c r="I768" s="94">
        <v>215.56185186197922</v>
      </c>
      <c r="J768" s="94">
        <v>217.16469599958862</v>
      </c>
      <c r="K768" s="94">
        <v>214.53481837060724</v>
      </c>
      <c r="L768" s="94">
        <v>215.43707209199943</v>
      </c>
      <c r="M768" s="95">
        <v>3608236.976819125</v>
      </c>
      <c r="N768" s="93" t="s">
        <v>796</v>
      </c>
      <c r="O768" s="25">
        <f t="shared" si="25"/>
        <v>5.7919358431735013E-4</v>
      </c>
    </row>
    <row r="769" spans="1:15">
      <c r="A769" s="94">
        <v>488.61499721523182</v>
      </c>
      <c r="B769" s="94">
        <v>489.22594779227973</v>
      </c>
      <c r="C769" s="94">
        <v>487.13126009954397</v>
      </c>
      <c r="D769" s="94">
        <v>487.79069881762746</v>
      </c>
      <c r="E769" s="95">
        <v>3732515.7478673211</v>
      </c>
      <c r="F769" s="93" t="s">
        <v>797</v>
      </c>
      <c r="G769" s="25">
        <f t="shared" si="24"/>
        <v>1.6898608349900091E-3</v>
      </c>
      <c r="I769" s="94">
        <v>214.21806972373554</v>
      </c>
      <c r="J769" s="94">
        <v>215.49466275506703</v>
      </c>
      <c r="K769" s="94">
        <v>213.47898954770147</v>
      </c>
      <c r="L769" s="94">
        <v>215.49466275506703</v>
      </c>
      <c r="M769" s="95">
        <v>859846.67240044265</v>
      </c>
      <c r="N769" s="93" t="s">
        <v>797</v>
      </c>
      <c r="O769" s="25">
        <f t="shared" si="25"/>
        <v>-5.9240122934388628E-3</v>
      </c>
    </row>
    <row r="770" spans="1:15">
      <c r="A770" s="94">
        <v>487.85858221507721</v>
      </c>
      <c r="B770" s="94">
        <v>488.53741618957491</v>
      </c>
      <c r="C770" s="94">
        <v>485.74449926592723</v>
      </c>
      <c r="D770" s="94">
        <v>486.30696170193966</v>
      </c>
      <c r="E770" s="95">
        <v>3302560.1019143178</v>
      </c>
      <c r="F770" s="93" t="s">
        <v>798</v>
      </c>
      <c r="G770" s="25">
        <f t="shared" si="24"/>
        <v>3.1906195784392466E-3</v>
      </c>
      <c r="I770" s="94">
        <v>214.50602303907345</v>
      </c>
      <c r="J770" s="94">
        <v>214.93795301208036</v>
      </c>
      <c r="K770" s="94">
        <v>212.61992882360997</v>
      </c>
      <c r="L770" s="94">
        <v>214.7939763544114</v>
      </c>
      <c r="M770" s="95">
        <v>622994.73714851099</v>
      </c>
      <c r="N770" s="93" t="s">
        <v>798</v>
      </c>
      <c r="O770" s="25">
        <f t="shared" si="25"/>
        <v>-1.3406023773349096E-3</v>
      </c>
    </row>
    <row r="771" spans="1:15">
      <c r="A771" s="94">
        <v>487.31551503547905</v>
      </c>
      <c r="B771" s="94">
        <v>487.62583913810658</v>
      </c>
      <c r="C771" s="94">
        <v>485.19173445812197</v>
      </c>
      <c r="D771" s="94">
        <v>486.53970477891028</v>
      </c>
      <c r="E771" s="95">
        <v>6534302.8879516982</v>
      </c>
      <c r="F771" s="93" t="s">
        <v>799</v>
      </c>
      <c r="G771" s="25">
        <f t="shared" si="24"/>
        <v>1.5945466504554417E-3</v>
      </c>
      <c r="I771" s="94">
        <v>215.49466275506703</v>
      </c>
      <c r="J771" s="94">
        <v>216.87683866868912</v>
      </c>
      <c r="K771" s="94">
        <v>213.71895064381641</v>
      </c>
      <c r="L771" s="94">
        <v>216.07056938574291</v>
      </c>
      <c r="M771" s="95">
        <v>634666.4207895057</v>
      </c>
      <c r="N771" s="93" t="s">
        <v>799</v>
      </c>
      <c r="O771" s="25">
        <f t="shared" si="25"/>
        <v>-2.6653636000177894E-3</v>
      </c>
    </row>
    <row r="772" spans="1:15">
      <c r="A772" s="94">
        <v>485.2984083684002</v>
      </c>
      <c r="B772" s="94">
        <v>489.18667239804091</v>
      </c>
      <c r="C772" s="94">
        <v>485.2984083684002</v>
      </c>
      <c r="D772" s="94">
        <v>486.85002888153775</v>
      </c>
      <c r="E772" s="95">
        <v>7241816.0915378761</v>
      </c>
      <c r="F772" s="93" t="s">
        <v>800</v>
      </c>
      <c r="G772" s="25">
        <f t="shared" si="24"/>
        <v>-3.1870605342309011E-3</v>
      </c>
      <c r="I772" s="94">
        <v>216.43531025183765</v>
      </c>
      <c r="J772" s="94">
        <v>218.96929942681146</v>
      </c>
      <c r="K772" s="94">
        <v>215.92659272807396</v>
      </c>
      <c r="L772" s="94">
        <v>216.89603555637834</v>
      </c>
      <c r="M772" s="95">
        <v>596492.52448586479</v>
      </c>
      <c r="N772" s="93" t="s">
        <v>800</v>
      </c>
      <c r="O772" s="25">
        <f t="shared" si="25"/>
        <v>-2.1241757755453561E-3</v>
      </c>
    </row>
    <row r="773" spans="1:15">
      <c r="A773" s="94">
        <v>486.60758817636003</v>
      </c>
      <c r="B773" s="94">
        <v>487.99987665805486</v>
      </c>
      <c r="C773" s="94">
        <v>485.70570875309886</v>
      </c>
      <c r="D773" s="94">
        <v>486.91791227898756</v>
      </c>
      <c r="E773" s="95">
        <v>4483403.4746891512</v>
      </c>
      <c r="F773" s="93" t="s">
        <v>801</v>
      </c>
      <c r="G773" s="25">
        <f t="shared" si="24"/>
        <v>-6.3732324238208182E-4</v>
      </c>
      <c r="I773" s="94">
        <v>216.45450713952681</v>
      </c>
      <c r="J773" s="94">
        <v>216.70406667948637</v>
      </c>
      <c r="K773" s="94">
        <v>213.48858799154607</v>
      </c>
      <c r="L773" s="94">
        <v>215.75382073887118</v>
      </c>
      <c r="M773" s="95">
        <v>829784.50767127157</v>
      </c>
      <c r="N773" s="93" t="s">
        <v>801</v>
      </c>
      <c r="O773" s="25">
        <f t="shared" si="25"/>
        <v>3.2476198950084356E-3</v>
      </c>
    </row>
    <row r="774" spans="1:15">
      <c r="A774" s="94">
        <v>487.67432727914212</v>
      </c>
      <c r="B774" s="94">
        <v>490.44784894637559</v>
      </c>
      <c r="C774" s="94">
        <v>486.03542811214055</v>
      </c>
      <c r="D774" s="94">
        <v>489.86599125394895</v>
      </c>
      <c r="E774" s="95">
        <v>4960869.7067524986</v>
      </c>
      <c r="F774" s="93" t="s">
        <v>802</v>
      </c>
      <c r="G774" s="25">
        <f t="shared" si="24"/>
        <v>-4.4740072059230585E-3</v>
      </c>
      <c r="I774" s="94">
        <v>215.1011265574385</v>
      </c>
      <c r="J774" s="94">
        <v>215.50426119891165</v>
      </c>
      <c r="K774" s="94">
        <v>213.07585490622839</v>
      </c>
      <c r="L774" s="94">
        <v>213.07585490622839</v>
      </c>
      <c r="M774" s="95">
        <v>577098.75576524378</v>
      </c>
      <c r="N774" s="93" t="s">
        <v>802</v>
      </c>
      <c r="O774" s="25">
        <f t="shared" si="25"/>
        <v>9.5049326546239321E-3</v>
      </c>
    </row>
    <row r="775" spans="1:15">
      <c r="A775" s="94">
        <v>489.03199522813748</v>
      </c>
      <c r="B775" s="94">
        <v>489.10492139225499</v>
      </c>
      <c r="C775" s="94">
        <v>487.43188657396439</v>
      </c>
      <c r="D775" s="94">
        <v>487.83918695866299</v>
      </c>
      <c r="E775" s="95">
        <v>3538664.2246029279</v>
      </c>
      <c r="F775" s="93" t="s">
        <v>803</v>
      </c>
      <c r="G775" s="25">
        <f t="shared" si="24"/>
        <v>2.4450849816120002E-3</v>
      </c>
      <c r="I775" s="94">
        <v>213.51738332307986</v>
      </c>
      <c r="J775" s="94">
        <v>213.79573819457323</v>
      </c>
      <c r="K775" s="94">
        <v>211.10817391808581</v>
      </c>
      <c r="L775" s="94">
        <v>211.84725409411985</v>
      </c>
      <c r="M775" s="95">
        <v>610344.76992821647</v>
      </c>
      <c r="N775" s="93" t="s">
        <v>803</v>
      </c>
      <c r="O775" s="25">
        <f t="shared" si="25"/>
        <v>7.8836482261790408E-3</v>
      </c>
    </row>
    <row r="776" spans="1:15">
      <c r="A776" s="94">
        <v>487.73251304838476</v>
      </c>
      <c r="B776" s="94">
        <v>488.93501894606641</v>
      </c>
      <c r="C776" s="94">
        <v>482.85460606020854</v>
      </c>
      <c r="D776" s="94">
        <v>483.4073708680138</v>
      </c>
      <c r="E776" s="95">
        <v>4753264.3049982898</v>
      </c>
      <c r="F776" s="93" t="s">
        <v>804</v>
      </c>
      <c r="G776" s="25">
        <f t="shared" si="24"/>
        <v>8.9471994864387394E-3</v>
      </c>
      <c r="I776" s="94">
        <v>211.82805720643066</v>
      </c>
      <c r="J776" s="94">
        <v>212.28878251097134</v>
      </c>
      <c r="K776" s="94">
        <v>207.98388044666919</v>
      </c>
      <c r="L776" s="94">
        <v>208.02707344396987</v>
      </c>
      <c r="M776" s="95">
        <v>580778.51891975536</v>
      </c>
      <c r="N776" s="93" t="s">
        <v>804</v>
      </c>
      <c r="O776" s="25">
        <f t="shared" si="25"/>
        <v>1.827158215290936E-2</v>
      </c>
    </row>
    <row r="777" spans="1:15">
      <c r="A777" s="94">
        <v>483.89225227836931</v>
      </c>
      <c r="B777" s="94">
        <v>483.95043804761195</v>
      </c>
      <c r="C777" s="94">
        <v>481.28359029065672</v>
      </c>
      <c r="D777" s="94">
        <v>482.22426022674637</v>
      </c>
      <c r="E777" s="95">
        <v>5993265.4416869218</v>
      </c>
      <c r="F777" s="93" t="s">
        <v>805</v>
      </c>
      <c r="G777" s="25">
        <f t="shared" si="24"/>
        <v>3.4589550738044483E-3</v>
      </c>
      <c r="I777" s="94">
        <v>208.73735828847012</v>
      </c>
      <c r="J777" s="94">
        <v>209.7643917798421</v>
      </c>
      <c r="K777" s="94">
        <v>206.72168508110457</v>
      </c>
      <c r="L777" s="94">
        <v>208.60298007464576</v>
      </c>
      <c r="M777" s="95">
        <v>452767.14333708392</v>
      </c>
      <c r="N777" s="93" t="s">
        <v>805</v>
      </c>
      <c r="O777" s="25">
        <f t="shared" si="25"/>
        <v>6.4418165922797144E-4</v>
      </c>
    </row>
    <row r="778" spans="1:15">
      <c r="A778" s="94">
        <v>483.50434715008487</v>
      </c>
      <c r="B778" s="94">
        <v>484.34804080410345</v>
      </c>
      <c r="C778" s="94">
        <v>481.0605448418932</v>
      </c>
      <c r="D778" s="94">
        <v>484.20257638099679</v>
      </c>
      <c r="E778" s="95">
        <v>9083539.6159461997</v>
      </c>
      <c r="F778" s="93" t="s">
        <v>806</v>
      </c>
      <c r="G778" s="25">
        <f t="shared" si="24"/>
        <v>-1.4420188263568612E-3</v>
      </c>
      <c r="I778" s="94">
        <v>210.39788907358556</v>
      </c>
      <c r="J778" s="94">
        <v>210.66664550123429</v>
      </c>
      <c r="K778" s="94">
        <v>208.24783765239565</v>
      </c>
      <c r="L778" s="94">
        <v>209.80278555522051</v>
      </c>
      <c r="M778" s="95">
        <v>533858.41319308931</v>
      </c>
      <c r="N778" s="93" t="s">
        <v>806</v>
      </c>
      <c r="O778" s="25">
        <f t="shared" si="25"/>
        <v>2.836490072284592E-3</v>
      </c>
    </row>
    <row r="779" spans="1:15">
      <c r="A779" s="94">
        <v>482.59277009861654</v>
      </c>
      <c r="B779" s="94">
        <v>485.0268747786011</v>
      </c>
      <c r="C779" s="94">
        <v>481.69089067535532</v>
      </c>
      <c r="D779" s="94">
        <v>482.87400131662275</v>
      </c>
      <c r="E779" s="95">
        <v>3814115.0815497404</v>
      </c>
      <c r="F779" s="93" t="s">
        <v>807</v>
      </c>
      <c r="G779" s="25">
        <f t="shared" si="24"/>
        <v>-5.8241118229473976E-4</v>
      </c>
      <c r="I779" s="94">
        <v>210.17712486515981</v>
      </c>
      <c r="J779" s="94">
        <v>212.02482530524492</v>
      </c>
      <c r="K779" s="94">
        <v>209.74759450311407</v>
      </c>
      <c r="L779" s="94">
        <v>211.76086809951846</v>
      </c>
      <c r="M779" s="95">
        <v>560364.79319792625</v>
      </c>
      <c r="N779" s="93" t="s">
        <v>807</v>
      </c>
      <c r="O779" s="25">
        <f t="shared" si="25"/>
        <v>-7.4789230350829072E-3</v>
      </c>
    </row>
    <row r="780" spans="1:15">
      <c r="A780" s="94">
        <v>478.60704490549438</v>
      </c>
      <c r="B780" s="94">
        <v>478.73311407218682</v>
      </c>
      <c r="C780" s="94">
        <v>474.31972347513107</v>
      </c>
      <c r="D780" s="94">
        <v>476.1438473408885</v>
      </c>
      <c r="E780" s="95">
        <v>4154029.1233752714</v>
      </c>
      <c r="F780" s="93" t="s">
        <v>808</v>
      </c>
      <c r="G780" s="25">
        <f t="shared" si="24"/>
        <v>5.1732214505386676E-3</v>
      </c>
      <c r="I780" s="94">
        <v>211.37693034573454</v>
      </c>
      <c r="J780" s="94">
        <v>212.28878251097134</v>
      </c>
      <c r="K780" s="94">
        <v>210.01395131980166</v>
      </c>
      <c r="L780" s="94">
        <v>211.41532412111292</v>
      </c>
      <c r="M780" s="95">
        <v>620741.24685881427</v>
      </c>
      <c r="N780" s="93" t="s">
        <v>808</v>
      </c>
      <c r="O780" s="25">
        <f t="shared" si="25"/>
        <v>-1.8160355942975492E-4</v>
      </c>
    </row>
    <row r="781" spans="1:15">
      <c r="A781" s="94">
        <v>477.52091054629813</v>
      </c>
      <c r="B781" s="94">
        <v>477.79244413609717</v>
      </c>
      <c r="C781" s="94">
        <v>474.75708650727177</v>
      </c>
      <c r="D781" s="94">
        <v>475.34864182790545</v>
      </c>
      <c r="E781" s="95">
        <v>3573267.5309819016</v>
      </c>
      <c r="F781" s="93" t="s">
        <v>809</v>
      </c>
      <c r="G781" s="25">
        <f t="shared" si="24"/>
        <v>4.5698431156537822E-3</v>
      </c>
      <c r="I781" s="94">
        <v>212.52874360708628</v>
      </c>
      <c r="J781" s="94">
        <v>213.09505179391755</v>
      </c>
      <c r="K781" s="94">
        <v>211.80972417868745</v>
      </c>
      <c r="L781" s="94">
        <v>212.89348447318102</v>
      </c>
      <c r="M781" s="95">
        <v>596884.25465180376</v>
      </c>
      <c r="N781" s="93" t="s">
        <v>809</v>
      </c>
      <c r="O781" s="25">
        <f t="shared" si="25"/>
        <v>-1.7132551848513256E-3</v>
      </c>
    </row>
    <row r="782" spans="1:15">
      <c r="A782" s="94">
        <v>475.95959240495341</v>
      </c>
      <c r="B782" s="94">
        <v>478.60704490549438</v>
      </c>
      <c r="C782" s="94">
        <v>474.73769125085755</v>
      </c>
      <c r="D782" s="94">
        <v>475.71715169977563</v>
      </c>
      <c r="E782" s="95">
        <v>3159109.5622266773</v>
      </c>
      <c r="F782" s="93" t="s">
        <v>810</v>
      </c>
      <c r="G782" s="25">
        <f t="shared" si="24"/>
        <v>5.0963204566301101E-4</v>
      </c>
      <c r="I782" s="94">
        <v>212.989468911627</v>
      </c>
      <c r="J782" s="94">
        <v>214.94755145592495</v>
      </c>
      <c r="K782" s="94">
        <v>212.38476694941733</v>
      </c>
      <c r="L782" s="94">
        <v>212.61512960168767</v>
      </c>
      <c r="M782" s="95">
        <v>591637.57083353633</v>
      </c>
      <c r="N782" s="93" t="s">
        <v>810</v>
      </c>
      <c r="O782" s="25">
        <f t="shared" si="25"/>
        <v>1.7606428603675894E-3</v>
      </c>
    </row>
    <row r="783" spans="1:15">
      <c r="A783" s="94">
        <v>476.58024061020842</v>
      </c>
      <c r="B783" s="94">
        <v>477.29786509753455</v>
      </c>
      <c r="C783" s="94">
        <v>474.83476450921074</v>
      </c>
      <c r="D783" s="94">
        <v>476.96814573849281</v>
      </c>
      <c r="E783" s="95">
        <v>22009468.237142265</v>
      </c>
      <c r="F783" s="93" t="s">
        <v>811</v>
      </c>
      <c r="G783" s="25">
        <f t="shared" si="24"/>
        <v>-8.1327260897856579E-4</v>
      </c>
      <c r="I783" s="94">
        <v>213.12384712545136</v>
      </c>
      <c r="J783" s="94">
        <v>216.05041265366924</v>
      </c>
      <c r="K783" s="94">
        <v>212.989468911627</v>
      </c>
      <c r="L783" s="94">
        <v>214.58281058983025</v>
      </c>
      <c r="M783" s="95">
        <v>901513.8432955551</v>
      </c>
      <c r="N783" s="93" t="s">
        <v>811</v>
      </c>
      <c r="O783" s="25">
        <f t="shared" si="25"/>
        <v>-6.7990696010019613E-3</v>
      </c>
    </row>
    <row r="784" spans="1:15">
      <c r="A784" s="94">
        <v>476.68691452048665</v>
      </c>
      <c r="B784" s="94">
        <v>476.68691452048665</v>
      </c>
      <c r="C784" s="94">
        <v>471.36291663478329</v>
      </c>
      <c r="D784" s="94">
        <v>473.1181873402702</v>
      </c>
      <c r="E784" s="95">
        <v>3120501.1528296764</v>
      </c>
      <c r="F784" s="93" t="s">
        <v>812</v>
      </c>
      <c r="G784" s="25">
        <f t="shared" si="24"/>
        <v>7.5429930104331522E-3</v>
      </c>
      <c r="I784" s="94">
        <v>215.14911877666151</v>
      </c>
      <c r="J784" s="94">
        <v>217.64471417625697</v>
      </c>
      <c r="K784" s="94">
        <v>214.16527828259024</v>
      </c>
      <c r="L784" s="94">
        <v>217.64471417625697</v>
      </c>
      <c r="M784" s="95">
        <v>739033.33861689945</v>
      </c>
      <c r="N784" s="93" t="s">
        <v>812</v>
      </c>
      <c r="O784" s="25">
        <f t="shared" si="25"/>
        <v>-1.1466372657111368E-2</v>
      </c>
    </row>
    <row r="785" spans="1:15">
      <c r="A785" s="94">
        <v>471.05259253215581</v>
      </c>
      <c r="B785" s="94">
        <v>471.70233362203214</v>
      </c>
      <c r="C785" s="94">
        <v>467.96874676229481</v>
      </c>
      <c r="D785" s="94">
        <v>469.36520522411865</v>
      </c>
      <c r="E785" s="95">
        <v>2640098.1202011015</v>
      </c>
      <c r="F785" s="93" t="s">
        <v>813</v>
      </c>
      <c r="G785" s="25">
        <f t="shared" si="24"/>
        <v>3.5950413223140298E-3</v>
      </c>
      <c r="I785" s="94">
        <v>217.58712351318937</v>
      </c>
      <c r="J785" s="94">
        <v>217.87498084408887</v>
      </c>
      <c r="K785" s="94">
        <v>215.0084055898997</v>
      </c>
      <c r="L785" s="94">
        <v>216.42571180799303</v>
      </c>
      <c r="M785" s="95">
        <v>823999.19487483811</v>
      </c>
      <c r="N785" s="93" t="s">
        <v>813</v>
      </c>
      <c r="O785" s="25">
        <f t="shared" si="25"/>
        <v>5.3663296079475842E-3</v>
      </c>
    </row>
    <row r="786" spans="1:15">
      <c r="A786" s="94">
        <v>470.48043246793628</v>
      </c>
      <c r="B786" s="94">
        <v>471.70233362203214</v>
      </c>
      <c r="C786" s="94">
        <v>465.87405906955905</v>
      </c>
      <c r="D786" s="94">
        <v>471.59565971175397</v>
      </c>
      <c r="E786" s="95">
        <v>4342562.8515150603</v>
      </c>
      <c r="F786" s="93" t="s">
        <v>814</v>
      </c>
      <c r="G786" s="25">
        <f t="shared" si="24"/>
        <v>-2.3647953937899757E-3</v>
      </c>
      <c r="I786" s="94">
        <v>216.43531024837259</v>
      </c>
      <c r="J786" s="94">
        <v>216.54035275500095</v>
      </c>
      <c r="K786" s="94">
        <v>213.25538709316817</v>
      </c>
      <c r="L786" s="94">
        <v>215.17480016883212</v>
      </c>
      <c r="M786" s="95">
        <v>918676.00171998772</v>
      </c>
      <c r="N786" s="93" t="s">
        <v>814</v>
      </c>
      <c r="O786" s="25">
        <f t="shared" si="25"/>
        <v>5.8580748235919078E-3</v>
      </c>
    </row>
    <row r="787" spans="1:15">
      <c r="A787" s="94">
        <v>469.96645817295945</v>
      </c>
      <c r="B787" s="94">
        <v>470.24768939096566</v>
      </c>
      <c r="C787" s="94">
        <v>462.06773999826851</v>
      </c>
      <c r="D787" s="94">
        <v>466.68865983895631</v>
      </c>
      <c r="E787" s="95">
        <v>5500284.0757386005</v>
      </c>
      <c r="F787" s="93" t="s">
        <v>815</v>
      </c>
      <c r="G787" s="25">
        <f t="shared" si="24"/>
        <v>7.023522566702578E-3</v>
      </c>
      <c r="I787" s="94">
        <v>214.69733422961224</v>
      </c>
      <c r="J787" s="94">
        <v>215.25119471910727</v>
      </c>
      <c r="K787" s="94">
        <v>208.22289609379064</v>
      </c>
      <c r="L787" s="94">
        <v>209.06323614681762</v>
      </c>
      <c r="M787" s="95">
        <v>1530133.2304324873</v>
      </c>
      <c r="N787" s="93" t="s">
        <v>815</v>
      </c>
      <c r="O787" s="25">
        <f t="shared" si="25"/>
        <v>2.6949253185949873E-2</v>
      </c>
    </row>
    <row r="788" spans="1:15">
      <c r="A788" s="94">
        <v>465.91284958238754</v>
      </c>
      <c r="B788" s="94">
        <v>468.15338960335822</v>
      </c>
      <c r="C788" s="94">
        <v>464.71034368470589</v>
      </c>
      <c r="D788" s="94">
        <v>467.542051121182</v>
      </c>
      <c r="E788" s="95">
        <v>3499401.015922599</v>
      </c>
      <c r="F788" s="93" t="s">
        <v>816</v>
      </c>
      <c r="G788" s="25">
        <f t="shared" si="24"/>
        <v>-3.4846096407533667E-3</v>
      </c>
      <c r="I788" s="94">
        <v>209.29241979764313</v>
      </c>
      <c r="J788" s="94">
        <v>209.47385685454671</v>
      </c>
      <c r="K788" s="94">
        <v>206.37510290900968</v>
      </c>
      <c r="L788" s="94">
        <v>206.49446939381465</v>
      </c>
      <c r="M788" s="95">
        <v>948947.27096196788</v>
      </c>
      <c r="N788" s="93" t="s">
        <v>816</v>
      </c>
      <c r="O788" s="25">
        <f t="shared" si="25"/>
        <v>1.3549759526451988E-2</v>
      </c>
    </row>
    <row r="789" spans="1:15">
      <c r="A789" s="94">
        <v>469.06457874969823</v>
      </c>
      <c r="B789" s="94">
        <v>470.02464394220215</v>
      </c>
      <c r="C789" s="94">
        <v>468.3566518905792</v>
      </c>
      <c r="D789" s="94">
        <v>468.57969733934277</v>
      </c>
      <c r="E789" s="95">
        <v>5779723.5368238604</v>
      </c>
      <c r="F789" s="93" t="s">
        <v>817</v>
      </c>
      <c r="G789" s="25">
        <f t="shared" si="24"/>
        <v>1.0347896272686619E-3</v>
      </c>
      <c r="I789" s="94">
        <v>205.53953751537489</v>
      </c>
      <c r="J789" s="94">
        <v>207.96134025228596</v>
      </c>
      <c r="K789" s="94">
        <v>205.46314296509971</v>
      </c>
      <c r="L789" s="94">
        <v>207.60219037280478</v>
      </c>
      <c r="M789" s="95">
        <v>917130.34172755806</v>
      </c>
      <c r="N789" s="93" t="s">
        <v>817</v>
      </c>
      <c r="O789" s="25">
        <f t="shared" si="25"/>
        <v>-9.9356025758969846E-3</v>
      </c>
    </row>
    <row r="790" spans="1:15">
      <c r="A790" s="94">
        <v>472.39086522473696</v>
      </c>
      <c r="B790" s="94">
        <v>472.89999070561021</v>
      </c>
      <c r="C790" s="94">
        <v>469.87433070499191</v>
      </c>
      <c r="D790" s="94">
        <v>472.662398814536</v>
      </c>
      <c r="E790" s="95">
        <v>4160518.338950051</v>
      </c>
      <c r="F790" s="93" t="s">
        <v>818</v>
      </c>
      <c r="G790" s="25">
        <f t="shared" si="24"/>
        <v>-5.7447681575706344E-4</v>
      </c>
      <c r="I790" s="94">
        <v>209.00594023411122</v>
      </c>
      <c r="J790" s="94">
        <v>212.70143111048526</v>
      </c>
      <c r="K790" s="94">
        <v>208.71946067057928</v>
      </c>
      <c r="L790" s="94">
        <v>212.52008954676955</v>
      </c>
      <c r="M790" s="95">
        <v>676767.64656335174</v>
      </c>
      <c r="N790" s="93" t="s">
        <v>818</v>
      </c>
      <c r="O790" s="25">
        <f t="shared" si="25"/>
        <v>-1.6535609975286469E-2</v>
      </c>
    </row>
    <row r="791" spans="1:15">
      <c r="A791" s="94">
        <v>472.01265772465968</v>
      </c>
      <c r="B791" s="94">
        <v>472.662398814536</v>
      </c>
      <c r="C791" s="94">
        <v>469.68522695495329</v>
      </c>
      <c r="D791" s="94">
        <v>470.5095253525576</v>
      </c>
      <c r="E791" s="95">
        <v>2634913.3472931101</v>
      </c>
      <c r="F791" s="93" t="s">
        <v>819</v>
      </c>
      <c r="G791" s="25">
        <f t="shared" si="24"/>
        <v>3.1946906302815492E-3</v>
      </c>
      <c r="I791" s="94">
        <v>213.18854186167738</v>
      </c>
      <c r="J791" s="94">
        <v>214.06230453044978</v>
      </c>
      <c r="K791" s="94">
        <v>212.25280411399427</v>
      </c>
      <c r="L791" s="94">
        <v>213.74240235117247</v>
      </c>
      <c r="M791" s="95">
        <v>446992.09403021814</v>
      </c>
      <c r="N791" s="93" t="s">
        <v>819</v>
      </c>
      <c r="O791" s="25">
        <f t="shared" si="25"/>
        <v>-2.5912522896842649E-3</v>
      </c>
    </row>
    <row r="792" spans="1:15">
      <c r="A792" s="94">
        <v>468.8221380445205</v>
      </c>
      <c r="B792" s="94">
        <v>475.17408452017747</v>
      </c>
      <c r="C792" s="94">
        <v>467.70691080070287</v>
      </c>
      <c r="D792" s="94">
        <v>475.09650349452062</v>
      </c>
      <c r="E792" s="95">
        <v>3930143.4521955703</v>
      </c>
      <c r="F792" s="93" t="s">
        <v>820</v>
      </c>
      <c r="G792" s="25">
        <f t="shared" si="24"/>
        <v>-1.320650731767059E-2</v>
      </c>
      <c r="I792" s="94">
        <v>213.05485139869583</v>
      </c>
      <c r="J792" s="94">
        <v>214.86922196773136</v>
      </c>
      <c r="K792" s="94">
        <v>212.43414567770998</v>
      </c>
      <c r="L792" s="94">
        <v>214.86922196773136</v>
      </c>
      <c r="M792" s="95">
        <v>1150133.3496107378</v>
      </c>
      <c r="N792" s="93" t="s">
        <v>820</v>
      </c>
      <c r="O792" s="25">
        <f t="shared" si="25"/>
        <v>-8.44406915248197E-3</v>
      </c>
    </row>
    <row r="793" spans="1:15">
      <c r="A793" s="94">
        <v>472.33267945549426</v>
      </c>
      <c r="B793" s="94">
        <v>473.66125451986835</v>
      </c>
      <c r="C793" s="94">
        <v>470.27678227558698</v>
      </c>
      <c r="D793" s="94">
        <v>473.04060631461334</v>
      </c>
      <c r="E793" s="95">
        <v>3351934.0302372202</v>
      </c>
      <c r="F793" s="93" t="s">
        <v>821</v>
      </c>
      <c r="G793" s="25">
        <f t="shared" si="24"/>
        <v>-1.4965456446422998E-3</v>
      </c>
      <c r="I793" s="94">
        <v>215.1652508500477</v>
      </c>
      <c r="J793" s="94">
        <v>215.59497019534561</v>
      </c>
      <c r="K793" s="94">
        <v>213.90951542989941</v>
      </c>
      <c r="L793" s="94">
        <v>213.90951542989941</v>
      </c>
      <c r="M793" s="95">
        <v>724144.84803862299</v>
      </c>
      <c r="N793" s="93" t="s">
        <v>821</v>
      </c>
      <c r="O793" s="25">
        <f t="shared" si="25"/>
        <v>5.8704046784670005E-3</v>
      </c>
    </row>
    <row r="794" spans="1:15">
      <c r="A794" s="94">
        <v>473.70974266090388</v>
      </c>
      <c r="B794" s="94">
        <v>473.80671894297495</v>
      </c>
      <c r="C794" s="94">
        <v>471.6441478527895</v>
      </c>
      <c r="D794" s="94">
        <v>471.81870516051742</v>
      </c>
      <c r="E794" s="95">
        <v>2530078.4352622861</v>
      </c>
      <c r="F794" s="93" t="s">
        <v>822</v>
      </c>
      <c r="G794" s="25">
        <f t="shared" si="24"/>
        <v>4.0079748422503503E-3</v>
      </c>
      <c r="I794" s="94">
        <v>215.09840561855691</v>
      </c>
      <c r="J794" s="94">
        <v>215.71911133954276</v>
      </c>
      <c r="K794" s="94">
        <v>213.76150098874123</v>
      </c>
      <c r="L794" s="94">
        <v>213.76150098874123</v>
      </c>
      <c r="M794" s="95">
        <v>688534.97809108312</v>
      </c>
      <c r="N794" s="93" t="s">
        <v>822</v>
      </c>
      <c r="O794" s="25">
        <f t="shared" si="25"/>
        <v>6.2541880723698817E-3</v>
      </c>
    </row>
    <row r="795" spans="1:15">
      <c r="A795" s="94">
        <v>472.43935336577249</v>
      </c>
      <c r="B795" s="94">
        <v>473.83571485131421</v>
      </c>
      <c r="C795" s="94">
        <v>471.74112413486057</v>
      </c>
      <c r="D795" s="94">
        <v>472.06114586569515</v>
      </c>
      <c r="E795" s="95">
        <v>2680639.992048875</v>
      </c>
      <c r="F795" s="93" t="s">
        <v>823</v>
      </c>
      <c r="G795" s="25">
        <f t="shared" si="24"/>
        <v>8.0118328608413947E-4</v>
      </c>
      <c r="I795" s="94">
        <v>213.54186665670011</v>
      </c>
      <c r="J795" s="94">
        <v>214.22941760917675</v>
      </c>
      <c r="K795" s="94">
        <v>213.1025979926178</v>
      </c>
      <c r="L795" s="94">
        <v>214.08617782741078</v>
      </c>
      <c r="M795" s="95">
        <v>564491.57491813961</v>
      </c>
      <c r="N795" s="93" t="s">
        <v>823</v>
      </c>
      <c r="O795" s="25">
        <f t="shared" si="25"/>
        <v>-2.5424862839555917E-3</v>
      </c>
    </row>
    <row r="796" spans="1:15">
      <c r="A796" s="94">
        <v>471.97386721183119</v>
      </c>
      <c r="B796" s="94">
        <v>472.01265772465968</v>
      </c>
      <c r="C796" s="94">
        <v>470.04403919861636</v>
      </c>
      <c r="D796" s="94">
        <v>471.39200951940461</v>
      </c>
      <c r="E796" s="95">
        <v>3376119.3253414445</v>
      </c>
      <c r="F796" s="93" t="s">
        <v>824</v>
      </c>
      <c r="G796" s="25">
        <f t="shared" si="24"/>
        <v>1.2343393198790409E-3</v>
      </c>
      <c r="I796" s="94">
        <v>213.49412006277811</v>
      </c>
      <c r="J796" s="94">
        <v>213.69465575725047</v>
      </c>
      <c r="K796" s="94">
        <v>211.37417129264182</v>
      </c>
      <c r="L796" s="94">
        <v>212.69197728488871</v>
      </c>
      <c r="M796" s="95">
        <v>512660.65261102334</v>
      </c>
      <c r="N796" s="93" t="s">
        <v>824</v>
      </c>
      <c r="O796" s="25">
        <f t="shared" si="25"/>
        <v>3.7713823912359778E-3</v>
      </c>
    </row>
    <row r="797" spans="1:15">
      <c r="A797" s="94">
        <v>471.27563798091933</v>
      </c>
      <c r="B797" s="94">
        <v>473.79702131476785</v>
      </c>
      <c r="C797" s="94">
        <v>471.13987118601977</v>
      </c>
      <c r="D797" s="94">
        <v>472.32298182728721</v>
      </c>
      <c r="E797" s="95">
        <v>3451752.2516957726</v>
      </c>
      <c r="F797" s="93" t="s">
        <v>825</v>
      </c>
      <c r="G797" s="25">
        <f t="shared" si="24"/>
        <v>-2.2174314752079205E-3</v>
      </c>
      <c r="I797" s="94">
        <v>212.08082088268728</v>
      </c>
      <c r="J797" s="94">
        <v>213.50366938156253</v>
      </c>
      <c r="K797" s="94">
        <v>211.53650971197661</v>
      </c>
      <c r="L797" s="94">
        <v>212.13811679539364</v>
      </c>
      <c r="M797" s="95">
        <v>770141.84634992259</v>
      </c>
      <c r="N797" s="93" t="s">
        <v>825</v>
      </c>
      <c r="O797" s="25">
        <f t="shared" si="25"/>
        <v>-2.7008777852788324E-4</v>
      </c>
    </row>
    <row r="798" spans="1:15">
      <c r="A798" s="94">
        <v>472.17751740418049</v>
      </c>
      <c r="B798" s="94">
        <v>472.49753913501519</v>
      </c>
      <c r="C798" s="94">
        <v>468.13845525591927</v>
      </c>
      <c r="D798" s="94">
        <v>468.72516176244937</v>
      </c>
      <c r="E798" s="95">
        <v>4536660.826793178</v>
      </c>
      <c r="F798" s="93" t="s">
        <v>826</v>
      </c>
      <c r="G798" s="25">
        <f t="shared" si="24"/>
        <v>7.3654156494393774E-3</v>
      </c>
      <c r="I798" s="94">
        <v>212.08082088268728</v>
      </c>
      <c r="J798" s="94">
        <v>213.26493641195259</v>
      </c>
      <c r="K798" s="94">
        <v>211.43146720534821</v>
      </c>
      <c r="L798" s="94">
        <v>211.43146720534821</v>
      </c>
      <c r="M798" s="95">
        <v>809939.44956963463</v>
      </c>
      <c r="N798" s="93" t="s">
        <v>826</v>
      </c>
      <c r="O798" s="25">
        <f t="shared" si="25"/>
        <v>3.071225328576066E-3</v>
      </c>
    </row>
    <row r="799" spans="1:15">
      <c r="A799" s="94">
        <v>466.49470727481417</v>
      </c>
      <c r="B799" s="94">
        <v>466.91170528771988</v>
      </c>
      <c r="C799" s="94">
        <v>464.01211445379403</v>
      </c>
      <c r="D799" s="94">
        <v>464.49699586414948</v>
      </c>
      <c r="E799" s="95">
        <v>3359299.7487896835</v>
      </c>
      <c r="F799" s="93" t="s">
        <v>827</v>
      </c>
      <c r="G799" s="25">
        <f t="shared" si="24"/>
        <v>4.3008058791600412E-3</v>
      </c>
      <c r="I799" s="94">
        <v>211.16408627938509</v>
      </c>
      <c r="J799" s="94">
        <v>212.53737381376931</v>
      </c>
      <c r="K799" s="94">
        <v>210.40969009541769</v>
      </c>
      <c r="L799" s="94">
        <v>211.80389063793973</v>
      </c>
      <c r="M799" s="95">
        <v>608670.64250663575</v>
      </c>
      <c r="N799" s="93" t="s">
        <v>827</v>
      </c>
      <c r="O799" s="25">
        <f t="shared" si="25"/>
        <v>-3.0207394048692437E-3</v>
      </c>
    </row>
    <row r="800" spans="1:15">
      <c r="A800" s="94">
        <v>464.29334567180018</v>
      </c>
      <c r="B800" s="94">
        <v>465.89345432597332</v>
      </c>
      <c r="C800" s="94">
        <v>463.28479233826079</v>
      </c>
      <c r="D800" s="94">
        <v>465.82557092852358</v>
      </c>
      <c r="E800" s="95">
        <v>3205363.1399490261</v>
      </c>
      <c r="F800" s="93" t="s">
        <v>828</v>
      </c>
      <c r="G800" s="25">
        <f t="shared" si="24"/>
        <v>-3.2892682419070063E-3</v>
      </c>
      <c r="I800" s="94">
        <v>210.63887374624323</v>
      </c>
      <c r="J800" s="94">
        <v>211.90883765138025</v>
      </c>
      <c r="K800" s="94">
        <v>209.83195630896162</v>
      </c>
      <c r="L800" s="94">
        <v>210.08501325674817</v>
      </c>
      <c r="M800" s="95">
        <v>701658.42729509936</v>
      </c>
      <c r="N800" s="93" t="s">
        <v>828</v>
      </c>
      <c r="O800" s="25">
        <f t="shared" si="25"/>
        <v>2.6363636363635479E-3</v>
      </c>
    </row>
    <row r="801" spans="1:15">
      <c r="A801" s="94">
        <v>464.26425278717886</v>
      </c>
      <c r="B801" s="94">
        <v>465.86436144135195</v>
      </c>
      <c r="C801" s="94">
        <v>463.14902554336118</v>
      </c>
      <c r="D801" s="94">
        <v>465.1855274668543</v>
      </c>
      <c r="E801" s="95">
        <v>3451523.3297416014</v>
      </c>
      <c r="F801" s="93" t="s">
        <v>829</v>
      </c>
      <c r="G801" s="25">
        <f t="shared" si="24"/>
        <v>-1.9804457045174972E-3</v>
      </c>
      <c r="I801" s="94">
        <v>209.70304050537226</v>
      </c>
      <c r="J801" s="94">
        <v>209.9980189626223</v>
      </c>
      <c r="K801" s="94">
        <v>208.70036203301052</v>
      </c>
      <c r="L801" s="94">
        <v>209.52160344846868</v>
      </c>
      <c r="M801" s="95">
        <v>653267.54094674403</v>
      </c>
      <c r="N801" s="93" t="s">
        <v>829</v>
      </c>
      <c r="O801" s="25">
        <f t="shared" si="25"/>
        <v>8.6595870744288206E-4</v>
      </c>
    </row>
    <row r="802" spans="1:15">
      <c r="A802" s="94">
        <v>463.69209272295933</v>
      </c>
      <c r="B802" s="94">
        <v>463.69209272295933</v>
      </c>
      <c r="C802" s="94">
        <v>460.57915406847707</v>
      </c>
      <c r="D802" s="94">
        <v>461.20949990193924</v>
      </c>
      <c r="E802" s="95">
        <v>3594743.9162950967</v>
      </c>
      <c r="F802" s="93" t="s">
        <v>830</v>
      </c>
      <c r="G802" s="25">
        <f t="shared" si="24"/>
        <v>5.382787695283664E-3</v>
      </c>
      <c r="I802" s="94">
        <v>209.59799799874389</v>
      </c>
      <c r="J802" s="94">
        <v>209.97042143133538</v>
      </c>
      <c r="K802" s="94">
        <v>206.08384868608556</v>
      </c>
      <c r="L802" s="94">
        <v>206.08384868608556</v>
      </c>
      <c r="M802" s="95">
        <v>864359.0382055355</v>
      </c>
      <c r="N802" s="93" t="s">
        <v>830</v>
      </c>
      <c r="O802" s="25">
        <f t="shared" si="25"/>
        <v>1.7052036513599989E-2</v>
      </c>
    </row>
    <row r="803" spans="1:15">
      <c r="A803" s="94">
        <v>461.04464022241837</v>
      </c>
      <c r="B803" s="94">
        <v>461.47133586353124</v>
      </c>
      <c r="C803" s="94">
        <v>459.18269560665328</v>
      </c>
      <c r="D803" s="94">
        <v>459.26997426051724</v>
      </c>
      <c r="E803" s="95">
        <v>3315117.811634589</v>
      </c>
      <c r="F803" s="93" t="s">
        <v>831</v>
      </c>
      <c r="G803" s="25">
        <f t="shared" si="24"/>
        <v>3.8641018602589838E-3</v>
      </c>
      <c r="I803" s="94">
        <v>206.08384868608556</v>
      </c>
      <c r="J803" s="94">
        <v>206.61383587861962</v>
      </c>
      <c r="K803" s="94">
        <v>205.59683342808128</v>
      </c>
      <c r="L803" s="94">
        <v>206.26528574298911</v>
      </c>
      <c r="M803" s="95">
        <v>1040940.2203894502</v>
      </c>
      <c r="N803" s="93" t="s">
        <v>831</v>
      </c>
      <c r="O803" s="25">
        <f t="shared" si="25"/>
        <v>-8.796296296296191E-4</v>
      </c>
    </row>
    <row r="804" spans="1:15">
      <c r="A804" s="94">
        <v>461.02524496600415</v>
      </c>
      <c r="B804" s="94">
        <v>462.22775086368574</v>
      </c>
      <c r="C804" s="94">
        <v>460.35610861971355</v>
      </c>
      <c r="D804" s="94">
        <v>461.31617381221741</v>
      </c>
      <c r="E804" s="95">
        <v>3558913.5057473658</v>
      </c>
      <c r="F804" s="93" t="s">
        <v>832</v>
      </c>
      <c r="G804" s="25">
        <f t="shared" si="24"/>
        <v>-6.3064956905600766E-4</v>
      </c>
      <c r="I804" s="94">
        <v>206.17934187392953</v>
      </c>
      <c r="J804" s="94">
        <v>206.96238601425011</v>
      </c>
      <c r="K804" s="94">
        <v>205.30080454576495</v>
      </c>
      <c r="L804" s="94">
        <v>205.56818547172807</v>
      </c>
      <c r="M804" s="95">
        <v>966404.0135593944</v>
      </c>
      <c r="N804" s="93" t="s">
        <v>832</v>
      </c>
      <c r="O804" s="25">
        <f t="shared" si="25"/>
        <v>2.9730106378036414E-3</v>
      </c>
    </row>
    <row r="805" spans="1:15">
      <c r="A805" s="94">
        <v>460.36580624792072</v>
      </c>
      <c r="B805" s="94">
        <v>460.45308490178468</v>
      </c>
      <c r="C805" s="94">
        <v>457.55349406785882</v>
      </c>
      <c r="D805" s="94">
        <v>457.94139919614321</v>
      </c>
      <c r="E805" s="95">
        <v>4931661.5339961611</v>
      </c>
      <c r="F805" s="93" t="s">
        <v>833</v>
      </c>
      <c r="G805" s="25">
        <f t="shared" si="24"/>
        <v>5.2941425606709558E-3</v>
      </c>
      <c r="I805" s="94">
        <v>205.0716208949394</v>
      </c>
      <c r="J805" s="94">
        <v>205.33900182090252</v>
      </c>
      <c r="K805" s="94">
        <v>203.15220781927547</v>
      </c>
      <c r="L805" s="94">
        <v>203.54372988943578</v>
      </c>
      <c r="M805" s="95">
        <v>838971.8869884141</v>
      </c>
      <c r="N805" s="93" t="s">
        <v>833</v>
      </c>
      <c r="O805" s="25">
        <f t="shared" si="25"/>
        <v>7.5064508562046051E-3</v>
      </c>
    </row>
    <row r="806" spans="1:15">
      <c r="A806" s="94">
        <v>455.76913047775059</v>
      </c>
      <c r="B806" s="94">
        <v>456.75828855487578</v>
      </c>
      <c r="C806" s="94">
        <v>453.30602988942672</v>
      </c>
      <c r="D806" s="94">
        <v>455.55578265719419</v>
      </c>
      <c r="E806" s="95">
        <v>4729877.1431937451</v>
      </c>
      <c r="F806" s="93" t="s">
        <v>834</v>
      </c>
      <c r="G806" s="25">
        <f t="shared" si="24"/>
        <v>4.6832425068110695E-4</v>
      </c>
      <c r="I806" s="94">
        <v>202.67474188005559</v>
      </c>
      <c r="J806" s="94">
        <v>203.70606830877051</v>
      </c>
      <c r="K806" s="94">
        <v>200.69039343665776</v>
      </c>
      <c r="L806" s="94">
        <v>202.92302416844993</v>
      </c>
      <c r="M806" s="95">
        <v>828230.80667516857</v>
      </c>
      <c r="N806" s="93" t="s">
        <v>834</v>
      </c>
      <c r="O806" s="25">
        <f t="shared" si="25"/>
        <v>-1.2235294117647344E-3</v>
      </c>
    </row>
    <row r="807" spans="1:15">
      <c r="A807" s="94">
        <v>450.18329663045535</v>
      </c>
      <c r="B807" s="94">
        <v>450.89122348957432</v>
      </c>
      <c r="C807" s="94">
        <v>445.27629675765769</v>
      </c>
      <c r="D807" s="94">
        <v>449.34930060464387</v>
      </c>
      <c r="E807" s="95">
        <v>4096284.0760255042</v>
      </c>
      <c r="F807" s="93" t="s">
        <v>835</v>
      </c>
      <c r="G807" s="25">
        <f t="shared" si="24"/>
        <v>1.8560082872929318E-3</v>
      </c>
      <c r="I807" s="94">
        <v>201.8153031894598</v>
      </c>
      <c r="J807" s="94">
        <v>204.04984378500885</v>
      </c>
      <c r="K807" s="94">
        <v>200.44020128450654</v>
      </c>
      <c r="L807" s="94">
        <v>202.47420618558323</v>
      </c>
      <c r="M807" s="95">
        <v>990849.73636649258</v>
      </c>
      <c r="N807" s="93" t="s">
        <v>835</v>
      </c>
      <c r="O807" s="25">
        <f t="shared" si="25"/>
        <v>-3.2542564731405932E-3</v>
      </c>
    </row>
    <row r="808" spans="1:15">
      <c r="A808" s="94">
        <v>446.02301412960514</v>
      </c>
      <c r="B808" s="94">
        <v>452.94712066948159</v>
      </c>
      <c r="C808" s="94">
        <v>445.54783034745674</v>
      </c>
      <c r="D808" s="94">
        <v>446.83761489900235</v>
      </c>
      <c r="E808" s="95">
        <v>6306054.2943030801</v>
      </c>
      <c r="F808" s="93" t="s">
        <v>836</v>
      </c>
      <c r="G808" s="25">
        <f t="shared" si="24"/>
        <v>-1.8230353538640776E-3</v>
      </c>
      <c r="I808" s="94">
        <v>202.2068252596201</v>
      </c>
      <c r="J808" s="94">
        <v>205.60609626730212</v>
      </c>
      <c r="K808" s="94">
        <v>201.87259910216619</v>
      </c>
      <c r="L808" s="94">
        <v>204.72784541870107</v>
      </c>
      <c r="M808" s="95">
        <v>952958.02825939702</v>
      </c>
      <c r="N808" s="93" t="s">
        <v>836</v>
      </c>
      <c r="O808" s="25">
        <f t="shared" si="25"/>
        <v>-1.2314007183170772E-2</v>
      </c>
    </row>
    <row r="809" spans="1:15">
      <c r="A809" s="94">
        <v>447.47765836067163</v>
      </c>
      <c r="B809" s="94">
        <v>454.17871945178456</v>
      </c>
      <c r="C809" s="94">
        <v>447.40977496322188</v>
      </c>
      <c r="D809" s="94">
        <v>453.2865376567305</v>
      </c>
      <c r="E809" s="95">
        <v>4500931.4718828751</v>
      </c>
      <c r="F809" s="93" t="s">
        <v>837</v>
      </c>
      <c r="G809" s="25">
        <f t="shared" si="24"/>
        <v>-1.2815027170425042E-2</v>
      </c>
      <c r="I809" s="94">
        <v>204.40316858003158</v>
      </c>
      <c r="J809" s="94">
        <v>206.92313831404624</v>
      </c>
      <c r="K809" s="94">
        <v>204.16453110360945</v>
      </c>
      <c r="L809" s="94">
        <v>206.25573642420471</v>
      </c>
      <c r="M809" s="95">
        <v>1321602.1252343263</v>
      </c>
      <c r="N809" s="93" t="s">
        <v>837</v>
      </c>
      <c r="O809" s="25">
        <f t="shared" si="25"/>
        <v>-8.9818973100606048E-3</v>
      </c>
    </row>
    <row r="810" spans="1:15">
      <c r="A810" s="94">
        <v>454.66360086214002</v>
      </c>
      <c r="B810" s="94">
        <v>455.22606329815244</v>
      </c>
      <c r="C810" s="94">
        <v>452.11312464367012</v>
      </c>
      <c r="D810" s="94">
        <v>454.66360086214002</v>
      </c>
      <c r="E810" s="95">
        <v>3354639.8464883282</v>
      </c>
      <c r="F810" s="93" t="s">
        <v>838</v>
      </c>
      <c r="G810" s="25">
        <f t="shared" si="24"/>
        <v>0</v>
      </c>
      <c r="I810" s="94">
        <v>207.27751353413524</v>
      </c>
      <c r="J810" s="94">
        <v>207.79317674849273</v>
      </c>
      <c r="K810" s="94">
        <v>204.43181653638476</v>
      </c>
      <c r="L810" s="94">
        <v>205.4249456899621</v>
      </c>
      <c r="M810" s="95">
        <v>1432357.6695699126</v>
      </c>
      <c r="N810" s="93" t="s">
        <v>838</v>
      </c>
      <c r="O810" s="25">
        <f t="shared" si="25"/>
        <v>9.0182223875046041E-3</v>
      </c>
    </row>
    <row r="811" spans="1:15">
      <c r="A811" s="94">
        <v>453.08288746438114</v>
      </c>
      <c r="B811" s="94">
        <v>454.45995066979077</v>
      </c>
      <c r="C811" s="94">
        <v>450.75545669467476</v>
      </c>
      <c r="D811" s="94">
        <v>451.25973336144449</v>
      </c>
      <c r="E811" s="95">
        <v>5060116.6545055965</v>
      </c>
      <c r="F811" s="93" t="s">
        <v>839</v>
      </c>
      <c r="G811" s="25">
        <f t="shared" si="24"/>
        <v>4.0401435540369235E-3</v>
      </c>
      <c r="I811" s="94">
        <v>204.87108520046704</v>
      </c>
      <c r="J811" s="94">
        <v>207.21066830264448</v>
      </c>
      <c r="K811" s="94">
        <v>201.71981000161583</v>
      </c>
      <c r="L811" s="94">
        <v>202.49330482315204</v>
      </c>
      <c r="M811" s="95">
        <v>2234231.6223497824</v>
      </c>
      <c r="N811" s="93" t="s">
        <v>839</v>
      </c>
      <c r="O811" s="25">
        <f t="shared" si="25"/>
        <v>1.1742513558123058E-2</v>
      </c>
    </row>
    <row r="812" spans="1:15">
      <c r="A812" s="94">
        <v>448.59288560448925</v>
      </c>
      <c r="B812" s="94">
        <v>449.44627688671494</v>
      </c>
      <c r="C812" s="94">
        <v>443.43374739830682</v>
      </c>
      <c r="D812" s="94">
        <v>444.89808925758041</v>
      </c>
      <c r="E812" s="95">
        <v>5028268.6610164708</v>
      </c>
      <c r="F812" s="93" t="s">
        <v>840</v>
      </c>
      <c r="G812" s="25">
        <f t="shared" si="24"/>
        <v>8.3048150489350991E-3</v>
      </c>
      <c r="I812" s="94">
        <v>198.01467431326955</v>
      </c>
      <c r="J812" s="94">
        <v>198.71654924392277</v>
      </c>
      <c r="K812" s="94">
        <v>196.03319066550702</v>
      </c>
      <c r="L812" s="94">
        <v>198.1483647762511</v>
      </c>
      <c r="M812" s="95">
        <v>1228909.6494688068</v>
      </c>
      <c r="N812" s="93" t="s">
        <v>840</v>
      </c>
      <c r="O812" s="25">
        <f t="shared" si="25"/>
        <v>-6.7469879518067266E-4</v>
      </c>
    </row>
    <row r="813" spans="1:15">
      <c r="A813" s="94">
        <v>450.45483022025439</v>
      </c>
      <c r="B813" s="94">
        <v>452.21010092574124</v>
      </c>
      <c r="C813" s="94">
        <v>448.45711880958976</v>
      </c>
      <c r="D813" s="94">
        <v>451.49247643841511</v>
      </c>
      <c r="E813" s="95">
        <v>7927543.5558187356</v>
      </c>
      <c r="F813" s="93" t="s">
        <v>841</v>
      </c>
      <c r="G813" s="25">
        <f t="shared" si="24"/>
        <v>-2.298258049272861E-3</v>
      </c>
      <c r="I813" s="94">
        <v>198.34890047072346</v>
      </c>
      <c r="J813" s="94">
        <v>198.92185959778732</v>
      </c>
      <c r="K813" s="94">
        <v>195.7419364425829</v>
      </c>
      <c r="L813" s="94">
        <v>197.0310944784766</v>
      </c>
      <c r="M813" s="95">
        <v>1049565.9665667149</v>
      </c>
      <c r="N813" s="93" t="s">
        <v>841</v>
      </c>
      <c r="O813" s="25">
        <f t="shared" si="25"/>
        <v>6.6883148354577315E-3</v>
      </c>
    </row>
    <row r="814" spans="1:15">
      <c r="A814" s="94">
        <v>450.78454957929608</v>
      </c>
      <c r="B814" s="94">
        <v>451.0657807973023</v>
      </c>
      <c r="C814" s="94">
        <v>446.74063861693128</v>
      </c>
      <c r="D814" s="94">
        <v>447.2352176554939</v>
      </c>
      <c r="E814" s="95">
        <v>4390145.6202235669</v>
      </c>
      <c r="F814" s="93" t="s">
        <v>842</v>
      </c>
      <c r="G814" s="25">
        <f t="shared" si="24"/>
        <v>7.9361637538486463E-3</v>
      </c>
      <c r="I814" s="94">
        <v>198.32025251437025</v>
      </c>
      <c r="J814" s="94">
        <v>201.23279474361152</v>
      </c>
      <c r="K814" s="94">
        <v>198.15791409503549</v>
      </c>
      <c r="L814" s="94">
        <v>200.49749719721294</v>
      </c>
      <c r="M814" s="95">
        <v>890878.20734394155</v>
      </c>
      <c r="N814" s="93" t="s">
        <v>842</v>
      </c>
      <c r="O814" s="25">
        <f t="shared" si="25"/>
        <v>-1.0859211278338887E-2</v>
      </c>
    </row>
    <row r="815" spans="1:15">
      <c r="A815" s="94">
        <v>445.16962284737951</v>
      </c>
      <c r="B815" s="94">
        <v>447.76849023060282</v>
      </c>
      <c r="C815" s="94">
        <v>441.58150041074884</v>
      </c>
      <c r="D815" s="94">
        <v>443.71497861631303</v>
      </c>
      <c r="E815" s="95">
        <v>5999495.8310882905</v>
      </c>
      <c r="F815" s="93" t="s">
        <v>843</v>
      </c>
      <c r="G815" s="25">
        <f t="shared" si="24"/>
        <v>3.2783302371326428E-3</v>
      </c>
      <c r="I815" s="94">
        <v>198.75952117845253</v>
      </c>
      <c r="J815" s="94">
        <v>200.35425741544697</v>
      </c>
      <c r="K815" s="94">
        <v>196.57272717682548</v>
      </c>
      <c r="L815" s="94">
        <v>197.27937676687091</v>
      </c>
      <c r="M815" s="95">
        <v>978392.30325677525</v>
      </c>
      <c r="N815" s="93" t="s">
        <v>843</v>
      </c>
      <c r="O815" s="25">
        <f t="shared" si="25"/>
        <v>7.5027832905754099E-3</v>
      </c>
    </row>
    <row r="816" spans="1:15">
      <c r="A816" s="94">
        <v>441.33905970557112</v>
      </c>
      <c r="B816" s="94">
        <v>446.03271175781225</v>
      </c>
      <c r="C816" s="94">
        <v>440.17534432071784</v>
      </c>
      <c r="D816" s="94">
        <v>445.11143707813682</v>
      </c>
      <c r="E816" s="95">
        <v>10092626.558754081</v>
      </c>
      <c r="F816" s="93" t="s">
        <v>844</v>
      </c>
      <c r="G816" s="25">
        <f t="shared" si="24"/>
        <v>-8.4751301771279763E-3</v>
      </c>
      <c r="I816" s="94">
        <v>196.19075442544957</v>
      </c>
      <c r="J816" s="94">
        <v>196.32444488843115</v>
      </c>
      <c r="K816" s="94">
        <v>193.49784652824945</v>
      </c>
      <c r="L816" s="94">
        <v>194.17584816194167</v>
      </c>
      <c r="M816" s="95">
        <v>941028.38148855814</v>
      </c>
      <c r="N816" s="93" t="s">
        <v>844</v>
      </c>
      <c r="O816" s="25">
        <f t="shared" si="25"/>
        <v>1.0376708960361913E-2</v>
      </c>
    </row>
    <row r="817" spans="1:15">
      <c r="A817" s="94">
        <v>445.06294893710128</v>
      </c>
      <c r="B817" s="94">
        <v>449.29111483540117</v>
      </c>
      <c r="C817" s="94">
        <v>444.35502207798226</v>
      </c>
      <c r="D817" s="94">
        <v>447.40977496322188</v>
      </c>
      <c r="E817" s="95">
        <v>5813056.4294751789</v>
      </c>
      <c r="F817" s="93" t="s">
        <v>845</v>
      </c>
      <c r="G817" s="25">
        <f t="shared" si="24"/>
        <v>-5.245361539795379E-3</v>
      </c>
      <c r="I817" s="94">
        <v>192.9726339951076</v>
      </c>
      <c r="J817" s="94">
        <v>194.76790592657434</v>
      </c>
      <c r="K817" s="94">
        <v>192.31373099898414</v>
      </c>
      <c r="L817" s="94">
        <v>192.31373099898414</v>
      </c>
      <c r="M817" s="95">
        <v>715834.30759152188</v>
      </c>
      <c r="N817" s="93" t="s">
        <v>845</v>
      </c>
      <c r="O817" s="25">
        <f t="shared" si="25"/>
        <v>3.4261879934456285E-3</v>
      </c>
    </row>
    <row r="818" spans="1:15">
      <c r="A818" s="94">
        <v>446.08119989884784</v>
      </c>
      <c r="B818" s="94">
        <v>451.17245470758053</v>
      </c>
      <c r="C818" s="94">
        <v>444.85929874475198</v>
      </c>
      <c r="D818" s="94">
        <v>451.04638554088808</v>
      </c>
      <c r="E818" s="95">
        <v>7379360.0323359026</v>
      </c>
      <c r="F818" s="93" t="s">
        <v>846</v>
      </c>
      <c r="G818" s="25">
        <f t="shared" si="24"/>
        <v>-1.1008148610006208E-2</v>
      </c>
      <c r="I818" s="94">
        <v>192.32328031776854</v>
      </c>
      <c r="J818" s="94">
        <v>193.37370538405227</v>
      </c>
      <c r="K818" s="94">
        <v>191.50203890231035</v>
      </c>
      <c r="L818" s="94">
        <v>193.37370538405227</v>
      </c>
      <c r="M818" s="95">
        <v>938060.630527484</v>
      </c>
      <c r="N818" s="93" t="s">
        <v>846</v>
      </c>
      <c r="O818" s="25">
        <f t="shared" si="25"/>
        <v>-5.4320987654320474E-3</v>
      </c>
    </row>
    <row r="819" spans="1:15">
      <c r="A819" s="94">
        <v>448.78683816863145</v>
      </c>
      <c r="B819" s="94">
        <v>451.43429066917247</v>
      </c>
      <c r="C819" s="94">
        <v>447.63282041198539</v>
      </c>
      <c r="D819" s="94">
        <v>450.01843695093442</v>
      </c>
      <c r="E819" s="95">
        <v>6972239.8669014908</v>
      </c>
      <c r="F819" s="93" t="s">
        <v>847</v>
      </c>
      <c r="G819" s="25">
        <f t="shared" si="24"/>
        <v>-2.736774054519997E-3</v>
      </c>
      <c r="I819" s="94">
        <v>191.3110525266224</v>
      </c>
      <c r="J819" s="94">
        <v>194.13669595492567</v>
      </c>
      <c r="K819" s="94">
        <v>191.15826342607204</v>
      </c>
      <c r="L819" s="94">
        <v>193.679283585153</v>
      </c>
      <c r="M819" s="95">
        <v>958414.96201315767</v>
      </c>
      <c r="N819" s="93" t="s">
        <v>847</v>
      </c>
      <c r="O819" s="25">
        <f t="shared" si="25"/>
        <v>-1.2227590967360147E-2</v>
      </c>
    </row>
    <row r="820" spans="1:15">
      <c r="A820" s="94">
        <v>449.5917413098216</v>
      </c>
      <c r="B820" s="94">
        <v>459.26997426051724</v>
      </c>
      <c r="C820" s="94">
        <v>448.85472156608125</v>
      </c>
      <c r="D820" s="94">
        <v>459.15360272203196</v>
      </c>
      <c r="E820" s="95">
        <v>9827190.5217122845</v>
      </c>
      <c r="F820" s="93" t="s">
        <v>848</v>
      </c>
      <c r="G820" s="25">
        <f t="shared" si="24"/>
        <v>-2.0824973071155495E-2</v>
      </c>
      <c r="I820" s="94">
        <v>194.06125633652891</v>
      </c>
      <c r="J820" s="94">
        <v>196.33399420721554</v>
      </c>
      <c r="K820" s="94">
        <v>193.34983208709127</v>
      </c>
      <c r="L820" s="94">
        <v>195.7419364425829</v>
      </c>
      <c r="M820" s="95">
        <v>1057002.0990912695</v>
      </c>
      <c r="N820" s="93" t="s">
        <v>848</v>
      </c>
      <c r="O820" s="25">
        <f t="shared" si="25"/>
        <v>-8.5862035320518615E-3</v>
      </c>
    </row>
    <row r="821" spans="1:15">
      <c r="A821" s="94">
        <v>455.3715277212591</v>
      </c>
      <c r="B821" s="94">
        <v>459.71606515804433</v>
      </c>
      <c r="C821" s="94">
        <v>453.76172143887885</v>
      </c>
      <c r="D821" s="94">
        <v>458.47476874753426</v>
      </c>
      <c r="E821" s="95">
        <v>7176726.9804150937</v>
      </c>
      <c r="F821" s="93" t="s">
        <v>849</v>
      </c>
      <c r="G821" s="25">
        <f t="shared" si="24"/>
        <v>-6.7686189902066429E-3</v>
      </c>
      <c r="I821" s="94">
        <v>193.48829720946506</v>
      </c>
      <c r="J821" s="94">
        <v>196.21940238180278</v>
      </c>
      <c r="K821" s="94">
        <v>192.43787214318132</v>
      </c>
      <c r="L821" s="94">
        <v>194.28089066857004</v>
      </c>
      <c r="M821" s="95">
        <v>975095.73302901897</v>
      </c>
      <c r="N821" s="93" t="s">
        <v>849</v>
      </c>
      <c r="O821" s="25">
        <f t="shared" si="25"/>
        <v>-4.0796264438435204E-3</v>
      </c>
    </row>
    <row r="822" spans="1:15">
      <c r="A822" s="94">
        <v>461.66528842767343</v>
      </c>
      <c r="B822" s="94">
        <v>462.99386349204747</v>
      </c>
      <c r="C822" s="94">
        <v>456.43826682404119</v>
      </c>
      <c r="D822" s="94">
        <v>459.64818176059458</v>
      </c>
      <c r="E822" s="95">
        <v>5269227.5790214743</v>
      </c>
      <c r="F822" s="93" t="s">
        <v>850</v>
      </c>
      <c r="G822" s="25">
        <f t="shared" si="24"/>
        <v>4.3883708173340086E-3</v>
      </c>
      <c r="I822" s="94">
        <v>193.26866287742391</v>
      </c>
      <c r="J822" s="94">
        <v>196.5106566047269</v>
      </c>
      <c r="K822" s="94">
        <v>192.85804216969481</v>
      </c>
      <c r="L822" s="94">
        <v>196.02841600611484</v>
      </c>
      <c r="M822" s="95">
        <v>1025680.4931471167</v>
      </c>
      <c r="N822" s="93" t="s">
        <v>850</v>
      </c>
      <c r="O822" s="25">
        <f t="shared" si="25"/>
        <v>-1.4078332034294649E-2</v>
      </c>
    </row>
    <row r="823" spans="1:15">
      <c r="A823" s="94">
        <v>458.35839720904892</v>
      </c>
      <c r="B823" s="94">
        <v>460.04578451708602</v>
      </c>
      <c r="C823" s="94">
        <v>456.43826682404119</v>
      </c>
      <c r="D823" s="94">
        <v>457.64077272172284</v>
      </c>
      <c r="E823" s="95">
        <v>7149570.85580651</v>
      </c>
      <c r="F823" s="93" t="s">
        <v>851</v>
      </c>
      <c r="G823" s="25">
        <f t="shared" si="24"/>
        <v>1.5680956114512146E-3</v>
      </c>
      <c r="I823" s="94">
        <v>196.22895170058717</v>
      </c>
      <c r="J823" s="94">
        <v>196.95469992820139</v>
      </c>
      <c r="K823" s="94">
        <v>191.95085688517702</v>
      </c>
      <c r="L823" s="94">
        <v>195.32176641606938</v>
      </c>
      <c r="M823" s="95">
        <v>1171207.1041416682</v>
      </c>
      <c r="N823" s="93" t="s">
        <v>851</v>
      </c>
      <c r="O823" s="25">
        <f t="shared" si="25"/>
        <v>4.6445682995992499E-3</v>
      </c>
    </row>
    <row r="824" spans="1:15">
      <c r="A824" s="94">
        <v>462.8387014407337</v>
      </c>
      <c r="B824" s="94">
        <v>464.12848599227937</v>
      </c>
      <c r="C824" s="94">
        <v>458.44567586291294</v>
      </c>
      <c r="D824" s="94">
        <v>463.9151381717229</v>
      </c>
      <c r="E824" s="95">
        <v>5418016.537433194</v>
      </c>
      <c r="F824" s="93" t="s">
        <v>852</v>
      </c>
      <c r="G824" s="25">
        <f t="shared" si="24"/>
        <v>-2.3203311175216124E-3</v>
      </c>
      <c r="I824" s="94">
        <v>196.85920674035742</v>
      </c>
      <c r="J824" s="94">
        <v>199.02164997908426</v>
      </c>
      <c r="K824" s="94">
        <v>195.91382418070205</v>
      </c>
      <c r="L824" s="94">
        <v>198.04332226962271</v>
      </c>
      <c r="M824" s="95">
        <v>1023163.0360862761</v>
      </c>
      <c r="N824" s="93" t="s">
        <v>852</v>
      </c>
      <c r="O824" s="25">
        <f t="shared" si="25"/>
        <v>-5.9790732436471039E-3</v>
      </c>
    </row>
    <row r="825" spans="1:15">
      <c r="A825" s="94">
        <v>462.26654137651423</v>
      </c>
      <c r="B825" s="94">
        <v>463.61451169730248</v>
      </c>
      <c r="C825" s="94">
        <v>461.57800977380947</v>
      </c>
      <c r="D825" s="94">
        <v>462.72232990224836</v>
      </c>
      <c r="E825" s="95">
        <v>4884470.6136776777</v>
      </c>
      <c r="F825" s="93" t="s">
        <v>853</v>
      </c>
      <c r="G825" s="25">
        <f t="shared" si="24"/>
        <v>-9.8501519438320972E-4</v>
      </c>
      <c r="I825" s="94">
        <v>199.10329665469087</v>
      </c>
      <c r="J825" s="94">
        <v>200.53569447235051</v>
      </c>
      <c r="K825" s="94">
        <v>198.74997185966814</v>
      </c>
      <c r="L825" s="94">
        <v>200.09642580826821</v>
      </c>
      <c r="M825" s="95">
        <v>739494.63406100322</v>
      </c>
      <c r="N825" s="93" t="s">
        <v>853</v>
      </c>
      <c r="O825" s="25">
        <f t="shared" si="25"/>
        <v>-4.9632528395532338E-3</v>
      </c>
    </row>
    <row r="826" spans="1:15">
      <c r="A826" s="94">
        <v>462.08228644057914</v>
      </c>
      <c r="B826" s="94">
        <v>463.86665003068731</v>
      </c>
      <c r="C826" s="94">
        <v>458.1353517602854</v>
      </c>
      <c r="D826" s="94">
        <v>458.55234977319117</v>
      </c>
      <c r="E826" s="95">
        <v>5762398.6820849637</v>
      </c>
      <c r="F826" s="93" t="s">
        <v>854</v>
      </c>
      <c r="G826" s="25">
        <f t="shared" si="24"/>
        <v>7.6980014803849084E-3</v>
      </c>
      <c r="I826" s="94">
        <v>199.54256531877317</v>
      </c>
      <c r="J826" s="94">
        <v>200.2014683148966</v>
      </c>
      <c r="K826" s="94">
        <v>197.02154515969218</v>
      </c>
      <c r="L826" s="94">
        <v>199.45662144971359</v>
      </c>
      <c r="M826" s="95">
        <v>1222742.7174258407</v>
      </c>
      <c r="N826" s="93" t="s">
        <v>854</v>
      </c>
      <c r="O826" s="25">
        <f t="shared" si="25"/>
        <v>4.3089002728979864E-4</v>
      </c>
    </row>
    <row r="827" spans="1:15">
      <c r="A827" s="94">
        <v>457.22377470881707</v>
      </c>
      <c r="B827" s="94">
        <v>466.92140291592699</v>
      </c>
      <c r="C827" s="94">
        <v>457.02012451646777</v>
      </c>
      <c r="D827" s="94">
        <v>466.64986932612788</v>
      </c>
      <c r="E827" s="95">
        <v>7085433.5237994948</v>
      </c>
      <c r="F827" s="93" t="s">
        <v>855</v>
      </c>
      <c r="G827" s="25">
        <f t="shared" si="24"/>
        <v>-2.0199501246882745E-2</v>
      </c>
      <c r="I827" s="94">
        <v>200.14417240219021</v>
      </c>
      <c r="J827" s="94">
        <v>200.55956776931151</v>
      </c>
      <c r="K827" s="94">
        <v>195.35996369120701</v>
      </c>
      <c r="L827" s="94">
        <v>196.5822764956099</v>
      </c>
      <c r="M827" s="95">
        <v>2118598.2431600383</v>
      </c>
      <c r="N827" s="93" t="s">
        <v>855</v>
      </c>
      <c r="O827" s="25">
        <f t="shared" si="25"/>
        <v>1.8119110074807931E-2</v>
      </c>
    </row>
    <row r="828" spans="1:15">
      <c r="A828" s="94">
        <v>462.92598009459772</v>
      </c>
      <c r="B828" s="94">
        <v>464.32437808206294</v>
      </c>
      <c r="C828" s="94">
        <v>461.40345246608143</v>
      </c>
      <c r="D828" s="94">
        <v>461.45194060711697</v>
      </c>
      <c r="E828" s="95">
        <v>6418901.4747299058</v>
      </c>
      <c r="F828" s="93" t="s">
        <v>856</v>
      </c>
      <c r="G828" s="25">
        <f t="shared" ref="G828:G891" si="26">A828/D828-1</f>
        <v>3.194351042367316E-3</v>
      </c>
      <c r="I828" s="94">
        <v>195.06393480889068</v>
      </c>
      <c r="J828" s="94">
        <v>196.33399420721554</v>
      </c>
      <c r="K828" s="94">
        <v>193.87981927962537</v>
      </c>
      <c r="L828" s="94">
        <v>195.76103508015169</v>
      </c>
      <c r="M828" s="95">
        <v>1440467.148554584</v>
      </c>
      <c r="N828" s="93" t="s">
        <v>856</v>
      </c>
      <c r="O828" s="25">
        <f t="shared" ref="O828:O891" si="27">I828/L828-1</f>
        <v>-3.5609756097559897E-3</v>
      </c>
    </row>
    <row r="829" spans="1:15">
      <c r="A829" s="94">
        <v>462.50898208169195</v>
      </c>
      <c r="B829" s="94">
        <v>462.56716785093465</v>
      </c>
      <c r="C829" s="94">
        <v>460.35610861971355</v>
      </c>
      <c r="D829" s="94">
        <v>461.92712438926537</v>
      </c>
      <c r="E829" s="95">
        <v>4968041.563469898</v>
      </c>
      <c r="F829" s="93" t="s">
        <v>857</v>
      </c>
      <c r="G829" s="25">
        <f t="shared" si="26"/>
        <v>1.259630928138078E-3</v>
      </c>
      <c r="I829" s="94">
        <v>195.95202145583963</v>
      </c>
      <c r="J829" s="94">
        <v>199.20833916131926</v>
      </c>
      <c r="K829" s="94">
        <v>195.80878167407369</v>
      </c>
      <c r="L829" s="94">
        <v>198.62583071547098</v>
      </c>
      <c r="M829" s="95">
        <v>1399188.8114396853</v>
      </c>
      <c r="N829" s="93" t="s">
        <v>857</v>
      </c>
      <c r="O829" s="25">
        <f t="shared" si="27"/>
        <v>-1.3461538461538525E-2</v>
      </c>
    </row>
    <row r="830" spans="1:15">
      <c r="A830" s="94">
        <v>465.55403733872447</v>
      </c>
      <c r="B830" s="94">
        <v>467.38688906986823</v>
      </c>
      <c r="C830" s="94">
        <v>464.35153144104282</v>
      </c>
      <c r="D830" s="94">
        <v>466.88261240309851</v>
      </c>
      <c r="E830" s="95">
        <v>5912744.7222570395</v>
      </c>
      <c r="F830" s="93" t="s">
        <v>858</v>
      </c>
      <c r="G830" s="25">
        <f t="shared" si="26"/>
        <v>-2.8456297773346018E-3</v>
      </c>
      <c r="I830" s="94">
        <v>199.16059256739726</v>
      </c>
      <c r="J830" s="94">
        <v>203.57237784578896</v>
      </c>
      <c r="K830" s="94">
        <v>198.47304161492062</v>
      </c>
      <c r="L830" s="94">
        <v>203.39094078888542</v>
      </c>
      <c r="M830" s="95">
        <v>1286698.0647955246</v>
      </c>
      <c r="N830" s="93" t="s">
        <v>858</v>
      </c>
      <c r="O830" s="25">
        <f t="shared" si="27"/>
        <v>-2.0799098549227679E-2</v>
      </c>
    </row>
    <row r="831" spans="1:15">
      <c r="A831" s="94">
        <v>466.16498791577237</v>
      </c>
      <c r="B831" s="94">
        <v>467.58064768144629</v>
      </c>
      <c r="C831" s="94">
        <v>465.97433254522059</v>
      </c>
      <c r="D831" s="94">
        <v>466.32984759529324</v>
      </c>
      <c r="E831" s="95">
        <v>4191765.1545144836</v>
      </c>
      <c r="F831" s="93" t="s">
        <v>859</v>
      </c>
      <c r="G831" s="25">
        <f t="shared" si="26"/>
        <v>-3.5352590097115222E-4</v>
      </c>
      <c r="I831" s="94">
        <v>203.49598329551378</v>
      </c>
      <c r="J831" s="94">
        <v>204.6228029120727</v>
      </c>
      <c r="K831" s="94">
        <v>202.80843234303714</v>
      </c>
      <c r="L831" s="94">
        <v>203.40049010766981</v>
      </c>
      <c r="M831" s="95">
        <v>1250269.2882666297</v>
      </c>
      <c r="N831" s="93" t="s">
        <v>859</v>
      </c>
      <c r="O831" s="25">
        <f t="shared" si="27"/>
        <v>4.6948356807519076E-4</v>
      </c>
    </row>
    <row r="832" spans="1:15">
      <c r="A832" s="94">
        <v>466.22317368501507</v>
      </c>
      <c r="B832" s="94">
        <v>466.32984759529324</v>
      </c>
      <c r="C832" s="94">
        <v>463.01325874846168</v>
      </c>
      <c r="D832" s="94">
        <v>465.01097015912632</v>
      </c>
      <c r="E832" s="95">
        <v>5105814.4262220962</v>
      </c>
      <c r="F832" s="93" t="s">
        <v>860</v>
      </c>
      <c r="G832" s="25">
        <f t="shared" si="26"/>
        <v>2.6068278033826164E-3</v>
      </c>
      <c r="I832" s="94">
        <v>202.92302416844993</v>
      </c>
      <c r="J832" s="94">
        <v>203.66787103363293</v>
      </c>
      <c r="K832" s="94">
        <v>202.37871299773926</v>
      </c>
      <c r="L832" s="94">
        <v>202.73203779276199</v>
      </c>
      <c r="M832" s="95">
        <v>1273232.1827883075</v>
      </c>
      <c r="N832" s="93" t="s">
        <v>860</v>
      </c>
      <c r="O832" s="25">
        <f t="shared" si="27"/>
        <v>9.4206311822886413E-4</v>
      </c>
    </row>
    <row r="833" spans="1:15">
      <c r="A833" s="94">
        <v>462.18896035085737</v>
      </c>
      <c r="B833" s="94">
        <v>464.87520336422676</v>
      </c>
      <c r="C833" s="94">
        <v>462.0241006713365</v>
      </c>
      <c r="D833" s="94">
        <v>464.57457688980639</v>
      </c>
      <c r="E833" s="95">
        <v>8325233.5803932454</v>
      </c>
      <c r="F833" s="93" t="s">
        <v>861</v>
      </c>
      <c r="G833" s="25">
        <f t="shared" si="26"/>
        <v>-5.1350561516302351E-3</v>
      </c>
      <c r="I833" s="94">
        <v>201.61476749498743</v>
      </c>
      <c r="J833" s="94">
        <v>202.84185495878253</v>
      </c>
      <c r="K833" s="94">
        <v>201.53837294471228</v>
      </c>
      <c r="L833" s="94">
        <v>202.35961436017047</v>
      </c>
      <c r="M833" s="95">
        <v>610803.7789596027</v>
      </c>
      <c r="N833" s="93" t="s">
        <v>861</v>
      </c>
      <c r="O833" s="25">
        <f t="shared" si="27"/>
        <v>-3.6808078901421348E-3</v>
      </c>
    </row>
    <row r="834" spans="1:15">
      <c r="A834" s="94">
        <v>463.48844253061009</v>
      </c>
      <c r="B834" s="94">
        <v>464.3127409282144</v>
      </c>
      <c r="C834" s="94">
        <v>463.11023503053281</v>
      </c>
      <c r="D834" s="94">
        <v>463.28479233826079</v>
      </c>
      <c r="E834" s="95">
        <v>6270891.0571983624</v>
      </c>
      <c r="F834" s="93" t="s">
        <v>862</v>
      </c>
      <c r="G834" s="25">
        <f t="shared" si="26"/>
        <v>4.3957884160517047E-4</v>
      </c>
      <c r="I834" s="94">
        <v>202.14952934691371</v>
      </c>
      <c r="J834" s="94">
        <v>203.69651898998615</v>
      </c>
      <c r="K834" s="94">
        <v>202.07313479663856</v>
      </c>
      <c r="L834" s="94">
        <v>203.69651898998615</v>
      </c>
      <c r="M834" s="95">
        <v>779917.41276545811</v>
      </c>
      <c r="N834" s="93" t="s">
        <v>862</v>
      </c>
      <c r="O834" s="25">
        <f t="shared" si="27"/>
        <v>-7.5945806572594865E-3</v>
      </c>
    </row>
    <row r="835" spans="1:15">
      <c r="A835" s="94">
        <v>464.69094842829168</v>
      </c>
      <c r="B835" s="94">
        <v>465.7964780439022</v>
      </c>
      <c r="C835" s="94">
        <v>464.34183381283572</v>
      </c>
      <c r="D835" s="94">
        <v>465.36008477458228</v>
      </c>
      <c r="E835" s="95">
        <v>6064888.1091233538</v>
      </c>
      <c r="F835" s="93" t="s">
        <v>863</v>
      </c>
      <c r="G835" s="25">
        <f t="shared" si="26"/>
        <v>-1.4378894283868515E-3</v>
      </c>
      <c r="I835" s="94">
        <v>202.38826231652365</v>
      </c>
      <c r="J835" s="94">
        <v>204.18353424799039</v>
      </c>
      <c r="K835" s="94">
        <v>202.33096640381726</v>
      </c>
      <c r="L835" s="94">
        <v>204.18353424799039</v>
      </c>
      <c r="M835" s="95">
        <v>877031.14631420129</v>
      </c>
      <c r="N835" s="93" t="s">
        <v>863</v>
      </c>
      <c r="O835" s="25">
        <f t="shared" si="27"/>
        <v>-8.7924422411372882E-3</v>
      </c>
    </row>
    <row r="836" spans="1:15">
      <c r="A836" s="94">
        <v>465.29908670492762</v>
      </c>
      <c r="B836" s="94">
        <v>467.12123021472047</v>
      </c>
      <c r="C836" s="94">
        <v>465.16375509146815</v>
      </c>
      <c r="D836" s="94">
        <v>466.52673776988087</v>
      </c>
      <c r="E836" s="95">
        <v>5218700.8042418417</v>
      </c>
      <c r="F836" s="93" t="s">
        <v>864</v>
      </c>
      <c r="G836" s="25">
        <f t="shared" si="26"/>
        <v>-2.6314698934979397E-3</v>
      </c>
      <c r="I836" s="94">
        <v>203.54372988943578</v>
      </c>
      <c r="J836" s="94">
        <v>204.55595768058194</v>
      </c>
      <c r="K836" s="94">
        <v>202.86572825574353</v>
      </c>
      <c r="L836" s="94">
        <v>203.22860236955063</v>
      </c>
      <c r="M836" s="95">
        <v>1301604.8872834891</v>
      </c>
      <c r="N836" s="93" t="s">
        <v>864</v>
      </c>
      <c r="O836" s="25">
        <f t="shared" si="27"/>
        <v>1.5506061460390796E-3</v>
      </c>
    </row>
    <row r="837" spans="1:15">
      <c r="A837" s="94">
        <v>463.75243969396286</v>
      </c>
      <c r="B837" s="94">
        <v>464.01343637706316</v>
      </c>
      <c r="C837" s="94">
        <v>459.09316557343152</v>
      </c>
      <c r="D837" s="94">
        <v>459.68282474636186</v>
      </c>
      <c r="E837" s="95">
        <v>6392518.4802399054</v>
      </c>
      <c r="F837" s="93" t="s">
        <v>865</v>
      </c>
      <c r="G837" s="25">
        <f t="shared" si="26"/>
        <v>8.8530933254826749E-3</v>
      </c>
      <c r="I837" s="94">
        <v>202.68429119883999</v>
      </c>
      <c r="J837" s="94">
        <v>204.23128084191239</v>
      </c>
      <c r="K837" s="94">
        <v>201.49062635079028</v>
      </c>
      <c r="L837" s="94">
        <v>201.60521817620307</v>
      </c>
      <c r="M837" s="95">
        <v>1012678.5185766519</v>
      </c>
      <c r="N837" s="93" t="s">
        <v>865</v>
      </c>
      <c r="O837" s="25">
        <f t="shared" si="27"/>
        <v>5.3524062144751916E-3</v>
      </c>
    </row>
    <row r="838" spans="1:15">
      <c r="A838" s="94">
        <v>459.74082400927307</v>
      </c>
      <c r="B838" s="94">
        <v>459.87615562273243</v>
      </c>
      <c r="C838" s="94">
        <v>455.57454362348676</v>
      </c>
      <c r="D838" s="94">
        <v>456.45419911097292</v>
      </c>
      <c r="E838" s="95">
        <v>4707212.9247246264</v>
      </c>
      <c r="F838" s="93" t="s">
        <v>866</v>
      </c>
      <c r="G838" s="25">
        <f t="shared" si="26"/>
        <v>7.2003388394747958E-3</v>
      </c>
      <c r="I838" s="94">
        <v>201.89169773973498</v>
      </c>
      <c r="J838" s="94">
        <v>202.71150675737553</v>
      </c>
      <c r="K838" s="94">
        <v>201.30899830751102</v>
      </c>
      <c r="L838" s="94">
        <v>201.77710591432222</v>
      </c>
      <c r="M838" s="95">
        <v>1838866.2475789003</v>
      </c>
      <c r="N838" s="93" t="s">
        <v>866</v>
      </c>
      <c r="O838" s="25">
        <f t="shared" si="27"/>
        <v>5.6791292001889815E-4</v>
      </c>
    </row>
    <row r="839" spans="1:15">
      <c r="A839" s="94">
        <v>457.17918989736262</v>
      </c>
      <c r="B839" s="94">
        <v>459.43052795269824</v>
      </c>
      <c r="C839" s="94">
        <v>456.7441954255288</v>
      </c>
      <c r="D839" s="94">
        <v>458.14584427921562</v>
      </c>
      <c r="E839" s="95">
        <v>4074987.9935879102</v>
      </c>
      <c r="F839" s="93" t="s">
        <v>867</v>
      </c>
      <c r="G839" s="25">
        <f t="shared" si="26"/>
        <v>-2.1099272075114639E-3</v>
      </c>
      <c r="I839" s="94">
        <v>201.42378111929949</v>
      </c>
      <c r="J839" s="94">
        <v>203.6094292026724</v>
      </c>
      <c r="K839" s="94">
        <v>201.0131604115704</v>
      </c>
      <c r="L839" s="94">
        <v>203.26679964468826</v>
      </c>
      <c r="M839" s="95">
        <v>1509234.3574860662</v>
      </c>
      <c r="N839" s="93" t="s">
        <v>867</v>
      </c>
      <c r="O839" s="25">
        <f t="shared" si="27"/>
        <v>-9.066992389364037E-3</v>
      </c>
    </row>
    <row r="840" spans="1:15">
      <c r="A840" s="94">
        <v>454.33722601471493</v>
      </c>
      <c r="B840" s="94">
        <v>456.04955758672929</v>
      </c>
      <c r="C840" s="94">
        <v>453.09033852756278</v>
      </c>
      <c r="D840" s="94">
        <v>454.72388776745612</v>
      </c>
      <c r="E840" s="95">
        <v>7041903.6294560181</v>
      </c>
      <c r="F840" s="93" t="s">
        <v>868</v>
      </c>
      <c r="G840" s="25">
        <f t="shared" si="26"/>
        <v>-8.5032205947999095E-4</v>
      </c>
      <c r="I840" s="94">
        <v>203.26679964468826</v>
      </c>
      <c r="J840" s="94">
        <v>204.85198656289825</v>
      </c>
      <c r="K840" s="94">
        <v>201.62431681377183</v>
      </c>
      <c r="L840" s="94">
        <v>201.62431681377183</v>
      </c>
      <c r="M840" s="95">
        <v>1960925.2160054657</v>
      </c>
      <c r="N840" s="93" t="s">
        <v>868</v>
      </c>
      <c r="O840" s="25">
        <f t="shared" si="27"/>
        <v>8.1462536705505517E-3</v>
      </c>
    </row>
    <row r="841" spans="1:15">
      <c r="A841" s="94">
        <v>457.48851929955561</v>
      </c>
      <c r="B841" s="94">
        <v>459.47499405426345</v>
      </c>
      <c r="C841" s="94">
        <v>454.76255394273022</v>
      </c>
      <c r="D841" s="94">
        <v>459.31549608125772</v>
      </c>
      <c r="E841" s="95">
        <v>5330736.7108007092</v>
      </c>
      <c r="F841" s="93" t="s">
        <v>869</v>
      </c>
      <c r="G841" s="25">
        <f t="shared" si="26"/>
        <v>-3.9776075427224722E-3</v>
      </c>
      <c r="I841" s="94">
        <v>203.74426558390815</v>
      </c>
      <c r="J841" s="94">
        <v>206.42762416232384</v>
      </c>
      <c r="K841" s="94">
        <v>201.31873861267113</v>
      </c>
      <c r="L841" s="94">
        <v>206.08384868608556</v>
      </c>
      <c r="M841" s="95">
        <v>1695349.2040135306</v>
      </c>
      <c r="N841" s="93" t="s">
        <v>869</v>
      </c>
      <c r="O841" s="25">
        <f t="shared" si="27"/>
        <v>-1.1352578657152113E-2</v>
      </c>
    </row>
    <row r="842" spans="1:15">
      <c r="A842" s="94">
        <v>458.49383985668271</v>
      </c>
      <c r="B842" s="94">
        <v>459.61515893963218</v>
      </c>
      <c r="C842" s="94">
        <v>457.13085717826999</v>
      </c>
      <c r="D842" s="94">
        <v>459.46049423853566</v>
      </c>
      <c r="E842" s="95">
        <v>3666797.6337163341</v>
      </c>
      <c r="F842" s="93" t="s">
        <v>870</v>
      </c>
      <c r="G842" s="25">
        <f t="shared" si="26"/>
        <v>-2.1038900927815574E-3</v>
      </c>
      <c r="I842" s="94">
        <v>205.99790481702595</v>
      </c>
      <c r="J842" s="94">
        <v>206.36077893083308</v>
      </c>
      <c r="K842" s="94">
        <v>204.25037947948118</v>
      </c>
      <c r="L842" s="94">
        <v>204.25037947948118</v>
      </c>
      <c r="M842" s="95">
        <v>1473301.951442545</v>
      </c>
      <c r="N842" s="93" t="s">
        <v>870</v>
      </c>
      <c r="O842" s="25">
        <f t="shared" si="27"/>
        <v>8.5557997101313177E-3</v>
      </c>
    </row>
    <row r="843" spans="1:15">
      <c r="A843" s="94">
        <v>459.18983101161683</v>
      </c>
      <c r="B843" s="94">
        <v>459.69249129018039</v>
      </c>
      <c r="C843" s="94">
        <v>453.91189808669958</v>
      </c>
      <c r="D843" s="94">
        <v>456.18353588405409</v>
      </c>
      <c r="E843" s="95">
        <v>4976997.0429118304</v>
      </c>
      <c r="F843" s="93" t="s">
        <v>871</v>
      </c>
      <c r="G843" s="25">
        <f t="shared" si="26"/>
        <v>6.5901000169519275E-3</v>
      </c>
      <c r="I843" s="94">
        <v>203.97344923473366</v>
      </c>
      <c r="J843" s="94">
        <v>205.0238743010174</v>
      </c>
      <c r="K843" s="94">
        <v>202.6078966485648</v>
      </c>
      <c r="L843" s="94">
        <v>203.73471626512372</v>
      </c>
      <c r="M843" s="95">
        <v>969718.38610413682</v>
      </c>
      <c r="N843" s="93" t="s">
        <v>871</v>
      </c>
      <c r="O843" s="25">
        <f t="shared" si="27"/>
        <v>1.1717834544175965E-3</v>
      </c>
    </row>
    <row r="844" spans="1:15">
      <c r="A844" s="94">
        <v>454.3275594708964</v>
      </c>
      <c r="B844" s="94">
        <v>454.76738721463948</v>
      </c>
      <c r="C844" s="94">
        <v>451.80459153426011</v>
      </c>
      <c r="D844" s="94">
        <v>453.55423596541402</v>
      </c>
      <c r="E844" s="95">
        <v>5507517.578097282</v>
      </c>
      <c r="F844" s="93" t="s">
        <v>872</v>
      </c>
      <c r="G844" s="25">
        <f t="shared" si="26"/>
        <v>1.7050298380221207E-3</v>
      </c>
      <c r="I844" s="94">
        <v>204.93793043195785</v>
      </c>
      <c r="J844" s="94">
        <v>206.49446939381465</v>
      </c>
      <c r="K844" s="94">
        <v>204.16921026981382</v>
      </c>
      <c r="L844" s="94">
        <v>204.43181653638476</v>
      </c>
      <c r="M844" s="95">
        <v>703937.12386930443</v>
      </c>
      <c r="N844" s="93" t="s">
        <v>872</v>
      </c>
      <c r="O844" s="25">
        <f t="shared" si="27"/>
        <v>2.4757100149477296E-3</v>
      </c>
    </row>
    <row r="845" spans="1:15">
      <c r="A845" s="94">
        <v>454.70455467981901</v>
      </c>
      <c r="B845" s="94">
        <v>460.41690208394101</v>
      </c>
      <c r="C845" s="94">
        <v>454.15356168216283</v>
      </c>
      <c r="D845" s="94">
        <v>457.97184649048205</v>
      </c>
      <c r="E845" s="95">
        <v>6502453.3256148305</v>
      </c>
      <c r="F845" s="93" t="s">
        <v>873</v>
      </c>
      <c r="G845" s="25">
        <f t="shared" si="26"/>
        <v>-7.1342634611731848E-3</v>
      </c>
      <c r="I845" s="94">
        <v>204.92838111317343</v>
      </c>
      <c r="J845" s="94">
        <v>205.32467784272592</v>
      </c>
      <c r="K845" s="94">
        <v>202.36916367895486</v>
      </c>
      <c r="L845" s="94">
        <v>203.4100394264542</v>
      </c>
      <c r="M845" s="95">
        <v>911879.70541181136</v>
      </c>
      <c r="N845" s="93" t="s">
        <v>873</v>
      </c>
      <c r="O845" s="25">
        <f t="shared" si="27"/>
        <v>7.4644382892821159E-3</v>
      </c>
    </row>
    <row r="846" spans="1:15">
      <c r="A846" s="94">
        <v>457.47885275573708</v>
      </c>
      <c r="B846" s="94">
        <v>458.37784133086035</v>
      </c>
      <c r="C846" s="94">
        <v>455.08154988874168</v>
      </c>
      <c r="D846" s="94">
        <v>455.90320611331674</v>
      </c>
      <c r="E846" s="95">
        <v>7396440.8936879896</v>
      </c>
      <c r="F846" s="93" t="s">
        <v>874</v>
      </c>
      <c r="G846" s="25">
        <f t="shared" si="26"/>
        <v>3.4560990607044317E-3</v>
      </c>
      <c r="I846" s="94">
        <v>203.4195887452386</v>
      </c>
      <c r="J846" s="94">
        <v>206.82869555126857</v>
      </c>
      <c r="K846" s="94">
        <v>203.38139147010099</v>
      </c>
      <c r="L846" s="94">
        <v>205.8833129916132</v>
      </c>
      <c r="M846" s="95">
        <v>1001696.5833865372</v>
      </c>
      <c r="N846" s="93" t="s">
        <v>874</v>
      </c>
      <c r="O846" s="25">
        <f t="shared" si="27"/>
        <v>-1.1966604823747673E-2</v>
      </c>
    </row>
    <row r="847" spans="1:15">
      <c r="A847" s="94">
        <v>452.99357642393932</v>
      </c>
      <c r="B847" s="94">
        <v>454.96555136291937</v>
      </c>
      <c r="C847" s="94">
        <v>451.73682906209228</v>
      </c>
      <c r="D847" s="94">
        <v>453.60256868450665</v>
      </c>
      <c r="E847" s="95">
        <v>5508742.4212493198</v>
      </c>
      <c r="F847" s="93" t="s">
        <v>875</v>
      </c>
      <c r="G847" s="25">
        <f t="shared" si="26"/>
        <v>-1.3425679275438362E-3</v>
      </c>
      <c r="I847" s="94">
        <v>204.77559200269175</v>
      </c>
      <c r="J847" s="94">
        <v>205.53827660555893</v>
      </c>
      <c r="K847" s="94">
        <v>202.35361723642617</v>
      </c>
      <c r="L847" s="94">
        <v>202.92349365201807</v>
      </c>
      <c r="M847" s="95">
        <v>719395.97565936251</v>
      </c>
      <c r="N847" s="93" t="s">
        <v>875</v>
      </c>
      <c r="O847" s="25">
        <f t="shared" si="27"/>
        <v>9.1270769950853037E-3</v>
      </c>
    </row>
    <row r="848" spans="1:15">
      <c r="A848" s="94">
        <v>450.60594010076244</v>
      </c>
      <c r="B848" s="94">
        <v>453.72823375414754</v>
      </c>
      <c r="C848" s="94">
        <v>448.58563244268976</v>
      </c>
      <c r="D848" s="94">
        <v>453.31257236995077</v>
      </c>
      <c r="E848" s="95">
        <v>4775753.4509393806</v>
      </c>
      <c r="F848" s="93" t="s">
        <v>876</v>
      </c>
      <c r="G848" s="25">
        <f t="shared" si="26"/>
        <v>-5.9707857980595413E-3</v>
      </c>
      <c r="I848" s="94">
        <v>203.09445657669565</v>
      </c>
      <c r="J848" s="94">
        <v>207.37802763389482</v>
      </c>
      <c r="K848" s="94">
        <v>202.87600395071874</v>
      </c>
      <c r="L848" s="94">
        <v>205.71588808841841</v>
      </c>
      <c r="M848" s="95">
        <v>903306.37646291615</v>
      </c>
      <c r="N848" s="93" t="s">
        <v>876</v>
      </c>
      <c r="O848" s="25">
        <f t="shared" si="27"/>
        <v>-1.2742970589593172E-2</v>
      </c>
    </row>
    <row r="849" spans="1:15">
      <c r="A849" s="94">
        <v>455.16854878310846</v>
      </c>
      <c r="B849" s="94">
        <v>456.84086086371411</v>
      </c>
      <c r="C849" s="94">
        <v>454.90755210000822</v>
      </c>
      <c r="D849" s="94">
        <v>454.91721864382669</v>
      </c>
      <c r="E849" s="95">
        <v>4107199.0925955139</v>
      </c>
      <c r="F849" s="93" t="s">
        <v>877</v>
      </c>
      <c r="G849" s="25">
        <f t="shared" si="26"/>
        <v>5.5247444805672785E-4</v>
      </c>
      <c r="I849" s="94">
        <v>205.11751785204692</v>
      </c>
      <c r="J849" s="94">
        <v>206.22877686245113</v>
      </c>
      <c r="K849" s="94">
        <v>199.58021868054556</v>
      </c>
      <c r="L849" s="94">
        <v>199.88415276886121</v>
      </c>
      <c r="M849" s="95">
        <v>1428995.0903726527</v>
      </c>
      <c r="N849" s="93" t="s">
        <v>877</v>
      </c>
      <c r="O849" s="25">
        <f t="shared" si="27"/>
        <v>2.6181990971727354E-2</v>
      </c>
    </row>
    <row r="850" spans="1:15">
      <c r="A850" s="94">
        <v>455.70987523694612</v>
      </c>
      <c r="B850" s="94">
        <v>456.03853772677616</v>
      </c>
      <c r="C850" s="94">
        <v>451.84325770953427</v>
      </c>
      <c r="D850" s="94">
        <v>452.2299194622754</v>
      </c>
      <c r="E850" s="95">
        <v>5006361.2091876706</v>
      </c>
      <c r="F850" s="93" t="s">
        <v>878</v>
      </c>
      <c r="G850" s="25">
        <f t="shared" si="26"/>
        <v>7.6951029220015954E-3</v>
      </c>
      <c r="I850" s="94">
        <v>199.27628459222987</v>
      </c>
      <c r="J850" s="94">
        <v>200.73896739224909</v>
      </c>
      <c r="K850" s="94">
        <v>198.51644937144064</v>
      </c>
      <c r="L850" s="94">
        <v>200.61549416887084</v>
      </c>
      <c r="M850" s="95">
        <v>1061636.4942416688</v>
      </c>
      <c r="N850" s="93" t="s">
        <v>878</v>
      </c>
      <c r="O850" s="25">
        <f t="shared" si="27"/>
        <v>-6.675504213616068E-3</v>
      </c>
    </row>
    <row r="851" spans="1:15">
      <c r="A851" s="94">
        <v>451.35993051860777</v>
      </c>
      <c r="B851" s="94">
        <v>452.86791135429843</v>
      </c>
      <c r="C851" s="94">
        <v>448.98196073924947</v>
      </c>
      <c r="D851" s="94">
        <v>451.39859669388193</v>
      </c>
      <c r="E851" s="95">
        <v>7585876.7493957765</v>
      </c>
      <c r="F851" s="93" t="s">
        <v>879</v>
      </c>
      <c r="G851" s="25">
        <f t="shared" si="26"/>
        <v>-8.5658607619443217E-5</v>
      </c>
      <c r="I851" s="94">
        <v>201.0334035403049</v>
      </c>
      <c r="J851" s="94">
        <v>202.69554308578131</v>
      </c>
      <c r="K851" s="94">
        <v>199.93164247016057</v>
      </c>
      <c r="L851" s="94">
        <v>202.69554308578131</v>
      </c>
      <c r="M851" s="95">
        <v>3428274.87951187</v>
      </c>
      <c r="N851" s="93" t="s">
        <v>879</v>
      </c>
      <c r="O851" s="25">
        <f t="shared" si="27"/>
        <v>-8.2001780610093666E-3</v>
      </c>
    </row>
    <row r="852" spans="1:15">
      <c r="A852" s="94">
        <v>449.69728498182064</v>
      </c>
      <c r="B852" s="94">
        <v>450.29661069856951</v>
      </c>
      <c r="C852" s="94">
        <v>448.63396516178238</v>
      </c>
      <c r="D852" s="94">
        <v>449.00129382688652</v>
      </c>
      <c r="E852" s="95">
        <v>2897211.3017597371</v>
      </c>
      <c r="F852" s="93" t="s">
        <v>880</v>
      </c>
      <c r="G852" s="25">
        <f t="shared" si="26"/>
        <v>1.55008719240457E-3</v>
      </c>
      <c r="I852" s="94">
        <v>202.48658840006428</v>
      </c>
      <c r="J852" s="94">
        <v>203.37939478449158</v>
      </c>
      <c r="K852" s="94">
        <v>200.02662187275919</v>
      </c>
      <c r="L852" s="94">
        <v>200.94792207796613</v>
      </c>
      <c r="M852" s="95">
        <v>881135.25364696875</v>
      </c>
      <c r="N852" s="93" t="s">
        <v>880</v>
      </c>
      <c r="O852" s="25">
        <f t="shared" si="27"/>
        <v>7.6570402230939916E-3</v>
      </c>
    </row>
    <row r="853" spans="1:15">
      <c r="A853" s="94">
        <v>450.39327613675482</v>
      </c>
      <c r="B853" s="94">
        <v>450.57694046930686</v>
      </c>
      <c r="C853" s="94">
        <v>448.44063428541182</v>
      </c>
      <c r="D853" s="94">
        <v>450.18061217274715</v>
      </c>
      <c r="E853" s="95">
        <v>3710677.8465372715</v>
      </c>
      <c r="F853" s="93" t="s">
        <v>881</v>
      </c>
      <c r="G853" s="25">
        <f t="shared" si="26"/>
        <v>4.7239698524847995E-4</v>
      </c>
      <c r="I853" s="94">
        <v>201.10938706238383</v>
      </c>
      <c r="J853" s="94">
        <v>201.62227583641655</v>
      </c>
      <c r="K853" s="94">
        <v>199.06732990651284</v>
      </c>
      <c r="L853" s="94">
        <v>200.85294267536747</v>
      </c>
      <c r="M853" s="95">
        <v>894314.95330553222</v>
      </c>
      <c r="N853" s="93" t="s">
        <v>881</v>
      </c>
      <c r="O853" s="25">
        <f t="shared" si="27"/>
        <v>1.2767768477799368E-3</v>
      </c>
    </row>
    <row r="854" spans="1:15">
      <c r="A854" s="94">
        <v>449.56195336836123</v>
      </c>
      <c r="B854" s="94">
        <v>451.99792241063068</v>
      </c>
      <c r="C854" s="94">
        <v>449.43628829872034</v>
      </c>
      <c r="D854" s="94">
        <v>451.61126065788955</v>
      </c>
      <c r="E854" s="95">
        <v>3569842.6084669321</v>
      </c>
      <c r="F854" s="93" t="s">
        <v>882</v>
      </c>
      <c r="G854" s="25">
        <f t="shared" si="26"/>
        <v>-4.5377683597680463E-3</v>
      </c>
      <c r="I854" s="94">
        <v>201.10938706238383</v>
      </c>
      <c r="J854" s="94">
        <v>203.93977325982362</v>
      </c>
      <c r="K854" s="94">
        <v>200.73896739224909</v>
      </c>
      <c r="L854" s="94">
        <v>203.68332887280727</v>
      </c>
      <c r="M854" s="95">
        <v>899789.82454890409</v>
      </c>
      <c r="N854" s="93" t="s">
        <v>882</v>
      </c>
      <c r="O854" s="25">
        <f t="shared" si="27"/>
        <v>-1.2636978316623915E-2</v>
      </c>
    </row>
    <row r="855" spans="1:15">
      <c r="A855" s="94">
        <v>451.21493236132977</v>
      </c>
      <c r="B855" s="94">
        <v>453.23524001940251</v>
      </c>
      <c r="C855" s="94">
        <v>450.54861749591862</v>
      </c>
      <c r="D855" s="94">
        <v>452.48124960155718</v>
      </c>
      <c r="E855" s="95">
        <v>4190350.8389786649</v>
      </c>
      <c r="F855" s="93" t="s">
        <v>883</v>
      </c>
      <c r="G855" s="25">
        <f t="shared" si="26"/>
        <v>-2.7986071054711958E-3</v>
      </c>
      <c r="I855" s="94">
        <v>203.68332887280727</v>
      </c>
      <c r="J855" s="94">
        <v>205.3145051330365</v>
      </c>
      <c r="K855" s="94">
        <v>202.54357604162345</v>
      </c>
      <c r="L855" s="94">
        <v>203.25592156111335</v>
      </c>
      <c r="M855" s="95">
        <v>1179238.834269007</v>
      </c>
      <c r="N855" s="93" t="s">
        <v>883</v>
      </c>
      <c r="O855" s="25">
        <f t="shared" si="27"/>
        <v>2.1028037383177267E-3</v>
      </c>
    </row>
    <row r="856" spans="1:15">
      <c r="A856" s="94">
        <v>451.01193494114068</v>
      </c>
      <c r="B856" s="94">
        <v>451.74659227134896</v>
      </c>
      <c r="C856" s="94">
        <v>446.89882054635632</v>
      </c>
      <c r="D856" s="94">
        <v>447.77364276193327</v>
      </c>
      <c r="E856" s="95">
        <v>4477852.7685382944</v>
      </c>
      <c r="F856" s="93" t="s">
        <v>884</v>
      </c>
      <c r="G856" s="25">
        <f t="shared" si="26"/>
        <v>7.2319848020379052E-3</v>
      </c>
      <c r="I856" s="94">
        <v>202.70504102604116</v>
      </c>
      <c r="J856" s="94">
        <v>202.92824262214799</v>
      </c>
      <c r="K856" s="94">
        <v>200.59554849432513</v>
      </c>
      <c r="L856" s="94">
        <v>202.51508222084388</v>
      </c>
      <c r="M856" s="95">
        <v>860959.30025528872</v>
      </c>
      <c r="N856" s="93" t="s">
        <v>884</v>
      </c>
      <c r="O856" s="25">
        <f t="shared" si="27"/>
        <v>9.3799831160290559E-4</v>
      </c>
    </row>
    <row r="857" spans="1:15">
      <c r="A857" s="94">
        <v>441.73205287535222</v>
      </c>
      <c r="B857" s="94">
        <v>441.87705103263011</v>
      </c>
      <c r="C857" s="94">
        <v>438.47442760850771</v>
      </c>
      <c r="D857" s="94">
        <v>440.13707314529478</v>
      </c>
      <c r="E857" s="95">
        <v>4368756.8993426794</v>
      </c>
      <c r="F857" s="93" t="s">
        <v>885</v>
      </c>
      <c r="G857" s="25">
        <f t="shared" si="26"/>
        <v>3.6238250021962681E-3</v>
      </c>
      <c r="I857" s="94">
        <v>203.06596275591605</v>
      </c>
      <c r="J857" s="94">
        <v>203.11345245721537</v>
      </c>
      <c r="K857" s="94">
        <v>200.74371636237902</v>
      </c>
      <c r="L857" s="94">
        <v>201.35633350914031</v>
      </c>
      <c r="M857" s="95">
        <v>798519.4465844864</v>
      </c>
      <c r="N857" s="93" t="s">
        <v>885</v>
      </c>
      <c r="O857" s="25">
        <f t="shared" si="27"/>
        <v>8.4905660377359027E-3</v>
      </c>
    </row>
    <row r="858" spans="1:15">
      <c r="A858" s="94">
        <v>441.28739185969982</v>
      </c>
      <c r="B858" s="94">
        <v>442.7857061515719</v>
      </c>
      <c r="C858" s="94">
        <v>439.27675074544561</v>
      </c>
      <c r="D858" s="94">
        <v>442.18638043482309</v>
      </c>
      <c r="E858" s="95">
        <v>5489846.3190406002</v>
      </c>
      <c r="F858" s="93" t="s">
        <v>886</v>
      </c>
      <c r="G858" s="25">
        <f t="shared" si="26"/>
        <v>-2.0330535152150997E-3</v>
      </c>
      <c r="I858" s="94">
        <v>201.19486852472264</v>
      </c>
      <c r="J858" s="94">
        <v>204.52864555593527</v>
      </c>
      <c r="K858" s="94">
        <v>200.67723078055997</v>
      </c>
      <c r="L858" s="94">
        <v>201.97369962603156</v>
      </c>
      <c r="M858" s="95">
        <v>1187832.2764013917</v>
      </c>
      <c r="N858" s="93" t="s">
        <v>886</v>
      </c>
      <c r="O858" s="25">
        <f t="shared" si="27"/>
        <v>-3.8561015753585393E-3</v>
      </c>
    </row>
    <row r="859" spans="1:15">
      <c r="A859" s="94">
        <v>443.72336090196927</v>
      </c>
      <c r="B859" s="94">
        <v>446.73932257335053</v>
      </c>
      <c r="C859" s="94">
        <v>443.11436864140188</v>
      </c>
      <c r="D859" s="94">
        <v>445.70500238476785</v>
      </c>
      <c r="E859" s="95">
        <v>5718582.6741959536</v>
      </c>
      <c r="F859" s="93" t="s">
        <v>887</v>
      </c>
      <c r="G859" s="25">
        <f t="shared" si="26"/>
        <v>-4.4460831092217878E-3</v>
      </c>
      <c r="I859" s="94">
        <v>201.33733762862059</v>
      </c>
      <c r="J859" s="94">
        <v>201.35633350914031</v>
      </c>
      <c r="K859" s="94">
        <v>199.41875369612785</v>
      </c>
      <c r="L859" s="94">
        <v>200.45402918445316</v>
      </c>
      <c r="M859" s="95">
        <v>800165.06653706147</v>
      </c>
      <c r="N859" s="93" t="s">
        <v>887</v>
      </c>
      <c r="O859" s="25">
        <f t="shared" si="27"/>
        <v>4.4065387348968255E-3</v>
      </c>
    </row>
    <row r="860" spans="1:15">
      <c r="A860" s="94">
        <v>446.00466524314231</v>
      </c>
      <c r="B860" s="94">
        <v>446.14966340042025</v>
      </c>
      <c r="C860" s="94">
        <v>443.14336827285751</v>
      </c>
      <c r="D860" s="94">
        <v>443.59769583232838</v>
      </c>
      <c r="E860" s="95">
        <v>5892189.7080546441</v>
      </c>
      <c r="F860" s="93" t="s">
        <v>888</v>
      </c>
      <c r="G860" s="25">
        <f t="shared" si="26"/>
        <v>5.4260187404664428E-3</v>
      </c>
      <c r="I860" s="94">
        <v>200.67248181043004</v>
      </c>
      <c r="J860" s="94">
        <v>201.85022640265333</v>
      </c>
      <c r="K860" s="94">
        <v>199.46624339742715</v>
      </c>
      <c r="L860" s="94">
        <v>200.04561775327895</v>
      </c>
      <c r="M860" s="95">
        <v>623219.33367098961</v>
      </c>
      <c r="N860" s="93" t="s">
        <v>888</v>
      </c>
      <c r="O860" s="25">
        <f t="shared" si="27"/>
        <v>3.1336055455322143E-3</v>
      </c>
    </row>
    <row r="861" spans="1:15">
      <c r="A861" s="94">
        <v>443.0080366593981</v>
      </c>
      <c r="B861" s="94">
        <v>443.37536532450224</v>
      </c>
      <c r="C861" s="94">
        <v>439.24775111399003</v>
      </c>
      <c r="D861" s="94">
        <v>441.35022439452024</v>
      </c>
      <c r="E861" s="95">
        <v>5818014.2826429736</v>
      </c>
      <c r="F861" s="93" t="s">
        <v>889</v>
      </c>
      <c r="G861" s="25">
        <f t="shared" si="26"/>
        <v>3.7562284400154411E-3</v>
      </c>
      <c r="I861" s="94">
        <v>199.62770838184488</v>
      </c>
      <c r="J861" s="94">
        <v>199.66570014288433</v>
      </c>
      <c r="K861" s="94">
        <v>197.64263886753307</v>
      </c>
      <c r="L861" s="94">
        <v>198.49745349092095</v>
      </c>
      <c r="M861" s="95">
        <v>798816.3530634538</v>
      </c>
      <c r="N861" s="93" t="s">
        <v>889</v>
      </c>
      <c r="O861" s="25">
        <f t="shared" si="27"/>
        <v>5.6940523470021542E-3</v>
      </c>
    </row>
    <row r="862" spans="1:15">
      <c r="A862" s="94">
        <v>438.83208972979327</v>
      </c>
      <c r="B862" s="94">
        <v>440.50440181039892</v>
      </c>
      <c r="C862" s="94">
        <v>435.95629294378068</v>
      </c>
      <c r="D862" s="94">
        <v>439.3250834645383</v>
      </c>
      <c r="E862" s="95">
        <v>8433460.9691346362</v>
      </c>
      <c r="F862" s="93" t="s">
        <v>890</v>
      </c>
      <c r="G862" s="25">
        <f t="shared" si="26"/>
        <v>-1.1221615912692107E-3</v>
      </c>
      <c r="I862" s="94">
        <v>197.53816152467454</v>
      </c>
      <c r="J862" s="94">
        <v>201.93570786499211</v>
      </c>
      <c r="K862" s="94">
        <v>195.40112496620489</v>
      </c>
      <c r="L862" s="94">
        <v>200.65348592991029</v>
      </c>
      <c r="M862" s="95">
        <v>841391.89985950652</v>
      </c>
      <c r="N862" s="93" t="s">
        <v>890</v>
      </c>
      <c r="O862" s="25">
        <f t="shared" si="27"/>
        <v>-1.5525892265454866E-2</v>
      </c>
    </row>
    <row r="863" spans="1:15">
      <c r="A863" s="94">
        <v>445.10567666801904</v>
      </c>
      <c r="B863" s="94">
        <v>447.30964865864382</v>
      </c>
      <c r="C863" s="94">
        <v>444.41935205690345</v>
      </c>
      <c r="D863" s="94">
        <v>445.25067482529698</v>
      </c>
      <c r="E863" s="95">
        <v>4721680.3499621684</v>
      </c>
      <c r="F863" s="93" t="s">
        <v>891</v>
      </c>
      <c r="G863" s="25">
        <f t="shared" si="26"/>
        <v>-3.2565510952864418E-4</v>
      </c>
      <c r="I863" s="94">
        <v>200.65348592991029</v>
      </c>
      <c r="J863" s="94">
        <v>201.6127778961567</v>
      </c>
      <c r="K863" s="94">
        <v>199.13666487040987</v>
      </c>
      <c r="L863" s="94">
        <v>199.30477841300947</v>
      </c>
      <c r="M863" s="95">
        <v>903247.41631106439</v>
      </c>
      <c r="N863" s="93" t="s">
        <v>891</v>
      </c>
      <c r="O863" s="25">
        <f t="shared" si="27"/>
        <v>6.7670606176133408E-3</v>
      </c>
    </row>
    <row r="864" spans="1:15">
      <c r="A864" s="94">
        <v>445.30867408820819</v>
      </c>
      <c r="B864" s="94">
        <v>445.65666966567522</v>
      </c>
      <c r="C864" s="94">
        <v>442.89203813357574</v>
      </c>
      <c r="D864" s="94">
        <v>443.24970025486135</v>
      </c>
      <c r="E864" s="95">
        <v>4140667.1041282238</v>
      </c>
      <c r="F864" s="93" t="s">
        <v>892</v>
      </c>
      <c r="G864" s="25">
        <f t="shared" si="26"/>
        <v>4.6451781742051779E-3</v>
      </c>
      <c r="I864" s="94">
        <v>199.30477841300947</v>
      </c>
      <c r="J864" s="94">
        <v>199.56122280002583</v>
      </c>
      <c r="K864" s="94">
        <v>197.43368418181603</v>
      </c>
      <c r="L864" s="94">
        <v>199.30477841300947</v>
      </c>
      <c r="M864" s="95">
        <v>572435.69144929701</v>
      </c>
      <c r="N864" s="93" t="s">
        <v>892</v>
      </c>
      <c r="O864" s="25">
        <f t="shared" si="27"/>
        <v>0</v>
      </c>
    </row>
    <row r="865" spans="1:15">
      <c r="A865" s="94">
        <v>442.79537269539043</v>
      </c>
      <c r="B865" s="94">
        <v>443.0467028346722</v>
      </c>
      <c r="C865" s="94">
        <v>441.79005213826332</v>
      </c>
      <c r="D865" s="94">
        <v>442.54404255610865</v>
      </c>
      <c r="E865" s="95">
        <v>4328943.2899260167</v>
      </c>
      <c r="F865" s="93" t="s">
        <v>893</v>
      </c>
      <c r="G865" s="25">
        <f t="shared" si="26"/>
        <v>5.6792119001336516E-4</v>
      </c>
      <c r="I865" s="94">
        <v>198.79188963897676</v>
      </c>
      <c r="J865" s="94">
        <v>199.28578253248972</v>
      </c>
      <c r="K865" s="94">
        <v>196.12296842595467</v>
      </c>
      <c r="L865" s="94">
        <v>198.76339581819715</v>
      </c>
      <c r="M865" s="95">
        <v>953281.42231635691</v>
      </c>
      <c r="N865" s="93" t="s">
        <v>893</v>
      </c>
      <c r="O865" s="25">
        <f t="shared" si="27"/>
        <v>1.4335547378996338E-4</v>
      </c>
    </row>
    <row r="866" spans="1:15">
      <c r="A866" s="94">
        <v>442.49570983701602</v>
      </c>
      <c r="B866" s="94">
        <v>442.90170467739426</v>
      </c>
      <c r="C866" s="94">
        <v>440.08874042620209</v>
      </c>
      <c r="D866" s="94">
        <v>440.93939628223274</v>
      </c>
      <c r="E866" s="95">
        <v>6996725.1242737565</v>
      </c>
      <c r="F866" s="93" t="s">
        <v>894</v>
      </c>
      <c r="G866" s="25">
        <f t="shared" si="26"/>
        <v>3.5295407212538876E-3</v>
      </c>
      <c r="I866" s="94">
        <v>199.03883608573324</v>
      </c>
      <c r="J866" s="94">
        <v>199.35226811430877</v>
      </c>
      <c r="K866" s="94">
        <v>196.79732218440506</v>
      </c>
      <c r="L866" s="94">
        <v>197.99406265714808</v>
      </c>
      <c r="M866" s="95">
        <v>788835.24164284498</v>
      </c>
      <c r="N866" s="93" t="s">
        <v>894</v>
      </c>
      <c r="O866" s="25">
        <f t="shared" si="27"/>
        <v>5.2767917106399942E-3</v>
      </c>
    </row>
    <row r="867" spans="1:15">
      <c r="A867" s="94">
        <v>438.89008899270442</v>
      </c>
      <c r="B867" s="94">
        <v>439.14141913198625</v>
      </c>
      <c r="C867" s="94">
        <v>437.13077801773198</v>
      </c>
      <c r="D867" s="94">
        <v>438.4550945208706</v>
      </c>
      <c r="E867" s="95">
        <v>4534817.2855712036</v>
      </c>
      <c r="F867" s="93" t="s">
        <v>895</v>
      </c>
      <c r="G867" s="25">
        <f t="shared" si="26"/>
        <v>9.9210723576881321E-4</v>
      </c>
      <c r="I867" s="94">
        <v>197.28171713765821</v>
      </c>
      <c r="J867" s="94">
        <v>197.3292068389575</v>
      </c>
      <c r="K867" s="94">
        <v>194.91673001295177</v>
      </c>
      <c r="L867" s="94">
        <v>196.59786543894791</v>
      </c>
      <c r="M867" s="95">
        <v>1125108.150569876</v>
      </c>
      <c r="N867" s="93" t="s">
        <v>895</v>
      </c>
      <c r="O867" s="25">
        <f t="shared" si="27"/>
        <v>3.4784289096092547E-3</v>
      </c>
    </row>
    <row r="868" spans="1:15">
      <c r="A868" s="94">
        <v>437.52710631429176</v>
      </c>
      <c r="B868" s="94">
        <v>439.00608751852678</v>
      </c>
      <c r="C868" s="94">
        <v>435.5164652000376</v>
      </c>
      <c r="D868" s="94">
        <v>438.60009267814854</v>
      </c>
      <c r="E868" s="95">
        <v>7346841.9875017945</v>
      </c>
      <c r="F868" s="93" t="s">
        <v>896</v>
      </c>
      <c r="G868" s="25">
        <f t="shared" si="26"/>
        <v>-2.4463888215457974E-3</v>
      </c>
      <c r="I868" s="94">
        <v>196.74033454284586</v>
      </c>
      <c r="J868" s="94">
        <v>197.25797228700853</v>
      </c>
      <c r="K868" s="94">
        <v>193.29733119864477</v>
      </c>
      <c r="L868" s="94">
        <v>195.65756935322125</v>
      </c>
      <c r="M868" s="95">
        <v>983162.63784676814</v>
      </c>
      <c r="N868" s="93" t="s">
        <v>896</v>
      </c>
      <c r="O868" s="25">
        <f t="shared" si="27"/>
        <v>5.5339805825243005E-3</v>
      </c>
    </row>
    <row r="869" spans="1:15">
      <c r="A869" s="94">
        <v>439.13175258816767</v>
      </c>
      <c r="B869" s="94">
        <v>440.67839959913243</v>
      </c>
      <c r="C869" s="94">
        <v>434.69480897546254</v>
      </c>
      <c r="D869" s="94">
        <v>435.00413837765547</v>
      </c>
      <c r="E869" s="95">
        <v>6469201.5237263571</v>
      </c>
      <c r="F869" s="93" t="s">
        <v>897</v>
      </c>
      <c r="G869" s="25">
        <f t="shared" si="26"/>
        <v>9.488678029377251E-3</v>
      </c>
      <c r="I869" s="94">
        <v>196.60736337920778</v>
      </c>
      <c r="J869" s="94">
        <v>198.23151116364471</v>
      </c>
      <c r="K869" s="94">
        <v>195.84752815841856</v>
      </c>
      <c r="L869" s="94">
        <v>197.81360179221065</v>
      </c>
      <c r="M869" s="95">
        <v>1156762.3820952561</v>
      </c>
      <c r="N869" s="93" t="s">
        <v>897</v>
      </c>
      <c r="O869" s="25">
        <f t="shared" si="27"/>
        <v>-6.0978537475392391E-3</v>
      </c>
    </row>
    <row r="870" spans="1:15">
      <c r="A870" s="94">
        <v>434.66580934400696</v>
      </c>
      <c r="B870" s="94">
        <v>434.66580934400696</v>
      </c>
      <c r="C870" s="94">
        <v>429.82306422179994</v>
      </c>
      <c r="D870" s="94">
        <v>430.49952895822065</v>
      </c>
      <c r="E870" s="95">
        <v>6350108.2861005953</v>
      </c>
      <c r="F870" s="93" t="s">
        <v>898</v>
      </c>
      <c r="G870" s="25">
        <f t="shared" si="26"/>
        <v>9.6777815201527506E-3</v>
      </c>
      <c r="I870" s="94">
        <v>198.96285256365431</v>
      </c>
      <c r="J870" s="94">
        <v>199.62770838184488</v>
      </c>
      <c r="K870" s="94">
        <v>196.72133866232616</v>
      </c>
      <c r="L870" s="94">
        <v>198.50695143118079</v>
      </c>
      <c r="M870" s="95">
        <v>1404464.508622783</v>
      </c>
      <c r="N870" s="93" t="s">
        <v>898</v>
      </c>
      <c r="O870" s="25">
        <f t="shared" si="27"/>
        <v>2.2966507177033524E-3</v>
      </c>
    </row>
    <row r="871" spans="1:15">
      <c r="A871" s="94">
        <v>429.02054775398562</v>
      </c>
      <c r="B871" s="94">
        <v>434.4773117395456</v>
      </c>
      <c r="C871" s="94">
        <v>428.95288194725589</v>
      </c>
      <c r="D871" s="94">
        <v>434.06648362725815</v>
      </c>
      <c r="E871" s="95">
        <v>7353241.3791728299</v>
      </c>
      <c r="F871" s="93" t="s">
        <v>899</v>
      </c>
      <c r="G871" s="25">
        <f t="shared" si="26"/>
        <v>-1.1624799572421241E-2</v>
      </c>
      <c r="I871" s="94">
        <v>197.9560708961086</v>
      </c>
      <c r="J871" s="94">
        <v>200.78645709354842</v>
      </c>
      <c r="K871" s="94">
        <v>197.65213680779291</v>
      </c>
      <c r="L871" s="94">
        <v>200.20708273769665</v>
      </c>
      <c r="M871" s="95">
        <v>2419357.183904455</v>
      </c>
      <c r="N871" s="93" t="s">
        <v>899</v>
      </c>
      <c r="O871" s="25">
        <f t="shared" si="27"/>
        <v>-1.1243417619431817E-2</v>
      </c>
    </row>
    <row r="872" spans="1:15">
      <c r="A872" s="94">
        <v>436.12545746060493</v>
      </c>
      <c r="B872" s="94">
        <v>436.74411626499085</v>
      </c>
      <c r="C872" s="94">
        <v>435.41979976185229</v>
      </c>
      <c r="D872" s="94">
        <v>435.80646151459342</v>
      </c>
      <c r="E872" s="95">
        <v>3527582.4162339098</v>
      </c>
      <c r="F872" s="93" t="s">
        <v>900</v>
      </c>
      <c r="G872" s="25">
        <f t="shared" si="26"/>
        <v>7.3196699494282313E-4</v>
      </c>
      <c r="I872" s="94">
        <v>200.1405971558776</v>
      </c>
      <c r="J872" s="94">
        <v>201.08564221173418</v>
      </c>
      <c r="K872" s="94">
        <v>199.13381548833189</v>
      </c>
      <c r="L872" s="94">
        <v>199.77967542600271</v>
      </c>
      <c r="M872" s="95">
        <v>1371457.3521843774</v>
      </c>
      <c r="N872" s="93" t="s">
        <v>900</v>
      </c>
      <c r="O872" s="25">
        <f t="shared" si="27"/>
        <v>1.8065988399733612E-3</v>
      </c>
    </row>
    <row r="873" spans="1:15">
      <c r="A873" s="94">
        <v>436.43478686279792</v>
      </c>
      <c r="B873" s="94">
        <v>436.55059205774387</v>
      </c>
      <c r="C873" s="94">
        <v>432.78199328465189</v>
      </c>
      <c r="D873" s="94">
        <v>433.28349357795724</v>
      </c>
      <c r="E873" s="95">
        <v>4699975.5913701868</v>
      </c>
      <c r="F873" s="93" t="s">
        <v>901</v>
      </c>
      <c r="G873" s="25">
        <f t="shared" si="26"/>
        <v>7.2730517814514339E-3</v>
      </c>
      <c r="I873" s="94">
        <v>199.69419396366393</v>
      </c>
      <c r="J873" s="94">
        <v>201.09039118186411</v>
      </c>
      <c r="K873" s="94">
        <v>198.50695143118079</v>
      </c>
      <c r="L873" s="94">
        <v>199.74168366496326</v>
      </c>
      <c r="M873" s="95">
        <v>1558480.0067178169</v>
      </c>
      <c r="N873" s="93" t="s">
        <v>901</v>
      </c>
      <c r="O873" s="25">
        <f t="shared" si="27"/>
        <v>-2.3775558725636081E-4</v>
      </c>
    </row>
    <row r="874" spans="1:15">
      <c r="A874" s="94">
        <v>433.28349357795724</v>
      </c>
      <c r="B874" s="94">
        <v>434.52081118672902</v>
      </c>
      <c r="C874" s="94">
        <v>432.24917338937456</v>
      </c>
      <c r="D874" s="94">
        <v>433.15782850831636</v>
      </c>
      <c r="E874" s="95">
        <v>6624935.5718268054</v>
      </c>
      <c r="F874" s="93" t="s">
        <v>902</v>
      </c>
      <c r="G874" s="25">
        <f t="shared" si="26"/>
        <v>2.9011381388088786E-4</v>
      </c>
      <c r="I874" s="94">
        <v>198.70640817663798</v>
      </c>
      <c r="J874" s="94">
        <v>200.79595503380827</v>
      </c>
      <c r="K874" s="94">
        <v>195.45336363763417</v>
      </c>
      <c r="L874" s="94">
        <v>198.98184844417406</v>
      </c>
      <c r="M874" s="95">
        <v>2387592.402094353</v>
      </c>
      <c r="N874" s="93" t="s">
        <v>902</v>
      </c>
      <c r="O874" s="25">
        <f t="shared" si="27"/>
        <v>-1.3842482100238085E-3</v>
      </c>
    </row>
    <row r="875" spans="1:15">
      <c r="A875" s="94">
        <v>433.54449026105749</v>
      </c>
      <c r="B875" s="94">
        <v>433.79582040033927</v>
      </c>
      <c r="C875" s="94">
        <v>431.23418628842893</v>
      </c>
      <c r="D875" s="94">
        <v>433.1964946835904</v>
      </c>
      <c r="E875" s="95">
        <v>4310801.3352323612</v>
      </c>
      <c r="F875" s="93" t="s">
        <v>903</v>
      </c>
      <c r="G875" s="25">
        <f t="shared" si="26"/>
        <v>8.033203909492137E-4</v>
      </c>
      <c r="I875" s="94">
        <v>194.36584947787958</v>
      </c>
      <c r="J875" s="94">
        <v>195.67181626361105</v>
      </c>
      <c r="K875" s="94">
        <v>192.7749444843522</v>
      </c>
      <c r="L875" s="94">
        <v>194.8027547298334</v>
      </c>
      <c r="M875" s="95">
        <v>2426493.4679982197</v>
      </c>
      <c r="N875" s="93" t="s">
        <v>903</v>
      </c>
      <c r="O875" s="25">
        <f t="shared" si="27"/>
        <v>-2.2428083861532055E-3</v>
      </c>
    </row>
    <row r="876" spans="1:15">
      <c r="A876" s="94">
        <v>431.11818776260657</v>
      </c>
      <c r="B876" s="94">
        <v>434.21109512278332</v>
      </c>
      <c r="C876" s="94">
        <v>430.88619071096184</v>
      </c>
      <c r="D876" s="94">
        <v>433.37049247232397</v>
      </c>
      <c r="E876" s="95">
        <v>4725788.3332026601</v>
      </c>
      <c r="F876" s="93" t="s">
        <v>904</v>
      </c>
      <c r="G876" s="25">
        <f t="shared" si="26"/>
        <v>-5.1971805852961683E-3</v>
      </c>
      <c r="I876" s="94">
        <v>193.99542980774487</v>
      </c>
      <c r="J876" s="94">
        <v>196.95878716882279</v>
      </c>
      <c r="K876" s="94">
        <v>193.79597306228769</v>
      </c>
      <c r="L876" s="94">
        <v>195.84752815841856</v>
      </c>
      <c r="M876" s="95">
        <v>922086.23768753628</v>
      </c>
      <c r="N876" s="93" t="s">
        <v>904</v>
      </c>
      <c r="O876" s="25">
        <f t="shared" si="27"/>
        <v>-9.456838021338454E-3</v>
      </c>
    </row>
    <row r="877" spans="1:15">
      <c r="A877" s="94">
        <v>430.76052564132095</v>
      </c>
      <c r="B877" s="94">
        <v>430.95385651769152</v>
      </c>
      <c r="C877" s="94">
        <v>428.98188157871147</v>
      </c>
      <c r="D877" s="94">
        <v>429.9968686796571</v>
      </c>
      <c r="E877" s="95">
        <v>3363752.4031775082</v>
      </c>
      <c r="F877" s="93" t="s">
        <v>905</v>
      </c>
      <c r="G877" s="25">
        <f t="shared" si="26"/>
        <v>1.7759593552593156E-3</v>
      </c>
      <c r="I877" s="94">
        <v>195.74305081556005</v>
      </c>
      <c r="J877" s="94">
        <v>198.44046584936174</v>
      </c>
      <c r="K877" s="94">
        <v>194.58905107398644</v>
      </c>
      <c r="L877" s="94">
        <v>196.60736337920778</v>
      </c>
      <c r="M877" s="95">
        <v>1375196.0575276876</v>
      </c>
      <c r="N877" s="93" t="s">
        <v>905</v>
      </c>
      <c r="O877" s="25">
        <f t="shared" si="27"/>
        <v>-4.3961352657004849E-3</v>
      </c>
    </row>
    <row r="878" spans="1:15">
      <c r="A878" s="94">
        <v>429.48454185727502</v>
      </c>
      <c r="B878" s="94">
        <v>431.05052195587683</v>
      </c>
      <c r="C878" s="94">
        <v>428.88521614052621</v>
      </c>
      <c r="D878" s="94">
        <v>429.93886941674589</v>
      </c>
      <c r="E878" s="95">
        <v>6072917.1772304596</v>
      </c>
      <c r="F878" s="93" t="s">
        <v>906</v>
      </c>
      <c r="G878" s="25">
        <f t="shared" si="26"/>
        <v>-1.0567259482427982E-3</v>
      </c>
      <c r="I878" s="94">
        <v>196.4364004545302</v>
      </c>
      <c r="J878" s="94">
        <v>197.08748425934397</v>
      </c>
      <c r="K878" s="94">
        <v>193.31157810903457</v>
      </c>
      <c r="L878" s="94">
        <v>194.70777532723474</v>
      </c>
      <c r="M878" s="95">
        <v>1246754.5252983277</v>
      </c>
      <c r="N878" s="93" t="s">
        <v>906</v>
      </c>
      <c r="O878" s="25">
        <f t="shared" si="27"/>
        <v>8.8780487804878128E-3</v>
      </c>
    </row>
    <row r="879" spans="1:15">
      <c r="A879" s="94">
        <v>428.50822093160355</v>
      </c>
      <c r="B879" s="94">
        <v>428.81755033379648</v>
      </c>
      <c r="C879" s="94">
        <v>423.69428210997575</v>
      </c>
      <c r="D879" s="94">
        <v>424.36127363345429</v>
      </c>
      <c r="E879" s="95">
        <v>5003651.8644113299</v>
      </c>
      <c r="F879" s="93" t="s">
        <v>907</v>
      </c>
      <c r="G879" s="25">
        <f t="shared" si="26"/>
        <v>9.7722095671981535E-3</v>
      </c>
      <c r="I879" s="94">
        <v>194.53681240255716</v>
      </c>
      <c r="J879" s="94">
        <v>195.84752815841856</v>
      </c>
      <c r="K879" s="94">
        <v>193.53952867527136</v>
      </c>
      <c r="L879" s="94">
        <v>195.84752815841856</v>
      </c>
      <c r="M879" s="95">
        <v>1009943.1811056929</v>
      </c>
      <c r="N879" s="93" t="s">
        <v>907</v>
      </c>
      <c r="O879" s="25">
        <f t="shared" si="27"/>
        <v>-6.6925315227934767E-3</v>
      </c>
    </row>
    <row r="880" spans="1:15">
      <c r="A880" s="94">
        <v>423.32695344487161</v>
      </c>
      <c r="B880" s="94">
        <v>423.77161446052395</v>
      </c>
      <c r="C880" s="94">
        <v>419.6826664252859</v>
      </c>
      <c r="D880" s="94">
        <v>421.05531564751709</v>
      </c>
      <c r="E880" s="95">
        <v>4480696.5977823418</v>
      </c>
      <c r="F880" s="93" t="s">
        <v>908</v>
      </c>
      <c r="G880" s="25">
        <f t="shared" si="26"/>
        <v>5.395105376739151E-3</v>
      </c>
      <c r="I880" s="94">
        <v>195.40112496620489</v>
      </c>
      <c r="J880" s="94">
        <v>195.7050590545206</v>
      </c>
      <c r="K880" s="94">
        <v>192.80818727526173</v>
      </c>
      <c r="L880" s="94">
        <v>194.18538861294215</v>
      </c>
      <c r="M880" s="95">
        <v>711820.64900627383</v>
      </c>
      <c r="N880" s="93" t="s">
        <v>908</v>
      </c>
      <c r="O880" s="25">
        <f t="shared" si="27"/>
        <v>6.2606994375153935E-3</v>
      </c>
    </row>
    <row r="881" spans="1:15">
      <c r="A881" s="94">
        <v>419.59566753091912</v>
      </c>
      <c r="B881" s="94">
        <v>419.99199582747889</v>
      </c>
      <c r="C881" s="94">
        <v>417.41102862793144</v>
      </c>
      <c r="D881" s="94">
        <v>419.14133997144825</v>
      </c>
      <c r="E881" s="95">
        <v>6253125.3294617459</v>
      </c>
      <c r="F881" s="93" t="s">
        <v>909</v>
      </c>
      <c r="G881" s="25">
        <f t="shared" si="26"/>
        <v>1.0839483394833316E-3</v>
      </c>
      <c r="I881" s="94">
        <v>194.27087007528095</v>
      </c>
      <c r="J881" s="94">
        <v>198.14270542221496</v>
      </c>
      <c r="K881" s="94">
        <v>193.70099365968903</v>
      </c>
      <c r="L881" s="94">
        <v>193.90994834540606</v>
      </c>
      <c r="M881" s="95">
        <v>802181.29315841862</v>
      </c>
      <c r="N881" s="93" t="s">
        <v>909</v>
      </c>
      <c r="O881" s="25">
        <f t="shared" si="27"/>
        <v>1.8612852664576796E-3</v>
      </c>
    </row>
    <row r="882" spans="1:15">
      <c r="A882" s="94">
        <v>421.94463767882183</v>
      </c>
      <c r="B882" s="94">
        <v>423.37528616396429</v>
      </c>
      <c r="C882" s="94">
        <v>420.24332596676061</v>
      </c>
      <c r="D882" s="94">
        <v>422.22496744955924</v>
      </c>
      <c r="E882" s="95">
        <v>5928529.4802208487</v>
      </c>
      <c r="F882" s="93" t="s">
        <v>910</v>
      </c>
      <c r="G882" s="25">
        <f t="shared" si="26"/>
        <v>-6.6393461388780661E-4</v>
      </c>
      <c r="I882" s="94">
        <v>194.79325678957355</v>
      </c>
      <c r="J882" s="94">
        <v>197.52866358441469</v>
      </c>
      <c r="K882" s="94">
        <v>193.89095246488634</v>
      </c>
      <c r="L882" s="94">
        <v>197.31970889869766</v>
      </c>
      <c r="M882" s="95">
        <v>869753.83861988212</v>
      </c>
      <c r="N882" s="93" t="s">
        <v>910</v>
      </c>
      <c r="O882" s="25">
        <f t="shared" si="27"/>
        <v>-1.280385078219004E-2</v>
      </c>
    </row>
    <row r="883" spans="1:15">
      <c r="A883" s="94">
        <v>423.38495270778282</v>
      </c>
      <c r="B883" s="94">
        <v>425.13459713893667</v>
      </c>
      <c r="C883" s="94">
        <v>422.16696818664803</v>
      </c>
      <c r="D883" s="94">
        <v>424.46760561545813</v>
      </c>
      <c r="E883" s="95">
        <v>5361449.8597372398</v>
      </c>
      <c r="F883" s="93" t="s">
        <v>911</v>
      </c>
      <c r="G883" s="25">
        <f t="shared" si="26"/>
        <v>-2.5506137414315067E-3</v>
      </c>
      <c r="I883" s="94">
        <v>197.36719859999698</v>
      </c>
      <c r="J883" s="94">
        <v>197.59514916623374</v>
      </c>
      <c r="K883" s="94">
        <v>194.1473968519027</v>
      </c>
      <c r="L883" s="94">
        <v>194.69827738697489</v>
      </c>
      <c r="M883" s="95">
        <v>1105123.8176717139</v>
      </c>
      <c r="N883" s="93" t="s">
        <v>911</v>
      </c>
      <c r="O883" s="25">
        <f t="shared" si="27"/>
        <v>1.3707985755402552E-2</v>
      </c>
    </row>
    <row r="884" spans="1:15">
      <c r="A884" s="94">
        <v>423.19162183141219</v>
      </c>
      <c r="B884" s="94">
        <v>424.70443593901211</v>
      </c>
      <c r="C884" s="94">
        <v>419.52800172418944</v>
      </c>
      <c r="D884" s="94">
        <v>424.30327437054308</v>
      </c>
      <c r="E884" s="95">
        <v>4962049.6115741655</v>
      </c>
      <c r="F884" s="93" t="s">
        <v>912</v>
      </c>
      <c r="G884" s="25">
        <f t="shared" si="26"/>
        <v>-2.6199480566819755E-3</v>
      </c>
      <c r="I884" s="94">
        <v>192.7322037531828</v>
      </c>
      <c r="J884" s="94">
        <v>195.71455699478045</v>
      </c>
      <c r="K884" s="94">
        <v>190.94659098432817</v>
      </c>
      <c r="L884" s="94">
        <v>195.7050590545206</v>
      </c>
      <c r="M884" s="95">
        <v>1489319.7485957756</v>
      </c>
      <c r="N884" s="93" t="s">
        <v>912</v>
      </c>
      <c r="O884" s="25">
        <f t="shared" si="27"/>
        <v>-1.5190487745692871E-2</v>
      </c>
    </row>
    <row r="885" spans="1:15">
      <c r="A885" s="94">
        <v>423.33661998869013</v>
      </c>
      <c r="B885" s="94">
        <v>424.10511022226325</v>
      </c>
      <c r="C885" s="94">
        <v>420.95865020933184</v>
      </c>
      <c r="D885" s="94">
        <v>421.23897998006919</v>
      </c>
      <c r="E885" s="95">
        <v>4426443.4945175834</v>
      </c>
      <c r="F885" s="93" t="s">
        <v>913</v>
      </c>
      <c r="G885" s="25">
        <f t="shared" si="26"/>
        <v>4.9796911214632367E-3</v>
      </c>
      <c r="I885" s="94">
        <v>193.2545904674754</v>
      </c>
      <c r="J885" s="94">
        <v>193.65350395838971</v>
      </c>
      <c r="K885" s="94">
        <v>191.99136441291333</v>
      </c>
      <c r="L885" s="94">
        <v>192.94115843889983</v>
      </c>
      <c r="M885" s="95">
        <v>1145113.5406651278</v>
      </c>
      <c r="N885" s="93" t="s">
        <v>913</v>
      </c>
      <c r="O885" s="25">
        <f t="shared" si="27"/>
        <v>1.6244954218767038E-3</v>
      </c>
    </row>
    <row r="886" spans="1:15">
      <c r="A886" s="94">
        <v>420.56232191277212</v>
      </c>
      <c r="B886" s="94">
        <v>421.87697187209216</v>
      </c>
      <c r="C886" s="94">
        <v>418.71920200289304</v>
      </c>
      <c r="D886" s="94">
        <v>419.1606730590853</v>
      </c>
      <c r="E886" s="95">
        <v>8213449.5524457414</v>
      </c>
      <c r="F886" s="93" t="s">
        <v>914</v>
      </c>
      <c r="G886" s="25">
        <f t="shared" si="26"/>
        <v>3.3439417001062122E-3</v>
      </c>
      <c r="I886" s="94">
        <v>193.28308428825497</v>
      </c>
      <c r="J886" s="94">
        <v>195.38212908568519</v>
      </c>
      <c r="K886" s="94">
        <v>193.23084561682572</v>
      </c>
      <c r="L886" s="94">
        <v>195.23016204152734</v>
      </c>
      <c r="M886" s="95">
        <v>1047616.6124192188</v>
      </c>
      <c r="N886" s="93" t="s">
        <v>914</v>
      </c>
      <c r="O886" s="25">
        <f t="shared" si="27"/>
        <v>-9.9732425200682595E-3</v>
      </c>
    </row>
    <row r="887" spans="1:15">
      <c r="A887" s="94">
        <v>421.58697555753628</v>
      </c>
      <c r="B887" s="94">
        <v>421.72230717099563</v>
      </c>
      <c r="C887" s="94">
        <v>416.01904631806315</v>
      </c>
      <c r="D887" s="94">
        <v>416.09637866861135</v>
      </c>
      <c r="E887" s="95">
        <v>7471503.9165865257</v>
      </c>
      <c r="F887" s="93" t="s">
        <v>915</v>
      </c>
      <c r="G887" s="25">
        <f t="shared" si="26"/>
        <v>1.3195493088628218E-2</v>
      </c>
      <c r="I887" s="94">
        <v>196.03748696361586</v>
      </c>
      <c r="J887" s="94">
        <v>196.34047125790556</v>
      </c>
      <c r="K887" s="94">
        <v>193.39705957137338</v>
      </c>
      <c r="L887" s="94">
        <v>194.42283711943878</v>
      </c>
      <c r="M887" s="95">
        <v>1171898.2953634704</v>
      </c>
      <c r="N887" s="93" t="s">
        <v>915</v>
      </c>
      <c r="O887" s="25">
        <f t="shared" si="27"/>
        <v>8.3048363458719798E-3</v>
      </c>
    </row>
    <row r="888" spans="1:15">
      <c r="A888" s="94">
        <v>415.64205110914048</v>
      </c>
      <c r="B888" s="94">
        <v>417.88468927503936</v>
      </c>
      <c r="C888" s="94">
        <v>414.3467342374575</v>
      </c>
      <c r="D888" s="94">
        <v>415.26505590021782</v>
      </c>
      <c r="E888" s="95">
        <v>5922083.5362340678</v>
      </c>
      <c r="F888" s="93" t="s">
        <v>916</v>
      </c>
      <c r="G888" s="25">
        <f t="shared" si="26"/>
        <v>9.0784236132135376E-4</v>
      </c>
      <c r="I888" s="94">
        <v>194.90723207269193</v>
      </c>
      <c r="J888" s="94">
        <v>197.05376657142142</v>
      </c>
      <c r="K888" s="94">
        <v>193.87195658436661</v>
      </c>
      <c r="L888" s="94">
        <v>197.05376657142142</v>
      </c>
      <c r="M888" s="95">
        <v>999945.22392741207</v>
      </c>
      <c r="N888" s="93" t="s">
        <v>916</v>
      </c>
      <c r="O888" s="25">
        <f t="shared" si="27"/>
        <v>-1.0893141177037546E-2</v>
      </c>
    </row>
    <row r="889" spans="1:15">
      <c r="A889" s="94">
        <v>415.11039119912135</v>
      </c>
      <c r="B889" s="94">
        <v>418.34868337832876</v>
      </c>
      <c r="C889" s="94">
        <v>414.89772723511368</v>
      </c>
      <c r="D889" s="94">
        <v>415.98038014278899</v>
      </c>
      <c r="E889" s="95">
        <v>4081354.2813899717</v>
      </c>
      <c r="F889" s="93" t="s">
        <v>917</v>
      </c>
      <c r="G889" s="25">
        <f t="shared" si="26"/>
        <v>-2.0914182139287751E-3</v>
      </c>
      <c r="I889" s="94">
        <v>197.11075421298062</v>
      </c>
      <c r="J889" s="94">
        <v>201.07139530134435</v>
      </c>
      <c r="K889" s="94">
        <v>197.0632645116813</v>
      </c>
      <c r="L889" s="94">
        <v>200.69147769094977</v>
      </c>
      <c r="M889" s="95">
        <v>1190992.9616845846</v>
      </c>
      <c r="N889" s="93" t="s">
        <v>917</v>
      </c>
      <c r="O889" s="25">
        <f t="shared" si="27"/>
        <v>-1.7841930903928049E-2</v>
      </c>
    </row>
    <row r="890" spans="1:15">
      <c r="A890" s="94">
        <v>416.42504115844139</v>
      </c>
      <c r="B890" s="94">
        <v>418.56134734233643</v>
      </c>
      <c r="C890" s="94">
        <v>415.90304779224078</v>
      </c>
      <c r="D890" s="94">
        <v>417.90402236267641</v>
      </c>
      <c r="E890" s="95">
        <v>4970803.5159259764</v>
      </c>
      <c r="F890" s="93" t="s">
        <v>918</v>
      </c>
      <c r="G890" s="25">
        <f t="shared" si="26"/>
        <v>-3.5390451517394172E-3</v>
      </c>
      <c r="I890" s="94">
        <v>199.28578253248972</v>
      </c>
      <c r="J890" s="94">
        <v>201.47980673251857</v>
      </c>
      <c r="K890" s="94">
        <v>197.9370750155889</v>
      </c>
      <c r="L890" s="94">
        <v>199.34277017404892</v>
      </c>
      <c r="M890" s="95">
        <v>1452087.4655612828</v>
      </c>
      <c r="N890" s="93" t="s">
        <v>918</v>
      </c>
      <c r="O890" s="25">
        <f t="shared" si="27"/>
        <v>-2.858776443682709E-4</v>
      </c>
    </row>
    <row r="891" spans="1:15">
      <c r="A891" s="94">
        <v>419.53766826800796</v>
      </c>
      <c r="B891" s="94">
        <v>420.75565278914269</v>
      </c>
      <c r="C891" s="94">
        <v>417.94268853795057</v>
      </c>
      <c r="D891" s="94">
        <v>419.44100282982271</v>
      </c>
      <c r="E891" s="95">
        <v>9389127.2520817816</v>
      </c>
      <c r="F891" s="93" t="s">
        <v>919</v>
      </c>
      <c r="G891" s="25">
        <f t="shared" si="26"/>
        <v>2.3046253831426888E-4</v>
      </c>
      <c r="I891" s="94">
        <v>199.24779077145027</v>
      </c>
      <c r="J891" s="94">
        <v>202.42960075850507</v>
      </c>
      <c r="K891" s="94">
        <v>198.79188963897676</v>
      </c>
      <c r="L891" s="94">
        <v>199.92689350003064</v>
      </c>
      <c r="M891" s="95">
        <v>1342964.8588020443</v>
      </c>
      <c r="N891" s="93" t="s">
        <v>919</v>
      </c>
      <c r="O891" s="25">
        <f t="shared" si="27"/>
        <v>-3.3967552673460633E-3</v>
      </c>
    </row>
    <row r="892" spans="1:15">
      <c r="A892" s="94">
        <v>422.23463399337777</v>
      </c>
      <c r="B892" s="94">
        <v>423.72328174143132</v>
      </c>
      <c r="C892" s="94">
        <v>420.43665684313123</v>
      </c>
      <c r="D892" s="94">
        <v>423.26895418196045</v>
      </c>
      <c r="E892" s="95">
        <v>4527869.6110702865</v>
      </c>
      <c r="F892" s="93" t="s">
        <v>920</v>
      </c>
      <c r="G892" s="25">
        <f t="shared" ref="G892:G939" si="28">A892/D892-1</f>
        <v>-2.4436476579806632E-3</v>
      </c>
      <c r="I892" s="94">
        <v>200.04561775327895</v>
      </c>
      <c r="J892" s="94">
        <v>200.7674612130287</v>
      </c>
      <c r="K892" s="94">
        <v>199.47574133768705</v>
      </c>
      <c r="L892" s="94">
        <v>200.10260539483815</v>
      </c>
      <c r="M892" s="95">
        <v>662064.598002568</v>
      </c>
      <c r="N892" s="93" t="s">
        <v>920</v>
      </c>
      <c r="O892" s="25">
        <f t="shared" ref="O892:O939" si="29">I892/L892-1</f>
        <v>-2.8479210176579617E-4</v>
      </c>
    </row>
    <row r="893" spans="1:15">
      <c r="A893" s="94">
        <v>423.36561962014576</v>
      </c>
      <c r="B893" s="94">
        <v>424.20660893235777</v>
      </c>
      <c r="C893" s="94">
        <v>423.0659567617713</v>
      </c>
      <c r="D893" s="94">
        <v>423.63628284706454</v>
      </c>
      <c r="E893" s="95">
        <v>4865911.8380900593</v>
      </c>
      <c r="F893" s="93" t="s">
        <v>921</v>
      </c>
      <c r="G893" s="25">
        <f t="shared" si="28"/>
        <v>-6.3890473474026432E-4</v>
      </c>
      <c r="I893" s="94">
        <v>200.33055596107488</v>
      </c>
      <c r="J893" s="94">
        <v>200.89568340653685</v>
      </c>
      <c r="K893" s="94">
        <v>198.84887728053596</v>
      </c>
      <c r="L893" s="94">
        <v>198.84887728053596</v>
      </c>
      <c r="M893" s="95">
        <v>831560.29453823599</v>
      </c>
      <c r="N893" s="93" t="s">
        <v>921</v>
      </c>
      <c r="O893" s="25">
        <f t="shared" si="29"/>
        <v>7.4512800917079236E-3</v>
      </c>
    </row>
    <row r="894" spans="1:15">
      <c r="A894" s="94">
        <v>423.29795381341597</v>
      </c>
      <c r="B894" s="94">
        <v>423.41395233923834</v>
      </c>
      <c r="C894" s="94">
        <v>421.86730532827363</v>
      </c>
      <c r="D894" s="94">
        <v>422.32646615965376</v>
      </c>
      <c r="E894" s="95">
        <v>4418341.3225861983</v>
      </c>
      <c r="F894" s="93" t="s">
        <v>922</v>
      </c>
      <c r="G894" s="25">
        <f t="shared" si="28"/>
        <v>2.3003238764462974E-3</v>
      </c>
      <c r="I894" s="94">
        <v>199.35226811430877</v>
      </c>
      <c r="J894" s="94">
        <v>199.60396353119521</v>
      </c>
      <c r="K894" s="94">
        <v>198.62092671429917</v>
      </c>
      <c r="L894" s="94">
        <v>198.81088551949648</v>
      </c>
      <c r="M894" s="95">
        <v>526173.02944280428</v>
      </c>
      <c r="N894" s="93" t="s">
        <v>922</v>
      </c>
      <c r="O894" s="25">
        <f t="shared" si="29"/>
        <v>2.7231033823809092E-3</v>
      </c>
    </row>
    <row r="895" spans="1:15">
      <c r="A895" s="94">
        <v>422.52463030793365</v>
      </c>
      <c r="B895" s="94">
        <v>423.31728690105308</v>
      </c>
      <c r="C895" s="94">
        <v>421.05531564751709</v>
      </c>
      <c r="D895" s="94">
        <v>421.13806126260374</v>
      </c>
      <c r="E895" s="95">
        <v>3968157.6704252027</v>
      </c>
      <c r="F895" s="93" t="s">
        <v>923</v>
      </c>
      <c r="G895" s="25">
        <f t="shared" si="28"/>
        <v>3.2924334627291163E-3</v>
      </c>
      <c r="I895" s="94">
        <v>199.19080312989107</v>
      </c>
      <c r="J895" s="94">
        <v>199.36176605456865</v>
      </c>
      <c r="K895" s="94">
        <v>197.13924803376023</v>
      </c>
      <c r="L895" s="94">
        <v>197.45268006233576</v>
      </c>
      <c r="M895" s="95">
        <v>591634.59089600609</v>
      </c>
      <c r="N895" s="93" t="s">
        <v>923</v>
      </c>
      <c r="O895" s="25">
        <f t="shared" si="29"/>
        <v>8.8027322141517317E-3</v>
      </c>
    </row>
    <row r="896" spans="1:15">
      <c r="A896" s="94">
        <v>420.77498587677979</v>
      </c>
      <c r="B896" s="94">
        <v>422.27136685988819</v>
      </c>
      <c r="C896" s="94">
        <v>419.02534144562588</v>
      </c>
      <c r="D896" s="94">
        <v>420.93931712169473</v>
      </c>
      <c r="E896" s="95">
        <v>4177117.5673563099</v>
      </c>
      <c r="F896" s="93" t="s">
        <v>924</v>
      </c>
      <c r="G896" s="25">
        <f t="shared" si="28"/>
        <v>-3.9039176962274436E-4</v>
      </c>
      <c r="I896" s="94">
        <v>198.02255647792768</v>
      </c>
      <c r="J896" s="94">
        <v>199.15281136885162</v>
      </c>
      <c r="K896" s="94">
        <v>197.41468830129631</v>
      </c>
      <c r="L896" s="94">
        <v>198.08904205974673</v>
      </c>
      <c r="M896" s="95">
        <v>781086.19311376475</v>
      </c>
      <c r="N896" s="93" t="s">
        <v>924</v>
      </c>
      <c r="O896" s="25">
        <f t="shared" si="29"/>
        <v>-3.3563482930565325E-4</v>
      </c>
    </row>
    <row r="897" spans="1:15">
      <c r="A897" s="94">
        <v>419.79866495110821</v>
      </c>
      <c r="B897" s="94">
        <v>420.1466605285753</v>
      </c>
      <c r="C897" s="94">
        <v>416.48806702413822</v>
      </c>
      <c r="D897" s="94">
        <v>418.68701241197732</v>
      </c>
      <c r="E897" s="95">
        <v>4781032.4835448274</v>
      </c>
      <c r="F897" s="93" t="s">
        <v>925</v>
      </c>
      <c r="G897" s="25">
        <f t="shared" si="28"/>
        <v>2.6550920047099247E-3</v>
      </c>
      <c r="I897" s="94">
        <v>197.12025215324047</v>
      </c>
      <c r="J897" s="94">
        <v>198.8013875792366</v>
      </c>
      <c r="K897" s="94">
        <v>196.03748696361586</v>
      </c>
      <c r="L897" s="94">
        <v>197.34820271947726</v>
      </c>
      <c r="M897" s="95">
        <v>854353.65752818959</v>
      </c>
      <c r="N897" s="93" t="s">
        <v>925</v>
      </c>
      <c r="O897" s="25">
        <f t="shared" si="29"/>
        <v>-1.1550678602368913E-3</v>
      </c>
    </row>
    <row r="898" spans="1:15">
      <c r="A898" s="94">
        <v>415.74838309114426</v>
      </c>
      <c r="B898" s="94">
        <v>422.72279445621348</v>
      </c>
      <c r="C898" s="94">
        <v>415.56471875859222</v>
      </c>
      <c r="D898" s="94">
        <v>420.98764984078741</v>
      </c>
      <c r="E898" s="95">
        <v>5982731.8931862405</v>
      </c>
      <c r="F898" s="93" t="s">
        <v>926</v>
      </c>
      <c r="G898" s="25">
        <f t="shared" si="28"/>
        <v>-1.2445179215173074E-2</v>
      </c>
      <c r="I898" s="94">
        <v>196.20844988829344</v>
      </c>
      <c r="J898" s="94">
        <v>201.34683556888046</v>
      </c>
      <c r="K898" s="94">
        <v>196.16096018699412</v>
      </c>
      <c r="L898" s="94">
        <v>199.4282516363877</v>
      </c>
      <c r="M898" s="95">
        <v>969146.96746373607</v>
      </c>
      <c r="N898" s="93" t="s">
        <v>926</v>
      </c>
      <c r="O898" s="25">
        <f t="shared" si="29"/>
        <v>-1.6145163594799228E-2</v>
      </c>
    </row>
    <row r="899" spans="1:15">
      <c r="A899" s="94">
        <v>421.83724239487532</v>
      </c>
      <c r="B899" s="94">
        <v>421.86612282864115</v>
      </c>
      <c r="C899" s="94">
        <v>419.68083667369382</v>
      </c>
      <c r="D899" s="94">
        <v>419.76747797499132</v>
      </c>
      <c r="E899" s="95">
        <v>4218954.6385618532</v>
      </c>
      <c r="F899" s="93" t="s">
        <v>927</v>
      </c>
      <c r="G899" s="25">
        <f t="shared" si="28"/>
        <v>4.9307402990550475E-3</v>
      </c>
      <c r="I899" s="94">
        <v>199.57072074028568</v>
      </c>
      <c r="J899" s="94">
        <v>200.53941566738933</v>
      </c>
      <c r="K899" s="94">
        <v>198.82988140001621</v>
      </c>
      <c r="L899" s="94">
        <v>199.26678665197002</v>
      </c>
      <c r="M899" s="95">
        <v>1850905.5141445657</v>
      </c>
      <c r="N899" s="93" t="s">
        <v>927</v>
      </c>
      <c r="O899" s="25">
        <f t="shared" si="29"/>
        <v>1.525262154432605E-3</v>
      </c>
    </row>
    <row r="900" spans="1:15">
      <c r="A900" s="94">
        <v>419.28613741222756</v>
      </c>
      <c r="B900" s="94">
        <v>420.11404318018117</v>
      </c>
      <c r="C900" s="94">
        <v>418.23681498540265</v>
      </c>
      <c r="D900" s="94">
        <v>418.41972439925286</v>
      </c>
      <c r="E900" s="95">
        <v>4446410.0172886644</v>
      </c>
      <c r="F900" s="93" t="s">
        <v>928</v>
      </c>
      <c r="G900" s="25">
        <f t="shared" si="28"/>
        <v>2.0706791827720394E-3</v>
      </c>
      <c r="I900" s="94">
        <v>199.26678665197002</v>
      </c>
      <c r="J900" s="94">
        <v>200.05036672340887</v>
      </c>
      <c r="K900" s="94">
        <v>197.72812032987187</v>
      </c>
      <c r="L900" s="94">
        <v>197.81360179221065</v>
      </c>
      <c r="M900" s="95">
        <v>2067696.7282039856</v>
      </c>
      <c r="N900" s="93" t="s">
        <v>928</v>
      </c>
      <c r="O900" s="25">
        <f t="shared" si="29"/>
        <v>7.3462332549094622E-3</v>
      </c>
    </row>
    <row r="901" spans="1:15">
      <c r="A901" s="94">
        <v>416.92756865468527</v>
      </c>
      <c r="B901" s="94">
        <v>418.04427876029712</v>
      </c>
      <c r="C901" s="94">
        <v>416.10928969798698</v>
      </c>
      <c r="D901" s="94">
        <v>417.02383676723804</v>
      </c>
      <c r="E901" s="95">
        <v>5532507.9704682622</v>
      </c>
      <c r="F901" s="93" t="s">
        <v>929</v>
      </c>
      <c r="G901" s="25">
        <f t="shared" si="28"/>
        <v>-2.3084558738661887E-4</v>
      </c>
      <c r="I901" s="94">
        <v>197.9085811948093</v>
      </c>
      <c r="J901" s="94">
        <v>198.10803794026646</v>
      </c>
      <c r="K901" s="94">
        <v>196.13246636621452</v>
      </c>
      <c r="L901" s="94">
        <v>196.13246636621452</v>
      </c>
      <c r="M901" s="95">
        <v>3468644.6849127566</v>
      </c>
      <c r="N901" s="93" t="s">
        <v>929</v>
      </c>
      <c r="O901" s="25">
        <f t="shared" si="29"/>
        <v>9.0556900726392886E-3</v>
      </c>
    </row>
    <row r="902" spans="1:15">
      <c r="A902" s="94">
        <v>417.56293819753341</v>
      </c>
      <c r="B902" s="94">
        <v>419.11689807035981</v>
      </c>
      <c r="C902" s="94">
        <v>415.14660857245951</v>
      </c>
      <c r="D902" s="94">
        <v>418.01539832653134</v>
      </c>
      <c r="E902" s="95">
        <v>8672802.217271572</v>
      </c>
      <c r="F902" s="93" t="s">
        <v>930</v>
      </c>
      <c r="G902" s="25">
        <f t="shared" si="28"/>
        <v>-1.082400626410629E-3</v>
      </c>
      <c r="I902" s="94">
        <v>196.22744576881317</v>
      </c>
      <c r="J902" s="94">
        <v>198.50695143118079</v>
      </c>
      <c r="K902" s="94">
        <v>195.12568469866881</v>
      </c>
      <c r="L902" s="94">
        <v>197.02527275064185</v>
      </c>
      <c r="M902" s="95">
        <v>2613876.2006018963</v>
      </c>
      <c r="N902" s="93" t="s">
        <v>930</v>
      </c>
      <c r="O902" s="25">
        <f t="shared" si="29"/>
        <v>-4.0493636714230563E-3</v>
      </c>
    </row>
    <row r="903" spans="1:15">
      <c r="A903" s="94">
        <v>416.34033316811355</v>
      </c>
      <c r="B903" s="94">
        <v>416.46548171443214</v>
      </c>
      <c r="C903" s="94">
        <v>410.59312684871463</v>
      </c>
      <c r="D903" s="94">
        <v>410.9493188651598</v>
      </c>
      <c r="E903" s="95">
        <v>8994791.4946973287</v>
      </c>
      <c r="F903" s="93" t="s">
        <v>931</v>
      </c>
      <c r="G903" s="25">
        <f t="shared" si="28"/>
        <v>1.3118440779610108E-2</v>
      </c>
      <c r="I903" s="94">
        <v>197.63314092727322</v>
      </c>
      <c r="J903" s="94">
        <v>197.97506677662835</v>
      </c>
      <c r="K903" s="94">
        <v>190.4242042700356</v>
      </c>
      <c r="L903" s="94">
        <v>190.90859922328872</v>
      </c>
      <c r="M903" s="95">
        <v>3143541.5661820592</v>
      </c>
      <c r="N903" s="93" t="s">
        <v>931</v>
      </c>
      <c r="O903" s="25">
        <f t="shared" si="29"/>
        <v>3.5223880597014867E-2</v>
      </c>
    </row>
    <row r="904" spans="1:15">
      <c r="A904" s="94">
        <v>410.74715582879907</v>
      </c>
      <c r="B904" s="94">
        <v>410.74715582879907</v>
      </c>
      <c r="C904" s="94">
        <v>407.47779445839529</v>
      </c>
      <c r="D904" s="94">
        <v>408.38858707125678</v>
      </c>
      <c r="E904" s="95">
        <v>6214474.1819074797</v>
      </c>
      <c r="F904" s="93" t="s">
        <v>932</v>
      </c>
      <c r="G904" s="25">
        <f t="shared" si="28"/>
        <v>5.7753052661355664E-3</v>
      </c>
      <c r="I904" s="94">
        <v>190.25324134535802</v>
      </c>
      <c r="J904" s="94">
        <v>190.64265689601248</v>
      </c>
      <c r="K904" s="94">
        <v>188.26826681044881</v>
      </c>
      <c r="L904" s="94">
        <v>190.64265689601248</v>
      </c>
      <c r="M904" s="95">
        <v>1826178.0476019054</v>
      </c>
      <c r="N904" s="93" t="s">
        <v>932</v>
      </c>
      <c r="O904" s="25">
        <f t="shared" si="29"/>
        <v>-2.0426464726982507E-3</v>
      </c>
    </row>
    <row r="905" spans="1:15">
      <c r="A905" s="94">
        <v>408.71589865393611</v>
      </c>
      <c r="B905" s="94">
        <v>408.86030082276523</v>
      </c>
      <c r="C905" s="94">
        <v>406.4632248202019</v>
      </c>
      <c r="D905" s="94">
        <v>406.64613423405211</v>
      </c>
      <c r="E905" s="95">
        <v>5450492.2355521545</v>
      </c>
      <c r="F905" s="93" t="s">
        <v>933</v>
      </c>
      <c r="G905" s="25">
        <f t="shared" si="28"/>
        <v>5.0898416230675814E-3</v>
      </c>
      <c r="I905" s="94">
        <v>190.97508480510774</v>
      </c>
      <c r="J905" s="94">
        <v>192.80818727526173</v>
      </c>
      <c r="K905" s="94">
        <v>186.55854258427047</v>
      </c>
      <c r="L905" s="94">
        <v>186.55854258427047</v>
      </c>
      <c r="M905" s="95">
        <v>2323100.5245671407</v>
      </c>
      <c r="N905" s="93" t="s">
        <v>933</v>
      </c>
      <c r="O905" s="25">
        <f t="shared" si="29"/>
        <v>2.3673760309540715E-2</v>
      </c>
    </row>
    <row r="906" spans="1:15">
      <c r="A906" s="94">
        <v>407.13710160807108</v>
      </c>
      <c r="B906" s="94">
        <v>407.57030811455843</v>
      </c>
      <c r="C906" s="94">
        <v>404.47047489035998</v>
      </c>
      <c r="D906" s="94">
        <v>404.68226473797608</v>
      </c>
      <c r="E906" s="95">
        <v>5323962.2800248126</v>
      </c>
      <c r="F906" s="93" t="s">
        <v>934</v>
      </c>
      <c r="G906" s="25">
        <f t="shared" si="28"/>
        <v>6.0660846397220247E-3</v>
      </c>
      <c r="I906" s="94">
        <v>185.97916822841873</v>
      </c>
      <c r="J906" s="94">
        <v>187.2898839842801</v>
      </c>
      <c r="K906" s="94">
        <v>183.63317698423202</v>
      </c>
      <c r="L906" s="94">
        <v>187.11892105960251</v>
      </c>
      <c r="M906" s="95">
        <v>1340943.3678814147</v>
      </c>
      <c r="N906" s="93" t="s">
        <v>934</v>
      </c>
      <c r="O906" s="25">
        <f t="shared" si="29"/>
        <v>-6.0910613674430847E-3</v>
      </c>
    </row>
    <row r="907" spans="1:15">
      <c r="A907" s="94">
        <v>405.41390239337693</v>
      </c>
      <c r="B907" s="94">
        <v>405.93375020116179</v>
      </c>
      <c r="C907" s="94">
        <v>403.63294231115111</v>
      </c>
      <c r="D907" s="94">
        <v>404.14316330768071</v>
      </c>
      <c r="E907" s="95">
        <v>3374171.2742319303</v>
      </c>
      <c r="F907" s="93" t="s">
        <v>935</v>
      </c>
      <c r="G907" s="25">
        <f t="shared" si="28"/>
        <v>3.1442795550367109E-3</v>
      </c>
      <c r="I907" s="94">
        <v>186.80548903102698</v>
      </c>
      <c r="J907" s="94">
        <v>190.23424546483827</v>
      </c>
      <c r="K907" s="94">
        <v>186.52055082323102</v>
      </c>
      <c r="L907" s="94">
        <v>189.88282167522325</v>
      </c>
      <c r="M907" s="95">
        <v>957767.6581563584</v>
      </c>
      <c r="N907" s="93" t="s">
        <v>935</v>
      </c>
      <c r="O907" s="25">
        <f t="shared" si="29"/>
        <v>-1.6206482593037141E-2</v>
      </c>
    </row>
    <row r="908" spans="1:15">
      <c r="A908" s="94">
        <v>402.26593511290218</v>
      </c>
      <c r="B908" s="94">
        <v>405.93375020116179</v>
      </c>
      <c r="C908" s="94">
        <v>401.88086266269113</v>
      </c>
      <c r="D908" s="94">
        <v>405.87598933363012</v>
      </c>
      <c r="E908" s="95">
        <v>4364686.1754953656</v>
      </c>
      <c r="F908" s="93" t="s">
        <v>936</v>
      </c>
      <c r="G908" s="25">
        <f t="shared" si="28"/>
        <v>-8.8944759374777194E-3</v>
      </c>
      <c r="I908" s="94">
        <v>188.96152147001635</v>
      </c>
      <c r="J908" s="94">
        <v>190.04903562977091</v>
      </c>
      <c r="K908" s="94">
        <v>187.94524186221079</v>
      </c>
      <c r="L908" s="94">
        <v>188.53411415832244</v>
      </c>
      <c r="M908" s="95">
        <v>1042829.2586608317</v>
      </c>
      <c r="N908" s="93" t="s">
        <v>936</v>
      </c>
      <c r="O908" s="25">
        <f t="shared" si="29"/>
        <v>2.2670025188915588E-3</v>
      </c>
    </row>
    <row r="909" spans="1:15">
      <c r="A909" s="94">
        <v>403.95062708257524</v>
      </c>
      <c r="B909" s="94">
        <v>404.77853285052885</v>
      </c>
      <c r="C909" s="94">
        <v>402.40071047047599</v>
      </c>
      <c r="D909" s="94">
        <v>402.72802205315531</v>
      </c>
      <c r="E909" s="95">
        <v>3551833.4257634575</v>
      </c>
      <c r="F909" s="93" t="s">
        <v>937</v>
      </c>
      <c r="G909" s="25">
        <f t="shared" si="28"/>
        <v>3.0358081942918336E-3</v>
      </c>
      <c r="I909" s="94">
        <v>188.06871508558902</v>
      </c>
      <c r="J909" s="94">
        <v>189.59788346742732</v>
      </c>
      <c r="K909" s="94">
        <v>187.87875628039174</v>
      </c>
      <c r="L909" s="94">
        <v>189.00901117131568</v>
      </c>
      <c r="M909" s="95">
        <v>1426240.8089932948</v>
      </c>
      <c r="N909" s="93" t="s">
        <v>937</v>
      </c>
      <c r="O909" s="25">
        <f t="shared" si="29"/>
        <v>-4.9748743718593946E-3</v>
      </c>
    </row>
    <row r="910" spans="1:15">
      <c r="A910" s="94">
        <v>404.07577562889378</v>
      </c>
      <c r="B910" s="94">
        <v>404.20092417521232</v>
      </c>
      <c r="C910" s="94">
        <v>401.91936990771228</v>
      </c>
      <c r="D910" s="94">
        <v>403.02645320206881</v>
      </c>
      <c r="E910" s="95">
        <v>6031154.9131274801</v>
      </c>
      <c r="F910" s="93" t="s">
        <v>938</v>
      </c>
      <c r="G910" s="25">
        <f t="shared" si="28"/>
        <v>2.603606831482308E-3</v>
      </c>
      <c r="I910" s="94">
        <v>189.27495349859191</v>
      </c>
      <c r="J910" s="94">
        <v>189.42692054274974</v>
      </c>
      <c r="K910" s="94">
        <v>183.26275731409729</v>
      </c>
      <c r="L910" s="94">
        <v>184.17455957904434</v>
      </c>
      <c r="M910" s="95">
        <v>1962240.1794580973</v>
      </c>
      <c r="N910" s="93" t="s">
        <v>938</v>
      </c>
      <c r="O910" s="25">
        <f t="shared" si="29"/>
        <v>2.7693259759682398E-2</v>
      </c>
    </row>
    <row r="911" spans="1:15">
      <c r="A911" s="94">
        <v>406.116659615012</v>
      </c>
      <c r="B911" s="94">
        <v>406.60762698903096</v>
      </c>
      <c r="C911" s="94">
        <v>402.64138075185787</v>
      </c>
      <c r="D911" s="94">
        <v>403.19973580466376</v>
      </c>
      <c r="E911" s="95">
        <v>5166430.3663115269</v>
      </c>
      <c r="F911" s="93" t="s">
        <v>939</v>
      </c>
      <c r="G911" s="25">
        <f t="shared" si="28"/>
        <v>7.2344387937828269E-3</v>
      </c>
      <c r="I911" s="94">
        <v>184.91539891931382</v>
      </c>
      <c r="J911" s="94">
        <v>185.1433494855506</v>
      </c>
      <c r="K911" s="94">
        <v>180.62232992185477</v>
      </c>
      <c r="L911" s="94">
        <v>181.28718574004535</v>
      </c>
      <c r="M911" s="95">
        <v>1168717.6057430422</v>
      </c>
      <c r="N911" s="93" t="s">
        <v>939</v>
      </c>
      <c r="O911" s="25">
        <f t="shared" si="29"/>
        <v>2.0013621836852291E-2</v>
      </c>
    </row>
    <row r="912" spans="1:15">
      <c r="A912" s="94">
        <v>403.74846404621439</v>
      </c>
      <c r="B912" s="94">
        <v>404.03726838387269</v>
      </c>
      <c r="C912" s="94">
        <v>401.02407646097174</v>
      </c>
      <c r="D912" s="94">
        <v>402.92055827826084</v>
      </c>
      <c r="E912" s="95">
        <v>4576479.0470843762</v>
      </c>
      <c r="F912" s="93" t="s">
        <v>940</v>
      </c>
      <c r="G912" s="25">
        <f t="shared" si="28"/>
        <v>2.0547617909876248E-3</v>
      </c>
      <c r="I912" s="94">
        <v>181.23019809848617</v>
      </c>
      <c r="J912" s="94">
        <v>181.3251775010848</v>
      </c>
      <c r="K912" s="94">
        <v>179.46358121015123</v>
      </c>
      <c r="L912" s="94">
        <v>180.08094732704248</v>
      </c>
      <c r="M912" s="95">
        <v>1435492.2885347391</v>
      </c>
      <c r="N912" s="93" t="s">
        <v>940</v>
      </c>
      <c r="O912" s="25">
        <f t="shared" si="29"/>
        <v>6.3818565400843852E-3</v>
      </c>
    </row>
    <row r="913" spans="1:15">
      <c r="A913" s="94">
        <v>402.18892062285994</v>
      </c>
      <c r="B913" s="94">
        <v>405.40427558212167</v>
      </c>
      <c r="C913" s="94">
        <v>401.78940795576608</v>
      </c>
      <c r="D913" s="94">
        <v>404.38325598038722</v>
      </c>
      <c r="E913" s="95">
        <v>4251270.6351832207</v>
      </c>
      <c r="F913" s="93" t="s">
        <v>941</v>
      </c>
      <c r="G913" s="25">
        <f t="shared" si="28"/>
        <v>-5.4263754126202546E-3</v>
      </c>
      <c r="I913" s="94">
        <v>179.18814094261515</v>
      </c>
      <c r="J913" s="94">
        <v>180.24716128159014</v>
      </c>
      <c r="K913" s="94">
        <v>178.61826452702326</v>
      </c>
      <c r="L913" s="94">
        <v>179.58705443352952</v>
      </c>
      <c r="M913" s="95">
        <v>696834.24183739768</v>
      </c>
      <c r="N913" s="93" t="s">
        <v>941</v>
      </c>
      <c r="O913" s="25">
        <f t="shared" si="29"/>
        <v>-2.2212819970385267E-3</v>
      </c>
    </row>
    <row r="914" spans="1:15">
      <c r="A914" s="94">
        <v>402.4488445267524</v>
      </c>
      <c r="B914" s="94">
        <v>403.60406187738533</v>
      </c>
      <c r="C914" s="94">
        <v>401.15885181854554</v>
      </c>
      <c r="D914" s="94">
        <v>401.6786996263304</v>
      </c>
      <c r="E914" s="95">
        <v>3513564.2637085612</v>
      </c>
      <c r="F914" s="93" t="s">
        <v>942</v>
      </c>
      <c r="G914" s="25">
        <f t="shared" si="28"/>
        <v>1.9173157579390754E-3</v>
      </c>
      <c r="I914" s="94">
        <v>179.60605031404921</v>
      </c>
      <c r="J914" s="94">
        <v>180.21391849068061</v>
      </c>
      <c r="K914" s="94">
        <v>178.25496831208343</v>
      </c>
      <c r="L914" s="94">
        <v>179.52056885171044</v>
      </c>
      <c r="M914" s="95">
        <v>764976.38448014285</v>
      </c>
      <c r="N914" s="93" t="s">
        <v>942</v>
      </c>
      <c r="O914" s="25">
        <f t="shared" si="29"/>
        <v>4.7616528226024357E-4</v>
      </c>
    </row>
    <row r="915" spans="1:15">
      <c r="A915" s="94">
        <v>402.05414526528608</v>
      </c>
      <c r="B915" s="94">
        <v>402.90833222796664</v>
      </c>
      <c r="C915" s="94">
        <v>401.65944600381988</v>
      </c>
      <c r="D915" s="94">
        <v>402.19854743411526</v>
      </c>
      <c r="E915" s="95">
        <v>3773369.9183202735</v>
      </c>
      <c r="F915" s="93" t="s">
        <v>943</v>
      </c>
      <c r="G915" s="25">
        <f t="shared" si="28"/>
        <v>-3.5903204959442103E-4</v>
      </c>
      <c r="I915" s="94">
        <v>178.48529336338513</v>
      </c>
      <c r="J915" s="94">
        <v>181.2776877997855</v>
      </c>
      <c r="K915" s="94">
        <v>177.96366648431336</v>
      </c>
      <c r="L915" s="94">
        <v>181.2776877997855</v>
      </c>
      <c r="M915" s="95">
        <v>711895.40205594304</v>
      </c>
      <c r="N915" s="93" t="s">
        <v>943</v>
      </c>
      <c r="O915" s="25">
        <f t="shared" si="29"/>
        <v>-1.5403961018547796E-2</v>
      </c>
    </row>
    <row r="916" spans="1:15">
      <c r="A916" s="94">
        <v>402.75690248692115</v>
      </c>
      <c r="B916" s="94">
        <v>402.87242422198449</v>
      </c>
      <c r="C916" s="94">
        <v>402.24668149039161</v>
      </c>
      <c r="D916" s="94">
        <v>402.5836198843262</v>
      </c>
      <c r="E916" s="95">
        <v>1403654.8179540094</v>
      </c>
      <c r="F916" s="93" t="s">
        <v>944</v>
      </c>
      <c r="G916" s="25">
        <f t="shared" si="28"/>
        <v>4.304263612233683E-4</v>
      </c>
      <c r="I916" s="94">
        <v>181.42015690368345</v>
      </c>
      <c r="J916" s="94">
        <v>181.42015690368345</v>
      </c>
      <c r="K916" s="94">
        <v>178.60876658676341</v>
      </c>
      <c r="L916" s="94">
        <v>178.95069243611852</v>
      </c>
      <c r="M916" s="95">
        <v>507817.47073954536</v>
      </c>
      <c r="N916" s="93" t="s">
        <v>944</v>
      </c>
      <c r="O916" s="25">
        <f t="shared" si="29"/>
        <v>1.3799692160713306E-2</v>
      </c>
    </row>
    <row r="917" spans="1:15">
      <c r="A917" s="94">
        <v>402.53548582804984</v>
      </c>
      <c r="B917" s="94">
        <v>403.66182274491695</v>
      </c>
      <c r="C917" s="94">
        <v>401.49579021248019</v>
      </c>
      <c r="D917" s="94">
        <v>402.46809814926291</v>
      </c>
      <c r="E917" s="95">
        <v>3837266.4655453968</v>
      </c>
      <c r="F917" s="93" t="s">
        <v>945</v>
      </c>
      <c r="G917" s="25">
        <f t="shared" si="28"/>
        <v>1.6743607529834392E-4</v>
      </c>
      <c r="I917" s="94">
        <v>178.39981190104638</v>
      </c>
      <c r="J917" s="94">
        <v>178.75123569066136</v>
      </c>
      <c r="K917" s="94">
        <v>176.64269295297129</v>
      </c>
      <c r="L917" s="94">
        <v>177.69696432181635</v>
      </c>
      <c r="M917" s="95">
        <v>839127.19831248862</v>
      </c>
      <c r="N917" s="93" t="s">
        <v>945</v>
      </c>
      <c r="O917" s="25">
        <f t="shared" si="29"/>
        <v>3.9553156234968245E-3</v>
      </c>
    </row>
    <row r="918" spans="1:15">
      <c r="A918" s="94">
        <v>400.80265980210038</v>
      </c>
      <c r="B918" s="94">
        <v>401.28400036486414</v>
      </c>
      <c r="C918" s="94">
        <v>399.80147143155187</v>
      </c>
      <c r="D918" s="94">
        <v>400.86042066963205</v>
      </c>
      <c r="E918" s="95">
        <v>5451635.9164354755</v>
      </c>
      <c r="F918" s="93" t="s">
        <v>946</v>
      </c>
      <c r="G918" s="25">
        <f t="shared" si="28"/>
        <v>-1.4409221902023095E-4</v>
      </c>
      <c r="I918" s="94">
        <v>179.09316154001652</v>
      </c>
      <c r="J918" s="94">
        <v>179.35910386729273</v>
      </c>
      <c r="K918" s="94">
        <v>176.92763116076728</v>
      </c>
      <c r="L918" s="94">
        <v>177.30754877116186</v>
      </c>
      <c r="M918" s="95">
        <v>836718.25496540498</v>
      </c>
      <c r="N918" s="93" t="s">
        <v>946</v>
      </c>
      <c r="O918" s="25">
        <f t="shared" si="29"/>
        <v>1.0070709235054709E-2</v>
      </c>
    </row>
    <row r="919" spans="1:15">
      <c r="A919" s="94">
        <v>401.85198222892535</v>
      </c>
      <c r="B919" s="94">
        <v>402.59324669558146</v>
      </c>
      <c r="C919" s="94">
        <v>398.53063607774305</v>
      </c>
      <c r="D919" s="94">
        <v>398.54035915711091</v>
      </c>
      <c r="E919" s="95">
        <v>3661037.8104888769</v>
      </c>
      <c r="F919" s="93" t="s">
        <v>947</v>
      </c>
      <c r="G919" s="25">
        <f t="shared" si="28"/>
        <v>8.3093794536099885E-3</v>
      </c>
      <c r="I919" s="94">
        <v>177.11758996596456</v>
      </c>
      <c r="J919" s="94">
        <v>178.03889017117146</v>
      </c>
      <c r="K919" s="94">
        <v>175.08503075035344</v>
      </c>
      <c r="L919" s="94">
        <v>176.83265175816862</v>
      </c>
      <c r="M919" s="95">
        <v>771913.67806140776</v>
      </c>
      <c r="N919" s="93" t="s">
        <v>947</v>
      </c>
      <c r="O919" s="25">
        <f t="shared" si="29"/>
        <v>1.6113438607798791E-3</v>
      </c>
    </row>
    <row r="920" spans="1:15">
      <c r="A920" s="94">
        <v>398.84841711727972</v>
      </c>
      <c r="B920" s="94">
        <v>399.31050405753291</v>
      </c>
      <c r="C920" s="94">
        <v>397.46215629652016</v>
      </c>
      <c r="D920" s="94">
        <v>398.49222510083456</v>
      </c>
      <c r="E920" s="95">
        <v>4882342.5279318597</v>
      </c>
      <c r="F920" s="93" t="s">
        <v>948</v>
      </c>
      <c r="G920" s="25">
        <f t="shared" si="28"/>
        <v>8.9384935014735767E-4</v>
      </c>
      <c r="I920" s="94">
        <v>176.36725268543523</v>
      </c>
      <c r="J920" s="94">
        <v>178.56127688546405</v>
      </c>
      <c r="K920" s="94">
        <v>175.59801450378873</v>
      </c>
      <c r="L920" s="94">
        <v>178.56127688546405</v>
      </c>
      <c r="M920" s="95">
        <v>936679.92813068605</v>
      </c>
      <c r="N920" s="93" t="s">
        <v>948</v>
      </c>
      <c r="O920" s="25">
        <f t="shared" si="29"/>
        <v>-1.2287234042553052E-2</v>
      </c>
    </row>
    <row r="921" spans="1:15">
      <c r="A921" s="94">
        <v>398.26118163070794</v>
      </c>
      <c r="B921" s="94">
        <v>398.50185191208982</v>
      </c>
      <c r="C921" s="94">
        <v>396.38395343592941</v>
      </c>
      <c r="D921" s="94">
        <v>397.33700775020162</v>
      </c>
      <c r="E921" s="95">
        <v>3946155.0655400902</v>
      </c>
      <c r="F921" s="93" t="s">
        <v>949</v>
      </c>
      <c r="G921" s="25">
        <f t="shared" si="28"/>
        <v>2.3259194650384618E-3</v>
      </c>
      <c r="I921" s="94">
        <v>176.90863528024752</v>
      </c>
      <c r="J921" s="94">
        <v>178.68475010884231</v>
      </c>
      <c r="K921" s="94">
        <v>176.44323620751416</v>
      </c>
      <c r="L921" s="94">
        <v>177.53549933739862</v>
      </c>
      <c r="M921" s="95">
        <v>1507469.9996274079</v>
      </c>
      <c r="N921" s="93" t="s">
        <v>949</v>
      </c>
      <c r="O921" s="25">
        <f t="shared" si="29"/>
        <v>-3.5309223197089734E-3</v>
      </c>
    </row>
    <row r="922" spans="1:15">
      <c r="A922" s="94">
        <v>397.70282657790204</v>
      </c>
      <c r="B922" s="94">
        <v>399.24311637874598</v>
      </c>
      <c r="C922" s="94">
        <v>396.98081573375646</v>
      </c>
      <c r="D922" s="94">
        <v>398.10715265062356</v>
      </c>
      <c r="E922" s="95">
        <v>4585949.4727094807</v>
      </c>
      <c r="F922" s="93" t="s">
        <v>950</v>
      </c>
      <c r="G922" s="25">
        <f t="shared" si="28"/>
        <v>-1.0156212216472227E-3</v>
      </c>
      <c r="I922" s="94">
        <v>176.94662704534451</v>
      </c>
      <c r="J922" s="94">
        <v>178.19273005270608</v>
      </c>
      <c r="K922" s="94">
        <v>176.20746139779595</v>
      </c>
      <c r="L922" s="94">
        <v>177.06934931122103</v>
      </c>
      <c r="M922" s="95">
        <v>1320458.6701736024</v>
      </c>
      <c r="N922" s="93" t="s">
        <v>950</v>
      </c>
      <c r="O922" s="25">
        <f t="shared" si="29"/>
        <v>-6.9307458548806267E-4</v>
      </c>
    </row>
    <row r="923" spans="1:15">
      <c r="A923" s="94">
        <v>396.83641356492734</v>
      </c>
      <c r="B923" s="94">
        <v>398.07827221685773</v>
      </c>
      <c r="C923" s="94">
        <v>394.58913074549605</v>
      </c>
      <c r="D923" s="94">
        <v>394.73776871127751</v>
      </c>
      <c r="E923" s="95">
        <v>7243431.7190745994</v>
      </c>
      <c r="F923" s="93" t="s">
        <v>951</v>
      </c>
      <c r="G923" s="25">
        <f t="shared" si="28"/>
        <v>5.3165544824893551E-3</v>
      </c>
      <c r="I923" s="94">
        <v>177.10711000841383</v>
      </c>
      <c r="J923" s="94">
        <v>177.23927244858854</v>
      </c>
      <c r="K923" s="94">
        <v>172.97231366580493</v>
      </c>
      <c r="L923" s="94">
        <v>173.94465161851889</v>
      </c>
      <c r="M923" s="95">
        <v>1352708.0747273136</v>
      </c>
      <c r="N923" s="93" t="s">
        <v>951</v>
      </c>
      <c r="O923" s="25">
        <f t="shared" si="29"/>
        <v>1.8180831433843636E-2</v>
      </c>
    </row>
    <row r="924" spans="1:15">
      <c r="A924" s="94">
        <v>389.35638121957896</v>
      </c>
      <c r="B924" s="94">
        <v>390.35756959012758</v>
      </c>
      <c r="C924" s="94">
        <v>387.78721098496925</v>
      </c>
      <c r="D924" s="94">
        <v>388.52847545162535</v>
      </c>
      <c r="E924" s="95">
        <v>2984312.1713079303</v>
      </c>
      <c r="F924" s="93" t="s">
        <v>952</v>
      </c>
      <c r="G924" s="25">
        <f t="shared" si="28"/>
        <v>2.1308753933446667E-3</v>
      </c>
      <c r="I924" s="94">
        <v>173.55760447229295</v>
      </c>
      <c r="J924" s="94">
        <v>174.8225878282509</v>
      </c>
      <c r="K924" s="94">
        <v>171.82061240142528</v>
      </c>
      <c r="L924" s="94">
        <v>173.07615558308507</v>
      </c>
      <c r="M924" s="95">
        <v>940595.9804893547</v>
      </c>
      <c r="N924" s="93" t="s">
        <v>952</v>
      </c>
      <c r="O924" s="25">
        <f t="shared" si="29"/>
        <v>2.7817170284716308E-3</v>
      </c>
    </row>
    <row r="925" spans="1:15">
      <c r="A925" s="94">
        <v>389.75108048104528</v>
      </c>
      <c r="B925" s="94">
        <v>389.99078808130156</v>
      </c>
      <c r="C925" s="94">
        <v>384.24454444302819</v>
      </c>
      <c r="D925" s="94">
        <v>385.64043207504301</v>
      </c>
      <c r="E925" s="95">
        <v>4149285.6711109201</v>
      </c>
      <c r="F925" s="93" t="s">
        <v>953</v>
      </c>
      <c r="G925" s="25">
        <f t="shared" si="28"/>
        <v>1.065927756559093E-2</v>
      </c>
      <c r="I925" s="94">
        <v>171.97165519019637</v>
      </c>
      <c r="J925" s="94">
        <v>172.35870233642234</v>
      </c>
      <c r="K925" s="94">
        <v>170.04113954621576</v>
      </c>
      <c r="L925" s="94">
        <v>171.26364211783184</v>
      </c>
      <c r="M925" s="95">
        <v>846619.96140570927</v>
      </c>
      <c r="N925" s="93" t="s">
        <v>953</v>
      </c>
      <c r="O925" s="25">
        <f t="shared" si="29"/>
        <v>4.1340535773344289E-3</v>
      </c>
    </row>
    <row r="926" spans="1:15">
      <c r="A926" s="94">
        <v>383.76320388026448</v>
      </c>
      <c r="B926" s="94">
        <v>387.84497185250086</v>
      </c>
      <c r="C926" s="94">
        <v>383.34925099628765</v>
      </c>
      <c r="D926" s="94">
        <v>387.77758417371399</v>
      </c>
      <c r="E926" s="95">
        <v>4306322.0936513226</v>
      </c>
      <c r="F926" s="93" t="s">
        <v>954</v>
      </c>
      <c r="G926" s="25">
        <f t="shared" si="28"/>
        <v>-1.0352275266254596E-2</v>
      </c>
      <c r="I926" s="94">
        <v>170.64059061415105</v>
      </c>
      <c r="J926" s="94">
        <v>172.4059032079133</v>
      </c>
      <c r="K926" s="94">
        <v>169.50776969836781</v>
      </c>
      <c r="L926" s="94">
        <v>172.36814251072053</v>
      </c>
      <c r="M926" s="95">
        <v>1082735.3052110109</v>
      </c>
      <c r="N926" s="93" t="s">
        <v>954</v>
      </c>
      <c r="O926" s="25">
        <f t="shared" si="29"/>
        <v>-1.0022454679883941E-2</v>
      </c>
    </row>
    <row r="927" spans="1:15">
      <c r="A927" s="94">
        <v>386.68012769061266</v>
      </c>
      <c r="B927" s="94">
        <v>387.48165599572678</v>
      </c>
      <c r="C927" s="94">
        <v>384.64887051574976</v>
      </c>
      <c r="D927" s="94">
        <v>386.98818565078147</v>
      </c>
      <c r="E927" s="95">
        <v>3876525.5711804978</v>
      </c>
      <c r="F927" s="93" t="s">
        <v>955</v>
      </c>
      <c r="G927" s="25">
        <f t="shared" si="28"/>
        <v>-7.9603970248021128E-4</v>
      </c>
      <c r="I927" s="94">
        <v>171.32972333791921</v>
      </c>
      <c r="J927" s="94">
        <v>172.83797998554164</v>
      </c>
      <c r="K927" s="94">
        <v>169.88537667029556</v>
      </c>
      <c r="L927" s="94">
        <v>172.12269797896749</v>
      </c>
      <c r="M927" s="95">
        <v>1023456.7387011669</v>
      </c>
      <c r="N927" s="93" t="s">
        <v>955</v>
      </c>
      <c r="O927" s="25">
        <f t="shared" si="29"/>
        <v>-4.6070312071518904E-3</v>
      </c>
    </row>
    <row r="928" spans="1:15">
      <c r="A928" s="94">
        <v>386.3624429191886</v>
      </c>
      <c r="B928" s="94">
        <v>387.03631970705783</v>
      </c>
      <c r="C928" s="94">
        <v>384.33118574432569</v>
      </c>
      <c r="D928" s="94">
        <v>385.32274730361894</v>
      </c>
      <c r="E928" s="95">
        <v>3488775.1623465451</v>
      </c>
      <c r="F928" s="93" t="s">
        <v>956</v>
      </c>
      <c r="G928" s="25">
        <f t="shared" si="28"/>
        <v>2.6982461400089086E-3</v>
      </c>
      <c r="I928" s="94">
        <v>172.65134773966633</v>
      </c>
      <c r="J928" s="94">
        <v>173.34048046343449</v>
      </c>
      <c r="K928" s="94">
        <v>170.94739627884238</v>
      </c>
      <c r="L928" s="94">
        <v>171.22588142063907</v>
      </c>
      <c r="M928" s="95">
        <v>1167725.2613978907</v>
      </c>
      <c r="N928" s="93" t="s">
        <v>956</v>
      </c>
      <c r="O928" s="25">
        <f t="shared" si="29"/>
        <v>8.3250634028007031E-3</v>
      </c>
    </row>
    <row r="929" spans="1:15">
      <c r="A929" s="94">
        <v>385.27461324734259</v>
      </c>
      <c r="B929" s="94">
        <v>385.77809547599344</v>
      </c>
      <c r="C929" s="94">
        <v>383.58992127766953</v>
      </c>
      <c r="D929" s="94">
        <v>385.18797194604514</v>
      </c>
      <c r="E929" s="95">
        <v>4162442.6757141422</v>
      </c>
      <c r="F929" s="93" t="s">
        <v>957</v>
      </c>
      <c r="G929" s="25">
        <f t="shared" si="28"/>
        <v>2.2493252024391452E-4</v>
      </c>
      <c r="I929" s="94">
        <v>171.58460804397043</v>
      </c>
      <c r="J929" s="94">
        <v>175.28364594097471</v>
      </c>
      <c r="K929" s="94">
        <v>171.20700107204271</v>
      </c>
      <c r="L929" s="94">
        <v>175.11523323149493</v>
      </c>
      <c r="M929" s="95">
        <v>2080060.1111525041</v>
      </c>
      <c r="N929" s="93" t="s">
        <v>957</v>
      </c>
      <c r="O929" s="25">
        <f t="shared" si="29"/>
        <v>-2.0161725067385561E-2</v>
      </c>
    </row>
    <row r="930" spans="1:15">
      <c r="A930" s="94">
        <v>384.53334878068642</v>
      </c>
      <c r="B930" s="94">
        <v>385.89072916768021</v>
      </c>
      <c r="C930" s="94">
        <v>382.99305897984249</v>
      </c>
      <c r="D930" s="94">
        <v>383.07007346988473</v>
      </c>
      <c r="E930" s="95">
        <v>6213308.6869473653</v>
      </c>
      <c r="F930" s="93" t="s">
        <v>958</v>
      </c>
      <c r="G930" s="25">
        <f t="shared" si="28"/>
        <v>3.8198632891033313E-3</v>
      </c>
      <c r="I930" s="94">
        <v>175.27571619456421</v>
      </c>
      <c r="J930" s="94">
        <v>176.34245589026014</v>
      </c>
      <c r="K930" s="94">
        <v>172.85903157422661</v>
      </c>
      <c r="L930" s="94">
        <v>173.28383941764534</v>
      </c>
      <c r="M930" s="95">
        <v>2313343.9394417084</v>
      </c>
      <c r="N930" s="93" t="s">
        <v>958</v>
      </c>
      <c r="O930" s="25">
        <f t="shared" si="29"/>
        <v>1.1494879058618235E-2</v>
      </c>
    </row>
    <row r="931" spans="1:15">
      <c r="A931" s="94">
        <v>381.00993586125594</v>
      </c>
      <c r="B931" s="94">
        <v>381.13469933512431</v>
      </c>
      <c r="C931" s="94">
        <v>377.29398671671998</v>
      </c>
      <c r="D931" s="94">
        <v>377.30361352797524</v>
      </c>
      <c r="E931" s="95">
        <v>4936384.3062740862</v>
      </c>
      <c r="F931" s="93" t="s">
        <v>959</v>
      </c>
      <c r="G931" s="25">
        <f t="shared" si="28"/>
        <v>9.8231827111983083E-3</v>
      </c>
      <c r="I931" s="94">
        <v>172.81183070273565</v>
      </c>
      <c r="J931" s="94">
        <v>173.62368569238029</v>
      </c>
      <c r="K931" s="94">
        <v>168.97921433941195</v>
      </c>
      <c r="L931" s="94">
        <v>169.02632080915993</v>
      </c>
      <c r="M931" s="95">
        <v>2069939.5353048441</v>
      </c>
      <c r="N931" s="93" t="s">
        <v>959</v>
      </c>
      <c r="O931" s="25">
        <f t="shared" si="29"/>
        <v>2.2395978776877934E-2</v>
      </c>
    </row>
    <row r="932" spans="1:15">
      <c r="A932" s="94">
        <v>373.9053491548633</v>
      </c>
      <c r="B932" s="94">
        <v>374.55997232022202</v>
      </c>
      <c r="C932" s="94">
        <v>370.26641450036959</v>
      </c>
      <c r="D932" s="94">
        <v>370.71887462936746</v>
      </c>
      <c r="E932" s="95">
        <v>5764275.265041274</v>
      </c>
      <c r="F932" s="93" t="s">
        <v>960</v>
      </c>
      <c r="G932" s="25">
        <f t="shared" si="28"/>
        <v>8.5953932846865033E-3</v>
      </c>
      <c r="I932" s="94">
        <v>168.71479505731952</v>
      </c>
      <c r="J932" s="94">
        <v>170.45178712818719</v>
      </c>
      <c r="K932" s="94">
        <v>167.65277544877273</v>
      </c>
      <c r="L932" s="94">
        <v>170.24410329362692</v>
      </c>
      <c r="M932" s="95">
        <v>1544300.9355017229</v>
      </c>
      <c r="N932" s="93" t="s">
        <v>960</v>
      </c>
      <c r="O932" s="25">
        <f t="shared" si="29"/>
        <v>-8.9830320505711603E-3</v>
      </c>
    </row>
    <row r="933" spans="1:15">
      <c r="A933" s="94">
        <v>369.83320799388224</v>
      </c>
      <c r="B933" s="94">
        <v>370.13163914279573</v>
      </c>
      <c r="C933" s="94">
        <v>366.35792913072811</v>
      </c>
      <c r="D933" s="94">
        <v>368.08112834542226</v>
      </c>
      <c r="E933" s="95">
        <v>4698502.8376054978</v>
      </c>
      <c r="F933" s="93" t="s">
        <v>961</v>
      </c>
      <c r="G933" s="25">
        <f t="shared" si="28"/>
        <v>4.7600366156663743E-3</v>
      </c>
      <c r="I933" s="94">
        <v>169.36616708389491</v>
      </c>
      <c r="J933" s="94">
        <v>170.04491561593503</v>
      </c>
      <c r="K933" s="94">
        <v>166.28867026268372</v>
      </c>
      <c r="L933" s="94">
        <v>166.75123880329519</v>
      </c>
      <c r="M933" s="95">
        <v>2580858.067913169</v>
      </c>
      <c r="N933" s="93" t="s">
        <v>961</v>
      </c>
      <c r="O933" s="25">
        <f t="shared" si="29"/>
        <v>1.5681612318840799E-2</v>
      </c>
    </row>
    <row r="934" spans="1:15">
      <c r="A934" s="94">
        <v>367.60941459391381</v>
      </c>
      <c r="B934" s="94">
        <v>368.51433485190961</v>
      </c>
      <c r="C934" s="94">
        <v>364.57696904850229</v>
      </c>
      <c r="D934" s="94">
        <v>365.73218639913529</v>
      </c>
      <c r="E934" s="95">
        <v>6020436.9300628938</v>
      </c>
      <c r="F934" s="93" t="s">
        <v>962</v>
      </c>
      <c r="G934" s="25">
        <f t="shared" si="28"/>
        <v>5.1327946092494248E-3</v>
      </c>
      <c r="I934" s="94">
        <v>164.59887906330704</v>
      </c>
      <c r="J934" s="94">
        <v>166.42083270285843</v>
      </c>
      <c r="K934" s="94">
        <v>162.65892324502821</v>
      </c>
      <c r="L934" s="94">
        <v>163.56045989050571</v>
      </c>
      <c r="M934" s="95">
        <v>2247613.1615556767</v>
      </c>
      <c r="N934" s="93" t="s">
        <v>962</v>
      </c>
      <c r="O934" s="25">
        <f t="shared" si="29"/>
        <v>6.3488398938011947E-3</v>
      </c>
    </row>
    <row r="935" spans="1:15">
      <c r="A935" s="94">
        <v>363.23884228401914</v>
      </c>
      <c r="B935" s="94">
        <v>366.67561390215218</v>
      </c>
      <c r="C935" s="94">
        <v>361.91515573641891</v>
      </c>
      <c r="D935" s="94">
        <v>366.32904869696227</v>
      </c>
      <c r="E935" s="95">
        <v>5857341.3880016794</v>
      </c>
      <c r="F935" s="93" t="s">
        <v>963</v>
      </c>
      <c r="G935" s="25">
        <f t="shared" si="28"/>
        <v>-8.4356029747982841E-3</v>
      </c>
      <c r="I935" s="94">
        <v>161.36089927902657</v>
      </c>
      <c r="J935" s="94">
        <v>167.02028377079375</v>
      </c>
      <c r="K935" s="94">
        <v>160.05824962761878</v>
      </c>
      <c r="L935" s="94">
        <v>166.29811043698191</v>
      </c>
      <c r="M935" s="95">
        <v>2524998.9297931357</v>
      </c>
      <c r="N935" s="93" t="s">
        <v>963</v>
      </c>
      <c r="O935" s="25">
        <f t="shared" si="29"/>
        <v>-2.9688919164395977E-2</v>
      </c>
    </row>
    <row r="936" spans="1:15">
      <c r="A936" s="94">
        <v>364.85614657490527</v>
      </c>
      <c r="B936" s="94">
        <v>369.08915175196205</v>
      </c>
      <c r="C936" s="94">
        <v>364.03786761820692</v>
      </c>
      <c r="D936" s="94">
        <v>368.35067906056992</v>
      </c>
      <c r="E936" s="95">
        <v>7229186.0881628199</v>
      </c>
      <c r="F936" s="93" t="s">
        <v>964</v>
      </c>
      <c r="G936" s="25">
        <f t="shared" si="28"/>
        <v>-9.4869717481640414E-3</v>
      </c>
      <c r="I936" s="94">
        <v>165.40129387865352</v>
      </c>
      <c r="J936" s="94">
        <v>167.42149117846697</v>
      </c>
      <c r="K936" s="94">
        <v>164.96704586093659</v>
      </c>
      <c r="L936" s="94">
        <v>165.80722137347584</v>
      </c>
      <c r="M936" s="95">
        <v>1969205.1664296903</v>
      </c>
      <c r="N936" s="93" t="s">
        <v>964</v>
      </c>
      <c r="O936" s="25">
        <f t="shared" si="29"/>
        <v>-2.4481894784786906E-3</v>
      </c>
    </row>
    <row r="937" spans="1:15">
      <c r="A937" s="94">
        <v>369.39037467613957</v>
      </c>
      <c r="B937" s="94">
        <v>373.21221874448361</v>
      </c>
      <c r="C937" s="94">
        <v>368.82239281207842</v>
      </c>
      <c r="D937" s="94">
        <v>373.13520425444142</v>
      </c>
      <c r="E937" s="95">
        <v>5683308.6833423823</v>
      </c>
      <c r="F937" s="93" t="s">
        <v>965</v>
      </c>
      <c r="G937" s="25">
        <f t="shared" si="28"/>
        <v>-1.0036119711042457E-2</v>
      </c>
      <c r="I937" s="94">
        <v>165.90162311645778</v>
      </c>
      <c r="J937" s="94">
        <v>166.79843967478618</v>
      </c>
      <c r="K937" s="94">
        <v>163.54157954190933</v>
      </c>
      <c r="L937" s="94">
        <v>165.14640917260226</v>
      </c>
      <c r="M937" s="95">
        <v>1218667.1174282408</v>
      </c>
      <c r="N937" s="93" t="s">
        <v>965</v>
      </c>
      <c r="O937" s="25">
        <f t="shared" si="29"/>
        <v>4.5729964559277914E-3</v>
      </c>
    </row>
    <row r="938" spans="1:15">
      <c r="A938" s="94">
        <v>374.6754940552853</v>
      </c>
      <c r="B938" s="94">
        <v>375.69593604834438</v>
      </c>
      <c r="C938" s="94">
        <v>372.12438907263754</v>
      </c>
      <c r="D938" s="94">
        <v>373.78982741980002</v>
      </c>
      <c r="E938" s="95">
        <v>4624078.4014135618</v>
      </c>
      <c r="F938" s="93" t="s">
        <v>966</v>
      </c>
      <c r="G938" s="25">
        <f t="shared" si="28"/>
        <v>2.3694241269187621E-3</v>
      </c>
      <c r="I938" s="94">
        <v>163.33389570734909</v>
      </c>
      <c r="J938" s="94">
        <v>169.11128237784365</v>
      </c>
      <c r="K938" s="94">
        <v>163.27725466155991</v>
      </c>
      <c r="L938" s="94">
        <v>168.31830773679539</v>
      </c>
      <c r="M938" s="95">
        <v>1333672.4092487236</v>
      </c>
      <c r="N938" s="93" t="s">
        <v>966</v>
      </c>
      <c r="O938" s="25">
        <f t="shared" si="29"/>
        <v>-2.9613011777902321E-2</v>
      </c>
    </row>
    <row r="939" spans="1:15">
      <c r="A939" s="94">
        <v>371.89334560251098</v>
      </c>
      <c r="B939" s="94">
        <v>375.38787808817563</v>
      </c>
      <c r="C939" s="94">
        <v>369.52515003371343</v>
      </c>
      <c r="D939" s="94">
        <v>371.0943202683232</v>
      </c>
      <c r="E939" s="95">
        <v>5751780.9928663522</v>
      </c>
      <c r="F939" s="93" t="s">
        <v>967</v>
      </c>
      <c r="G939" s="25">
        <f t="shared" si="28"/>
        <v>2.1531596970010281E-3</v>
      </c>
      <c r="I939" s="94">
        <v>166.96836281215369</v>
      </c>
      <c r="J939" s="94">
        <v>169.32840638670214</v>
      </c>
      <c r="K939" s="94">
        <v>165.46265501159178</v>
      </c>
      <c r="L939" s="94">
        <v>166.23202921689457</v>
      </c>
      <c r="M939" s="95">
        <v>1475110.4757318252</v>
      </c>
      <c r="N939" s="93" t="s">
        <v>967</v>
      </c>
      <c r="O939" s="25">
        <f t="shared" si="29"/>
        <v>4.4295530694531404E-3</v>
      </c>
    </row>
    <row r="940" spans="1:15">
      <c r="G940" s="25"/>
      <c r="O940" s="25"/>
    </row>
    <row r="941" spans="1:15">
      <c r="G941" s="25"/>
      <c r="O941" s="25"/>
    </row>
    <row r="942" spans="1:15">
      <c r="G942" s="25"/>
      <c r="O942" s="25"/>
    </row>
    <row r="943" spans="1:15">
      <c r="G943" s="25"/>
      <c r="O943" s="25"/>
    </row>
    <row r="944" spans="1:15">
      <c r="G944" s="25"/>
      <c r="O944" s="25"/>
    </row>
    <row r="945" spans="7:15">
      <c r="G945" s="25"/>
      <c r="O945" s="25"/>
    </row>
    <row r="946" spans="7:15">
      <c r="G946" s="25"/>
      <c r="O946" s="25"/>
    </row>
    <row r="947" spans="7:15">
      <c r="G947" s="25"/>
      <c r="O947" s="25"/>
    </row>
    <row r="948" spans="7:15">
      <c r="G948" s="25"/>
      <c r="O948" s="25"/>
    </row>
    <row r="949" spans="7:15">
      <c r="G949" s="25"/>
      <c r="O949" s="25"/>
    </row>
    <row r="950" spans="7:15">
      <c r="G950" s="25"/>
      <c r="O950" s="25"/>
    </row>
    <row r="951" spans="7:15">
      <c r="G951" s="25"/>
      <c r="O951" s="25"/>
    </row>
    <row r="952" spans="7:15">
      <c r="G952" s="25"/>
      <c r="O952" s="25"/>
    </row>
    <row r="953" spans="7:15">
      <c r="G953" s="25"/>
      <c r="O953" s="25"/>
    </row>
    <row r="954" spans="7:15">
      <c r="G954" s="25"/>
      <c r="O954" s="25"/>
    </row>
    <row r="955" spans="7:15">
      <c r="G955" s="25"/>
      <c r="O955" s="25"/>
    </row>
    <row r="956" spans="7:15">
      <c r="G956" s="25"/>
      <c r="O956" s="25"/>
    </row>
    <row r="957" spans="7:15">
      <c r="G957" s="25"/>
      <c r="O957" s="25"/>
    </row>
    <row r="958" spans="7:15">
      <c r="G958" s="25"/>
      <c r="O958" s="25"/>
    </row>
    <row r="959" spans="7:15">
      <c r="G959" s="25"/>
      <c r="O959" s="25"/>
    </row>
    <row r="960" spans="7:15">
      <c r="G960" s="25"/>
      <c r="O960" s="25"/>
    </row>
    <row r="961" spans="7:15">
      <c r="G961" s="25"/>
      <c r="O961" s="25"/>
    </row>
    <row r="962" spans="7:15">
      <c r="G962" s="25"/>
      <c r="O962" s="25"/>
    </row>
    <row r="963" spans="7:15">
      <c r="G963" s="25"/>
      <c r="O963" s="25"/>
    </row>
    <row r="964" spans="7:15">
      <c r="G964" s="25"/>
      <c r="O964" s="25"/>
    </row>
    <row r="965" spans="7:15">
      <c r="G965" s="25"/>
      <c r="O965" s="25"/>
    </row>
    <row r="966" spans="7:15">
      <c r="G966" s="25"/>
      <c r="O966" s="25"/>
    </row>
    <row r="967" spans="7:15">
      <c r="G967" s="25"/>
      <c r="O967" s="25"/>
    </row>
    <row r="968" spans="7:15">
      <c r="G968" s="25"/>
      <c r="O968" s="25"/>
    </row>
    <row r="969" spans="7:15">
      <c r="G969" s="25"/>
      <c r="O969" s="25"/>
    </row>
    <row r="970" spans="7:15">
      <c r="G970" s="25"/>
      <c r="O970" s="25"/>
    </row>
    <row r="971" spans="7:15">
      <c r="G971" s="25"/>
      <c r="O971" s="25"/>
    </row>
    <row r="972" spans="7:15">
      <c r="G972" s="25"/>
      <c r="O972" s="25"/>
    </row>
    <row r="973" spans="7:15">
      <c r="G973" s="25"/>
      <c r="O973" s="25"/>
    </row>
    <row r="974" spans="7:15">
      <c r="G974" s="25"/>
      <c r="O974" s="25"/>
    </row>
    <row r="975" spans="7:15">
      <c r="G975" s="25"/>
      <c r="O975" s="25"/>
    </row>
    <row r="976" spans="7:15">
      <c r="G976" s="25"/>
      <c r="O976" s="25"/>
    </row>
    <row r="977" spans="7:15">
      <c r="G977" s="25"/>
      <c r="O977" s="25"/>
    </row>
    <row r="978" spans="7:15">
      <c r="G978" s="25"/>
      <c r="O978" s="25"/>
    </row>
    <row r="979" spans="7:15">
      <c r="G979" s="25"/>
      <c r="O979" s="25"/>
    </row>
    <row r="980" spans="7:15">
      <c r="G980" s="25"/>
      <c r="O980" s="25"/>
    </row>
    <row r="981" spans="7:15">
      <c r="G981" s="25"/>
      <c r="O981" s="25"/>
    </row>
    <row r="982" spans="7:15">
      <c r="G982" s="25"/>
      <c r="O982" s="25"/>
    </row>
    <row r="983" spans="7:15">
      <c r="G983" s="25"/>
      <c r="O983" s="25"/>
    </row>
    <row r="984" spans="7:15">
      <c r="G984" s="25"/>
      <c r="O984" s="25"/>
    </row>
    <row r="985" spans="7:15">
      <c r="G985" s="25"/>
      <c r="O985" s="25"/>
    </row>
    <row r="986" spans="7:15">
      <c r="G986" s="25"/>
      <c r="O986" s="25"/>
    </row>
    <row r="987" spans="7:15">
      <c r="G987" s="25"/>
      <c r="O987" s="25"/>
    </row>
    <row r="988" spans="7:15">
      <c r="G988" s="25"/>
      <c r="O988" s="25"/>
    </row>
    <row r="989" spans="7:15">
      <c r="G989" s="25"/>
      <c r="O989" s="25"/>
    </row>
    <row r="990" spans="7:15">
      <c r="G990" s="25"/>
      <c r="O990" s="25"/>
    </row>
    <row r="991" spans="7:15">
      <c r="G991" s="25"/>
      <c r="O991" s="25"/>
    </row>
    <row r="992" spans="7:15">
      <c r="G992" s="25"/>
      <c r="O992" s="25"/>
    </row>
    <row r="993" spans="7:15">
      <c r="G993" s="25"/>
      <c r="O993" s="25"/>
    </row>
    <row r="994" spans="7:15">
      <c r="G994" s="25"/>
      <c r="O994" s="25"/>
    </row>
    <row r="995" spans="7:15">
      <c r="G995" s="25"/>
      <c r="O995" s="25"/>
    </row>
    <row r="996" spans="7:15">
      <c r="G996" s="25"/>
      <c r="O996" s="25"/>
    </row>
    <row r="997" spans="7:15">
      <c r="G997" s="25"/>
      <c r="O997" s="25"/>
    </row>
    <row r="998" spans="7:15">
      <c r="G998" s="25"/>
      <c r="O998" s="25"/>
    </row>
    <row r="999" spans="7:15">
      <c r="G999" s="25"/>
      <c r="O999" s="25"/>
    </row>
    <row r="1000" spans="7:15">
      <c r="G1000" s="25"/>
      <c r="O1000" s="25"/>
    </row>
    <row r="1001" spans="7:15">
      <c r="G1001" s="25"/>
      <c r="O1001" s="25"/>
    </row>
    <row r="1002" spans="7:15">
      <c r="G1002" s="25"/>
      <c r="O1002" s="25"/>
    </row>
    <row r="1003" spans="7:15">
      <c r="G1003" s="25"/>
      <c r="O1003" s="25"/>
    </row>
    <row r="1004" spans="7:15">
      <c r="G1004" s="25"/>
      <c r="O1004" s="25"/>
    </row>
    <row r="1005" spans="7:15">
      <c r="G1005" s="25"/>
      <c r="O1005" s="25"/>
    </row>
    <row r="1006" spans="7:15">
      <c r="G1006" s="25"/>
      <c r="O1006" s="25"/>
    </row>
    <row r="1007" spans="7:15">
      <c r="G1007" s="25"/>
      <c r="O1007" s="25"/>
    </row>
    <row r="1008" spans="7:15">
      <c r="G1008" s="25"/>
      <c r="O1008" s="25"/>
    </row>
    <row r="1009" spans="7:15">
      <c r="G1009" s="25"/>
      <c r="O1009" s="25"/>
    </row>
    <row r="1010" spans="7:15">
      <c r="G1010" s="25"/>
      <c r="O1010" s="25"/>
    </row>
    <row r="1011" spans="7:15">
      <c r="G1011" s="25"/>
      <c r="O1011" s="25"/>
    </row>
    <row r="1012" spans="7:15">
      <c r="G1012" s="25"/>
      <c r="O1012" s="25"/>
    </row>
    <row r="1013" spans="7:15">
      <c r="G1013" s="25"/>
      <c r="O1013" s="25"/>
    </row>
    <row r="1014" spans="7:15">
      <c r="G1014" s="25"/>
      <c r="O1014" s="25"/>
    </row>
    <row r="1015" spans="7:15">
      <c r="G1015" s="25"/>
      <c r="O1015" s="25"/>
    </row>
    <row r="1016" spans="7:15">
      <c r="G1016" s="25"/>
      <c r="O1016" s="25"/>
    </row>
    <row r="1017" spans="7:15">
      <c r="G1017" s="25"/>
      <c r="O1017" s="25"/>
    </row>
    <row r="1018" spans="7:15">
      <c r="G1018" s="25"/>
      <c r="O1018" s="25"/>
    </row>
    <row r="1019" spans="7:15">
      <c r="G1019" s="25"/>
      <c r="O1019" s="25"/>
    </row>
    <row r="1020" spans="7:15">
      <c r="G1020" s="25"/>
      <c r="O1020" s="25"/>
    </row>
    <row r="1021" spans="7:15">
      <c r="G1021" s="25"/>
      <c r="O1021" s="25"/>
    </row>
    <row r="1022" spans="7:15">
      <c r="G1022" s="25"/>
      <c r="O1022" s="25"/>
    </row>
    <row r="1023" spans="7:15">
      <c r="G1023" s="25"/>
      <c r="O1023" s="25"/>
    </row>
    <row r="1024" spans="7:15">
      <c r="G1024" s="25"/>
      <c r="O1024" s="25"/>
    </row>
    <row r="1025" spans="7:15">
      <c r="G1025" s="25"/>
      <c r="O1025" s="25"/>
    </row>
    <row r="1026" spans="7:15">
      <c r="G1026" s="25"/>
      <c r="O1026" s="25"/>
    </row>
    <row r="1027" spans="7:15">
      <c r="G1027" s="25"/>
      <c r="O1027" s="25"/>
    </row>
    <row r="1028" spans="7:15">
      <c r="G1028" s="25"/>
      <c r="O1028" s="25"/>
    </row>
    <row r="1029" spans="7:15">
      <c r="G1029" s="25"/>
      <c r="O1029" s="25"/>
    </row>
    <row r="1030" spans="7:15">
      <c r="G1030" s="25"/>
      <c r="O1030" s="25"/>
    </row>
    <row r="1031" spans="7:15">
      <c r="G1031" s="25"/>
      <c r="O1031" s="25"/>
    </row>
    <row r="1032" spans="7:15">
      <c r="G1032" s="25"/>
      <c r="O1032" s="25"/>
    </row>
    <row r="1033" spans="7:15">
      <c r="G1033" s="25"/>
      <c r="O1033" s="25"/>
    </row>
    <row r="1034" spans="7:15">
      <c r="G1034" s="25"/>
      <c r="O1034" s="25"/>
    </row>
    <row r="1035" spans="7:15">
      <c r="G1035" s="25"/>
      <c r="O1035" s="25"/>
    </row>
    <row r="1036" spans="7:15">
      <c r="G1036" s="25"/>
      <c r="O1036" s="25"/>
    </row>
    <row r="1037" spans="7:15">
      <c r="G1037" s="25"/>
      <c r="O1037" s="25"/>
    </row>
    <row r="1038" spans="7:15">
      <c r="G1038" s="25"/>
      <c r="O1038" s="25"/>
    </row>
    <row r="1039" spans="7:15">
      <c r="G1039" s="25"/>
      <c r="O1039" s="25"/>
    </row>
    <row r="1040" spans="7:15">
      <c r="G1040" s="25"/>
      <c r="O1040" s="25"/>
    </row>
    <row r="1041" spans="7:15">
      <c r="G1041" s="25"/>
      <c r="O1041" s="25"/>
    </row>
    <row r="1042" spans="7:15">
      <c r="G1042" s="25"/>
      <c r="O1042" s="25"/>
    </row>
    <row r="1043" spans="7:15">
      <c r="G1043" s="25"/>
      <c r="O1043" s="25"/>
    </row>
    <row r="1044" spans="7:15">
      <c r="G1044" s="25"/>
      <c r="O1044" s="25"/>
    </row>
    <row r="1045" spans="7:15">
      <c r="G1045" s="25"/>
      <c r="O1045" s="25"/>
    </row>
    <row r="1046" spans="7:15">
      <c r="G1046" s="25"/>
      <c r="O1046" s="25"/>
    </row>
    <row r="1047" spans="7:15">
      <c r="G1047" s="25"/>
      <c r="O1047" s="25"/>
    </row>
    <row r="1048" spans="7:15">
      <c r="G1048" s="25"/>
      <c r="O1048" s="25"/>
    </row>
    <row r="1049" spans="7:15">
      <c r="G1049" s="25"/>
      <c r="O1049" s="25"/>
    </row>
    <row r="1050" spans="7:15">
      <c r="G1050" s="25"/>
      <c r="O1050" s="25"/>
    </row>
    <row r="1051" spans="7:15">
      <c r="G1051" s="25"/>
      <c r="O1051" s="25"/>
    </row>
    <row r="1052" spans="7:15">
      <c r="G1052" s="25"/>
      <c r="O1052" s="25"/>
    </row>
    <row r="1053" spans="7:15">
      <c r="G1053" s="25"/>
      <c r="O1053" s="25"/>
    </row>
    <row r="1054" spans="7:15">
      <c r="G1054" s="25"/>
      <c r="O1054" s="25"/>
    </row>
    <row r="1055" spans="7:15">
      <c r="G1055" s="25"/>
      <c r="O1055" s="25"/>
    </row>
    <row r="1056" spans="7:15">
      <c r="G1056" s="25"/>
      <c r="O1056" s="25"/>
    </row>
    <row r="1057" spans="7:15">
      <c r="G1057" s="25"/>
      <c r="O1057" s="25"/>
    </row>
    <row r="1058" spans="7:15">
      <c r="G1058" s="25"/>
      <c r="O1058" s="25"/>
    </row>
    <row r="1059" spans="7:15">
      <c r="G1059" s="25"/>
      <c r="O1059" s="25"/>
    </row>
    <row r="1060" spans="7:15">
      <c r="G1060" s="25"/>
      <c r="O1060" s="25"/>
    </row>
    <row r="1061" spans="7:15">
      <c r="G1061" s="25"/>
      <c r="O1061" s="25"/>
    </row>
    <row r="1062" spans="7:15">
      <c r="G1062" s="25"/>
      <c r="O1062" s="25"/>
    </row>
    <row r="1063" spans="7:15">
      <c r="G1063" s="25"/>
      <c r="O1063" s="25"/>
    </row>
    <row r="1064" spans="7:15">
      <c r="G1064" s="25"/>
      <c r="O1064" s="25"/>
    </row>
    <row r="1065" spans="7:15">
      <c r="G1065" s="25"/>
      <c r="O1065" s="25"/>
    </row>
    <row r="1066" spans="7:15">
      <c r="G1066" s="25"/>
      <c r="O1066" s="25"/>
    </row>
    <row r="1067" spans="7:15">
      <c r="G1067" s="25"/>
      <c r="O1067" s="25"/>
    </row>
    <row r="1068" spans="7:15">
      <c r="G1068" s="25"/>
      <c r="O1068" s="25"/>
    </row>
    <row r="1069" spans="7:15">
      <c r="G1069" s="25"/>
      <c r="O1069" s="25"/>
    </row>
    <row r="1070" spans="7:15">
      <c r="G1070" s="25"/>
      <c r="O1070" s="25"/>
    </row>
    <row r="1071" spans="7:15">
      <c r="G1071" s="25"/>
      <c r="O1071" s="25"/>
    </row>
    <row r="1072" spans="7:15">
      <c r="G1072" s="25"/>
      <c r="O1072" s="25"/>
    </row>
    <row r="1073" spans="7:15">
      <c r="G1073" s="25"/>
      <c r="O1073" s="25"/>
    </row>
    <row r="1074" spans="7:15">
      <c r="G1074" s="25"/>
      <c r="O1074" s="25"/>
    </row>
    <row r="1075" spans="7:15">
      <c r="G1075" s="25"/>
      <c r="O1075" s="25"/>
    </row>
    <row r="1076" spans="7:15">
      <c r="G1076" s="25"/>
      <c r="O1076" s="25"/>
    </row>
    <row r="1077" spans="7:15">
      <c r="G1077" s="25"/>
      <c r="O1077" s="25"/>
    </row>
    <row r="1078" spans="7:15">
      <c r="G1078" s="25"/>
      <c r="O1078" s="25"/>
    </row>
    <row r="1079" spans="7:15">
      <c r="G1079" s="25"/>
      <c r="O1079" s="25"/>
    </row>
    <row r="1080" spans="7:15">
      <c r="G1080" s="25"/>
      <c r="O1080" s="25"/>
    </row>
    <row r="1081" spans="7:15">
      <c r="G1081" s="25"/>
      <c r="O1081" s="25"/>
    </row>
    <row r="1082" spans="7:15">
      <c r="G1082" s="25"/>
      <c r="O1082" s="25"/>
    </row>
    <row r="1083" spans="7:15">
      <c r="G1083" s="25"/>
      <c r="O1083" s="25"/>
    </row>
    <row r="1084" spans="7:15">
      <c r="G1084" s="25"/>
      <c r="O1084" s="25"/>
    </row>
    <row r="1085" spans="7:15">
      <c r="G1085" s="25"/>
      <c r="O1085" s="25"/>
    </row>
    <row r="1086" spans="7:15">
      <c r="G1086" s="25"/>
      <c r="O1086" s="25"/>
    </row>
    <row r="1087" spans="7:15">
      <c r="G1087" s="25"/>
      <c r="O1087" s="25"/>
    </row>
    <row r="1088" spans="7:15">
      <c r="G1088" s="25"/>
      <c r="O1088" s="25"/>
    </row>
    <row r="1089" spans="7:15">
      <c r="G1089" s="25"/>
      <c r="O1089" s="25"/>
    </row>
    <row r="1090" spans="7:15">
      <c r="G1090" s="25"/>
      <c r="O1090" s="25"/>
    </row>
    <row r="1091" spans="7:15">
      <c r="G1091" s="25"/>
      <c r="O1091" s="25"/>
    </row>
    <row r="1092" spans="7:15">
      <c r="G1092" s="25"/>
      <c r="O1092" s="25"/>
    </row>
    <row r="1093" spans="7:15">
      <c r="G1093" s="25"/>
      <c r="O1093" s="25"/>
    </row>
    <row r="1094" spans="7:15">
      <c r="G1094" s="25"/>
      <c r="O1094" s="25"/>
    </row>
    <row r="1095" spans="7:15">
      <c r="G1095" s="25"/>
      <c r="O1095" s="25"/>
    </row>
    <row r="1096" spans="7:15">
      <c r="G1096" s="25"/>
      <c r="O1096" s="25"/>
    </row>
    <row r="1097" spans="7:15">
      <c r="G1097" s="25"/>
      <c r="O1097" s="25"/>
    </row>
    <row r="1098" spans="7:15">
      <c r="G1098" s="25"/>
      <c r="O1098" s="25"/>
    </row>
    <row r="1099" spans="7:15">
      <c r="G1099" s="25"/>
      <c r="O1099" s="25"/>
    </row>
    <row r="1100" spans="7:15">
      <c r="G1100" s="25"/>
      <c r="O1100" s="25"/>
    </row>
    <row r="1101" spans="7:15">
      <c r="G1101" s="25"/>
      <c r="O1101" s="25"/>
    </row>
    <row r="1102" spans="7:15">
      <c r="G1102" s="25"/>
      <c r="O1102" s="25"/>
    </row>
    <row r="1103" spans="7:15">
      <c r="G1103" s="25"/>
      <c r="O1103" s="25"/>
    </row>
    <row r="1104" spans="7:15">
      <c r="G1104" s="25"/>
      <c r="O1104" s="25"/>
    </row>
    <row r="1105" spans="7:15">
      <c r="G1105" s="25"/>
      <c r="O1105" s="25"/>
    </row>
    <row r="1106" spans="7:15">
      <c r="G1106" s="25"/>
      <c r="O1106" s="25"/>
    </row>
    <row r="1107" spans="7:15">
      <c r="G1107" s="25"/>
      <c r="O1107" s="25"/>
    </row>
    <row r="1108" spans="7:15">
      <c r="G1108" s="25"/>
      <c r="O1108" s="25"/>
    </row>
    <row r="1109" spans="7:15">
      <c r="G1109" s="25"/>
      <c r="O1109" s="25"/>
    </row>
    <row r="1110" spans="7:15">
      <c r="G1110" s="25"/>
      <c r="O1110" s="25"/>
    </row>
    <row r="1111" spans="7:15">
      <c r="G1111" s="25"/>
      <c r="O1111" s="25"/>
    </row>
    <row r="1112" spans="7:15">
      <c r="G1112" s="25"/>
      <c r="O1112" s="25"/>
    </row>
    <row r="1113" spans="7:15">
      <c r="G1113" s="25"/>
      <c r="O1113" s="25"/>
    </row>
    <row r="1114" spans="7:15">
      <c r="G1114" s="25"/>
      <c r="O1114" s="25"/>
    </row>
    <row r="1115" spans="7:15">
      <c r="G1115" s="25"/>
      <c r="O1115" s="25"/>
    </row>
    <row r="1116" spans="7:15">
      <c r="G1116" s="25"/>
      <c r="O1116" s="25"/>
    </row>
    <row r="1117" spans="7:15">
      <c r="G1117" s="25"/>
      <c r="O1117" s="25"/>
    </row>
    <row r="1118" spans="7:15">
      <c r="G1118" s="25"/>
      <c r="O1118" s="25"/>
    </row>
    <row r="1119" spans="7:15">
      <c r="G1119" s="25"/>
      <c r="O1119" s="25"/>
    </row>
    <row r="1120" spans="7:15">
      <c r="G1120" s="25"/>
      <c r="O1120" s="25"/>
    </row>
    <row r="1121" spans="7:15">
      <c r="G1121" s="25"/>
      <c r="O1121" s="25"/>
    </row>
    <row r="1122" spans="7:15">
      <c r="G1122" s="25"/>
      <c r="O1122" s="25"/>
    </row>
    <row r="1123" spans="7:15">
      <c r="G1123" s="25"/>
      <c r="O1123" s="25"/>
    </row>
    <row r="1124" spans="7:15">
      <c r="G1124" s="25"/>
      <c r="O1124" s="25"/>
    </row>
    <row r="1125" spans="7:15">
      <c r="G1125" s="25"/>
      <c r="O1125" s="25"/>
    </row>
    <row r="1126" spans="7:15">
      <c r="G1126" s="25"/>
      <c r="O1126" s="25"/>
    </row>
    <row r="1127" spans="7:15">
      <c r="G1127" s="25"/>
      <c r="O1127" s="25"/>
    </row>
    <row r="1128" spans="7:15">
      <c r="G1128" s="25"/>
      <c r="O1128" s="25"/>
    </row>
    <row r="1129" spans="7:15">
      <c r="G1129" s="25"/>
      <c r="O1129" s="25"/>
    </row>
    <row r="1130" spans="7:15">
      <c r="G1130" s="25"/>
      <c r="O1130" s="25"/>
    </row>
    <row r="1131" spans="7:15">
      <c r="G1131" s="25"/>
      <c r="O1131" s="25"/>
    </row>
    <row r="1132" spans="7:15">
      <c r="G1132" s="25"/>
      <c r="O1132" s="25"/>
    </row>
    <row r="1133" spans="7:15">
      <c r="G1133" s="25"/>
      <c r="O1133" s="25"/>
    </row>
    <row r="1134" spans="7:15">
      <c r="G1134" s="25"/>
      <c r="O1134" s="25"/>
    </row>
    <row r="1135" spans="7:15">
      <c r="G1135" s="25"/>
      <c r="O1135" s="25"/>
    </row>
    <row r="1136" spans="7:15">
      <c r="G1136" s="25"/>
      <c r="O1136" s="25"/>
    </row>
    <row r="1137" spans="7:15">
      <c r="G1137" s="25"/>
      <c r="O1137" s="25"/>
    </row>
    <row r="1138" spans="7:15">
      <c r="G1138" s="25"/>
      <c r="O1138" s="25"/>
    </row>
    <row r="1139" spans="7:15">
      <c r="G1139" s="25"/>
      <c r="O1139" s="25"/>
    </row>
    <row r="1140" spans="7:15">
      <c r="G1140" s="25"/>
      <c r="O1140" s="25"/>
    </row>
    <row r="1141" spans="7:15">
      <c r="G1141" s="25"/>
      <c r="O1141" s="25"/>
    </row>
    <row r="1142" spans="7:15">
      <c r="G1142" s="25"/>
      <c r="O1142" s="25"/>
    </row>
    <row r="1143" spans="7:15">
      <c r="G1143" s="25"/>
      <c r="O1143" s="25"/>
    </row>
    <row r="1144" spans="7:15">
      <c r="G1144" s="25"/>
      <c r="O1144" s="25"/>
    </row>
    <row r="1145" spans="7:15">
      <c r="G1145" s="25"/>
      <c r="O1145" s="25"/>
    </row>
    <row r="1146" spans="7:15">
      <c r="G1146" s="25"/>
      <c r="O1146" s="25"/>
    </row>
    <row r="1147" spans="7:15">
      <c r="G1147" s="25"/>
      <c r="O1147" s="25"/>
    </row>
    <row r="1148" spans="7:15">
      <c r="G1148" s="25"/>
      <c r="O1148" s="25"/>
    </row>
    <row r="1149" spans="7:15">
      <c r="G1149" s="25"/>
      <c r="O1149" s="25"/>
    </row>
    <row r="1150" spans="7:15">
      <c r="G1150" s="25"/>
      <c r="O1150" s="25"/>
    </row>
    <row r="1151" spans="7:15">
      <c r="G1151" s="25"/>
      <c r="O1151" s="25"/>
    </row>
    <row r="1152" spans="7:15">
      <c r="G1152" s="25"/>
      <c r="O1152" s="25"/>
    </row>
    <row r="1153" spans="7:15">
      <c r="G1153" s="25"/>
      <c r="O1153" s="25"/>
    </row>
    <row r="1154" spans="7:15">
      <c r="G1154" s="25"/>
      <c r="O1154" s="25"/>
    </row>
    <row r="1155" spans="7:15">
      <c r="G1155" s="25"/>
      <c r="O1155" s="25"/>
    </row>
    <row r="1156" spans="7:15">
      <c r="G1156" s="25"/>
      <c r="O1156" s="25"/>
    </row>
    <row r="1157" spans="7:15">
      <c r="G1157" s="25"/>
      <c r="O1157" s="25"/>
    </row>
    <row r="1158" spans="7:15">
      <c r="G1158" s="25"/>
      <c r="O1158" s="25"/>
    </row>
    <row r="1159" spans="7:15">
      <c r="G1159" s="25"/>
      <c r="O1159" s="25"/>
    </row>
    <row r="1160" spans="7:15">
      <c r="G1160" s="25"/>
      <c r="O1160" s="25"/>
    </row>
    <row r="1161" spans="7:15">
      <c r="G1161" s="25"/>
      <c r="O1161" s="25"/>
    </row>
    <row r="1162" spans="7:15">
      <c r="G1162" s="25"/>
      <c r="O1162" s="25"/>
    </row>
    <row r="1163" spans="7:15">
      <c r="G1163" s="25"/>
      <c r="O1163" s="25"/>
    </row>
    <row r="1164" spans="7:15">
      <c r="G1164" s="25"/>
      <c r="O1164" s="25"/>
    </row>
    <row r="1165" spans="7:15">
      <c r="G1165" s="25"/>
      <c r="O1165" s="25"/>
    </row>
    <row r="1166" spans="7:15">
      <c r="G1166" s="25"/>
      <c r="O1166" s="25"/>
    </row>
    <row r="1167" spans="7:15">
      <c r="G1167" s="25"/>
      <c r="O1167" s="25"/>
    </row>
    <row r="1168" spans="7:15">
      <c r="G1168" s="25"/>
      <c r="O1168" s="25"/>
    </row>
    <row r="1169" spans="7:15">
      <c r="G1169" s="25"/>
      <c r="O1169" s="25"/>
    </row>
    <row r="1170" spans="7:15">
      <c r="G1170" s="25"/>
      <c r="O1170" s="25"/>
    </row>
    <row r="1171" spans="7:15">
      <c r="G1171" s="25"/>
      <c r="O1171" s="25"/>
    </row>
    <row r="1172" spans="7:15">
      <c r="G1172" s="25"/>
      <c r="O1172" s="25"/>
    </row>
    <row r="1173" spans="7:15">
      <c r="G1173" s="25"/>
      <c r="O1173" s="25"/>
    </row>
    <row r="1174" spans="7:15">
      <c r="G1174" s="25"/>
      <c r="O1174" s="25"/>
    </row>
    <row r="1175" spans="7:15">
      <c r="G1175" s="25"/>
      <c r="O1175" s="25"/>
    </row>
    <row r="1176" spans="7:15">
      <c r="G1176" s="25"/>
      <c r="O1176" s="25"/>
    </row>
    <row r="1177" spans="7:15">
      <c r="G1177" s="25"/>
      <c r="O1177" s="25"/>
    </row>
    <row r="1178" spans="7:15">
      <c r="G1178" s="25"/>
      <c r="O1178" s="25"/>
    </row>
    <row r="1179" spans="7:15">
      <c r="G1179" s="25"/>
      <c r="O1179" s="25"/>
    </row>
    <row r="1180" spans="7:15">
      <c r="G1180" s="25"/>
      <c r="O1180" s="25"/>
    </row>
    <row r="1181" spans="7:15">
      <c r="G1181" s="25"/>
      <c r="O1181" s="25"/>
    </row>
    <row r="1182" spans="7:15">
      <c r="G1182" s="25"/>
      <c r="O1182" s="25"/>
    </row>
    <row r="1183" spans="7:15">
      <c r="G1183" s="25"/>
      <c r="O1183" s="25"/>
    </row>
    <row r="1184" spans="7:15">
      <c r="G1184" s="25"/>
      <c r="O1184" s="25"/>
    </row>
    <row r="1185" spans="7:15">
      <c r="G1185" s="25"/>
      <c r="O1185" s="25"/>
    </row>
    <row r="1186" spans="7:15">
      <c r="G1186" s="25"/>
      <c r="O1186" s="25"/>
    </row>
    <row r="1187" spans="7:15">
      <c r="G1187" s="25"/>
      <c r="O1187" s="25"/>
    </row>
    <row r="1188" spans="7:15">
      <c r="G1188" s="25"/>
      <c r="O1188" s="25"/>
    </row>
    <row r="1189" spans="7:15">
      <c r="G1189" s="25"/>
      <c r="O1189" s="25"/>
    </row>
    <row r="1190" spans="7:15">
      <c r="G1190" s="25"/>
      <c r="O1190" s="25"/>
    </row>
    <row r="1191" spans="7:15">
      <c r="G1191" s="25"/>
      <c r="O1191" s="25"/>
    </row>
    <row r="1192" spans="7:15">
      <c r="G1192" s="25"/>
      <c r="O1192" s="25"/>
    </row>
    <row r="1193" spans="7:15">
      <c r="G1193" s="25"/>
      <c r="O1193" s="25"/>
    </row>
    <row r="1194" spans="7:15">
      <c r="G1194" s="25"/>
      <c r="O1194" s="25"/>
    </row>
    <row r="1195" spans="7:15">
      <c r="G1195" s="25"/>
      <c r="O1195" s="25"/>
    </row>
    <row r="1196" spans="7:15">
      <c r="G1196" s="25"/>
      <c r="O1196" s="25"/>
    </row>
    <row r="1197" spans="7:15">
      <c r="G1197" s="25"/>
      <c r="O1197" s="25"/>
    </row>
    <row r="1198" spans="7:15">
      <c r="G1198" s="25"/>
      <c r="O1198" s="25"/>
    </row>
    <row r="1199" spans="7:15">
      <c r="G1199" s="25"/>
      <c r="O1199" s="25"/>
    </row>
    <row r="1200" spans="7:15">
      <c r="G1200" s="25"/>
      <c r="O1200" s="25"/>
    </row>
    <row r="1201" spans="7:15">
      <c r="G1201" s="25"/>
      <c r="O1201" s="25"/>
    </row>
    <row r="1202" spans="7:15">
      <c r="G1202" s="25"/>
      <c r="O1202" s="25"/>
    </row>
    <row r="1203" spans="7:15">
      <c r="G1203" s="25"/>
      <c r="O1203" s="25"/>
    </row>
    <row r="1204" spans="7:15">
      <c r="G1204" s="25"/>
      <c r="O1204" s="25"/>
    </row>
    <row r="1205" spans="7:15">
      <c r="G1205" s="25"/>
      <c r="O1205" s="25"/>
    </row>
    <row r="1206" spans="7:15">
      <c r="G1206" s="25"/>
      <c r="O1206" s="25"/>
    </row>
    <row r="1207" spans="7:15">
      <c r="G1207" s="25"/>
      <c r="O1207" s="25"/>
    </row>
    <row r="1208" spans="7:15">
      <c r="G1208" s="25"/>
      <c r="O1208" s="25"/>
    </row>
    <row r="1209" spans="7:15">
      <c r="G1209" s="25"/>
      <c r="O1209" s="25"/>
    </row>
    <row r="1210" spans="7:15">
      <c r="G1210" s="25"/>
      <c r="O1210" s="25"/>
    </row>
    <row r="1211" spans="7:15">
      <c r="G1211" s="25"/>
      <c r="O1211" s="25"/>
    </row>
    <row r="1212" spans="7:15">
      <c r="G1212" s="25"/>
      <c r="O1212" s="25"/>
    </row>
    <row r="1213" spans="7:15">
      <c r="G1213" s="25"/>
      <c r="O1213" s="25"/>
    </row>
    <row r="1214" spans="7:15">
      <c r="G1214" s="25"/>
      <c r="O1214" s="25"/>
    </row>
    <row r="1215" spans="7:15">
      <c r="G1215" s="25"/>
      <c r="O1215" s="25"/>
    </row>
    <row r="1216" spans="7:15">
      <c r="G1216" s="25"/>
      <c r="O1216" s="25"/>
    </row>
    <row r="1217" spans="7:15">
      <c r="G1217" s="25"/>
      <c r="O1217" s="25"/>
    </row>
    <row r="1218" spans="7:15">
      <c r="G1218" s="25"/>
      <c r="O1218" s="25"/>
    </row>
    <row r="1219" spans="7:15">
      <c r="G1219" s="25"/>
      <c r="O1219" s="25"/>
    </row>
    <row r="1220" spans="7:15">
      <c r="G1220" s="25"/>
      <c r="O1220" s="25"/>
    </row>
    <row r="1221" spans="7:15">
      <c r="G1221" s="25"/>
      <c r="O1221" s="25"/>
    </row>
    <row r="1222" spans="7:15">
      <c r="G1222" s="25"/>
      <c r="O1222" s="25"/>
    </row>
    <row r="1223" spans="7:15">
      <c r="G1223" s="25"/>
      <c r="O1223" s="25"/>
    </row>
    <row r="1224" spans="7:15">
      <c r="G1224" s="25"/>
      <c r="O1224" s="25"/>
    </row>
    <row r="1225" spans="7:15">
      <c r="G1225" s="25"/>
      <c r="O1225" s="25"/>
    </row>
    <row r="1226" spans="7:15">
      <c r="G1226" s="25"/>
      <c r="O1226" s="25"/>
    </row>
    <row r="1227" spans="7:15">
      <c r="G1227" s="25"/>
      <c r="O1227" s="25"/>
    </row>
    <row r="1228" spans="7:15">
      <c r="G1228" s="25"/>
      <c r="O1228" s="25"/>
    </row>
    <row r="1229" spans="7:15">
      <c r="G1229" s="25"/>
      <c r="O1229" s="25"/>
    </row>
    <row r="1230" spans="7:15">
      <c r="G1230" s="25"/>
      <c r="O1230" s="25"/>
    </row>
    <row r="1231" spans="7:15">
      <c r="G1231" s="25"/>
      <c r="O1231" s="25"/>
    </row>
    <row r="1232" spans="7:15">
      <c r="G1232" s="25"/>
      <c r="O1232" s="25"/>
    </row>
    <row r="1233" spans="7:15">
      <c r="G1233" s="25"/>
      <c r="O1233" s="25"/>
    </row>
    <row r="1234" spans="7:15">
      <c r="G1234" s="25"/>
      <c r="O1234" s="25"/>
    </row>
    <row r="1235" spans="7:15">
      <c r="G1235" s="25"/>
      <c r="O1235" s="25"/>
    </row>
    <row r="1236" spans="7:15">
      <c r="G1236" s="25"/>
      <c r="O1236" s="25"/>
    </row>
    <row r="1237" spans="7:15">
      <c r="G1237" s="25"/>
      <c r="O1237" s="25"/>
    </row>
    <row r="1238" spans="7:15">
      <c r="G1238" s="25"/>
      <c r="O1238" s="25"/>
    </row>
    <row r="1239" spans="7:15">
      <c r="G1239" s="25"/>
      <c r="O1239" s="25"/>
    </row>
    <row r="1240" spans="7:15">
      <c r="G1240" s="25"/>
      <c r="O1240" s="25"/>
    </row>
    <row r="1241" spans="7:15">
      <c r="G1241" s="25"/>
      <c r="O1241" s="25"/>
    </row>
    <row r="1242" spans="7:15">
      <c r="G1242" s="25"/>
      <c r="O1242" s="25"/>
    </row>
    <row r="1243" spans="7:15">
      <c r="G1243" s="25"/>
      <c r="O1243" s="25"/>
    </row>
    <row r="1244" spans="7:15">
      <c r="G1244" s="25"/>
      <c r="O1244" s="25"/>
    </row>
    <row r="1245" spans="7:15">
      <c r="G1245" s="25"/>
      <c r="O1245" s="25"/>
    </row>
    <row r="1246" spans="7:15">
      <c r="G1246" s="25"/>
      <c r="O1246" s="25"/>
    </row>
    <row r="1247" spans="7:15">
      <c r="G1247" s="25"/>
      <c r="O1247" s="25"/>
    </row>
    <row r="1248" spans="7:15">
      <c r="G1248" s="25"/>
      <c r="O1248" s="25"/>
    </row>
    <row r="1249" spans="7:15">
      <c r="G1249" s="25"/>
      <c r="O1249" s="25"/>
    </row>
    <row r="1250" spans="7:15">
      <c r="G1250" s="25"/>
      <c r="O1250" s="25"/>
    </row>
    <row r="1251" spans="7:15">
      <c r="G1251" s="25"/>
      <c r="O1251" s="25"/>
    </row>
    <row r="1252" spans="7:15">
      <c r="G1252" s="25"/>
      <c r="O1252" s="25"/>
    </row>
    <row r="1253" spans="7:15">
      <c r="G1253" s="25"/>
      <c r="O1253" s="25"/>
    </row>
    <row r="1254" spans="7:15">
      <c r="G1254" s="25"/>
      <c r="O1254" s="25"/>
    </row>
    <row r="1255" spans="7:15">
      <c r="G1255" s="25"/>
      <c r="O1255" s="25"/>
    </row>
    <row r="1256" spans="7:15">
      <c r="G1256" s="25"/>
      <c r="O1256" s="25"/>
    </row>
    <row r="1257" spans="7:15">
      <c r="G1257" s="25"/>
      <c r="O1257" s="25"/>
    </row>
    <row r="1258" spans="7:15">
      <c r="G1258" s="25"/>
      <c r="O1258" s="25"/>
    </row>
    <row r="1259" spans="7:15">
      <c r="G1259" s="25"/>
      <c r="O1259" s="25"/>
    </row>
    <row r="1260" spans="7:15">
      <c r="G1260" s="25"/>
      <c r="O1260" s="25"/>
    </row>
    <row r="1261" spans="7:15">
      <c r="G1261" s="25"/>
      <c r="O1261" s="25"/>
    </row>
    <row r="1262" spans="7:15">
      <c r="G1262" s="25"/>
      <c r="O1262" s="25"/>
    </row>
    <row r="1263" spans="7:15">
      <c r="G1263" s="25"/>
      <c r="O1263" s="25"/>
    </row>
    <row r="1264" spans="7:15">
      <c r="G1264" s="25"/>
      <c r="O1264" s="25"/>
    </row>
    <row r="1265" spans="7:15">
      <c r="G1265" s="25"/>
      <c r="O1265" s="25"/>
    </row>
    <row r="1266" spans="7:15">
      <c r="G1266" s="25"/>
      <c r="O1266" s="25"/>
    </row>
    <row r="1267" spans="7:15">
      <c r="G1267" s="25"/>
      <c r="O1267" s="25"/>
    </row>
    <row r="1268" spans="7:15">
      <c r="G1268" s="25"/>
      <c r="O1268" s="25"/>
    </row>
    <row r="1269" spans="7:15">
      <c r="G1269" s="25"/>
      <c r="O1269" s="25"/>
    </row>
    <row r="1270" spans="7:15">
      <c r="G1270" s="25"/>
      <c r="O1270" s="25"/>
    </row>
    <row r="1271" spans="7:15">
      <c r="G1271" s="25"/>
      <c r="O1271" s="25"/>
    </row>
    <row r="1272" spans="7:15">
      <c r="G1272" s="25"/>
      <c r="O1272" s="25"/>
    </row>
    <row r="1273" spans="7:15">
      <c r="G1273" s="25"/>
      <c r="O1273" s="25"/>
    </row>
    <row r="1274" spans="7:15">
      <c r="G1274" s="25"/>
      <c r="O1274" s="25"/>
    </row>
    <row r="1275" spans="7:15">
      <c r="G1275" s="25"/>
      <c r="O1275" s="25"/>
    </row>
    <row r="1276" spans="7:15">
      <c r="G1276" s="25"/>
      <c r="O1276" s="25"/>
    </row>
    <row r="1277" spans="7:15">
      <c r="G1277" s="25"/>
      <c r="O1277" s="25"/>
    </row>
    <row r="1278" spans="7:15">
      <c r="G1278" s="25"/>
      <c r="O1278" s="25"/>
    </row>
    <row r="1279" spans="7:15">
      <c r="G1279" s="25"/>
      <c r="O1279" s="25"/>
    </row>
    <row r="1280" spans="7:15">
      <c r="G1280" s="25"/>
      <c r="O1280" s="25"/>
    </row>
    <row r="1281" spans="7:15">
      <c r="G1281" s="25"/>
      <c r="O1281" s="25"/>
    </row>
    <row r="1282" spans="7:15">
      <c r="G1282" s="25"/>
      <c r="O1282" s="25"/>
    </row>
    <row r="1283" spans="7:15">
      <c r="G1283" s="25"/>
      <c r="O1283" s="25"/>
    </row>
    <row r="1284" spans="7:15">
      <c r="G1284" s="25"/>
      <c r="O1284" s="25"/>
    </row>
    <row r="1285" spans="7:15">
      <c r="G1285" s="25"/>
      <c r="O1285" s="25"/>
    </row>
    <row r="1286" spans="7:15">
      <c r="G1286" s="25"/>
      <c r="O1286" s="25"/>
    </row>
    <row r="1287" spans="7:15">
      <c r="G1287" s="25"/>
      <c r="O1287" s="25"/>
    </row>
    <row r="1288" spans="7:15">
      <c r="G1288" s="25"/>
      <c r="O1288" s="25"/>
    </row>
    <row r="1289" spans="7:15">
      <c r="G1289" s="25"/>
      <c r="O1289" s="25"/>
    </row>
    <row r="1290" spans="7:15">
      <c r="G1290" s="25"/>
      <c r="O1290" s="25"/>
    </row>
    <row r="1291" spans="7:15">
      <c r="G1291" s="25"/>
      <c r="O1291" s="25"/>
    </row>
    <row r="1292" spans="7:15">
      <c r="G1292" s="25"/>
      <c r="O1292" s="25"/>
    </row>
    <row r="1293" spans="7:15">
      <c r="G1293" s="25"/>
      <c r="O1293" s="25"/>
    </row>
    <row r="1294" spans="7:15">
      <c r="G1294" s="25"/>
      <c r="O1294" s="25"/>
    </row>
    <row r="1295" spans="7:15">
      <c r="G1295" s="25"/>
      <c r="O1295" s="25"/>
    </row>
    <row r="1296" spans="7:15">
      <c r="G1296" s="25"/>
      <c r="O1296" s="25"/>
    </row>
    <row r="1297" spans="7:15">
      <c r="G1297" s="25"/>
      <c r="O1297" s="25"/>
    </row>
    <row r="1298" spans="7:15">
      <c r="G1298" s="25"/>
      <c r="O1298" s="25"/>
    </row>
    <row r="1299" spans="7:15">
      <c r="G1299" s="25"/>
      <c r="O1299" s="25"/>
    </row>
    <row r="1300" spans="7:15">
      <c r="G1300" s="25"/>
      <c r="O1300" s="25"/>
    </row>
    <row r="1301" spans="7:15">
      <c r="G1301" s="25"/>
      <c r="O1301" s="25"/>
    </row>
    <row r="1302" spans="7:15">
      <c r="G1302" s="25"/>
      <c r="O1302" s="25"/>
    </row>
    <row r="1303" spans="7:15">
      <c r="G1303" s="25"/>
      <c r="O1303" s="25"/>
    </row>
    <row r="1304" spans="7:15">
      <c r="G1304" s="25"/>
      <c r="O1304" s="25"/>
    </row>
    <row r="1305" spans="7:15">
      <c r="G1305" s="25"/>
      <c r="O1305" s="25"/>
    </row>
    <row r="1306" spans="7:15">
      <c r="G1306" s="25"/>
      <c r="O1306" s="25"/>
    </row>
    <row r="1307" spans="7:15">
      <c r="G1307" s="25"/>
      <c r="O1307" s="25"/>
    </row>
    <row r="1308" spans="7:15">
      <c r="G1308" s="25"/>
      <c r="O1308" s="25"/>
    </row>
    <row r="1309" spans="7:15">
      <c r="G1309" s="25"/>
      <c r="O1309" s="25"/>
    </row>
    <row r="1310" spans="7:15">
      <c r="G1310" s="25"/>
      <c r="O1310" s="25"/>
    </row>
    <row r="1311" spans="7:15">
      <c r="G1311" s="25"/>
      <c r="O1311" s="25"/>
    </row>
    <row r="1312" spans="7:15">
      <c r="G1312" s="25"/>
      <c r="O1312" s="25"/>
    </row>
    <row r="1313" spans="7:15">
      <c r="G1313" s="25"/>
      <c r="O1313" s="25"/>
    </row>
    <row r="1314" spans="7:15">
      <c r="G1314" s="25"/>
      <c r="O1314" s="25"/>
    </row>
    <row r="1315" spans="7:15">
      <c r="G1315" s="25"/>
      <c r="O1315" s="25"/>
    </row>
    <row r="1316" spans="7:15">
      <c r="G1316" s="25"/>
      <c r="O1316" s="25"/>
    </row>
    <row r="1317" spans="7:15">
      <c r="G1317" s="25"/>
      <c r="O1317" s="25"/>
    </row>
    <row r="1318" spans="7:15">
      <c r="G1318" s="25"/>
      <c r="O1318" s="25"/>
    </row>
    <row r="1319" spans="7:15">
      <c r="G1319" s="25"/>
      <c r="O1319" s="25"/>
    </row>
    <row r="1320" spans="7:15">
      <c r="G1320" s="25"/>
      <c r="O1320" s="25"/>
    </row>
    <row r="1321" spans="7:15">
      <c r="G1321" s="25"/>
      <c r="O1321" s="25"/>
    </row>
    <row r="1322" spans="7:15">
      <c r="G1322" s="25"/>
      <c r="O1322" s="25"/>
    </row>
    <row r="1323" spans="7:15">
      <c r="G1323" s="25"/>
      <c r="O1323" s="25"/>
    </row>
    <row r="1324" spans="7:15">
      <c r="G1324" s="25"/>
      <c r="O1324" s="25"/>
    </row>
    <row r="1325" spans="7:15">
      <c r="G1325" s="25"/>
      <c r="O1325" s="25"/>
    </row>
    <row r="1326" spans="7:15">
      <c r="G1326" s="25"/>
      <c r="O1326" s="25"/>
    </row>
    <row r="1327" spans="7:15">
      <c r="G1327" s="25"/>
      <c r="O1327" s="25"/>
    </row>
    <row r="1328" spans="7:15">
      <c r="G1328" s="25"/>
      <c r="O1328" s="25"/>
    </row>
    <row r="1329" spans="7:15">
      <c r="G1329" s="25"/>
      <c r="O1329" s="25"/>
    </row>
    <row r="1330" spans="7:15">
      <c r="G1330" s="25"/>
      <c r="O1330" s="25"/>
    </row>
    <row r="1331" spans="7:15">
      <c r="G1331" s="25"/>
      <c r="O1331" s="25"/>
    </row>
    <row r="1332" spans="7:15">
      <c r="G1332" s="25"/>
      <c r="O1332" s="25"/>
    </row>
    <row r="1333" spans="7:15">
      <c r="G1333" s="25"/>
      <c r="O1333" s="25"/>
    </row>
    <row r="1334" spans="7:15">
      <c r="G1334" s="25"/>
      <c r="O1334" s="25"/>
    </row>
    <row r="1335" spans="7:15">
      <c r="G1335" s="25"/>
      <c r="O1335" s="25"/>
    </row>
    <row r="1336" spans="7:15">
      <c r="G1336" s="25"/>
      <c r="O1336" s="25"/>
    </row>
    <row r="1337" spans="7:15">
      <c r="G1337" s="25"/>
      <c r="O1337" s="25"/>
    </row>
    <row r="1338" spans="7:15">
      <c r="G1338" s="25"/>
      <c r="O1338" s="25"/>
    </row>
    <row r="1339" spans="7:15">
      <c r="G1339" s="25"/>
      <c r="O1339" s="25"/>
    </row>
    <row r="1340" spans="7:15">
      <c r="G1340" s="25"/>
      <c r="O1340" s="25"/>
    </row>
    <row r="1341" spans="7:15">
      <c r="G1341" s="25"/>
      <c r="O1341" s="25"/>
    </row>
    <row r="1342" spans="7:15">
      <c r="G1342" s="25"/>
      <c r="O1342" s="25"/>
    </row>
    <row r="1343" spans="7:15">
      <c r="G1343" s="25"/>
      <c r="O1343" s="25"/>
    </row>
    <row r="1344" spans="7:15">
      <c r="G1344" s="25"/>
      <c r="O1344" s="25"/>
    </row>
    <row r="1345" spans="7:15">
      <c r="G1345" s="25"/>
      <c r="O1345" s="25"/>
    </row>
    <row r="1346" spans="7:15">
      <c r="G1346" s="25"/>
      <c r="O1346" s="25"/>
    </row>
    <row r="1347" spans="7:15">
      <c r="G1347" s="25"/>
      <c r="O1347" s="25"/>
    </row>
    <row r="1348" spans="7:15">
      <c r="G1348" s="25"/>
      <c r="O1348" s="25"/>
    </row>
    <row r="1349" spans="7:15">
      <c r="G1349" s="25"/>
      <c r="O1349" s="25"/>
    </row>
    <row r="1350" spans="7:15">
      <c r="G1350" s="25"/>
      <c r="O1350" s="25"/>
    </row>
    <row r="1351" spans="7:15">
      <c r="G1351" s="25"/>
      <c r="O1351" s="25"/>
    </row>
    <row r="1352" spans="7:15">
      <c r="G1352" s="25"/>
      <c r="O1352" s="25"/>
    </row>
    <row r="1353" spans="7:15">
      <c r="G1353" s="25"/>
      <c r="O1353" s="25"/>
    </row>
    <row r="1354" spans="7:15">
      <c r="G1354" s="25"/>
      <c r="O1354" s="25"/>
    </row>
    <row r="1355" spans="7:15">
      <c r="G1355" s="25"/>
      <c r="O1355" s="25"/>
    </row>
    <row r="1356" spans="7:15">
      <c r="G1356" s="25"/>
      <c r="O1356" s="25"/>
    </row>
    <row r="1357" spans="7:15">
      <c r="G1357" s="25"/>
      <c r="O1357" s="25"/>
    </row>
    <row r="1358" spans="7:15">
      <c r="G1358" s="25"/>
      <c r="O1358" s="25"/>
    </row>
    <row r="1359" spans="7:15">
      <c r="G1359" s="25"/>
      <c r="O1359" s="25"/>
    </row>
    <row r="1360" spans="7:15">
      <c r="G1360" s="25"/>
      <c r="O1360" s="25"/>
    </row>
    <row r="1361" spans="7:15">
      <c r="G1361" s="25"/>
      <c r="O1361" s="25"/>
    </row>
    <row r="1362" spans="7:15">
      <c r="G1362" s="25"/>
      <c r="O1362" s="25"/>
    </row>
    <row r="1363" spans="7:15">
      <c r="G1363" s="25"/>
      <c r="O1363" s="25"/>
    </row>
    <row r="1364" spans="7:15">
      <c r="G1364" s="25"/>
      <c r="O1364" s="25"/>
    </row>
    <row r="1365" spans="7:15">
      <c r="G1365" s="25"/>
      <c r="O1365" s="25"/>
    </row>
    <row r="1366" spans="7:15">
      <c r="G1366" s="25"/>
      <c r="O1366" s="25"/>
    </row>
    <row r="1367" spans="7:15">
      <c r="G1367" s="25"/>
      <c r="O1367" s="25"/>
    </row>
    <row r="1368" spans="7:15">
      <c r="G1368" s="25"/>
      <c r="O1368" s="25"/>
    </row>
    <row r="1369" spans="7:15">
      <c r="G1369" s="25"/>
      <c r="O1369" s="25"/>
    </row>
    <row r="1370" spans="7:15">
      <c r="G1370" s="25"/>
      <c r="O1370" s="25"/>
    </row>
    <row r="1371" spans="7:15">
      <c r="G1371" s="25"/>
      <c r="O1371" s="25"/>
    </row>
    <row r="1372" spans="7:15">
      <c r="G1372" s="25"/>
      <c r="O1372" s="25"/>
    </row>
    <row r="1373" spans="7:15">
      <c r="G1373" s="25"/>
      <c r="O1373" s="25"/>
    </row>
    <row r="1374" spans="7:15">
      <c r="G1374" s="25"/>
      <c r="O1374" s="25"/>
    </row>
    <row r="1375" spans="7:15">
      <c r="G1375" s="25"/>
      <c r="O1375" s="25"/>
    </row>
    <row r="1376" spans="7:15">
      <c r="G1376" s="25"/>
      <c r="O1376" s="25"/>
    </row>
    <row r="1377" spans="7:15">
      <c r="G1377" s="25"/>
      <c r="O1377" s="25"/>
    </row>
    <row r="1378" spans="7:15">
      <c r="G1378" s="25"/>
      <c r="O1378" s="25"/>
    </row>
    <row r="1379" spans="7:15">
      <c r="G1379" s="25"/>
      <c r="O1379" s="25"/>
    </row>
    <row r="1380" spans="7:15">
      <c r="G1380" s="25"/>
      <c r="O1380" s="25"/>
    </row>
    <row r="1381" spans="7:15">
      <c r="G1381" s="25"/>
      <c r="O1381" s="25"/>
    </row>
    <row r="1382" spans="7:15">
      <c r="G1382" s="25"/>
      <c r="O1382" s="25"/>
    </row>
    <row r="1383" spans="7:15">
      <c r="G1383" s="25"/>
      <c r="O1383" s="25"/>
    </row>
    <row r="1384" spans="7:15">
      <c r="G1384" s="25"/>
      <c r="O1384" s="25"/>
    </row>
    <row r="1385" spans="7:15">
      <c r="G1385" s="25"/>
      <c r="O1385" s="25"/>
    </row>
    <row r="1386" spans="7:15">
      <c r="G1386" s="25"/>
      <c r="O1386" s="25"/>
    </row>
    <row r="1387" spans="7:15">
      <c r="G1387" s="25"/>
      <c r="O1387" s="25"/>
    </row>
    <row r="1388" spans="7:15">
      <c r="G1388" s="25"/>
      <c r="O1388" s="25"/>
    </row>
    <row r="1389" spans="7:15">
      <c r="G1389" s="25"/>
      <c r="O1389" s="25"/>
    </row>
    <row r="1390" spans="7:15">
      <c r="G1390" s="25"/>
      <c r="O1390" s="25"/>
    </row>
    <row r="1391" spans="7:15">
      <c r="G1391" s="25"/>
      <c r="O1391" s="25"/>
    </row>
    <row r="1392" spans="7:15">
      <c r="G1392" s="25"/>
      <c r="O1392" s="25"/>
    </row>
    <row r="1393" spans="7:15">
      <c r="G1393" s="25"/>
      <c r="O1393" s="25"/>
    </row>
    <row r="1394" spans="7:15">
      <c r="G1394" s="25"/>
      <c r="O1394" s="25"/>
    </row>
    <row r="1395" spans="7:15">
      <c r="G1395" s="25"/>
      <c r="O1395" s="25"/>
    </row>
    <row r="1396" spans="7:15">
      <c r="G1396" s="25"/>
      <c r="O1396" s="25"/>
    </row>
    <row r="1397" spans="7:15">
      <c r="G1397" s="25"/>
      <c r="O1397" s="25"/>
    </row>
    <row r="1398" spans="7:15">
      <c r="G1398" s="25"/>
      <c r="O1398" s="25"/>
    </row>
    <row r="1399" spans="7:15">
      <c r="G1399" s="25"/>
      <c r="O1399" s="25"/>
    </row>
    <row r="1400" spans="7:15">
      <c r="G1400" s="25"/>
      <c r="O1400" s="25"/>
    </row>
    <row r="1401" spans="7:15">
      <c r="G1401" s="25"/>
      <c r="O1401" s="25"/>
    </row>
    <row r="1402" spans="7:15">
      <c r="G1402" s="25"/>
      <c r="O1402" s="25"/>
    </row>
    <row r="1403" spans="7:15">
      <c r="G1403" s="25"/>
      <c r="O1403" s="25"/>
    </row>
    <row r="1404" spans="7:15">
      <c r="G1404" s="25"/>
      <c r="O1404" s="25"/>
    </row>
    <row r="1405" spans="7:15">
      <c r="G1405" s="25"/>
      <c r="O1405" s="25"/>
    </row>
    <row r="1406" spans="7:15">
      <c r="G1406" s="25"/>
      <c r="O1406" s="25"/>
    </row>
    <row r="1407" spans="7:15">
      <c r="G1407" s="25"/>
      <c r="O1407" s="25"/>
    </row>
    <row r="1408" spans="7:15">
      <c r="G1408" s="25"/>
      <c r="O1408" s="25"/>
    </row>
    <row r="1409" spans="7:15">
      <c r="G1409" s="25"/>
      <c r="O1409" s="25"/>
    </row>
    <row r="1410" spans="7:15">
      <c r="G1410" s="25"/>
      <c r="O1410" s="25"/>
    </row>
    <row r="1411" spans="7:15">
      <c r="G1411" s="25"/>
      <c r="O1411" s="25"/>
    </row>
    <row r="1412" spans="7:15">
      <c r="G1412" s="25"/>
      <c r="O1412" s="25"/>
    </row>
    <row r="1413" spans="7:15">
      <c r="G1413" s="25"/>
      <c r="O1413" s="25"/>
    </row>
    <row r="1414" spans="7:15">
      <c r="G1414" s="25"/>
      <c r="O1414" s="25"/>
    </row>
    <row r="1415" spans="7:15">
      <c r="G1415" s="25"/>
      <c r="O1415" s="25"/>
    </row>
    <row r="1416" spans="7:15">
      <c r="G1416" s="25"/>
      <c r="O1416" s="25"/>
    </row>
    <row r="1417" spans="7:15">
      <c r="G1417" s="25"/>
      <c r="O1417" s="25"/>
    </row>
    <row r="1418" spans="7:15">
      <c r="G1418" s="25"/>
      <c r="O1418" s="25"/>
    </row>
    <row r="1419" spans="7:15">
      <c r="G1419" s="25"/>
      <c r="O1419" s="25"/>
    </row>
    <row r="1420" spans="7:15">
      <c r="G1420" s="25"/>
      <c r="O1420" s="25"/>
    </row>
    <row r="1421" spans="7:15">
      <c r="G1421" s="25"/>
      <c r="O1421" s="25"/>
    </row>
    <row r="1422" spans="7:15">
      <c r="G1422" s="25"/>
      <c r="O1422" s="25"/>
    </row>
    <row r="1423" spans="7:15">
      <c r="G1423" s="25"/>
      <c r="O1423" s="25"/>
    </row>
    <row r="1424" spans="7:15">
      <c r="G1424" s="25"/>
      <c r="O1424" s="25"/>
    </row>
    <row r="1425" spans="7:15">
      <c r="G1425" s="25"/>
      <c r="O1425" s="25"/>
    </row>
    <row r="1426" spans="7:15">
      <c r="G1426" s="25"/>
      <c r="O1426" s="25"/>
    </row>
    <row r="1427" spans="7:15">
      <c r="G1427" s="25"/>
      <c r="O1427" s="25"/>
    </row>
    <row r="1428" spans="7:15">
      <c r="G1428" s="25"/>
      <c r="O1428" s="25"/>
    </row>
    <row r="1429" spans="7:15">
      <c r="G1429" s="25"/>
      <c r="O1429" s="25"/>
    </row>
    <row r="1430" spans="7:15">
      <c r="G1430" s="25"/>
      <c r="O1430" s="25"/>
    </row>
    <row r="1431" spans="7:15">
      <c r="G1431" s="25"/>
      <c r="O1431" s="25"/>
    </row>
    <row r="1432" spans="7:15">
      <c r="G1432" s="25"/>
      <c r="O1432" s="25"/>
    </row>
    <row r="1433" spans="7:15">
      <c r="G1433" s="25"/>
      <c r="O1433" s="25"/>
    </row>
    <row r="1434" spans="7:15">
      <c r="G1434" s="25"/>
      <c r="O1434" s="25"/>
    </row>
    <row r="1435" spans="7:15">
      <c r="G1435" s="25"/>
      <c r="O1435" s="25"/>
    </row>
    <row r="1436" spans="7:15">
      <c r="G1436" s="25"/>
      <c r="O1436" s="25"/>
    </row>
    <row r="1437" spans="7:15">
      <c r="G1437" s="25"/>
      <c r="O1437" s="25"/>
    </row>
    <row r="1438" spans="7:15">
      <c r="G1438" s="25"/>
      <c r="O1438" s="25"/>
    </row>
    <row r="1439" spans="7:15">
      <c r="G1439" s="25"/>
      <c r="O1439" s="25"/>
    </row>
    <row r="1440" spans="7:15">
      <c r="G1440" s="25"/>
      <c r="O1440" s="25"/>
    </row>
    <row r="1441" spans="7:15">
      <c r="G1441" s="25"/>
      <c r="O1441" s="25"/>
    </row>
    <row r="1442" spans="7:15">
      <c r="G1442" s="25"/>
      <c r="O1442" s="25"/>
    </row>
    <row r="1443" spans="7:15">
      <c r="G1443" s="25"/>
      <c r="O1443" s="25"/>
    </row>
    <row r="1444" spans="7:15">
      <c r="G1444" s="25"/>
      <c r="O1444" s="25"/>
    </row>
    <row r="1445" spans="7:15">
      <c r="G1445" s="25"/>
      <c r="O1445" s="25"/>
    </row>
    <row r="1446" spans="7:15">
      <c r="G1446" s="25"/>
      <c r="O1446" s="25"/>
    </row>
    <row r="1447" spans="7:15">
      <c r="G1447" s="25"/>
      <c r="O1447" s="25"/>
    </row>
    <row r="1448" spans="7:15">
      <c r="G1448" s="25"/>
      <c r="O1448" s="25"/>
    </row>
    <row r="1449" spans="7:15">
      <c r="G1449" s="25"/>
      <c r="O1449" s="25"/>
    </row>
    <row r="1450" spans="7:15">
      <c r="G1450" s="25"/>
      <c r="O1450" s="25"/>
    </row>
    <row r="1451" spans="7:15">
      <c r="G1451" s="25"/>
      <c r="O1451" s="25"/>
    </row>
    <row r="1452" spans="7:15">
      <c r="G1452" s="25"/>
      <c r="O1452" s="25"/>
    </row>
    <row r="1453" spans="7:15">
      <c r="G1453" s="25"/>
      <c r="O1453" s="25"/>
    </row>
    <row r="1454" spans="7:15">
      <c r="G1454" s="25"/>
      <c r="O1454" s="25"/>
    </row>
    <row r="1455" spans="7:15">
      <c r="G1455" s="25"/>
      <c r="O1455" s="25"/>
    </row>
    <row r="1456" spans="7:15">
      <c r="G1456" s="25"/>
      <c r="O1456" s="25"/>
    </row>
    <row r="1457" spans="7:15">
      <c r="G1457" s="25"/>
      <c r="O1457" s="25"/>
    </row>
    <row r="1458" spans="7:15">
      <c r="G1458" s="25"/>
      <c r="O1458" s="25"/>
    </row>
    <row r="1459" spans="7:15">
      <c r="G1459" s="25"/>
      <c r="O1459" s="25"/>
    </row>
    <row r="1460" spans="7:15">
      <c r="G1460" s="25"/>
      <c r="O1460" s="25"/>
    </row>
    <row r="1461" spans="7:15">
      <c r="G1461" s="25"/>
      <c r="O1461" s="25"/>
    </row>
    <row r="1462" spans="7:15">
      <c r="G1462" s="25"/>
      <c r="O1462" s="25"/>
    </row>
    <row r="1463" spans="7:15">
      <c r="G1463" s="25"/>
      <c r="O1463" s="25"/>
    </row>
    <row r="1464" spans="7:15">
      <c r="G1464" s="25"/>
      <c r="O1464" s="25"/>
    </row>
    <row r="1465" spans="7:15">
      <c r="G1465" s="25"/>
      <c r="O1465" s="25"/>
    </row>
    <row r="1466" spans="7:15">
      <c r="G1466" s="25"/>
      <c r="O1466" s="25"/>
    </row>
    <row r="1467" spans="7:15">
      <c r="G1467" s="25"/>
      <c r="O1467" s="25"/>
    </row>
    <row r="1468" spans="7:15">
      <c r="G1468" s="25"/>
      <c r="O1468" s="25"/>
    </row>
    <row r="1469" spans="7:15">
      <c r="G1469" s="25"/>
      <c r="O1469" s="25"/>
    </row>
    <row r="1470" spans="7:15">
      <c r="G1470" s="25"/>
      <c r="O1470" s="25"/>
    </row>
    <row r="1471" spans="7:15">
      <c r="G1471" s="25"/>
      <c r="O1471" s="25"/>
    </row>
    <row r="1472" spans="7:15">
      <c r="G1472" s="25"/>
      <c r="O1472" s="25"/>
    </row>
    <row r="1473" spans="7:15">
      <c r="G1473" s="25"/>
      <c r="O1473" s="25"/>
    </row>
    <row r="1474" spans="7:15">
      <c r="G1474" s="25"/>
      <c r="O1474" s="25"/>
    </row>
    <row r="1475" spans="7:15">
      <c r="G1475" s="25"/>
      <c r="O1475" s="25"/>
    </row>
    <row r="1476" spans="7:15">
      <c r="G1476" s="25"/>
      <c r="O1476" s="25"/>
    </row>
    <row r="1477" spans="7:15">
      <c r="G1477" s="25"/>
      <c r="O1477" s="25"/>
    </row>
    <row r="1478" spans="7:15">
      <c r="G1478" s="25"/>
      <c r="O1478" s="25"/>
    </row>
    <row r="1479" spans="7:15">
      <c r="G1479" s="25"/>
      <c r="O1479" s="25"/>
    </row>
    <row r="1480" spans="7:15">
      <c r="G1480" s="25"/>
      <c r="O1480" s="25"/>
    </row>
    <row r="1481" spans="7:15">
      <c r="G1481" s="25"/>
      <c r="O1481" s="25"/>
    </row>
    <row r="1482" spans="7:15">
      <c r="G1482" s="25"/>
      <c r="O1482" s="25"/>
    </row>
    <row r="1483" spans="7:15">
      <c r="G1483" s="25"/>
      <c r="O1483" s="25"/>
    </row>
    <row r="1484" spans="7:15">
      <c r="G1484" s="25"/>
      <c r="O1484" s="25"/>
    </row>
    <row r="1485" spans="7:15">
      <c r="G1485" s="25"/>
      <c r="O1485" s="25"/>
    </row>
    <row r="1486" spans="7:15">
      <c r="G1486" s="25"/>
      <c r="O1486" s="25"/>
    </row>
    <row r="1487" spans="7:15">
      <c r="G1487" s="25"/>
      <c r="O1487" s="25"/>
    </row>
    <row r="1488" spans="7:15">
      <c r="G1488" s="25"/>
      <c r="O1488" s="25"/>
    </row>
    <row r="1489" spans="7:15">
      <c r="G1489" s="25"/>
      <c r="O1489" s="25"/>
    </row>
    <row r="1490" spans="7:15">
      <c r="G1490" s="25"/>
      <c r="O1490" s="25"/>
    </row>
    <row r="1491" spans="7:15">
      <c r="G1491" s="25"/>
      <c r="O1491" s="25"/>
    </row>
    <row r="1492" spans="7:15">
      <c r="G1492" s="25"/>
      <c r="O1492" s="25"/>
    </row>
    <row r="1493" spans="7:15">
      <c r="G1493" s="25"/>
      <c r="O1493" s="25"/>
    </row>
    <row r="1494" spans="7:15">
      <c r="G1494" s="25"/>
      <c r="O1494" s="25"/>
    </row>
    <row r="1495" spans="7:15">
      <c r="G1495" s="25"/>
      <c r="O1495" s="25"/>
    </row>
    <row r="1496" spans="7:15">
      <c r="G1496" s="25"/>
      <c r="O1496" s="25"/>
    </row>
    <row r="1497" spans="7:15">
      <c r="G1497" s="25"/>
      <c r="O1497" s="25"/>
    </row>
    <row r="1498" spans="7:15">
      <c r="G1498" s="25"/>
      <c r="O1498" s="25"/>
    </row>
    <row r="1499" spans="7:15">
      <c r="G1499" s="25"/>
      <c r="O1499" s="25"/>
    </row>
    <row r="1500" spans="7:15">
      <c r="G1500" s="25"/>
      <c r="O1500" s="25"/>
    </row>
    <row r="1501" spans="7:15">
      <c r="G1501" s="25"/>
      <c r="O1501" s="25"/>
    </row>
    <row r="1502" spans="7:15">
      <c r="G1502" s="25"/>
      <c r="O1502" s="25"/>
    </row>
    <row r="1503" spans="7:15">
      <c r="G1503" s="25"/>
      <c r="O1503" s="25"/>
    </row>
    <row r="1504" spans="7:15">
      <c r="G1504" s="25"/>
      <c r="O1504" s="25"/>
    </row>
    <row r="1505" spans="7:15">
      <c r="G1505" s="25"/>
      <c r="O1505" s="25"/>
    </row>
    <row r="1506" spans="7:15">
      <c r="G1506" s="25"/>
      <c r="O1506" s="25"/>
    </row>
    <row r="1507" spans="7:15">
      <c r="G1507" s="25"/>
      <c r="O1507" s="25"/>
    </row>
    <row r="1508" spans="7:15">
      <c r="G1508" s="25"/>
      <c r="O1508" s="25"/>
    </row>
    <row r="1509" spans="7:15">
      <c r="G1509" s="25"/>
      <c r="O1509" s="25"/>
    </row>
    <row r="1510" spans="7:15">
      <c r="G1510" s="25"/>
      <c r="O1510" s="25"/>
    </row>
    <row r="1511" spans="7:15">
      <c r="G1511" s="25"/>
      <c r="O1511" s="25"/>
    </row>
    <row r="1512" spans="7:15">
      <c r="G1512" s="25"/>
      <c r="O1512" s="25"/>
    </row>
    <row r="1513" spans="7:15">
      <c r="G1513" s="25"/>
      <c r="O1513" s="25"/>
    </row>
    <row r="1514" spans="7:15">
      <c r="G1514" s="25"/>
      <c r="O1514" s="25"/>
    </row>
    <row r="1515" spans="7:15">
      <c r="G1515" s="25"/>
      <c r="O1515" s="25"/>
    </row>
    <row r="1516" spans="7:15">
      <c r="G1516" s="25"/>
      <c r="O1516" s="25"/>
    </row>
    <row r="1517" spans="7:15">
      <c r="G1517" s="25"/>
      <c r="O1517" s="25"/>
    </row>
    <row r="1518" spans="7:15">
      <c r="G1518" s="25"/>
      <c r="O1518" s="25"/>
    </row>
    <row r="1519" spans="7:15">
      <c r="G1519" s="25"/>
      <c r="O1519" s="25"/>
    </row>
    <row r="1520" spans="7:15">
      <c r="G1520" s="25"/>
      <c r="O1520" s="25"/>
    </row>
    <row r="1521" spans="7:15">
      <c r="G1521" s="25"/>
      <c r="O1521" s="25"/>
    </row>
    <row r="1522" spans="7:15">
      <c r="G1522" s="25"/>
      <c r="O1522" s="25"/>
    </row>
    <row r="1523" spans="7:15">
      <c r="G1523" s="25"/>
      <c r="O1523" s="25"/>
    </row>
    <row r="1524" spans="7:15">
      <c r="G1524" s="25"/>
      <c r="O1524" s="25"/>
    </row>
    <row r="1525" spans="7:15">
      <c r="G1525" s="25"/>
      <c r="O1525" s="25"/>
    </row>
    <row r="1526" spans="7:15">
      <c r="G1526" s="25"/>
      <c r="O1526" s="25"/>
    </row>
    <row r="1527" spans="7:15">
      <c r="G1527" s="25"/>
      <c r="O1527" s="25"/>
    </row>
    <row r="1528" spans="7:15">
      <c r="G1528" s="25"/>
      <c r="O1528" s="25"/>
    </row>
    <row r="1529" spans="7:15">
      <c r="G1529" s="25"/>
      <c r="O1529" s="25"/>
    </row>
    <row r="1530" spans="7:15">
      <c r="G1530" s="25"/>
      <c r="O1530" s="25"/>
    </row>
    <row r="1531" spans="7:15">
      <c r="G1531" s="25"/>
      <c r="O1531" s="25"/>
    </row>
    <row r="1532" spans="7:15">
      <c r="G1532" s="25"/>
      <c r="O1532" s="25"/>
    </row>
    <row r="1533" spans="7:15">
      <c r="G1533" s="25"/>
      <c r="O1533" s="25"/>
    </row>
    <row r="1534" spans="7:15">
      <c r="G1534" s="25"/>
      <c r="O1534" s="25"/>
    </row>
    <row r="1535" spans="7:15">
      <c r="G1535" s="25"/>
      <c r="O1535" s="25"/>
    </row>
    <row r="1536" spans="7:15">
      <c r="G1536" s="25"/>
      <c r="O1536" s="25"/>
    </row>
    <row r="1537" spans="7:15">
      <c r="G1537" s="25"/>
      <c r="O1537" s="25"/>
    </row>
    <row r="1538" spans="7:15">
      <c r="G1538" s="25"/>
      <c r="O1538" s="25"/>
    </row>
    <row r="1539" spans="7:15">
      <c r="G1539" s="25"/>
      <c r="O1539" s="25"/>
    </row>
    <row r="1540" spans="7:15">
      <c r="G1540" s="25"/>
      <c r="O1540" s="25"/>
    </row>
    <row r="1541" spans="7:15">
      <c r="G1541" s="25"/>
      <c r="O1541" s="25"/>
    </row>
    <row r="1542" spans="7:15">
      <c r="G1542" s="25"/>
      <c r="O1542" s="25"/>
    </row>
    <row r="1543" spans="7:15">
      <c r="G1543" s="25"/>
      <c r="O1543" s="25"/>
    </row>
    <row r="1544" spans="7:15">
      <c r="G1544" s="25"/>
      <c r="O1544" s="25"/>
    </row>
    <row r="1545" spans="7:15">
      <c r="G1545" s="25"/>
      <c r="O1545" s="25"/>
    </row>
    <row r="1546" spans="7:15">
      <c r="G1546" s="25"/>
      <c r="O1546" s="25"/>
    </row>
    <row r="1547" spans="7:15">
      <c r="G1547" s="25"/>
      <c r="O1547" s="25"/>
    </row>
    <row r="1548" spans="7:15">
      <c r="G1548" s="25"/>
      <c r="O1548" s="25"/>
    </row>
    <row r="1549" spans="7:15">
      <c r="G1549" s="25"/>
      <c r="O1549" s="25"/>
    </row>
    <row r="1550" spans="7:15">
      <c r="G1550" s="25"/>
      <c r="O1550" s="25"/>
    </row>
    <row r="1551" spans="7:15">
      <c r="G1551" s="25"/>
      <c r="O1551" s="25"/>
    </row>
    <row r="1552" spans="7:15">
      <c r="G1552" s="25"/>
      <c r="O1552" s="25"/>
    </row>
    <row r="1553" spans="7:15">
      <c r="G1553" s="25"/>
      <c r="O1553" s="25"/>
    </row>
    <row r="1554" spans="7:15">
      <c r="G1554" s="25"/>
      <c r="O1554" s="25"/>
    </row>
    <row r="1555" spans="7:15">
      <c r="G1555" s="25"/>
      <c r="O1555" s="25"/>
    </row>
    <row r="1556" spans="7:15">
      <c r="G1556" s="25"/>
      <c r="O1556" s="25"/>
    </row>
    <row r="1557" spans="7:15">
      <c r="G1557" s="25"/>
      <c r="O1557" s="25"/>
    </row>
  </sheetData>
  <sortState xmlns:xlrd2="http://schemas.microsoft.com/office/spreadsheetml/2017/richdata2" ref="Q211:Q295">
    <sortCondition ref="Q211"/>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sqref="A1:XFD1048576"/>
    </sheetView>
  </sheetViews>
  <sheetFormatPr defaultColWidth="9.140625"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2026-10-27T06:39:11Z</dcterms:modified>
</cp:coreProperties>
</file>